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faela.r.teixeira\OneDrive - Accenture\DSOL_ARBOR\25660 - PKE 24588 Corrigir faturas c cdrs arquivados não migrados em status disputa\PT\"/>
    </mc:Choice>
  </mc:AlternateContent>
  <workbookProtection workbookAlgorithmName="SHA-512" workbookHashValue="9ZW/XkLq0tBicQgldaRzid7irqtriOz8IDMEALHymH0+ZA0Rp4pZUZZtgNEkGHEHQV3lo1jli7xat8vATO+iRA==" workbookSaltValue="tco9/xEXJPtklguMdBsXUg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 concurrentCalc="0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/>
  <c r="J12" i="12"/>
  <c r="J16" i="12"/>
  <c r="J17" i="12"/>
  <c r="J18" i="12"/>
  <c r="J19" i="12"/>
  <c r="N5" i="4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/>
  <c r="AA16" i="16"/>
  <c r="Z16" i="16"/>
  <c r="E6" i="6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/>
  <c r="E27" i="6"/>
  <c r="C26" i="6"/>
  <c r="E26" i="6"/>
  <c r="C25" i="6"/>
  <c r="E25" i="6"/>
  <c r="C38" i="6"/>
  <c r="E38" i="6"/>
  <c r="C37" i="6"/>
  <c r="E37" i="6"/>
  <c r="C33" i="6"/>
  <c r="E33" i="6"/>
  <c r="C10" i="6"/>
  <c r="E10" i="6"/>
  <c r="C8" i="6"/>
  <c r="E8" i="6"/>
  <c r="C5" i="6"/>
  <c r="E5" i="6"/>
  <c r="U9" i="4"/>
  <c r="U5" i="4"/>
  <c r="C4" i="38"/>
  <c r="F5" i="38"/>
  <c r="C4" i="36"/>
  <c r="F5" i="36"/>
  <c r="L19" i="12"/>
  <c r="L26" i="38"/>
  <c r="M26" i="38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/>
  <c r="M8" i="38"/>
  <c r="M7" i="38"/>
  <c r="K27" i="36"/>
  <c r="C22" i="8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/>
  <c r="C23" i="8"/>
  <c r="V46" i="30"/>
  <c r="Z46" i="30"/>
  <c r="V43" i="30"/>
  <c r="Z43" i="30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/>
  <c r="V11" i="34"/>
  <c r="X11" i="34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/>
  <c r="V34" i="30"/>
  <c r="Z34" i="30"/>
  <c r="V27" i="30"/>
  <c r="Z27" i="30"/>
  <c r="V42" i="30"/>
  <c r="Z42" i="30"/>
  <c r="V38" i="30"/>
  <c r="Z38" i="30"/>
  <c r="V30" i="30"/>
  <c r="Z30" i="30"/>
  <c r="V26" i="30"/>
  <c r="Z26" i="30"/>
  <c r="V39" i="30"/>
  <c r="Z39" i="30"/>
  <c r="V23" i="30"/>
  <c r="Z23" i="30"/>
  <c r="V15" i="30"/>
  <c r="Z15" i="30"/>
  <c r="V22" i="30"/>
  <c r="Z22" i="30"/>
  <c r="V31" i="30"/>
  <c r="Z31" i="30"/>
  <c r="V19" i="30"/>
  <c r="Z19" i="30"/>
  <c r="V50" i="30"/>
  <c r="Z50" i="30"/>
  <c r="V18" i="30"/>
  <c r="Z18" i="30"/>
  <c r="V14" i="30"/>
  <c r="Z14" i="30"/>
  <c r="V49" i="30"/>
  <c r="Z49" i="30"/>
  <c r="V45" i="30"/>
  <c r="Z45" i="30"/>
  <c r="V41" i="30"/>
  <c r="Z41" i="30"/>
  <c r="V37" i="30"/>
  <c r="Z37" i="30"/>
  <c r="V33" i="30"/>
  <c r="Z33" i="30"/>
  <c r="V29" i="30"/>
  <c r="Z29" i="30"/>
  <c r="V25" i="30"/>
  <c r="Z25" i="30"/>
  <c r="V21" i="30"/>
  <c r="Z21" i="30"/>
  <c r="V17" i="30"/>
  <c r="Z17" i="30"/>
  <c r="V13" i="30"/>
  <c r="Z13" i="30"/>
  <c r="V48" i="30"/>
  <c r="Z48" i="30"/>
  <c r="V44" i="30"/>
  <c r="Z44" i="30"/>
  <c r="V40" i="30"/>
  <c r="Z40" i="30"/>
  <c r="V36" i="30"/>
  <c r="Z36" i="30"/>
  <c r="V32" i="30"/>
  <c r="Z32" i="30"/>
  <c r="V28" i="30"/>
  <c r="Z28" i="30"/>
  <c r="V24" i="30"/>
  <c r="Z24" i="30"/>
  <c r="V20" i="30"/>
  <c r="Z20" i="30"/>
  <c r="V16" i="30"/>
  <c r="Z16" i="30"/>
  <c r="V12" i="30"/>
  <c r="Z12" i="30"/>
  <c r="AC34" i="30"/>
  <c r="AC33" i="30"/>
  <c r="AC32" i="30"/>
  <c r="Z49" i="34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/>
  <c r="C7" i="34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/>
  <c r="Z11" i="30"/>
  <c r="Y11" i="30"/>
  <c r="X11" i="30"/>
  <c r="AA11" i="30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/>
  <c r="K51" i="30"/>
  <c r="AA14" i="30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/>
  <c r="AA16" i="30"/>
  <c r="M37" i="28"/>
  <c r="E5" i="28"/>
  <c r="AA17" i="30"/>
  <c r="AA18" i="30"/>
  <c r="L20" i="12"/>
  <c r="M20" i="12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/>
  <c r="M16" i="23"/>
  <c r="M17" i="23"/>
  <c r="M35" i="23"/>
  <c r="M36" i="23"/>
  <c r="M37" i="23"/>
  <c r="AA20" i="30"/>
  <c r="M14" i="23"/>
  <c r="M13" i="23"/>
  <c r="M11" i="23"/>
  <c r="M12" i="23"/>
  <c r="M15" i="23"/>
  <c r="AA21" i="30"/>
  <c r="M38" i="23"/>
  <c r="L22" i="21"/>
  <c r="M22" i="21"/>
  <c r="AB24" i="16"/>
  <c r="AA24" i="16"/>
  <c r="Z24" i="16"/>
  <c r="AA22" i="30"/>
  <c r="AA23" i="30"/>
  <c r="L21" i="21"/>
  <c r="M21" i="21"/>
  <c r="AB22" i="16"/>
  <c r="AA22" i="16"/>
  <c r="Z22" i="16"/>
  <c r="AA24" i="30"/>
  <c r="AA25" i="30"/>
  <c r="AA26" i="30"/>
  <c r="L20" i="21"/>
  <c r="M20" i="21"/>
  <c r="L19" i="21"/>
  <c r="M19" i="21"/>
  <c r="AB21" i="16"/>
  <c r="AA21" i="16"/>
  <c r="Z21" i="16"/>
  <c r="L18" i="21"/>
  <c r="M18" i="21"/>
  <c r="L11" i="21"/>
  <c r="M11" i="21"/>
  <c r="AA27" i="30"/>
  <c r="AB20" i="16"/>
  <c r="AA20" i="16"/>
  <c r="Z20" i="16"/>
  <c r="AB19" i="16"/>
  <c r="AA19" i="16"/>
  <c r="Z19" i="16"/>
  <c r="AB18" i="16"/>
  <c r="AA18" i="16"/>
  <c r="Z18" i="16"/>
  <c r="AA28" i="30"/>
  <c r="L17" i="21"/>
  <c r="M17" i="21"/>
  <c r="AB17" i="16"/>
  <c r="AA17" i="16"/>
  <c r="Z17" i="16"/>
  <c r="AA29" i="30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/>
  <c r="M16" i="21"/>
  <c r="L16" i="21"/>
  <c r="AA31" i="30"/>
  <c r="M15" i="21"/>
  <c r="L15" i="21"/>
  <c r="M14" i="21"/>
  <c r="L14" i="21"/>
  <c r="M13" i="21"/>
  <c r="L13" i="21"/>
  <c r="L12" i="21"/>
  <c r="M12" i="21"/>
  <c r="AA32" i="30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/>
  <c r="D37" i="6"/>
  <c r="D5" i="36"/>
  <c r="AA33" i="30"/>
  <c r="L9" i="21"/>
  <c r="M9" i="21"/>
  <c r="L17" i="36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/>
  <c r="E5" i="36"/>
  <c r="AA34" i="30"/>
  <c r="G8" i="1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/>
  <c r="AA35" i="30"/>
  <c r="L8" i="21"/>
  <c r="M8" i="21"/>
  <c r="N27" i="38"/>
  <c r="V8" i="4"/>
  <c r="O27" i="38"/>
  <c r="V11" i="4"/>
  <c r="AA36" i="30"/>
  <c r="L7" i="21"/>
  <c r="M7" i="21"/>
  <c r="V6" i="4"/>
  <c r="V12" i="4"/>
  <c r="V14" i="4"/>
  <c r="V10" i="4"/>
  <c r="V13" i="4"/>
  <c r="V7" i="4"/>
  <c r="AA37" i="30"/>
  <c r="V15" i="4"/>
  <c r="AA38" i="30"/>
  <c r="L12" i="12"/>
  <c r="M12" i="12"/>
  <c r="M8" i="12"/>
  <c r="L8" i="12"/>
  <c r="E15" i="21"/>
  <c r="A15" i="21"/>
  <c r="AA39" i="30"/>
  <c r="M6" i="21"/>
  <c r="M3" i="21"/>
  <c r="M4" i="21"/>
  <c r="M5" i="21"/>
  <c r="L5" i="21"/>
  <c r="L3" i="21"/>
  <c r="L4" i="21"/>
  <c r="L6" i="21"/>
  <c r="AA40" i="30"/>
  <c r="AA41" i="30"/>
  <c r="AA42" i="30"/>
  <c r="R6" i="13"/>
  <c r="R5" i="13"/>
  <c r="AA43" i="30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/>
  <c r="R29" i="12"/>
  <c r="S29" i="12"/>
  <c r="Q29" i="12"/>
  <c r="T29" i="12"/>
  <c r="AA45" i="30"/>
  <c r="P29" i="12"/>
  <c r="R30" i="12"/>
  <c r="S30" i="12"/>
  <c r="Q30" i="12"/>
  <c r="AA46" i="30"/>
  <c r="T30" i="12"/>
  <c r="P30" i="12"/>
  <c r="R31" i="12"/>
  <c r="S31" i="12"/>
  <c r="Q31" i="12"/>
  <c r="T31" i="12"/>
  <c r="AA47" i="30"/>
  <c r="P31" i="12"/>
  <c r="R32" i="12"/>
  <c r="S32" i="12"/>
  <c r="Q32" i="12"/>
  <c r="T32" i="12"/>
  <c r="AA48" i="30"/>
  <c r="P32" i="12"/>
  <c r="R33" i="12"/>
  <c r="S33" i="12"/>
  <c r="Q33" i="12"/>
  <c r="T33" i="12"/>
  <c r="AA50" i="30"/>
  <c r="AA49" i="30"/>
  <c r="P33" i="12"/>
  <c r="R34" i="12"/>
  <c r="S34" i="12"/>
  <c r="Q34" i="12"/>
  <c r="T34" i="12"/>
  <c r="AA51" i="30"/>
  <c r="C7" i="30"/>
  <c r="P34" i="12"/>
  <c r="R35" i="12"/>
  <c r="S35" i="12"/>
  <c r="Q35" i="12"/>
  <c r="T35" i="12"/>
  <c r="F23" i="12"/>
  <c r="G23" i="12"/>
  <c r="P35" i="12"/>
  <c r="R36" i="12"/>
  <c r="S36" i="12"/>
  <c r="Q36" i="12"/>
  <c r="T36" i="12"/>
  <c r="P36" i="12"/>
  <c r="R37" i="12"/>
  <c r="S37" i="12"/>
  <c r="Q37" i="12"/>
  <c r="T37" i="12"/>
  <c r="P37" i="12"/>
  <c r="R38" i="12"/>
  <c r="S38" i="12"/>
  <c r="Q38" i="12"/>
  <c r="T38" i="12"/>
  <c r="P38" i="12"/>
  <c r="R39" i="12"/>
  <c r="S39" i="12"/>
  <c r="Q39" i="12"/>
  <c r="T39" i="12"/>
  <c r="P39" i="12"/>
  <c r="R40" i="12"/>
  <c r="S40" i="12"/>
  <c r="Q40" i="12"/>
  <c r="T40" i="12"/>
  <c r="P40" i="12"/>
  <c r="R41" i="12"/>
  <c r="S41" i="12"/>
  <c r="Q41" i="12"/>
  <c r="T41" i="12"/>
  <c r="P41" i="12"/>
  <c r="R42" i="12"/>
  <c r="S42" i="12"/>
  <c r="Q42" i="12"/>
  <c r="T42" i="12"/>
  <c r="R27" i="12"/>
  <c r="S27" i="12"/>
  <c r="P42" i="12"/>
  <c r="D5" i="16"/>
  <c r="C9" i="8"/>
  <c r="C11" i="8"/>
  <c r="M19" i="12"/>
  <c r="F10" i="12"/>
  <c r="F9" i="12"/>
  <c r="F13" i="12"/>
  <c r="F15" i="12"/>
  <c r="F11" i="12"/>
  <c r="F14" i="12"/>
  <c r="F43" i="12"/>
  <c r="L28" i="12"/>
  <c r="F47" i="12"/>
  <c r="G47" i="12"/>
  <c r="F48" i="12"/>
  <c r="G48" i="12"/>
  <c r="F49" i="12"/>
  <c r="G49" i="12"/>
  <c r="F50" i="12"/>
  <c r="G50" i="12"/>
  <c r="F51" i="12"/>
  <c r="G51" i="12"/>
  <c r="F46" i="12"/>
  <c r="F56" i="12"/>
  <c r="F57" i="12"/>
  <c r="G57" i="12"/>
  <c r="F61" i="12"/>
  <c r="G61" i="12"/>
  <c r="L57" i="12"/>
  <c r="G56" i="12"/>
  <c r="L27" i="12"/>
  <c r="F62" i="12"/>
  <c r="D13" i="16"/>
  <c r="D10" i="16"/>
  <c r="D8" i="16"/>
  <c r="D3" i="16"/>
  <c r="M27" i="12"/>
  <c r="M28" i="12"/>
  <c r="G62" i="12"/>
  <c r="L62" i="12"/>
  <c r="C36" i="8"/>
  <c r="I6" i="4"/>
  <c r="I7" i="4"/>
  <c r="I8" i="4"/>
  <c r="I9" i="4"/>
  <c r="I10" i="4"/>
  <c r="E10" i="4"/>
  <c r="I11" i="4"/>
  <c r="I12" i="4"/>
  <c r="I13" i="4"/>
  <c r="I14" i="4"/>
  <c r="E14" i="4"/>
  <c r="I15" i="4"/>
  <c r="E15" i="4"/>
  <c r="I16" i="4"/>
  <c r="I17" i="4"/>
  <c r="I18" i="4"/>
  <c r="Q28" i="12"/>
  <c r="Q27" i="12"/>
  <c r="R12" i="4"/>
  <c r="Q10" i="4"/>
  <c r="R10" i="4"/>
  <c r="R14" i="4"/>
  <c r="Q14" i="4"/>
  <c r="Q15" i="4"/>
  <c r="R15" i="4"/>
  <c r="T28" i="12"/>
  <c r="P28" i="12"/>
  <c r="T27" i="12"/>
  <c r="U27" i="12"/>
  <c r="Q25" i="12"/>
  <c r="P27" i="12"/>
  <c r="F19" i="4"/>
  <c r="C19" i="8"/>
  <c r="S10" i="4"/>
  <c r="S14" i="4"/>
  <c r="S15" i="4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G15" i="4"/>
  <c r="G18" i="4"/>
  <c r="G14" i="4"/>
  <c r="G12" i="4"/>
  <c r="G7" i="4"/>
  <c r="G17" i="4"/>
  <c r="G9" i="4"/>
  <c r="G10" i="4"/>
  <c r="Y3" i="18"/>
  <c r="X3" i="18"/>
  <c r="T25" i="12"/>
  <c r="G19" i="4"/>
  <c r="AA3" i="18"/>
  <c r="Z2" i="18"/>
  <c r="AA4" i="18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/>
  <c r="G46" i="12"/>
  <c r="L7" i="4"/>
  <c r="K9" i="12"/>
  <c r="K12" i="12"/>
  <c r="K8" i="12"/>
  <c r="K14" i="12"/>
  <c r="C14" i="12"/>
  <c r="K13" i="12"/>
  <c r="C13" i="12"/>
  <c r="K10" i="12"/>
  <c r="C10" i="12"/>
  <c r="K11" i="12"/>
  <c r="C11" i="12"/>
  <c r="K15" i="12"/>
  <c r="C15" i="12"/>
  <c r="P33" i="15"/>
  <c r="Q33" i="15"/>
  <c r="P65" i="15"/>
  <c r="Q65" i="15"/>
  <c r="P73" i="15"/>
  <c r="Q73" i="15"/>
  <c r="P81" i="15"/>
  <c r="Q81" i="15"/>
  <c r="P89" i="15"/>
  <c r="Q89" i="15"/>
  <c r="P91" i="15"/>
  <c r="Q91" i="15"/>
  <c r="P93" i="15"/>
  <c r="Q93" i="15"/>
  <c r="P105" i="15"/>
  <c r="Q105" i="15"/>
  <c r="P113" i="15"/>
  <c r="Q113" i="15"/>
  <c r="P121" i="15"/>
  <c r="Q121" i="15"/>
  <c r="P123" i="15"/>
  <c r="Q123" i="15"/>
  <c r="P125" i="15"/>
  <c r="Q125" i="15"/>
  <c r="P127" i="15"/>
  <c r="Q127" i="15"/>
  <c r="P129" i="15"/>
  <c r="Q129" i="15"/>
  <c r="P137" i="15"/>
  <c r="Q137" i="15"/>
  <c r="P145" i="15"/>
  <c r="Q145" i="15"/>
  <c r="P147" i="15"/>
  <c r="Q147" i="15"/>
  <c r="P149" i="15"/>
  <c r="Q149" i="15"/>
  <c r="P151" i="15"/>
  <c r="Q151" i="15"/>
  <c r="P161" i="15"/>
  <c r="Q161" i="15"/>
  <c r="P163" i="15"/>
  <c r="Q163" i="15"/>
  <c r="P165" i="15"/>
  <c r="Q165" i="15"/>
  <c r="P53" i="15"/>
  <c r="Q53" i="15"/>
  <c r="P54" i="15"/>
  <c r="Q54" i="15"/>
  <c r="P11" i="15"/>
  <c r="Q11" i="15"/>
  <c r="P23" i="15"/>
  <c r="Q23" i="15"/>
  <c r="P41" i="15"/>
  <c r="Q41" i="15"/>
  <c r="P49" i="15"/>
  <c r="Q49" i="15"/>
  <c r="P57" i="15"/>
  <c r="Q57" i="15"/>
  <c r="P59" i="15"/>
  <c r="Q59" i="15"/>
  <c r="P63" i="15"/>
  <c r="Q63" i="15"/>
  <c r="P86" i="15"/>
  <c r="Q86" i="15"/>
  <c r="P110" i="15"/>
  <c r="Q110" i="15"/>
  <c r="P118" i="15"/>
  <c r="Q118" i="15"/>
  <c r="P142" i="15"/>
  <c r="Q142" i="15"/>
  <c r="P153" i="15"/>
  <c r="Q153" i="15"/>
  <c r="P158" i="15"/>
  <c r="Q158" i="15"/>
  <c r="P16" i="15"/>
  <c r="Q16" i="15"/>
  <c r="P25" i="15"/>
  <c r="Q25" i="15"/>
  <c r="P27" i="15"/>
  <c r="Q27" i="15"/>
  <c r="P31" i="15"/>
  <c r="Q31" i="15"/>
  <c r="P97" i="15"/>
  <c r="Q97" i="15"/>
  <c r="P14" i="15"/>
  <c r="Q14" i="15"/>
  <c r="P37" i="15"/>
  <c r="Q37" i="15"/>
  <c r="P38" i="15"/>
  <c r="Q38" i="15"/>
  <c r="P43" i="15"/>
  <c r="Q43" i="15"/>
  <c r="P47" i="15"/>
  <c r="Q47" i="15"/>
  <c r="P69" i="15"/>
  <c r="Q69" i="15"/>
  <c r="P70" i="15"/>
  <c r="Q70" i="15"/>
  <c r="P75" i="15"/>
  <c r="Q75" i="15"/>
  <c r="P79" i="15"/>
  <c r="Q79" i="15"/>
  <c r="P102" i="15"/>
  <c r="Q102" i="15"/>
  <c r="P108" i="15"/>
  <c r="Q108" i="15"/>
  <c r="P109" i="15"/>
  <c r="Q109" i="15"/>
  <c r="P111" i="15"/>
  <c r="Q111" i="15"/>
  <c r="P139" i="15"/>
  <c r="Q139" i="15"/>
  <c r="P141" i="15"/>
  <c r="Q141" i="15"/>
  <c r="P143" i="15"/>
  <c r="Q143" i="15"/>
  <c r="P13" i="15"/>
  <c r="Q13" i="15"/>
  <c r="P20" i="15"/>
  <c r="Q20" i="15"/>
  <c r="P22" i="15"/>
  <c r="Q22" i="15"/>
  <c r="P24" i="15"/>
  <c r="Q24" i="15"/>
  <c r="P45" i="15"/>
  <c r="Q45" i="15"/>
  <c r="P46" i="15"/>
  <c r="Q46" i="15"/>
  <c r="P51" i="15"/>
  <c r="Q51" i="15"/>
  <c r="P55" i="15"/>
  <c r="Q55" i="15"/>
  <c r="P77" i="15"/>
  <c r="Q77" i="15"/>
  <c r="P78" i="15"/>
  <c r="Q78" i="15"/>
  <c r="P83" i="15"/>
  <c r="Q83" i="15"/>
  <c r="P85" i="15"/>
  <c r="Q85" i="15"/>
  <c r="P87" i="15"/>
  <c r="Q87" i="15"/>
  <c r="P115" i="15"/>
  <c r="Q115" i="15"/>
  <c r="P117" i="15"/>
  <c r="Q117" i="15"/>
  <c r="P119" i="15"/>
  <c r="Q119" i="15"/>
  <c r="P95" i="15"/>
  <c r="Q95" i="15"/>
  <c r="P128" i="15"/>
  <c r="Q128" i="15"/>
  <c r="P150" i="15"/>
  <c r="Q150" i="15"/>
  <c r="P155" i="15"/>
  <c r="Q155" i="15"/>
  <c r="P157" i="15"/>
  <c r="Q157" i="15"/>
  <c r="P159" i="15"/>
  <c r="Q159" i="15"/>
  <c r="P18" i="15"/>
  <c r="Q18" i="15"/>
  <c r="P29" i="15"/>
  <c r="Q29" i="15"/>
  <c r="P30" i="15"/>
  <c r="Q30" i="15"/>
  <c r="P35" i="15"/>
  <c r="Q35" i="15"/>
  <c r="P39" i="15"/>
  <c r="Q39" i="15"/>
  <c r="P61" i="15"/>
  <c r="Q61" i="15"/>
  <c r="P62" i="15"/>
  <c r="Q62" i="15"/>
  <c r="P67" i="15"/>
  <c r="Q67" i="15"/>
  <c r="P71" i="15"/>
  <c r="Q71" i="15"/>
  <c r="P94" i="15"/>
  <c r="Q94" i="15"/>
  <c r="P99" i="15"/>
  <c r="Q99" i="15"/>
  <c r="P101" i="15"/>
  <c r="Q101" i="15"/>
  <c r="P103" i="15"/>
  <c r="Q103" i="15"/>
  <c r="P131" i="15"/>
  <c r="Q131" i="15"/>
  <c r="P133" i="15"/>
  <c r="Q133" i="15"/>
  <c r="P135" i="15"/>
  <c r="Q135" i="15"/>
  <c r="J6" i="4"/>
  <c r="C6" i="4"/>
  <c r="K6" i="4"/>
  <c r="J8" i="4"/>
  <c r="C8" i="4"/>
  <c r="K8" i="4"/>
  <c r="J10" i="4"/>
  <c r="J12" i="4"/>
  <c r="C12" i="4"/>
  <c r="Q12" i="4"/>
  <c r="J14" i="4"/>
  <c r="J16" i="4"/>
  <c r="C16" i="4"/>
  <c r="K16" i="4"/>
  <c r="J18" i="4"/>
  <c r="C18" i="4"/>
  <c r="Q18" i="4"/>
  <c r="J7" i="4"/>
  <c r="C7" i="4"/>
  <c r="Q7" i="4"/>
  <c r="J9" i="4"/>
  <c r="J11" i="4"/>
  <c r="J13" i="4"/>
  <c r="J15" i="4"/>
  <c r="J17" i="4"/>
  <c r="C17" i="4"/>
  <c r="Q17" i="4"/>
  <c r="P19" i="15"/>
  <c r="Q19" i="15"/>
  <c r="P26" i="15"/>
  <c r="Q26" i="15"/>
  <c r="P34" i="15"/>
  <c r="Q34" i="15"/>
  <c r="P42" i="15"/>
  <c r="Q42" i="15"/>
  <c r="P50" i="15"/>
  <c r="Q50" i="15"/>
  <c r="P58" i="15"/>
  <c r="Q58" i="15"/>
  <c r="P66" i="15"/>
  <c r="Q66" i="15"/>
  <c r="P74" i="15"/>
  <c r="Q74" i="15"/>
  <c r="P82" i="15"/>
  <c r="Q82" i="15"/>
  <c r="P90" i="15"/>
  <c r="Q90" i="15"/>
  <c r="P98" i="15"/>
  <c r="Q98" i="15"/>
  <c r="P106" i="15"/>
  <c r="Q106" i="15"/>
  <c r="P107" i="15"/>
  <c r="Q107" i="15"/>
  <c r="P114" i="15"/>
  <c r="Q114" i="15"/>
  <c r="P122" i="15"/>
  <c r="Q122" i="15"/>
  <c r="P132" i="15"/>
  <c r="Q132" i="15"/>
  <c r="P146" i="15"/>
  <c r="Q146" i="15"/>
  <c r="P154" i="15"/>
  <c r="Q154" i="15"/>
  <c r="P162" i="15"/>
  <c r="Q162" i="15"/>
  <c r="P21" i="15"/>
  <c r="Q21" i="15"/>
  <c r="P28" i="15"/>
  <c r="Q28" i="15"/>
  <c r="P36" i="15"/>
  <c r="Q36" i="15"/>
  <c r="P44" i="15"/>
  <c r="Q44" i="15"/>
  <c r="P52" i="15"/>
  <c r="Q52" i="15"/>
  <c r="P60" i="15"/>
  <c r="Q60" i="15"/>
  <c r="P68" i="15"/>
  <c r="Q68" i="15"/>
  <c r="P76" i="15"/>
  <c r="Q76" i="15"/>
  <c r="P84" i="15"/>
  <c r="Q84" i="15"/>
  <c r="P92" i="15"/>
  <c r="Q92" i="15"/>
  <c r="P100" i="15"/>
  <c r="Q100" i="15"/>
  <c r="P116" i="15"/>
  <c r="Q116" i="15"/>
  <c r="P124" i="15"/>
  <c r="Q124" i="15"/>
  <c r="P126" i="15"/>
  <c r="Q126" i="15"/>
  <c r="P134" i="15"/>
  <c r="Q134" i="15"/>
  <c r="P140" i="15"/>
  <c r="Q140" i="15"/>
  <c r="P148" i="15"/>
  <c r="Q148" i="15"/>
  <c r="P156" i="15"/>
  <c r="Q156" i="15"/>
  <c r="P164" i="15"/>
  <c r="Q164" i="15"/>
  <c r="P166" i="15"/>
  <c r="Q166" i="15"/>
  <c r="P15" i="15"/>
  <c r="Q15" i="15"/>
  <c r="P12" i="15"/>
  <c r="Q12" i="15"/>
  <c r="P17" i="15"/>
  <c r="Q17" i="15"/>
  <c r="P32" i="15"/>
  <c r="Q32" i="15"/>
  <c r="P40" i="15"/>
  <c r="Q40" i="15"/>
  <c r="P48" i="15"/>
  <c r="Q48" i="15"/>
  <c r="P56" i="15"/>
  <c r="Q56" i="15"/>
  <c r="P64" i="15"/>
  <c r="Q64" i="15"/>
  <c r="P72" i="15"/>
  <c r="Q72" i="15"/>
  <c r="P80" i="15"/>
  <c r="Q80" i="15"/>
  <c r="P88" i="15"/>
  <c r="Q88" i="15"/>
  <c r="P96" i="15"/>
  <c r="Q96" i="15"/>
  <c r="P104" i="15"/>
  <c r="Q104" i="15"/>
  <c r="P112" i="15"/>
  <c r="Q112" i="15"/>
  <c r="P120" i="15"/>
  <c r="Q120" i="15"/>
  <c r="P130" i="15"/>
  <c r="Q130" i="15"/>
  <c r="P136" i="15"/>
  <c r="Q136" i="15"/>
  <c r="P138" i="15"/>
  <c r="Q138" i="15"/>
  <c r="P144" i="15"/>
  <c r="Q144" i="15"/>
  <c r="P152" i="15"/>
  <c r="Q152" i="15"/>
  <c r="P160" i="15"/>
  <c r="Q160" i="15"/>
  <c r="C25" i="5"/>
  <c r="D25" i="5"/>
  <c r="C23" i="5"/>
  <c r="D23" i="5"/>
  <c r="C21" i="5"/>
  <c r="D21" i="5"/>
  <c r="C6" i="5"/>
  <c r="D6" i="5"/>
  <c r="C8" i="5"/>
  <c r="D8" i="5"/>
  <c r="C10" i="5"/>
  <c r="D10" i="5"/>
  <c r="C12" i="5"/>
  <c r="D12" i="5"/>
  <c r="C14" i="5"/>
  <c r="D14" i="5"/>
  <c r="C16" i="5"/>
  <c r="D16" i="5"/>
  <c r="C24" i="5"/>
  <c r="D24" i="5"/>
  <c r="C22" i="5"/>
  <c r="D22" i="5"/>
  <c r="C20" i="5"/>
  <c r="D20" i="5"/>
  <c r="C7" i="5"/>
  <c r="D7" i="5"/>
  <c r="C9" i="5"/>
  <c r="D9" i="5"/>
  <c r="C11" i="5"/>
  <c r="D11" i="5"/>
  <c r="C13" i="5"/>
  <c r="D13" i="5"/>
  <c r="C15" i="5"/>
  <c r="D15" i="5"/>
  <c r="C17" i="5"/>
  <c r="D17" i="5"/>
  <c r="C5" i="5"/>
  <c r="D5" i="5"/>
  <c r="F52" i="12"/>
  <c r="E7" i="4"/>
  <c r="L10" i="12"/>
  <c r="L14" i="12"/>
  <c r="C9" i="12"/>
  <c r="L9" i="12"/>
  <c r="L11" i="12"/>
  <c r="R7" i="4"/>
  <c r="L12" i="4"/>
  <c r="E12" i="4"/>
  <c r="L14" i="4"/>
  <c r="L17" i="4"/>
  <c r="R17" i="4"/>
  <c r="E17" i="4"/>
  <c r="L15" i="4"/>
  <c r="L6" i="4"/>
  <c r="L10" i="4"/>
  <c r="J15" i="12"/>
  <c r="J14" i="12"/>
  <c r="J13" i="12"/>
  <c r="L9" i="4"/>
  <c r="L16" i="4"/>
  <c r="L11" i="4"/>
  <c r="L18" i="4"/>
  <c r="R18" i="4"/>
  <c r="E18" i="4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/>
  <c r="L15" i="12"/>
  <c r="C11" i="4"/>
  <c r="K11" i="4"/>
  <c r="C13" i="4"/>
  <c r="K13" i="4"/>
  <c r="L13" i="12"/>
  <c r="C9" i="4"/>
  <c r="C14" i="4"/>
  <c r="K14" i="4"/>
  <c r="C10" i="4"/>
  <c r="K10" i="4"/>
  <c r="D5" i="15"/>
  <c r="K7" i="4"/>
  <c r="K18" i="4"/>
  <c r="K17" i="4"/>
  <c r="K12" i="4"/>
  <c r="G52" i="12"/>
  <c r="L52" i="12"/>
  <c r="G19" i="12"/>
  <c r="F19" i="12"/>
  <c r="E9" i="4"/>
  <c r="R9" i="4"/>
  <c r="K9" i="4"/>
  <c r="Q9" i="4"/>
  <c r="S7" i="4"/>
  <c r="R19" i="4"/>
  <c r="Q19" i="4"/>
  <c r="S17" i="4"/>
  <c r="S9" i="4"/>
  <c r="S18" i="4"/>
  <c r="S12" i="4"/>
  <c r="E19" i="4"/>
  <c r="D24" i="8"/>
  <c r="D22" i="8"/>
  <c r="C26" i="8"/>
  <c r="D23" i="8"/>
  <c r="E5" i="23"/>
  <c r="N19" i="12"/>
  <c r="F21" i="12"/>
  <c r="G21" i="12"/>
  <c r="L17" i="12"/>
  <c r="M17" i="12"/>
  <c r="N17" i="12"/>
  <c r="F17" i="12"/>
  <c r="F24" i="12"/>
  <c r="G17" i="12"/>
  <c r="G24" i="12"/>
  <c r="L24" i="12"/>
  <c r="D5" i="12"/>
  <c r="C29" i="8"/>
  <c r="D32" i="8"/>
  <c r="C34" i="8"/>
  <c r="C38" i="8"/>
  <c r="C44" i="8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<sst xmlns="http://schemas.openxmlformats.org/spreadsheetml/2006/main" count="1873" uniqueCount="504">
  <si>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</si>
  <si>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</si>
  <si>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</si>
  <si>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</si>
  <si>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</si>
  <si>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</si>
  <si>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</si>
  <si>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</si>
  <si>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</si>
  <si>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</si>
  <si>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</si>
  <si>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</si>
  <si>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</si>
  <si>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</si>
  <si>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</si>
  <si>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</si>
  <si>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</si>
  <si>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</si>
  <si>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</si>
  <si>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</si>
  <si>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</si>
  <si>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</si>
  <si>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</si>
  <si>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</si>
  <si>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</si>
  <si>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</si>
  <si>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</si>
  <si>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</si>
  <si>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</si>
  <si>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</si>
  <si>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</si>
  <si>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</si>
  <si>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</si>
  <si>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</si>
  <si>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</si>
  <si>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</si>
  <si>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</si>
  <si>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</si>
  <si>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</si>
  <si>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</si>
  <si>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</si>
  <si>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</si>
  <si>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</si>
  <si>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</si>
  <si>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</si>
  <si>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</si>
  <si>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</si>
  <si>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</si>
  <si>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</si>
  <si>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</si>
  <si>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</si>
  <si>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</si>
  <si>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</si>
  <si>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</si>
  <si>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</si>
  <si>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</si>
  <si>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</si>
  <si>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</si>
  <si>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</si>
  <si>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</si>
  <si>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</si>
  <si>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</si>
  <si>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</si>
  <si>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</si>
  <si>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</si>
  <si>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</si>
  <si>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</si>
  <si>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</si>
  <si>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</si>
  <si>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</si>
  <si>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</si>
  <si>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</si>
  <si>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</si>
  <si>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</si>
  <si>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</si>
  <si>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</si>
  <si>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</si>
  <si>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</si>
  <si>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</si>
  <si>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</si>
  <si>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</si>
  <si>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</si>
  <si>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</si>
  <si>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</si>
  <si>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</si>
  <si>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</si>
  <si>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</si>
  <si>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</si>
  <si>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</si>
  <si>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</si>
  <si>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</si>
  <si>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</si>
  <si>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</si>
  <si>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</si>
  <si>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</si>
  <si>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</si>
  <si>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</si>
  <si>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</si>
  <si>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</si>
  <si>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</si>
  <si>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</si>
  <si>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</si>
  <si>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</si>
  <si>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</si>
  <si>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</si>
  <si>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</si>
  <si>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</si>
  <si>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</si>
  <si>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</si>
  <si>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</si>
  <si>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</si>
  <si>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</si>
  <si>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</si>
  <si>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</si>
  <si>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</si>
  <si>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</si>
  <si>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</si>
  <si>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</si>
  <si>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</si>
  <si>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</si>
  <si>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</si>
  <si>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</si>
  <si>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</si>
  <si>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</si>
  <si>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</si>
  <si>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</si>
  <si>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</si>
  <si>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</si>
  <si>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</si>
  <si>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</si>
  <si>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</si>
  <si>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</si>
  <si>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</si>
  <si>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</si>
  <si>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</si>
  <si>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</si>
  <si>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</si>
  <si>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</si>
  <si>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</si>
  <si>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</si>
  <si>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</si>
  <si>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</si>
  <si>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</si>
  <si>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</si>
  <si>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</si>
  <si>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</si>
  <si>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</si>
  <si>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</si>
  <si>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</si>
  <si>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</si>
  <si>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</si>
  <si>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</si>
  <si>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</si>
  <si>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</si>
  <si>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</si>
  <si>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</si>
  <si>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</si>
  <si>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</si>
  <si>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</si>
  <si>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</si>
  <si>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</si>
  <si>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</si>
  <si>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</si>
  <si>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</si>
  <si>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</si>
  <si>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</si>
  <si>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</si>
  <si>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</si>
  <si>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</si>
  <si>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</si>
  <si>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</si>
  <si>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</si>
  <si>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</si>
  <si>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</si>
  <si>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</si>
  <si>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</si>
  <si>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</si>
  <si>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</si>
  <si>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</si>
  <si>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</si>
  <si>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</si>
  <si>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</si>
  <si>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</si>
  <si>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</si>
  <si>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</si>
  <si>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</si>
  <si>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</si>
  <si>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</si>
  <si>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</si>
  <si>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</si>
  <si>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</si>
  <si>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</si>
  <si>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</si>
  <si>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</si>
  <si>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</si>
  <si>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</si>
  <si>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</si>
  <si>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</si>
  <si>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</si>
  <si>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</si>
  <si>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</si>
  <si>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</si>
  <si>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</si>
  <si>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</si>
  <si>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</si>
  <si>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</si>
  <si>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</si>
  <si>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</si>
  <si>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</si>
  <si>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</si>
  <si>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</si>
  <si>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</si>
  <si>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</si>
  <si>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</si>
  <si>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</si>
  <si>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</si>
  <si>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</si>
  <si>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</si>
  <si>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</si>
  <si>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</si>
  <si>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</si>
  <si>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</si>
  <si>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</si>
  <si>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</si>
  <si>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</si>
  <si>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</si>
  <si>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</si>
  <si>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</si>
  <si>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</si>
  <si>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</si>
  <si>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</si>
  <si>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</si>
  <si>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</si>
  <si>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</si>
  <si>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</si>
  <si>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</si>
  <si>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</si>
  <si>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</si>
  <si>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</si>
  <si>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</si>
  <si>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</si>
  <si>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</si>
  <si>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</si>
  <si>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</si>
  <si>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</si>
  <si>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</si>
  <si>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</si>
  <si>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</si>
  <si>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</si>
  <si>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</si>
  <si>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</si>
  <si>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</si>
  <si>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</si>
  <si>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</si>
  <si>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</si>
  <si>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</si>
  <si>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</si>
  <si>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</si>
  <si>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</si>
  <si>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</si>
  <si>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</si>
  <si>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</si>
  <si>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</si>
  <si>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</si>
  <si>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</si>
  <si>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</si>
  <si>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</si>
  <si>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</si>
  <si>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</si>
  <si>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</si>
  <si>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</si>
  <si>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</si>
  <si>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</si>
  <si>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</si>
  <si>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</si>
  <si>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</si>
  <si>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</si>
  <si>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</si>
  <si>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</si>
  <si>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</si>
  <si>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</si>
  <si>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</si>
  <si>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</si>
  <si>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</si>
  <si>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</si>
  <si>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</si>
  <si>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</si>
  <si>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</si>
  <si>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</si>
  <si>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</si>
  <si>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</si>
  <si>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</si>
  <si>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</si>
  <si>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</si>
  <si>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</si>
  <si>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</si>
  <si>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</si>
  <si>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</si>
  <si>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</si>
  <si>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</si>
  <si>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</si>
  <si>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</si>
  <si>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</si>
  <si>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</si>
  <si>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</si>
  <si>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</si>
  <si>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</si>
  <si>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</si>
  <si>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</si>
  <si>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</si>
  <si>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</si>
  <si>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</si>
  <si>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</si>
  <si>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</si>
  <si>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</si>
  <si>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</si>
  <si>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</si>
  <si>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</si>
  <si>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</si>
  <si>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</si>
  <si>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</si>
  <si>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</si>
  <si>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</si>
  <si>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</si>
  <si>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</si>
  <si>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</si>
  <si>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</si>
  <si>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</si>
  <si>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</si>
  <si>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</si>
  <si>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</si>
  <si>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</si>
  <si>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</si>
  <si>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</si>
  <si>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</si>
  <si>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</si>
  <si>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</si>
  <si>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</si>
  <si>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</si>
  <si>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</si>
  <si>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</si>
  <si>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</si>
  <si>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</si>
  <si>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</si>
  <si>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</si>
  <si>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</si>
  <si>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</si>
  <si>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</si>
  <si>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</si>
  <si>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</si>
  <si>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</si>
  <si>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</si>
  <si>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</si>
  <si>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</si>
  <si>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</si>
  <si>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</si>
  <si>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</si>
  <si>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</si>
  <si>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</si>
  <si>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</si>
  <si>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</si>
  <si>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</si>
  <si>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</si>
  <si>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</si>
  <si>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</si>
  <si>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</si>
  <si>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</si>
  <si>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</si>
  <si>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</si>
  <si>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</si>
  <si>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</si>
  <si>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</si>
  <si>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</si>
  <si>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</si>
  <si>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</si>
  <si>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</si>
  <si>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</si>
  <si>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</si>
  <si>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</si>
  <si>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</si>
  <si>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</si>
  <si>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</si>
  <si>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</si>
  <si>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</si>
  <si>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</si>
  <si>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</si>
  <si>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</si>
  <si>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</si>
  <si>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</si>
  <si>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</si>
  <si>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</si>
  <si>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</si>
  <si>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</si>
  <si>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</si>
  <si>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</si>
  <si>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</si>
  <si>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</si>
  <si>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</si>
  <si>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</si>
  <si>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</si>
  <si>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</si>
  <si>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</si>
  <si>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</si>
  <si>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</si>
  <si>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</si>
  <si>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</si>
  <si>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</si>
  <si>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</si>
  <si>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</si>
  <si>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</si>
  <si>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</si>
  <si>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</si>
  <si>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</si>
  <si>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</si>
  <si>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</si>
  <si>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</si>
  <si>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</si>
  <si>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</si>
  <si>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</si>
  <si>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</si>
  <si>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</si>
  <si>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</si>
  <si>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</si>
  <si>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</si>
  <si>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</si>
  <si>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</si>
  <si>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</si>
  <si>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</si>
  <si>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</si>
  <si>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</si>
  <si>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</si>
  <si>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</si>
  <si>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</si>
  <si>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</si>
  <si>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</si>
  <si>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</si>
  <si>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</si>
  <si>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</si>
  <si>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</si>
  <si>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</si>
  <si>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</si>
  <si>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</si>
  <si>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</si>
  <si>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</si>
  <si>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</si>
  <si>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</si>
  <si>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</si>
  <si>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</si>
  <si>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</si>
  <si>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</si>
  <si>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</si>
  <si>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</si>
  <si>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</si>
  <si>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</si>
  <si>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</si>
  <si>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</si>
  <si>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</si>
  <si>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</si>
  <si>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</si>
  <si>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</si>
  <si>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</si>
  <si>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</si>
  <si>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</si>
  <si>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</si>
  <si>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</si>
  <si>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</si>
  <si>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</si>
  <si>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</si>
  <si>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</si>
  <si>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</si>
  <si>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</si>
  <si>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</si>
  <si>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</si>
  <si>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</si>
  <si>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</si>
  <si>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</si>
  <si>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</si>
  <si>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</si>
  <si>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</si>
  <si>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</si>
  <si>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</si>
  <si>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</si>
  <si>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</si>
  <si>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</si>
  <si>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</si>
  <si>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</si>
  <si>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</si>
  <si>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</si>
  <si>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</si>
  <si>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</si>
  <si>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</si>
  <si>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</si>
  <si>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</si>
  <si>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</si>
  <si>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PKE 24588 Corrigir faturas c cdrs arquivados não migrados em status disputa</t>
  </si>
  <si>
    <t>Processo para alterar ADJ.REQUEST_STATUS</t>
  </si>
  <si>
    <t>DSOL referente ao processo de alteração de
status</t>
  </si>
  <si>
    <t>Referente ao novo relatório                                                                       "Rel_Itens_disputa_YYYYMMDD_HHMISS.csv"</t>
  </si>
  <si>
    <t>CDR_DATA
BILL_INVOICE_DETAIL
DESCRIPTIONS
ADJ</t>
  </si>
  <si>
    <t xml:space="preserve">      Account_no
         Conta fatura
         Nome do cliente
         UF  
         Bill_ref_no
         bill_invoice_row
          DESCRIPTION_TEXT
         Data do serviço 
Valor do CDR
         Data da contestação
         Usuário contestação </t>
  </si>
  <si>
    <t>ET  referente ao processo de alteração de
status</t>
  </si>
  <si>
    <t>CTTU  referente ao processo de alteração de
status</t>
  </si>
  <si>
    <t>TS  referente ao processo de alteração de
status</t>
  </si>
  <si>
    <t>IMP  referente ao processo de alteração de
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</si>
</sst>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8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22"/>
    <tableColumn id="2" name="Nome da Função" dataDxfId="194" totalsRowDxfId="21" dataCellStyle="Normal 6"/>
    <tableColumn id="3" name="Tipo de Manutenção" dataDxfId="193" totalsRowDxfId="20" dataCellStyle="Normal 6"/>
    <tableColumn id="4" name="Tipo de Função" dataDxfId="192" totalsRowDxfId="19" dataCellStyle="Normal 6"/>
    <tableColumn id="5" name="Qtde Registros Lógicos/ Arquivos Referenciados" dataDxfId="191" totalsRowDxfId="18" dataCellStyle="Normal 6"/>
    <tableColumn id="6" name="Qtde de Itens" dataDxfId="190" totalsRowDxfId="17" dataCellStyle="Normal 6"/>
    <tableColumn id="11" name="Descrição dos Registros Lógicos/Arquivos Referenciados" dataDxfId="189" totalsRowDxfId="16" dataCellStyle="Normal 6"/>
    <tableColumn id="10" name="Descrição dos Itens de Dados" dataDxfId="188" totalsRowDxfId="15" dataCellStyle="Normal 6"/>
    <tableColumn id="7" name="Complexidade" dataDxfId="187" totalsRowDxfId="14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86" totalsRowDxfId="13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85" totalsRowDxfId="12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84" totalsRowDxfId="11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83" dataDxfId="181" totalsRowDxfId="179" headerRowBorderDxfId="182" tableBorderDxfId="180" totalsRowBorderDxfId="178">
  <autoFilter ref="B6:P26"/>
  <tableColumns count="15">
    <tableColumn id="1" name="Fronteira" totalsRowLabel="Total" dataDxfId="177" totalsRowDxfId="176"/>
    <tableColumn id="10" name="Analogia" dataDxfId="175" totalsRowDxfId="174" dataCellStyle="Normal 6"/>
    <tableColumn id="2" name="Nome da Função" dataDxfId="173" totalsRowDxfId="172" dataCellStyle="Normal 6"/>
    <tableColumn id="3" name="Tipo de Manutenção" dataDxfId="171" totalsRowDxfId="170" dataCellStyle="Normal 6"/>
    <tableColumn id="4" name="Tipo de Função" dataDxfId="169" totalsRowDxfId="168" dataCellStyle="Normal 6"/>
    <tableColumn id="5" name="Qtde Registros Lógicos/ Arquivos Referenciados" dataDxfId="167" totalsRowDxfId="166" dataCellStyle="Normal 6"/>
    <tableColumn id="6" name="Qtde de Itens" dataDxfId="165" totalsRowDxfId="164" dataCellStyle="Normal 6"/>
    <tableColumn id="13" name="Descrição dos Registros Lógicos/Arquivos Referenciados" dataDxfId="163" totalsRowDxfId="162" dataCellStyle="Normal 6"/>
    <tableColumn id="12" name="Descrição dos Itens de Dados" dataDxfId="161" totalsRowDxfId="160" dataCellStyle="Normal 6"/>
    <tableColumn id="7" name="Complexidade" dataDxfId="159" totalsRowDxfId="158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57" totalsRowDxfId="156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55" totalsRowDxfId="154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53" totalsRowDxfId="152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51" totalsRowDxfId="150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49" totalsRowDxfId="148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47" dataDxfId="145" totalsRowDxfId="143" headerRowBorderDxfId="146" tableBorderDxfId="144" headerRowCellStyle="Normal 6">
  <autoFilter ref="B5:L18"/>
  <tableColumns count="11">
    <tableColumn id="8" name="Id" dataDxfId="142" totalsRowDxfId="10"/>
    <tableColumn id="1" name="Fases do Ciclo de Vida / Artefatos" totalsRowLabel="Total" dataDxfId="141" totalsRowDxfId="9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40" totalsRowDxfId="8" dataCellStyle="Normal 5"/>
    <tableColumn id="3" name="Esforço em Horas (calculado)" totalsRowFunction="custom" dataDxfId="139" totalsRowDxfId="7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38" totalsRowDxfId="6" dataCellStyle="Normal 5"/>
    <tableColumn id="5" name="Percentual Calculado da Fase" totalsRowFunction="sum" dataDxfId="137" totalsRowDxfId="5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36" totalsRowDxfId="4" dataCellStyle="Normal 5">
      <calculatedColumnFormula>(Pontos_APF+IF(EsforcoFases[[#This Row],[Man Cosmetica Especial]]=FALSE,Pontos_Analogia,Pontos_Analogia_SemFatorImpacto))*0</calculatedColumnFormula>
    </tableColumn>
    <tableColumn id="7" name="checks" dataDxfId="135" totalsRowDxfId="3">
      <calculatedColumnFormula>IF(EsforcoFases[[#This Row],[Contratação]]=Sim,TRUE,FALSE)</calculatedColumnFormula>
    </tableColumn>
    <tableColumn id="9" name="Ativ. Fabrica Testes" dataDxfId="134" totalsRowDxfId="2">
      <calculatedColumnFormula>AND(FabricaTestes,VLOOKUP(B6,PercentuaisFases[],VLOOKUP(Fornecedor,MapFasesFornecedores[#All],4,FALSE),FALSE))</calculatedColumnFormula>
    </tableColumn>
    <tableColumn id="10" name="Max" dataDxfId="133" totalsRowDxfId="1">
      <calculatedColumnFormula>IF(C6="",0)</calculatedColumnFormula>
    </tableColumn>
    <tableColumn id="11" name="Man Cosmetica Especial" dataDxfId="132" totalsRowDxfId="0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31" dataDxfId="129" headerRowBorderDxfId="130" tableBorderDxfId="128" totalsRowBorderDxfId="127" headerRowCellStyle="Normal 6" dataCellStyle="Normal 9">
  <autoFilter ref="B4:L40"/>
  <tableColumns count="11">
    <tableColumn id="1" name="Nome Sistema ou Tecnologia" dataDxfId="126" dataCellStyle="Normal 9"/>
    <tableColumn id="2" name="Produtividade Inclusão" dataDxfId="125" dataCellStyle="Normal 9"/>
    <tableColumn id="10" name="Produtividade Alteração" dataDxfId="124" dataCellStyle="Normal 9">
      <calculatedColumnFormula>Produtividades[[#This Row],[Produtividade Inclusão]]</calculatedColumnFormula>
    </tableColumn>
    <tableColumn id="11" name="Produtividade Exclusão" dataDxfId="123" dataCellStyle="Normal 9">
      <calculatedColumnFormula>Produtividades[[#This Row],[Produtividade Inclusão]]</calculatedColumnFormula>
    </tableColumn>
    <tableColumn id="8" name="Taxa horária" dataDxfId="122" dataCellStyle="Normal 9"/>
    <tableColumn id="6" name="Contrato" dataDxfId="121" dataCellStyle="Normal 9"/>
    <tableColumn id="7" name="Fornecedor" dataDxfId="120" dataCellStyle="Normal 9"/>
    <tableColumn id="3" name="Aba Itens configuração" dataDxfId="119" dataCellStyle="Normal 9"/>
    <tableColumn id="9" name="Aba Estimator" dataDxfId="118" dataCellStyle="Normal 9"/>
    <tableColumn id="4" name="Sistema/Tecnologia" dataDxfId="117" dataCellStyle="Normal 9"/>
    <tableColumn id="5" name="Fábrica Testes" dataDxfId="116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115" dataDxfId="114">
  <autoFilter ref="J4:J16"/>
  <sortState ref="J5:J16">
    <sortCondition ref="J6"/>
  </sortState>
  <tableColumns count="1">
    <tableColumn id="1" name="Motivo" dataDxfId="113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112" dataDxfId="110" headerRowBorderDxfId="111" tableBorderDxfId="109" totalsRowBorderDxfId="108" headerRowCellStyle="Normal 6">
  <autoFilter ref="I4:I6"/>
  <tableColumns count="1">
    <tableColumn id="1" name="Tipo Contagem" dataDxfId="107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106" dataDxfId="104" headerRowBorderDxfId="105" tableBorderDxfId="103" totalsRowBorderDxfId="102" headerRowCellStyle="Normal 6">
  <autoFilter ref="H4:H7"/>
  <tableColumns count="1">
    <tableColumn id="1" name="Complexidade" dataDxfId="101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100" dataDxfId="98" headerRowBorderDxfId="99" tableBorderDxfId="97" totalsRowBorderDxfId="96" headerRowCellStyle="Normal 6">
  <autoFilter ref="G4:G9"/>
  <tableColumns count="1">
    <tableColumn id="1" name="Tipo de Função (ALI/AIE/EE/SE/CE)" dataDxfId="95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94" dataDxfId="92" headerRowBorderDxfId="93" tableBorderDxfId="91" totalsRowBorderDxfId="90" headerRowCellStyle="Normal 6">
  <autoFilter ref="F4:F7"/>
  <tableColumns count="1">
    <tableColumn id="1" name="Tipo de Manutenção (I/A/E)" dataDxfId="8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88" headerRowBorderDxfId="87" tableBorderDxfId="86" totalsRowBorderDxfId="85">
  <autoFilter ref="E4:E29"/>
  <tableColumns count="1">
    <tableColumn id="1" name="Fornecedor" dataDxfId="84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83" headerRowBorderDxfId="82" tableBorderDxfId="81" totalsRowBorderDxfId="80">
  <autoFilter ref="D4:D7"/>
  <tableColumns count="1">
    <tableColumn id="1" name="Contrato" dataDxfId="79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78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77" dataDxfId="76">
  <autoFilter ref="Q1:R8"/>
  <tableColumns count="2">
    <tableColumn id="1" name="Analogia" dataDxfId="75"/>
    <tableColumn id="2" name="Fator de ajuste" dataDxfId="74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73" dataDxfId="71" headerRowBorderDxfId="72" tableBorderDxfId="70" totalsRowBorderDxfId="69" headerRowCellStyle="Normal 6">
  <autoFilter ref="A2:W21"/>
  <tableColumns count="23">
    <tableColumn id="4" name="Id" dataDxfId="68"/>
    <tableColumn id="8" name="Man Cosmetica Especial" dataDxfId="67"/>
    <tableColumn id="1" name="Fases do Ciclo de Vida / Artefatos 1" dataDxfId="66"/>
    <tableColumn id="2" name="Percentual 1" dataDxfId="65"/>
    <tableColumn id="6" name="Fábrica testes 1" dataDxfId="64"/>
    <tableColumn id="5" name="Fases do Ciclo de Vida / Artefatos 2" dataDxfId="63"/>
    <tableColumn id="3" name="Percentual 2" dataDxfId="62"/>
    <tableColumn id="7" name="Fábrica testes 2" dataDxfId="61"/>
    <tableColumn id="9" name="Fases do Ciclo de Vida / Artefatos 3" dataDxfId="60"/>
    <tableColumn id="10" name="Percentual 3" dataDxfId="59"/>
    <tableColumn id="11" name="Fábrica testes 3" dataDxfId="58"/>
    <tableColumn id="12" name="Fases do Ciclo de Vida / Artefatos 4" dataDxfId="57"/>
    <tableColumn id="13" name="Percentual 4" dataDxfId="56"/>
    <tableColumn id="14" name="Fábrica testes 4" dataDxfId="55"/>
    <tableColumn id="15" name="Fases do Ciclo de Vida / Artefatos 5" dataDxfId="54"/>
    <tableColumn id="16" name="Percentual 5" dataDxfId="53"/>
    <tableColumn id="17" name="Fábrica testes 5" dataDxfId="52"/>
    <tableColumn id="18" name="Fases do Ciclo de Vida / Artefatos 6" dataDxfId="51"/>
    <tableColumn id="19" name="Percentual 6" dataDxfId="50"/>
    <tableColumn id="20" name="Fábrica testes 6" dataDxfId="49"/>
    <tableColumn id="21" name="Fases do Ciclo de Vida / Artefatos 7" dataDxfId="48"/>
    <tableColumn id="22" name="Percentual 7" dataDxfId="47"/>
    <tableColumn id="23" name="Fábrica testes 7" dataDxfId="46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45" dataDxfId="44">
  <autoFilter ref="Y2:AD27"/>
  <tableColumns count="6">
    <tableColumn id="1" name="Fornecedor" dataDxfId="43">
      <calculatedColumnFormula>Parâmetros!E5</calculatedColumnFormula>
    </tableColumn>
    <tableColumn id="3" name="Descrição" dataDxfId="42"/>
    <tableColumn id="2" name="Percentual" dataDxfId="41"/>
    <tableColumn id="4" name="Fábrica testes" dataDxfId="40"/>
    <tableColumn id="5" name="Man Cosmetica Especial" dataDxfId="39"/>
    <tableColumn id="6" name="Variacao Gestao" dataDxfId="38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37" dataDxfId="35" headerRowBorderDxfId="36" tableBorderDxfId="34" totalsRowBorderDxfId="33">
  <autoFilter ref="A2:H15"/>
  <sortState ref="A3:H13">
    <sortCondition ref="A2:A13"/>
  </sortState>
  <tableColumns count="8">
    <tableColumn id="2" name="Itens 1" dataDxfId="32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31"/>
    <tableColumn id="6" name="Fabrica Testes 1" dataDxfId="30"/>
    <tableColumn id="4" name="Lista 1" dataDxfId="29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28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27"/>
    <tableColumn id="7" name="Fabrica Testes 2" dataDxfId="26"/>
    <tableColumn id="8" name="Lista 2" dataDxfId="25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24">
      <calculatedColumnFormula>ItensNaoFuncionais[[#Headers],[Itens 1]]</calculatedColumnFormula>
    </tableColumn>
    <tableColumn id="3" name="Coluna obrigtório" dataDxfId="23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8" t="s">
        <v>360</v>
      </c>
      <c r="B6" s="428"/>
      <c r="C6" s="428"/>
      <c r="D6" s="428"/>
      <c r="E6" s="428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WrLnj2cTZcA4vowTnz1sTHbcoEN2rWV6ub2GO5tJHnA0paan/Ye8+/bFPe98i51w3xP8nd2mrCvNSEA64lWAiw==" saltValue="bl7tIlcekAFSb7z9S0k3xQ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topLeftCell="A25" zoomScale="90" zoomScaleNormal="90" workbookViewId="0">
      <selection activeCell="H37" sqref="H37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7" t="s">
        <v>25</v>
      </c>
      <c r="C2" s="437"/>
      <c r="D2" s="437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8" t="s">
        <v>143</v>
      </c>
      <c r="D4" s="439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2">
        <v>25660</v>
      </c>
      <c r="D6" s="443"/>
      <c r="E6" s="61"/>
      <c r="F6" s="161"/>
    </row>
    <row r="7" spans="2:6" ht="18" customHeight="1" x14ac:dyDescent="0.2">
      <c r="B7" s="189" t="s">
        <v>280</v>
      </c>
      <c r="C7" s="442">
        <v>24700</v>
      </c>
      <c r="D7" s="443"/>
      <c r="E7" s="61"/>
      <c r="F7" s="161"/>
    </row>
    <row r="8" spans="2:6" ht="54" customHeight="1" x14ac:dyDescent="0.2">
      <c r="B8" s="52" t="s">
        <v>21</v>
      </c>
      <c r="C8" s="444" t="s">
        <v>494</v>
      </c>
      <c r="D8" s="445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6" t="str">
        <f>IFERROR(VLOOKUP(Sistema,Produtividades[],COLUMN(Produtividades[[#Headers],[Contrato]])-1,FALSE),"")</f>
        <v>Uso comercial</v>
      </c>
      <c r="D11" s="447"/>
      <c r="F11" s="158"/>
    </row>
    <row r="12" spans="2:6" x14ac:dyDescent="0.2">
      <c r="F12" s="158"/>
    </row>
    <row r="13" spans="2:6" x14ac:dyDescent="0.2">
      <c r="B13" s="179" t="s">
        <v>271</v>
      </c>
      <c r="C13" s="446" t="s">
        <v>167</v>
      </c>
      <c r="D13" s="447"/>
      <c r="F13" s="158"/>
    </row>
    <row r="14" spans="2:6" x14ac:dyDescent="0.2">
      <c r="F14" s="158"/>
    </row>
    <row r="15" spans="2:6" x14ac:dyDescent="0.2">
      <c r="B15" s="53" t="s">
        <v>166</v>
      </c>
      <c r="C15" s="452" t="s">
        <v>96</v>
      </c>
      <c r="D15" s="453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4" t="s">
        <v>156</v>
      </c>
      <c r="D17" s="455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6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7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 ca="1">PontosFuncao[[#Totals],[PF]]</f>
        <v>7</v>
      </c>
      <c r="D22" s="23">
        <f ca="1">IF(Pontos_APF=0,0,IF(Contrato="Uso comercial",IF(Fornecedor="Accenture - Torre II",'Fases Contratadas'!$Q$19,$D$24*Pontos_APF/(Pontos_APF+Pontos_Analogia)),$D$24*Pontos_APF/(Pontos_APF+Pontos_Analogia)))</f>
        <v>136.51999999999998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 ca="1">ROUND(IF(RespostaContagem=Sim,MAX(EsforcoFases[[#Totals],[Esforço em Horas (calculado)]],EsforcoFases[[#Totals],[Esforço em Horas (preenchido)]]),0),2)</f>
        <v>136.52000000000001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8">
        <f ca="1">Horas_APF</f>
        <v>136.51999999999998</v>
      </c>
      <c r="D26" s="449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0" t="s">
        <v>24</v>
      </c>
      <c r="D28" s="451"/>
      <c r="E28" s="19"/>
      <c r="F28" s="19"/>
    </row>
    <row r="29" spans="2:6" ht="18" customHeight="1" x14ac:dyDescent="0.2">
      <c r="B29" s="52" t="s">
        <v>29</v>
      </c>
      <c r="C29" s="446">
        <f ca="1">ROUND(IF(RespostaContagem=Sim,Horas_HH_Total,Horas_HH_Total+EsforcoFases[[#Totals],[Esforço em Horas (preenchido)]]),2)</f>
        <v>525.29999999999995</v>
      </c>
      <c r="D29" s="447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119.13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0" t="e">
        <f ca="1">ROUND((Horas_APF+Horas_Analogia+Horas_HH+Horas_Gestao)*Flip,2)</f>
        <v>#VALUE!</v>
      </c>
      <c r="D34" s="441"/>
      <c r="E34" s="16"/>
      <c r="F34" s="16"/>
    </row>
    <row r="36" spans="2:6" x14ac:dyDescent="0.2">
      <c r="B36" s="53" t="s">
        <v>175</v>
      </c>
      <c r="C36" s="429">
        <f>VLOOKUP(Sistema,Produtividades[],COLUMN(Produtividades[[#Headers],[Taxa horária]])-1,FALSE)</f>
        <v>154.36000000000001</v>
      </c>
      <c r="D36" s="430"/>
    </row>
    <row r="38" spans="2:6" x14ac:dyDescent="0.2">
      <c r="B38" s="53" t="s">
        <v>179</v>
      </c>
      <c r="C38" s="429" t="e">
        <f ca="1">Horas_Total*Taxa_Horaria</f>
        <v>#VALUE!</v>
      </c>
      <c r="D38" s="430"/>
    </row>
    <row r="40" spans="2:6" x14ac:dyDescent="0.2">
      <c r="B40" s="53" t="s">
        <v>178</v>
      </c>
      <c r="C40" s="431"/>
      <c r="D40" s="432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5"/>
      <c r="D42" s="436"/>
    </row>
    <row r="44" spans="2:6" ht="15.75" x14ac:dyDescent="0.2">
      <c r="B44" s="53" t="s">
        <v>180</v>
      </c>
      <c r="C44" s="433" t="e">
        <f ca="1">Custo-Desconto</f>
        <v>#VALUE!</v>
      </c>
      <c r="D44" s="434"/>
    </row>
  </sheetData>
  <sheetProtection algorithmName="SHA-512" hashValue="/dcA/MkcXFuNVmlVBpqfD9hFUOTXoOs2ldDbebC2nNxlKx1AVgk+3KbZFgGE+6cdMKI1dHZMUjQJUELnIWI5gA==" saltValue="OHe71kXTaUCB3ojv9F29kQ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E7" activePane="bottomRight" state="frozen"/>
      <selection activeCell="G19" sqref="G19"/>
      <selection pane="topRight" activeCell="G19" sqref="G19"/>
      <selection pane="bottomLeft" activeCell="G19" sqref="G19"/>
      <selection pane="bottomRight" activeCell="M7" sqref="M7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7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ht="140.25" x14ac:dyDescent="0.2">
      <c r="B7" s="268"/>
      <c r="C7" s="269" t="s">
        <v>495</v>
      </c>
      <c r="D7" s="270" t="s">
        <v>148</v>
      </c>
      <c r="E7" s="270" t="s">
        <v>56</v>
      </c>
      <c r="F7" s="270">
        <v>4</v>
      </c>
      <c r="G7" s="270">
        <v>11</v>
      </c>
      <c r="H7" s="412" t="s">
        <v>498</v>
      </c>
      <c r="I7" s="412" t="s">
        <v>499</v>
      </c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7" s="218">
        <f ca="1">IF(PontosFuncao[[#This Row],[Tipo de Função]]="",0,INDEX(Pesos_IFPUG,MATCH(PontosFuncao[[#This Row],[Tipo de Função]],Pesos_IFPUG_Objetos,0),MATCH(PontosFuncao[[#This Row],[Complexidade]],Pesos_IFPUG_Complexidade,0)))</f>
        <v>7</v>
      </c>
      <c r="L7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146.01999999999998</v>
      </c>
      <c r="M7" s="219" t="s">
        <v>497</v>
      </c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 ca="1">SUBTOTAL(109,PontosFuncao[PF])</f>
        <v>7</v>
      </c>
      <c r="L27" s="359">
        <f ca="1">SUBTOTAL(109,PontosFuncao[Esforço])</f>
        <v>146.01999999999998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lrgRMX7h94OLNmHVmFWWdL0fQy/tESCZMnCcqBoe5qzFxUle3mT28HMSswQA0TfLIwQsq0l/Vkv6p4C9whOzjw==" saltValue="zCfkw9Zfqf41DlYla5u+4g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7" t="s">
        <v>71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  <c r="M2" s="437"/>
      <c r="N2" s="437"/>
      <c r="O2" s="437"/>
      <c r="P2" s="437"/>
    </row>
    <row r="3" spans="2:19" s="31" customFormat="1" ht="20.100000000000001" customHeight="1" x14ac:dyDescent="0.2">
      <c r="B3" s="456" t="s">
        <v>40</v>
      </c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vxe4b1byHmZOBo7AZNSy1FtnbVwiQQGgxKVGFx8blT3NJdw+MsJ3jXOqJBwlwQuy8vdC6EV6iLNATcbb5cHiQQ==" saltValue="xB7r1GYJPbHSJJBJQqonoA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7" t="s">
        <v>98</v>
      </c>
      <c r="D2" s="437"/>
      <c r="E2" s="437"/>
      <c r="F2" s="437"/>
      <c r="G2" s="437"/>
      <c r="H2" s="437"/>
      <c r="I2" s="437"/>
    </row>
    <row r="3" spans="2:25" s="31" customFormat="1" ht="34.5" customHeight="1" x14ac:dyDescent="0.2">
      <c r="B3" s="30"/>
      <c r="C3" s="465"/>
      <c r="D3" s="465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6">
        <f>SUM(Q:Q)</f>
        <v>0</v>
      </c>
      <c r="E5" s="466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7" t="s">
        <v>100</v>
      </c>
      <c r="D8" s="457" t="s">
        <v>101</v>
      </c>
      <c r="E8" s="457" t="s">
        <v>4</v>
      </c>
      <c r="F8" s="457" t="s">
        <v>102</v>
      </c>
      <c r="G8" s="457" t="s">
        <v>103</v>
      </c>
      <c r="H8" s="467" t="s">
        <v>104</v>
      </c>
      <c r="I8" s="467"/>
      <c r="J8" s="467"/>
      <c r="K8" s="467"/>
      <c r="L8" s="467"/>
      <c r="M8" s="467"/>
      <c r="N8" s="467"/>
      <c r="O8" s="467"/>
      <c r="P8" s="467"/>
      <c r="Q8" s="457" t="s">
        <v>105</v>
      </c>
    </row>
    <row r="9" spans="2:25" ht="25.5" x14ac:dyDescent="0.2">
      <c r="C9" s="458"/>
      <c r="D9" s="458"/>
      <c r="E9" s="458"/>
      <c r="F9" s="458"/>
      <c r="G9" s="458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0" t="s">
        <v>112</v>
      </c>
      <c r="Q9" s="458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9"/>
      <c r="D10" s="459"/>
      <c r="E10" s="459"/>
      <c r="F10" s="459"/>
      <c r="G10" s="459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1"/>
      <c r="Q10" s="459"/>
    </row>
    <row r="11" spans="2:25" ht="15" x14ac:dyDescent="0.2">
      <c r="C11" s="462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3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3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3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3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3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3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3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3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3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3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3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3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3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3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3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3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4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Niw4dPL4SmSQUOJMEQIxjwSSml79XXhOwaCrkKJ2AaoF4esESJGhg6FSE8dYsXBCXX353QnOhAQuHU5TuPSgXw==" saltValue="tTt5bPeZRAYcs+x200gwXw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7" t="s">
        <v>410</v>
      </c>
      <c r="D2" s="437"/>
      <c r="E2" s="437"/>
      <c r="F2" s="437"/>
      <c r="G2" s="437"/>
      <c r="H2" s="437"/>
      <c r="I2" s="437"/>
      <c r="J2" s="437"/>
    </row>
    <row r="3" spans="2:20" s="31" customFormat="1" ht="34.5" customHeight="1" x14ac:dyDescent="0.2">
      <c r="B3" s="30"/>
      <c r="C3" s="465"/>
      <c r="D3" s="465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</row>
    <row r="9" spans="2:20" ht="37.5" customHeight="1" x14ac:dyDescent="0.2"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</row>
    <row r="11" spans="2:20" ht="15" customHeight="1" x14ac:dyDescent="0.2">
      <c r="C11" s="468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8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8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8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8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8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8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8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8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8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8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8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8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8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8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8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8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8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8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8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8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8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8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8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8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8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8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aecigINji3423qR3xsqSzPOvqCPckKX4Gemstdjpto7Jm8fITBWsf3M1HODD4PS7rKnI/TMF/wzxa7kSCkV4+w==" saltValue="vCN5X+M3mSLnHi4sP2SwNg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7" t="s">
        <v>411</v>
      </c>
      <c r="D2" s="437"/>
      <c r="E2" s="437"/>
      <c r="F2" s="437"/>
      <c r="G2" s="437"/>
      <c r="H2" s="437"/>
      <c r="I2" s="437"/>
      <c r="J2" s="437"/>
    </row>
    <row r="3" spans="2:20" s="31" customFormat="1" ht="34.5" customHeight="1" x14ac:dyDescent="0.2">
      <c r="B3" s="30"/>
      <c r="C3" s="465"/>
      <c r="D3" s="465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  <c r="N10" s="34"/>
      <c r="O10" s="34"/>
      <c r="P10" s="34"/>
      <c r="Q10" s="34"/>
      <c r="R10" s="34"/>
      <c r="S10" s="34"/>
      <c r="T10" s="34"/>
    </row>
    <row r="11" spans="2:20" ht="15" x14ac:dyDescent="0.2">
      <c r="C11" s="475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5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5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5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5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5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5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5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5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5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5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5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5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5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5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5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5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5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5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5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lHqR0XEwLAMZYAAvkYr2W7O3AYePvpT8lL3kwXM+FZwr6Ep9bqENnLaAzBtjCTrusyDiLGgB6KSfKRT8r6fvPg==" saltValue="o7TBbCLeRNT/4K+BYPvvrQ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7" t="s">
        <v>433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8" t="s">
        <v>412</v>
      </c>
      <c r="M8" s="499"/>
      <c r="N8" s="323"/>
      <c r="O8" s="498" t="s">
        <v>413</v>
      </c>
      <c r="P8" s="499"/>
      <c r="Q8" s="323"/>
      <c r="R8" s="500" t="s">
        <v>414</v>
      </c>
      <c r="S8" s="501"/>
      <c r="T8" s="502"/>
      <c r="U8" s="333"/>
      <c r="V8" s="336"/>
      <c r="W8" s="495" t="s">
        <v>104</v>
      </c>
      <c r="X8" s="496"/>
      <c r="Y8" s="496"/>
      <c r="Z8" s="497"/>
      <c r="AA8" s="493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8"/>
      <c r="B9" s="486" t="s">
        <v>79</v>
      </c>
      <c r="C9" s="489" t="s">
        <v>1</v>
      </c>
      <c r="D9" s="489" t="s">
        <v>101</v>
      </c>
      <c r="E9" s="489" t="s">
        <v>151</v>
      </c>
      <c r="F9" s="489" t="s">
        <v>51</v>
      </c>
      <c r="G9" s="489" t="s">
        <v>52</v>
      </c>
      <c r="H9" s="489" t="s">
        <v>171</v>
      </c>
      <c r="I9" s="489" t="s">
        <v>172</v>
      </c>
      <c r="J9" s="505" t="s">
        <v>415</v>
      </c>
      <c r="K9" s="503" t="s">
        <v>5</v>
      </c>
      <c r="L9" s="482" t="s">
        <v>441</v>
      </c>
      <c r="M9" s="483"/>
      <c r="N9" s="331" t="s">
        <v>424</v>
      </c>
      <c r="O9" s="482" t="s">
        <v>442</v>
      </c>
      <c r="P9" s="483"/>
      <c r="Q9" s="331" t="s">
        <v>423</v>
      </c>
      <c r="R9" s="482" t="s">
        <v>443</v>
      </c>
      <c r="S9" s="491"/>
      <c r="T9" s="483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4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8"/>
      <c r="B10" s="487"/>
      <c r="C10" s="490"/>
      <c r="D10" s="490"/>
      <c r="E10" s="490"/>
      <c r="F10" s="490"/>
      <c r="G10" s="490"/>
      <c r="H10" s="490"/>
      <c r="I10" s="490"/>
      <c r="J10" s="490"/>
      <c r="K10" s="504"/>
      <c r="L10" s="484"/>
      <c r="M10" s="485"/>
      <c r="N10" s="332"/>
      <c r="O10" s="484"/>
      <c r="P10" s="485"/>
      <c r="Q10" s="332"/>
      <c r="R10" s="484"/>
      <c r="S10" s="492"/>
      <c r="T10" s="485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4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79"/>
      <c r="M11" s="481"/>
      <c r="N11" s="346" t="str">
        <f t="shared" ref="N11:N28" si="0">IF(L11="","",$AC$12&amp;L11)</f>
        <v/>
      </c>
      <c r="O11" s="479"/>
      <c r="P11" s="481"/>
      <c r="Q11" s="346" t="str">
        <f t="shared" ref="Q11:Q27" si="1">IF(O11="","",$AC$15&amp;O11)</f>
        <v/>
      </c>
      <c r="R11" s="479"/>
      <c r="S11" s="480"/>
      <c r="T11" s="481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79"/>
      <c r="M12" s="481"/>
      <c r="N12" s="346" t="str">
        <f t="shared" si="0"/>
        <v/>
      </c>
      <c r="O12" s="479"/>
      <c r="P12" s="481"/>
      <c r="Q12" s="346" t="str">
        <f t="shared" si="1"/>
        <v/>
      </c>
      <c r="R12" s="479"/>
      <c r="S12" s="480"/>
      <c r="T12" s="481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79"/>
      <c r="M13" s="481"/>
      <c r="N13" s="346" t="str">
        <f t="shared" si="0"/>
        <v/>
      </c>
      <c r="O13" s="479"/>
      <c r="P13" s="481"/>
      <c r="Q13" s="346" t="str">
        <f t="shared" si="1"/>
        <v/>
      </c>
      <c r="R13" s="479"/>
      <c r="S13" s="480"/>
      <c r="T13" s="481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79"/>
      <c r="M14" s="481"/>
      <c r="N14" s="346" t="str">
        <f t="shared" si="0"/>
        <v/>
      </c>
      <c r="O14" s="479"/>
      <c r="P14" s="481"/>
      <c r="Q14" s="346" t="str">
        <f t="shared" si="1"/>
        <v/>
      </c>
      <c r="R14" s="479"/>
      <c r="S14" s="480"/>
      <c r="T14" s="481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79"/>
      <c r="M15" s="481"/>
      <c r="N15" s="346" t="str">
        <f t="shared" si="0"/>
        <v/>
      </c>
      <c r="O15" s="479"/>
      <c r="P15" s="481"/>
      <c r="Q15" s="346" t="str">
        <f t="shared" si="1"/>
        <v/>
      </c>
      <c r="R15" s="479"/>
      <c r="S15" s="480"/>
      <c r="T15" s="481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79"/>
      <c r="M16" s="481"/>
      <c r="N16" s="346" t="str">
        <f t="shared" si="0"/>
        <v/>
      </c>
      <c r="O16" s="479"/>
      <c r="P16" s="481"/>
      <c r="Q16" s="346" t="str">
        <f t="shared" si="1"/>
        <v/>
      </c>
      <c r="R16" s="479"/>
      <c r="S16" s="480"/>
      <c r="T16" s="481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79"/>
      <c r="M17" s="481"/>
      <c r="N17" s="346" t="str">
        <f t="shared" si="0"/>
        <v/>
      </c>
      <c r="O17" s="479"/>
      <c r="P17" s="481"/>
      <c r="Q17" s="346" t="str">
        <f t="shared" si="1"/>
        <v/>
      </c>
      <c r="R17" s="479"/>
      <c r="S17" s="480"/>
      <c r="T17" s="481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79"/>
      <c r="M18" s="481"/>
      <c r="N18" s="346" t="str">
        <f t="shared" si="0"/>
        <v/>
      </c>
      <c r="O18" s="479"/>
      <c r="P18" s="481"/>
      <c r="Q18" s="346" t="str">
        <f t="shared" si="1"/>
        <v/>
      </c>
      <c r="R18" s="479"/>
      <c r="S18" s="480"/>
      <c r="T18" s="481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79"/>
      <c r="M19" s="481"/>
      <c r="N19" s="346" t="str">
        <f t="shared" si="0"/>
        <v/>
      </c>
      <c r="O19" s="479"/>
      <c r="P19" s="481"/>
      <c r="Q19" s="346" t="str">
        <f t="shared" si="1"/>
        <v/>
      </c>
      <c r="R19" s="479"/>
      <c r="S19" s="480"/>
      <c r="T19" s="481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79"/>
      <c r="M20" s="481"/>
      <c r="N20" s="346" t="str">
        <f t="shared" si="0"/>
        <v/>
      </c>
      <c r="O20" s="479"/>
      <c r="P20" s="481"/>
      <c r="Q20" s="346" t="str">
        <f t="shared" si="1"/>
        <v/>
      </c>
      <c r="R20" s="479"/>
      <c r="S20" s="480"/>
      <c r="T20" s="481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79"/>
      <c r="M21" s="481"/>
      <c r="N21" s="346" t="str">
        <f t="shared" si="0"/>
        <v/>
      </c>
      <c r="O21" s="479"/>
      <c r="P21" s="481"/>
      <c r="Q21" s="346" t="str">
        <f t="shared" si="1"/>
        <v/>
      </c>
      <c r="R21" s="479"/>
      <c r="S21" s="480"/>
      <c r="T21" s="481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79"/>
      <c r="M22" s="481"/>
      <c r="N22" s="346" t="str">
        <f t="shared" si="0"/>
        <v/>
      </c>
      <c r="O22" s="479"/>
      <c r="P22" s="481"/>
      <c r="Q22" s="346" t="str">
        <f t="shared" si="1"/>
        <v/>
      </c>
      <c r="R22" s="479"/>
      <c r="S22" s="480"/>
      <c r="T22" s="481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79"/>
      <c r="M23" s="481"/>
      <c r="N23" s="346" t="str">
        <f t="shared" si="0"/>
        <v/>
      </c>
      <c r="O23" s="479"/>
      <c r="P23" s="481"/>
      <c r="Q23" s="346" t="str">
        <f t="shared" si="1"/>
        <v/>
      </c>
      <c r="R23" s="479"/>
      <c r="S23" s="480"/>
      <c r="T23" s="481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79"/>
      <c r="M24" s="481"/>
      <c r="N24" s="346" t="str">
        <f t="shared" si="0"/>
        <v/>
      </c>
      <c r="O24" s="479"/>
      <c r="P24" s="481"/>
      <c r="Q24" s="346" t="str">
        <f t="shared" si="1"/>
        <v/>
      </c>
      <c r="R24" s="479"/>
      <c r="S24" s="480"/>
      <c r="T24" s="481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79"/>
      <c r="M25" s="481"/>
      <c r="N25" s="346" t="str">
        <f t="shared" si="0"/>
        <v/>
      </c>
      <c r="O25" s="479"/>
      <c r="P25" s="481"/>
      <c r="Q25" s="346" t="str">
        <f t="shared" si="1"/>
        <v/>
      </c>
      <c r="R25" s="479"/>
      <c r="S25" s="480"/>
      <c r="T25" s="481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79"/>
      <c r="M26" s="481"/>
      <c r="N26" s="346" t="str">
        <f t="shared" si="0"/>
        <v/>
      </c>
      <c r="O26" s="479"/>
      <c r="P26" s="481"/>
      <c r="Q26" s="346" t="str">
        <f t="shared" si="1"/>
        <v/>
      </c>
      <c r="R26" s="479"/>
      <c r="S26" s="480"/>
      <c r="T26" s="481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79"/>
      <c r="M27" s="481"/>
      <c r="N27" s="346" t="str">
        <f t="shared" si="0"/>
        <v/>
      </c>
      <c r="O27" s="479"/>
      <c r="P27" s="481"/>
      <c r="Q27" s="346" t="str">
        <f t="shared" si="1"/>
        <v/>
      </c>
      <c r="R27" s="479"/>
      <c r="S27" s="480"/>
      <c r="T27" s="481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79"/>
      <c r="M28" s="481"/>
      <c r="N28" s="346" t="str">
        <f t="shared" si="0"/>
        <v/>
      </c>
      <c r="O28" s="479"/>
      <c r="P28" s="481"/>
      <c r="Q28" s="346" t="str">
        <f t="shared" ref="Q28:Q38" si="13">IF(O28="","",$AC$15&amp;O28)</f>
        <v/>
      </c>
      <c r="R28" s="479"/>
      <c r="S28" s="480"/>
      <c r="T28" s="481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79"/>
      <c r="M29" s="481"/>
      <c r="N29" s="346" t="str">
        <f t="shared" ref="N29:N40" si="14">IF(L29="","",$AC$12&amp;L29)</f>
        <v/>
      </c>
      <c r="O29" s="479"/>
      <c r="P29" s="481"/>
      <c r="Q29" s="346" t="str">
        <f t="shared" si="13"/>
        <v/>
      </c>
      <c r="R29" s="479"/>
      <c r="S29" s="480"/>
      <c r="T29" s="481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79"/>
      <c r="M30" s="481"/>
      <c r="N30" s="346" t="str">
        <f t="shared" si="14"/>
        <v/>
      </c>
      <c r="O30" s="479"/>
      <c r="P30" s="481"/>
      <c r="Q30" s="346" t="str">
        <f t="shared" si="13"/>
        <v/>
      </c>
      <c r="R30" s="479"/>
      <c r="S30" s="480"/>
      <c r="T30" s="481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79"/>
      <c r="M31" s="481"/>
      <c r="N31" s="346" t="str">
        <f t="shared" si="14"/>
        <v/>
      </c>
      <c r="O31" s="479"/>
      <c r="P31" s="481"/>
      <c r="Q31" s="346" t="str">
        <f t="shared" si="13"/>
        <v/>
      </c>
      <c r="R31" s="479"/>
      <c r="S31" s="480"/>
      <c r="T31" s="481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79"/>
      <c r="M32" s="481"/>
      <c r="N32" s="346" t="str">
        <f t="shared" si="14"/>
        <v/>
      </c>
      <c r="O32" s="479"/>
      <c r="P32" s="481"/>
      <c r="Q32" s="346" t="str">
        <f t="shared" si="13"/>
        <v/>
      </c>
      <c r="R32" s="479"/>
      <c r="S32" s="480"/>
      <c r="T32" s="481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79"/>
      <c r="M33" s="481"/>
      <c r="N33" s="346" t="str">
        <f t="shared" si="14"/>
        <v/>
      </c>
      <c r="O33" s="479"/>
      <c r="P33" s="481"/>
      <c r="Q33" s="346" t="str">
        <f t="shared" si="13"/>
        <v/>
      </c>
      <c r="R33" s="479"/>
      <c r="S33" s="480"/>
      <c r="T33" s="481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79"/>
      <c r="M34" s="481"/>
      <c r="N34" s="346" t="str">
        <f t="shared" si="14"/>
        <v/>
      </c>
      <c r="O34" s="479"/>
      <c r="P34" s="481"/>
      <c r="Q34" s="346" t="str">
        <f t="shared" si="13"/>
        <v/>
      </c>
      <c r="R34" s="479"/>
      <c r="S34" s="480"/>
      <c r="T34" s="481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79"/>
      <c r="M35" s="481"/>
      <c r="N35" s="346" t="str">
        <f t="shared" si="14"/>
        <v/>
      </c>
      <c r="O35" s="479"/>
      <c r="P35" s="481"/>
      <c r="Q35" s="346" t="str">
        <f t="shared" si="13"/>
        <v/>
      </c>
      <c r="R35" s="479"/>
      <c r="S35" s="480"/>
      <c r="T35" s="481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79"/>
      <c r="M36" s="481"/>
      <c r="N36" s="346" t="str">
        <f t="shared" si="14"/>
        <v/>
      </c>
      <c r="O36" s="479"/>
      <c r="P36" s="481"/>
      <c r="Q36" s="346" t="str">
        <f t="shared" si="13"/>
        <v/>
      </c>
      <c r="R36" s="479"/>
      <c r="S36" s="480"/>
      <c r="T36" s="481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79"/>
      <c r="M37" s="481"/>
      <c r="N37" s="346" t="str">
        <f t="shared" si="14"/>
        <v/>
      </c>
      <c r="O37" s="479"/>
      <c r="P37" s="481"/>
      <c r="Q37" s="346" t="str">
        <f t="shared" si="13"/>
        <v/>
      </c>
      <c r="R37" s="479"/>
      <c r="S37" s="480"/>
      <c r="T37" s="481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79"/>
      <c r="M38" s="481"/>
      <c r="N38" s="346" t="str">
        <f t="shared" si="14"/>
        <v/>
      </c>
      <c r="O38" s="479"/>
      <c r="P38" s="481"/>
      <c r="Q38" s="346" t="str">
        <f t="shared" si="13"/>
        <v/>
      </c>
      <c r="R38" s="479"/>
      <c r="S38" s="480"/>
      <c r="T38" s="481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79"/>
      <c r="M39" s="481"/>
      <c r="N39" s="346" t="str">
        <f t="shared" si="14"/>
        <v/>
      </c>
      <c r="O39" s="479"/>
      <c r="P39" s="481"/>
      <c r="Q39" s="346" t="str">
        <f t="shared" ref="Q39:Q50" si="16">IF(O39="","",$AC$15&amp;O39)</f>
        <v/>
      </c>
      <c r="R39" s="479"/>
      <c r="S39" s="480"/>
      <c r="T39" s="481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79"/>
      <c r="M40" s="481"/>
      <c r="N40" s="346" t="str">
        <f t="shared" si="14"/>
        <v/>
      </c>
      <c r="O40" s="479"/>
      <c r="P40" s="481"/>
      <c r="Q40" s="346" t="str">
        <f t="shared" si="16"/>
        <v/>
      </c>
      <c r="R40" s="479"/>
      <c r="S40" s="480"/>
      <c r="T40" s="481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79"/>
      <c r="M41" s="481"/>
      <c r="N41" s="346" t="str">
        <f t="shared" ref="N41:N50" si="17">IF(L41="","",$AC$12&amp;L41)</f>
        <v/>
      </c>
      <c r="O41" s="479"/>
      <c r="P41" s="481"/>
      <c r="Q41" s="346" t="str">
        <f t="shared" si="16"/>
        <v/>
      </c>
      <c r="R41" s="479"/>
      <c r="S41" s="480"/>
      <c r="T41" s="481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79"/>
      <c r="M42" s="481"/>
      <c r="N42" s="346" t="str">
        <f t="shared" si="17"/>
        <v/>
      </c>
      <c r="O42" s="479"/>
      <c r="P42" s="481"/>
      <c r="Q42" s="346" t="str">
        <f t="shared" si="16"/>
        <v/>
      </c>
      <c r="R42" s="479"/>
      <c r="S42" s="480"/>
      <c r="T42" s="481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79"/>
      <c r="M43" s="481"/>
      <c r="N43" s="346" t="str">
        <f t="shared" si="17"/>
        <v/>
      </c>
      <c r="O43" s="479"/>
      <c r="P43" s="481"/>
      <c r="Q43" s="346" t="str">
        <f t="shared" si="16"/>
        <v/>
      </c>
      <c r="R43" s="479"/>
      <c r="S43" s="480"/>
      <c r="T43" s="481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79"/>
      <c r="M44" s="481"/>
      <c r="N44" s="346" t="str">
        <f t="shared" si="17"/>
        <v/>
      </c>
      <c r="O44" s="479"/>
      <c r="P44" s="481"/>
      <c r="Q44" s="346" t="str">
        <f t="shared" si="16"/>
        <v/>
      </c>
      <c r="R44" s="479"/>
      <c r="S44" s="480"/>
      <c r="T44" s="481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79"/>
      <c r="M45" s="481"/>
      <c r="N45" s="346" t="str">
        <f t="shared" si="17"/>
        <v/>
      </c>
      <c r="O45" s="479"/>
      <c r="P45" s="481"/>
      <c r="Q45" s="346" t="str">
        <f t="shared" si="16"/>
        <v/>
      </c>
      <c r="R45" s="479"/>
      <c r="S45" s="480"/>
      <c r="T45" s="481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79"/>
      <c r="M46" s="481"/>
      <c r="N46" s="346" t="str">
        <f t="shared" si="17"/>
        <v/>
      </c>
      <c r="O46" s="479"/>
      <c r="P46" s="481"/>
      <c r="Q46" s="346" t="str">
        <f t="shared" si="16"/>
        <v/>
      </c>
      <c r="R46" s="479"/>
      <c r="S46" s="480"/>
      <c r="T46" s="481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79"/>
      <c r="M47" s="481"/>
      <c r="N47" s="346" t="str">
        <f t="shared" si="17"/>
        <v/>
      </c>
      <c r="O47" s="479"/>
      <c r="P47" s="481"/>
      <c r="Q47" s="346" t="str">
        <f t="shared" si="16"/>
        <v/>
      </c>
      <c r="R47" s="479"/>
      <c r="S47" s="480"/>
      <c r="T47" s="481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79"/>
      <c r="M48" s="481"/>
      <c r="N48" s="346" t="str">
        <f t="shared" si="17"/>
        <v/>
      </c>
      <c r="O48" s="479"/>
      <c r="P48" s="481"/>
      <c r="Q48" s="346" t="str">
        <f t="shared" si="16"/>
        <v/>
      </c>
      <c r="R48" s="479"/>
      <c r="S48" s="480"/>
      <c r="T48" s="481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79"/>
      <c r="M49" s="481"/>
      <c r="N49" s="346" t="str">
        <f t="shared" si="17"/>
        <v/>
      </c>
      <c r="O49" s="479"/>
      <c r="P49" s="481"/>
      <c r="Q49" s="346" t="str">
        <f t="shared" si="16"/>
        <v/>
      </c>
      <c r="R49" s="479"/>
      <c r="S49" s="480"/>
      <c r="T49" s="481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79"/>
      <c r="M50" s="481"/>
      <c r="N50" s="346" t="str">
        <f t="shared" si="17"/>
        <v/>
      </c>
      <c r="O50" s="479"/>
      <c r="P50" s="481"/>
      <c r="Q50" s="346" t="str">
        <f t="shared" si="16"/>
        <v/>
      </c>
      <c r="R50" s="479"/>
      <c r="S50" s="480"/>
      <c r="T50" s="481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6"/>
      <c r="M51" s="477"/>
      <c r="N51" s="346" t="str">
        <f t="shared" ref="N51" si="18">IF(AND(L51&lt;&gt;"",M51&lt;&gt;""),CONCATENATE($AC$12,L51,M51),"")</f>
        <v/>
      </c>
      <c r="O51" s="476"/>
      <c r="P51" s="477"/>
      <c r="Q51" s="346" t="str">
        <f t="shared" ref="Q51" si="19">IF(AND(O51&lt;&gt;"",P51&lt;&gt;""),CONCATENATE($AC$15,O51,P51),"")</f>
        <v/>
      </c>
      <c r="R51" s="476"/>
      <c r="S51" s="478"/>
      <c r="T51" s="477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67TibW1SLke+dy1NUPozYtAjnFIvMWM1utFmirHZy4CiyAJj7osEuuiK3vFHWhNnS4oFhIs/0nDsLL6pYja5CQ==" saltValue="ZDNOLArzn+UKPLVUsH4f0g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7" t="s">
        <v>433</v>
      </c>
      <c r="C2" s="437"/>
      <c r="D2" s="437"/>
      <c r="E2" s="437"/>
      <c r="F2" s="437"/>
      <c r="G2" s="437"/>
      <c r="H2" s="437"/>
      <c r="I2" s="437"/>
      <c r="J2" s="437"/>
      <c r="K2" s="437"/>
      <c r="L2" s="437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8" t="s">
        <v>412</v>
      </c>
      <c r="M8" s="499"/>
      <c r="N8" s="323"/>
      <c r="O8" s="498" t="s">
        <v>413</v>
      </c>
      <c r="P8" s="499"/>
      <c r="Q8" s="323"/>
      <c r="R8" s="500" t="s">
        <v>414</v>
      </c>
      <c r="S8" s="501"/>
      <c r="T8" s="502"/>
      <c r="U8" s="333"/>
      <c r="V8" s="336"/>
      <c r="W8" s="495" t="s">
        <v>104</v>
      </c>
      <c r="X8" s="496"/>
      <c r="Y8" s="496"/>
      <c r="Z8" s="497"/>
      <c r="AA8" s="50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8"/>
      <c r="B9" s="486" t="s">
        <v>79</v>
      </c>
      <c r="C9" s="489" t="s">
        <v>1</v>
      </c>
      <c r="D9" s="489" t="s">
        <v>101</v>
      </c>
      <c r="E9" s="489" t="s">
        <v>151</v>
      </c>
      <c r="F9" s="489" t="s">
        <v>51</v>
      </c>
      <c r="G9" s="489" t="s">
        <v>52</v>
      </c>
      <c r="H9" s="489" t="s">
        <v>171</v>
      </c>
      <c r="I9" s="489" t="s">
        <v>172</v>
      </c>
      <c r="J9" s="505" t="s">
        <v>415</v>
      </c>
      <c r="K9" s="503" t="s">
        <v>5</v>
      </c>
      <c r="L9" s="482" t="s">
        <v>441</v>
      </c>
      <c r="M9" s="483"/>
      <c r="N9" s="331" t="s">
        <v>424</v>
      </c>
      <c r="O9" s="482" t="s">
        <v>442</v>
      </c>
      <c r="P9" s="483"/>
      <c r="Q9" s="331" t="s">
        <v>423</v>
      </c>
      <c r="R9" s="482" t="s">
        <v>443</v>
      </c>
      <c r="S9" s="491"/>
      <c r="T9" s="483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8"/>
      <c r="B10" s="487"/>
      <c r="C10" s="490"/>
      <c r="D10" s="490"/>
      <c r="E10" s="490"/>
      <c r="F10" s="490"/>
      <c r="G10" s="490"/>
      <c r="H10" s="490"/>
      <c r="I10" s="490"/>
      <c r="J10" s="490"/>
      <c r="K10" s="504"/>
      <c r="L10" s="484"/>
      <c r="M10" s="485"/>
      <c r="N10" s="332"/>
      <c r="O10" s="484"/>
      <c r="P10" s="485"/>
      <c r="Q10" s="332"/>
      <c r="R10" s="484"/>
      <c r="S10" s="492"/>
      <c r="T10" s="485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79"/>
      <c r="M11" s="481"/>
      <c r="N11" s="346" t="str">
        <f t="shared" ref="N11:N50" si="0">IF(L11="","",$AC$12&amp;L11)</f>
        <v/>
      </c>
      <c r="O11" s="479"/>
      <c r="P11" s="481"/>
      <c r="Q11" s="346" t="str">
        <f t="shared" ref="Q11:Q50" si="1">IF(O11="","",$AC$15&amp;O11)</f>
        <v/>
      </c>
      <c r="R11" s="479"/>
      <c r="S11" s="480"/>
      <c r="T11" s="481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79"/>
      <c r="M12" s="481"/>
      <c r="N12" s="346" t="str">
        <f t="shared" si="0"/>
        <v/>
      </c>
      <c r="O12" s="479"/>
      <c r="P12" s="481"/>
      <c r="Q12" s="346" t="str">
        <f t="shared" si="1"/>
        <v/>
      </c>
      <c r="R12" s="479"/>
      <c r="S12" s="480"/>
      <c r="T12" s="481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79"/>
      <c r="M13" s="481"/>
      <c r="N13" s="346" t="str">
        <f t="shared" si="0"/>
        <v/>
      </c>
      <c r="O13" s="479"/>
      <c r="P13" s="481"/>
      <c r="Q13" s="346" t="str">
        <f t="shared" si="1"/>
        <v/>
      </c>
      <c r="R13" s="479"/>
      <c r="S13" s="480"/>
      <c r="T13" s="481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79"/>
      <c r="M14" s="481"/>
      <c r="N14" s="346" t="str">
        <f t="shared" si="0"/>
        <v/>
      </c>
      <c r="O14" s="479"/>
      <c r="P14" s="481"/>
      <c r="Q14" s="346" t="str">
        <f t="shared" si="1"/>
        <v/>
      </c>
      <c r="R14" s="479"/>
      <c r="S14" s="480"/>
      <c r="T14" s="481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79"/>
      <c r="M15" s="481"/>
      <c r="N15" s="346" t="str">
        <f t="shared" si="0"/>
        <v/>
      </c>
      <c r="O15" s="479"/>
      <c r="P15" s="481"/>
      <c r="Q15" s="346" t="str">
        <f t="shared" si="1"/>
        <v/>
      </c>
      <c r="R15" s="479"/>
      <c r="S15" s="480"/>
      <c r="T15" s="481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79"/>
      <c r="M16" s="481"/>
      <c r="N16" s="346" t="str">
        <f t="shared" si="0"/>
        <v/>
      </c>
      <c r="O16" s="479"/>
      <c r="P16" s="481"/>
      <c r="Q16" s="346" t="str">
        <f t="shared" si="1"/>
        <v/>
      </c>
      <c r="R16" s="479"/>
      <c r="S16" s="480"/>
      <c r="T16" s="481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79"/>
      <c r="M17" s="481"/>
      <c r="N17" s="346" t="str">
        <f t="shared" si="0"/>
        <v/>
      </c>
      <c r="O17" s="479"/>
      <c r="P17" s="481"/>
      <c r="Q17" s="346" t="str">
        <f t="shared" si="1"/>
        <v/>
      </c>
      <c r="R17" s="479"/>
      <c r="S17" s="480"/>
      <c r="T17" s="481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79"/>
      <c r="M18" s="481"/>
      <c r="N18" s="346" t="str">
        <f t="shared" si="0"/>
        <v/>
      </c>
      <c r="O18" s="479"/>
      <c r="P18" s="481"/>
      <c r="Q18" s="346" t="str">
        <f t="shared" si="1"/>
        <v/>
      </c>
      <c r="R18" s="479"/>
      <c r="S18" s="480"/>
      <c r="T18" s="481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79"/>
      <c r="M19" s="481"/>
      <c r="N19" s="346" t="str">
        <f t="shared" si="0"/>
        <v/>
      </c>
      <c r="O19" s="479"/>
      <c r="P19" s="481"/>
      <c r="Q19" s="346" t="str">
        <f t="shared" si="1"/>
        <v/>
      </c>
      <c r="R19" s="479"/>
      <c r="S19" s="480"/>
      <c r="T19" s="481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79"/>
      <c r="M20" s="481"/>
      <c r="N20" s="346" t="str">
        <f t="shared" si="0"/>
        <v/>
      </c>
      <c r="O20" s="479"/>
      <c r="P20" s="481"/>
      <c r="Q20" s="346" t="str">
        <f t="shared" si="1"/>
        <v/>
      </c>
      <c r="R20" s="479"/>
      <c r="S20" s="480"/>
      <c r="T20" s="481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79"/>
      <c r="M21" s="481"/>
      <c r="N21" s="346" t="str">
        <f t="shared" si="0"/>
        <v/>
      </c>
      <c r="O21" s="479"/>
      <c r="P21" s="481"/>
      <c r="Q21" s="346" t="str">
        <f t="shared" si="1"/>
        <v/>
      </c>
      <c r="R21" s="479"/>
      <c r="S21" s="480"/>
      <c r="T21" s="481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79"/>
      <c r="M22" s="481"/>
      <c r="N22" s="346" t="str">
        <f t="shared" si="0"/>
        <v/>
      </c>
      <c r="O22" s="479"/>
      <c r="P22" s="481"/>
      <c r="Q22" s="346" t="str">
        <f t="shared" si="1"/>
        <v/>
      </c>
      <c r="R22" s="479"/>
      <c r="S22" s="480"/>
      <c r="T22" s="481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79"/>
      <c r="M23" s="481"/>
      <c r="N23" s="346" t="str">
        <f t="shared" si="0"/>
        <v/>
      </c>
      <c r="O23" s="479"/>
      <c r="P23" s="481"/>
      <c r="Q23" s="346" t="str">
        <f t="shared" si="1"/>
        <v/>
      </c>
      <c r="R23" s="479"/>
      <c r="S23" s="480"/>
      <c r="T23" s="481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79"/>
      <c r="M24" s="481"/>
      <c r="N24" s="346" t="str">
        <f t="shared" si="0"/>
        <v/>
      </c>
      <c r="O24" s="479"/>
      <c r="P24" s="481"/>
      <c r="Q24" s="346" t="str">
        <f t="shared" si="1"/>
        <v/>
      </c>
      <c r="R24" s="479"/>
      <c r="S24" s="480"/>
      <c r="T24" s="481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79"/>
      <c r="M25" s="481"/>
      <c r="N25" s="346" t="str">
        <f t="shared" si="0"/>
        <v/>
      </c>
      <c r="O25" s="479"/>
      <c r="P25" s="481"/>
      <c r="Q25" s="346" t="str">
        <f t="shared" si="1"/>
        <v/>
      </c>
      <c r="R25" s="479"/>
      <c r="S25" s="480"/>
      <c r="T25" s="481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79"/>
      <c r="M26" s="481"/>
      <c r="N26" s="346" t="str">
        <f t="shared" si="0"/>
        <v/>
      </c>
      <c r="O26" s="479"/>
      <c r="P26" s="481"/>
      <c r="Q26" s="346" t="str">
        <f t="shared" si="1"/>
        <v/>
      </c>
      <c r="R26" s="479"/>
      <c r="S26" s="480"/>
      <c r="T26" s="481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79"/>
      <c r="M27" s="481"/>
      <c r="N27" s="346" t="str">
        <f t="shared" si="0"/>
        <v/>
      </c>
      <c r="O27" s="479"/>
      <c r="P27" s="481"/>
      <c r="Q27" s="346" t="str">
        <f t="shared" si="1"/>
        <v/>
      </c>
      <c r="R27" s="479"/>
      <c r="S27" s="480"/>
      <c r="T27" s="481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79"/>
      <c r="M28" s="481"/>
      <c r="N28" s="346" t="str">
        <f t="shared" si="0"/>
        <v/>
      </c>
      <c r="O28" s="479"/>
      <c r="P28" s="481"/>
      <c r="Q28" s="346" t="str">
        <f t="shared" si="1"/>
        <v/>
      </c>
      <c r="R28" s="479"/>
      <c r="S28" s="480"/>
      <c r="T28" s="481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79"/>
      <c r="M29" s="481"/>
      <c r="N29" s="346" t="str">
        <f t="shared" si="0"/>
        <v/>
      </c>
      <c r="O29" s="479"/>
      <c r="P29" s="481"/>
      <c r="Q29" s="346" t="str">
        <f t="shared" si="1"/>
        <v/>
      </c>
      <c r="R29" s="479"/>
      <c r="S29" s="480"/>
      <c r="T29" s="481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79"/>
      <c r="M30" s="481"/>
      <c r="N30" s="346" t="str">
        <f t="shared" si="0"/>
        <v/>
      </c>
      <c r="O30" s="479"/>
      <c r="P30" s="481"/>
      <c r="Q30" s="346" t="str">
        <f t="shared" si="1"/>
        <v/>
      </c>
      <c r="R30" s="479"/>
      <c r="S30" s="480"/>
      <c r="T30" s="481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79"/>
      <c r="M31" s="481"/>
      <c r="N31" s="346" t="str">
        <f t="shared" si="0"/>
        <v/>
      </c>
      <c r="O31" s="479"/>
      <c r="P31" s="481"/>
      <c r="Q31" s="346" t="str">
        <f t="shared" si="1"/>
        <v/>
      </c>
      <c r="R31" s="479"/>
      <c r="S31" s="480"/>
      <c r="T31" s="481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79"/>
      <c r="M32" s="481"/>
      <c r="N32" s="346" t="str">
        <f t="shared" si="0"/>
        <v/>
      </c>
      <c r="O32" s="479"/>
      <c r="P32" s="481"/>
      <c r="Q32" s="346" t="str">
        <f t="shared" si="1"/>
        <v/>
      </c>
      <c r="R32" s="479"/>
      <c r="S32" s="480"/>
      <c r="T32" s="481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79"/>
      <c r="M33" s="481"/>
      <c r="N33" s="346" t="str">
        <f t="shared" si="0"/>
        <v/>
      </c>
      <c r="O33" s="479"/>
      <c r="P33" s="481"/>
      <c r="Q33" s="346" t="str">
        <f t="shared" si="1"/>
        <v/>
      </c>
      <c r="R33" s="479"/>
      <c r="S33" s="480"/>
      <c r="T33" s="481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79"/>
      <c r="M34" s="481"/>
      <c r="N34" s="346" t="str">
        <f t="shared" si="0"/>
        <v/>
      </c>
      <c r="O34" s="479"/>
      <c r="P34" s="481"/>
      <c r="Q34" s="346" t="str">
        <f t="shared" si="1"/>
        <v/>
      </c>
      <c r="R34" s="479"/>
      <c r="S34" s="480"/>
      <c r="T34" s="481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79"/>
      <c r="M35" s="481"/>
      <c r="N35" s="346" t="str">
        <f t="shared" si="0"/>
        <v/>
      </c>
      <c r="O35" s="479"/>
      <c r="P35" s="481"/>
      <c r="Q35" s="346" t="str">
        <f t="shared" si="1"/>
        <v/>
      </c>
      <c r="R35" s="479"/>
      <c r="S35" s="480"/>
      <c r="T35" s="481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79"/>
      <c r="M36" s="481"/>
      <c r="N36" s="346" t="str">
        <f t="shared" si="0"/>
        <v/>
      </c>
      <c r="O36" s="479"/>
      <c r="P36" s="481"/>
      <c r="Q36" s="346" t="str">
        <f t="shared" si="1"/>
        <v/>
      </c>
      <c r="R36" s="479"/>
      <c r="S36" s="480"/>
      <c r="T36" s="481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79"/>
      <c r="M37" s="481"/>
      <c r="N37" s="346" t="str">
        <f t="shared" si="0"/>
        <v/>
      </c>
      <c r="O37" s="479"/>
      <c r="P37" s="481"/>
      <c r="Q37" s="346" t="str">
        <f t="shared" si="1"/>
        <v/>
      </c>
      <c r="R37" s="479"/>
      <c r="S37" s="480"/>
      <c r="T37" s="481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79"/>
      <c r="M38" s="481"/>
      <c r="N38" s="346" t="str">
        <f t="shared" si="0"/>
        <v/>
      </c>
      <c r="O38" s="479"/>
      <c r="P38" s="481"/>
      <c r="Q38" s="346" t="str">
        <f t="shared" si="1"/>
        <v/>
      </c>
      <c r="R38" s="479"/>
      <c r="S38" s="480"/>
      <c r="T38" s="481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79"/>
      <c r="M39" s="481"/>
      <c r="N39" s="346" t="str">
        <f t="shared" si="0"/>
        <v/>
      </c>
      <c r="O39" s="479"/>
      <c r="P39" s="481"/>
      <c r="Q39" s="346" t="str">
        <f t="shared" si="1"/>
        <v/>
      </c>
      <c r="R39" s="479"/>
      <c r="S39" s="480"/>
      <c r="T39" s="481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79"/>
      <c r="M40" s="481"/>
      <c r="N40" s="346" t="str">
        <f t="shared" si="0"/>
        <v/>
      </c>
      <c r="O40" s="479"/>
      <c r="P40" s="481"/>
      <c r="Q40" s="346" t="str">
        <f t="shared" si="1"/>
        <v/>
      </c>
      <c r="R40" s="479"/>
      <c r="S40" s="480"/>
      <c r="T40" s="481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79"/>
      <c r="M41" s="481"/>
      <c r="N41" s="346" t="str">
        <f t="shared" si="0"/>
        <v/>
      </c>
      <c r="O41" s="479"/>
      <c r="P41" s="481"/>
      <c r="Q41" s="346" t="str">
        <f t="shared" si="1"/>
        <v/>
      </c>
      <c r="R41" s="479"/>
      <c r="S41" s="480"/>
      <c r="T41" s="481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79"/>
      <c r="M42" s="481"/>
      <c r="N42" s="346" t="str">
        <f t="shared" si="0"/>
        <v/>
      </c>
      <c r="O42" s="479"/>
      <c r="P42" s="481"/>
      <c r="Q42" s="346" t="str">
        <f t="shared" si="1"/>
        <v/>
      </c>
      <c r="R42" s="479"/>
      <c r="S42" s="480"/>
      <c r="T42" s="481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79"/>
      <c r="M43" s="481"/>
      <c r="N43" s="346" t="str">
        <f t="shared" si="0"/>
        <v/>
      </c>
      <c r="O43" s="479"/>
      <c r="P43" s="481"/>
      <c r="Q43" s="346" t="str">
        <f t="shared" si="1"/>
        <v/>
      </c>
      <c r="R43" s="479"/>
      <c r="S43" s="480"/>
      <c r="T43" s="481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79"/>
      <c r="M44" s="481"/>
      <c r="N44" s="346" t="str">
        <f t="shared" si="0"/>
        <v/>
      </c>
      <c r="O44" s="479"/>
      <c r="P44" s="481"/>
      <c r="Q44" s="346" t="str">
        <f t="shared" si="1"/>
        <v/>
      </c>
      <c r="R44" s="479"/>
      <c r="S44" s="480"/>
      <c r="T44" s="481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79"/>
      <c r="M45" s="481"/>
      <c r="N45" s="346" t="str">
        <f t="shared" si="0"/>
        <v/>
      </c>
      <c r="O45" s="479"/>
      <c r="P45" s="481"/>
      <c r="Q45" s="346" t="str">
        <f t="shared" si="1"/>
        <v/>
      </c>
      <c r="R45" s="479"/>
      <c r="S45" s="480"/>
      <c r="T45" s="481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79"/>
      <c r="M46" s="481"/>
      <c r="N46" s="346" t="str">
        <f t="shared" si="0"/>
        <v/>
      </c>
      <c r="O46" s="479"/>
      <c r="P46" s="481"/>
      <c r="Q46" s="346" t="str">
        <f t="shared" si="1"/>
        <v/>
      </c>
      <c r="R46" s="479"/>
      <c r="S46" s="480"/>
      <c r="T46" s="481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79"/>
      <c r="M47" s="481"/>
      <c r="N47" s="346" t="str">
        <f t="shared" si="0"/>
        <v/>
      </c>
      <c r="O47" s="479"/>
      <c r="P47" s="481"/>
      <c r="Q47" s="346" t="str">
        <f t="shared" si="1"/>
        <v/>
      </c>
      <c r="R47" s="479"/>
      <c r="S47" s="480"/>
      <c r="T47" s="481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79"/>
      <c r="M48" s="481"/>
      <c r="N48" s="346" t="str">
        <f t="shared" si="0"/>
        <v/>
      </c>
      <c r="O48" s="479"/>
      <c r="P48" s="481"/>
      <c r="Q48" s="346" t="str">
        <f t="shared" si="1"/>
        <v/>
      </c>
      <c r="R48" s="479"/>
      <c r="S48" s="480"/>
      <c r="T48" s="481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79"/>
      <c r="M49" s="481"/>
      <c r="N49" s="346" t="str">
        <f t="shared" si="0"/>
        <v/>
      </c>
      <c r="O49" s="479"/>
      <c r="P49" s="481"/>
      <c r="Q49" s="346" t="str">
        <f t="shared" si="1"/>
        <v/>
      </c>
      <c r="R49" s="479"/>
      <c r="S49" s="480"/>
      <c r="T49" s="481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79"/>
      <c r="M50" s="481"/>
      <c r="N50" s="346" t="str">
        <f t="shared" si="0"/>
        <v/>
      </c>
      <c r="O50" s="479"/>
      <c r="P50" s="481"/>
      <c r="Q50" s="346" t="str">
        <f t="shared" si="1"/>
        <v/>
      </c>
      <c r="R50" s="479"/>
      <c r="S50" s="480"/>
      <c r="T50" s="481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6"/>
      <c r="M51" s="477"/>
      <c r="N51" s="346" t="str">
        <f>IF(AND(L51&lt;&gt;"",M51&lt;&gt;""),CONCATENATE($AC$12,L51,M51),"")</f>
        <v/>
      </c>
      <c r="O51" s="476"/>
      <c r="P51" s="477"/>
      <c r="Q51" s="346" t="str">
        <f>IF(AND(O51&lt;&gt;"",P51&lt;&gt;""),CONCATENATE($AC$15,O51,P51),"")</f>
        <v/>
      </c>
      <c r="R51" s="476"/>
      <c r="S51" s="478"/>
      <c r="T51" s="477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N80QQ/vU/sL7gjbHxr9ljIVsT5vZGE1sze+h162FFp1bFhmsx4oVYTuGXXmzKEz6haLYOXM2nDnv9CycnjI0hA==" saltValue="WpV9Tf6ycvHfqpWGXuag0g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9" zoomScale="85" zoomScaleNormal="85" workbookViewId="0">
      <selection activeCell="F31" sqref="F31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7" t="s">
        <v>38</v>
      </c>
      <c r="D2" s="437"/>
      <c r="E2" s="437"/>
      <c r="F2" s="437"/>
      <c r="G2" s="437"/>
      <c r="H2" s="437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2" t="s">
        <v>39</v>
      </c>
      <c r="D3" s="512"/>
      <c r="E3" s="512"/>
      <c r="F3" s="512"/>
      <c r="G3" s="512"/>
      <c r="H3" s="512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525.29999999999995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7" t="s">
        <v>90</v>
      </c>
      <c r="E7" s="437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7"/>
      <c r="E8" s="517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8"/>
      <c r="E9" s="518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8"/>
      <c r="E10" s="518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8"/>
      <c r="E11" s="518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19"/>
      <c r="E12" s="519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8"/>
      <c r="E13" s="518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8"/>
      <c r="E14" s="518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8"/>
      <c r="E15" s="518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19"/>
      <c r="E16" s="519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0"/>
      <c r="E17" s="520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661.82</v>
      </c>
      <c r="M17" s="103">
        <f ca="1">L17*Acomp_PosProducao_Perc</f>
        <v>13.236400000000001</v>
      </c>
      <c r="N17" s="103">
        <f ca="1">MIN(M17,Acomp_PosProducao_Max)</f>
        <v>13.236400000000001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19"/>
      <c r="E18" s="519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2"/>
      <c r="E19" s="523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19"/>
      <c r="E20" s="519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2"/>
      <c r="E21" s="523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19"/>
      <c r="E22" s="519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2"/>
      <c r="E23" s="523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1" t="s">
        <v>432</v>
      </c>
      <c r="D24" s="521"/>
      <c r="E24" s="521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50" t="s">
        <v>409</v>
      </c>
      <c r="D26" s="513"/>
      <c r="E26" s="451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38.25" x14ac:dyDescent="0.2">
      <c r="A27" s="107"/>
      <c r="B27" s="108"/>
      <c r="C27" s="514" t="s">
        <v>212</v>
      </c>
      <c r="D27" s="515"/>
      <c r="E27" s="516"/>
      <c r="F27" s="351">
        <v>259.99</v>
      </c>
      <c r="G27" s="351"/>
      <c r="H27" s="527" t="s">
        <v>496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ht="25.5" x14ac:dyDescent="0.2">
      <c r="A28" s="107"/>
      <c r="B28" s="108"/>
      <c r="C28" s="514" t="s">
        <v>212</v>
      </c>
      <c r="D28" s="515"/>
      <c r="E28" s="516"/>
      <c r="F28" s="351">
        <v>41</v>
      </c>
      <c r="G28" s="351"/>
      <c r="H28" s="527" t="s">
        <v>500</v>
      </c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1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>•Alocação de recursos / Serviços de consultoria _x000D_</v>
      </c>
      <c r="U28" s="88" t="str">
        <f t="shared" ref="U28:U42" ca="1" si="6">U27&amp;T28</f>
        <v>•Alocação de recursos / Serviços de consultoria _x000D_•Alocação de recursos / Serviços de consultoria _x000D_</v>
      </c>
      <c r="V28" s="34"/>
    </row>
    <row r="29" spans="1:22" s="28" customFormat="1" ht="38.25" x14ac:dyDescent="0.2">
      <c r="A29" s="107"/>
      <c r="B29" s="108"/>
      <c r="C29" s="514" t="s">
        <v>212</v>
      </c>
      <c r="D29" s="515"/>
      <c r="E29" s="516"/>
      <c r="F29" s="351">
        <v>154</v>
      </c>
      <c r="G29" s="351"/>
      <c r="H29" s="527" t="s">
        <v>501</v>
      </c>
      <c r="I29" s="97"/>
      <c r="J29" s="30"/>
      <c r="K29" s="30"/>
      <c r="L29" s="88"/>
      <c r="M29" s="88"/>
      <c r="N29" s="88"/>
      <c r="O29" s="88"/>
      <c r="P29" s="88" t="b">
        <f t="shared" ca="1" si="1"/>
        <v>1</v>
      </c>
      <c r="Q29" s="88" t="b">
        <f t="shared" ca="1" si="2"/>
        <v>1</v>
      </c>
      <c r="R29" s="88" t="b">
        <f t="shared" si="3"/>
        <v>1</v>
      </c>
      <c r="S29" s="88" t="b">
        <f t="shared" si="4"/>
        <v>1</v>
      </c>
      <c r="T29" s="88" t="str">
        <f t="shared" ca="1" si="5"/>
        <v>•Alocação de recursos / Serviços de consultoria _x000D_</v>
      </c>
      <c r="U29" s="88" t="str">
        <f t="shared" ca="1" si="6"/>
        <v>•Alocação de recursos / Serviços de consultoria _x000D_•Alocação de recursos / Serviços de consultoria _x000D_•Alocação de recursos / Serviços de consultoria _x000D_</v>
      </c>
      <c r="V29" s="34"/>
    </row>
    <row r="30" spans="1:22" s="28" customFormat="1" ht="25.5" x14ac:dyDescent="0.2">
      <c r="A30" s="107"/>
      <c r="B30" s="108"/>
      <c r="C30" s="514" t="s">
        <v>212</v>
      </c>
      <c r="D30" s="515"/>
      <c r="E30" s="516"/>
      <c r="F30" s="351">
        <v>36.31</v>
      </c>
      <c r="G30" s="351"/>
      <c r="H30" s="527" t="s">
        <v>502</v>
      </c>
      <c r="I30" s="97"/>
      <c r="J30" s="30"/>
      <c r="K30" s="30"/>
      <c r="L30" s="88"/>
      <c r="M30" s="88"/>
      <c r="N30" s="88"/>
      <c r="O30" s="88"/>
      <c r="P30" s="88" t="b">
        <f t="shared" ca="1" si="1"/>
        <v>1</v>
      </c>
      <c r="Q30" s="88" t="b">
        <f t="shared" ca="1" si="2"/>
        <v>1</v>
      </c>
      <c r="R30" s="88" t="b">
        <f t="shared" si="3"/>
        <v>1</v>
      </c>
      <c r="S30" s="88" t="b">
        <f t="shared" si="4"/>
        <v>1</v>
      </c>
      <c r="T30" s="88" t="str">
        <f t="shared" ca="1" si="5"/>
        <v>•Alocação de recursos / Serviços de consultoria _x000D_</v>
      </c>
      <c r="U30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</v>
      </c>
      <c r="V30" s="34"/>
    </row>
    <row r="31" spans="1:22" s="28" customFormat="1" x14ac:dyDescent="0.2">
      <c r="A31" s="107"/>
      <c r="B31" s="108"/>
      <c r="C31" s="514" t="s">
        <v>212</v>
      </c>
      <c r="D31" s="515"/>
      <c r="E31" s="516"/>
      <c r="F31" s="351">
        <v>16</v>
      </c>
      <c r="G31" s="351"/>
      <c r="H31" s="227" t="s">
        <v>18</v>
      </c>
      <c r="I31" s="97"/>
      <c r="J31" s="30"/>
      <c r="K31" s="30"/>
      <c r="L31" s="88"/>
      <c r="M31" s="88"/>
      <c r="N31" s="88"/>
      <c r="O31" s="88"/>
      <c r="P31" s="88" t="b">
        <f t="shared" ca="1" si="1"/>
        <v>1</v>
      </c>
      <c r="Q31" s="88" t="b">
        <f t="shared" ca="1" si="2"/>
        <v>1</v>
      </c>
      <c r="R31" s="88" t="b">
        <f t="shared" si="3"/>
        <v>1</v>
      </c>
      <c r="S31" s="88" t="b">
        <f t="shared" si="4"/>
        <v>1</v>
      </c>
      <c r="T31" s="88" t="str">
        <f t="shared" ca="1" si="5"/>
        <v>•Alocação de recursos / Serviços de consultoria _x000D_</v>
      </c>
      <c r="U31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1" s="34"/>
    </row>
    <row r="32" spans="1:22" s="28" customFormat="1" ht="25.5" x14ac:dyDescent="0.2">
      <c r="A32" s="107"/>
      <c r="B32" s="108"/>
      <c r="C32" s="514" t="s">
        <v>212</v>
      </c>
      <c r="D32" s="515"/>
      <c r="E32" s="516"/>
      <c r="F32" s="351">
        <v>18</v>
      </c>
      <c r="G32" s="351"/>
      <c r="H32" s="527" t="s">
        <v>503</v>
      </c>
      <c r="I32" s="97"/>
      <c r="J32" s="30"/>
      <c r="K32" s="30"/>
      <c r="L32" s="88"/>
      <c r="M32" s="88"/>
      <c r="N32" s="88"/>
      <c r="O32" s="88"/>
      <c r="P32" s="88" t="b">
        <f t="shared" ca="1" si="1"/>
        <v>1</v>
      </c>
      <c r="Q32" s="88" t="b">
        <f t="shared" ca="1" si="2"/>
        <v>1</v>
      </c>
      <c r="R32" s="88" t="b">
        <f t="shared" si="3"/>
        <v>1</v>
      </c>
      <c r="S32" s="88" t="b">
        <f t="shared" si="4"/>
        <v>1</v>
      </c>
      <c r="T32" s="88" t="str">
        <f t="shared" ca="1" si="5"/>
        <v>•Alocação de recursos / Serviços de consultoria _x000D_</v>
      </c>
      <c r="U32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2" s="34"/>
    </row>
    <row r="33" spans="1:242" s="28" customFormat="1" x14ac:dyDescent="0.2">
      <c r="A33" s="107"/>
      <c r="B33" s="108"/>
      <c r="C33" s="514"/>
      <c r="D33" s="515"/>
      <c r="E33" s="516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3" s="34"/>
    </row>
    <row r="34" spans="1:242" s="28" customFormat="1" x14ac:dyDescent="0.2">
      <c r="A34" s="107"/>
      <c r="B34" s="108"/>
      <c r="C34" s="514"/>
      <c r="D34" s="515"/>
      <c r="E34" s="516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4" s="34"/>
    </row>
    <row r="35" spans="1:242" s="28" customFormat="1" x14ac:dyDescent="0.2">
      <c r="A35" s="107"/>
      <c r="B35" s="108"/>
      <c r="C35" s="514"/>
      <c r="D35" s="515"/>
      <c r="E35" s="516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5" s="34"/>
    </row>
    <row r="36" spans="1:242" s="28" customFormat="1" x14ac:dyDescent="0.2">
      <c r="A36" s="107"/>
      <c r="B36" s="108"/>
      <c r="C36" s="514"/>
      <c r="D36" s="515"/>
      <c r="E36" s="516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6" s="34"/>
    </row>
    <row r="37" spans="1:242" s="28" customFormat="1" x14ac:dyDescent="0.2">
      <c r="A37" s="107"/>
      <c r="B37" s="108"/>
      <c r="C37" s="514"/>
      <c r="D37" s="515"/>
      <c r="E37" s="516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7" s="34"/>
    </row>
    <row r="38" spans="1:242" s="28" customFormat="1" x14ac:dyDescent="0.2">
      <c r="A38" s="107"/>
      <c r="B38" s="108"/>
      <c r="C38" s="514"/>
      <c r="D38" s="515"/>
      <c r="E38" s="516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8" s="34"/>
    </row>
    <row r="39" spans="1:242" s="98" customFormat="1" x14ac:dyDescent="0.2">
      <c r="A39" s="107"/>
      <c r="B39" s="112"/>
      <c r="C39" s="514"/>
      <c r="D39" s="515"/>
      <c r="E39" s="516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4"/>
      <c r="D40" s="515"/>
      <c r="E40" s="516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0" s="34"/>
    </row>
    <row r="41" spans="1:242" s="28" customFormat="1" x14ac:dyDescent="0.2">
      <c r="A41" s="107"/>
      <c r="B41" s="108"/>
      <c r="C41" s="514"/>
      <c r="D41" s="515"/>
      <c r="E41" s="516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1" s="34"/>
    </row>
    <row r="42" spans="1:242" s="28" customFormat="1" x14ac:dyDescent="0.2">
      <c r="A42" s="107"/>
      <c r="B42" s="108"/>
      <c r="C42" s="514"/>
      <c r="D42" s="515"/>
      <c r="E42" s="516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2" s="34"/>
    </row>
    <row r="43" spans="1:242" s="28" customFormat="1" x14ac:dyDescent="0.2">
      <c r="A43" s="107"/>
      <c r="B43" s="108"/>
      <c r="C43" s="521" t="s">
        <v>41</v>
      </c>
      <c r="D43" s="521"/>
      <c r="E43" s="521"/>
      <c r="F43" s="221">
        <f>SUM(F27:F42)</f>
        <v>525.29999999999995</v>
      </c>
      <c r="G43" s="221">
        <f>SUM(G27:G42)</f>
        <v>0</v>
      </c>
      <c r="H43" s="137"/>
      <c r="I43" s="34"/>
      <c r="J43" s="88"/>
      <c r="K43" s="88"/>
      <c r="L43" s="102">
        <f>MAX(F43:G43)</f>
        <v>525.29999999999995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0" t="s">
        <v>62</v>
      </c>
      <c r="E55" s="451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1"/>
      <c r="E56" s="511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09"/>
      <c r="E57" s="510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7" t="s">
        <v>69</v>
      </c>
      <c r="E60" s="437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1"/>
      <c r="E61" s="511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09"/>
      <c r="E62" s="510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3/32OCD7wS4lMM8l0fblEV/AzSOWTHqX9fUuTjFyle9dZFiuoP0PEnKPk8HDht45tfcfoBYXCm+NvHOTx1nM0g==" saltValue="HPsnIMD0umBv1SZYAEtZHQ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topLeftCell="A4" zoomScale="85" zoomScaleNormal="85" workbookViewId="0">
      <selection activeCell="E12" sqref="E1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7" t="s">
        <v>26</v>
      </c>
      <c r="C2" s="437"/>
      <c r="D2" s="437"/>
      <c r="E2" s="437"/>
      <c r="F2" s="437"/>
      <c r="G2" s="437"/>
      <c r="H2" s="437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4" t="s">
        <v>85</v>
      </c>
      <c r="C3" s="524"/>
      <c r="D3" s="524"/>
      <c r="E3" s="524"/>
      <c r="F3" s="524"/>
      <c r="G3" s="524"/>
      <c r="H3" s="524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 t="s">
        <v>167</v>
      </c>
      <c r="E7" s="82">
        <f ca="1"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5.84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1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 ca="1">ROUND(IF(EsforcoFases[[#This Row],[checks]]=FALSE,0,PontosFuncao[[#Totals],[Esforço]]*IF(C7="","",VLOOKUP(B7,PercentuaisFases[],VLOOKUP(Fornecedor,MapFasesFornecedores[#All],3,FALSE),FALSE))),2)</f>
        <v>5.84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 ca="1">Q7+R7</f>
        <v>5.84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 t="s">
        <v>167</v>
      </c>
      <c r="E9" s="82">
        <f ca="1"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23.36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1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 ca="1">ROUND(IF(EsforcoFases[[#This Row],[checks]]=FALSE,0,PontosFuncao[[#Totals],[Esforço]]*IF(C9="","",VLOOKUP(B9,PercentuaisFases[],VLOOKUP(Fornecedor,MapFasesFornecedores[#All],3,FALSE),FALSE))),2)</f>
        <v>23.36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 ca="1">Q9+R9</f>
        <v>23.36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 t="s">
        <v>167</v>
      </c>
      <c r="E12" s="82">
        <f ca="1"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102.94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1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 ca="1">ROUND(IF(EsforcoFases[[#This Row],[checks]]=FALSE,0,PontosFuncao[[#Totals],[Esforço]]*IF(C12="","",VLOOKUP(B12,PercentuaisFases[],VLOOKUP(Fornecedor,MapFasesFornecedores[#All],3,FALSE),FALSE))),2)</f>
        <v>102.94</v>
      </c>
      <c r="R12" s="396">
        <f>ROUND(IF(EsforcoFases[[#This Row],[checks]]=FALSE,0,V15),2)</f>
        <v>0</v>
      </c>
      <c r="S12" s="397">
        <f ca="1">Q12+R12</f>
        <v>102.94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 t="s">
        <v>167</v>
      </c>
      <c r="E17" s="82">
        <f ca="1"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4.38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1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 ca="1">ROUND(IF(EsforcoFases[[#This Row],[checks]]=FALSE,0,PontosFuncao[[#Totals],[Esforço]]*IF(C17="","",VLOOKUP(B17,PercentuaisFases[],VLOOKUP(Fornecedor,MapFasesFornecedores[#All],3,FALSE),FALSE))),2)</f>
        <v>4.38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ca="1" si="1">Q17+R17</f>
        <v>4.38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 ca="1">ROUND(SUBTOTAL(109,EsforcoFases[Esforço em Horas (calculado)]),2)</f>
        <v>136.52000000000001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 ca="1">SUBTOTAL(109,Q6:Q18)</f>
        <v>136.51999999999998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wG8ILEP9h0UAZCZEwMeUinlK0cUeEa5kMju3Q4PRJjt3PcXnB7UfltEFKTy1FYTCZscGNLBgiu/2GiRDMvnrjQ==" saltValue="hNo2goEu75KiJygVAS+JeQ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7" t="s">
        <v>23</v>
      </c>
      <c r="C2" s="437"/>
      <c r="D2" s="437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gwjzuipasKkff1ft8O8UyCxxAX7mcr+kAqsuXMa3DIsXR5mA48pTfUO6AIbCLHp7EyrP3lbhN+/ESWVwRbBr/A==" saltValue="QjKDXy/wBaR9Rpfe9zecbQ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B15" sqref="B15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7" t="s">
        <v>22</v>
      </c>
      <c r="C2" s="437"/>
      <c r="D2" s="437"/>
      <c r="E2" s="437"/>
      <c r="F2" s="437"/>
      <c r="G2" s="437"/>
      <c r="H2" s="437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125.9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154.36000000000001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154.36000000000001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125.9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125.9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125.9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154.36000000000001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154.36000000000001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154.36000000000001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154.36000000000001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170.64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125.9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125.9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154.36000000000001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125.9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125.9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154.36000000000001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154.36000000000001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154.36000000000001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125.9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125.9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125.9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125.9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154.36000000000001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154.36000000000001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154.36000000000001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154.36000000000001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154.36000000000001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125.9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125.9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154.36000000000001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154.36000000000001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125.9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125.9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154.36000000000001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125.9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bio5R3NvMOFAwIq8gZ6rB9vgiYbpcBFZ3MEdTMb0VunodeRGbVy+gD/eWabow4P+Kc+iSIdxhPmKj0dFtR5DgA==" saltValue="6x8ajeH1xpRdEMUI1MmmEw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7"/>
  <sheetViews>
    <sheetView showGridLines="0" showRowColHeaders="0" zoomScale="85" zoomScaleNormal="85" workbookViewId="0">
      <selection activeCell="B17" sqref="B17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</sheetData>
  <sheetProtection algorithmName="SHA-512" hashValue="g9KWzUe8gYlSVcMGQfR1CbOtBqW5cw+e/5Dpa3a+HIkvsZ97OyUmiIQsywFNtaN1vsRhYJ7eZjDP0c1FpVD9Gg==" saltValue="54XDG/vPwUqyvEyptGj9l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5" t="s">
        <v>14</v>
      </c>
      <c r="C2" s="525"/>
      <c r="D2" s="525"/>
      <c r="E2" s="525"/>
      <c r="F2" s="525"/>
      <c r="G2" s="525"/>
      <c r="H2" s="525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5g+5AcBwpxTzhN4pknNobI/0kQzR12g6s27CAU9YBzvF3FIniEhXIJFb6pT4JXi51M6O2PKmL0WiQPA0kjViPg==" saltValue="2yElYEbIyD1udZEhCEEYsw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6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6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6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6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i++i10xrAsglBwjHfNPCllX4/aE1ODOnvxQv8IKgLpxY387Rc6UrjUO3ZyWamZc4XkTjW/tWQ0d5wbrfnnFx5Q==" saltValue="umOxStyEBXtU2BozcJvJOw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3XrO0ijpIwsrDSJ43MFmlY3HOUUV1/cOoun2qDjSBoZTy2V8nvZyXEWT4U3zjbgMXkLsM33WxOrkDfwAcdWqIg==" saltValue="tlWRS+VLiE2A4WHpR44sUw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EJ0SCdNO/e9aAM4IQZcDW3LiL9nPplWGQOdS1gbCTXiVrpK9fGExYZJLmvbYipQRSYIlsmlDoIyLzps/lbAtsg==" saltValue="YSeuvKKLiBY55wz1vJOvNg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Teixeira, Rafaela R.</cp:lastModifiedBy>
  <dcterms:created xsi:type="dcterms:W3CDTF">2006-09-25T12:47:36Z</dcterms:created>
  <dcterms:modified xsi:type="dcterms:W3CDTF">2018-01-02T20:18:44Z</dcterms:modified>
</cp:coreProperties>
</file>