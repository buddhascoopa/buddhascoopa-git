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bic\Desktop\Propostas\"/>
    </mc:Choice>
  </mc:AlternateContent>
  <workbookProtection workbookPassword="CABF" lockStructure="1"/>
  <bookViews>
    <workbookView xWindow="0" yWindow="0" windowWidth="20220" windowHeight="7485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52511"/>
</workbook>
</file>

<file path=xl/calcChain.xml><?xml version="1.0" encoding="utf-8"?>
<calcChain xmlns="http://schemas.openxmlformats.org/spreadsheetml/2006/main">
  <c r="F19" i="4" l="1"/>
  <c r="G9" i="4" s="1"/>
  <c r="L19" i="12"/>
  <c r="M19" i="12" s="1"/>
  <c r="L20" i="12"/>
  <c r="M20" i="12" s="1"/>
  <c r="L21" i="12"/>
  <c r="M21" i="12" s="1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C11" i="8"/>
  <c r="F11" i="12" s="1"/>
  <c r="F43" i="12"/>
  <c r="G43" i="12"/>
  <c r="F46" i="12"/>
  <c r="F47" i="12"/>
  <c r="G47" i="12" s="1"/>
  <c r="F48" i="12"/>
  <c r="G48" i="12" s="1"/>
  <c r="F49" i="12"/>
  <c r="G49" i="12" s="1"/>
  <c r="F50" i="12"/>
  <c r="G50" i="12" s="1"/>
  <c r="F51" i="12"/>
  <c r="G51" i="12" s="1"/>
  <c r="F56" i="12"/>
  <c r="F57" i="12" s="1"/>
  <c r="G57" i="12" s="1"/>
  <c r="F61" i="12"/>
  <c r="F62" i="12" s="1"/>
  <c r="G62" i="12" s="1"/>
  <c r="I7" i="4"/>
  <c r="E7" i="4" s="1"/>
  <c r="I9" i="4"/>
  <c r="E9" i="4" s="1"/>
  <c r="I10" i="4"/>
  <c r="I12" i="4"/>
  <c r="E12" i="4" s="1"/>
  <c r="I14" i="4"/>
  <c r="I15" i="4"/>
  <c r="E15" i="4" s="1"/>
  <c r="I17" i="4"/>
  <c r="E17" i="4" s="1"/>
  <c r="I18" i="4"/>
  <c r="E18" i="4" s="1"/>
  <c r="AK18" i="16"/>
  <c r="AJ18" i="16"/>
  <c r="AI18" i="16"/>
  <c r="AE21" i="16"/>
  <c r="L29" i="21"/>
  <c r="M29" i="21"/>
  <c r="AK29" i="16"/>
  <c r="AJ29" i="16"/>
  <c r="AI29" i="16"/>
  <c r="L28" i="21"/>
  <c r="M28" i="21"/>
  <c r="AK28" i="16"/>
  <c r="AJ28" i="16"/>
  <c r="AI28" i="16"/>
  <c r="AK9" i="16"/>
  <c r="AJ9" i="16"/>
  <c r="AI9" i="16"/>
  <c r="AK20" i="16"/>
  <c r="AJ20" i="16"/>
  <c r="AI20" i="16"/>
  <c r="U11" i="30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Q28" i="30"/>
  <c r="Q29" i="30"/>
  <c r="Q30" i="30"/>
  <c r="Q31" i="30"/>
  <c r="Q32" i="30"/>
  <c r="Q33" i="30"/>
  <c r="Q34" i="30"/>
  <c r="Q35" i="30"/>
  <c r="Q36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AH18" i="16"/>
  <c r="J8" i="12"/>
  <c r="J12" i="12"/>
  <c r="J16" i="12"/>
  <c r="J17" i="12"/>
  <c r="J18" i="12"/>
  <c r="J19" i="12"/>
  <c r="N5" i="4"/>
  <c r="E3" i="21" s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AH4" i="16"/>
  <c r="AH5" i="16"/>
  <c r="AH6" i="16"/>
  <c r="AH7" i="16"/>
  <c r="AH8" i="16"/>
  <c r="AH9" i="16"/>
  <c r="AH10" i="16"/>
  <c r="AH11" i="16"/>
  <c r="AH12" i="16"/>
  <c r="AH13" i="16"/>
  <c r="AH14" i="16"/>
  <c r="AH15" i="16"/>
  <c r="AH16" i="16"/>
  <c r="AH17" i="16"/>
  <c r="AH19" i="16"/>
  <c r="AH20" i="16"/>
  <c r="AH21" i="16"/>
  <c r="AH22" i="16"/>
  <c r="AH23" i="16"/>
  <c r="AH24" i="16"/>
  <c r="AH25" i="16"/>
  <c r="AH26" i="16"/>
  <c r="AH27" i="16"/>
  <c r="AH3" i="16"/>
  <c r="AK23" i="16"/>
  <c r="AJ23" i="16"/>
  <c r="AI23" i="16"/>
  <c r="L27" i="21"/>
  <c r="M27" i="21"/>
  <c r="L24" i="21"/>
  <c r="L25" i="21"/>
  <c r="L26" i="21"/>
  <c r="M24" i="21"/>
  <c r="M25" i="21"/>
  <c r="M26" i="21"/>
  <c r="L23" i="21"/>
  <c r="M23" i="21"/>
  <c r="AK27" i="16"/>
  <c r="AJ27" i="16"/>
  <c r="AI27" i="16"/>
  <c r="AK26" i="16"/>
  <c r="AJ26" i="16"/>
  <c r="AI26" i="16"/>
  <c r="AK11" i="16"/>
  <c r="AJ11" i="16"/>
  <c r="AI11" i="16"/>
  <c r="D5" i="6"/>
  <c r="E5" i="6"/>
  <c r="AK25" i="16"/>
  <c r="AJ25" i="16"/>
  <c r="AI25" i="16"/>
  <c r="O26" i="38"/>
  <c r="N26" i="38"/>
  <c r="L26" i="36"/>
  <c r="AJ15" i="16"/>
  <c r="AK15" i="16"/>
  <c r="AI15" i="16"/>
  <c r="AK16" i="16"/>
  <c r="AJ16" i="16"/>
  <c r="AI16" i="16"/>
  <c r="U9" i="4"/>
  <c r="U5" i="4"/>
  <c r="C4" i="38"/>
  <c r="C4" i="36"/>
  <c r="F5" i="36" s="1"/>
  <c r="L26" i="38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39" i="30"/>
  <c r="U40" i="30"/>
  <c r="U41" i="30"/>
  <c r="U42" i="30"/>
  <c r="U43" i="30"/>
  <c r="U44" i="30"/>
  <c r="U45" i="30"/>
  <c r="U46" i="30"/>
  <c r="U47" i="30"/>
  <c r="U48" i="30"/>
  <c r="U49" i="30"/>
  <c r="U50" i="30"/>
  <c r="Q37" i="30"/>
  <c r="Q38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Z46" i="30"/>
  <c r="Z43" i="30"/>
  <c r="K13" i="34"/>
  <c r="K12" i="34"/>
  <c r="K11" i="34"/>
  <c r="Z47" i="30"/>
  <c r="X11" i="34"/>
  <c r="Z35" i="30"/>
  <c r="Z34" i="30"/>
  <c r="Z27" i="30"/>
  <c r="Z42" i="30"/>
  <c r="Z38" i="30"/>
  <c r="Z30" i="30"/>
  <c r="Z26" i="30"/>
  <c r="Z39" i="30"/>
  <c r="Z23" i="30"/>
  <c r="Z15" i="30"/>
  <c r="Z22" i="30"/>
  <c r="Z31" i="30"/>
  <c r="Z19" i="30"/>
  <c r="Z50" i="30"/>
  <c r="Z18" i="30"/>
  <c r="Z14" i="30"/>
  <c r="Z49" i="30"/>
  <c r="Z45" i="30"/>
  <c r="Z41" i="30"/>
  <c r="Z37" i="30"/>
  <c r="Z33" i="30"/>
  <c r="Z29" i="30"/>
  <c r="Z25" i="30"/>
  <c r="Z21" i="30"/>
  <c r="Z17" i="30"/>
  <c r="Z13" i="30"/>
  <c r="Z48" i="30"/>
  <c r="Z44" i="30"/>
  <c r="Z40" i="30"/>
  <c r="Z36" i="30"/>
  <c r="Z32" i="30"/>
  <c r="Z28" i="30"/>
  <c r="Z24" i="30"/>
  <c r="Z20" i="30"/>
  <c r="Z16" i="30"/>
  <c r="Z12" i="30"/>
  <c r="AC34" i="30"/>
  <c r="AC33" i="30"/>
  <c r="AC32" i="30"/>
  <c r="Z49" i="34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W13" i="34"/>
  <c r="Z13" i="34"/>
  <c r="Y13" i="34"/>
  <c r="W12" i="34"/>
  <c r="Y12" i="34"/>
  <c r="Z12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/>
  <c r="W36" i="30"/>
  <c r="W21" i="30"/>
  <c r="W13" i="30"/>
  <c r="W48" i="30"/>
  <c r="W32" i="30"/>
  <c r="W20" i="30"/>
  <c r="W12" i="30"/>
  <c r="W44" i="30"/>
  <c r="W28" i="30"/>
  <c r="W17" i="30"/>
  <c r="W40" i="30"/>
  <c r="W24" i="30"/>
  <c r="AA24" i="30" s="1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W11" i="30"/>
  <c r="Z11" i="30"/>
  <c r="Y11" i="30"/>
  <c r="X11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L22" i="21"/>
  <c r="M22" i="21"/>
  <c r="AK24" i="16"/>
  <c r="AJ24" i="16"/>
  <c r="AI24" i="16"/>
  <c r="L21" i="21"/>
  <c r="M21" i="21"/>
  <c r="AK22" i="16"/>
  <c r="AJ22" i="16"/>
  <c r="AI22" i="16"/>
  <c r="L20" i="21"/>
  <c r="M20" i="21"/>
  <c r="L19" i="21"/>
  <c r="M19" i="21"/>
  <c r="AK21" i="16"/>
  <c r="AJ21" i="16"/>
  <c r="AI21" i="16"/>
  <c r="L18" i="21"/>
  <c r="M18" i="21"/>
  <c r="L11" i="21"/>
  <c r="M11" i="21"/>
  <c r="AK19" i="16"/>
  <c r="AJ19" i="16"/>
  <c r="AI19" i="16"/>
  <c r="L17" i="21"/>
  <c r="M17" i="21"/>
  <c r="AK17" i="16"/>
  <c r="AJ17" i="16"/>
  <c r="AI17" i="16"/>
  <c r="AK14" i="16"/>
  <c r="AJ14" i="16"/>
  <c r="AI14" i="16"/>
  <c r="AK13" i="16"/>
  <c r="AJ13" i="16"/>
  <c r="AI13" i="16"/>
  <c r="AK12" i="16"/>
  <c r="AJ12" i="16"/>
  <c r="AI12" i="16"/>
  <c r="AI10" i="16"/>
  <c r="AJ10" i="16"/>
  <c r="AK10" i="16"/>
  <c r="AI8" i="16"/>
  <c r="AJ8" i="16"/>
  <c r="AK8" i="16"/>
  <c r="AK7" i="16"/>
  <c r="AJ7" i="16"/>
  <c r="AI7" i="16"/>
  <c r="AI6" i="16"/>
  <c r="AJ6" i="16"/>
  <c r="AK6" i="16"/>
  <c r="AK5" i="16"/>
  <c r="AJ5" i="16"/>
  <c r="AI5" i="16"/>
  <c r="AI4" i="16"/>
  <c r="AJ4" i="16"/>
  <c r="AK4" i="16"/>
  <c r="AK3" i="16"/>
  <c r="AJ3" i="16"/>
  <c r="AI3" i="16"/>
  <c r="M16" i="21"/>
  <c r="L16" i="21"/>
  <c r="M15" i="21"/>
  <c r="L15" i="21"/>
  <c r="M14" i="21"/>
  <c r="L14" i="21"/>
  <c r="M13" i="21"/>
  <c r="L13" i="21"/>
  <c r="L12" i="21"/>
  <c r="M12" i="21"/>
  <c r="L10" i="21"/>
  <c r="M10" i="21"/>
  <c r="L9" i="21"/>
  <c r="M9" i="21"/>
  <c r="L17" i="36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N7" i="38"/>
  <c r="G8" i="1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8" i="21"/>
  <c r="M8" i="21"/>
  <c r="L7" i="21"/>
  <c r="M7" i="21"/>
  <c r="L12" i="12"/>
  <c r="M12" i="12"/>
  <c r="M8" i="12"/>
  <c r="L8" i="12"/>
  <c r="M6" i="21"/>
  <c r="M3" i="21"/>
  <c r="M4" i="21"/>
  <c r="M5" i="21"/>
  <c r="L5" i="21"/>
  <c r="L3" i="21"/>
  <c r="L4" i="21"/>
  <c r="L6" i="21"/>
  <c r="R6" i="13"/>
  <c r="R5" i="13"/>
  <c r="R28" i="12"/>
  <c r="S28" i="12"/>
  <c r="Q28" i="12" s="1"/>
  <c r="R29" i="12"/>
  <c r="S29" i="12"/>
  <c r="Q29" i="12" s="1"/>
  <c r="T29" i="12" s="1"/>
  <c r="R30" i="12"/>
  <c r="S30" i="12"/>
  <c r="Q30" i="12" s="1"/>
  <c r="R31" i="12"/>
  <c r="S31" i="12"/>
  <c r="Q31" i="12" s="1"/>
  <c r="R32" i="12"/>
  <c r="S32" i="12"/>
  <c r="Q32" i="12" s="1"/>
  <c r="T32" i="12" s="1"/>
  <c r="R33" i="12"/>
  <c r="S33" i="12"/>
  <c r="Q33" i="12" s="1"/>
  <c r="R34" i="12"/>
  <c r="S34" i="12"/>
  <c r="Q34" i="12" s="1"/>
  <c r="T34" i="12" s="1"/>
  <c r="R35" i="12"/>
  <c r="S35" i="12"/>
  <c r="Q35" i="12" s="1"/>
  <c r="R36" i="12"/>
  <c r="S36" i="12"/>
  <c r="Q36" i="12" s="1"/>
  <c r="T36" i="12" s="1"/>
  <c r="R37" i="12"/>
  <c r="S37" i="12"/>
  <c r="Q37" i="12" s="1"/>
  <c r="R38" i="12"/>
  <c r="S38" i="12"/>
  <c r="Q38" i="12" s="1"/>
  <c r="R39" i="12"/>
  <c r="S39" i="12"/>
  <c r="Q39" i="12" s="1"/>
  <c r="R40" i="12"/>
  <c r="S40" i="12"/>
  <c r="Q40" i="12" s="1"/>
  <c r="T40" i="12" s="1"/>
  <c r="R41" i="12"/>
  <c r="S41" i="12"/>
  <c r="Q41" i="12" s="1"/>
  <c r="R42" i="12"/>
  <c r="S42" i="12"/>
  <c r="Q42" i="12" s="1"/>
  <c r="T42" i="12" s="1"/>
  <c r="R27" i="12"/>
  <c r="S27" i="12"/>
  <c r="D5" i="16"/>
  <c r="C9" i="8"/>
  <c r="D13" i="16"/>
  <c r="D10" i="16"/>
  <c r="D8" i="16"/>
  <c r="D3" i="16"/>
  <c r="C36" i="8"/>
  <c r="I6" i="4"/>
  <c r="I8" i="4"/>
  <c r="I11" i="4"/>
  <c r="I13" i="4"/>
  <c r="I16" i="4"/>
  <c r="G15" i="4"/>
  <c r="G18" i="4"/>
  <c r="G7" i="4"/>
  <c r="G10" i="4"/>
  <c r="AA3" i="1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6" i="12"/>
  <c r="Y3" i="18"/>
  <c r="N19" i="12"/>
  <c r="X3" i="18"/>
  <c r="F21" i="12"/>
  <c r="Z2" i="18"/>
  <c r="F19" i="12"/>
  <c r="G17" i="4" l="1"/>
  <c r="Q17" i="4"/>
  <c r="AA44" i="30"/>
  <c r="AA19" i="30"/>
  <c r="AA35" i="30"/>
  <c r="G56" i="12"/>
  <c r="G12" i="4"/>
  <c r="G14" i="4"/>
  <c r="AA42" i="30"/>
  <c r="L43" i="12"/>
  <c r="R18" i="4"/>
  <c r="AA30" i="30"/>
  <c r="AA46" i="30"/>
  <c r="V44" i="30"/>
  <c r="V48" i="30"/>
  <c r="V40" i="30"/>
  <c r="V35" i="30"/>
  <c r="V31" i="30"/>
  <c r="V27" i="30"/>
  <c r="V23" i="30"/>
  <c r="V19" i="30"/>
  <c r="V15" i="30"/>
  <c r="V11" i="30"/>
  <c r="Q18" i="4"/>
  <c r="M12" i="23"/>
  <c r="AA33" i="30"/>
  <c r="AA49" i="30"/>
  <c r="AA26" i="34"/>
  <c r="AA26" i="30"/>
  <c r="C10" i="5"/>
  <c r="D10" i="5" s="1"/>
  <c r="P29" i="15"/>
  <c r="Q29" i="15" s="1"/>
  <c r="P54" i="15"/>
  <c r="Q54" i="15" s="1"/>
  <c r="P55" i="15"/>
  <c r="Q55" i="15" s="1"/>
  <c r="P108" i="15"/>
  <c r="Q108" i="15" s="1"/>
  <c r="P128" i="15"/>
  <c r="Q128" i="15" s="1"/>
  <c r="P135" i="15"/>
  <c r="Q135" i="15" s="1"/>
  <c r="P145" i="15"/>
  <c r="Q145" i="15" s="1"/>
  <c r="P158" i="15"/>
  <c r="Q158" i="15" s="1"/>
  <c r="K12" i="12"/>
  <c r="AA48" i="30"/>
  <c r="AA28" i="30"/>
  <c r="M27" i="28"/>
  <c r="AA27" i="30"/>
  <c r="Q9" i="4"/>
  <c r="R15" i="4"/>
  <c r="V32" i="34"/>
  <c r="V41" i="34"/>
  <c r="C25" i="5"/>
  <c r="D25" i="5" s="1"/>
  <c r="V36" i="30"/>
  <c r="V32" i="30"/>
  <c r="V28" i="30"/>
  <c r="V24" i="30"/>
  <c r="V20" i="30"/>
  <c r="V16" i="30"/>
  <c r="V12" i="30"/>
  <c r="V34" i="30"/>
  <c r="V30" i="30"/>
  <c r="V26" i="30"/>
  <c r="V22" i="30"/>
  <c r="V18" i="30"/>
  <c r="V14" i="30"/>
  <c r="R9" i="4"/>
  <c r="Q15" i="4"/>
  <c r="Q7" i="4"/>
  <c r="R7" i="4"/>
  <c r="E5" i="36"/>
  <c r="D5" i="36"/>
  <c r="C5" i="5"/>
  <c r="D5" i="5" s="1"/>
  <c r="C9" i="5"/>
  <c r="D9" i="5" s="1"/>
  <c r="G61" i="12"/>
  <c r="AA18" i="30"/>
  <c r="AA34" i="30"/>
  <c r="AA50" i="30"/>
  <c r="AA11" i="34"/>
  <c r="AA46" i="34"/>
  <c r="AA19" i="34"/>
  <c r="AA20" i="34"/>
  <c r="AA28" i="34"/>
  <c r="AA30" i="34"/>
  <c r="AA14" i="34"/>
  <c r="AA18" i="34"/>
  <c r="AA43" i="34"/>
  <c r="AA15" i="34"/>
  <c r="AA45" i="34"/>
  <c r="AA25" i="34"/>
  <c r="AA21" i="34"/>
  <c r="AA27" i="34"/>
  <c r="AA41" i="34"/>
  <c r="AA24" i="34"/>
  <c r="AA32" i="34"/>
  <c r="AA31" i="34"/>
  <c r="AA35" i="34"/>
  <c r="AA36" i="34"/>
  <c r="AA23" i="34"/>
  <c r="AA37" i="34"/>
  <c r="AA39" i="30"/>
  <c r="AA17" i="34"/>
  <c r="V50" i="30"/>
  <c r="V46" i="30"/>
  <c r="L27" i="38"/>
  <c r="F23" i="8" s="1"/>
  <c r="AA40" i="30"/>
  <c r="V47" i="30"/>
  <c r="V43" i="30"/>
  <c r="V39" i="30"/>
  <c r="V45" i="30"/>
  <c r="V14" i="34"/>
  <c r="V16" i="34"/>
  <c r="V18" i="34"/>
  <c r="V20" i="34"/>
  <c r="V22" i="34"/>
  <c r="V24" i="34"/>
  <c r="V26" i="34"/>
  <c r="V28" i="34"/>
  <c r="V30" i="34"/>
  <c r="V31" i="34"/>
  <c r="V34" i="34"/>
  <c r="V36" i="34"/>
  <c r="V38" i="34"/>
  <c r="V39" i="34"/>
  <c r="V40" i="34"/>
  <c r="V42" i="34"/>
  <c r="V44" i="34"/>
  <c r="V46" i="34"/>
  <c r="V48" i="34"/>
  <c r="V50" i="34"/>
  <c r="C23" i="5"/>
  <c r="D23" i="5" s="1"/>
  <c r="Q12" i="4"/>
  <c r="P27" i="15"/>
  <c r="Q27" i="15" s="1"/>
  <c r="P57" i="15"/>
  <c r="Q57" i="15" s="1"/>
  <c r="P61" i="15"/>
  <c r="Q61" i="15" s="1"/>
  <c r="P75" i="15"/>
  <c r="Q75" i="15" s="1"/>
  <c r="P81" i="15"/>
  <c r="Q81" i="15" s="1"/>
  <c r="P85" i="15"/>
  <c r="Q85" i="15" s="1"/>
  <c r="P94" i="15"/>
  <c r="Q94" i="15" s="1"/>
  <c r="P101" i="15"/>
  <c r="Q101" i="15" s="1"/>
  <c r="P102" i="15"/>
  <c r="Q102" i="15" s="1"/>
  <c r="P103" i="15"/>
  <c r="Q103" i="15" s="1"/>
  <c r="P105" i="15"/>
  <c r="Q105" i="15" s="1"/>
  <c r="P109" i="15"/>
  <c r="Q109" i="15" s="1"/>
  <c r="P110" i="15"/>
  <c r="Q110" i="15" s="1"/>
  <c r="P112" i="15"/>
  <c r="Q112" i="15" s="1"/>
  <c r="P115" i="15"/>
  <c r="Q115" i="15" s="1"/>
  <c r="P117" i="15"/>
  <c r="Q117" i="15" s="1"/>
  <c r="P119" i="15"/>
  <c r="Q119" i="15" s="1"/>
  <c r="P121" i="15"/>
  <c r="Q121" i="15" s="1"/>
  <c r="P125" i="15"/>
  <c r="Q125" i="15" s="1"/>
  <c r="P130" i="15"/>
  <c r="Q130" i="15" s="1"/>
  <c r="P131" i="15"/>
  <c r="Q131" i="15" s="1"/>
  <c r="P138" i="15"/>
  <c r="Q138" i="15" s="1"/>
  <c r="P139" i="15"/>
  <c r="Q139" i="15" s="1"/>
  <c r="P141" i="15"/>
  <c r="Q141" i="15" s="1"/>
  <c r="P143" i="15"/>
  <c r="Q143" i="15" s="1"/>
  <c r="P147" i="15"/>
  <c r="Q147" i="15" s="1"/>
  <c r="P150" i="15"/>
  <c r="Q150" i="15" s="1"/>
  <c r="P152" i="15"/>
  <c r="Q152" i="15" s="1"/>
  <c r="P153" i="15"/>
  <c r="Q153" i="15" s="1"/>
  <c r="P155" i="15"/>
  <c r="Q155" i="15" s="1"/>
  <c r="P157" i="15"/>
  <c r="Q157" i="15" s="1"/>
  <c r="P159" i="15"/>
  <c r="Q159" i="15" s="1"/>
  <c r="P161" i="15"/>
  <c r="Q161" i="15" s="1"/>
  <c r="P163" i="15"/>
  <c r="Q163" i="15" s="1"/>
  <c r="M35" i="23"/>
  <c r="M14" i="23"/>
  <c r="M11" i="23"/>
  <c r="M17" i="23"/>
  <c r="M13" i="23"/>
  <c r="M37" i="23"/>
  <c r="M16" i="23"/>
  <c r="AA13" i="34"/>
  <c r="AA29" i="34"/>
  <c r="AA49" i="34"/>
  <c r="V33" i="30"/>
  <c r="V25" i="30"/>
  <c r="V17" i="30"/>
  <c r="V37" i="30"/>
  <c r="C15" i="5"/>
  <c r="D15" i="5" s="1"/>
  <c r="C20" i="5"/>
  <c r="D20" i="5" s="1"/>
  <c r="C16" i="5"/>
  <c r="D16" i="5" s="1"/>
  <c r="C6" i="5"/>
  <c r="D6" i="5" s="1"/>
  <c r="C13" i="5"/>
  <c r="D13" i="5" s="1"/>
  <c r="C14" i="5"/>
  <c r="D14" i="5" s="1"/>
  <c r="C21" i="5"/>
  <c r="D21" i="5" s="1"/>
  <c r="K8" i="12"/>
  <c r="F52" i="12"/>
  <c r="G52" i="12" s="1"/>
  <c r="C11" i="5"/>
  <c r="D11" i="5" s="1"/>
  <c r="C22" i="5"/>
  <c r="D22" i="5" s="1"/>
  <c r="C12" i="5"/>
  <c r="D12" i="5" s="1"/>
  <c r="R12" i="4"/>
  <c r="P30" i="12"/>
  <c r="M36" i="23"/>
  <c r="M20" i="23"/>
  <c r="M18" i="23"/>
  <c r="AA43" i="30"/>
  <c r="AA36" i="30"/>
  <c r="K51" i="30"/>
  <c r="M18" i="28"/>
  <c r="V38" i="30"/>
  <c r="V13" i="34"/>
  <c r="V15" i="34"/>
  <c r="V21" i="34"/>
  <c r="V23" i="34"/>
  <c r="V29" i="34"/>
  <c r="V37" i="34"/>
  <c r="V45" i="34"/>
  <c r="V47" i="34"/>
  <c r="V49" i="34"/>
  <c r="AA16" i="30"/>
  <c r="AA32" i="30"/>
  <c r="K51" i="34"/>
  <c r="C8" i="5"/>
  <c r="D8" i="5" s="1"/>
  <c r="C24" i="5"/>
  <c r="D24" i="5" s="1"/>
  <c r="C7" i="5"/>
  <c r="D7" i="5" s="1"/>
  <c r="C17" i="5"/>
  <c r="D17" i="5" s="1"/>
  <c r="L28" i="12"/>
  <c r="E10" i="4"/>
  <c r="R10" i="4"/>
  <c r="Q10" i="4"/>
  <c r="R17" i="4"/>
  <c r="S17" i="4" s="1"/>
  <c r="P11" i="15"/>
  <c r="Q11" i="15" s="1"/>
  <c r="P12" i="15"/>
  <c r="Q12" i="15" s="1"/>
  <c r="P13" i="15"/>
  <c r="Q13" i="15" s="1"/>
  <c r="P15" i="15"/>
  <c r="Q15" i="15" s="1"/>
  <c r="P16" i="15"/>
  <c r="Q16" i="15" s="1"/>
  <c r="P17" i="15"/>
  <c r="Q17" i="15" s="1"/>
  <c r="P18" i="15"/>
  <c r="Q18" i="15" s="1"/>
  <c r="P19" i="15"/>
  <c r="Q19" i="15" s="1"/>
  <c r="P20" i="15"/>
  <c r="Q20" i="15" s="1"/>
  <c r="P21" i="15"/>
  <c r="Q21" i="15" s="1"/>
  <c r="P22" i="15"/>
  <c r="Q22" i="15" s="1"/>
  <c r="P23" i="15"/>
  <c r="Q23" i="15" s="1"/>
  <c r="P24" i="15"/>
  <c r="Q24" i="15" s="1"/>
  <c r="P25" i="15"/>
  <c r="Q25" i="15" s="1"/>
  <c r="P26" i="15"/>
  <c r="Q26" i="15" s="1"/>
  <c r="P28" i="15"/>
  <c r="Q28" i="15" s="1"/>
  <c r="P30" i="15"/>
  <c r="Q30" i="15" s="1"/>
  <c r="P31" i="15"/>
  <c r="Q31" i="15" s="1"/>
  <c r="P32" i="15"/>
  <c r="Q32" i="15" s="1"/>
  <c r="P33" i="15"/>
  <c r="Q33" i="15" s="1"/>
  <c r="P34" i="15"/>
  <c r="Q34" i="15" s="1"/>
  <c r="P35" i="15"/>
  <c r="Q35" i="15" s="1"/>
  <c r="P37" i="15"/>
  <c r="Q37" i="15" s="1"/>
  <c r="P38" i="15"/>
  <c r="Q38" i="15" s="1"/>
  <c r="P39" i="15"/>
  <c r="Q39" i="15" s="1"/>
  <c r="P40" i="15"/>
  <c r="Q40" i="15" s="1"/>
  <c r="P41" i="15"/>
  <c r="Q41" i="15" s="1"/>
  <c r="P42" i="15"/>
  <c r="Q42" i="15" s="1"/>
  <c r="P43" i="15"/>
  <c r="Q43" i="15" s="1"/>
  <c r="P44" i="15"/>
  <c r="Q44" i="15" s="1"/>
  <c r="P45" i="15"/>
  <c r="Q45" i="15" s="1"/>
  <c r="P46" i="15"/>
  <c r="Q46" i="15" s="1"/>
  <c r="P47" i="15"/>
  <c r="Q47" i="15" s="1"/>
  <c r="P48" i="15"/>
  <c r="Q48" i="15" s="1"/>
  <c r="P49" i="15"/>
  <c r="Q49" i="15" s="1"/>
  <c r="P50" i="15"/>
  <c r="Q50" i="15" s="1"/>
  <c r="P51" i="15"/>
  <c r="Q51" i="15" s="1"/>
  <c r="P52" i="15"/>
  <c r="Q52" i="15" s="1"/>
  <c r="AA22" i="34"/>
  <c r="M27" i="23"/>
  <c r="M23" i="23"/>
  <c r="M21" i="23"/>
  <c r="AA38" i="30"/>
  <c r="AA20" i="30"/>
  <c r="AA16" i="34"/>
  <c r="AA40" i="34"/>
  <c r="V11" i="34"/>
  <c r="V27" i="34"/>
  <c r="V33" i="34"/>
  <c r="F3" i="8"/>
  <c r="K27" i="36"/>
  <c r="C22" i="8" s="1"/>
  <c r="D22" i="8" s="1"/>
  <c r="C26" i="8" s="1"/>
  <c r="P104" i="15"/>
  <c r="Q104" i="15" s="1"/>
  <c r="P106" i="15"/>
  <c r="Q106" i="15" s="1"/>
  <c r="P107" i="15"/>
  <c r="Q107" i="15" s="1"/>
  <c r="P111" i="15"/>
  <c r="Q111" i="15" s="1"/>
  <c r="P113" i="15"/>
  <c r="Q113" i="15" s="1"/>
  <c r="P114" i="15"/>
  <c r="Q114" i="15" s="1"/>
  <c r="P116" i="15"/>
  <c r="Q116" i="15" s="1"/>
  <c r="P118" i="15"/>
  <c r="Q118" i="15" s="1"/>
  <c r="P120" i="15"/>
  <c r="Q120" i="15" s="1"/>
  <c r="P122" i="15"/>
  <c r="Q122" i="15" s="1"/>
  <c r="P123" i="15"/>
  <c r="Q123" i="15" s="1"/>
  <c r="P124" i="15"/>
  <c r="Q124" i="15" s="1"/>
  <c r="P126" i="15"/>
  <c r="Q126" i="15" s="1"/>
  <c r="P127" i="15"/>
  <c r="Q127" i="15" s="1"/>
  <c r="P129" i="15"/>
  <c r="Q129" i="15" s="1"/>
  <c r="P132" i="15"/>
  <c r="Q132" i="15" s="1"/>
  <c r="P133" i="15"/>
  <c r="Q133" i="15" s="1"/>
  <c r="P134" i="15"/>
  <c r="Q134" i="15" s="1"/>
  <c r="P136" i="15"/>
  <c r="Q136" i="15" s="1"/>
  <c r="P137" i="15"/>
  <c r="Q137" i="15" s="1"/>
  <c r="P140" i="15"/>
  <c r="Q140" i="15" s="1"/>
  <c r="P142" i="15"/>
  <c r="Q142" i="15" s="1"/>
  <c r="P144" i="15"/>
  <c r="Q144" i="15" s="1"/>
  <c r="P146" i="15"/>
  <c r="Q146" i="15" s="1"/>
  <c r="P148" i="15"/>
  <c r="Q148" i="15" s="1"/>
  <c r="P149" i="15"/>
  <c r="Q149" i="15" s="1"/>
  <c r="P151" i="15"/>
  <c r="Q151" i="15" s="1"/>
  <c r="P154" i="15"/>
  <c r="Q154" i="15" s="1"/>
  <c r="P156" i="15"/>
  <c r="Q156" i="15" s="1"/>
  <c r="P160" i="15"/>
  <c r="Q160" i="15" s="1"/>
  <c r="P162" i="15"/>
  <c r="Q162" i="15" s="1"/>
  <c r="P164" i="15"/>
  <c r="Q164" i="15" s="1"/>
  <c r="P165" i="15"/>
  <c r="Q165" i="15" s="1"/>
  <c r="P166" i="15"/>
  <c r="Q166" i="15" s="1"/>
  <c r="P41" i="12"/>
  <c r="L27" i="12"/>
  <c r="M27" i="12" s="1"/>
  <c r="M15" i="23"/>
  <c r="AA23" i="30"/>
  <c r="AA34" i="34"/>
  <c r="AA33" i="34"/>
  <c r="V42" i="30"/>
  <c r="O5" i="4"/>
  <c r="M27" i="38"/>
  <c r="C23" i="8" s="1"/>
  <c r="D23" i="8" s="1"/>
  <c r="AA12" i="30"/>
  <c r="M33" i="28"/>
  <c r="M25" i="28"/>
  <c r="M21" i="28"/>
  <c r="M17" i="28"/>
  <c r="M13" i="28"/>
  <c r="M34" i="28"/>
  <c r="M30" i="28"/>
  <c r="M26" i="28"/>
  <c r="M22" i="28"/>
  <c r="M14" i="28"/>
  <c r="M35" i="28"/>
  <c r="M31" i="28"/>
  <c r="M23" i="28"/>
  <c r="M19" i="28"/>
  <c r="M15" i="28"/>
  <c r="M36" i="28"/>
  <c r="M32" i="28"/>
  <c r="M28" i="28"/>
  <c r="M24" i="28"/>
  <c r="M20" i="28"/>
  <c r="M16" i="28"/>
  <c r="M12" i="28"/>
  <c r="AA31" i="30"/>
  <c r="P53" i="15"/>
  <c r="Q53" i="15" s="1"/>
  <c r="P56" i="15"/>
  <c r="Q56" i="15" s="1"/>
  <c r="P58" i="15"/>
  <c r="Q58" i="15" s="1"/>
  <c r="P59" i="15"/>
  <c r="Q59" i="15" s="1"/>
  <c r="P60" i="15"/>
  <c r="Q60" i="15" s="1"/>
  <c r="P62" i="15"/>
  <c r="Q62" i="15" s="1"/>
  <c r="P63" i="15"/>
  <c r="Q63" i="15" s="1"/>
  <c r="P64" i="15"/>
  <c r="Q64" i="15" s="1"/>
  <c r="P65" i="15"/>
  <c r="Q65" i="15" s="1"/>
  <c r="P66" i="15"/>
  <c r="Q66" i="15" s="1"/>
  <c r="P67" i="15"/>
  <c r="Q67" i="15" s="1"/>
  <c r="P68" i="15"/>
  <c r="Q68" i="15" s="1"/>
  <c r="P69" i="15"/>
  <c r="Q69" i="15" s="1"/>
  <c r="P70" i="15"/>
  <c r="Q70" i="15" s="1"/>
  <c r="P71" i="15"/>
  <c r="Q71" i="15" s="1"/>
  <c r="P72" i="15"/>
  <c r="Q72" i="15" s="1"/>
  <c r="P73" i="15"/>
  <c r="Q73" i="15" s="1"/>
  <c r="P74" i="15"/>
  <c r="Q74" i="15" s="1"/>
  <c r="P76" i="15"/>
  <c r="Q76" i="15" s="1"/>
  <c r="P77" i="15"/>
  <c r="Q77" i="15" s="1"/>
  <c r="P78" i="15"/>
  <c r="Q78" i="15" s="1"/>
  <c r="P79" i="15"/>
  <c r="Q79" i="15" s="1"/>
  <c r="P80" i="15"/>
  <c r="Q80" i="15" s="1"/>
  <c r="P82" i="15"/>
  <c r="Q82" i="15" s="1"/>
  <c r="P83" i="15"/>
  <c r="Q83" i="15" s="1"/>
  <c r="P84" i="15"/>
  <c r="Q84" i="15" s="1"/>
  <c r="P86" i="15"/>
  <c r="Q86" i="15" s="1"/>
  <c r="P87" i="15"/>
  <c r="Q87" i="15" s="1"/>
  <c r="P88" i="15"/>
  <c r="Q88" i="15" s="1"/>
  <c r="P89" i="15"/>
  <c r="Q89" i="15" s="1"/>
  <c r="P90" i="15"/>
  <c r="Q90" i="15" s="1"/>
  <c r="P91" i="15"/>
  <c r="Q91" i="15" s="1"/>
  <c r="P92" i="15"/>
  <c r="Q92" i="15" s="1"/>
  <c r="P93" i="15"/>
  <c r="Q93" i="15" s="1"/>
  <c r="P95" i="15"/>
  <c r="Q95" i="15" s="1"/>
  <c r="P96" i="15"/>
  <c r="Q96" i="15" s="1"/>
  <c r="P97" i="15"/>
  <c r="Q97" i="15" s="1"/>
  <c r="P99" i="15"/>
  <c r="Q99" i="15" s="1"/>
  <c r="P100" i="15"/>
  <c r="Q100" i="15" s="1"/>
  <c r="P37" i="12"/>
  <c r="M11" i="28"/>
  <c r="M34" i="23"/>
  <c r="M33" i="23"/>
  <c r="M30" i="23"/>
  <c r="M29" i="23"/>
  <c r="M28" i="23"/>
  <c r="M26" i="23"/>
  <c r="M25" i="23"/>
  <c r="M22" i="23"/>
  <c r="AA14" i="30"/>
  <c r="V49" i="30"/>
  <c r="V41" i="30"/>
  <c r="V12" i="34"/>
  <c r="V25" i="34"/>
  <c r="A7" i="21"/>
  <c r="E10" i="21"/>
  <c r="T41" i="12"/>
  <c r="J18" i="4"/>
  <c r="C18" i="4" s="1"/>
  <c r="K18" i="4" s="1"/>
  <c r="A3" i="21"/>
  <c r="E5" i="21"/>
  <c r="J15" i="4"/>
  <c r="C15" i="4" s="1"/>
  <c r="K15" i="4" s="1"/>
  <c r="A10" i="21"/>
  <c r="J8" i="4"/>
  <c r="C8" i="4" s="1"/>
  <c r="K8" i="4" s="1"/>
  <c r="K10" i="12"/>
  <c r="C10" i="12" s="1"/>
  <c r="L10" i="12" s="1"/>
  <c r="E4" i="21"/>
  <c r="K13" i="12"/>
  <c r="C13" i="12" s="1"/>
  <c r="L13" i="12" s="1"/>
  <c r="L27" i="36"/>
  <c r="J11" i="4"/>
  <c r="C11" i="4" s="1"/>
  <c r="K11" i="4" s="1"/>
  <c r="J7" i="4"/>
  <c r="C7" i="4" s="1"/>
  <c r="K7" i="4" s="1"/>
  <c r="J16" i="4"/>
  <c r="C16" i="4" s="1"/>
  <c r="K16" i="4" s="1"/>
  <c r="J12" i="4"/>
  <c r="C12" i="4" s="1"/>
  <c r="K12" i="4" s="1"/>
  <c r="J6" i="4"/>
  <c r="C6" i="4" s="1"/>
  <c r="K6" i="4" s="1"/>
  <c r="K15" i="12"/>
  <c r="C15" i="12" s="1"/>
  <c r="L15" i="12" s="1"/>
  <c r="K14" i="12"/>
  <c r="C14" i="12" s="1"/>
  <c r="L14" i="12" s="1"/>
  <c r="A4" i="21"/>
  <c r="A6" i="21"/>
  <c r="A14" i="21"/>
  <c r="E7" i="21"/>
  <c r="E13" i="21"/>
  <c r="E8" i="21"/>
  <c r="E15" i="21"/>
  <c r="J13" i="4"/>
  <c r="C13" i="4" s="1"/>
  <c r="K13" i="4" s="1"/>
  <c r="K9" i="12"/>
  <c r="C9" i="12" s="1"/>
  <c r="L9" i="12" s="1"/>
  <c r="A5" i="21"/>
  <c r="A12" i="21"/>
  <c r="A8" i="21"/>
  <c r="E11" i="21"/>
  <c r="E6" i="21"/>
  <c r="E12" i="21"/>
  <c r="A15" i="21"/>
  <c r="J17" i="4"/>
  <c r="C17" i="4" s="1"/>
  <c r="K17" i="4" s="1"/>
  <c r="J9" i="4"/>
  <c r="C9" i="4" s="1"/>
  <c r="K9" i="4" s="1"/>
  <c r="J14" i="4"/>
  <c r="C14" i="4" s="1"/>
  <c r="K14" i="4" s="1"/>
  <c r="J10" i="4"/>
  <c r="C10" i="4" s="1"/>
  <c r="K10" i="4" s="1"/>
  <c r="K11" i="12"/>
  <c r="C11" i="12" s="1"/>
  <c r="L11" i="12" s="1"/>
  <c r="A9" i="21"/>
  <c r="A11" i="21"/>
  <c r="A13" i="21"/>
  <c r="E14" i="21"/>
  <c r="E9" i="21"/>
  <c r="P36" i="12"/>
  <c r="P32" i="12"/>
  <c r="F10" i="12"/>
  <c r="F14" i="12"/>
  <c r="F13" i="12"/>
  <c r="T30" i="12"/>
  <c r="P42" i="12"/>
  <c r="T37" i="12"/>
  <c r="P29" i="12"/>
  <c r="P40" i="12"/>
  <c r="P34" i="12"/>
  <c r="AA2" i="18"/>
  <c r="AA4" i="18"/>
  <c r="T31" i="12"/>
  <c r="P31" i="12"/>
  <c r="AA37" i="30"/>
  <c r="AA29" i="30"/>
  <c r="AA21" i="30"/>
  <c r="AA17" i="30"/>
  <c r="AA13" i="30"/>
  <c r="P14" i="15"/>
  <c r="Q14" i="15" s="1"/>
  <c r="P36" i="15"/>
  <c r="Q36" i="15" s="1"/>
  <c r="P98" i="15"/>
  <c r="Q98" i="15" s="1"/>
  <c r="T28" i="12"/>
  <c r="P28" i="12"/>
  <c r="P33" i="12"/>
  <c r="T33" i="12"/>
  <c r="T38" i="12"/>
  <c r="P38" i="12"/>
  <c r="V21" i="30"/>
  <c r="E14" i="4"/>
  <c r="R14" i="4"/>
  <c r="Q14" i="4"/>
  <c r="T39" i="12"/>
  <c r="P39" i="12"/>
  <c r="T35" i="12"/>
  <c r="P35" i="12"/>
  <c r="O27" i="38"/>
  <c r="AA12" i="34"/>
  <c r="AA39" i="34"/>
  <c r="AA50" i="34"/>
  <c r="F5" i="38"/>
  <c r="E5" i="38"/>
  <c r="D5" i="38"/>
  <c r="AA38" i="34"/>
  <c r="AA47" i="34"/>
  <c r="V17" i="34"/>
  <c r="V19" i="34"/>
  <c r="V35" i="34"/>
  <c r="V43" i="34"/>
  <c r="L62" i="12"/>
  <c r="L57" i="12"/>
  <c r="F15" i="12"/>
  <c r="F9" i="12"/>
  <c r="N27" i="38"/>
  <c r="M32" i="23"/>
  <c r="M31" i="23"/>
  <c r="M24" i="23"/>
  <c r="M19" i="23"/>
  <c r="AA11" i="30"/>
  <c r="AA25" i="30"/>
  <c r="AA41" i="30"/>
  <c r="AA47" i="30"/>
  <c r="AA15" i="30"/>
  <c r="AA42" i="34"/>
  <c r="AA48" i="34"/>
  <c r="AA44" i="34"/>
  <c r="V29" i="30"/>
  <c r="V13" i="30"/>
  <c r="AA45" i="30"/>
  <c r="AA22" i="30"/>
  <c r="M29" i="28"/>
  <c r="G21" i="12"/>
  <c r="F23" i="12"/>
  <c r="G23" i="12"/>
  <c r="G19" i="12"/>
  <c r="S9" i="4" l="1"/>
  <c r="S15" i="4"/>
  <c r="S18" i="4"/>
  <c r="S7" i="4"/>
  <c r="G19" i="4"/>
  <c r="C19" i="8"/>
  <c r="M28" i="12"/>
  <c r="S12" i="4"/>
  <c r="M37" i="28"/>
  <c r="E5" i="28" s="1"/>
  <c r="L52" i="12"/>
  <c r="L17" i="12" s="1"/>
  <c r="S10" i="4"/>
  <c r="R19" i="4"/>
  <c r="E19" i="4"/>
  <c r="D24" i="8" s="1"/>
  <c r="AA51" i="34"/>
  <c r="C7" i="34" s="1"/>
  <c r="M38" i="23"/>
  <c r="E5" i="23" s="1"/>
  <c r="D5" i="15"/>
  <c r="L7" i="4"/>
  <c r="L12" i="4"/>
  <c r="L15" i="4"/>
  <c r="J14" i="12"/>
  <c r="L11" i="4"/>
  <c r="J10" i="12"/>
  <c r="M14" i="12"/>
  <c r="J13" i="12"/>
  <c r="M10" i="12"/>
  <c r="M13" i="12"/>
  <c r="L6" i="4"/>
  <c r="J11" i="12"/>
  <c r="M15" i="12"/>
  <c r="L9" i="4"/>
  <c r="M9" i="12"/>
  <c r="L18" i="4"/>
  <c r="M11" i="12"/>
  <c r="L14" i="4"/>
  <c r="L10" i="4"/>
  <c r="L16" i="4"/>
  <c r="L13" i="4"/>
  <c r="J9" i="12"/>
  <c r="L17" i="4"/>
  <c r="J15" i="12"/>
  <c r="L8" i="4"/>
  <c r="S14" i="4"/>
  <c r="Q19" i="4"/>
  <c r="V7" i="4"/>
  <c r="V10" i="4"/>
  <c r="V8" i="4"/>
  <c r="V6" i="4"/>
  <c r="AA51" i="30"/>
  <c r="C7" i="30" s="1"/>
  <c r="V12" i="4"/>
  <c r="V13" i="4"/>
  <c r="V14" i="4"/>
  <c r="V11" i="4"/>
  <c r="Q27" i="12"/>
  <c r="T27" i="12" l="1"/>
  <c r="U27" i="12" s="1"/>
  <c r="U28" i="12" s="1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T25" i="12" s="1"/>
  <c r="P27" i="12"/>
  <c r="Q25" i="12"/>
  <c r="M17" i="12"/>
  <c r="N17" i="12" s="1"/>
  <c r="G17" i="12"/>
  <c r="G24" i="12" s="1"/>
  <c r="F17" i="12"/>
  <c r="F24" i="12" s="1"/>
  <c r="V15" i="4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L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<sst xmlns="http://schemas.openxmlformats.org/spreadsheetml/2006/main" count="1796" uniqueCount="485">
  <si>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</si>
  <si>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</si>
  <si>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</si>
  <si>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</si>
  <si>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</si>
  <si>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</si>
  <si>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</si>
  <si>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</si>
  <si>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</si>
  <si>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</si>
  <si>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</si>
  <si>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</si>
  <si>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</si>
  <si>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</si>
  <si>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</si>
  <si>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</si>
  <si>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</si>
  <si>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</si>
  <si>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</si>
  <si>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</si>
  <si>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</si>
  <si>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</si>
  <si>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</si>
  <si>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</si>
  <si>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</si>
  <si>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</si>
  <si>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</si>
  <si>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</si>
  <si>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</si>
  <si>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</si>
  <si>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</si>
  <si>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</si>
  <si>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</si>
  <si>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</si>
  <si>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</si>
  <si>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</si>
  <si>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</si>
  <si>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</si>
  <si>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</si>
  <si>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</si>
  <si>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</si>
  <si>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</si>
  <si>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</si>
  <si>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</si>
  <si>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</si>
  <si>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</si>
  <si>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</si>
  <si>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</si>
  <si>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</si>
  <si>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</si>
  <si>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</si>
  <si>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</si>
  <si>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</si>
  <si>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</si>
  <si>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</si>
  <si>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</si>
  <si>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</si>
  <si>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</si>
  <si>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</si>
  <si>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</si>
  <si>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</si>
  <si>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</si>
  <si>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</si>
  <si>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</si>
  <si>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</si>
  <si>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</si>
  <si>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</si>
  <si>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</si>
  <si>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</si>
  <si>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</si>
  <si>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</si>
  <si>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</si>
  <si>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</si>
  <si>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</si>
  <si>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</si>
  <si>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</si>
  <si>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</si>
  <si>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</si>
  <si>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</si>
  <si>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</si>
  <si>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</si>
  <si>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</si>
  <si>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</si>
  <si>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</si>
  <si>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</si>
  <si>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</si>
  <si>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</si>
  <si>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</si>
  <si>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</si>
  <si>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</si>
  <si>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</si>
  <si>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</si>
  <si>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</si>
  <si>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</si>
  <si>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</si>
  <si>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</si>
  <si>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</si>
  <si>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</si>
  <si>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</si>
  <si>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</si>
  <si>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</si>
  <si>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</si>
  <si>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</si>
  <si>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</si>
  <si>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</si>
  <si>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</si>
  <si>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</si>
  <si>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</si>
  <si>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</si>
  <si>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</si>
  <si>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</si>
  <si>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</si>
  <si>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</si>
  <si>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</si>
  <si>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</si>
  <si>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</si>
  <si>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</si>
  <si>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</si>
  <si>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</si>
  <si>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</si>
  <si>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</si>
  <si>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</si>
  <si>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</si>
  <si>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</si>
  <si>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</si>
  <si>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</si>
  <si>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</si>
  <si>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</si>
  <si>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</si>
  <si>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</si>
  <si>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</si>
  <si>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</si>
  <si>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</si>
  <si>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</si>
  <si>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</si>
  <si>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</si>
  <si>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</si>
  <si>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</si>
  <si>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</si>
  <si>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</si>
  <si>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</si>
  <si>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</si>
  <si>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</si>
  <si>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</si>
  <si>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</si>
  <si>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</si>
  <si>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</si>
  <si>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</si>
  <si>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</si>
  <si>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</si>
  <si>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</si>
  <si>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</si>
  <si>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</si>
  <si>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</si>
  <si>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</si>
  <si>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</si>
  <si>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</si>
  <si>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</si>
  <si>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</si>
  <si>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</si>
  <si>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</si>
  <si>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</si>
  <si>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</si>
  <si>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</si>
  <si>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</si>
  <si>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</si>
  <si>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</si>
  <si>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</si>
  <si>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</si>
  <si>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</si>
  <si>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</si>
  <si>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</si>
  <si>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</si>
  <si>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</si>
  <si>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</si>
  <si>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</si>
  <si>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</si>
  <si>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</si>
  <si>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</si>
  <si>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</si>
  <si>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</si>
  <si>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</si>
  <si>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</si>
  <si>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</si>
  <si>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</si>
  <si>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</si>
  <si>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</si>
  <si>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</si>
  <si>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</si>
  <si>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</si>
  <si>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</si>
  <si>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</si>
  <si>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</si>
  <si>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</si>
  <si>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</si>
  <si>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</si>
  <si>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</si>
  <si>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</si>
  <si>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</si>
  <si>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</si>
  <si>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</si>
  <si>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</si>
  <si>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</si>
  <si>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</si>
  <si>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</si>
  <si>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</si>
  <si>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</si>
  <si>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</si>
  <si>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</si>
  <si>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</si>
  <si>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</si>
  <si>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</si>
  <si>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</si>
  <si>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</si>
  <si>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</si>
  <si>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</si>
  <si>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</si>
  <si>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</si>
  <si>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</si>
  <si>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</si>
  <si>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</si>
  <si>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</si>
  <si>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</si>
  <si>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</si>
  <si>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</si>
  <si>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</si>
  <si>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</si>
  <si>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</si>
  <si>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</si>
  <si>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</si>
  <si>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</si>
  <si>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</si>
  <si>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</si>
  <si>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</si>
  <si>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</si>
  <si>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</si>
  <si>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</si>
  <si>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</si>
  <si>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</si>
  <si>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</si>
  <si>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</si>
  <si>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</si>
  <si>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</si>
  <si>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</si>
  <si>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</si>
  <si>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</si>
  <si>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</si>
  <si>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</si>
  <si>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</si>
  <si>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</si>
  <si>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</si>
  <si>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</si>
  <si>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</si>
  <si>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</si>
  <si>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</si>
  <si>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</si>
  <si>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</si>
  <si>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</si>
  <si>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</si>
  <si>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</si>
  <si>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</si>
  <si>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</si>
  <si>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</si>
  <si>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</si>
  <si>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</si>
  <si>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</si>
  <si>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</si>
  <si>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</si>
  <si>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</si>
  <si>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</si>
  <si>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</si>
  <si>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</si>
  <si>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</si>
  <si>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</si>
  <si>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</si>
  <si>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</si>
  <si>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</si>
  <si>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</si>
  <si>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</si>
  <si>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</si>
  <si>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</si>
  <si>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</si>
  <si>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SOA sem Entirex</t>
  </si>
  <si>
    <t>SOA com Entirex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</si>
  <si>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</si>
  <si>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</si>
  <si>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</si>
  <si>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</si>
  <si>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</si>
  <si>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</si>
  <si>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</si>
  <si>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</si>
  <si>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</si>
  <si>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</si>
  <si>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</si>
  <si>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</si>
  <si>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</si>
  <si>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</si>
  <si>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</si>
  <si>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</si>
  <si>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</si>
  <si>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</si>
  <si>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</si>
  <si>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</si>
  <si>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</si>
  <si>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</si>
  <si>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</si>
  <si>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</si>
  <si>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</si>
  <si>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</si>
  <si>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</si>
  <si>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</si>
  <si>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</si>
  <si>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</si>
  <si>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</si>
  <si>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</si>
  <si>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</si>
  <si>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</si>
  <si>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</si>
  <si>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</si>
  <si>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</si>
  <si>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</si>
  <si>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</si>
  <si>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</si>
  <si>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</si>
  <si>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</si>
  <si>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</si>
  <si>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</si>
  <si>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</si>
  <si>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</si>
  <si>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</si>
  <si>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</si>
  <si>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</si>
  <si>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</si>
  <si>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</si>
  <si>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</si>
  <si>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</si>
  <si>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</si>
  <si>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</si>
  <si>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</si>
  <si>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</si>
  <si>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</si>
  <si>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</si>
  <si>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</si>
  <si>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</si>
  <si>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</si>
  <si>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</si>
  <si>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</si>
  <si>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</si>
  <si>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</si>
  <si>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</si>
  <si>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</si>
  <si>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</si>
  <si>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</si>
  <si>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</si>
  <si>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</si>
  <si>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</si>
  <si>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</si>
  <si>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</si>
  <si>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</si>
  <si>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</si>
  <si>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</si>
  <si>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</si>
  <si>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</si>
  <si>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</si>
  <si>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</si>
  <si>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</si>
  <si>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</si>
  <si>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</si>
  <si>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</si>
  <si>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</si>
  <si>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</si>
  <si>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</si>
  <si>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</si>
  <si>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</si>
  <si>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</si>
  <si>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</si>
  <si>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</si>
  <si>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</si>
  <si>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</si>
  <si>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</si>
  <si>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</si>
  <si>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</si>
  <si>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</si>
  <si>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</si>
  <si>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</si>
  <si>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</si>
  <si>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</si>
  <si>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</si>
  <si>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</si>
  <si>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</si>
  <si>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</si>
  <si>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</si>
  <si>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</si>
  <si>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</si>
  <si>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</si>
  <si>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</si>
  <si>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</si>
  <si>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</si>
  <si>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</si>
  <si>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</si>
  <si>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</si>
  <si>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</si>
  <si>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</si>
  <si>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</si>
  <si>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</si>
  <si>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</si>
  <si>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</si>
  <si>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</si>
  <si>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</si>
  <si>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</si>
  <si>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</si>
  <si>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</si>
  <si>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</si>
  <si>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</si>
  <si>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</si>
  <si>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</si>
  <si>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</si>
  <si>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</si>
  <si>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</si>
  <si>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</si>
  <si>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</si>
  <si>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</si>
  <si>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</si>
  <si>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</si>
  <si>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</si>
  <si>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</si>
  <si>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</si>
  <si>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</si>
  <si>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</si>
  <si>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</si>
  <si>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</si>
  <si>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</si>
  <si>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ASGA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</si>
  <si>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</si>
  <si>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</si>
  <si>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</si>
  <si>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</si>
  <si>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</si>
  <si>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</si>
  <si>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</si>
  <si>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</si>
  <si>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</si>
  <si>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</si>
  <si>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</si>
  <si>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</si>
  <si>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</si>
  <si>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</si>
  <si>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</si>
  <si>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</si>
  <si>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</si>
  <si>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</si>
  <si>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SOA.
3CON: Ajuste conforme renovação de contrato.
Asga: Ajuste na aba Resumo.
Capgemini: Ajuste conforme contrato.</t>
  </si>
  <si>
    <t>Fases do Ciclo de Vida / Artefatos 8</t>
  </si>
  <si>
    <t>Percentual 8</t>
  </si>
  <si>
    <t>Fábrica testes 8</t>
  </si>
  <si>
    <t>16.2</t>
  </si>
  <si>
    <t>Fases do Ciclo de Vida / Artefatos 9</t>
  </si>
  <si>
    <t>Percentual 9</t>
  </si>
  <si>
    <t>Fábrica testes 9</t>
  </si>
  <si>
    <t>Oracle</t>
  </si>
  <si>
    <t>Capgemini Torre III: Ajuste conforme negociação do contrato.
Capgemini Torre VI: Ajuste conforme o contrato.
Procwork: Ajuste conforme renovação do contrato.
IBM Torre VII: Ajuste conforme o contrato.
Oracle: Nova versão da planilha de métricas.</t>
  </si>
  <si>
    <t>Cap - Torre III
Cap - Torre VI
Procwork
IBM - Torre VII
Oracle</t>
  </si>
  <si>
    <t>Digicade</t>
  </si>
  <si>
    <t>16.3</t>
  </si>
  <si>
    <t>Nova versão da planilha de métricas da Digicade</t>
  </si>
  <si>
    <t>Fábrica testes 10</t>
  </si>
  <si>
    <t>Fases do Ciclo de Vida / Artefatos 10</t>
  </si>
  <si>
    <t>Percentual 10</t>
  </si>
  <si>
    <t>16.4</t>
  </si>
  <si>
    <t>Ajuste no cálculo do % de gestão.</t>
  </si>
  <si>
    <t>16.5</t>
  </si>
  <si>
    <t>Ajuste conforme previsto no contrato.</t>
  </si>
  <si>
    <t>ARBOR - Amdocs</t>
  </si>
  <si>
    <t>16.6</t>
  </si>
  <si>
    <t>16.7</t>
  </si>
  <si>
    <t>16.8</t>
  </si>
  <si>
    <t>16.9</t>
  </si>
  <si>
    <t>Ajuste conforme contrato.</t>
  </si>
  <si>
    <t>Versão inicial</t>
  </si>
  <si>
    <t>Gabriel Frederico</t>
  </si>
  <si>
    <t>Marco Marcelo</t>
  </si>
  <si>
    <t>21/12/2017</t>
  </si>
  <si>
    <t>Disponibilizar código de barras da interina no conclusão da negociação - on line</t>
  </si>
  <si>
    <t>• Ferramenta de geração de massa.
• Setup ambiente de homologação.
• Execução de acordo com os parâmetros : quantidade média por minuto, quantidade máxima. 
• Geração de relatório com as evidências de teste e os tempos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</si>
</sst>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_-* #,##0.00\ _€_-;\-* #,##0.00\ _€_-;_-* &quot;-&quot;??\ _€_-;_-@_-"/>
    <numFmt numFmtId="165" formatCode="[$R$-416]\ #,##0"/>
    <numFmt numFmtId="166" formatCode="&quot;R$&quot;\ #,##0.00"/>
    <numFmt numFmtId="167" formatCode="[$R$-416]\ #,##0.00"/>
    <numFmt numFmtId="168" formatCode="_(&quot;R$ &quot;* #,##0.00_);_(&quot;R$ &quot;* \(#,##0.00\);_(&quot;R$ &quot;* &quot;-&quot;??_);_(@_)"/>
    <numFmt numFmtId="169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5" fontId="0" fillId="0" borderId="0"/>
    <xf numFmtId="165" fontId="23" fillId="0" borderId="0" applyNumberFormat="0" applyFill="0" applyBorder="0" applyAlignment="0" applyProtection="0">
      <alignment vertical="top"/>
      <protection locked="0"/>
    </xf>
    <xf numFmtId="165" fontId="4" fillId="0" borderId="0"/>
    <xf numFmtId="165" fontId="4" fillId="0" borderId="0"/>
    <xf numFmtId="165" fontId="4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165" fontId="35" fillId="0" borderId="0"/>
    <xf numFmtId="9" fontId="35" fillId="0" borderId="0" applyFont="0" applyFill="0" applyBorder="0" applyAlignment="0" applyProtection="0"/>
    <xf numFmtId="165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5" fontId="4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0" fontId="41" fillId="0" borderId="0"/>
    <xf numFmtId="168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5">
    <xf numFmtId="165" fontId="0" fillId="0" borderId="0" xfId="0"/>
    <xf numFmtId="165" fontId="13" fillId="0" borderId="0" xfId="0" applyFont="1" applyAlignment="1">
      <alignment horizontal="center"/>
    </xf>
    <xf numFmtId="165" fontId="0" fillId="0" borderId="1" xfId="0" applyBorder="1"/>
    <xf numFmtId="165" fontId="13" fillId="0" borderId="0" xfId="0" applyFont="1"/>
    <xf numFmtId="165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5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5" fontId="0" fillId="0" borderId="1" xfId="0" applyBorder="1" applyAlignment="1">
      <alignment horizontal="center"/>
    </xf>
    <xf numFmtId="165" fontId="5" fillId="6" borderId="1" xfId="3" applyFont="1" applyFill="1" applyBorder="1" applyAlignment="1" applyProtection="1">
      <alignment horizontal="left" vertical="center" wrapText="1"/>
    </xf>
    <xf numFmtId="43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43" fontId="9" fillId="6" borderId="1" xfId="6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9" fillId="6" borderId="1" xfId="3" applyFont="1" applyFill="1" applyBorder="1" applyAlignment="1" applyProtection="1">
      <alignment horizontal="center" vertical="center" wrapText="1"/>
    </xf>
    <xf numFmtId="165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5" fontId="17" fillId="0" borderId="0" xfId="0" applyFont="1"/>
    <xf numFmtId="165" fontId="17" fillId="0" borderId="0" xfId="0" applyFont="1" applyFill="1" applyBorder="1"/>
    <xf numFmtId="165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5" fontId="20" fillId="0" borderId="0" xfId="1" applyFont="1" applyFill="1" applyBorder="1" applyAlignment="1" applyProtection="1">
      <alignment horizontal="right" vertical="center" wrapText="1"/>
    </xf>
    <xf numFmtId="165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5" fontId="20" fillId="0" borderId="0" xfId="1" applyFont="1" applyFill="1" applyBorder="1" applyAlignment="1" applyProtection="1">
      <alignment horizontal="center" vertical="center" wrapText="1"/>
    </xf>
    <xf numFmtId="165" fontId="0" fillId="0" borderId="0" xfId="0" applyAlignment="1">
      <alignment vertical="center"/>
    </xf>
    <xf numFmtId="165" fontId="6" fillId="9" borderId="0" xfId="0" applyFont="1" applyFill="1" applyAlignment="1" applyProtection="1">
      <alignment horizontal="center" vertical="center"/>
    </xf>
    <xf numFmtId="165" fontId="17" fillId="0" borderId="0" xfId="0" applyFont="1" applyProtection="1"/>
    <xf numFmtId="165" fontId="17" fillId="9" borderId="0" xfId="0" applyFont="1" applyFill="1" applyAlignment="1" applyProtection="1">
      <alignment horizontal="center" vertical="center"/>
    </xf>
    <xf numFmtId="165" fontId="17" fillId="9" borderId="0" xfId="0" applyFont="1" applyFill="1" applyBorder="1" applyAlignment="1" applyProtection="1">
      <alignment horizontal="center" vertical="center"/>
    </xf>
    <xf numFmtId="165" fontId="17" fillId="0" borderId="0" xfId="0" applyFont="1" applyFill="1" applyBorder="1" applyProtection="1"/>
    <xf numFmtId="165" fontId="9" fillId="0" borderId="0" xfId="3" applyFont="1" applyFill="1" applyBorder="1" applyAlignment="1" applyProtection="1">
      <alignment horizontal="center" vertical="center" wrapText="1"/>
    </xf>
    <xf numFmtId="43" fontId="9" fillId="0" borderId="0" xfId="7" applyFont="1" applyFill="1" applyBorder="1" applyAlignment="1" applyProtection="1">
      <alignment horizontal="center" vertical="center" wrapText="1"/>
    </xf>
    <xf numFmtId="165" fontId="17" fillId="0" borderId="0" xfId="0" applyFont="1" applyFill="1" applyProtection="1"/>
    <xf numFmtId="165" fontId="5" fillId="11" borderId="1" xfId="3" applyFont="1" applyFill="1" applyBorder="1" applyAlignment="1" applyProtection="1">
      <alignment horizontal="center" vertical="center" wrapText="1"/>
    </xf>
    <xf numFmtId="165" fontId="5" fillId="9" borderId="1" xfId="3" applyFont="1" applyFill="1" applyBorder="1" applyAlignment="1" applyProtection="1">
      <alignment horizontal="center" vertical="center" wrapText="1"/>
    </xf>
    <xf numFmtId="165" fontId="5" fillId="0" borderId="1" xfId="3" applyFont="1" applyFill="1" applyBorder="1" applyAlignment="1" applyProtection="1">
      <alignment horizontal="center" vertical="center" wrapText="1"/>
      <protection locked="0"/>
    </xf>
    <xf numFmtId="165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6" borderId="9" xfId="3" applyFont="1" applyFill="1" applyBorder="1" applyAlignment="1" applyProtection="1">
      <alignment horizontal="center" vertical="center" wrapText="1"/>
    </xf>
    <xf numFmtId="165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5" fontId="0" fillId="0" borderId="0" xfId="0" applyFont="1"/>
    <xf numFmtId="165" fontId="4" fillId="4" borderId="1" xfId="0" applyNumberFormat="1" applyFont="1" applyFill="1" applyBorder="1" applyAlignment="1" applyProtection="1">
      <alignment horizontal="center"/>
    </xf>
    <xf numFmtId="165" fontId="5" fillId="9" borderId="9" xfId="3" applyFont="1" applyFill="1" applyBorder="1" applyAlignment="1" applyProtection="1">
      <alignment horizontal="center" vertical="center" wrapText="1"/>
    </xf>
    <xf numFmtId="165" fontId="1" fillId="0" borderId="8" xfId="0" applyFont="1" applyFill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5" fontId="18" fillId="7" borderId="0" xfId="0" applyFont="1" applyFill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indent="1"/>
    </xf>
    <xf numFmtId="165" fontId="10" fillId="0" borderId="0" xfId="0" applyFont="1" applyProtection="1"/>
    <xf numFmtId="165" fontId="9" fillId="7" borderId="0" xfId="0" applyFont="1" applyFill="1" applyAlignment="1" applyProtection="1">
      <alignment horizontal="left" vertical="center" indent="1"/>
    </xf>
    <xf numFmtId="165" fontId="6" fillId="7" borderId="0" xfId="0" applyFont="1" applyFill="1" applyBorder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wrapText="1" indent="1"/>
    </xf>
    <xf numFmtId="165" fontId="10" fillId="0" borderId="0" xfId="0" applyFont="1" applyBorder="1" applyProtection="1"/>
    <xf numFmtId="165" fontId="4" fillId="7" borderId="0" xfId="0" applyFont="1" applyFill="1" applyBorder="1" applyAlignment="1" applyProtection="1">
      <alignment horizontal="left" vertical="center" indent="1"/>
    </xf>
    <xf numFmtId="165" fontId="25" fillId="0" borderId="0" xfId="0" applyFont="1" applyProtection="1"/>
    <xf numFmtId="165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5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5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5" fontId="10" fillId="0" borderId="0" xfId="0" applyFont="1" applyFill="1" applyProtection="1"/>
    <xf numFmtId="165" fontId="0" fillId="0" borderId="0" xfId="0" applyFill="1" applyProtection="1"/>
    <xf numFmtId="165" fontId="17" fillId="0" borderId="0" xfId="0" applyFont="1" applyFill="1" applyAlignment="1" applyProtection="1">
      <alignment horizontal="center"/>
    </xf>
    <xf numFmtId="165" fontId="0" fillId="0" borderId="0" xfId="0" applyFill="1"/>
    <xf numFmtId="165" fontId="0" fillId="0" borderId="0" xfId="0" applyAlignment="1">
      <alignment horizontal="center"/>
    </xf>
    <xf numFmtId="165" fontId="17" fillId="9" borderId="0" xfId="0" applyFont="1" applyFill="1" applyProtection="1"/>
    <xf numFmtId="165" fontId="17" fillId="9" borderId="0" xfId="0" applyFont="1" applyFill="1" applyBorder="1" applyProtection="1"/>
    <xf numFmtId="165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5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5" fontId="29" fillId="9" borderId="0" xfId="0" applyFont="1" applyFill="1" applyProtection="1"/>
    <xf numFmtId="165" fontId="18" fillId="9" borderId="0" xfId="0" applyFont="1" applyFill="1" applyAlignment="1" applyProtection="1">
      <alignment horizontal="center"/>
    </xf>
    <xf numFmtId="165" fontId="17" fillId="0" borderId="0" xfId="0" applyFont="1" applyFill="1" applyBorder="1" applyAlignment="1" applyProtection="1">
      <alignment horizontal="center" vertical="center"/>
    </xf>
    <xf numFmtId="165" fontId="17" fillId="3" borderId="0" xfId="0" applyFont="1" applyFill="1" applyProtection="1"/>
    <xf numFmtId="165" fontId="5" fillId="0" borderId="0" xfId="3" applyFont="1" applyFill="1" applyBorder="1" applyAlignment="1" applyProtection="1">
      <alignment vertical="center" wrapText="1"/>
    </xf>
    <xf numFmtId="165" fontId="17" fillId="0" borderId="0" xfId="0" applyFont="1" applyFill="1" applyBorder="1" applyAlignment="1" applyProtection="1">
      <alignment vertical="center"/>
    </xf>
    <xf numFmtId="165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5" fontId="1" fillId="0" borderId="0" xfId="0" applyFont="1"/>
    <xf numFmtId="165" fontId="10" fillId="9" borderId="0" xfId="0" applyFont="1" applyFill="1" applyProtection="1"/>
    <xf numFmtId="165" fontId="14" fillId="0" borderId="0" xfId="0" applyFont="1" applyProtection="1"/>
    <xf numFmtId="165" fontId="14" fillId="9" borderId="0" xfId="0" applyFont="1" applyFill="1" applyAlignment="1" applyProtection="1">
      <alignment horizontal="center" vertical="center"/>
    </xf>
    <xf numFmtId="165" fontId="5" fillId="10" borderId="0" xfId="3" applyFont="1" applyFill="1" applyBorder="1" applyAlignment="1" applyProtection="1">
      <alignment horizontal="center" vertical="center" wrapText="1"/>
    </xf>
    <xf numFmtId="43" fontId="5" fillId="10" borderId="0" xfId="6" applyFont="1" applyFill="1" applyBorder="1" applyAlignment="1" applyProtection="1">
      <alignment horizontal="center" vertical="center" wrapText="1"/>
    </xf>
    <xf numFmtId="165" fontId="21" fillId="0" borderId="0" xfId="0" applyFont="1" applyAlignment="1" applyProtection="1">
      <alignment horizontal="center"/>
    </xf>
    <xf numFmtId="165" fontId="14" fillId="9" borderId="0" xfId="0" applyFont="1" applyFill="1" applyProtection="1"/>
    <xf numFmtId="165" fontId="30" fillId="0" borderId="0" xfId="0" applyFont="1" applyProtection="1"/>
    <xf numFmtId="165" fontId="30" fillId="9" borderId="0" xfId="0" applyFont="1" applyFill="1" applyAlignment="1" applyProtection="1">
      <alignment horizontal="center" vertical="center"/>
    </xf>
    <xf numFmtId="165" fontId="14" fillId="0" borderId="0" xfId="0" applyFont="1" applyFill="1" applyBorder="1" applyProtection="1"/>
    <xf numFmtId="165" fontId="14" fillId="9" borderId="0" xfId="0" applyFont="1" applyFill="1" applyBorder="1" applyAlignment="1" applyProtection="1">
      <alignment horizontal="center" vertical="center"/>
    </xf>
    <xf numFmtId="165" fontId="21" fillId="9" borderId="0" xfId="0" applyFont="1" applyFill="1" applyAlignment="1" applyProtection="1">
      <alignment horizontal="center" vertical="center"/>
    </xf>
    <xf numFmtId="165" fontId="14" fillId="0" borderId="0" xfId="0" applyFont="1" applyBorder="1" applyAlignment="1" applyProtection="1">
      <alignment horizontal="justify" vertical="center" wrapText="1"/>
    </xf>
    <xf numFmtId="165" fontId="14" fillId="0" borderId="0" xfId="0" applyFont="1" applyBorder="1" applyProtection="1"/>
    <xf numFmtId="165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5" fontId="18" fillId="5" borderId="1" xfId="0" applyNumberFormat="1" applyFont="1" applyFill="1" applyBorder="1" applyAlignment="1">
      <alignment horizontal="center" vertical="center" wrapText="1"/>
    </xf>
    <xf numFmtId="165" fontId="3" fillId="2" borderId="1" xfId="0" applyFont="1" applyFill="1" applyBorder="1" applyAlignment="1">
      <alignment horizontal="center"/>
    </xf>
    <xf numFmtId="165" fontId="3" fillId="2" borderId="1" xfId="0" applyFont="1" applyFill="1" applyBorder="1" applyAlignment="1">
      <alignment horizontal="center" vertical="center"/>
    </xf>
    <xf numFmtId="165" fontId="29" fillId="0" borderId="0" xfId="0" applyFont="1" applyFill="1" applyProtection="1"/>
    <xf numFmtId="165" fontId="18" fillId="0" borderId="0" xfId="0" applyFont="1" applyFill="1" applyAlignment="1" applyProtection="1">
      <alignment horizontal="center"/>
    </xf>
    <xf numFmtId="165" fontId="17" fillId="0" borderId="0" xfId="0" applyFont="1" applyFill="1"/>
    <xf numFmtId="165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32" fillId="0" borderId="0" xfId="1" applyFont="1" applyFill="1" applyBorder="1" applyAlignment="1" applyProtection="1">
      <alignment horizontal="center" vertical="center" wrapText="1"/>
    </xf>
    <xf numFmtId="165" fontId="4" fillId="0" borderId="0" xfId="0" applyFont="1" applyFill="1" applyBorder="1" applyProtection="1"/>
    <xf numFmtId="165" fontId="4" fillId="0" borderId="0" xfId="0" applyFont="1" applyProtection="1"/>
    <xf numFmtId="165" fontId="5" fillId="6" borderId="1" xfId="3" applyFont="1" applyFill="1" applyBorder="1" applyAlignment="1">
      <alignment horizontal="left" vertical="center" wrapText="1"/>
    </xf>
    <xf numFmtId="165" fontId="33" fillId="0" borderId="14" xfId="0" applyFont="1" applyFill="1" applyBorder="1"/>
    <xf numFmtId="165" fontId="33" fillId="0" borderId="15" xfId="0" applyFont="1" applyFill="1" applyBorder="1"/>
    <xf numFmtId="165" fontId="0" fillId="0" borderId="14" xfId="0" applyBorder="1"/>
    <xf numFmtId="165" fontId="33" fillId="0" borderId="0" xfId="0" applyFont="1" applyFill="1"/>
    <xf numFmtId="165" fontId="17" fillId="9" borderId="0" xfId="0" applyFont="1" applyFill="1" applyAlignment="1" applyProtection="1">
      <alignment horizontal="left"/>
    </xf>
    <xf numFmtId="165" fontId="24" fillId="0" borderId="16" xfId="0" applyFont="1" applyBorder="1" applyAlignment="1">
      <alignment horizontal="center" vertical="top"/>
    </xf>
    <xf numFmtId="165" fontId="5" fillId="6" borderId="7" xfId="3" applyFont="1" applyFill="1" applyBorder="1" applyAlignment="1" applyProtection="1">
      <alignment horizontal="center" vertical="center" wrapText="1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5" fontId="1" fillId="0" borderId="5" xfId="0" applyFont="1" applyBorder="1" applyAlignment="1">
      <alignment horizontal="center"/>
    </xf>
    <xf numFmtId="165" fontId="5" fillId="6" borderId="13" xfId="3" applyFont="1" applyFill="1" applyBorder="1" applyAlignment="1">
      <alignment horizontal="center" vertical="center" wrapText="1"/>
    </xf>
    <xf numFmtId="165" fontId="1" fillId="0" borderId="18" xfId="0" applyFont="1" applyBorder="1" applyAlignment="1">
      <alignment horizontal="center"/>
    </xf>
    <xf numFmtId="165" fontId="0" fillId="0" borderId="5" xfId="0" applyBorder="1"/>
    <xf numFmtId="165" fontId="13" fillId="0" borderId="13" xfId="0" applyFont="1" applyBorder="1" applyAlignment="1">
      <alignment horizontal="center"/>
    </xf>
    <xf numFmtId="165" fontId="0" fillId="0" borderId="18" xfId="0" applyBorder="1"/>
    <xf numFmtId="165" fontId="13" fillId="0" borderId="2" xfId="0" applyFont="1" applyBorder="1" applyAlignment="1">
      <alignment horizontal="center"/>
    </xf>
    <xf numFmtId="165" fontId="0" fillId="0" borderId="2" xfId="0" applyBorder="1"/>
    <xf numFmtId="165" fontId="13" fillId="0" borderId="7" xfId="0" applyFont="1" applyBorder="1" applyAlignment="1">
      <alignment horizontal="center"/>
    </xf>
    <xf numFmtId="165" fontId="5" fillId="9" borderId="0" xfId="3" applyFont="1" applyFill="1" applyBorder="1" applyAlignment="1" applyProtection="1">
      <alignment horizontal="left" vertical="center" wrapText="1" indent="1"/>
    </xf>
    <xf numFmtId="165" fontId="18" fillId="9" borderId="0" xfId="0" applyFont="1" applyFill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indent="1"/>
    </xf>
    <xf numFmtId="165" fontId="9" fillId="9" borderId="0" xfId="0" applyFont="1" applyFill="1" applyAlignment="1" applyProtection="1">
      <alignment horizontal="left" vertical="center" indent="1"/>
    </xf>
    <xf numFmtId="165" fontId="6" fillId="9" borderId="0" xfId="0" applyFont="1" applyFill="1" applyBorder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wrapText="1" indent="1"/>
    </xf>
    <xf numFmtId="165" fontId="4" fillId="9" borderId="0" xfId="0" applyFont="1" applyFill="1" applyBorder="1" applyAlignment="1" applyProtection="1">
      <alignment horizontal="left" vertical="center" indent="1"/>
    </xf>
    <xf numFmtId="165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5" fontId="10" fillId="9" borderId="0" xfId="0" applyNumberFormat="1" applyFont="1" applyFill="1" applyProtection="1"/>
    <xf numFmtId="165" fontId="37" fillId="0" borderId="0" xfId="0" applyFont="1"/>
    <xf numFmtId="165" fontId="17" fillId="9" borderId="0" xfId="0" applyFont="1" applyFill="1" applyBorder="1"/>
    <xf numFmtId="165" fontId="17" fillId="9" borderId="0" xfId="0" applyFont="1" applyFill="1"/>
    <xf numFmtId="165" fontId="20" fillId="9" borderId="0" xfId="1" applyFont="1" applyFill="1" applyBorder="1" applyAlignment="1" applyProtection="1">
      <alignment horizontal="center" vertical="center" wrapText="1"/>
    </xf>
    <xf numFmtId="165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5" fontId="5" fillId="9" borderId="0" xfId="3" applyFont="1" applyFill="1" applyBorder="1" applyAlignment="1" applyProtection="1">
      <alignment vertical="center" wrapText="1"/>
    </xf>
    <xf numFmtId="165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5" fontId="38" fillId="15" borderId="1" xfId="8" applyFont="1" applyFill="1" applyBorder="1" applyAlignment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9" fillId="0" borderId="16" xfId="0" applyFont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5" fontId="0" fillId="0" borderId="0" xfId="0" applyFill="1" applyBorder="1"/>
    <xf numFmtId="165" fontId="0" fillId="0" borderId="0" xfId="0" applyNumberFormat="1" applyFill="1" applyBorder="1" applyAlignment="1"/>
    <xf numFmtId="165" fontId="0" fillId="0" borderId="0" xfId="0" applyNumberFormat="1" applyFill="1" applyBorder="1"/>
    <xf numFmtId="165" fontId="5" fillId="6" borderId="1" xfId="3" applyFont="1" applyFill="1" applyBorder="1" applyAlignment="1" applyProtection="1">
      <alignment horizontal="center" vertical="center" wrapText="1"/>
    </xf>
    <xf numFmtId="165" fontId="4" fillId="4" borderId="17" xfId="4" applyFont="1" applyFill="1" applyBorder="1" applyAlignment="1" applyProtection="1">
      <alignment horizontal="left"/>
    </xf>
    <xf numFmtId="165" fontId="10" fillId="16" borderId="0" xfId="0" applyNumberFormat="1" applyFont="1" applyFill="1"/>
    <xf numFmtId="165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5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14" fillId="2" borderId="1" xfId="0" applyFont="1" applyFill="1" applyBorder="1" applyAlignment="1">
      <alignment wrapText="1"/>
    </xf>
    <xf numFmtId="165" fontId="4" fillId="4" borderId="1" xfId="0" applyFont="1" applyFill="1" applyBorder="1" applyAlignment="1">
      <alignment vertical="top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5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5" fontId="5" fillId="6" borderId="1" xfId="3" applyFont="1" applyFill="1" applyBorder="1" applyAlignment="1" applyProtection="1">
      <alignment vertical="center" wrapText="1"/>
    </xf>
    <xf numFmtId="165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5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5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5" fontId="17" fillId="0" borderId="0" xfId="0" applyFont="1" applyAlignment="1" applyProtection="1"/>
    <xf numFmtId="165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42" fillId="0" borderId="0" xfId="0" applyFont="1"/>
    <xf numFmtId="165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5" fontId="17" fillId="0" borderId="0" xfId="0" applyFont="1" applyFill="1" applyAlignment="1" applyProtection="1">
      <alignment horizontal="center" vertical="center"/>
    </xf>
    <xf numFmtId="165" fontId="0" fillId="0" borderId="0" xfId="0" applyFill="1" applyBorder="1" applyAlignment="1" applyProtection="1">
      <alignment vertical="center"/>
    </xf>
    <xf numFmtId="165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5" fontId="17" fillId="0" borderId="18" xfId="0" applyFont="1" applyFill="1" applyBorder="1" applyAlignment="1" applyProtection="1"/>
    <xf numFmtId="165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5" fontId="42" fillId="0" borderId="8" xfId="0" applyFont="1" applyBorder="1"/>
    <xf numFmtId="165" fontId="42" fillId="0" borderId="0" xfId="0" applyFont="1" applyBorder="1"/>
    <xf numFmtId="165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43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5" fontId="17" fillId="9" borderId="18" xfId="0" applyFont="1" applyFill="1" applyBorder="1" applyAlignment="1" applyProtection="1"/>
    <xf numFmtId="165" fontId="17" fillId="9" borderId="0" xfId="0" applyFont="1" applyFill="1" applyBorder="1" applyAlignment="1" applyProtection="1"/>
    <xf numFmtId="165" fontId="0" fillId="9" borderId="0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5" fontId="5" fillId="0" borderId="27" xfId="0" applyFont="1" applyFill="1" applyBorder="1" applyAlignment="1">
      <alignment horizontal="center"/>
    </xf>
    <xf numFmtId="165" fontId="5" fillId="0" borderId="19" xfId="0" applyFont="1" applyFill="1" applyBorder="1" applyAlignment="1">
      <alignment horizontal="center"/>
    </xf>
    <xf numFmtId="165" fontId="5" fillId="9" borderId="0" xfId="3" applyNumberFormat="1" applyFont="1" applyFill="1" applyBorder="1" applyAlignment="1">
      <alignment horizontal="center" vertical="center" wrapText="1"/>
    </xf>
    <xf numFmtId="165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5" fontId="5" fillId="9" borderId="21" xfId="3" applyNumberFormat="1" applyFont="1" applyFill="1" applyBorder="1" applyAlignment="1">
      <alignment horizontal="center" wrapText="1"/>
    </xf>
    <xf numFmtId="165" fontId="5" fillId="9" borderId="22" xfId="3" applyNumberFormat="1" applyFont="1" applyFill="1" applyBorder="1" applyAlignment="1">
      <alignment horizontal="center" wrapText="1"/>
    </xf>
    <xf numFmtId="165" fontId="5" fillId="9" borderId="17" xfId="3" applyNumberFormat="1" applyFont="1" applyFill="1" applyBorder="1" applyAlignment="1">
      <alignment horizontal="center" vertical="center" wrapText="1"/>
    </xf>
    <xf numFmtId="165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5" fontId="5" fillId="9" borderId="18" xfId="3" applyNumberFormat="1" applyFont="1" applyFill="1" applyBorder="1" applyAlignment="1">
      <alignment horizontal="center" vertical="center" wrapText="1"/>
    </xf>
    <xf numFmtId="165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5" fontId="5" fillId="9" borderId="10" xfId="3" applyNumberFormat="1" applyFont="1" applyFill="1" applyBorder="1" applyAlignment="1">
      <alignment horizontal="center" vertical="center" wrapText="1"/>
    </xf>
    <xf numFmtId="165" fontId="5" fillId="11" borderId="38" xfId="3" applyNumberFormat="1" applyFont="1" applyFill="1" applyBorder="1" applyAlignment="1">
      <alignment horizontal="center" vertical="center" wrapText="1"/>
    </xf>
    <xf numFmtId="165" fontId="5" fillId="11" borderId="39" xfId="3" applyNumberFormat="1" applyFont="1" applyFill="1" applyBorder="1" applyAlignment="1">
      <alignment horizontal="center" vertical="center" wrapText="1"/>
    </xf>
    <xf numFmtId="165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5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5" fontId="18" fillId="5" borderId="1" xfId="0" applyNumberFormat="1" applyFont="1" applyFill="1" applyBorder="1" applyAlignment="1">
      <alignment horizontal="left" vertical="center" wrapText="1"/>
    </xf>
    <xf numFmtId="165" fontId="4" fillId="4" borderId="1" xfId="0" applyNumberFormat="1" applyFont="1" applyFill="1" applyBorder="1" applyAlignment="1" applyProtection="1">
      <alignment horizontal="left" vertical="center"/>
    </xf>
    <xf numFmtId="169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5" fontId="17" fillId="0" borderId="0" xfId="0" applyFont="1" applyAlignment="1" applyProtection="1">
      <alignment vertical="center"/>
    </xf>
    <xf numFmtId="165" fontId="10" fillId="0" borderId="0" xfId="0" applyFont="1" applyAlignment="1" applyProtection="1">
      <alignment vertical="center"/>
    </xf>
    <xf numFmtId="165" fontId="4" fillId="4" borderId="1" xfId="2" applyNumberFormat="1" applyFont="1" applyFill="1" applyBorder="1" applyAlignment="1" applyProtection="1">
      <alignment horizontal="center" vertical="center"/>
    </xf>
    <xf numFmtId="165" fontId="4" fillId="0" borderId="1" xfId="0" applyFont="1" applyBorder="1" applyAlignment="1" applyProtection="1">
      <alignment vertical="center"/>
      <protection locked="0"/>
    </xf>
    <xf numFmtId="165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5" fontId="4" fillId="0" borderId="0" xfId="0" applyFont="1" applyFill="1" applyBorder="1" applyAlignment="1" applyProtection="1">
      <alignment horizontal="center" vertical="center"/>
    </xf>
    <xf numFmtId="165" fontId="4" fillId="9" borderId="0" xfId="3" applyFont="1" applyFill="1" applyBorder="1" applyAlignment="1" applyProtection="1">
      <alignment horizontal="center" vertical="center" wrapText="1"/>
    </xf>
    <xf numFmtId="165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5" fontId="20" fillId="9" borderId="0" xfId="1" applyFont="1" applyFill="1" applyBorder="1" applyAlignment="1" applyProtection="1">
      <alignment horizontal="right" vertical="center" wrapText="1"/>
    </xf>
    <xf numFmtId="165" fontId="19" fillId="9" borderId="0" xfId="0" applyFont="1" applyFill="1" applyAlignment="1" applyProtection="1">
      <alignment horizontal="center" vertical="center" textRotation="45"/>
    </xf>
    <xf numFmtId="165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5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5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5" fontId="17" fillId="9" borderId="4" xfId="0" applyNumberFormat="1" applyFont="1" applyFill="1" applyBorder="1" applyAlignment="1" applyProtection="1">
      <alignment horizontal="center"/>
    </xf>
    <xf numFmtId="165" fontId="17" fillId="9" borderId="0" xfId="0" applyNumberFormat="1" applyFont="1" applyFill="1" applyBorder="1" applyAlignment="1" applyProtection="1">
      <alignment horizontal="center"/>
    </xf>
    <xf numFmtId="165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5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5" fontId="10" fillId="9" borderId="0" xfId="0" applyFont="1" applyFill="1" applyAlignment="1" applyProtection="1">
      <alignment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5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5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166" fontId="4" fillId="4" borderId="3" xfId="4" applyNumberFormat="1" applyFont="1" applyFill="1" applyBorder="1" applyAlignment="1" applyProtection="1">
      <alignment horizontal="center"/>
    </xf>
    <xf numFmtId="10" fontId="14" fillId="4" borderId="1" xfId="5" applyNumberFormat="1" applyFont="1" applyFill="1" applyBorder="1" applyAlignment="1">
      <alignment horizontal="center" vertical="center" wrapText="1"/>
    </xf>
    <xf numFmtId="165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5" fontId="3" fillId="2" borderId="1" xfId="0" applyFont="1" applyFill="1" applyBorder="1" applyAlignment="1">
      <alignment horizontal="center" vertical="center" wrapText="1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65" fontId="38" fillId="15" borderId="1" xfId="8" applyFont="1" applyFill="1" applyBorder="1" applyAlignment="1">
      <alignment horizontal="center"/>
    </xf>
    <xf numFmtId="167" fontId="10" fillId="4" borderId="2" xfId="2" applyNumberFormat="1" applyFont="1" applyFill="1" applyBorder="1" applyAlignment="1" applyProtection="1">
      <alignment horizontal="center" vertical="center"/>
    </xf>
    <xf numFmtId="167" fontId="10" fillId="4" borderId="4" xfId="2" applyNumberFormat="1" applyFont="1" applyFill="1" applyBorder="1" applyAlignment="1" applyProtection="1">
      <alignment horizontal="center" vertical="center"/>
    </xf>
    <xf numFmtId="165" fontId="4" fillId="0" borderId="2" xfId="0" applyNumberFormat="1" applyFont="1" applyFill="1" applyBorder="1" applyAlignment="1" applyProtection="1">
      <alignment horizontal="center" vertical="center"/>
      <protection locked="0"/>
    </xf>
    <xf numFmtId="165" fontId="4" fillId="0" borderId="4" xfId="0" applyNumberFormat="1" applyFont="1" applyFill="1" applyBorder="1" applyAlignment="1" applyProtection="1">
      <alignment horizontal="center" vertical="center"/>
      <protection locked="0"/>
    </xf>
    <xf numFmtId="167" fontId="6" fillId="4" borderId="2" xfId="2" applyNumberFormat="1" applyFont="1" applyFill="1" applyBorder="1" applyAlignment="1" applyProtection="1">
      <alignment horizontal="center" vertical="center"/>
    </xf>
    <xf numFmtId="167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4" xfId="3" applyFont="1" applyFill="1" applyBorder="1" applyAlignment="1" applyProtection="1">
      <alignment horizontal="center" vertical="center" wrapText="1"/>
    </xf>
    <xf numFmtId="165" fontId="4" fillId="0" borderId="2" xfId="0" applyFont="1" applyBorder="1" applyAlignment="1" applyProtection="1">
      <alignment horizontal="left" vertical="center"/>
      <protection locked="0"/>
    </xf>
    <xf numFmtId="165" fontId="4" fillId="0" borderId="4" xfId="0" applyFont="1" applyBorder="1" applyAlignment="1" applyProtection="1">
      <alignment horizontal="left" vertical="center"/>
      <protection locked="0"/>
    </xf>
    <xf numFmtId="165" fontId="4" fillId="0" borderId="2" xfId="0" applyFont="1" applyBorder="1" applyAlignment="1" applyProtection="1">
      <alignment horizontal="center" vertical="center"/>
      <protection locked="0"/>
    </xf>
    <xf numFmtId="165" fontId="4" fillId="0" borderId="4" xfId="0" applyFont="1" applyBorder="1" applyAlignment="1" applyProtection="1">
      <alignment horizontal="center" vertical="center"/>
      <protection locked="0"/>
    </xf>
    <xf numFmtId="165" fontId="4" fillId="0" borderId="0" xfId="3" applyFont="1" applyFill="1" applyBorder="1" applyAlignment="1" applyProtection="1">
      <alignment horizontal="center" vertical="center" wrapText="1"/>
    </xf>
    <xf numFmtId="165" fontId="5" fillId="6" borderId="3" xfId="3" applyFont="1" applyFill="1" applyBorder="1" applyAlignment="1" applyProtection="1">
      <alignment horizontal="center" vertical="center" wrapText="1"/>
    </xf>
    <xf numFmtId="165" fontId="5" fillId="6" borderId="6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11" borderId="3" xfId="3" applyFont="1" applyFill="1" applyBorder="1" applyAlignment="1" applyProtection="1">
      <alignment horizontal="center" vertical="center" wrapText="1"/>
    </xf>
    <xf numFmtId="165" fontId="5" fillId="11" borderId="7" xfId="3" applyFont="1" applyFill="1" applyBorder="1" applyAlignment="1" applyProtection="1">
      <alignment horizontal="center" vertical="center" wrapText="1"/>
    </xf>
    <xf numFmtId="165" fontId="0" fillId="12" borderId="3" xfId="0" applyFill="1" applyBorder="1" applyAlignment="1" applyProtection="1">
      <alignment horizontal="center" vertical="center" wrapText="1"/>
    </xf>
    <xf numFmtId="165" fontId="0" fillId="12" borderId="6" xfId="0" applyFill="1" applyBorder="1" applyAlignment="1" applyProtection="1">
      <alignment horizontal="center" vertical="center"/>
    </xf>
    <xf numFmtId="165" fontId="0" fillId="12" borderId="7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165" fontId="44" fillId="12" borderId="1" xfId="0" applyFont="1" applyFill="1" applyBorder="1" applyAlignment="1" applyProtection="1">
      <alignment horizontal="center" vertical="center" wrapText="1"/>
    </xf>
    <xf numFmtId="165" fontId="5" fillId="11" borderId="2" xfId="3" applyFont="1" applyFill="1" applyBorder="1" applyAlignment="1" applyProtection="1">
      <alignment horizontal="center" vertical="center" wrapText="1"/>
    </xf>
    <xf numFmtId="165" fontId="5" fillId="11" borderId="5" xfId="3" applyFont="1" applyFill="1" applyBorder="1" applyAlignment="1" applyProtection="1">
      <alignment horizontal="center" vertical="center" wrapText="1"/>
    </xf>
    <xf numFmtId="165" fontId="5" fillId="11" borderId="4" xfId="3" applyFont="1" applyFill="1" applyBorder="1" applyAlignment="1" applyProtection="1">
      <alignment horizontal="center" vertical="center" wrapText="1"/>
    </xf>
    <xf numFmtId="165" fontId="5" fillId="9" borderId="3" xfId="3" applyFont="1" applyFill="1" applyBorder="1" applyAlignment="1" applyProtection="1">
      <alignment horizontal="center" vertical="center" wrapText="1"/>
    </xf>
    <xf numFmtId="165" fontId="5" fillId="9" borderId="6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165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5" fontId="5" fillId="6" borderId="32" xfId="3" applyNumberFormat="1" applyFont="1" applyFill="1" applyBorder="1" applyAlignment="1">
      <alignment horizontal="center" vertical="center" wrapText="1"/>
    </xf>
    <xf numFmtId="165" fontId="5" fillId="6" borderId="49" xfId="3" applyNumberFormat="1" applyFont="1" applyFill="1" applyBorder="1" applyAlignment="1">
      <alignment horizontal="center" vertical="center" wrapText="1"/>
    </xf>
    <xf numFmtId="165" fontId="5" fillId="6" borderId="48" xfId="3" applyNumberFormat="1" applyFont="1" applyFill="1" applyBorder="1" applyAlignment="1">
      <alignment horizontal="center" vertical="center" wrapText="1"/>
    </xf>
    <xf numFmtId="165" fontId="5" fillId="6" borderId="50" xfId="3" applyNumberFormat="1" applyFont="1" applyFill="1" applyBorder="1" applyAlignment="1">
      <alignment horizontal="center" vertical="center" wrapText="1"/>
    </xf>
    <xf numFmtId="165" fontId="5" fillId="6" borderId="29" xfId="3" applyNumberFormat="1" applyFont="1" applyFill="1" applyBorder="1" applyAlignment="1">
      <alignment horizontal="center" vertical="center" wrapText="1"/>
    </xf>
    <xf numFmtId="165" fontId="5" fillId="6" borderId="20" xfId="3" applyNumberFormat="1" applyFont="1" applyFill="1" applyBorder="1" applyAlignment="1">
      <alignment horizontal="center" vertical="center" wrapText="1"/>
    </xf>
    <xf numFmtId="165" fontId="17" fillId="0" borderId="14" xfId="0" applyFont="1" applyBorder="1" applyAlignment="1" applyProtection="1">
      <alignment horizontal="center"/>
    </xf>
    <xf numFmtId="165" fontId="5" fillId="6" borderId="3" xfId="3" applyNumberFormat="1" applyFont="1" applyFill="1" applyBorder="1" applyAlignment="1">
      <alignment horizontal="center" vertical="center" wrapText="1"/>
    </xf>
    <xf numFmtId="165" fontId="5" fillId="6" borderId="7" xfId="3" applyNumberFormat="1" applyFont="1" applyFill="1" applyBorder="1" applyAlignment="1">
      <alignment horizontal="center" vertical="center" wrapText="1"/>
    </xf>
    <xf numFmtId="165" fontId="5" fillId="6" borderId="18" xfId="3" applyNumberFormat="1" applyFont="1" applyFill="1" applyBorder="1" applyAlignment="1">
      <alignment horizontal="center" vertical="center" wrapText="1"/>
    </xf>
    <xf numFmtId="165" fontId="5" fillId="6" borderId="13" xfId="3" applyNumberFormat="1" applyFont="1" applyFill="1" applyBorder="1" applyAlignment="1">
      <alignment horizontal="center" vertical="center" wrapText="1"/>
    </xf>
    <xf numFmtId="165" fontId="5" fillId="18" borderId="41" xfId="3" applyNumberFormat="1" applyFont="1" applyFill="1" applyBorder="1" applyAlignment="1">
      <alignment horizontal="center" vertical="center" wrapText="1"/>
    </xf>
    <xf numFmtId="165" fontId="5" fillId="18" borderId="42" xfId="3" applyNumberFormat="1" applyFont="1" applyFill="1" applyBorder="1" applyAlignment="1">
      <alignment horizontal="center" vertical="center" wrapText="1"/>
    </xf>
    <xf numFmtId="165" fontId="5" fillId="11" borderId="35" xfId="3" applyFont="1" applyFill="1" applyBorder="1" applyAlignment="1" applyProtection="1">
      <alignment horizontal="center" vertical="center" wrapText="1"/>
    </xf>
    <xf numFmtId="165" fontId="5" fillId="11" borderId="36" xfId="3" applyFont="1" applyFill="1" applyBorder="1" applyAlignment="1" applyProtection="1">
      <alignment horizontal="center" vertical="center" wrapText="1"/>
    </xf>
    <xf numFmtId="165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5" fontId="5" fillId="6" borderId="21" xfId="3" applyNumberFormat="1" applyFont="1" applyFill="1" applyBorder="1" applyAlignment="1">
      <alignment horizontal="center" vertical="center" wrapText="1"/>
    </xf>
    <xf numFmtId="165" fontId="5" fillId="6" borderId="10" xfId="3" applyNumberFormat="1" applyFont="1" applyFill="1" applyBorder="1" applyAlignment="1">
      <alignment horizontal="center" vertical="center" wrapText="1"/>
    </xf>
    <xf numFmtId="165" fontId="5" fillId="6" borderId="28" xfId="3" applyNumberFormat="1" applyFont="1" applyFill="1" applyBorder="1" applyAlignment="1">
      <alignment horizontal="center" vertical="center" wrapText="1"/>
    </xf>
    <xf numFmtId="165" fontId="5" fillId="18" borderId="53" xfId="3" applyNumberFormat="1" applyFont="1" applyFill="1" applyBorder="1" applyAlignment="1">
      <alignment horizontal="center" vertical="center" wrapText="1"/>
    </xf>
    <xf numFmtId="165" fontId="5" fillId="18" borderId="54" xfId="3" applyNumberFormat="1" applyFont="1" applyFill="1" applyBorder="1" applyAlignment="1">
      <alignment horizontal="center" vertical="center" wrapText="1"/>
    </xf>
    <xf numFmtId="165" fontId="5" fillId="18" borderId="55" xfId="3" applyNumberFormat="1" applyFont="1" applyFill="1" applyBorder="1" applyAlignment="1">
      <alignment horizontal="center" vertical="center" wrapText="1"/>
    </xf>
    <xf numFmtId="165" fontId="14" fillId="0" borderId="8" xfId="0" applyFont="1" applyBorder="1" applyAlignment="1" applyProtection="1">
      <alignment horizontal="center"/>
    </xf>
    <xf numFmtId="165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5" fontId="3" fillId="0" borderId="1" xfId="3" applyFont="1" applyFill="1" applyBorder="1" applyAlignment="1" applyProtection="1">
      <alignment horizontal="center" vertical="center" wrapText="1"/>
    </xf>
    <xf numFmtId="165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5" fontId="4" fillId="0" borderId="1" xfId="3" applyFont="1" applyFill="1" applyBorder="1" applyAlignment="1" applyProtection="1">
      <alignment horizontal="center" vertical="center" wrapText="1"/>
    </xf>
    <xf numFmtId="165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11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10" dataDxfId="208" totalsRowDxfId="206" headerRowBorderDxfId="209" tableBorderDxfId="207" totalsRowBorderDxfId="205">
  <autoFilter ref="B6:M26"/>
  <tableColumns count="12">
    <tableColumn id="1" name="Fronteira" totalsRowLabel="Total" dataDxfId="204" totalsRowDxfId="203"/>
    <tableColumn id="2" name="Nome da Função" dataDxfId="202" totalsRowDxfId="201" dataCellStyle="Normal 6"/>
    <tableColumn id="3" name="Tipo de Manutenção" dataDxfId="200" totalsRowDxfId="199" dataCellStyle="Normal 6"/>
    <tableColumn id="4" name="Tipo de Função" dataDxfId="198" totalsRowDxfId="197" dataCellStyle="Normal 6"/>
    <tableColumn id="5" name="Qtde Registros Lógicos/ Arquivos Referenciados" dataDxfId="196" totalsRowDxfId="195" dataCellStyle="Normal 6"/>
    <tableColumn id="6" name="Qtde de Itens" dataDxfId="194" totalsRowDxfId="193" dataCellStyle="Normal 6"/>
    <tableColumn id="11" name="Descrição dos Registros Lógicos/Arquivos Referenciados" dataDxfId="192" totalsRowDxfId="191" dataCellStyle="Normal 6"/>
    <tableColumn id="10" name="Descrição dos Itens de Dados" dataDxfId="190" totalsRowDxfId="189" dataCellStyle="Normal 6"/>
    <tableColumn id="7" name="Complexidade" dataDxfId="188" totalsRowDxfId="187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185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4" totalsRowDxfId="183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2" totalsRowDxfId="181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0" dataDxfId="178" totalsRowDxfId="176" headerRowBorderDxfId="179" tableBorderDxfId="177" totalsRowBorderDxfId="175">
  <autoFilter ref="B6:P26"/>
  <tableColumns count="15">
    <tableColumn id="1" name="Fronteira" totalsRowLabel="Total" dataDxfId="174" totalsRowDxfId="173"/>
    <tableColumn id="10" name="Analogia" dataDxfId="172" totalsRowDxfId="171" dataCellStyle="Normal 6"/>
    <tableColumn id="2" name="Nome da Função" dataDxfId="170" totalsRowDxfId="169" dataCellStyle="Normal 6"/>
    <tableColumn id="3" name="Tipo de Manutenção" dataDxfId="168" totalsRowDxfId="167" dataCellStyle="Normal 6"/>
    <tableColumn id="4" name="Tipo de Função" dataDxfId="166" totalsRowDxfId="165" dataCellStyle="Normal 6"/>
    <tableColumn id="5" name="Qtde Registros Lógicos/ Arquivos Referenciados" dataDxfId="164" totalsRowDxfId="163" dataCellStyle="Normal 6"/>
    <tableColumn id="6" name="Qtde de Itens" dataDxfId="162" totalsRowDxfId="161" dataCellStyle="Normal 6"/>
    <tableColumn id="13" name="Descrição dos Registros Lógicos/Arquivos Referenciados" dataDxfId="160" totalsRowDxfId="159" dataCellStyle="Normal 6"/>
    <tableColumn id="12" name="Descrição dos Itens de Dados" dataDxfId="158" totalsRowDxfId="157" dataCellStyle="Normal 6"/>
    <tableColumn id="7" name="Complexidade" dataDxfId="156" totalsRowDxfId="155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54" totalsRowDxfId="153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52" totalsRowDxfId="151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50" totalsRowDxfId="149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48" totalsRowDxfId="147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46" totalsRowDxfId="145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44" dataDxfId="142" totalsRowDxfId="140" headerRowBorderDxfId="143" tableBorderDxfId="141" headerRowCellStyle="Normal 6">
  <autoFilter ref="B5:L18"/>
  <tableColumns count="11">
    <tableColumn id="8" name="Id" dataDxfId="139" totalsRowDxfId="138"/>
    <tableColumn id="1" name="Fases do Ciclo de Vida / Artefatos" totalsRowLabel="Total" dataDxfId="137" totalsRowDxfId="136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35" totalsRowDxfId="134" dataCellStyle="Normal 5"/>
    <tableColumn id="3" name="Esforço em Horas (calculado)" totalsRowFunction="custom" dataDxfId="133" totalsRowDxfId="132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custom" dataDxfId="131" totalsRowDxfId="130" dataCellStyle="Normal 5">
      <totalsRowFormula>ROUND(SUBTOTAL(109,EsforcoFases[Esforço em Horas (preenchido)]),2)</totalsRowFormula>
    </tableColumn>
    <tableColumn id="5" name="Percentual Calculado da Fase" totalsRowFunction="sum" dataDxfId="129" totalsRowDxfId="128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27" totalsRowDxfId="126" dataCellStyle="Normal 5">
      <calculatedColumnFormula>(Pontos_APF+IF(EsforcoFases[[#This Row],[Man Cosmetica Especial]]=FALSE,Pontos_Analogia,Pontos_Analogia_SemFatorImpacto))*0</calculatedColumnFormula>
    </tableColumn>
    <tableColumn id="7" name="checks" dataDxfId="125" totalsRowDxfId="124">
      <calculatedColumnFormula>IF(EsforcoFases[[#This Row],[Contratação]]=Sim,TRUE,FALSE)</calculatedColumnFormula>
    </tableColumn>
    <tableColumn id="9" name="Ativ. Fabrica Testes" dataDxfId="123" totalsRowDxfId="122">
      <calculatedColumnFormula>AND(FabricaTestes,VLOOKUP(B6,PercentuaisFases[],VLOOKUP(Fornecedor,MapFasesFornecedores[#All],4,FALSE),FALSE))</calculatedColumnFormula>
    </tableColumn>
    <tableColumn id="10" name="Max" dataDxfId="121" totalsRowDxfId="120">
      <calculatedColumnFormula>IF(C6="",0)</calculatedColumnFormula>
    </tableColumn>
    <tableColumn id="11" name="Man Cosmetica Especial" dataDxfId="119" totalsRowDxfId="118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5" totalsRowShown="0" headerRowDxfId="117" dataDxfId="115" headerRowBorderDxfId="116" tableBorderDxfId="114" totalsRowBorderDxfId="113" headerRowCellStyle="Normal 6" dataCellStyle="Normal 9">
  <autoFilter ref="B4:L5"/>
  <tableColumns count="11">
    <tableColumn id="1" name="Nome Sistema ou Tecnologia" dataDxfId="112" dataCellStyle="Normal 9"/>
    <tableColumn id="2" name="Produtividade Inclusão" dataDxfId="111" dataCellStyle="Normal 9"/>
    <tableColumn id="10" name="Produtividade Alteração" dataDxfId="110" dataCellStyle="Normal 9">
      <calculatedColumnFormula>Produtividades[[#This Row],[Produtividade Inclusão]]</calculatedColumnFormula>
    </tableColumn>
    <tableColumn id="11" name="Produtividade Exclusão" dataDxfId="109" dataCellStyle="Normal 9">
      <calculatedColumnFormula>Produtividades[[#This Row],[Produtividade Inclusão]]</calculatedColumnFormula>
    </tableColumn>
    <tableColumn id="8" name="Taxa horária" dataDxfId="108" dataCellStyle="Normal 9"/>
    <tableColumn id="6" name="Contrato" dataDxfId="107" dataCellStyle="Normal 9"/>
    <tableColumn id="7" name="Fornecedor" dataDxfId="106" dataCellStyle="Normal 9"/>
    <tableColumn id="3" name="Aba Itens configuração" dataDxfId="105" dataCellStyle="Normal 9"/>
    <tableColumn id="9" name="Aba Estimator" dataDxfId="104" dataCellStyle="Normal 9"/>
    <tableColumn id="4" name="Sistema/Tecnologia" dataDxfId="103" dataCellStyle="Normal 9"/>
    <tableColumn id="5" name="Fábrica Testes" dataDxfId="102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01" dataDxfId="100">
  <autoFilter ref="J4:J16"/>
  <sortState ref="J5:J16">
    <sortCondition ref="J6"/>
  </sortState>
  <tableColumns count="1">
    <tableColumn id="1" name="Motivo" dataDxfId="99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98" dataDxfId="96" headerRowBorderDxfId="97" tableBorderDxfId="95" totalsRowBorderDxfId="94" headerRowCellStyle="Normal 6">
  <autoFilter ref="I4:I6"/>
  <tableColumns count="1">
    <tableColumn id="1" name="Tipo Contagem" dataDxfId="93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92" dataDxfId="90" headerRowBorderDxfId="91" tableBorderDxfId="89" totalsRowBorderDxfId="88" headerRowCellStyle="Normal 6">
  <autoFilter ref="H4:H7"/>
  <tableColumns count="1">
    <tableColumn id="1" name="Complexidade" dataDxfId="87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86" dataDxfId="84" headerRowBorderDxfId="85" tableBorderDxfId="83" totalsRowBorderDxfId="82" headerRowCellStyle="Normal 6">
  <autoFilter ref="G4:G9"/>
  <tableColumns count="1">
    <tableColumn id="1" name="Tipo de Função (ALI/AIE/EE/SE/CE)" dataDxfId="81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80" dataDxfId="78" headerRowBorderDxfId="79" tableBorderDxfId="77" totalsRowBorderDxfId="76" headerRowCellStyle="Normal 6">
  <autoFilter ref="F4:F7"/>
  <tableColumns count="1">
    <tableColumn id="1" name="Tipo de Manutenção (I/A/E)" dataDxfId="75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1" totalsRowShown="0" headerRowDxfId="74" headerRowBorderDxfId="73" tableBorderDxfId="72" totalsRowBorderDxfId="71">
  <autoFilter ref="E4:E31"/>
  <tableColumns count="1">
    <tableColumn id="1" name="Fornecedor" dataDxfId="70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9" headerRowBorderDxfId="68" tableBorderDxfId="67" totalsRowBorderDxfId="66">
  <autoFilter ref="D4:D7"/>
  <tableColumns count="1">
    <tableColumn id="1" name="Contrato" dataDxfId="65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64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63" dataDxfId="62">
  <autoFilter ref="Q1:R8"/>
  <tableColumns count="2">
    <tableColumn id="1" name="Analogia" dataDxfId="61"/>
    <tableColumn id="2" name="Fator de ajuste" dataDxfId="60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AF21" totalsRowShown="0" headerRowDxfId="59" dataDxfId="57" headerRowBorderDxfId="58" tableBorderDxfId="56" totalsRowBorderDxfId="55" headerRowCellStyle="Normal 6">
  <autoFilter ref="A2:AF21"/>
  <tableColumns count="32">
    <tableColumn id="4" name="Id" dataDxfId="54"/>
    <tableColumn id="8" name="Man Cosmetica Especial" dataDxfId="53"/>
    <tableColumn id="1" name="Fases do Ciclo de Vida / Artefatos 1" dataDxfId="52"/>
    <tableColumn id="2" name="Percentual 1" dataDxfId="51"/>
    <tableColumn id="6" name="Fábrica testes 1" dataDxfId="50"/>
    <tableColumn id="5" name="Fases do Ciclo de Vida / Artefatos 2" dataDxfId="49"/>
    <tableColumn id="3" name="Percentual 2" dataDxfId="48"/>
    <tableColumn id="7" name="Fábrica testes 2" dataDxfId="47"/>
    <tableColumn id="9" name="Fases do Ciclo de Vida / Artefatos 3" dataDxfId="46"/>
    <tableColumn id="10" name="Percentual 3" dataDxfId="45"/>
    <tableColumn id="11" name="Fábrica testes 3" dataDxfId="44"/>
    <tableColumn id="12" name="Fases do Ciclo de Vida / Artefatos 4" dataDxfId="43"/>
    <tableColumn id="13" name="Percentual 4" dataDxfId="42"/>
    <tableColumn id="14" name="Fábrica testes 4" dataDxfId="41"/>
    <tableColumn id="15" name="Fases do Ciclo de Vida / Artefatos 5" dataDxfId="40"/>
    <tableColumn id="16" name="Percentual 5" dataDxfId="39"/>
    <tableColumn id="17" name="Fábrica testes 5" dataDxfId="38"/>
    <tableColumn id="18" name="Fases do Ciclo de Vida / Artefatos 6" dataDxfId="37"/>
    <tableColumn id="19" name="Percentual 6" dataDxfId="36"/>
    <tableColumn id="20" name="Fábrica testes 6" dataDxfId="35"/>
    <tableColumn id="21" name="Fases do Ciclo de Vida / Artefatos 7" dataDxfId="34"/>
    <tableColumn id="22" name="Percentual 7" dataDxfId="33"/>
    <tableColumn id="23" name="Fábrica testes 7" dataDxfId="32"/>
    <tableColumn id="24" name="Fases do Ciclo de Vida / Artefatos 8" dataDxfId="31"/>
    <tableColumn id="25" name="Percentual 8" dataDxfId="30"/>
    <tableColumn id="26" name="Fábrica testes 8" dataDxfId="29"/>
    <tableColumn id="27" name="Fases do Ciclo de Vida / Artefatos 9" dataDxfId="28"/>
    <tableColumn id="28" name="Percentual 9" dataDxfId="27"/>
    <tableColumn id="29" name="Fábrica testes 9" dataDxfId="26"/>
    <tableColumn id="30" name="Fases do Ciclo de Vida / Artefatos 10" dataDxfId="25"/>
    <tableColumn id="31" name="Percentual 10" dataDxfId="24"/>
    <tableColumn id="32" name="Fábrica testes 10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AH2:AM29" totalsRowShown="0" headerRowDxfId="22" dataDxfId="21">
  <autoFilter ref="AH2:AM29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9" totalsRowShown="0">
  <autoFilter ref="K2:M29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B8" sqref="B8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3"/>
    </row>
    <row r="3" spans="1:5" ht="15.75" x14ac:dyDescent="0.25">
      <c r="C3" s="178" t="s">
        <v>245</v>
      </c>
    </row>
    <row r="6" spans="1:5" x14ac:dyDescent="0.25">
      <c r="A6" s="426" t="s">
        <v>326</v>
      </c>
      <c r="B6" s="426"/>
      <c r="C6" s="426"/>
      <c r="D6" s="426"/>
      <c r="E6" s="426"/>
    </row>
    <row r="7" spans="1:5" x14ac:dyDescent="0.25">
      <c r="A7" s="176" t="s">
        <v>317</v>
      </c>
      <c r="B7" s="176" t="s">
        <v>241</v>
      </c>
      <c r="C7" s="176" t="s">
        <v>230</v>
      </c>
      <c r="D7" s="176" t="s">
        <v>242</v>
      </c>
      <c r="E7" s="176" t="s">
        <v>243</v>
      </c>
    </row>
    <row r="8" spans="1:5" x14ac:dyDescent="0.25">
      <c r="A8" s="211">
        <v>1</v>
      </c>
      <c r="B8" s="175" t="s">
        <v>482</v>
      </c>
      <c r="C8" s="217" t="s">
        <v>479</v>
      </c>
      <c r="D8" s="217" t="s">
        <v>480</v>
      </c>
      <c r="E8" s="217" t="s">
        <v>481</v>
      </c>
    </row>
    <row r="9" spans="1:5" x14ac:dyDescent="0.25">
      <c r="A9" s="211"/>
      <c r="B9" s="175"/>
      <c r="C9" s="217"/>
      <c r="D9" s="217"/>
      <c r="E9" s="217"/>
    </row>
    <row r="10" spans="1:5" x14ac:dyDescent="0.25">
      <c r="A10" s="211"/>
      <c r="B10" s="175"/>
      <c r="C10" s="217"/>
      <c r="D10" s="217"/>
      <c r="E10" s="217"/>
    </row>
    <row r="11" spans="1:5" x14ac:dyDescent="0.25">
      <c r="A11" s="211"/>
      <c r="B11" s="175"/>
      <c r="C11" s="217"/>
      <c r="D11" s="217"/>
      <c r="E11" s="217"/>
    </row>
    <row r="14" spans="1:5" x14ac:dyDescent="0.25">
      <c r="A14" s="165"/>
    </row>
    <row r="15" spans="1:5" x14ac:dyDescent="0.25">
      <c r="A15" s="165"/>
    </row>
    <row r="16" spans="1:5" x14ac:dyDescent="0.25">
      <c r="A16" s="165" t="s">
        <v>244</v>
      </c>
    </row>
  </sheetData>
  <sheetProtection algorithmName="SHA-512" hashValue="VIkm+rqfKYHZMdezOaDWo7/YT6VK4FmKOVfTfcEUTjgFGJUEvIc/+MeZWSCvgGdauVlg09/YucCECA5LhqOdlw==" saltValue="1wlst0Iaw7C0M8WR09cTWg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topLeftCell="A19" zoomScale="90" zoomScaleNormal="90" workbookViewId="0">
      <selection activeCell="B2" sqref="B2:D44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0" bestFit="1" customWidth="1"/>
    <col min="4" max="4" width="27.140625" style="370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5" t="s">
        <v>25</v>
      </c>
      <c r="C2" s="435"/>
      <c r="D2" s="435"/>
      <c r="E2" s="15"/>
      <c r="F2" s="155"/>
    </row>
    <row r="3" spans="2:6" ht="35.1" customHeight="1" x14ac:dyDescent="0.2">
      <c r="F3" s="156" t="b">
        <f>VLOOKUP(Fornecedor,MapFasesFornecedores[#All],6,0)</f>
        <v>0</v>
      </c>
    </row>
    <row r="4" spans="2:6" ht="18" customHeight="1" x14ac:dyDescent="0.2">
      <c r="B4" s="53" t="s">
        <v>19</v>
      </c>
      <c r="C4" s="436" t="s">
        <v>443</v>
      </c>
      <c r="D4" s="437"/>
      <c r="E4" s="16"/>
      <c r="F4" s="157" t="s">
        <v>256</v>
      </c>
    </row>
    <row r="5" spans="2:6" ht="18" customHeight="1" x14ac:dyDescent="0.2">
      <c r="B5" s="59"/>
      <c r="C5" s="371"/>
      <c r="D5" s="371"/>
      <c r="E5" s="60"/>
      <c r="F5" s="158"/>
    </row>
    <row r="6" spans="2:6" ht="18" customHeight="1" x14ac:dyDescent="0.2">
      <c r="B6" s="52" t="s">
        <v>20</v>
      </c>
      <c r="C6" s="440">
        <v>24591</v>
      </c>
      <c r="D6" s="441"/>
      <c r="E6" s="61"/>
      <c r="F6" s="159"/>
    </row>
    <row r="7" spans="2:6" ht="18" customHeight="1" x14ac:dyDescent="0.2">
      <c r="B7" s="185" t="s">
        <v>280</v>
      </c>
      <c r="C7" s="440">
        <v>20121</v>
      </c>
      <c r="D7" s="441"/>
      <c r="E7" s="61"/>
      <c r="F7" s="159"/>
    </row>
    <row r="8" spans="2:6" ht="54" customHeight="1" x14ac:dyDescent="0.2">
      <c r="B8" s="52" t="s">
        <v>21</v>
      </c>
      <c r="C8" s="442" t="s">
        <v>483</v>
      </c>
      <c r="D8" s="443"/>
      <c r="E8" s="62"/>
      <c r="F8" s="160"/>
    </row>
    <row r="9" spans="2:6" ht="18" customHeight="1" x14ac:dyDescent="0.2">
      <c r="B9" s="132" t="s">
        <v>225</v>
      </c>
      <c r="C9" s="372" t="str">
        <f>IFERROR(VLOOKUP(Sistema,Produtividades[],COLUMN(Produtividades[[#Headers],[Sistema/Tecnologia]])-1,FALSE),"")</f>
        <v>Sistema</v>
      </c>
      <c r="D9" s="373" t="s">
        <v>473</v>
      </c>
      <c r="F9" s="156" t="s">
        <v>229</v>
      </c>
    </row>
    <row r="10" spans="2:6" ht="18" customHeight="1" x14ac:dyDescent="0.2">
      <c r="B10" s="63"/>
      <c r="C10" s="374"/>
      <c r="D10" s="374"/>
      <c r="E10" s="64"/>
      <c r="F10" s="161"/>
    </row>
    <row r="11" spans="2:6" x14ac:dyDescent="0.2">
      <c r="B11" s="53" t="s">
        <v>164</v>
      </c>
      <c r="C11" s="444" t="str">
        <f>IFERROR(VLOOKUP(Sistema,Produtividades[],COLUMN(Produtividades[[#Headers],[Contrato]])-1,FALSE),"")</f>
        <v>Em negociação</v>
      </c>
      <c r="D11" s="445"/>
      <c r="F11" s="156"/>
    </row>
    <row r="12" spans="2:6" x14ac:dyDescent="0.2">
      <c r="F12" s="156"/>
    </row>
    <row r="13" spans="2:6" x14ac:dyDescent="0.2">
      <c r="B13" s="177" t="s">
        <v>271</v>
      </c>
      <c r="C13" s="444" t="s">
        <v>173</v>
      </c>
      <c r="D13" s="445"/>
      <c r="F13" s="156"/>
    </row>
    <row r="14" spans="2:6" x14ac:dyDescent="0.2">
      <c r="F14" s="156"/>
    </row>
    <row r="15" spans="2:6" x14ac:dyDescent="0.2">
      <c r="B15" s="53" t="s">
        <v>166</v>
      </c>
      <c r="C15" s="450" t="s">
        <v>189</v>
      </c>
      <c r="D15" s="451"/>
      <c r="E15" s="77"/>
      <c r="F15" s="156" t="s">
        <v>190</v>
      </c>
    </row>
    <row r="16" spans="2:6" x14ac:dyDescent="0.2">
      <c r="F16" s="156"/>
    </row>
    <row r="17" spans="2:6" x14ac:dyDescent="0.2">
      <c r="B17" s="53" t="s">
        <v>159</v>
      </c>
      <c r="C17" s="452" t="s">
        <v>156</v>
      </c>
      <c r="D17" s="453"/>
      <c r="F17" s="156" t="s">
        <v>257</v>
      </c>
    </row>
    <row r="18" spans="2:6" ht="14.25" x14ac:dyDescent="0.2">
      <c r="E18" s="66"/>
      <c r="F18" s="162"/>
    </row>
    <row r="19" spans="2:6" ht="18" customHeight="1" x14ac:dyDescent="0.2">
      <c r="B19" s="53" t="s">
        <v>44</v>
      </c>
      <c r="C19" s="444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0</v>
      </c>
      <c r="D19" s="445"/>
      <c r="E19" s="20" t="s">
        <v>48</v>
      </c>
      <c r="F19" s="163"/>
    </row>
    <row r="20" spans="2:6" ht="18" customHeight="1" x14ac:dyDescent="0.2">
      <c r="B20" s="63"/>
      <c r="C20" s="374"/>
      <c r="D20" s="374"/>
      <c r="E20" s="64"/>
      <c r="F20" s="163"/>
    </row>
    <row r="21" spans="2:6" ht="18" customHeight="1" x14ac:dyDescent="0.2">
      <c r="B21" s="52"/>
      <c r="C21" s="363" t="s">
        <v>58</v>
      </c>
      <c r="D21" s="363" t="s">
        <v>50</v>
      </c>
      <c r="F21" s="163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3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75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3"/>
    </row>
    <row r="25" spans="2:6" ht="18" customHeight="1" x14ac:dyDescent="0.2">
      <c r="B25" s="63"/>
      <c r="C25" s="374"/>
      <c r="D25" s="374"/>
    </row>
    <row r="26" spans="2:6" ht="18" customHeight="1" x14ac:dyDescent="0.2">
      <c r="B26" s="53" t="s">
        <v>78</v>
      </c>
      <c r="C26" s="446">
        <f>Horas_APF</f>
        <v>0</v>
      </c>
      <c r="D26" s="447"/>
      <c r="E26" s="65" t="s">
        <v>249</v>
      </c>
      <c r="F26" s="65"/>
    </row>
    <row r="27" spans="2:6" ht="18" customHeight="1" x14ac:dyDescent="0.2">
      <c r="B27" s="63"/>
      <c r="C27" s="374"/>
      <c r="D27" s="374"/>
    </row>
    <row r="28" spans="2:6" ht="18" customHeight="1" x14ac:dyDescent="0.2">
      <c r="B28" s="52"/>
      <c r="C28" s="448" t="s">
        <v>24</v>
      </c>
      <c r="D28" s="449"/>
      <c r="E28" s="19"/>
      <c r="F28" s="19"/>
    </row>
    <row r="29" spans="2:6" ht="18" customHeight="1" x14ac:dyDescent="0.2">
      <c r="B29" s="52" t="s">
        <v>29</v>
      </c>
      <c r="C29" s="444">
        <f ca="1">ROUND(IF(RespostaContagem=Sim,Horas_HH_Total,Horas_HH_Total+EsforcoFases[[#Totals],[Esforço em Horas (preenchido)]]),2)</f>
        <v>400</v>
      </c>
      <c r="D29" s="445"/>
      <c r="E29" s="20" t="s">
        <v>248</v>
      </c>
      <c r="F29" s="20"/>
    </row>
    <row r="30" spans="2:6" ht="18" customHeight="1" x14ac:dyDescent="0.2">
      <c r="B30" s="63"/>
      <c r="C30" s="374"/>
      <c r="D30" s="374"/>
      <c r="E30" s="64"/>
      <c r="F30" s="64"/>
    </row>
    <row r="31" spans="2:6" ht="18" customHeight="1" x14ac:dyDescent="0.2">
      <c r="B31" s="52"/>
      <c r="C31" s="364" t="s">
        <v>15</v>
      </c>
      <c r="D31" s="363" t="s">
        <v>24</v>
      </c>
      <c r="F31" s="225" t="s">
        <v>293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68</v>
      </c>
      <c r="F32" s="129" t="s">
        <v>294</v>
      </c>
    </row>
    <row r="33" spans="2:6" ht="18" customHeight="1" x14ac:dyDescent="0.2">
      <c r="B33" s="63"/>
      <c r="C33" s="374"/>
      <c r="D33" s="374"/>
      <c r="E33" s="58"/>
      <c r="F33" s="58"/>
    </row>
    <row r="34" spans="2:6" ht="18" customHeight="1" x14ac:dyDescent="0.2">
      <c r="B34" s="53" t="s">
        <v>74</v>
      </c>
      <c r="C34" s="438" t="e">
        <f ca="1">ROUND((Horas_APF+Horas_Analogia+Horas_HH+Horas_Gestao)*Flip,2)</f>
        <v>#VALUE!</v>
      </c>
      <c r="D34" s="439"/>
      <c r="E34" s="16"/>
      <c r="F34" s="16"/>
    </row>
    <row r="36" spans="2:6" x14ac:dyDescent="0.2">
      <c r="B36" s="53" t="s">
        <v>175</v>
      </c>
      <c r="C36" s="427">
        <f>VLOOKUP(Sistema,Produtividades[],COLUMN(Produtividades[[#Headers],[Taxa horária]])-1,FALSE)</f>
        <v>186</v>
      </c>
      <c r="D36" s="428"/>
    </row>
    <row r="38" spans="2:6" x14ac:dyDescent="0.2">
      <c r="B38" s="53" t="s">
        <v>179</v>
      </c>
      <c r="C38" s="427" t="e">
        <f ca="1">Horas_Total*Taxa_Horaria</f>
        <v>#VALUE!</v>
      </c>
      <c r="D38" s="428"/>
    </row>
    <row r="40" spans="2:6" x14ac:dyDescent="0.2">
      <c r="B40" s="53" t="s">
        <v>178</v>
      </c>
      <c r="C40" s="429"/>
      <c r="D40" s="430"/>
    </row>
    <row r="41" spans="2:6" x14ac:dyDescent="0.2">
      <c r="C41" s="376"/>
      <c r="D41" s="376"/>
    </row>
    <row r="42" spans="2:6" ht="45" customHeight="1" x14ac:dyDescent="0.2">
      <c r="B42" s="53" t="s">
        <v>273</v>
      </c>
      <c r="C42" s="433"/>
      <c r="D42" s="434"/>
    </row>
    <row r="44" spans="2:6" ht="15.75" x14ac:dyDescent="0.2">
      <c r="B44" s="53" t="s">
        <v>180</v>
      </c>
      <c r="C44" s="431" t="e">
        <f ca="1">Custo-Desconto</f>
        <v>#VALUE!</v>
      </c>
      <c r="D44" s="432"/>
    </row>
  </sheetData>
  <sheetProtection password="CABF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5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69"/>
      <c r="M3" s="21" t="s">
        <v>45</v>
      </c>
      <c r="P3" s="89"/>
    </row>
    <row r="4" spans="2:16" s="89" customFormat="1" ht="20.100000000000001" hidden="1" customHeight="1" x14ac:dyDescent="0.2">
      <c r="B4" s="169"/>
      <c r="C4" s="169" t="str">
        <f>Sistema</f>
        <v>ARBOR - Amdocs</v>
      </c>
      <c r="D4" s="379" t="s">
        <v>413</v>
      </c>
      <c r="E4" s="169" t="s">
        <v>115</v>
      </c>
      <c r="F4" s="169" t="s">
        <v>438</v>
      </c>
      <c r="G4" s="169"/>
      <c r="H4" s="169"/>
      <c r="I4" s="169"/>
      <c r="J4" s="169"/>
      <c r="K4" s="169"/>
      <c r="L4" s="169"/>
      <c r="M4" s="380"/>
    </row>
    <row r="5" spans="2:16" s="89" customFormat="1" ht="20.100000000000001" hidden="1" customHeight="1" x14ac:dyDescent="0.2">
      <c r="B5" s="169"/>
      <c r="C5" s="169" t="s">
        <v>182</v>
      </c>
      <c r="D5" s="379">
        <f>VLOOKUP(C4,Produtividades[#All],2,0)</f>
        <v>0</v>
      </c>
      <c r="E5" s="379">
        <f>VLOOKUP(C4,Produtividades[#All],3,0)</f>
        <v>0</v>
      </c>
      <c r="F5" s="379">
        <f>VLOOKUP(C4,Produtividades[#All],4,0)</f>
        <v>0</v>
      </c>
      <c r="G5" s="169"/>
      <c r="H5" s="169"/>
      <c r="I5" s="169"/>
      <c r="J5" s="169"/>
      <c r="K5" s="169"/>
      <c r="L5" s="169"/>
      <c r="M5" s="380"/>
    </row>
    <row r="6" spans="2:16" ht="63.75" customHeight="1" x14ac:dyDescent="0.2">
      <c r="B6" s="44" t="s">
        <v>79</v>
      </c>
      <c r="C6" s="365" t="s">
        <v>1</v>
      </c>
      <c r="D6" s="365" t="s">
        <v>101</v>
      </c>
      <c r="E6" s="365" t="s">
        <v>151</v>
      </c>
      <c r="F6" s="365" t="s">
        <v>51</v>
      </c>
      <c r="G6" s="365" t="s">
        <v>52</v>
      </c>
      <c r="H6" s="365" t="s">
        <v>171</v>
      </c>
      <c r="I6" s="365" t="s">
        <v>172</v>
      </c>
      <c r="J6" s="365" t="s">
        <v>4</v>
      </c>
      <c r="K6" s="365" t="s">
        <v>5</v>
      </c>
      <c r="L6" s="366" t="s">
        <v>410</v>
      </c>
      <c r="M6" s="365" t="s">
        <v>77</v>
      </c>
      <c r="P6" s="88"/>
    </row>
    <row r="7" spans="2:16" s="266" customFormat="1" x14ac:dyDescent="0.2">
      <c r="B7" s="263"/>
      <c r="C7" s="264"/>
      <c r="D7" s="265"/>
      <c r="E7" s="265"/>
      <c r="F7" s="265"/>
      <c r="G7" s="265"/>
      <c r="H7" s="407"/>
      <c r="I7" s="407"/>
      <c r="J7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4"/>
      <c r="P7" s="267"/>
    </row>
    <row r="8" spans="2:16" s="266" customFormat="1" x14ac:dyDescent="0.2">
      <c r="B8" s="263"/>
      <c r="C8" s="264"/>
      <c r="D8" s="265"/>
      <c r="E8" s="265"/>
      <c r="F8" s="265"/>
      <c r="G8" s="265"/>
      <c r="H8" s="407"/>
      <c r="I8" s="407"/>
      <c r="J8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4"/>
      <c r="P8" s="267" t="s">
        <v>258</v>
      </c>
    </row>
    <row r="9" spans="2:16" s="266" customFormat="1" x14ac:dyDescent="0.2">
      <c r="B9" s="263"/>
      <c r="C9" s="264"/>
      <c r="D9" s="265"/>
      <c r="E9" s="265"/>
      <c r="F9" s="265"/>
      <c r="G9" s="265"/>
      <c r="H9" s="407"/>
      <c r="I9" s="407"/>
      <c r="J9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4"/>
      <c r="P9" s="267" t="s">
        <v>259</v>
      </c>
    </row>
    <row r="10" spans="2:16" s="266" customFormat="1" x14ac:dyDescent="0.2">
      <c r="B10" s="263"/>
      <c r="C10" s="264"/>
      <c r="D10" s="265"/>
      <c r="E10" s="265"/>
      <c r="F10" s="265"/>
      <c r="G10" s="265"/>
      <c r="H10" s="407"/>
      <c r="I10" s="407"/>
      <c r="J10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4"/>
      <c r="P10" s="267" t="s">
        <v>260</v>
      </c>
    </row>
    <row r="11" spans="2:16" s="266" customFormat="1" x14ac:dyDescent="0.2">
      <c r="B11" s="263"/>
      <c r="C11" s="264"/>
      <c r="D11" s="265"/>
      <c r="E11" s="265"/>
      <c r="F11" s="265"/>
      <c r="G11" s="265"/>
      <c r="H11" s="407"/>
      <c r="I11" s="407"/>
      <c r="J11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4"/>
      <c r="P11" s="267"/>
    </row>
    <row r="12" spans="2:16" s="266" customFormat="1" x14ac:dyDescent="0.2">
      <c r="B12" s="263"/>
      <c r="C12" s="264"/>
      <c r="D12" s="265"/>
      <c r="E12" s="265"/>
      <c r="F12" s="265"/>
      <c r="G12" s="265"/>
      <c r="H12" s="407"/>
      <c r="I12" s="407"/>
      <c r="J12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4"/>
      <c r="P12" s="267"/>
    </row>
    <row r="13" spans="2:16" s="266" customFormat="1" x14ac:dyDescent="0.2">
      <c r="B13" s="263"/>
      <c r="C13" s="264"/>
      <c r="D13" s="265"/>
      <c r="E13" s="265"/>
      <c r="F13" s="265"/>
      <c r="G13" s="265"/>
      <c r="H13" s="407"/>
      <c r="I13" s="407"/>
      <c r="J13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4"/>
    </row>
    <row r="14" spans="2:16" s="266" customFormat="1" x14ac:dyDescent="0.2">
      <c r="B14" s="263"/>
      <c r="C14" s="264"/>
      <c r="D14" s="265"/>
      <c r="E14" s="265"/>
      <c r="F14" s="265"/>
      <c r="G14" s="265"/>
      <c r="H14" s="407"/>
      <c r="I14" s="407"/>
      <c r="J14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4"/>
    </row>
    <row r="15" spans="2:16" s="266" customFormat="1" x14ac:dyDescent="0.2">
      <c r="B15" s="263"/>
      <c r="C15" s="264"/>
      <c r="D15" s="265"/>
      <c r="E15" s="265"/>
      <c r="F15" s="265"/>
      <c r="G15" s="265"/>
      <c r="H15" s="407"/>
      <c r="I15" s="407"/>
      <c r="J15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4"/>
    </row>
    <row r="16" spans="2:16" s="266" customFormat="1" x14ac:dyDescent="0.2">
      <c r="B16" s="263"/>
      <c r="C16" s="264"/>
      <c r="D16" s="265"/>
      <c r="E16" s="265"/>
      <c r="F16" s="265"/>
      <c r="G16" s="265"/>
      <c r="H16" s="407"/>
      <c r="I16" s="407"/>
      <c r="J16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4"/>
    </row>
    <row r="17" spans="2:13" s="266" customFormat="1" x14ac:dyDescent="0.2">
      <c r="B17" s="263"/>
      <c r="C17" s="264"/>
      <c r="D17" s="265"/>
      <c r="E17" s="265"/>
      <c r="F17" s="265"/>
      <c r="G17" s="265"/>
      <c r="H17" s="407"/>
      <c r="I17" s="407"/>
      <c r="J17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4"/>
    </row>
    <row r="18" spans="2:13" s="266" customFormat="1" x14ac:dyDescent="0.2">
      <c r="B18" s="263"/>
      <c r="C18" s="264"/>
      <c r="D18" s="265"/>
      <c r="E18" s="265"/>
      <c r="F18" s="265"/>
      <c r="G18" s="265"/>
      <c r="H18" s="407"/>
      <c r="I18" s="407"/>
      <c r="J18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4"/>
    </row>
    <row r="19" spans="2:13" s="266" customFormat="1" x14ac:dyDescent="0.2">
      <c r="B19" s="263"/>
      <c r="C19" s="264"/>
      <c r="D19" s="265"/>
      <c r="E19" s="265"/>
      <c r="F19" s="265"/>
      <c r="G19" s="265"/>
      <c r="H19" s="407"/>
      <c r="I19" s="407"/>
      <c r="J19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4"/>
    </row>
    <row r="20" spans="2:13" s="266" customFormat="1" x14ac:dyDescent="0.2">
      <c r="B20" s="263"/>
      <c r="C20" s="264"/>
      <c r="D20" s="265"/>
      <c r="E20" s="265"/>
      <c r="F20" s="265"/>
      <c r="G20" s="265"/>
      <c r="H20" s="407"/>
      <c r="I20" s="407"/>
      <c r="J20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4"/>
    </row>
    <row r="21" spans="2:13" s="266" customFormat="1" x14ac:dyDescent="0.2">
      <c r="B21" s="263"/>
      <c r="C21" s="264"/>
      <c r="D21" s="265"/>
      <c r="E21" s="265"/>
      <c r="F21" s="265"/>
      <c r="G21" s="265"/>
      <c r="H21" s="407"/>
      <c r="I21" s="407"/>
      <c r="J21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4"/>
    </row>
    <row r="22" spans="2:13" s="266" customFormat="1" x14ac:dyDescent="0.2">
      <c r="B22" s="263"/>
      <c r="C22" s="264"/>
      <c r="D22" s="265"/>
      <c r="E22" s="265"/>
      <c r="F22" s="265"/>
      <c r="G22" s="265"/>
      <c r="H22" s="407"/>
      <c r="I22" s="407"/>
      <c r="J22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4"/>
    </row>
    <row r="23" spans="2:13" s="266" customFormat="1" x14ac:dyDescent="0.2">
      <c r="B23" s="263"/>
      <c r="C23" s="264"/>
      <c r="D23" s="265"/>
      <c r="E23" s="265"/>
      <c r="F23" s="265"/>
      <c r="G23" s="265"/>
      <c r="H23" s="407"/>
      <c r="I23" s="407"/>
      <c r="J23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4"/>
    </row>
    <row r="24" spans="2:13" s="266" customFormat="1" x14ac:dyDescent="0.2">
      <c r="B24" s="263"/>
      <c r="C24" s="264"/>
      <c r="D24" s="265"/>
      <c r="E24" s="265"/>
      <c r="F24" s="265"/>
      <c r="G24" s="265"/>
      <c r="H24" s="407"/>
      <c r="I24" s="407"/>
      <c r="J24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4"/>
    </row>
    <row r="25" spans="2:13" s="266" customFormat="1" x14ac:dyDescent="0.2">
      <c r="B25" s="263"/>
      <c r="C25" s="264"/>
      <c r="D25" s="265"/>
      <c r="E25" s="265"/>
      <c r="F25" s="265"/>
      <c r="G25" s="265"/>
      <c r="H25" s="407"/>
      <c r="I25" s="407"/>
      <c r="J25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4"/>
    </row>
    <row r="26" spans="2:13" s="266" customFormat="1" x14ac:dyDescent="0.2">
      <c r="B26" s="263"/>
      <c r="C26" s="264"/>
      <c r="D26" s="265"/>
      <c r="E26" s="265"/>
      <c r="F26" s="265"/>
      <c r="G26" s="265"/>
      <c r="H26" s="407"/>
      <c r="I26" s="407"/>
      <c r="J26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4"/>
    </row>
    <row r="27" spans="2:13" x14ac:dyDescent="0.2">
      <c r="B27" s="219" t="s">
        <v>112</v>
      </c>
      <c r="C27" s="201"/>
      <c r="D27" s="201"/>
      <c r="E27" s="201"/>
      <c r="F27" s="268"/>
      <c r="G27" s="268"/>
      <c r="H27" s="268"/>
      <c r="I27" s="268"/>
      <c r="J27" s="201"/>
      <c r="K27" s="201">
        <f>SUBTOTAL(109,PontosFuncao[PF])</f>
        <v>0</v>
      </c>
      <c r="L27" s="354">
        <f>SUBTOTAL(109,PontosFuncao[Esforço])</f>
        <v>0</v>
      </c>
      <c r="M27" s="268"/>
    </row>
    <row r="30" spans="2:13" x14ac:dyDescent="0.2">
      <c r="D30" s="352"/>
    </row>
    <row r="31" spans="2:13" x14ac:dyDescent="0.2">
      <c r="D31" s="352"/>
    </row>
  </sheetData>
  <sheetProtection password="CABF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10" width="18.4257812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5" t="s">
        <v>71</v>
      </c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35"/>
    </row>
    <row r="3" spans="2:19" s="31" customFormat="1" ht="20.100000000000001" customHeight="1" x14ac:dyDescent="0.2">
      <c r="B3" s="454" t="s">
        <v>40</v>
      </c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377"/>
      <c r="O3" s="377"/>
      <c r="P3" s="21" t="s">
        <v>45</v>
      </c>
      <c r="S3" s="89"/>
    </row>
    <row r="4" spans="2:19" s="89" customFormat="1" ht="20.100000000000001" hidden="1" customHeight="1" x14ac:dyDescent="0.2">
      <c r="B4" s="377"/>
      <c r="C4" s="169" t="str">
        <f>Sistema</f>
        <v>ARBOR - Amdocs</v>
      </c>
      <c r="D4" s="379" t="s">
        <v>413</v>
      </c>
      <c r="E4" s="169" t="s">
        <v>115</v>
      </c>
      <c r="F4" s="169" t="s">
        <v>438</v>
      </c>
      <c r="G4" s="377"/>
      <c r="H4" s="377"/>
      <c r="I4" s="377"/>
      <c r="J4" s="377"/>
      <c r="K4" s="377"/>
      <c r="L4" s="377"/>
      <c r="M4" s="377"/>
      <c r="N4" s="377"/>
      <c r="O4" s="377"/>
      <c r="P4" s="380"/>
    </row>
    <row r="5" spans="2:19" s="89" customFormat="1" ht="20.100000000000001" hidden="1" customHeight="1" x14ac:dyDescent="0.2">
      <c r="B5" s="378"/>
      <c r="C5" s="169" t="s">
        <v>182</v>
      </c>
      <c r="D5" s="379">
        <f>VLOOKUP(C4,Produtividades[#All],2,0)</f>
        <v>0</v>
      </c>
      <c r="E5" s="379">
        <f>VLOOKUP(C4,Produtividades[#All],3,0)</f>
        <v>0</v>
      </c>
      <c r="F5" s="379">
        <f>VLOOKUP(C4,Produtividades[#All],4,0)</f>
        <v>0</v>
      </c>
      <c r="G5" s="378"/>
      <c r="H5" s="378"/>
      <c r="I5" s="378"/>
      <c r="J5" s="378"/>
      <c r="K5" s="378"/>
      <c r="L5" s="378"/>
      <c r="M5" s="378"/>
      <c r="N5" s="377"/>
      <c r="O5" s="377"/>
      <c r="P5" s="380"/>
    </row>
    <row r="6" spans="2:19" ht="63.75" customHeight="1" x14ac:dyDescent="0.2">
      <c r="B6" s="44" t="s">
        <v>79</v>
      </c>
      <c r="C6" s="50" t="s">
        <v>6</v>
      </c>
      <c r="D6" s="365" t="s">
        <v>1</v>
      </c>
      <c r="E6" s="365" t="s">
        <v>101</v>
      </c>
      <c r="F6" s="365" t="s">
        <v>151</v>
      </c>
      <c r="G6" s="365" t="s">
        <v>51</v>
      </c>
      <c r="H6" s="365" t="s">
        <v>52</v>
      </c>
      <c r="I6" s="365" t="s">
        <v>171</v>
      </c>
      <c r="J6" s="365" t="s">
        <v>172</v>
      </c>
      <c r="K6" s="365" t="s">
        <v>4</v>
      </c>
      <c r="L6" s="366" t="s">
        <v>68</v>
      </c>
      <c r="M6" s="365" t="s">
        <v>58</v>
      </c>
      <c r="N6" s="366" t="s">
        <v>411</v>
      </c>
      <c r="O6" s="366" t="s">
        <v>412</v>
      </c>
      <c r="P6" s="365" t="s">
        <v>77</v>
      </c>
      <c r="S6" s="88"/>
    </row>
    <row r="7" spans="2:19" x14ac:dyDescent="0.2">
      <c r="B7" s="218"/>
      <c r="C7" s="264"/>
      <c r="D7" s="264"/>
      <c r="E7" s="265"/>
      <c r="F7" s="265"/>
      <c r="G7" s="265"/>
      <c r="H7" s="265"/>
      <c r="I7" s="407"/>
      <c r="J7" s="407"/>
      <c r="K7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3">
        <f>IF(Analogia[[#This Row],[Tipo de Função]]="",0,INDEX(Pesos_IFPUG,MATCH(Analogia[[#This Row],[Tipo de Função]],Pesos_IFPUG_Objetos,0),MATCH(Analogia[[#This Row],[Complexidade]],Pesos_IFPUG_Complexidade,0)))</f>
        <v>0</v>
      </c>
      <c r="M7" s="213">
        <f>ROUND(IF(Analogia[[#This Row],[Tipo de Função]]="",0,Analogia[[#This Row],[PF s/ Fator de Impacto]]*VLOOKUP(Analogia[[#This Row],[Analogia]],FatoresAjuste_Analogia_[],2,FALSE)),2)</f>
        <v>0</v>
      </c>
      <c r="N7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4"/>
      <c r="S7" s="88" t="s">
        <v>270</v>
      </c>
    </row>
    <row r="8" spans="2:19" x14ac:dyDescent="0.2">
      <c r="B8" s="218"/>
      <c r="C8" s="264"/>
      <c r="D8" s="264"/>
      <c r="E8" s="265"/>
      <c r="F8" s="265"/>
      <c r="G8" s="265"/>
      <c r="H8" s="265"/>
      <c r="I8" s="407"/>
      <c r="J8" s="407"/>
      <c r="K8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3">
        <f>IF(Analogia[[#This Row],[Tipo de Função]]="",0,INDEX(Pesos_IFPUG,MATCH(Analogia[[#This Row],[Tipo de Função]],Pesos_IFPUG_Objetos,0),MATCH(Analogia[[#This Row],[Complexidade]],Pesos_IFPUG_Complexidade,0)))</f>
        <v>0</v>
      </c>
      <c r="M8" s="213">
        <f>ROUND(IF(Analogia[[#This Row],[Tipo de Função]]="",0,Analogia[[#This Row],[PF s/ Fator de Impacto]]*VLOOKUP(Analogia[[#This Row],[Analogia]],FatoresAjuste_Analogia_[],2,FALSE)),2)</f>
        <v>0</v>
      </c>
      <c r="N8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4"/>
      <c r="S8" s="88" t="s">
        <v>258</v>
      </c>
    </row>
    <row r="9" spans="2:19" x14ac:dyDescent="0.2">
      <c r="B9" s="218"/>
      <c r="C9" s="264"/>
      <c r="D9" s="264"/>
      <c r="E9" s="265"/>
      <c r="F9" s="265"/>
      <c r="G9" s="265"/>
      <c r="H9" s="265"/>
      <c r="I9" s="407"/>
      <c r="J9" s="407"/>
      <c r="K9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3">
        <f>IF(Analogia[[#This Row],[Tipo de Função]]="",0,INDEX(Pesos_IFPUG,MATCH(Analogia[[#This Row],[Tipo de Função]],Pesos_IFPUG_Objetos,0),MATCH(Analogia[[#This Row],[Complexidade]],Pesos_IFPUG_Complexidade,0)))</f>
        <v>0</v>
      </c>
      <c r="M9" s="213">
        <f>ROUND(IF(Analogia[[#This Row],[Tipo de Função]]="",0,Analogia[[#This Row],[PF s/ Fator de Impacto]]*VLOOKUP(Analogia[[#This Row],[Analogia]],FatoresAjuste_Analogia_[],2,FALSE)),2)</f>
        <v>0</v>
      </c>
      <c r="N9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4"/>
      <c r="S9" s="88" t="s">
        <v>259</v>
      </c>
    </row>
    <row r="10" spans="2:19" x14ac:dyDescent="0.2">
      <c r="B10" s="218"/>
      <c r="C10" s="264"/>
      <c r="D10" s="264"/>
      <c r="E10" s="265"/>
      <c r="F10" s="265"/>
      <c r="G10" s="265"/>
      <c r="H10" s="265"/>
      <c r="I10" s="407"/>
      <c r="J10" s="407"/>
      <c r="K10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3">
        <f>IF(Analogia[[#This Row],[Tipo de Função]]="",0,INDEX(Pesos_IFPUG,MATCH(Analogia[[#This Row],[Tipo de Função]],Pesos_IFPUG_Objetos,0),MATCH(Analogia[[#This Row],[Complexidade]],Pesos_IFPUG_Complexidade,0)))</f>
        <v>0</v>
      </c>
      <c r="M10" s="213">
        <f>ROUND(IF(Analogia[[#This Row],[Tipo de Função]]="",0,Analogia[[#This Row],[PF s/ Fator de Impacto]]*VLOOKUP(Analogia[[#This Row],[Analogia]],FatoresAjuste_Analogia_[],2,FALSE)),2)</f>
        <v>0</v>
      </c>
      <c r="N10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4"/>
      <c r="S10" s="88" t="s">
        <v>260</v>
      </c>
    </row>
    <row r="11" spans="2:19" x14ac:dyDescent="0.2">
      <c r="B11" s="218"/>
      <c r="C11" s="264"/>
      <c r="D11" s="264"/>
      <c r="E11" s="265"/>
      <c r="F11" s="265"/>
      <c r="G11" s="265"/>
      <c r="H11" s="265"/>
      <c r="I11" s="407"/>
      <c r="J11" s="407"/>
      <c r="K11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3">
        <f>IF(Analogia[[#This Row],[Tipo de Função]]="",0,INDEX(Pesos_IFPUG,MATCH(Analogia[[#This Row],[Tipo de Função]],Pesos_IFPUG_Objetos,0),MATCH(Analogia[[#This Row],[Complexidade]],Pesos_IFPUG_Complexidade,0)))</f>
        <v>0</v>
      </c>
      <c r="M11" s="213">
        <f>ROUND(IF(Analogia[[#This Row],[Tipo de Função]]="",0,Analogia[[#This Row],[PF s/ Fator de Impacto]]*VLOOKUP(Analogia[[#This Row],[Analogia]],FatoresAjuste_Analogia_[],2,FALSE)),2)</f>
        <v>0</v>
      </c>
      <c r="N11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4"/>
      <c r="S11" s="88"/>
    </row>
    <row r="12" spans="2:19" x14ac:dyDescent="0.2">
      <c r="B12" s="218"/>
      <c r="C12" s="264"/>
      <c r="D12" s="264"/>
      <c r="E12" s="265"/>
      <c r="F12" s="265"/>
      <c r="G12" s="265"/>
      <c r="H12" s="265"/>
      <c r="I12" s="407"/>
      <c r="J12" s="407"/>
      <c r="K12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3">
        <f>IF(Analogia[[#This Row],[Tipo de Função]]="",0,INDEX(Pesos_IFPUG,MATCH(Analogia[[#This Row],[Tipo de Função]],Pesos_IFPUG_Objetos,0),MATCH(Analogia[[#This Row],[Complexidade]],Pesos_IFPUG_Complexidade,0)))</f>
        <v>0</v>
      </c>
      <c r="M12" s="213">
        <f>ROUND(IF(Analogia[[#This Row],[Tipo de Função]]="",0,Analogia[[#This Row],[PF s/ Fator de Impacto]]*VLOOKUP(Analogia[[#This Row],[Analogia]],FatoresAjuste_Analogia_[],2,FALSE)),2)</f>
        <v>0</v>
      </c>
      <c r="N12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4"/>
      <c r="S12" s="88"/>
    </row>
    <row r="13" spans="2:19" x14ac:dyDescent="0.2">
      <c r="B13" s="218"/>
      <c r="C13" s="264"/>
      <c r="D13" s="264"/>
      <c r="E13" s="265"/>
      <c r="F13" s="265"/>
      <c r="G13" s="265"/>
      <c r="H13" s="265"/>
      <c r="I13" s="407"/>
      <c r="J13" s="407"/>
      <c r="K13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3">
        <f>IF(Analogia[[#This Row],[Tipo de Função]]="",0,INDEX(Pesos_IFPUG,MATCH(Analogia[[#This Row],[Tipo de Função]],Pesos_IFPUG_Objetos,0),MATCH(Analogia[[#This Row],[Complexidade]],Pesos_IFPUG_Complexidade,0)))</f>
        <v>0</v>
      </c>
      <c r="M13" s="213">
        <f>ROUND(IF(Analogia[[#This Row],[Tipo de Função]]="",0,Analogia[[#This Row],[PF s/ Fator de Impacto]]*VLOOKUP(Analogia[[#This Row],[Analogia]],FatoresAjuste_Analogia_[],2,FALSE)),2)</f>
        <v>0</v>
      </c>
      <c r="N13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4"/>
    </row>
    <row r="14" spans="2:19" x14ac:dyDescent="0.2">
      <c r="B14" s="218"/>
      <c r="C14" s="264"/>
      <c r="D14" s="264"/>
      <c r="E14" s="265"/>
      <c r="F14" s="265"/>
      <c r="G14" s="265"/>
      <c r="H14" s="265"/>
      <c r="I14" s="407"/>
      <c r="J14" s="407"/>
      <c r="K14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3">
        <f>IF(Analogia[[#This Row],[Tipo de Função]]="",0,INDEX(Pesos_IFPUG,MATCH(Analogia[[#This Row],[Tipo de Função]],Pesos_IFPUG_Objetos,0),MATCH(Analogia[[#This Row],[Complexidade]],Pesos_IFPUG_Complexidade,0)))</f>
        <v>0</v>
      </c>
      <c r="M14" s="213">
        <f>ROUND(IF(Analogia[[#This Row],[Tipo de Função]]="",0,Analogia[[#This Row],[PF s/ Fator de Impacto]]*VLOOKUP(Analogia[[#This Row],[Analogia]],FatoresAjuste_Analogia_[],2,FALSE)),2)</f>
        <v>0</v>
      </c>
      <c r="N14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4"/>
    </row>
    <row r="15" spans="2:19" x14ac:dyDescent="0.2">
      <c r="B15" s="218"/>
      <c r="C15" s="264"/>
      <c r="D15" s="264"/>
      <c r="E15" s="265"/>
      <c r="F15" s="265"/>
      <c r="G15" s="265"/>
      <c r="H15" s="265"/>
      <c r="I15" s="407"/>
      <c r="J15" s="407"/>
      <c r="K15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3">
        <f>IF(Analogia[[#This Row],[Tipo de Função]]="",0,INDEX(Pesos_IFPUG,MATCH(Analogia[[#This Row],[Tipo de Função]],Pesos_IFPUG_Objetos,0),MATCH(Analogia[[#This Row],[Complexidade]],Pesos_IFPUG_Complexidade,0)))</f>
        <v>0</v>
      </c>
      <c r="M15" s="213">
        <f>ROUND(IF(Analogia[[#This Row],[Tipo de Função]]="",0,Analogia[[#This Row],[PF s/ Fator de Impacto]]*VLOOKUP(Analogia[[#This Row],[Analogia]],FatoresAjuste_Analogia_[],2,FALSE)),2)</f>
        <v>0</v>
      </c>
      <c r="N15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4"/>
    </row>
    <row r="16" spans="2:19" x14ac:dyDescent="0.2">
      <c r="B16" s="218"/>
      <c r="C16" s="264"/>
      <c r="D16" s="264"/>
      <c r="E16" s="265"/>
      <c r="F16" s="265"/>
      <c r="G16" s="265"/>
      <c r="H16" s="265"/>
      <c r="I16" s="407"/>
      <c r="J16" s="407"/>
      <c r="K16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3">
        <f>IF(Analogia[[#This Row],[Tipo de Função]]="",0,INDEX(Pesos_IFPUG,MATCH(Analogia[[#This Row],[Tipo de Função]],Pesos_IFPUG_Objetos,0),MATCH(Analogia[[#This Row],[Complexidade]],Pesos_IFPUG_Complexidade,0)))</f>
        <v>0</v>
      </c>
      <c r="M16" s="213">
        <f>ROUND(IF(Analogia[[#This Row],[Tipo de Função]]="",0,Analogia[[#This Row],[PF s/ Fator de Impacto]]*VLOOKUP(Analogia[[#This Row],[Analogia]],FatoresAjuste_Analogia_[],2,FALSE)),2)</f>
        <v>0</v>
      </c>
      <c r="N16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4"/>
    </row>
    <row r="17" spans="2:16" x14ac:dyDescent="0.2">
      <c r="B17" s="218"/>
      <c r="C17" s="264"/>
      <c r="D17" s="264"/>
      <c r="E17" s="265"/>
      <c r="F17" s="265"/>
      <c r="G17" s="265"/>
      <c r="H17" s="265"/>
      <c r="I17" s="407"/>
      <c r="J17" s="407"/>
      <c r="K17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3">
        <f>IF(Analogia[[#This Row],[Tipo de Função]]="",0,INDEX(Pesos_IFPUG,MATCH(Analogia[[#This Row],[Tipo de Função]],Pesos_IFPUG_Objetos,0),MATCH(Analogia[[#This Row],[Complexidade]],Pesos_IFPUG_Complexidade,0)))</f>
        <v>0</v>
      </c>
      <c r="M17" s="213">
        <f>ROUND(IF(Analogia[[#This Row],[Tipo de Função]]="",0,Analogia[[#This Row],[PF s/ Fator de Impacto]]*VLOOKUP(Analogia[[#This Row],[Analogia]],FatoresAjuste_Analogia_[],2,FALSE)),2)</f>
        <v>0</v>
      </c>
      <c r="N17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4"/>
    </row>
    <row r="18" spans="2:16" x14ac:dyDescent="0.2">
      <c r="B18" s="218"/>
      <c r="C18" s="264"/>
      <c r="D18" s="264"/>
      <c r="E18" s="265"/>
      <c r="F18" s="265"/>
      <c r="G18" s="265"/>
      <c r="H18" s="265"/>
      <c r="I18" s="407"/>
      <c r="J18" s="407"/>
      <c r="K18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3">
        <f>IF(Analogia[[#This Row],[Tipo de Função]]="",0,INDEX(Pesos_IFPUG,MATCH(Analogia[[#This Row],[Tipo de Função]],Pesos_IFPUG_Objetos,0),MATCH(Analogia[[#This Row],[Complexidade]],Pesos_IFPUG_Complexidade,0)))</f>
        <v>0</v>
      </c>
      <c r="M18" s="213">
        <f>ROUND(IF(Analogia[[#This Row],[Tipo de Função]]="",0,Analogia[[#This Row],[PF s/ Fator de Impacto]]*VLOOKUP(Analogia[[#This Row],[Analogia]],FatoresAjuste_Analogia_[],2,FALSE)),2)</f>
        <v>0</v>
      </c>
      <c r="N18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4"/>
    </row>
    <row r="19" spans="2:16" x14ac:dyDescent="0.2">
      <c r="B19" s="218"/>
      <c r="C19" s="264"/>
      <c r="D19" s="264"/>
      <c r="E19" s="265"/>
      <c r="F19" s="265"/>
      <c r="G19" s="265"/>
      <c r="H19" s="265"/>
      <c r="I19" s="407"/>
      <c r="J19" s="407"/>
      <c r="K19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3">
        <f>IF(Analogia[[#This Row],[Tipo de Função]]="",0,INDEX(Pesos_IFPUG,MATCH(Analogia[[#This Row],[Tipo de Função]],Pesos_IFPUG_Objetos,0),MATCH(Analogia[[#This Row],[Complexidade]],Pesos_IFPUG_Complexidade,0)))</f>
        <v>0</v>
      </c>
      <c r="M19" s="213">
        <f>ROUND(IF(Analogia[[#This Row],[Tipo de Função]]="",0,Analogia[[#This Row],[PF s/ Fator de Impacto]]*VLOOKUP(Analogia[[#This Row],[Analogia]],FatoresAjuste_Analogia_[],2,FALSE)),2)</f>
        <v>0</v>
      </c>
      <c r="N19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4"/>
    </row>
    <row r="20" spans="2:16" x14ac:dyDescent="0.2">
      <c r="B20" s="218"/>
      <c r="C20" s="264"/>
      <c r="D20" s="264"/>
      <c r="E20" s="265"/>
      <c r="F20" s="265"/>
      <c r="G20" s="265"/>
      <c r="H20" s="265"/>
      <c r="I20" s="407"/>
      <c r="J20" s="407"/>
      <c r="K20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3">
        <f>IF(Analogia[[#This Row],[Tipo de Função]]="",0,INDEX(Pesos_IFPUG,MATCH(Analogia[[#This Row],[Tipo de Função]],Pesos_IFPUG_Objetos,0),MATCH(Analogia[[#This Row],[Complexidade]],Pesos_IFPUG_Complexidade,0)))</f>
        <v>0</v>
      </c>
      <c r="M20" s="213">
        <f>ROUND(IF(Analogia[[#This Row],[Tipo de Função]]="",0,Analogia[[#This Row],[PF s/ Fator de Impacto]]*VLOOKUP(Analogia[[#This Row],[Analogia]],FatoresAjuste_Analogia_[],2,FALSE)),2)</f>
        <v>0</v>
      </c>
      <c r="N20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4"/>
    </row>
    <row r="21" spans="2:16" x14ac:dyDescent="0.2">
      <c r="B21" s="218"/>
      <c r="C21" s="264"/>
      <c r="D21" s="264"/>
      <c r="E21" s="265"/>
      <c r="F21" s="265"/>
      <c r="G21" s="265"/>
      <c r="H21" s="265"/>
      <c r="I21" s="407"/>
      <c r="J21" s="407"/>
      <c r="K21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3">
        <f>IF(Analogia[[#This Row],[Tipo de Função]]="",0,INDEX(Pesos_IFPUG,MATCH(Analogia[[#This Row],[Tipo de Função]],Pesos_IFPUG_Objetos,0),MATCH(Analogia[[#This Row],[Complexidade]],Pesos_IFPUG_Complexidade,0)))</f>
        <v>0</v>
      </c>
      <c r="M21" s="213">
        <f>ROUND(IF(Analogia[[#This Row],[Tipo de Função]]="",0,Analogia[[#This Row],[PF s/ Fator de Impacto]]*VLOOKUP(Analogia[[#This Row],[Analogia]],FatoresAjuste_Analogia_[],2,FALSE)),2)</f>
        <v>0</v>
      </c>
      <c r="N21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4"/>
    </row>
    <row r="22" spans="2:16" x14ac:dyDescent="0.2">
      <c r="B22" s="218"/>
      <c r="C22" s="264"/>
      <c r="D22" s="264"/>
      <c r="E22" s="265"/>
      <c r="F22" s="265"/>
      <c r="G22" s="265"/>
      <c r="H22" s="265"/>
      <c r="I22" s="407"/>
      <c r="J22" s="407"/>
      <c r="K22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3">
        <f>IF(Analogia[[#This Row],[Tipo de Função]]="",0,INDEX(Pesos_IFPUG,MATCH(Analogia[[#This Row],[Tipo de Função]],Pesos_IFPUG_Objetos,0),MATCH(Analogia[[#This Row],[Complexidade]],Pesos_IFPUG_Complexidade,0)))</f>
        <v>0</v>
      </c>
      <c r="M22" s="213">
        <f>ROUND(IF(Analogia[[#This Row],[Tipo de Função]]="",0,Analogia[[#This Row],[PF s/ Fator de Impacto]]*VLOOKUP(Analogia[[#This Row],[Analogia]],FatoresAjuste_Analogia_[],2,FALSE)),2)</f>
        <v>0</v>
      </c>
      <c r="N22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4"/>
    </row>
    <row r="23" spans="2:16" x14ac:dyDescent="0.2">
      <c r="B23" s="218"/>
      <c r="C23" s="264"/>
      <c r="D23" s="264"/>
      <c r="E23" s="265"/>
      <c r="F23" s="265"/>
      <c r="G23" s="265"/>
      <c r="H23" s="265"/>
      <c r="I23" s="407"/>
      <c r="J23" s="407"/>
      <c r="K23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3">
        <f>IF(Analogia[[#This Row],[Tipo de Função]]="",0,INDEX(Pesos_IFPUG,MATCH(Analogia[[#This Row],[Tipo de Função]],Pesos_IFPUG_Objetos,0),MATCH(Analogia[[#This Row],[Complexidade]],Pesos_IFPUG_Complexidade,0)))</f>
        <v>0</v>
      </c>
      <c r="M23" s="213">
        <f>ROUND(IF(Analogia[[#This Row],[Tipo de Função]]="",0,Analogia[[#This Row],[PF s/ Fator de Impacto]]*VLOOKUP(Analogia[[#This Row],[Analogia]],FatoresAjuste_Analogia_[],2,FALSE)),2)</f>
        <v>0</v>
      </c>
      <c r="N23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4"/>
    </row>
    <row r="24" spans="2:16" x14ac:dyDescent="0.2">
      <c r="B24" s="218"/>
      <c r="C24" s="264"/>
      <c r="D24" s="264"/>
      <c r="E24" s="265"/>
      <c r="F24" s="265"/>
      <c r="G24" s="265"/>
      <c r="H24" s="265"/>
      <c r="I24" s="407"/>
      <c r="J24" s="407"/>
      <c r="K24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3">
        <f>IF(Analogia[[#This Row],[Tipo de Função]]="",0,INDEX(Pesos_IFPUG,MATCH(Analogia[[#This Row],[Tipo de Função]],Pesos_IFPUG_Objetos,0),MATCH(Analogia[[#This Row],[Complexidade]],Pesos_IFPUG_Complexidade,0)))</f>
        <v>0</v>
      </c>
      <c r="M24" s="213">
        <f>ROUND(IF(Analogia[[#This Row],[Tipo de Função]]="",0,Analogia[[#This Row],[PF s/ Fator de Impacto]]*VLOOKUP(Analogia[[#This Row],[Analogia]],FatoresAjuste_Analogia_[],2,FALSE)),2)</f>
        <v>0</v>
      </c>
      <c r="N24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4"/>
    </row>
    <row r="25" spans="2:16" x14ac:dyDescent="0.2">
      <c r="B25" s="218"/>
      <c r="C25" s="264"/>
      <c r="D25" s="264"/>
      <c r="E25" s="265"/>
      <c r="F25" s="265"/>
      <c r="G25" s="265"/>
      <c r="H25" s="265"/>
      <c r="I25" s="407"/>
      <c r="J25" s="407"/>
      <c r="K25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3">
        <f>IF(Analogia[[#This Row],[Tipo de Função]]="",0,INDEX(Pesos_IFPUG,MATCH(Analogia[[#This Row],[Tipo de Função]],Pesos_IFPUG_Objetos,0),MATCH(Analogia[[#This Row],[Complexidade]],Pesos_IFPUG_Complexidade,0)))</f>
        <v>0</v>
      </c>
      <c r="M25" s="213">
        <f>ROUND(IF(Analogia[[#This Row],[Tipo de Função]]="",0,Analogia[[#This Row],[PF s/ Fator de Impacto]]*VLOOKUP(Analogia[[#This Row],[Analogia]],FatoresAjuste_Analogia_[],2,FALSE)),2)</f>
        <v>0</v>
      </c>
      <c r="N25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4"/>
    </row>
    <row r="26" spans="2:16" x14ac:dyDescent="0.2">
      <c r="B26" s="218"/>
      <c r="C26" s="264"/>
      <c r="D26" s="264"/>
      <c r="E26" s="265"/>
      <c r="F26" s="265"/>
      <c r="G26" s="265"/>
      <c r="H26" s="265"/>
      <c r="I26" s="407"/>
      <c r="J26" s="407"/>
      <c r="K26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3">
        <f>IF(Analogia[[#This Row],[Tipo de Função]]="",0,INDEX(Pesos_IFPUG,MATCH(Analogia[[#This Row],[Tipo de Função]],Pesos_IFPUG_Objetos,0),MATCH(Analogia[[#This Row],[Complexidade]],Pesos_IFPUG_Complexidade,0)))</f>
        <v>0</v>
      </c>
      <c r="M26" s="213">
        <f>ROUND(IF(Analogia[[#This Row],[Tipo de Função]]="",0,Analogia[[#This Row],[PF s/ Fator de Impacto]]*VLOOKUP(Analogia[[#This Row],[Analogia]],FatoresAjuste_Analogia_[],2,FALSE)),2)</f>
        <v>0</v>
      </c>
      <c r="N26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4"/>
    </row>
    <row r="27" spans="2:16" x14ac:dyDescent="0.2">
      <c r="B27" s="219" t="s">
        <v>112</v>
      </c>
      <c r="C27" s="201"/>
      <c r="D27" s="201"/>
      <c r="E27" s="201"/>
      <c r="F27" s="201"/>
      <c r="G27" s="201"/>
      <c r="H27" s="201"/>
      <c r="I27" s="268"/>
      <c r="J27" s="268"/>
      <c r="K27" s="201"/>
      <c r="L27" s="354">
        <f>SUBTOTAL(109,Analogia[PF s/ Fator de Impacto])</f>
        <v>0</v>
      </c>
      <c r="M27" s="201">
        <f>SUBTOTAL(109,Analogia[Pontos])</f>
        <v>0</v>
      </c>
      <c r="N27" s="354">
        <f>SUBTOTAL(109,Analogia[Esforço com Impacto])</f>
        <v>0</v>
      </c>
      <c r="O27" s="354">
        <f>SUBTOTAL(109,Analogia[Esforço sem Impacto])</f>
        <v>0</v>
      </c>
      <c r="P27" s="268"/>
    </row>
  </sheetData>
  <sheetProtection password="CABF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5" t="s">
        <v>98</v>
      </c>
      <c r="D2" s="435"/>
      <c r="E2" s="435"/>
      <c r="F2" s="435"/>
      <c r="G2" s="435"/>
      <c r="H2" s="435"/>
      <c r="I2" s="435"/>
    </row>
    <row r="3" spans="2:25" s="31" customFormat="1" ht="34.5" customHeight="1" x14ac:dyDescent="0.2">
      <c r="B3" s="30"/>
      <c r="C3" s="463"/>
      <c r="D3" s="463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4">
        <f>SUM(Q:Q)</f>
        <v>0</v>
      </c>
      <c r="E5" s="464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5" t="s">
        <v>100</v>
      </c>
      <c r="D8" s="455" t="s">
        <v>101</v>
      </c>
      <c r="E8" s="455" t="s">
        <v>4</v>
      </c>
      <c r="F8" s="455" t="s">
        <v>102</v>
      </c>
      <c r="G8" s="455" t="s">
        <v>103</v>
      </c>
      <c r="H8" s="465" t="s">
        <v>104</v>
      </c>
      <c r="I8" s="465"/>
      <c r="J8" s="465"/>
      <c r="K8" s="465"/>
      <c r="L8" s="465"/>
      <c r="M8" s="465"/>
      <c r="N8" s="465"/>
      <c r="O8" s="465"/>
      <c r="P8" s="465"/>
      <c r="Q8" s="455" t="s">
        <v>105</v>
      </c>
    </row>
    <row r="9" spans="2:25" ht="25.5" x14ac:dyDescent="0.2">
      <c r="C9" s="456"/>
      <c r="D9" s="456"/>
      <c r="E9" s="456"/>
      <c r="F9" s="456"/>
      <c r="G9" s="456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58" t="s">
        <v>112</v>
      </c>
      <c r="Q9" s="456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7"/>
      <c r="D10" s="457"/>
      <c r="E10" s="457"/>
      <c r="F10" s="457"/>
      <c r="G10" s="457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59"/>
      <c r="Q10" s="457"/>
    </row>
    <row r="11" spans="2:25" ht="15" x14ac:dyDescent="0.2">
      <c r="C11" s="460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1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1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1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1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1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1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1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1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1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1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1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1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1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1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1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1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2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D859axuY5doIWFQTub4hypEwcBRgZIHDETptFY1BgOrervrSFKx7iNSRvw0Yf+tqIB3rZkvNp54x/Tzv0KVtVw==" saltValue="4402yRZcmjUbbW/2SO92l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5" t="s">
        <v>376</v>
      </c>
      <c r="D2" s="435"/>
      <c r="E2" s="435"/>
      <c r="F2" s="435"/>
      <c r="G2" s="435"/>
      <c r="H2" s="435"/>
      <c r="I2" s="435"/>
      <c r="J2" s="435"/>
    </row>
    <row r="3" spans="2:20" s="31" customFormat="1" ht="34.5" customHeight="1" x14ac:dyDescent="0.2">
      <c r="B3" s="30"/>
      <c r="C3" s="463"/>
      <c r="D3" s="463"/>
      <c r="E3" s="270"/>
    </row>
    <row r="4" spans="2:20" s="31" customFormat="1" ht="34.5" customHeight="1" x14ac:dyDescent="0.2">
      <c r="B4" s="30"/>
      <c r="C4" s="294"/>
      <c r="D4" s="287" t="s">
        <v>283</v>
      </c>
      <c r="E4" s="281" t="s">
        <v>283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88">
        <v>0</v>
      </c>
      <c r="E5" s="295">
        <f>M38</f>
        <v>0</v>
      </c>
    </row>
    <row r="6" spans="2:20" s="28" customFormat="1" ht="15" x14ac:dyDescent="0.2">
      <c r="B6" s="29"/>
      <c r="C6" s="32"/>
      <c r="D6" s="289"/>
      <c r="E6" s="33"/>
      <c r="F6" s="74"/>
      <c r="G6" s="74"/>
      <c r="H6" s="74"/>
    </row>
    <row r="7" spans="2:20" s="28" customFormat="1" ht="15" x14ac:dyDescent="0.2">
      <c r="B7" s="29"/>
      <c r="C7" s="32"/>
      <c r="D7" s="289"/>
      <c r="E7" s="33"/>
      <c r="F7" s="74"/>
      <c r="G7" s="74"/>
      <c r="H7" s="74"/>
    </row>
    <row r="8" spans="2:20" ht="14.25" customHeight="1" x14ac:dyDescent="0.2">
      <c r="C8" s="455" t="s">
        <v>227</v>
      </c>
      <c r="D8" s="470" t="s">
        <v>1</v>
      </c>
      <c r="E8" s="455" t="s">
        <v>1</v>
      </c>
      <c r="F8" s="455" t="s">
        <v>101</v>
      </c>
      <c r="G8" s="455" t="s">
        <v>151</v>
      </c>
      <c r="H8" s="455" t="s">
        <v>357</v>
      </c>
      <c r="I8" s="467" t="s">
        <v>104</v>
      </c>
      <c r="J8" s="468"/>
      <c r="K8" s="468"/>
      <c r="L8" s="469"/>
      <c r="M8" s="455" t="s">
        <v>105</v>
      </c>
    </row>
    <row r="9" spans="2:20" ht="37.5" customHeight="1" x14ac:dyDescent="0.2">
      <c r="C9" s="456"/>
      <c r="D9" s="471"/>
      <c r="E9" s="456"/>
      <c r="F9" s="456"/>
      <c r="G9" s="456"/>
      <c r="H9" s="456"/>
      <c r="I9" s="296" t="s">
        <v>83</v>
      </c>
      <c r="J9" s="296" t="s">
        <v>349</v>
      </c>
      <c r="K9" s="296" t="s">
        <v>350</v>
      </c>
      <c r="L9" s="296" t="s">
        <v>10</v>
      </c>
      <c r="M9" s="456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x14ac:dyDescent="0.2">
      <c r="C10" s="457"/>
      <c r="D10" s="472"/>
      <c r="E10" s="457"/>
      <c r="F10" s="457"/>
      <c r="G10" s="457"/>
      <c r="H10" s="457"/>
      <c r="I10" s="273" t="s">
        <v>173</v>
      </c>
      <c r="J10" s="273" t="s">
        <v>173</v>
      </c>
      <c r="K10" s="273" t="s">
        <v>173</v>
      </c>
      <c r="L10" s="273" t="s">
        <v>173</v>
      </c>
      <c r="M10" s="457"/>
    </row>
    <row r="11" spans="2:20" ht="15" customHeight="1" x14ac:dyDescent="0.2">
      <c r="C11" s="466" t="s">
        <v>283</v>
      </c>
      <c r="D11" s="290"/>
      <c r="E11" s="297"/>
      <c r="F11" s="298"/>
      <c r="G11" s="298"/>
      <c r="H11" s="298"/>
      <c r="I11" s="280">
        <f>IF($I$10="Não",0,
IF($I$10="Sim",
IF(H11="1 a 2 campos",$O$11,
IF(H11="3 a 4 campos",$O$12,
IF(H11="5 a 6 campos",$O$13,
IF(H11="7 a 8 campos",$O$14,
IF(H11="9 a 10 campos",$O$15,0)))))))</f>
        <v>0</v>
      </c>
      <c r="J11" s="280">
        <f>IF($J$10="Não",0,
IF($J$10="Sim",
IF(H11="1 a 2 campos",$P$11,
IF(H11="3 a 4 campos",$P$12,
IF(H11="5 a 6 campos",$P$13,
IF(H11="7 a 8 campos",$P$14,
IF(H11="9 a 10 campos",$P$15,0)))))))</f>
        <v>0</v>
      </c>
      <c r="K11" s="280">
        <f>IF($K$10="Não",0,
IF($K$10="Sim",
IF(H11="1 a 2 campos",$Q$11,
IF(H11="3 a 4 campos",$Q$12,
IF(H11="5 a 6 campos",$Q$13,
IF(H11="7 a 8 campos",$Q$14,
IF(H11="9 a 10 campos",$Q$15,0)))))))</f>
        <v>0</v>
      </c>
      <c r="L11" s="280">
        <f>IF($L$10="Não",0,
IF($L$10="Sim",
IF(H11="1 a 2 campos",$R$11,
IF(H11="3 a 4 campos",$R$12,
IF(H11="5 a 6 campos",$R$13,
IF(H11="7 a 8 campos",$R$14,
IF(H11="9 a 10 campos",$R$15,0)))))))</f>
        <v>0</v>
      </c>
      <c r="M11" s="280">
        <f>SUM(I11:L11)</f>
        <v>0</v>
      </c>
      <c r="N11" s="42" t="s">
        <v>344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6"/>
      <c r="D12" s="290"/>
      <c r="E12" s="297"/>
      <c r="F12" s="298"/>
      <c r="G12" s="298"/>
      <c r="H12" s="298"/>
      <c r="I12" s="280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0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0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0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0">
        <f t="shared" ref="M12:M37" si="4">SUM(I12:L12)</f>
        <v>0</v>
      </c>
      <c r="N12" s="42" t="s">
        <v>345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6"/>
      <c r="D13" s="290"/>
      <c r="E13" s="297"/>
      <c r="F13" s="298"/>
      <c r="G13" s="298"/>
      <c r="H13" s="298"/>
      <c r="I13" s="280">
        <f t="shared" si="0"/>
        <v>0</v>
      </c>
      <c r="J13" s="280">
        <f t="shared" si="1"/>
        <v>0</v>
      </c>
      <c r="K13" s="280">
        <f t="shared" si="2"/>
        <v>0</v>
      </c>
      <c r="L13" s="280">
        <f t="shared" si="3"/>
        <v>0</v>
      </c>
      <c r="M13" s="280">
        <f t="shared" si="4"/>
        <v>0</v>
      </c>
      <c r="N13" s="42" t="s">
        <v>346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6"/>
      <c r="D14" s="290"/>
      <c r="E14" s="297"/>
      <c r="F14" s="298"/>
      <c r="G14" s="298"/>
      <c r="H14" s="298"/>
      <c r="I14" s="280">
        <f t="shared" si="0"/>
        <v>0</v>
      </c>
      <c r="J14" s="280">
        <f t="shared" si="1"/>
        <v>0</v>
      </c>
      <c r="K14" s="280">
        <f t="shared" si="2"/>
        <v>0</v>
      </c>
      <c r="L14" s="280">
        <f t="shared" si="3"/>
        <v>0</v>
      </c>
      <c r="M14" s="280">
        <f t="shared" si="4"/>
        <v>0</v>
      </c>
      <c r="N14" s="42" t="s">
        <v>347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6"/>
      <c r="D15" s="290"/>
      <c r="E15" s="297"/>
      <c r="F15" s="298"/>
      <c r="G15" s="298"/>
      <c r="H15" s="298"/>
      <c r="I15" s="280">
        <f t="shared" si="0"/>
        <v>0</v>
      </c>
      <c r="J15" s="280">
        <f t="shared" si="1"/>
        <v>0</v>
      </c>
      <c r="K15" s="280">
        <f t="shared" si="2"/>
        <v>0</v>
      </c>
      <c r="L15" s="280">
        <f t="shared" si="3"/>
        <v>0</v>
      </c>
      <c r="M15" s="280">
        <f t="shared" si="4"/>
        <v>0</v>
      </c>
      <c r="N15" s="42" t="s">
        <v>348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6"/>
      <c r="D16" s="290"/>
      <c r="E16" s="297"/>
      <c r="F16" s="298"/>
      <c r="G16" s="298"/>
      <c r="H16" s="298"/>
      <c r="I16" s="280">
        <f t="shared" si="0"/>
        <v>0</v>
      </c>
      <c r="J16" s="280">
        <f t="shared" si="1"/>
        <v>0</v>
      </c>
      <c r="K16" s="280">
        <f t="shared" si="2"/>
        <v>0</v>
      </c>
      <c r="L16" s="280">
        <f t="shared" si="3"/>
        <v>0</v>
      </c>
      <c r="M16" s="280">
        <f t="shared" si="4"/>
        <v>0</v>
      </c>
      <c r="N16" s="277"/>
      <c r="O16" s="277"/>
      <c r="P16" s="277"/>
      <c r="Q16" s="277"/>
      <c r="R16" s="277"/>
      <c r="S16" s="277"/>
      <c r="T16" s="277"/>
    </row>
    <row r="17" spans="3:20" ht="15" x14ac:dyDescent="0.2">
      <c r="C17" s="466"/>
      <c r="D17" s="290"/>
      <c r="E17" s="297"/>
      <c r="F17" s="298"/>
      <c r="G17" s="298"/>
      <c r="H17" s="298"/>
      <c r="I17" s="280">
        <f t="shared" si="0"/>
        <v>0</v>
      </c>
      <c r="J17" s="280">
        <f t="shared" si="1"/>
        <v>0</v>
      </c>
      <c r="K17" s="280">
        <f t="shared" si="2"/>
        <v>0</v>
      </c>
      <c r="L17" s="280">
        <f t="shared" si="3"/>
        <v>0</v>
      </c>
      <c r="M17" s="280">
        <f t="shared" si="4"/>
        <v>0</v>
      </c>
      <c r="N17" s="277"/>
      <c r="O17" s="277"/>
      <c r="P17" s="277"/>
      <c r="Q17" s="277"/>
      <c r="R17" s="277"/>
      <c r="S17" s="277"/>
      <c r="T17" s="277"/>
    </row>
    <row r="18" spans="3:20" ht="15" x14ac:dyDescent="0.2">
      <c r="C18" s="466"/>
      <c r="D18" s="290"/>
      <c r="E18" s="297"/>
      <c r="F18" s="298"/>
      <c r="G18" s="298"/>
      <c r="H18" s="298"/>
      <c r="I18" s="280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0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0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0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0">
        <f t="shared" ref="M18:M34" si="9">SUM(I18:L18)</f>
        <v>0</v>
      </c>
      <c r="N18" s="277"/>
      <c r="O18" s="277"/>
      <c r="P18" s="277"/>
      <c r="Q18" s="277"/>
      <c r="R18" s="277"/>
      <c r="S18" s="277"/>
      <c r="T18" s="277"/>
    </row>
    <row r="19" spans="3:20" ht="15" x14ac:dyDescent="0.2">
      <c r="C19" s="466"/>
      <c r="D19" s="290"/>
      <c r="E19" s="297"/>
      <c r="F19" s="298"/>
      <c r="G19" s="298"/>
      <c r="H19" s="298"/>
      <c r="I19" s="280">
        <f t="shared" si="5"/>
        <v>0</v>
      </c>
      <c r="J19" s="280">
        <f t="shared" si="6"/>
        <v>0</v>
      </c>
      <c r="K19" s="280">
        <f t="shared" si="7"/>
        <v>0</v>
      </c>
      <c r="L19" s="280">
        <f t="shared" si="8"/>
        <v>0</v>
      </c>
      <c r="M19" s="280">
        <f t="shared" si="9"/>
        <v>0</v>
      </c>
      <c r="N19" s="277"/>
      <c r="O19" s="277"/>
      <c r="P19" s="277"/>
      <c r="Q19" s="277"/>
      <c r="R19" s="277"/>
      <c r="S19" s="277"/>
      <c r="T19" s="277"/>
    </row>
    <row r="20" spans="3:20" ht="15" x14ac:dyDescent="0.2">
      <c r="C20" s="466"/>
      <c r="D20" s="290"/>
      <c r="E20" s="297"/>
      <c r="F20" s="298"/>
      <c r="G20" s="298"/>
      <c r="H20" s="298"/>
      <c r="I20" s="280">
        <f t="shared" si="5"/>
        <v>0</v>
      </c>
      <c r="J20" s="280">
        <f t="shared" si="6"/>
        <v>0</v>
      </c>
      <c r="K20" s="280">
        <f t="shared" si="7"/>
        <v>0</v>
      </c>
      <c r="L20" s="280">
        <f t="shared" si="8"/>
        <v>0</v>
      </c>
      <c r="M20" s="280">
        <f t="shared" si="9"/>
        <v>0</v>
      </c>
      <c r="N20" s="277"/>
      <c r="O20" s="277"/>
      <c r="P20" s="277"/>
      <c r="Q20" s="277"/>
      <c r="R20" s="277"/>
      <c r="S20" s="277"/>
      <c r="T20" s="277"/>
    </row>
    <row r="21" spans="3:20" ht="15" x14ac:dyDescent="0.2">
      <c r="C21" s="466"/>
      <c r="D21" s="290"/>
      <c r="E21" s="297"/>
      <c r="F21" s="298"/>
      <c r="G21" s="298"/>
      <c r="H21" s="298"/>
      <c r="I21" s="280">
        <f t="shared" si="5"/>
        <v>0</v>
      </c>
      <c r="J21" s="280">
        <f t="shared" si="6"/>
        <v>0</v>
      </c>
      <c r="K21" s="280">
        <f t="shared" si="7"/>
        <v>0</v>
      </c>
      <c r="L21" s="280">
        <f t="shared" si="8"/>
        <v>0</v>
      </c>
      <c r="M21" s="280">
        <f t="shared" si="9"/>
        <v>0</v>
      </c>
      <c r="N21" s="277"/>
      <c r="O21" s="277"/>
      <c r="P21" s="277"/>
      <c r="Q21" s="277"/>
      <c r="R21" s="277"/>
      <c r="S21" s="277"/>
      <c r="T21" s="277"/>
    </row>
    <row r="22" spans="3:20" ht="15" x14ac:dyDescent="0.2">
      <c r="C22" s="466"/>
      <c r="D22" s="290"/>
      <c r="E22" s="297"/>
      <c r="F22" s="298"/>
      <c r="G22" s="298"/>
      <c r="H22" s="298"/>
      <c r="I22" s="280">
        <f t="shared" si="5"/>
        <v>0</v>
      </c>
      <c r="J22" s="280">
        <f t="shared" si="6"/>
        <v>0</v>
      </c>
      <c r="K22" s="280">
        <f t="shared" si="7"/>
        <v>0</v>
      </c>
      <c r="L22" s="280">
        <f t="shared" si="8"/>
        <v>0</v>
      </c>
      <c r="M22" s="280">
        <f t="shared" si="9"/>
        <v>0</v>
      </c>
      <c r="N22" s="277"/>
      <c r="O22" s="277"/>
      <c r="P22" s="277"/>
      <c r="Q22" s="277"/>
      <c r="R22" s="277"/>
      <c r="S22" s="277"/>
      <c r="T22" s="277"/>
    </row>
    <row r="23" spans="3:20" ht="15" x14ac:dyDescent="0.2">
      <c r="C23" s="466"/>
      <c r="D23" s="290"/>
      <c r="E23" s="297"/>
      <c r="F23" s="298"/>
      <c r="G23" s="298"/>
      <c r="H23" s="298"/>
      <c r="I23" s="280">
        <f t="shared" si="5"/>
        <v>0</v>
      </c>
      <c r="J23" s="280">
        <f t="shared" si="6"/>
        <v>0</v>
      </c>
      <c r="K23" s="280">
        <f t="shared" si="7"/>
        <v>0</v>
      </c>
      <c r="L23" s="280">
        <f t="shared" si="8"/>
        <v>0</v>
      </c>
      <c r="M23" s="280">
        <f t="shared" si="9"/>
        <v>0</v>
      </c>
      <c r="N23" s="277"/>
      <c r="O23" s="277"/>
      <c r="P23" s="277"/>
      <c r="Q23" s="277"/>
      <c r="R23" s="277"/>
      <c r="S23" s="277"/>
      <c r="T23" s="277"/>
    </row>
    <row r="24" spans="3:20" ht="15" x14ac:dyDescent="0.2">
      <c r="C24" s="466"/>
      <c r="D24" s="290"/>
      <c r="E24" s="297"/>
      <c r="F24" s="298"/>
      <c r="G24" s="298"/>
      <c r="H24" s="298"/>
      <c r="I24" s="280">
        <f t="shared" si="5"/>
        <v>0</v>
      </c>
      <c r="J24" s="280">
        <f t="shared" si="6"/>
        <v>0</v>
      </c>
      <c r="K24" s="280">
        <f t="shared" si="7"/>
        <v>0</v>
      </c>
      <c r="L24" s="280">
        <f t="shared" si="8"/>
        <v>0</v>
      </c>
      <c r="M24" s="280">
        <f t="shared" si="9"/>
        <v>0</v>
      </c>
      <c r="N24" s="277"/>
      <c r="O24" s="277"/>
      <c r="P24" s="277"/>
      <c r="Q24" s="277"/>
      <c r="R24" s="277"/>
      <c r="S24" s="277"/>
      <c r="T24" s="277"/>
    </row>
    <row r="25" spans="3:20" ht="15" x14ac:dyDescent="0.2">
      <c r="C25" s="466"/>
      <c r="D25" s="290"/>
      <c r="E25" s="297"/>
      <c r="F25" s="298"/>
      <c r="G25" s="298"/>
      <c r="H25" s="298"/>
      <c r="I25" s="280">
        <f t="shared" si="5"/>
        <v>0</v>
      </c>
      <c r="J25" s="280">
        <f t="shared" si="6"/>
        <v>0</v>
      </c>
      <c r="K25" s="280">
        <f t="shared" si="7"/>
        <v>0</v>
      </c>
      <c r="L25" s="280">
        <f t="shared" si="8"/>
        <v>0</v>
      </c>
      <c r="M25" s="280">
        <f t="shared" si="9"/>
        <v>0</v>
      </c>
      <c r="N25" s="277"/>
      <c r="O25" s="277"/>
      <c r="P25" s="277"/>
      <c r="Q25" s="277"/>
      <c r="R25" s="277"/>
      <c r="S25" s="277"/>
      <c r="T25" s="277"/>
    </row>
    <row r="26" spans="3:20" ht="15" x14ac:dyDescent="0.2">
      <c r="C26" s="466"/>
      <c r="D26" s="290"/>
      <c r="E26" s="297"/>
      <c r="F26" s="298"/>
      <c r="G26" s="298"/>
      <c r="H26" s="298"/>
      <c r="I26" s="280">
        <f t="shared" si="5"/>
        <v>0</v>
      </c>
      <c r="J26" s="280">
        <f t="shared" si="6"/>
        <v>0</v>
      </c>
      <c r="K26" s="280">
        <f t="shared" si="7"/>
        <v>0</v>
      </c>
      <c r="L26" s="280">
        <f t="shared" si="8"/>
        <v>0</v>
      </c>
      <c r="M26" s="280">
        <f t="shared" si="9"/>
        <v>0</v>
      </c>
      <c r="N26" s="277"/>
      <c r="O26" s="277"/>
      <c r="P26" s="277"/>
      <c r="Q26" s="277"/>
      <c r="R26" s="277"/>
      <c r="S26" s="277"/>
      <c r="T26" s="277"/>
    </row>
    <row r="27" spans="3:20" ht="15" x14ac:dyDescent="0.2">
      <c r="C27" s="466"/>
      <c r="D27" s="290"/>
      <c r="E27" s="297"/>
      <c r="F27" s="298"/>
      <c r="G27" s="298"/>
      <c r="H27" s="298"/>
      <c r="I27" s="280">
        <f t="shared" si="5"/>
        <v>0</v>
      </c>
      <c r="J27" s="280">
        <f t="shared" si="6"/>
        <v>0</v>
      </c>
      <c r="K27" s="280">
        <f t="shared" si="7"/>
        <v>0</v>
      </c>
      <c r="L27" s="280">
        <f t="shared" si="8"/>
        <v>0</v>
      </c>
      <c r="M27" s="280">
        <f t="shared" si="9"/>
        <v>0</v>
      </c>
      <c r="N27" s="277"/>
      <c r="O27" s="277"/>
      <c r="P27" s="277"/>
      <c r="Q27" s="277"/>
      <c r="R27" s="277"/>
      <c r="S27" s="277"/>
      <c r="T27" s="277"/>
    </row>
    <row r="28" spans="3:20" ht="15" x14ac:dyDescent="0.2">
      <c r="C28" s="466"/>
      <c r="D28" s="290"/>
      <c r="E28" s="297"/>
      <c r="F28" s="298"/>
      <c r="G28" s="298"/>
      <c r="H28" s="298"/>
      <c r="I28" s="280">
        <f t="shared" si="5"/>
        <v>0</v>
      </c>
      <c r="J28" s="280">
        <f t="shared" si="6"/>
        <v>0</v>
      </c>
      <c r="K28" s="280">
        <f t="shared" si="7"/>
        <v>0</v>
      </c>
      <c r="L28" s="280">
        <f t="shared" si="8"/>
        <v>0</v>
      </c>
      <c r="M28" s="280">
        <f t="shared" si="9"/>
        <v>0</v>
      </c>
      <c r="N28" s="277"/>
      <c r="O28" s="277"/>
      <c r="P28" s="277"/>
      <c r="Q28" s="277"/>
      <c r="R28" s="277"/>
      <c r="S28" s="277"/>
      <c r="T28" s="277"/>
    </row>
    <row r="29" spans="3:20" ht="15" x14ac:dyDescent="0.2">
      <c r="C29" s="466"/>
      <c r="D29" s="290"/>
      <c r="E29" s="297"/>
      <c r="F29" s="298"/>
      <c r="G29" s="298"/>
      <c r="H29" s="298"/>
      <c r="I29" s="280">
        <f t="shared" si="5"/>
        <v>0</v>
      </c>
      <c r="J29" s="280">
        <f t="shared" si="6"/>
        <v>0</v>
      </c>
      <c r="K29" s="280">
        <f t="shared" si="7"/>
        <v>0</v>
      </c>
      <c r="L29" s="280">
        <f t="shared" si="8"/>
        <v>0</v>
      </c>
      <c r="M29" s="280">
        <f t="shared" si="9"/>
        <v>0</v>
      </c>
      <c r="N29" s="277"/>
      <c r="O29" s="277"/>
      <c r="P29" s="277"/>
      <c r="Q29" s="277"/>
      <c r="R29" s="277"/>
      <c r="S29" s="277"/>
      <c r="T29" s="277"/>
    </row>
    <row r="30" spans="3:20" ht="15" x14ac:dyDescent="0.2">
      <c r="C30" s="466"/>
      <c r="D30" s="290"/>
      <c r="E30" s="297"/>
      <c r="F30" s="298"/>
      <c r="G30" s="298"/>
      <c r="H30" s="298"/>
      <c r="I30" s="280">
        <f t="shared" si="5"/>
        <v>0</v>
      </c>
      <c r="J30" s="280">
        <f t="shared" si="6"/>
        <v>0</v>
      </c>
      <c r="K30" s="280">
        <f t="shared" si="7"/>
        <v>0</v>
      </c>
      <c r="L30" s="280">
        <f t="shared" si="8"/>
        <v>0</v>
      </c>
      <c r="M30" s="280">
        <f t="shared" si="9"/>
        <v>0</v>
      </c>
      <c r="N30" s="277"/>
      <c r="O30" s="277"/>
      <c r="P30" s="277"/>
      <c r="Q30" s="277"/>
      <c r="R30" s="277"/>
      <c r="S30" s="277"/>
      <c r="T30" s="277"/>
    </row>
    <row r="31" spans="3:20" ht="15" x14ac:dyDescent="0.2">
      <c r="C31" s="466"/>
      <c r="D31" s="290"/>
      <c r="E31" s="297"/>
      <c r="F31" s="298"/>
      <c r="G31" s="298"/>
      <c r="H31" s="298"/>
      <c r="I31" s="280">
        <f t="shared" si="5"/>
        <v>0</v>
      </c>
      <c r="J31" s="280">
        <f t="shared" si="6"/>
        <v>0</v>
      </c>
      <c r="K31" s="280">
        <f t="shared" si="7"/>
        <v>0</v>
      </c>
      <c r="L31" s="280">
        <f t="shared" si="8"/>
        <v>0</v>
      </c>
      <c r="M31" s="280">
        <f t="shared" si="9"/>
        <v>0</v>
      </c>
      <c r="N31" s="277"/>
      <c r="O31" s="277"/>
      <c r="P31" s="277"/>
      <c r="Q31" s="277"/>
      <c r="R31" s="277"/>
      <c r="S31" s="277"/>
      <c r="T31" s="277"/>
    </row>
    <row r="32" spans="3:20" ht="15" x14ac:dyDescent="0.2">
      <c r="C32" s="466"/>
      <c r="D32" s="290"/>
      <c r="E32" s="297"/>
      <c r="F32" s="298"/>
      <c r="G32" s="298"/>
      <c r="H32" s="298"/>
      <c r="I32" s="280">
        <f t="shared" si="5"/>
        <v>0</v>
      </c>
      <c r="J32" s="280">
        <f t="shared" si="6"/>
        <v>0</v>
      </c>
      <c r="K32" s="280">
        <f t="shared" si="7"/>
        <v>0</v>
      </c>
      <c r="L32" s="280">
        <f t="shared" si="8"/>
        <v>0</v>
      </c>
      <c r="M32" s="280">
        <f t="shared" si="9"/>
        <v>0</v>
      </c>
      <c r="N32" s="277"/>
      <c r="O32" s="277"/>
      <c r="P32" s="277"/>
      <c r="Q32" s="277"/>
      <c r="R32" s="277"/>
      <c r="S32" s="277"/>
      <c r="T32" s="277"/>
    </row>
    <row r="33" spans="2:20" ht="15" x14ac:dyDescent="0.2">
      <c r="C33" s="466"/>
      <c r="D33" s="290"/>
      <c r="E33" s="297"/>
      <c r="F33" s="298"/>
      <c r="G33" s="298"/>
      <c r="H33" s="298"/>
      <c r="I33" s="280">
        <f t="shared" si="5"/>
        <v>0</v>
      </c>
      <c r="J33" s="280">
        <f t="shared" si="6"/>
        <v>0</v>
      </c>
      <c r="K33" s="280">
        <f t="shared" si="7"/>
        <v>0</v>
      </c>
      <c r="L33" s="280">
        <f t="shared" si="8"/>
        <v>0</v>
      </c>
      <c r="M33" s="280">
        <f t="shared" si="9"/>
        <v>0</v>
      </c>
      <c r="N33" s="277"/>
      <c r="O33" s="277"/>
      <c r="P33" s="277"/>
      <c r="Q33" s="277"/>
      <c r="R33" s="277"/>
      <c r="S33" s="277"/>
      <c r="T33" s="277"/>
    </row>
    <row r="34" spans="2:20" ht="15" x14ac:dyDescent="0.2">
      <c r="C34" s="466"/>
      <c r="D34" s="290"/>
      <c r="E34" s="297"/>
      <c r="F34" s="298"/>
      <c r="G34" s="298"/>
      <c r="H34" s="298"/>
      <c r="I34" s="280">
        <f t="shared" si="5"/>
        <v>0</v>
      </c>
      <c r="J34" s="280">
        <f t="shared" si="6"/>
        <v>0</v>
      </c>
      <c r="K34" s="280">
        <f t="shared" si="7"/>
        <v>0</v>
      </c>
      <c r="L34" s="280">
        <f t="shared" si="8"/>
        <v>0</v>
      </c>
      <c r="M34" s="280">
        <f t="shared" si="9"/>
        <v>0</v>
      </c>
      <c r="N34" s="277"/>
      <c r="O34" s="277"/>
      <c r="P34" s="277"/>
      <c r="Q34" s="277"/>
      <c r="R34" s="277"/>
      <c r="S34" s="277"/>
      <c r="T34" s="277"/>
    </row>
    <row r="35" spans="2:20" ht="15" x14ac:dyDescent="0.2">
      <c r="C35" s="466"/>
      <c r="D35" s="290"/>
      <c r="E35" s="297"/>
      <c r="F35" s="298"/>
      <c r="G35" s="298"/>
      <c r="H35" s="298"/>
      <c r="I35" s="280">
        <f t="shared" si="0"/>
        <v>0</v>
      </c>
      <c r="J35" s="280">
        <f t="shared" si="1"/>
        <v>0</v>
      </c>
      <c r="K35" s="280">
        <f t="shared" si="2"/>
        <v>0</v>
      </c>
      <c r="L35" s="280">
        <f t="shared" si="3"/>
        <v>0</v>
      </c>
      <c r="M35" s="280">
        <f t="shared" si="4"/>
        <v>0</v>
      </c>
      <c r="N35" s="277"/>
      <c r="O35" s="277"/>
      <c r="P35" s="277"/>
      <c r="Q35" s="277"/>
      <c r="R35" s="277"/>
      <c r="S35" s="277"/>
      <c r="T35" s="277"/>
    </row>
    <row r="36" spans="2:20" ht="15" x14ac:dyDescent="0.2">
      <c r="C36" s="466"/>
      <c r="D36" s="290"/>
      <c r="E36" s="297"/>
      <c r="F36" s="298"/>
      <c r="G36" s="298"/>
      <c r="H36" s="298"/>
      <c r="I36" s="280">
        <f t="shared" si="0"/>
        <v>0</v>
      </c>
      <c r="J36" s="280">
        <f t="shared" si="1"/>
        <v>0</v>
      </c>
      <c r="K36" s="280">
        <f t="shared" si="2"/>
        <v>0</v>
      </c>
      <c r="L36" s="280">
        <f t="shared" si="3"/>
        <v>0</v>
      </c>
      <c r="M36" s="280">
        <f t="shared" si="4"/>
        <v>0</v>
      </c>
      <c r="N36" s="277"/>
      <c r="O36" s="277"/>
      <c r="P36" s="277"/>
      <c r="Q36" s="277"/>
      <c r="R36" s="277"/>
      <c r="S36" s="277"/>
      <c r="T36" s="277"/>
    </row>
    <row r="37" spans="2:20" ht="15" x14ac:dyDescent="0.2">
      <c r="C37" s="466"/>
      <c r="D37" s="290"/>
      <c r="E37" s="297"/>
      <c r="F37" s="298"/>
      <c r="G37" s="298"/>
      <c r="H37" s="298"/>
      <c r="I37" s="280">
        <f t="shared" si="0"/>
        <v>0</v>
      </c>
      <c r="J37" s="280">
        <f t="shared" si="1"/>
        <v>0</v>
      </c>
      <c r="K37" s="280">
        <f t="shared" si="2"/>
        <v>0</v>
      </c>
      <c r="L37" s="280">
        <f t="shared" si="3"/>
        <v>0</v>
      </c>
      <c r="M37" s="280">
        <f t="shared" si="4"/>
        <v>0</v>
      </c>
      <c r="N37" s="277"/>
      <c r="O37" s="277"/>
      <c r="P37" s="277"/>
      <c r="Q37" s="277"/>
      <c r="R37" s="277"/>
      <c r="S37" s="277"/>
      <c r="T37" s="277"/>
    </row>
    <row r="38" spans="2:20" ht="15" x14ac:dyDescent="0.2">
      <c r="B38" s="274"/>
      <c r="D38" s="291"/>
      <c r="E38" s="278"/>
      <c r="F38" s="278"/>
      <c r="G38" s="278"/>
      <c r="H38" s="278"/>
      <c r="I38" s="278"/>
      <c r="J38" s="278"/>
      <c r="K38" s="278"/>
      <c r="L38" s="281" t="s">
        <v>112</v>
      </c>
      <c r="M38" s="281">
        <f>SUM(M11:M37)</f>
        <v>0</v>
      </c>
      <c r="N38" s="277"/>
      <c r="O38" s="277"/>
      <c r="P38" s="277"/>
      <c r="Q38" s="277"/>
      <c r="R38" s="277"/>
      <c r="S38" s="277"/>
      <c r="T38" s="277"/>
    </row>
    <row r="39" spans="2:20" ht="15" x14ac:dyDescent="0.2">
      <c r="B39" s="274"/>
      <c r="D39" s="292"/>
      <c r="E39" s="279"/>
      <c r="F39" s="279"/>
      <c r="G39" s="279"/>
      <c r="H39" s="279"/>
      <c r="I39" s="279"/>
      <c r="J39" s="279"/>
      <c r="K39" s="279"/>
      <c r="L39" s="279"/>
      <c r="M39" s="279"/>
      <c r="N39" s="277"/>
      <c r="O39" s="277"/>
      <c r="P39" s="277"/>
      <c r="Q39" s="277"/>
      <c r="R39" s="277"/>
      <c r="S39" s="277"/>
      <c r="T39" s="277"/>
    </row>
  </sheetData>
  <sheetProtection algorithmName="SHA-512" hashValue="4IrJqHUGk57/jHtSDaIEeLANx/eiZ3go1JjlwQQk1CZmEaRyf5LbONSSDpdTJ1aeiIPpKFtJVWIOTAjVWIGgTg==" saltValue="ec6XoSQG7GQnbnnHBgn6S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5" t="s">
        <v>377</v>
      </c>
      <c r="D2" s="435"/>
      <c r="E2" s="435"/>
      <c r="F2" s="435"/>
      <c r="G2" s="435"/>
      <c r="H2" s="435"/>
      <c r="I2" s="435"/>
      <c r="J2" s="435"/>
    </row>
    <row r="3" spans="2:20" s="31" customFormat="1" ht="34.5" customHeight="1" x14ac:dyDescent="0.2">
      <c r="B3" s="30"/>
      <c r="C3" s="463"/>
      <c r="D3" s="463"/>
      <c r="E3" s="294"/>
    </row>
    <row r="4" spans="2:20" s="31" customFormat="1" ht="34.5" customHeight="1" x14ac:dyDescent="0.2">
      <c r="B4" s="30"/>
      <c r="C4" s="294"/>
      <c r="D4" s="287" t="s">
        <v>283</v>
      </c>
      <c r="E4" s="281" t="s">
        <v>282</v>
      </c>
    </row>
    <row r="5" spans="2:20" s="28" customFormat="1" ht="35.1" customHeight="1" x14ac:dyDescent="0.2">
      <c r="B5" s="29"/>
      <c r="C5" s="14" t="s">
        <v>99</v>
      </c>
      <c r="D5" s="288">
        <v>0</v>
      </c>
      <c r="E5" s="295">
        <f>M37</f>
        <v>0</v>
      </c>
      <c r="F5" s="31"/>
      <c r="G5" s="31"/>
    </row>
    <row r="6" spans="2:20" s="28" customFormat="1" ht="15" x14ac:dyDescent="0.2">
      <c r="B6" s="29"/>
      <c r="C6" s="32"/>
      <c r="D6" s="289"/>
      <c r="E6" s="33"/>
      <c r="F6" s="74"/>
      <c r="G6" s="74"/>
      <c r="H6" s="74"/>
    </row>
    <row r="7" spans="2:20" s="31" customFormat="1" ht="15" x14ac:dyDescent="0.2">
      <c r="B7" s="97"/>
      <c r="C7" s="275"/>
      <c r="D7" s="293"/>
      <c r="E7" s="276"/>
      <c r="F7" s="276"/>
      <c r="G7" s="276"/>
      <c r="H7" s="276"/>
      <c r="I7" s="282"/>
      <c r="J7" s="282"/>
      <c r="K7" s="282"/>
      <c r="L7" s="282"/>
      <c r="M7" s="282"/>
      <c r="N7" s="277"/>
      <c r="O7" s="277"/>
      <c r="P7" s="277"/>
      <c r="Q7" s="277"/>
      <c r="R7" s="277"/>
      <c r="S7" s="277"/>
      <c r="T7" s="277"/>
    </row>
    <row r="8" spans="2:20" s="31" customFormat="1" ht="14.25" customHeight="1" x14ac:dyDescent="0.2">
      <c r="B8" s="97"/>
      <c r="C8" s="455" t="s">
        <v>227</v>
      </c>
      <c r="D8" s="470" t="s">
        <v>1</v>
      </c>
      <c r="E8" s="455" t="s">
        <v>1</v>
      </c>
      <c r="F8" s="455" t="s">
        <v>101</v>
      </c>
      <c r="G8" s="455" t="s">
        <v>151</v>
      </c>
      <c r="H8" s="455" t="s">
        <v>357</v>
      </c>
      <c r="I8" s="467" t="s">
        <v>104</v>
      </c>
      <c r="J8" s="468"/>
      <c r="K8" s="468"/>
      <c r="L8" s="469"/>
      <c r="M8" s="455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6"/>
      <c r="D9" s="471"/>
      <c r="E9" s="456"/>
      <c r="F9" s="456"/>
      <c r="G9" s="456"/>
      <c r="H9" s="456"/>
      <c r="I9" s="296" t="s">
        <v>83</v>
      </c>
      <c r="J9" s="296" t="s">
        <v>349</v>
      </c>
      <c r="K9" s="296" t="s">
        <v>350</v>
      </c>
      <c r="L9" s="296" t="s">
        <v>10</v>
      </c>
      <c r="M9" s="456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s="31" customFormat="1" x14ac:dyDescent="0.2">
      <c r="B10" s="97"/>
      <c r="C10" s="457"/>
      <c r="D10" s="472"/>
      <c r="E10" s="457"/>
      <c r="F10" s="457"/>
      <c r="G10" s="457"/>
      <c r="H10" s="457"/>
      <c r="I10" s="273" t="s">
        <v>173</v>
      </c>
      <c r="J10" s="273" t="s">
        <v>173</v>
      </c>
      <c r="K10" s="273" t="s">
        <v>173</v>
      </c>
      <c r="L10" s="273" t="s">
        <v>173</v>
      </c>
      <c r="M10" s="457"/>
      <c r="N10" s="34"/>
      <c r="O10" s="34"/>
      <c r="P10" s="34"/>
      <c r="Q10" s="34"/>
      <c r="R10" s="34"/>
      <c r="S10" s="34"/>
      <c r="T10" s="34"/>
    </row>
    <row r="11" spans="2:20" ht="15" x14ac:dyDescent="0.2">
      <c r="C11" s="473" t="s">
        <v>282</v>
      </c>
      <c r="D11" s="290"/>
      <c r="E11" s="297"/>
      <c r="F11" s="298"/>
      <c r="G11" s="298"/>
      <c r="H11" s="298"/>
      <c r="I11" s="280">
        <f>IF($I$10="Não",0,
IF($I$10="Sim",
IF(H11="1 a 2 campos",$O$11,
IF(H11="3 a 4 campos",$O$12,
IF(H11="5 a 6 campos",$O$13,
IF(H11="7 a 8 campos",$O$14,
IF(H11="9 a 10 campos",$O$15,0)))))))</f>
        <v>0</v>
      </c>
      <c r="J11" s="280">
        <f>IF($J$10="Não",0,
IF($J$10="Sim",
IF(H11="1 a 2 campos",$P$11,
IF(H11="3 a 4 campos",$P$12,
IF(H11="5 a 6 campos",$P$13,
IF(H11="7 a 8 campos",$P$14,
IF(H11="9 a 10 campos",$P$15,0)))))))</f>
        <v>0</v>
      </c>
      <c r="K11" s="280">
        <f>IF($K$10="Não",0,
IF($K$10="Sim",
IF(H11="1 a 2 campos",$Q$11,
IF(H11="3 a 4 campos",$Q$12,
IF(H11="5 a 6 campos",$Q$13,
IF(H11="7 a 8 campos",$Q$14,
IF(H11="9 a 10 campos",$Q$15,0)))))))</f>
        <v>0</v>
      </c>
      <c r="L11" s="280">
        <f>IF($L$10="Não",0,
IF($L$10="Sim",
IF(H11="1 a 2 campos",$R$11,
IF(H11="3 a 4 campos",$R$12,
IF(H11="5 a 6 campos",$R$13,
IF(H11="7 a 8 campos",$R$14,
IF(H11="9 a 10 campos",$R$15,0)))))))</f>
        <v>0</v>
      </c>
      <c r="M11" s="283">
        <f>SUM(I11:L11)</f>
        <v>0</v>
      </c>
      <c r="N11" s="42" t="s">
        <v>344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3"/>
      <c r="D12" s="290"/>
      <c r="E12" s="297"/>
      <c r="F12" s="298"/>
      <c r="G12" s="298"/>
      <c r="H12" s="298"/>
      <c r="I12" s="280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0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0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0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3">
        <f t="shared" ref="M12:M15" si="4">SUM(I12:L12)</f>
        <v>0</v>
      </c>
      <c r="N12" s="42" t="s">
        <v>345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3"/>
      <c r="D13" s="290"/>
      <c r="E13" s="297"/>
      <c r="F13" s="298"/>
      <c r="G13" s="298"/>
      <c r="H13" s="298"/>
      <c r="I13" s="280">
        <f t="shared" si="0"/>
        <v>0</v>
      </c>
      <c r="J13" s="280">
        <f t="shared" si="1"/>
        <v>0</v>
      </c>
      <c r="K13" s="280">
        <f t="shared" si="2"/>
        <v>0</v>
      </c>
      <c r="L13" s="280">
        <f t="shared" si="3"/>
        <v>0</v>
      </c>
      <c r="M13" s="283">
        <f t="shared" si="4"/>
        <v>0</v>
      </c>
      <c r="N13" s="42" t="s">
        <v>346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3"/>
      <c r="D14" s="290"/>
      <c r="E14" s="297"/>
      <c r="F14" s="298"/>
      <c r="G14" s="298"/>
      <c r="H14" s="298"/>
      <c r="I14" s="280">
        <f t="shared" si="0"/>
        <v>0</v>
      </c>
      <c r="J14" s="280">
        <f t="shared" si="1"/>
        <v>0</v>
      </c>
      <c r="K14" s="280">
        <f t="shared" si="2"/>
        <v>0</v>
      </c>
      <c r="L14" s="280">
        <f t="shared" si="3"/>
        <v>0</v>
      </c>
      <c r="M14" s="283">
        <f t="shared" si="4"/>
        <v>0</v>
      </c>
      <c r="N14" s="42" t="s">
        <v>347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3"/>
      <c r="D15" s="290"/>
      <c r="E15" s="297"/>
      <c r="F15" s="298"/>
      <c r="G15" s="298"/>
      <c r="H15" s="298"/>
      <c r="I15" s="280">
        <f t="shared" si="0"/>
        <v>0</v>
      </c>
      <c r="J15" s="280">
        <f t="shared" si="1"/>
        <v>0</v>
      </c>
      <c r="K15" s="280">
        <f t="shared" si="2"/>
        <v>0</v>
      </c>
      <c r="L15" s="280">
        <f t="shared" si="3"/>
        <v>0</v>
      </c>
      <c r="M15" s="283">
        <f t="shared" si="4"/>
        <v>0</v>
      </c>
      <c r="N15" s="42" t="s">
        <v>348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3"/>
      <c r="D16" s="290"/>
      <c r="E16" s="297"/>
      <c r="F16" s="298"/>
      <c r="G16" s="298"/>
      <c r="H16" s="298"/>
      <c r="I16" s="280">
        <f t="shared" si="0"/>
        <v>0</v>
      </c>
      <c r="J16" s="280">
        <f t="shared" si="1"/>
        <v>0</v>
      </c>
      <c r="K16" s="280">
        <f t="shared" si="2"/>
        <v>0</v>
      </c>
      <c r="L16" s="280">
        <f t="shared" si="3"/>
        <v>0</v>
      </c>
      <c r="M16" s="283">
        <f t="shared" ref="M16:M19" si="5">SUM(I16:L16)</f>
        <v>0</v>
      </c>
    </row>
    <row r="17" spans="3:13" x14ac:dyDescent="0.2">
      <c r="C17" s="473"/>
      <c r="D17" s="290"/>
      <c r="E17" s="297"/>
      <c r="F17" s="298"/>
      <c r="G17" s="298"/>
      <c r="H17" s="298"/>
      <c r="I17" s="280">
        <f t="shared" si="0"/>
        <v>0</v>
      </c>
      <c r="J17" s="280">
        <f t="shared" si="1"/>
        <v>0</v>
      </c>
      <c r="K17" s="280">
        <f t="shared" si="2"/>
        <v>0</v>
      </c>
      <c r="L17" s="280">
        <f t="shared" si="3"/>
        <v>0</v>
      </c>
      <c r="M17" s="283">
        <f t="shared" si="5"/>
        <v>0</v>
      </c>
    </row>
    <row r="18" spans="3:13" x14ac:dyDescent="0.2">
      <c r="C18" s="473"/>
      <c r="D18" s="290"/>
      <c r="E18" s="297"/>
      <c r="F18" s="298"/>
      <c r="G18" s="298"/>
      <c r="H18" s="298"/>
      <c r="I18" s="280">
        <f t="shared" si="0"/>
        <v>0</v>
      </c>
      <c r="J18" s="280">
        <f t="shared" si="1"/>
        <v>0</v>
      </c>
      <c r="K18" s="280">
        <f t="shared" si="2"/>
        <v>0</v>
      </c>
      <c r="L18" s="280">
        <f t="shared" si="3"/>
        <v>0</v>
      </c>
      <c r="M18" s="283">
        <f t="shared" si="5"/>
        <v>0</v>
      </c>
    </row>
    <row r="19" spans="3:13" x14ac:dyDescent="0.2">
      <c r="C19" s="473"/>
      <c r="D19" s="290"/>
      <c r="E19" s="297"/>
      <c r="F19" s="298"/>
      <c r="G19" s="298"/>
      <c r="H19" s="298"/>
      <c r="I19" s="280">
        <f t="shared" si="0"/>
        <v>0</v>
      </c>
      <c r="J19" s="280">
        <f t="shared" si="1"/>
        <v>0</v>
      </c>
      <c r="K19" s="280">
        <f t="shared" si="2"/>
        <v>0</v>
      </c>
      <c r="L19" s="280">
        <f t="shared" si="3"/>
        <v>0</v>
      </c>
      <c r="M19" s="283">
        <f t="shared" si="5"/>
        <v>0</v>
      </c>
    </row>
    <row r="20" spans="3:13" x14ac:dyDescent="0.2">
      <c r="C20" s="473"/>
      <c r="D20" s="290"/>
      <c r="E20" s="297"/>
      <c r="F20" s="298"/>
      <c r="G20" s="298"/>
      <c r="H20" s="298"/>
      <c r="I20" s="280">
        <f t="shared" si="0"/>
        <v>0</v>
      </c>
      <c r="J20" s="280">
        <f t="shared" si="1"/>
        <v>0</v>
      </c>
      <c r="K20" s="280">
        <f t="shared" si="2"/>
        <v>0</v>
      </c>
      <c r="L20" s="280">
        <f t="shared" si="3"/>
        <v>0</v>
      </c>
      <c r="M20" s="283">
        <f t="shared" ref="M20:M36" si="6">SUM(I20:L20)</f>
        <v>0</v>
      </c>
    </row>
    <row r="21" spans="3:13" x14ac:dyDescent="0.2">
      <c r="C21" s="473"/>
      <c r="D21" s="290"/>
      <c r="E21" s="297"/>
      <c r="F21" s="298"/>
      <c r="G21" s="298"/>
      <c r="H21" s="298"/>
      <c r="I21" s="280">
        <f t="shared" si="0"/>
        <v>0</v>
      </c>
      <c r="J21" s="280">
        <f t="shared" si="1"/>
        <v>0</v>
      </c>
      <c r="K21" s="280">
        <f t="shared" si="2"/>
        <v>0</v>
      </c>
      <c r="L21" s="280">
        <f t="shared" si="3"/>
        <v>0</v>
      </c>
      <c r="M21" s="283">
        <f t="shared" si="6"/>
        <v>0</v>
      </c>
    </row>
    <row r="22" spans="3:13" x14ac:dyDescent="0.2">
      <c r="C22" s="473"/>
      <c r="D22" s="290"/>
      <c r="E22" s="297"/>
      <c r="F22" s="298"/>
      <c r="G22" s="298"/>
      <c r="H22" s="298"/>
      <c r="I22" s="280">
        <f t="shared" si="0"/>
        <v>0</v>
      </c>
      <c r="J22" s="280">
        <f t="shared" si="1"/>
        <v>0</v>
      </c>
      <c r="K22" s="280">
        <f t="shared" si="2"/>
        <v>0</v>
      </c>
      <c r="L22" s="280">
        <f t="shared" si="3"/>
        <v>0</v>
      </c>
      <c r="M22" s="283">
        <f t="shared" si="6"/>
        <v>0</v>
      </c>
    </row>
    <row r="23" spans="3:13" x14ac:dyDescent="0.2">
      <c r="C23" s="473"/>
      <c r="D23" s="290"/>
      <c r="E23" s="297"/>
      <c r="F23" s="298"/>
      <c r="G23" s="298"/>
      <c r="H23" s="298"/>
      <c r="I23" s="280">
        <f t="shared" si="0"/>
        <v>0</v>
      </c>
      <c r="J23" s="280">
        <f t="shared" si="1"/>
        <v>0</v>
      </c>
      <c r="K23" s="280">
        <f t="shared" si="2"/>
        <v>0</v>
      </c>
      <c r="L23" s="280">
        <f t="shared" si="3"/>
        <v>0</v>
      </c>
      <c r="M23" s="283">
        <f t="shared" si="6"/>
        <v>0</v>
      </c>
    </row>
    <row r="24" spans="3:13" x14ac:dyDescent="0.2">
      <c r="C24" s="473"/>
      <c r="D24" s="290"/>
      <c r="E24" s="297"/>
      <c r="F24" s="298"/>
      <c r="G24" s="298"/>
      <c r="H24" s="298"/>
      <c r="I24" s="280">
        <f t="shared" si="0"/>
        <v>0</v>
      </c>
      <c r="J24" s="280">
        <f t="shared" si="1"/>
        <v>0</v>
      </c>
      <c r="K24" s="280">
        <f t="shared" si="2"/>
        <v>0</v>
      </c>
      <c r="L24" s="280">
        <f t="shared" si="3"/>
        <v>0</v>
      </c>
      <c r="M24" s="283">
        <f t="shared" si="6"/>
        <v>0</v>
      </c>
    </row>
    <row r="25" spans="3:13" x14ac:dyDescent="0.2">
      <c r="C25" s="473"/>
      <c r="D25" s="290"/>
      <c r="E25" s="297"/>
      <c r="F25" s="298"/>
      <c r="G25" s="298"/>
      <c r="H25" s="298"/>
      <c r="I25" s="280">
        <f t="shared" si="0"/>
        <v>0</v>
      </c>
      <c r="J25" s="280">
        <f t="shared" si="1"/>
        <v>0</v>
      </c>
      <c r="K25" s="280">
        <f t="shared" si="2"/>
        <v>0</v>
      </c>
      <c r="L25" s="280">
        <f t="shared" si="3"/>
        <v>0</v>
      </c>
      <c r="M25" s="283">
        <f t="shared" si="6"/>
        <v>0</v>
      </c>
    </row>
    <row r="26" spans="3:13" x14ac:dyDescent="0.2">
      <c r="C26" s="473"/>
      <c r="D26" s="290"/>
      <c r="E26" s="297"/>
      <c r="F26" s="298"/>
      <c r="G26" s="298"/>
      <c r="H26" s="298"/>
      <c r="I26" s="280">
        <f t="shared" si="0"/>
        <v>0</v>
      </c>
      <c r="J26" s="280">
        <f t="shared" si="1"/>
        <v>0</v>
      </c>
      <c r="K26" s="280">
        <f t="shared" si="2"/>
        <v>0</v>
      </c>
      <c r="L26" s="280">
        <f t="shared" si="3"/>
        <v>0</v>
      </c>
      <c r="M26" s="283">
        <f t="shared" si="6"/>
        <v>0</v>
      </c>
    </row>
    <row r="27" spans="3:13" x14ac:dyDescent="0.2">
      <c r="C27" s="473"/>
      <c r="D27" s="290"/>
      <c r="E27" s="297"/>
      <c r="F27" s="298"/>
      <c r="G27" s="298"/>
      <c r="H27" s="298"/>
      <c r="I27" s="280">
        <f t="shared" si="0"/>
        <v>0</v>
      </c>
      <c r="J27" s="280">
        <f t="shared" si="1"/>
        <v>0</v>
      </c>
      <c r="K27" s="280">
        <f t="shared" si="2"/>
        <v>0</v>
      </c>
      <c r="L27" s="280">
        <f t="shared" si="3"/>
        <v>0</v>
      </c>
      <c r="M27" s="283">
        <f t="shared" si="6"/>
        <v>0</v>
      </c>
    </row>
    <row r="28" spans="3:13" x14ac:dyDescent="0.2">
      <c r="C28" s="473"/>
      <c r="D28" s="290"/>
      <c r="E28" s="297"/>
      <c r="F28" s="298"/>
      <c r="G28" s="298"/>
      <c r="H28" s="298"/>
      <c r="I28" s="280">
        <f t="shared" si="0"/>
        <v>0</v>
      </c>
      <c r="J28" s="280">
        <f t="shared" si="1"/>
        <v>0</v>
      </c>
      <c r="K28" s="280">
        <f t="shared" si="2"/>
        <v>0</v>
      </c>
      <c r="L28" s="280">
        <f t="shared" si="3"/>
        <v>0</v>
      </c>
      <c r="M28" s="283">
        <f t="shared" si="6"/>
        <v>0</v>
      </c>
    </row>
    <row r="29" spans="3:13" x14ac:dyDescent="0.2">
      <c r="C29" s="473"/>
      <c r="D29" s="290"/>
      <c r="E29" s="297"/>
      <c r="F29" s="298"/>
      <c r="G29" s="298"/>
      <c r="H29" s="298"/>
      <c r="I29" s="280">
        <f t="shared" si="0"/>
        <v>0</v>
      </c>
      <c r="J29" s="280">
        <f t="shared" si="1"/>
        <v>0</v>
      </c>
      <c r="K29" s="280">
        <f t="shared" si="2"/>
        <v>0</v>
      </c>
      <c r="L29" s="280">
        <f t="shared" si="3"/>
        <v>0</v>
      </c>
      <c r="M29" s="283">
        <f t="shared" si="6"/>
        <v>0</v>
      </c>
    </row>
    <row r="30" spans="3:13" x14ac:dyDescent="0.2">
      <c r="C30" s="473"/>
      <c r="D30" s="290"/>
      <c r="E30" s="297"/>
      <c r="F30" s="298"/>
      <c r="G30" s="298"/>
      <c r="H30" s="298"/>
      <c r="I30" s="280">
        <f t="shared" si="0"/>
        <v>0</v>
      </c>
      <c r="J30" s="280">
        <f t="shared" si="1"/>
        <v>0</v>
      </c>
      <c r="K30" s="280">
        <f t="shared" si="2"/>
        <v>0</v>
      </c>
      <c r="L30" s="280">
        <f t="shared" si="3"/>
        <v>0</v>
      </c>
      <c r="M30" s="283">
        <f t="shared" si="6"/>
        <v>0</v>
      </c>
    </row>
    <row r="31" spans="3:13" x14ac:dyDescent="0.2">
      <c r="C31" s="473"/>
      <c r="D31" s="290"/>
      <c r="E31" s="297"/>
      <c r="F31" s="298"/>
      <c r="G31" s="298"/>
      <c r="H31" s="298"/>
      <c r="I31" s="280">
        <f t="shared" si="0"/>
        <v>0</v>
      </c>
      <c r="J31" s="280">
        <f t="shared" si="1"/>
        <v>0</v>
      </c>
      <c r="K31" s="280">
        <f t="shared" si="2"/>
        <v>0</v>
      </c>
      <c r="L31" s="280">
        <f t="shared" si="3"/>
        <v>0</v>
      </c>
      <c r="M31" s="283">
        <f t="shared" si="6"/>
        <v>0</v>
      </c>
    </row>
    <row r="32" spans="3:13" x14ac:dyDescent="0.2">
      <c r="C32" s="473"/>
      <c r="D32" s="290"/>
      <c r="E32" s="297"/>
      <c r="F32" s="298"/>
      <c r="G32" s="298"/>
      <c r="H32" s="298"/>
      <c r="I32" s="280">
        <f t="shared" si="0"/>
        <v>0</v>
      </c>
      <c r="J32" s="280">
        <f t="shared" si="1"/>
        <v>0</v>
      </c>
      <c r="K32" s="280">
        <f t="shared" si="2"/>
        <v>0</v>
      </c>
      <c r="L32" s="280">
        <f t="shared" si="3"/>
        <v>0</v>
      </c>
      <c r="M32" s="283">
        <f t="shared" si="6"/>
        <v>0</v>
      </c>
    </row>
    <row r="33" spans="3:13" x14ac:dyDescent="0.2">
      <c r="C33" s="473"/>
      <c r="D33" s="290"/>
      <c r="E33" s="297"/>
      <c r="F33" s="298"/>
      <c r="G33" s="298"/>
      <c r="H33" s="298"/>
      <c r="I33" s="280">
        <f t="shared" si="0"/>
        <v>0</v>
      </c>
      <c r="J33" s="280">
        <f t="shared" si="1"/>
        <v>0</v>
      </c>
      <c r="K33" s="280">
        <f t="shared" si="2"/>
        <v>0</v>
      </c>
      <c r="L33" s="280">
        <f t="shared" si="3"/>
        <v>0</v>
      </c>
      <c r="M33" s="283">
        <f t="shared" si="6"/>
        <v>0</v>
      </c>
    </row>
    <row r="34" spans="3:13" x14ac:dyDescent="0.2">
      <c r="C34" s="473"/>
      <c r="D34" s="290"/>
      <c r="E34" s="297"/>
      <c r="F34" s="298"/>
      <c r="G34" s="298"/>
      <c r="H34" s="298"/>
      <c r="I34" s="280">
        <f t="shared" si="0"/>
        <v>0</v>
      </c>
      <c r="J34" s="280">
        <f t="shared" si="1"/>
        <v>0</v>
      </c>
      <c r="K34" s="280">
        <f t="shared" si="2"/>
        <v>0</v>
      </c>
      <c r="L34" s="280">
        <f t="shared" si="3"/>
        <v>0</v>
      </c>
      <c r="M34" s="283">
        <f t="shared" si="6"/>
        <v>0</v>
      </c>
    </row>
    <row r="35" spans="3:13" x14ac:dyDescent="0.2">
      <c r="C35" s="473"/>
      <c r="D35" s="290"/>
      <c r="E35" s="297"/>
      <c r="F35" s="298"/>
      <c r="G35" s="298"/>
      <c r="H35" s="298"/>
      <c r="I35" s="280">
        <f t="shared" si="0"/>
        <v>0</v>
      </c>
      <c r="J35" s="280">
        <f t="shared" si="1"/>
        <v>0</v>
      </c>
      <c r="K35" s="280">
        <f t="shared" si="2"/>
        <v>0</v>
      </c>
      <c r="L35" s="280">
        <f t="shared" si="3"/>
        <v>0</v>
      </c>
      <c r="M35" s="283">
        <f t="shared" si="6"/>
        <v>0</v>
      </c>
    </row>
    <row r="36" spans="3:13" x14ac:dyDescent="0.2">
      <c r="C36" s="473"/>
      <c r="D36" s="290"/>
      <c r="E36" s="297"/>
      <c r="F36" s="298"/>
      <c r="G36" s="298"/>
      <c r="H36" s="298"/>
      <c r="I36" s="280">
        <f t="shared" si="0"/>
        <v>0</v>
      </c>
      <c r="J36" s="280">
        <f t="shared" si="1"/>
        <v>0</v>
      </c>
      <c r="K36" s="280">
        <f t="shared" si="2"/>
        <v>0</v>
      </c>
      <c r="L36" s="280">
        <f t="shared" si="3"/>
        <v>0</v>
      </c>
      <c r="M36" s="283">
        <f t="shared" si="6"/>
        <v>0</v>
      </c>
    </row>
    <row r="37" spans="3:13" ht="15" x14ac:dyDescent="0.2">
      <c r="L37" s="281" t="s">
        <v>112</v>
      </c>
      <c r="M37" s="281">
        <f>SUM(M11:M36)</f>
        <v>0</v>
      </c>
    </row>
  </sheetData>
  <sheetProtection algorithmName="SHA-512" hashValue="jD5fI7MODBhTK7Wfa6XmMLuNBAQRnSqRl70eUFcenl+5OXZb7ttILgWK2CU4R0CESyaICVLkb/Ly5FDeh254yQ==" saltValue="OIxyp2P3BDjArhfO5U8b/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K11" activePane="bottomRight" state="frozen"/>
      <selection pane="topRight" activeCell="B1" sqref="B1"/>
      <selection pane="bottomLeft" activeCell="A9" sqref="A9"/>
      <selection pane="bottomRight" activeCell="W10" sqref="W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5" t="s">
        <v>395</v>
      </c>
      <c r="C2" s="435"/>
      <c r="D2" s="435"/>
      <c r="E2" s="435"/>
      <c r="F2" s="435"/>
      <c r="G2" s="435"/>
      <c r="H2" s="435"/>
      <c r="I2" s="435"/>
      <c r="J2" s="435"/>
      <c r="K2" s="435"/>
      <c r="L2" s="435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0"/>
      <c r="C6" s="281" t="s">
        <v>283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6" t="s">
        <v>378</v>
      </c>
      <c r="M8" s="497"/>
      <c r="N8" s="318"/>
      <c r="O8" s="496" t="s">
        <v>379</v>
      </c>
      <c r="P8" s="497"/>
      <c r="Q8" s="318"/>
      <c r="R8" s="498" t="s">
        <v>380</v>
      </c>
      <c r="S8" s="499"/>
      <c r="T8" s="500"/>
      <c r="U8" s="328"/>
      <c r="V8" s="331"/>
      <c r="W8" s="493" t="s">
        <v>104</v>
      </c>
      <c r="X8" s="494"/>
      <c r="Y8" s="494"/>
      <c r="Z8" s="495"/>
      <c r="AA8" s="491" t="s">
        <v>105</v>
      </c>
      <c r="AB8" s="314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N8" s="89"/>
    </row>
    <row r="9" spans="1:40" ht="54" customHeight="1" x14ac:dyDescent="0.2">
      <c r="A9" s="486"/>
      <c r="B9" s="484" t="s">
        <v>79</v>
      </c>
      <c r="C9" s="487" t="s">
        <v>1</v>
      </c>
      <c r="D9" s="487" t="s">
        <v>101</v>
      </c>
      <c r="E9" s="487" t="s">
        <v>151</v>
      </c>
      <c r="F9" s="487" t="s">
        <v>51</v>
      </c>
      <c r="G9" s="487" t="s">
        <v>52</v>
      </c>
      <c r="H9" s="487" t="s">
        <v>171</v>
      </c>
      <c r="I9" s="487" t="s">
        <v>172</v>
      </c>
      <c r="J9" s="503" t="s">
        <v>381</v>
      </c>
      <c r="K9" s="501" t="s">
        <v>5</v>
      </c>
      <c r="L9" s="480" t="s">
        <v>403</v>
      </c>
      <c r="M9" s="481"/>
      <c r="N9" s="326" t="s">
        <v>390</v>
      </c>
      <c r="O9" s="480" t="s">
        <v>404</v>
      </c>
      <c r="P9" s="481"/>
      <c r="Q9" s="326" t="s">
        <v>389</v>
      </c>
      <c r="R9" s="480" t="s">
        <v>405</v>
      </c>
      <c r="S9" s="489"/>
      <c r="T9" s="481"/>
      <c r="U9" s="322" t="s">
        <v>391</v>
      </c>
      <c r="V9" s="315" t="s">
        <v>392</v>
      </c>
      <c r="W9" s="333" t="s">
        <v>83</v>
      </c>
      <c r="X9" s="303" t="s">
        <v>349</v>
      </c>
      <c r="Y9" s="303" t="s">
        <v>350</v>
      </c>
      <c r="Z9" s="334" t="s">
        <v>10</v>
      </c>
      <c r="AA9" s="492"/>
      <c r="AB9" s="314" t="s">
        <v>386</v>
      </c>
      <c r="AC9" s="320" t="s">
        <v>341</v>
      </c>
      <c r="AD9" s="320" t="s">
        <v>353</v>
      </c>
      <c r="AE9" s="320" t="s">
        <v>365</v>
      </c>
      <c r="AF9" s="320" t="s">
        <v>4</v>
      </c>
      <c r="AG9" s="320" t="s">
        <v>382</v>
      </c>
      <c r="AH9" s="320" t="s">
        <v>383</v>
      </c>
      <c r="AI9" s="320" t="s">
        <v>384</v>
      </c>
      <c r="AJ9" s="320" t="s">
        <v>385</v>
      </c>
      <c r="AK9" s="320" t="s">
        <v>342</v>
      </c>
      <c r="AL9" s="321" t="s">
        <v>343</v>
      </c>
      <c r="AN9" s="88"/>
    </row>
    <row r="10" spans="1:40" x14ac:dyDescent="0.2">
      <c r="A10" s="486"/>
      <c r="B10" s="485"/>
      <c r="C10" s="488"/>
      <c r="D10" s="488"/>
      <c r="E10" s="488"/>
      <c r="F10" s="488"/>
      <c r="G10" s="488"/>
      <c r="H10" s="488"/>
      <c r="I10" s="488"/>
      <c r="J10" s="488"/>
      <c r="K10" s="502"/>
      <c r="L10" s="482"/>
      <c r="M10" s="483"/>
      <c r="N10" s="327"/>
      <c r="O10" s="482"/>
      <c r="P10" s="483"/>
      <c r="Q10" s="327"/>
      <c r="R10" s="482"/>
      <c r="S10" s="490"/>
      <c r="T10" s="483"/>
      <c r="U10" s="323"/>
      <c r="V10" s="332"/>
      <c r="W10" s="335" t="s">
        <v>173</v>
      </c>
      <c r="X10" s="335" t="s">
        <v>173</v>
      </c>
      <c r="Y10" s="335" t="s">
        <v>173</v>
      </c>
      <c r="Z10" s="335" t="s">
        <v>173</v>
      </c>
      <c r="AA10" s="492"/>
      <c r="AB10" s="326"/>
      <c r="AC10" s="305"/>
      <c r="AD10" s="305"/>
      <c r="AE10" s="305"/>
      <c r="AF10" s="305"/>
      <c r="AG10" s="305"/>
      <c r="AH10" s="305"/>
      <c r="AI10" s="305"/>
      <c r="AJ10" s="305"/>
      <c r="AK10" s="305"/>
      <c r="AL10" s="306"/>
      <c r="AN10" s="88"/>
    </row>
    <row r="11" spans="1:40" s="266" customFormat="1" x14ac:dyDescent="0.2">
      <c r="B11" s="361"/>
      <c r="C11" s="329"/>
      <c r="D11" s="330"/>
      <c r="E11" s="330"/>
      <c r="F11" s="330"/>
      <c r="G11" s="330"/>
      <c r="H11" s="330"/>
      <c r="I11" s="330"/>
      <c r="J11" s="304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4">
        <f>IFERROR(IF('Enriquecimento - SOA com ETX'!$E11="",0,INDEX(Pesos_IFPUG,MATCH('Enriquecimento - SOA com ETX'!$E11,Pesos_IFPUG_Objetos,0),MATCH('Enriquecimento - SOA com ETX'!$J11,Pesos_IFPUG_Complexidade,0))),"")</f>
        <v>0</v>
      </c>
      <c r="L11" s="477"/>
      <c r="M11" s="479"/>
      <c r="N11" s="341" t="str">
        <f t="shared" ref="N11:N36" si="0">IF(L11="","",$AC$12&amp;L11)</f>
        <v/>
      </c>
      <c r="O11" s="477"/>
      <c r="P11" s="479"/>
      <c r="Q11" s="341" t="str">
        <f t="shared" ref="Q11:Q36" si="1">IF(O11="","",$AC$15&amp;O11)</f>
        <v/>
      </c>
      <c r="R11" s="477"/>
      <c r="S11" s="478"/>
      <c r="T11" s="479"/>
      <c r="U11" s="341" t="str">
        <f t="shared" ref="U11:U38" si="2">IF(R11="","",$AC$18&amp;R11)</f>
        <v/>
      </c>
      <c r="V11" s="342" t="str">
        <f t="shared" ref="V11:V38" si="3">N11&amp;Q11&amp;U11</f>
        <v/>
      </c>
      <c r="W11" s="358">
        <f>IF($W$10="Não",0,IF(V11="",0,VLOOKUP(V11,$AB$9:$AJ$26,6,0)))</f>
        <v>0</v>
      </c>
      <c r="X11" s="358">
        <f>IF($X$10="Não",0,IF(V11="",0,VLOOKUP(V11,$AB$9:$AJ$26,7,0)))</f>
        <v>0</v>
      </c>
      <c r="Y11" s="358">
        <f>IF($Y$10="Não",0,IF(V11="",0,VLOOKUP(V11,$AB$9:$AJ$26,8,0)))</f>
        <v>0</v>
      </c>
      <c r="Z11" s="358">
        <f>IF($Z$10="Não",0,IF(V11="",0,VLOOKUP(V11,$AB$9:$AJ$26,9,0)))</f>
        <v>0</v>
      </c>
      <c r="AA11" s="358">
        <f>SUM(W11:Z11)</f>
        <v>0</v>
      </c>
      <c r="AB11" s="324"/>
      <c r="AC11" s="305"/>
      <c r="AD11" s="305"/>
      <c r="AE11" s="305"/>
      <c r="AF11" s="305"/>
      <c r="AG11" s="305"/>
      <c r="AH11" s="305"/>
      <c r="AI11" s="305"/>
      <c r="AJ11" s="305"/>
      <c r="AK11" s="305"/>
      <c r="AL11" s="306"/>
      <c r="AN11" s="267"/>
    </row>
    <row r="12" spans="1:40" s="266" customFormat="1" x14ac:dyDescent="0.2">
      <c r="B12" s="361"/>
      <c r="C12" s="329"/>
      <c r="D12" s="330"/>
      <c r="E12" s="330"/>
      <c r="F12" s="330"/>
      <c r="G12" s="330"/>
      <c r="H12" s="330"/>
      <c r="I12" s="330"/>
      <c r="J12" s="304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4">
        <f>IFERROR(IF('Enriquecimento - SOA com ETX'!$E12="",0,INDEX(Pesos_IFPUG,MATCH('Enriquecimento - SOA com ETX'!$E12,Pesos_IFPUG_Objetos,0),MATCH('Enriquecimento - SOA com ETX'!$J12,Pesos_IFPUG_Complexidade,0))),"")</f>
        <v>0</v>
      </c>
      <c r="L12" s="477"/>
      <c r="M12" s="479"/>
      <c r="N12" s="341" t="str">
        <f t="shared" si="0"/>
        <v/>
      </c>
      <c r="O12" s="477"/>
      <c r="P12" s="479"/>
      <c r="Q12" s="341" t="str">
        <f t="shared" si="1"/>
        <v/>
      </c>
      <c r="R12" s="477"/>
      <c r="S12" s="478"/>
      <c r="T12" s="479"/>
      <c r="U12" s="341" t="str">
        <f t="shared" si="2"/>
        <v/>
      </c>
      <c r="V12" s="342" t="str">
        <f t="shared" si="3"/>
        <v/>
      </c>
      <c r="W12" s="358">
        <f t="shared" ref="W12:W50" si="4">IF($W$10="Não",0,IF(V12="",0,VLOOKUP(V12,$AB$9:$AJ$26,6,0)))</f>
        <v>0</v>
      </c>
      <c r="X12" s="358">
        <f t="shared" ref="X12:X50" si="5">IF($X$10="Não",0,IF(V12="",0,VLOOKUP(V12,$AB$9:$AJ$26,7,0)))</f>
        <v>0</v>
      </c>
      <c r="Y12" s="358">
        <f t="shared" ref="Y12:Y50" si="6">IF($Y$10="Não",0,IF(V12="",0,VLOOKUP(V12,$AB$9:$AJ$26,8,0)))</f>
        <v>0</v>
      </c>
      <c r="Z12" s="358">
        <f t="shared" ref="Z12:Z50" si="7">IF($Z$10="Não",0,IF(V12="",0,VLOOKUP(V12,$AB$9:$AJ$26,9,0)))</f>
        <v>0</v>
      </c>
      <c r="AA12" s="358">
        <f t="shared" ref="AA12:AA50" si="8">SUM(W12:Z12)</f>
        <v>0</v>
      </c>
      <c r="AB12" s="336" t="str">
        <f t="shared" ref="AB12:AB17" si="9">AC12&amp;AF12&amp;" - "&amp;AD12</f>
        <v>CriarInterfaceSimples - 1 a 19 campos</v>
      </c>
      <c r="AC12" s="305" t="s">
        <v>354</v>
      </c>
      <c r="AD12" s="305" t="s">
        <v>361</v>
      </c>
      <c r="AE12" s="305" t="s">
        <v>96</v>
      </c>
      <c r="AF12" s="305" t="s">
        <v>358</v>
      </c>
      <c r="AG12" s="305">
        <v>12</v>
      </c>
      <c r="AH12" s="305">
        <v>4</v>
      </c>
      <c r="AI12" s="305">
        <v>78</v>
      </c>
      <c r="AJ12" s="305">
        <v>8</v>
      </c>
      <c r="AK12" s="305">
        <f>AG12+AI12+AJ12</f>
        <v>98</v>
      </c>
      <c r="AL12" s="306">
        <f>AH12+AI12+AJ12</f>
        <v>90</v>
      </c>
      <c r="AN12" s="267" t="s">
        <v>258</v>
      </c>
    </row>
    <row r="13" spans="1:40" s="266" customFormat="1" x14ac:dyDescent="0.2">
      <c r="B13" s="361"/>
      <c r="C13" s="329"/>
      <c r="D13" s="330"/>
      <c r="E13" s="330"/>
      <c r="F13" s="330"/>
      <c r="G13" s="330"/>
      <c r="H13" s="330"/>
      <c r="I13" s="330"/>
      <c r="J13" s="304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4">
        <f>IFERROR(IF('Enriquecimento - SOA com ETX'!$E13="",0,INDEX(Pesos_IFPUG,MATCH('Enriquecimento - SOA com ETX'!$E13,Pesos_IFPUG_Objetos,0),MATCH('Enriquecimento - SOA com ETX'!$J13,Pesos_IFPUG_Complexidade,0))),"")</f>
        <v>0</v>
      </c>
      <c r="L13" s="477"/>
      <c r="M13" s="479"/>
      <c r="N13" s="341" t="str">
        <f t="shared" si="0"/>
        <v/>
      </c>
      <c r="O13" s="477"/>
      <c r="P13" s="479"/>
      <c r="Q13" s="341" t="str">
        <f t="shared" si="1"/>
        <v/>
      </c>
      <c r="R13" s="477"/>
      <c r="S13" s="478"/>
      <c r="T13" s="479"/>
      <c r="U13" s="341" t="str">
        <f t="shared" si="2"/>
        <v/>
      </c>
      <c r="V13" s="342" t="str">
        <f t="shared" si="3"/>
        <v/>
      </c>
      <c r="W13" s="358">
        <f t="shared" si="4"/>
        <v>0</v>
      </c>
      <c r="X13" s="358">
        <f t="shared" si="5"/>
        <v>0</v>
      </c>
      <c r="Y13" s="358">
        <f t="shared" si="6"/>
        <v>0</v>
      </c>
      <c r="Z13" s="358">
        <f t="shared" si="7"/>
        <v>0</v>
      </c>
      <c r="AA13" s="358">
        <f t="shared" si="8"/>
        <v>0</v>
      </c>
      <c r="AB13" s="336" t="str">
        <f t="shared" si="9"/>
        <v>CriarInterfaceMedia - 20 a 49 campos</v>
      </c>
      <c r="AC13" s="305" t="s">
        <v>354</v>
      </c>
      <c r="AD13" s="305" t="s">
        <v>363</v>
      </c>
      <c r="AE13" s="305" t="s">
        <v>96</v>
      </c>
      <c r="AF13" s="305" t="s">
        <v>119</v>
      </c>
      <c r="AG13" s="305">
        <v>14</v>
      </c>
      <c r="AH13" s="305">
        <v>4</v>
      </c>
      <c r="AI13" s="305">
        <v>94</v>
      </c>
      <c r="AJ13" s="305">
        <v>8</v>
      </c>
      <c r="AK13" s="305">
        <f t="shared" ref="AK13:AK26" si="10">AG13+AI13+AJ13</f>
        <v>116</v>
      </c>
      <c r="AL13" s="306">
        <f t="shared" ref="AL13:AL26" si="11">AH13+AI13+AJ13</f>
        <v>106</v>
      </c>
      <c r="AN13" s="267" t="s">
        <v>259</v>
      </c>
    </row>
    <row r="14" spans="1:40" s="266" customFormat="1" x14ac:dyDescent="0.2">
      <c r="B14" s="361"/>
      <c r="C14" s="329"/>
      <c r="D14" s="330"/>
      <c r="E14" s="330"/>
      <c r="F14" s="330"/>
      <c r="G14" s="330"/>
      <c r="H14" s="330"/>
      <c r="I14" s="330"/>
      <c r="J14" s="304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4">
        <f>IFERROR(IF('Enriquecimento - SOA com ETX'!$E14="",0,INDEX(Pesos_IFPUG,MATCH('Enriquecimento - SOA com ETX'!$E14,Pesos_IFPUG_Objetos,0),MATCH('Enriquecimento - SOA com ETX'!$J14,Pesos_IFPUG_Complexidade,0))),"")</f>
        <v>0</v>
      </c>
      <c r="L14" s="477"/>
      <c r="M14" s="479"/>
      <c r="N14" s="341" t="str">
        <f t="shared" si="0"/>
        <v/>
      </c>
      <c r="O14" s="477"/>
      <c r="P14" s="479"/>
      <c r="Q14" s="341" t="str">
        <f t="shared" si="1"/>
        <v/>
      </c>
      <c r="R14" s="477"/>
      <c r="S14" s="478"/>
      <c r="T14" s="479"/>
      <c r="U14" s="341" t="str">
        <f t="shared" si="2"/>
        <v/>
      </c>
      <c r="V14" s="342" t="str">
        <f t="shared" si="3"/>
        <v/>
      </c>
      <c r="W14" s="358">
        <f t="shared" si="4"/>
        <v>0</v>
      </c>
      <c r="X14" s="358">
        <f t="shared" si="5"/>
        <v>0</v>
      </c>
      <c r="Y14" s="358">
        <f t="shared" si="6"/>
        <v>0</v>
      </c>
      <c r="Z14" s="358">
        <f t="shared" si="7"/>
        <v>0</v>
      </c>
      <c r="AA14" s="358">
        <f t="shared" si="8"/>
        <v>0</v>
      </c>
      <c r="AB14" s="336" t="str">
        <f t="shared" si="9"/>
        <v>CriarInterfaceComplexa - Acima de 50 campos</v>
      </c>
      <c r="AC14" s="305" t="s">
        <v>354</v>
      </c>
      <c r="AD14" s="305" t="s">
        <v>364</v>
      </c>
      <c r="AE14" s="305" t="s">
        <v>96</v>
      </c>
      <c r="AF14" s="305" t="s">
        <v>359</v>
      </c>
      <c r="AG14" s="305">
        <v>16</v>
      </c>
      <c r="AH14" s="305">
        <v>4</v>
      </c>
      <c r="AI14" s="305">
        <v>104</v>
      </c>
      <c r="AJ14" s="305">
        <v>8</v>
      </c>
      <c r="AK14" s="305">
        <f t="shared" si="10"/>
        <v>128</v>
      </c>
      <c r="AL14" s="306">
        <f t="shared" si="11"/>
        <v>116</v>
      </c>
      <c r="AN14" s="267" t="s">
        <v>260</v>
      </c>
    </row>
    <row r="15" spans="1:40" s="266" customFormat="1" x14ac:dyDescent="0.2">
      <c r="B15" s="361"/>
      <c r="C15" s="329"/>
      <c r="D15" s="330"/>
      <c r="E15" s="330"/>
      <c r="F15" s="330"/>
      <c r="G15" s="330"/>
      <c r="H15" s="330"/>
      <c r="I15" s="330"/>
      <c r="J15" s="304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4">
        <f>IFERROR(IF('Enriquecimento - SOA com ETX'!$E15="",0,INDEX(Pesos_IFPUG,MATCH('Enriquecimento - SOA com ETX'!$E15,Pesos_IFPUG_Objetos,0),MATCH('Enriquecimento - SOA com ETX'!$J15,Pesos_IFPUG_Complexidade,0))),"")</f>
        <v>0</v>
      </c>
      <c r="L15" s="477"/>
      <c r="M15" s="479"/>
      <c r="N15" s="341" t="str">
        <f t="shared" si="0"/>
        <v/>
      </c>
      <c r="O15" s="477"/>
      <c r="P15" s="479"/>
      <c r="Q15" s="341" t="str">
        <f t="shared" si="1"/>
        <v/>
      </c>
      <c r="R15" s="477"/>
      <c r="S15" s="478"/>
      <c r="T15" s="479"/>
      <c r="U15" s="341" t="str">
        <f t="shared" si="2"/>
        <v/>
      </c>
      <c r="V15" s="342" t="str">
        <f t="shared" si="3"/>
        <v/>
      </c>
      <c r="W15" s="358">
        <f t="shared" si="4"/>
        <v>0</v>
      </c>
      <c r="X15" s="358">
        <f t="shared" si="5"/>
        <v>0</v>
      </c>
      <c r="Y15" s="358">
        <f t="shared" si="6"/>
        <v>0</v>
      </c>
      <c r="Z15" s="358">
        <f t="shared" si="7"/>
        <v>0</v>
      </c>
      <c r="AA15" s="358">
        <f t="shared" si="8"/>
        <v>0</v>
      </c>
      <c r="AB15" s="336" t="str">
        <f t="shared" si="9"/>
        <v>CriarSourceTargetSimples - 1 a 19 campos</v>
      </c>
      <c r="AC15" s="305" t="s">
        <v>355</v>
      </c>
      <c r="AD15" s="305" t="s">
        <v>361</v>
      </c>
      <c r="AE15" s="305" t="s">
        <v>96</v>
      </c>
      <c r="AF15" s="305" t="s">
        <v>358</v>
      </c>
      <c r="AG15" s="305">
        <v>10</v>
      </c>
      <c r="AH15" s="305">
        <v>3</v>
      </c>
      <c r="AI15" s="305">
        <v>64</v>
      </c>
      <c r="AJ15" s="305">
        <v>6</v>
      </c>
      <c r="AK15" s="305">
        <f t="shared" si="10"/>
        <v>80</v>
      </c>
      <c r="AL15" s="306">
        <f t="shared" si="11"/>
        <v>73</v>
      </c>
      <c r="AN15" s="267"/>
    </row>
    <row r="16" spans="1:40" s="266" customFormat="1" x14ac:dyDescent="0.2">
      <c r="B16" s="361"/>
      <c r="C16" s="329"/>
      <c r="D16" s="330"/>
      <c r="E16" s="330"/>
      <c r="F16" s="330"/>
      <c r="G16" s="330"/>
      <c r="H16" s="330"/>
      <c r="I16" s="330"/>
      <c r="J16" s="304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4">
        <f>IFERROR(IF('Enriquecimento - SOA com ETX'!$E16="",0,INDEX(Pesos_IFPUG,MATCH('Enriquecimento - SOA com ETX'!$E16,Pesos_IFPUG_Objetos,0),MATCH('Enriquecimento - SOA com ETX'!$J16,Pesos_IFPUG_Complexidade,0))),"")</f>
        <v>0</v>
      </c>
      <c r="L16" s="477"/>
      <c r="M16" s="479"/>
      <c r="N16" s="341" t="str">
        <f t="shared" si="0"/>
        <v/>
      </c>
      <c r="O16" s="477"/>
      <c r="P16" s="479"/>
      <c r="Q16" s="341" t="str">
        <f t="shared" si="1"/>
        <v/>
      </c>
      <c r="R16" s="477"/>
      <c r="S16" s="478"/>
      <c r="T16" s="479"/>
      <c r="U16" s="341" t="str">
        <f t="shared" si="2"/>
        <v/>
      </c>
      <c r="V16" s="342" t="str">
        <f t="shared" si="3"/>
        <v/>
      </c>
      <c r="W16" s="358">
        <f t="shared" si="4"/>
        <v>0</v>
      </c>
      <c r="X16" s="358">
        <f t="shared" si="5"/>
        <v>0</v>
      </c>
      <c r="Y16" s="358">
        <f t="shared" si="6"/>
        <v>0</v>
      </c>
      <c r="Z16" s="358">
        <f t="shared" si="7"/>
        <v>0</v>
      </c>
      <c r="AA16" s="358">
        <f t="shared" si="8"/>
        <v>0</v>
      </c>
      <c r="AB16" s="336" t="str">
        <f t="shared" si="9"/>
        <v>CriarSourceTargetMedia - 20 a 49 campos</v>
      </c>
      <c r="AC16" s="305" t="s">
        <v>355</v>
      </c>
      <c r="AD16" s="305" t="s">
        <v>363</v>
      </c>
      <c r="AE16" s="305" t="s">
        <v>96</v>
      </c>
      <c r="AF16" s="305" t="s">
        <v>119</v>
      </c>
      <c r="AG16" s="305">
        <v>12</v>
      </c>
      <c r="AH16" s="305">
        <v>3</v>
      </c>
      <c r="AI16" s="305">
        <v>80</v>
      </c>
      <c r="AJ16" s="305">
        <v>6</v>
      </c>
      <c r="AK16" s="305">
        <f t="shared" si="10"/>
        <v>98</v>
      </c>
      <c r="AL16" s="306">
        <f t="shared" si="11"/>
        <v>89</v>
      </c>
      <c r="AN16" s="267"/>
    </row>
    <row r="17" spans="2:38" s="266" customFormat="1" x14ac:dyDescent="0.2">
      <c r="B17" s="361"/>
      <c r="C17" s="329"/>
      <c r="D17" s="330"/>
      <c r="E17" s="330"/>
      <c r="F17" s="330"/>
      <c r="G17" s="330"/>
      <c r="H17" s="330"/>
      <c r="I17" s="330"/>
      <c r="J17" s="304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4">
        <f>IFERROR(IF('Enriquecimento - SOA com ETX'!$E17="",0,INDEX(Pesos_IFPUG,MATCH('Enriquecimento - SOA com ETX'!$E17,Pesos_IFPUG_Objetos,0),MATCH('Enriquecimento - SOA com ETX'!$J17,Pesos_IFPUG_Complexidade,0))),"")</f>
        <v>0</v>
      </c>
      <c r="L17" s="477"/>
      <c r="M17" s="479"/>
      <c r="N17" s="341" t="str">
        <f t="shared" si="0"/>
        <v/>
      </c>
      <c r="O17" s="477"/>
      <c r="P17" s="479"/>
      <c r="Q17" s="341" t="str">
        <f t="shared" si="1"/>
        <v/>
      </c>
      <c r="R17" s="477"/>
      <c r="S17" s="478"/>
      <c r="T17" s="479"/>
      <c r="U17" s="341" t="str">
        <f t="shared" si="2"/>
        <v/>
      </c>
      <c r="V17" s="342" t="str">
        <f t="shared" si="3"/>
        <v/>
      </c>
      <c r="W17" s="358">
        <f t="shared" si="4"/>
        <v>0</v>
      </c>
      <c r="X17" s="358">
        <f t="shared" si="5"/>
        <v>0</v>
      </c>
      <c r="Y17" s="358">
        <f t="shared" si="6"/>
        <v>0</v>
      </c>
      <c r="Z17" s="358">
        <f t="shared" si="7"/>
        <v>0</v>
      </c>
      <c r="AA17" s="358">
        <f t="shared" si="8"/>
        <v>0</v>
      </c>
      <c r="AB17" s="336" t="str">
        <f t="shared" si="9"/>
        <v>CriarSourceTargetComplexa - Acima de 50 campos</v>
      </c>
      <c r="AC17" s="305" t="s">
        <v>355</v>
      </c>
      <c r="AD17" s="305" t="s">
        <v>364</v>
      </c>
      <c r="AE17" s="305" t="s">
        <v>96</v>
      </c>
      <c r="AF17" s="305" t="s">
        <v>359</v>
      </c>
      <c r="AG17" s="305">
        <v>14</v>
      </c>
      <c r="AH17" s="305">
        <v>3</v>
      </c>
      <c r="AI17" s="305">
        <v>92</v>
      </c>
      <c r="AJ17" s="305">
        <v>6</v>
      </c>
      <c r="AK17" s="305">
        <f t="shared" si="10"/>
        <v>112</v>
      </c>
      <c r="AL17" s="306">
        <f t="shared" si="11"/>
        <v>101</v>
      </c>
    </row>
    <row r="18" spans="2:38" s="266" customFormat="1" x14ac:dyDescent="0.2">
      <c r="B18" s="361"/>
      <c r="C18" s="329"/>
      <c r="D18" s="330"/>
      <c r="E18" s="330"/>
      <c r="F18" s="330"/>
      <c r="G18" s="330"/>
      <c r="H18" s="330"/>
      <c r="I18" s="330"/>
      <c r="J18" s="304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4">
        <f>IFERROR(IF('Enriquecimento - SOA com ETX'!$E18="",0,INDEX(Pesos_IFPUG,MATCH('Enriquecimento - SOA com ETX'!$E18,Pesos_IFPUG_Objetos,0),MATCH('Enriquecimento - SOA com ETX'!$J18,Pesos_IFPUG_Complexidade,0))),"")</f>
        <v>0</v>
      </c>
      <c r="L18" s="477"/>
      <c r="M18" s="479"/>
      <c r="N18" s="341" t="str">
        <f t="shared" si="0"/>
        <v/>
      </c>
      <c r="O18" s="477"/>
      <c r="P18" s="479"/>
      <c r="Q18" s="341" t="str">
        <f t="shared" si="1"/>
        <v/>
      </c>
      <c r="R18" s="477"/>
      <c r="S18" s="478"/>
      <c r="T18" s="479"/>
      <c r="U18" s="341" t="str">
        <f t="shared" si="2"/>
        <v/>
      </c>
      <c r="V18" s="342" t="str">
        <f t="shared" si="3"/>
        <v/>
      </c>
      <c r="W18" s="358">
        <f t="shared" si="4"/>
        <v>0</v>
      </c>
      <c r="X18" s="358">
        <f t="shared" si="5"/>
        <v>0</v>
      </c>
      <c r="Y18" s="358">
        <f t="shared" si="6"/>
        <v>0</v>
      </c>
      <c r="Z18" s="358">
        <f t="shared" si="7"/>
        <v>0</v>
      </c>
      <c r="AA18" s="358">
        <f t="shared" si="8"/>
        <v>0</v>
      </c>
      <c r="AB18" s="336" t="str">
        <f>AC18&amp;AF18&amp;" - "&amp;AD18&amp;" - "&amp;AE18</f>
        <v>AlterarMapeamentoSimples(-) - 1 a 15 campos - 1 a 5 campos</v>
      </c>
      <c r="AC18" s="305" t="s">
        <v>356</v>
      </c>
      <c r="AD18" s="305" t="s">
        <v>360</v>
      </c>
      <c r="AE18" s="305" t="s">
        <v>368</v>
      </c>
      <c r="AF18" s="305" t="s">
        <v>397</v>
      </c>
      <c r="AG18" s="305">
        <v>2</v>
      </c>
      <c r="AH18" s="305">
        <v>2</v>
      </c>
      <c r="AI18" s="305">
        <v>40</v>
      </c>
      <c r="AJ18" s="305">
        <v>4</v>
      </c>
      <c r="AK18" s="305">
        <f t="shared" si="10"/>
        <v>46</v>
      </c>
      <c r="AL18" s="306">
        <f t="shared" si="11"/>
        <v>46</v>
      </c>
    </row>
    <row r="19" spans="2:38" s="266" customFormat="1" x14ac:dyDescent="0.2">
      <c r="B19" s="361"/>
      <c r="C19" s="329"/>
      <c r="D19" s="330"/>
      <c r="E19" s="330"/>
      <c r="F19" s="330"/>
      <c r="G19" s="330"/>
      <c r="H19" s="330"/>
      <c r="I19" s="330"/>
      <c r="J19" s="304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4">
        <f>IFERROR(IF('Enriquecimento - SOA com ETX'!$E19="",0,INDEX(Pesos_IFPUG,MATCH('Enriquecimento - SOA com ETX'!$E19,Pesos_IFPUG_Objetos,0),MATCH('Enriquecimento - SOA com ETX'!$J19,Pesos_IFPUG_Complexidade,0))),"")</f>
        <v>0</v>
      </c>
      <c r="L19" s="477"/>
      <c r="M19" s="479"/>
      <c r="N19" s="341" t="str">
        <f t="shared" si="0"/>
        <v/>
      </c>
      <c r="O19" s="477"/>
      <c r="P19" s="479"/>
      <c r="Q19" s="341" t="str">
        <f t="shared" si="1"/>
        <v/>
      </c>
      <c r="R19" s="477"/>
      <c r="S19" s="478"/>
      <c r="T19" s="479"/>
      <c r="U19" s="341" t="str">
        <f t="shared" si="2"/>
        <v/>
      </c>
      <c r="V19" s="342" t="str">
        <f t="shared" si="3"/>
        <v/>
      </c>
      <c r="W19" s="358">
        <f t="shared" si="4"/>
        <v>0</v>
      </c>
      <c r="X19" s="358">
        <f t="shared" si="5"/>
        <v>0</v>
      </c>
      <c r="Y19" s="358">
        <f t="shared" si="6"/>
        <v>0</v>
      </c>
      <c r="Z19" s="358">
        <f t="shared" si="7"/>
        <v>0</v>
      </c>
      <c r="AA19" s="358">
        <f t="shared" si="8"/>
        <v>0</v>
      </c>
      <c r="AB19" s="336" t="str">
        <f t="shared" ref="AB19:AB26" si="12">AC19&amp;AF19&amp;" - "&amp;AD19&amp;" - "&amp;AE19</f>
        <v>AlterarMapeamentoSimples - 1 a 15 campos - 6 a 10 campos</v>
      </c>
      <c r="AC19" s="305" t="s">
        <v>356</v>
      </c>
      <c r="AD19" s="305" t="s">
        <v>360</v>
      </c>
      <c r="AE19" s="305" t="s">
        <v>373</v>
      </c>
      <c r="AF19" s="305" t="s">
        <v>358</v>
      </c>
      <c r="AG19" s="305">
        <v>4</v>
      </c>
      <c r="AH19" s="305">
        <v>2</v>
      </c>
      <c r="AI19" s="305">
        <v>64</v>
      </c>
      <c r="AJ19" s="305">
        <v>4</v>
      </c>
      <c r="AK19" s="305">
        <f t="shared" si="10"/>
        <v>72</v>
      </c>
      <c r="AL19" s="306">
        <f t="shared" si="11"/>
        <v>70</v>
      </c>
    </row>
    <row r="20" spans="2:38" s="266" customFormat="1" x14ac:dyDescent="0.2">
      <c r="B20" s="361"/>
      <c r="C20" s="329"/>
      <c r="D20" s="330"/>
      <c r="E20" s="330"/>
      <c r="F20" s="330"/>
      <c r="G20" s="330"/>
      <c r="H20" s="330"/>
      <c r="I20" s="330"/>
      <c r="J20" s="304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4">
        <f>IFERROR(IF('Enriquecimento - SOA com ETX'!$E20="",0,INDEX(Pesos_IFPUG,MATCH('Enriquecimento - SOA com ETX'!$E20,Pesos_IFPUG_Objetos,0),MATCH('Enriquecimento - SOA com ETX'!$J20,Pesos_IFPUG_Complexidade,0))),"")</f>
        <v>0</v>
      </c>
      <c r="L20" s="477"/>
      <c r="M20" s="479"/>
      <c r="N20" s="341" t="str">
        <f t="shared" si="0"/>
        <v/>
      </c>
      <c r="O20" s="477"/>
      <c r="P20" s="479"/>
      <c r="Q20" s="341" t="str">
        <f t="shared" si="1"/>
        <v/>
      </c>
      <c r="R20" s="477"/>
      <c r="S20" s="478"/>
      <c r="T20" s="479"/>
      <c r="U20" s="341" t="str">
        <f t="shared" si="2"/>
        <v/>
      </c>
      <c r="V20" s="342" t="str">
        <f t="shared" si="3"/>
        <v/>
      </c>
      <c r="W20" s="358">
        <f t="shared" si="4"/>
        <v>0</v>
      </c>
      <c r="X20" s="358">
        <f t="shared" si="5"/>
        <v>0</v>
      </c>
      <c r="Y20" s="358">
        <f t="shared" si="6"/>
        <v>0</v>
      </c>
      <c r="Z20" s="358">
        <f t="shared" si="7"/>
        <v>0</v>
      </c>
      <c r="AA20" s="358">
        <f t="shared" si="8"/>
        <v>0</v>
      </c>
      <c r="AB20" s="336" t="str">
        <f t="shared" si="12"/>
        <v>AlterarMapeamentoSimples(+) - 1 a 15 campos - 11 a 19 campos</v>
      </c>
      <c r="AC20" s="305" t="s">
        <v>356</v>
      </c>
      <c r="AD20" s="305" t="s">
        <v>360</v>
      </c>
      <c r="AE20" s="305" t="s">
        <v>369</v>
      </c>
      <c r="AF20" s="305" t="s">
        <v>398</v>
      </c>
      <c r="AG20" s="305">
        <v>6</v>
      </c>
      <c r="AH20" s="305">
        <v>2</v>
      </c>
      <c r="AI20" s="305">
        <v>78</v>
      </c>
      <c r="AJ20" s="305">
        <v>4</v>
      </c>
      <c r="AK20" s="305">
        <f t="shared" si="10"/>
        <v>88</v>
      </c>
      <c r="AL20" s="306">
        <f t="shared" si="11"/>
        <v>84</v>
      </c>
    </row>
    <row r="21" spans="2:38" s="266" customFormat="1" x14ac:dyDescent="0.2">
      <c r="B21" s="361"/>
      <c r="C21" s="329"/>
      <c r="D21" s="330"/>
      <c r="E21" s="330"/>
      <c r="F21" s="330"/>
      <c r="G21" s="330"/>
      <c r="H21" s="330"/>
      <c r="I21" s="330"/>
      <c r="J21" s="304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4">
        <f>IFERROR(IF('Enriquecimento - SOA com ETX'!$E21="",0,INDEX(Pesos_IFPUG,MATCH('Enriquecimento - SOA com ETX'!$E21,Pesos_IFPUG_Objetos,0),MATCH('Enriquecimento - SOA com ETX'!$J21,Pesos_IFPUG_Complexidade,0))),"")</f>
        <v>0</v>
      </c>
      <c r="L21" s="477"/>
      <c r="M21" s="479"/>
      <c r="N21" s="341" t="str">
        <f t="shared" si="0"/>
        <v/>
      </c>
      <c r="O21" s="477"/>
      <c r="P21" s="479"/>
      <c r="Q21" s="341" t="str">
        <f t="shared" si="1"/>
        <v/>
      </c>
      <c r="R21" s="477"/>
      <c r="S21" s="478"/>
      <c r="T21" s="479"/>
      <c r="U21" s="341" t="str">
        <f t="shared" si="2"/>
        <v/>
      </c>
      <c r="V21" s="342" t="str">
        <f t="shared" si="3"/>
        <v/>
      </c>
      <c r="W21" s="358">
        <f t="shared" si="4"/>
        <v>0</v>
      </c>
      <c r="X21" s="358">
        <f t="shared" si="5"/>
        <v>0</v>
      </c>
      <c r="Y21" s="358">
        <f t="shared" si="6"/>
        <v>0</v>
      </c>
      <c r="Z21" s="358">
        <f t="shared" si="7"/>
        <v>0</v>
      </c>
      <c r="AA21" s="358">
        <f t="shared" si="8"/>
        <v>0</v>
      </c>
      <c r="AB21" s="336" t="str">
        <f t="shared" si="12"/>
        <v>AlterarMapeamentoMedia(-) - 16 a 49 campos - 1 a 10 campos</v>
      </c>
      <c r="AC21" s="305" t="s">
        <v>356</v>
      </c>
      <c r="AD21" s="305" t="s">
        <v>362</v>
      </c>
      <c r="AE21" s="305" t="s">
        <v>366</v>
      </c>
      <c r="AF21" s="305" t="s">
        <v>399</v>
      </c>
      <c r="AG21" s="305">
        <v>4</v>
      </c>
      <c r="AH21" s="305">
        <v>2</v>
      </c>
      <c r="AI21" s="305">
        <v>64</v>
      </c>
      <c r="AJ21" s="305">
        <v>4</v>
      </c>
      <c r="AK21" s="305">
        <f t="shared" si="10"/>
        <v>72</v>
      </c>
      <c r="AL21" s="306">
        <f t="shared" si="11"/>
        <v>70</v>
      </c>
    </row>
    <row r="22" spans="2:38" s="266" customFormat="1" x14ac:dyDescent="0.2">
      <c r="B22" s="361"/>
      <c r="C22" s="329"/>
      <c r="D22" s="330"/>
      <c r="E22" s="330"/>
      <c r="F22" s="330"/>
      <c r="G22" s="330"/>
      <c r="H22" s="330"/>
      <c r="I22" s="330"/>
      <c r="J22" s="304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4">
        <f>IFERROR(IF('Enriquecimento - SOA com ETX'!$E22="",0,INDEX(Pesos_IFPUG,MATCH('Enriquecimento - SOA com ETX'!$E22,Pesos_IFPUG_Objetos,0),MATCH('Enriquecimento - SOA com ETX'!$J22,Pesos_IFPUG_Complexidade,0))),"")</f>
        <v>0</v>
      </c>
      <c r="L22" s="477"/>
      <c r="M22" s="479"/>
      <c r="N22" s="341" t="str">
        <f t="shared" si="0"/>
        <v/>
      </c>
      <c r="O22" s="477"/>
      <c r="P22" s="479"/>
      <c r="Q22" s="341" t="str">
        <f t="shared" si="1"/>
        <v/>
      </c>
      <c r="R22" s="477"/>
      <c r="S22" s="478"/>
      <c r="T22" s="479"/>
      <c r="U22" s="341" t="str">
        <f t="shared" si="2"/>
        <v/>
      </c>
      <c r="V22" s="342" t="str">
        <f t="shared" si="3"/>
        <v/>
      </c>
      <c r="W22" s="358">
        <f t="shared" si="4"/>
        <v>0</v>
      </c>
      <c r="X22" s="358">
        <f t="shared" si="5"/>
        <v>0</v>
      </c>
      <c r="Y22" s="358">
        <f t="shared" si="6"/>
        <v>0</v>
      </c>
      <c r="Z22" s="358">
        <f t="shared" si="7"/>
        <v>0</v>
      </c>
      <c r="AA22" s="358">
        <f t="shared" si="8"/>
        <v>0</v>
      </c>
      <c r="AB22" s="336" t="str">
        <f t="shared" si="12"/>
        <v>AlterarMapeamentoMedia - 16 a 49 campos - 11 a 30 campos</v>
      </c>
      <c r="AC22" s="305" t="s">
        <v>356</v>
      </c>
      <c r="AD22" s="305" t="s">
        <v>362</v>
      </c>
      <c r="AE22" s="305" t="s">
        <v>370</v>
      </c>
      <c r="AF22" s="305" t="s">
        <v>119</v>
      </c>
      <c r="AG22" s="305">
        <v>6</v>
      </c>
      <c r="AH22" s="305">
        <v>2</v>
      </c>
      <c r="AI22" s="305">
        <v>78</v>
      </c>
      <c r="AJ22" s="305">
        <v>4</v>
      </c>
      <c r="AK22" s="305">
        <f t="shared" si="10"/>
        <v>88</v>
      </c>
      <c r="AL22" s="306">
        <f t="shared" si="11"/>
        <v>84</v>
      </c>
    </row>
    <row r="23" spans="2:38" s="266" customFormat="1" x14ac:dyDescent="0.2">
      <c r="B23" s="361"/>
      <c r="C23" s="329"/>
      <c r="D23" s="330"/>
      <c r="E23" s="330"/>
      <c r="F23" s="330"/>
      <c r="G23" s="330"/>
      <c r="H23" s="330"/>
      <c r="I23" s="330"/>
      <c r="J23" s="304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4">
        <f>IFERROR(IF('Enriquecimento - SOA com ETX'!$E23="",0,INDEX(Pesos_IFPUG,MATCH('Enriquecimento - SOA com ETX'!$E23,Pesos_IFPUG_Objetos,0),MATCH('Enriquecimento - SOA com ETX'!$J23,Pesos_IFPUG_Complexidade,0))),"")</f>
        <v>0</v>
      </c>
      <c r="L23" s="477"/>
      <c r="M23" s="479"/>
      <c r="N23" s="341" t="str">
        <f t="shared" si="0"/>
        <v/>
      </c>
      <c r="O23" s="477"/>
      <c r="P23" s="479"/>
      <c r="Q23" s="341" t="str">
        <f t="shared" si="1"/>
        <v/>
      </c>
      <c r="R23" s="477"/>
      <c r="S23" s="478"/>
      <c r="T23" s="479"/>
      <c r="U23" s="341" t="str">
        <f t="shared" si="2"/>
        <v/>
      </c>
      <c r="V23" s="342" t="str">
        <f t="shared" si="3"/>
        <v/>
      </c>
      <c r="W23" s="358">
        <f t="shared" si="4"/>
        <v>0</v>
      </c>
      <c r="X23" s="358">
        <f t="shared" si="5"/>
        <v>0</v>
      </c>
      <c r="Y23" s="358">
        <f t="shared" si="6"/>
        <v>0</v>
      </c>
      <c r="Z23" s="358">
        <f t="shared" si="7"/>
        <v>0</v>
      </c>
      <c r="AA23" s="358">
        <f t="shared" si="8"/>
        <v>0</v>
      </c>
      <c r="AB23" s="336" t="str">
        <f t="shared" si="12"/>
        <v>AlterarMapeamentoMedia(+) - 16 a 49 campos - 31 a 49 campos</v>
      </c>
      <c r="AC23" s="305" t="s">
        <v>356</v>
      </c>
      <c r="AD23" s="305" t="s">
        <v>362</v>
      </c>
      <c r="AE23" s="305" t="s">
        <v>371</v>
      </c>
      <c r="AF23" s="305" t="s">
        <v>400</v>
      </c>
      <c r="AG23" s="305">
        <v>8</v>
      </c>
      <c r="AH23" s="305">
        <v>2</v>
      </c>
      <c r="AI23" s="305">
        <v>86</v>
      </c>
      <c r="AJ23" s="305">
        <v>4</v>
      </c>
      <c r="AK23" s="305">
        <f t="shared" si="10"/>
        <v>98</v>
      </c>
      <c r="AL23" s="306">
        <f t="shared" si="11"/>
        <v>92</v>
      </c>
    </row>
    <row r="24" spans="2:38" s="266" customFormat="1" x14ac:dyDescent="0.2">
      <c r="B24" s="361"/>
      <c r="C24" s="329"/>
      <c r="D24" s="330"/>
      <c r="E24" s="330"/>
      <c r="F24" s="330"/>
      <c r="G24" s="330"/>
      <c r="H24" s="330"/>
      <c r="I24" s="330"/>
      <c r="J24" s="304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4">
        <f>IFERROR(IF('Enriquecimento - SOA com ETX'!$E24="",0,INDEX(Pesos_IFPUG,MATCH('Enriquecimento - SOA com ETX'!$E24,Pesos_IFPUG_Objetos,0),MATCH('Enriquecimento - SOA com ETX'!$J24,Pesos_IFPUG_Complexidade,0))),"")</f>
        <v>0</v>
      </c>
      <c r="L24" s="477"/>
      <c r="M24" s="479"/>
      <c r="N24" s="341" t="str">
        <f t="shared" si="0"/>
        <v/>
      </c>
      <c r="O24" s="477"/>
      <c r="P24" s="479"/>
      <c r="Q24" s="341" t="str">
        <f t="shared" si="1"/>
        <v/>
      </c>
      <c r="R24" s="477"/>
      <c r="S24" s="478"/>
      <c r="T24" s="479"/>
      <c r="U24" s="341" t="str">
        <f t="shared" si="2"/>
        <v/>
      </c>
      <c r="V24" s="342" t="str">
        <f t="shared" si="3"/>
        <v/>
      </c>
      <c r="W24" s="358">
        <f t="shared" si="4"/>
        <v>0</v>
      </c>
      <c r="X24" s="358">
        <f t="shared" si="5"/>
        <v>0</v>
      </c>
      <c r="Y24" s="358">
        <f t="shared" si="6"/>
        <v>0</v>
      </c>
      <c r="Z24" s="358">
        <f t="shared" si="7"/>
        <v>0</v>
      </c>
      <c r="AA24" s="358">
        <f t="shared" si="8"/>
        <v>0</v>
      </c>
      <c r="AB24" s="336" t="str">
        <f t="shared" si="12"/>
        <v>AlterarMapeamentoComplexa(-) - Acima de 50 campos - 1 a 30 campos</v>
      </c>
      <c r="AC24" s="305" t="s">
        <v>356</v>
      </c>
      <c r="AD24" s="305" t="s">
        <v>364</v>
      </c>
      <c r="AE24" s="305" t="s">
        <v>367</v>
      </c>
      <c r="AF24" s="305" t="s">
        <v>401</v>
      </c>
      <c r="AG24" s="305">
        <v>6</v>
      </c>
      <c r="AH24" s="305">
        <v>2</v>
      </c>
      <c r="AI24" s="305">
        <v>78</v>
      </c>
      <c r="AJ24" s="305">
        <v>4</v>
      </c>
      <c r="AK24" s="305">
        <f t="shared" si="10"/>
        <v>88</v>
      </c>
      <c r="AL24" s="306">
        <f t="shared" si="11"/>
        <v>84</v>
      </c>
    </row>
    <row r="25" spans="2:38" s="266" customFormat="1" x14ac:dyDescent="0.2">
      <c r="B25" s="361"/>
      <c r="C25" s="329"/>
      <c r="D25" s="330"/>
      <c r="E25" s="330"/>
      <c r="F25" s="330"/>
      <c r="G25" s="330"/>
      <c r="H25" s="330"/>
      <c r="I25" s="330"/>
      <c r="J25" s="304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4">
        <f>IFERROR(IF('Enriquecimento - SOA com ETX'!$E25="",0,INDEX(Pesos_IFPUG,MATCH('Enriquecimento - SOA com ETX'!$E25,Pesos_IFPUG_Objetos,0),MATCH('Enriquecimento - SOA com ETX'!$J25,Pesos_IFPUG_Complexidade,0))),"")</f>
        <v>0</v>
      </c>
      <c r="L25" s="477"/>
      <c r="M25" s="479"/>
      <c r="N25" s="341" t="str">
        <f t="shared" si="0"/>
        <v/>
      </c>
      <c r="O25" s="477"/>
      <c r="P25" s="479"/>
      <c r="Q25" s="341" t="str">
        <f t="shared" si="1"/>
        <v/>
      </c>
      <c r="R25" s="477"/>
      <c r="S25" s="478"/>
      <c r="T25" s="479"/>
      <c r="U25" s="341" t="str">
        <f t="shared" si="2"/>
        <v/>
      </c>
      <c r="V25" s="342" t="str">
        <f t="shared" si="3"/>
        <v/>
      </c>
      <c r="W25" s="358">
        <f t="shared" si="4"/>
        <v>0</v>
      </c>
      <c r="X25" s="358">
        <f t="shared" si="5"/>
        <v>0</v>
      </c>
      <c r="Y25" s="358">
        <f t="shared" si="6"/>
        <v>0</v>
      </c>
      <c r="Z25" s="358">
        <f t="shared" si="7"/>
        <v>0</v>
      </c>
      <c r="AA25" s="358">
        <f t="shared" si="8"/>
        <v>0</v>
      </c>
      <c r="AB25" s="336" t="str">
        <f t="shared" si="12"/>
        <v>AlterarMapeamentoComplexa - Acima de 50 campos - 31 a 50 campos</v>
      </c>
      <c r="AC25" s="305" t="s">
        <v>356</v>
      </c>
      <c r="AD25" s="305" t="s">
        <v>364</v>
      </c>
      <c r="AE25" s="305" t="s">
        <v>372</v>
      </c>
      <c r="AF25" s="305" t="s">
        <v>359</v>
      </c>
      <c r="AG25" s="305">
        <v>8</v>
      </c>
      <c r="AH25" s="305">
        <v>2</v>
      </c>
      <c r="AI25" s="305">
        <v>86</v>
      </c>
      <c r="AJ25" s="305">
        <v>4</v>
      </c>
      <c r="AK25" s="305">
        <f t="shared" si="10"/>
        <v>98</v>
      </c>
      <c r="AL25" s="306">
        <f t="shared" si="11"/>
        <v>92</v>
      </c>
    </row>
    <row r="26" spans="2:38" s="266" customFormat="1" x14ac:dyDescent="0.2">
      <c r="B26" s="361"/>
      <c r="C26" s="329"/>
      <c r="D26" s="330"/>
      <c r="E26" s="330"/>
      <c r="F26" s="330"/>
      <c r="G26" s="330"/>
      <c r="H26" s="330"/>
      <c r="I26" s="330"/>
      <c r="J26" s="304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4">
        <f>IFERROR(IF('Enriquecimento - SOA com ETX'!$E26="",0,INDEX(Pesos_IFPUG,MATCH('Enriquecimento - SOA com ETX'!$E26,Pesos_IFPUG_Objetos,0),MATCH('Enriquecimento - SOA com ETX'!$J26,Pesos_IFPUG_Complexidade,0))),"")</f>
        <v>0</v>
      </c>
      <c r="L26" s="477"/>
      <c r="M26" s="479"/>
      <c r="N26" s="341" t="str">
        <f t="shared" si="0"/>
        <v/>
      </c>
      <c r="O26" s="477"/>
      <c r="P26" s="479"/>
      <c r="Q26" s="341" t="str">
        <f t="shared" si="1"/>
        <v/>
      </c>
      <c r="R26" s="477"/>
      <c r="S26" s="478"/>
      <c r="T26" s="479"/>
      <c r="U26" s="341" t="str">
        <f t="shared" si="2"/>
        <v/>
      </c>
      <c r="V26" s="342" t="str">
        <f t="shared" si="3"/>
        <v/>
      </c>
      <c r="W26" s="358">
        <f t="shared" si="4"/>
        <v>0</v>
      </c>
      <c r="X26" s="358">
        <f t="shared" si="5"/>
        <v>0</v>
      </c>
      <c r="Y26" s="358">
        <f t="shared" si="6"/>
        <v>0</v>
      </c>
      <c r="Z26" s="358">
        <f t="shared" si="7"/>
        <v>0</v>
      </c>
      <c r="AA26" s="358">
        <f t="shared" si="8"/>
        <v>0</v>
      </c>
      <c r="AB26" s="336" t="str">
        <f t="shared" si="12"/>
        <v>AlterarMapeamentoComplexa(+) - Acima de 50 campos - Acima de 50</v>
      </c>
      <c r="AC26" s="305" t="s">
        <v>356</v>
      </c>
      <c r="AD26" s="305" t="s">
        <v>364</v>
      </c>
      <c r="AE26" s="305" t="s">
        <v>374</v>
      </c>
      <c r="AF26" s="305" t="s">
        <v>402</v>
      </c>
      <c r="AG26" s="305">
        <v>14</v>
      </c>
      <c r="AH26" s="305">
        <v>2</v>
      </c>
      <c r="AI26" s="305">
        <v>96</v>
      </c>
      <c r="AJ26" s="305">
        <v>8</v>
      </c>
      <c r="AK26" s="305">
        <f t="shared" si="10"/>
        <v>118</v>
      </c>
      <c r="AL26" s="306">
        <f t="shared" si="11"/>
        <v>106</v>
      </c>
    </row>
    <row r="27" spans="2:38" s="266" customFormat="1" x14ac:dyDescent="0.2">
      <c r="B27" s="361"/>
      <c r="C27" s="329"/>
      <c r="D27" s="330"/>
      <c r="E27" s="330"/>
      <c r="F27" s="330"/>
      <c r="G27" s="330"/>
      <c r="H27" s="330"/>
      <c r="I27" s="330"/>
      <c r="J27" s="304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4">
        <f>IFERROR(IF('Enriquecimento - SOA com ETX'!$E27="",0,INDEX(Pesos_IFPUG,MATCH('Enriquecimento - SOA com ETX'!$E27,Pesos_IFPUG_Objetos,0),MATCH('Enriquecimento - SOA com ETX'!$J27,Pesos_IFPUG_Complexidade,0))),"")</f>
        <v>0</v>
      </c>
      <c r="L27" s="477"/>
      <c r="M27" s="479"/>
      <c r="N27" s="341" t="str">
        <f t="shared" si="0"/>
        <v/>
      </c>
      <c r="O27" s="477"/>
      <c r="P27" s="479"/>
      <c r="Q27" s="341" t="str">
        <f t="shared" si="1"/>
        <v/>
      </c>
      <c r="R27" s="477"/>
      <c r="S27" s="478"/>
      <c r="T27" s="479"/>
      <c r="U27" s="341" t="str">
        <f t="shared" si="2"/>
        <v/>
      </c>
      <c r="V27" s="342" t="str">
        <f t="shared" si="3"/>
        <v/>
      </c>
      <c r="W27" s="358">
        <f t="shared" si="4"/>
        <v>0</v>
      </c>
      <c r="X27" s="358">
        <f t="shared" si="5"/>
        <v>0</v>
      </c>
      <c r="Y27" s="358">
        <f t="shared" si="6"/>
        <v>0</v>
      </c>
      <c r="Z27" s="358">
        <f t="shared" si="7"/>
        <v>0</v>
      </c>
      <c r="AA27" s="358">
        <f t="shared" si="8"/>
        <v>0</v>
      </c>
      <c r="AB27" s="336"/>
      <c r="AC27" s="310"/>
      <c r="AD27" s="310"/>
      <c r="AE27" s="310"/>
      <c r="AF27" s="310"/>
      <c r="AG27" s="310"/>
      <c r="AH27" s="310"/>
      <c r="AI27" s="310"/>
      <c r="AJ27" s="310"/>
      <c r="AK27" s="310"/>
      <c r="AL27" s="311"/>
    </row>
    <row r="28" spans="2:38" s="266" customFormat="1" x14ac:dyDescent="0.2">
      <c r="B28" s="361"/>
      <c r="C28" s="329"/>
      <c r="D28" s="330"/>
      <c r="E28" s="330"/>
      <c r="F28" s="330"/>
      <c r="G28" s="330"/>
      <c r="H28" s="330"/>
      <c r="I28" s="330"/>
      <c r="J28" s="304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4">
        <f>IFERROR(IF('Enriquecimento - SOA com ETX'!$E28="",0,INDEX(Pesos_IFPUG,MATCH('Enriquecimento - SOA com ETX'!$E28,Pesos_IFPUG_Objetos,0),MATCH('Enriquecimento - SOA com ETX'!$J28,Pesos_IFPUG_Complexidade,0))),"")</f>
        <v>0</v>
      </c>
      <c r="L28" s="477"/>
      <c r="M28" s="479"/>
      <c r="N28" s="341" t="str">
        <f t="shared" si="0"/>
        <v/>
      </c>
      <c r="O28" s="477"/>
      <c r="P28" s="479"/>
      <c r="Q28" s="341" t="str">
        <f t="shared" si="1"/>
        <v/>
      </c>
      <c r="R28" s="477"/>
      <c r="S28" s="478"/>
      <c r="T28" s="479"/>
      <c r="U28" s="341" t="str">
        <f t="shared" si="2"/>
        <v/>
      </c>
      <c r="V28" s="342" t="str">
        <f t="shared" si="3"/>
        <v/>
      </c>
      <c r="W28" s="358">
        <f t="shared" si="4"/>
        <v>0</v>
      </c>
      <c r="X28" s="358">
        <f t="shared" si="5"/>
        <v>0</v>
      </c>
      <c r="Y28" s="358">
        <f t="shared" si="6"/>
        <v>0</v>
      </c>
      <c r="Z28" s="358">
        <f t="shared" si="7"/>
        <v>0</v>
      </c>
      <c r="AA28" s="358">
        <f t="shared" si="8"/>
        <v>0</v>
      </c>
      <c r="AB28" s="336"/>
      <c r="AC28" s="310"/>
      <c r="AD28" s="310"/>
      <c r="AE28" s="310"/>
      <c r="AF28" s="310"/>
      <c r="AG28" s="310"/>
      <c r="AH28" s="310"/>
      <c r="AI28" s="310"/>
      <c r="AJ28" s="310"/>
      <c r="AK28" s="310"/>
      <c r="AL28" s="311"/>
    </row>
    <row r="29" spans="2:38" s="266" customFormat="1" x14ac:dyDescent="0.2">
      <c r="B29" s="361"/>
      <c r="C29" s="329"/>
      <c r="D29" s="330"/>
      <c r="E29" s="330"/>
      <c r="F29" s="330"/>
      <c r="G29" s="330"/>
      <c r="H29" s="330"/>
      <c r="I29" s="330"/>
      <c r="J29" s="304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4">
        <f>IFERROR(IF('Enriquecimento - SOA com ETX'!$E29="",0,INDEX(Pesos_IFPUG,MATCH('Enriquecimento - SOA com ETX'!$E29,Pesos_IFPUG_Objetos,0),MATCH('Enriquecimento - SOA com ETX'!$J29,Pesos_IFPUG_Complexidade,0))),"")</f>
        <v>0</v>
      </c>
      <c r="L29" s="477"/>
      <c r="M29" s="479"/>
      <c r="N29" s="341" t="str">
        <f t="shared" si="0"/>
        <v/>
      </c>
      <c r="O29" s="477"/>
      <c r="P29" s="479"/>
      <c r="Q29" s="341" t="str">
        <f t="shared" si="1"/>
        <v/>
      </c>
      <c r="R29" s="477"/>
      <c r="S29" s="478"/>
      <c r="T29" s="479"/>
      <c r="U29" s="341" t="str">
        <f t="shared" si="2"/>
        <v/>
      </c>
      <c r="V29" s="342" t="str">
        <f t="shared" si="3"/>
        <v/>
      </c>
      <c r="W29" s="358">
        <f t="shared" si="4"/>
        <v>0</v>
      </c>
      <c r="X29" s="358">
        <f t="shared" si="5"/>
        <v>0</v>
      </c>
      <c r="Y29" s="358">
        <f t="shared" si="6"/>
        <v>0</v>
      </c>
      <c r="Z29" s="358">
        <f t="shared" si="7"/>
        <v>0</v>
      </c>
      <c r="AA29" s="358">
        <f t="shared" si="8"/>
        <v>0</v>
      </c>
      <c r="AB29" s="324"/>
      <c r="AC29" s="310"/>
      <c r="AD29" s="310"/>
      <c r="AE29" s="310"/>
      <c r="AF29" s="310"/>
      <c r="AG29" s="310"/>
      <c r="AH29" s="310"/>
      <c r="AI29" s="310"/>
      <c r="AJ29" s="310"/>
      <c r="AK29" s="310"/>
      <c r="AL29" s="311"/>
    </row>
    <row r="30" spans="2:38" s="266" customFormat="1" x14ac:dyDescent="0.2">
      <c r="B30" s="361"/>
      <c r="C30" s="329"/>
      <c r="D30" s="330"/>
      <c r="E30" s="330"/>
      <c r="F30" s="330"/>
      <c r="G30" s="330"/>
      <c r="H30" s="330"/>
      <c r="I30" s="330"/>
      <c r="J30" s="304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4">
        <f>IFERROR(IF('Enriquecimento - SOA com ETX'!$E30="",0,INDEX(Pesos_IFPUG,MATCH('Enriquecimento - SOA com ETX'!$E30,Pesos_IFPUG_Objetos,0),MATCH('Enriquecimento - SOA com ETX'!$J30,Pesos_IFPUG_Complexidade,0))),"")</f>
        <v>0</v>
      </c>
      <c r="L30" s="477"/>
      <c r="M30" s="479"/>
      <c r="N30" s="341" t="str">
        <f t="shared" si="0"/>
        <v/>
      </c>
      <c r="O30" s="477"/>
      <c r="P30" s="479"/>
      <c r="Q30" s="341" t="str">
        <f t="shared" si="1"/>
        <v/>
      </c>
      <c r="R30" s="477"/>
      <c r="S30" s="478"/>
      <c r="T30" s="479"/>
      <c r="U30" s="341" t="str">
        <f t="shared" si="2"/>
        <v/>
      </c>
      <c r="V30" s="342" t="str">
        <f t="shared" si="3"/>
        <v/>
      </c>
      <c r="W30" s="358">
        <f t="shared" si="4"/>
        <v>0</v>
      </c>
      <c r="X30" s="358">
        <f t="shared" si="5"/>
        <v>0</v>
      </c>
      <c r="Y30" s="358">
        <f t="shared" si="6"/>
        <v>0</v>
      </c>
      <c r="Z30" s="358">
        <f t="shared" si="7"/>
        <v>0</v>
      </c>
      <c r="AA30" s="358">
        <f t="shared" si="8"/>
        <v>0</v>
      </c>
      <c r="AB30" s="336"/>
      <c r="AC30" s="310"/>
      <c r="AD30" s="310"/>
      <c r="AE30" s="310"/>
      <c r="AF30" s="310"/>
      <c r="AG30" s="310"/>
      <c r="AH30" s="310"/>
      <c r="AI30" s="310"/>
      <c r="AJ30" s="310"/>
      <c r="AK30" s="310"/>
      <c r="AL30" s="311"/>
    </row>
    <row r="31" spans="2:38" x14ac:dyDescent="0.2">
      <c r="B31" s="361"/>
      <c r="C31" s="329"/>
      <c r="D31" s="330"/>
      <c r="E31" s="330"/>
      <c r="F31" s="330"/>
      <c r="G31" s="330"/>
      <c r="H31" s="330"/>
      <c r="I31" s="330"/>
      <c r="J31" s="304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4">
        <f>IFERROR(IF('Enriquecimento - SOA com ETX'!$E31="",0,INDEX(Pesos_IFPUG,MATCH('Enriquecimento - SOA com ETX'!$E31,Pesos_IFPUG_Objetos,0),MATCH('Enriquecimento - SOA com ETX'!$J31,Pesos_IFPUG_Complexidade,0))),"")</f>
        <v>0</v>
      </c>
      <c r="L31" s="477"/>
      <c r="M31" s="479"/>
      <c r="N31" s="341" t="str">
        <f t="shared" si="0"/>
        <v/>
      </c>
      <c r="O31" s="477"/>
      <c r="P31" s="479"/>
      <c r="Q31" s="341" t="str">
        <f t="shared" si="1"/>
        <v/>
      </c>
      <c r="R31" s="477"/>
      <c r="S31" s="478"/>
      <c r="T31" s="479"/>
      <c r="U31" s="341" t="str">
        <f t="shared" si="2"/>
        <v/>
      </c>
      <c r="V31" s="342" t="str">
        <f t="shared" si="3"/>
        <v/>
      </c>
      <c r="W31" s="358">
        <f t="shared" si="4"/>
        <v>0</v>
      </c>
      <c r="X31" s="358">
        <f t="shared" si="5"/>
        <v>0</v>
      </c>
      <c r="Y31" s="358">
        <f t="shared" si="6"/>
        <v>0</v>
      </c>
      <c r="Z31" s="358">
        <f t="shared" si="7"/>
        <v>0</v>
      </c>
      <c r="AA31" s="358">
        <f t="shared" si="8"/>
        <v>0</v>
      </c>
      <c r="AB31" s="324"/>
      <c r="AC31" s="317" t="s">
        <v>387</v>
      </c>
      <c r="AD31" s="317" t="s">
        <v>4</v>
      </c>
      <c r="AE31" s="317" t="s">
        <v>353</v>
      </c>
      <c r="AF31" s="317" t="s">
        <v>388</v>
      </c>
      <c r="AG31" s="310"/>
      <c r="AH31" s="310"/>
      <c r="AI31" s="310"/>
      <c r="AJ31" s="310"/>
      <c r="AK31" s="310"/>
      <c r="AL31" s="311"/>
    </row>
    <row r="32" spans="2:38" x14ac:dyDescent="0.2">
      <c r="B32" s="361"/>
      <c r="C32" s="329"/>
      <c r="D32" s="330"/>
      <c r="E32" s="330"/>
      <c r="F32" s="330"/>
      <c r="G32" s="330"/>
      <c r="H32" s="330"/>
      <c r="I32" s="330"/>
      <c r="J32" s="304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4">
        <f>IFERROR(IF('Enriquecimento - SOA com ETX'!$E32="",0,INDEX(Pesos_IFPUG,MATCH('Enriquecimento - SOA com ETX'!$E32,Pesos_IFPUG_Objetos,0),MATCH('Enriquecimento - SOA com ETX'!$J32,Pesos_IFPUG_Complexidade,0))),"")</f>
        <v>0</v>
      </c>
      <c r="L32" s="477"/>
      <c r="M32" s="479"/>
      <c r="N32" s="341" t="str">
        <f t="shared" si="0"/>
        <v/>
      </c>
      <c r="O32" s="477"/>
      <c r="P32" s="479"/>
      <c r="Q32" s="341" t="str">
        <f t="shared" si="1"/>
        <v/>
      </c>
      <c r="R32" s="477"/>
      <c r="S32" s="478"/>
      <c r="T32" s="479"/>
      <c r="U32" s="341" t="str">
        <f t="shared" si="2"/>
        <v/>
      </c>
      <c r="V32" s="342" t="str">
        <f t="shared" si="3"/>
        <v/>
      </c>
      <c r="W32" s="358">
        <f t="shared" si="4"/>
        <v>0</v>
      </c>
      <c r="X32" s="358">
        <f t="shared" si="5"/>
        <v>0</v>
      </c>
      <c r="Y32" s="358">
        <f t="shared" si="6"/>
        <v>0</v>
      </c>
      <c r="Z32" s="358">
        <f t="shared" si="7"/>
        <v>0</v>
      </c>
      <c r="AA32" s="358">
        <f t="shared" si="8"/>
        <v>0</v>
      </c>
      <c r="AB32" s="336" t="s">
        <v>396</v>
      </c>
      <c r="AC32" s="316" t="str">
        <f>AD32&amp;" - "&amp;AE32</f>
        <v>Simples - 1 a 19 campos</v>
      </c>
      <c r="AD32" s="316" t="s">
        <v>358</v>
      </c>
      <c r="AE32" s="316" t="s">
        <v>361</v>
      </c>
      <c r="AF32" s="28" t="s">
        <v>96</v>
      </c>
      <c r="AG32" s="310"/>
      <c r="AH32" s="310"/>
      <c r="AI32" s="310"/>
      <c r="AJ32" s="310"/>
      <c r="AK32" s="310"/>
      <c r="AL32" s="311"/>
    </row>
    <row r="33" spans="2:38" x14ac:dyDescent="0.2">
      <c r="B33" s="361"/>
      <c r="C33" s="329"/>
      <c r="D33" s="330"/>
      <c r="E33" s="330"/>
      <c r="F33" s="330"/>
      <c r="G33" s="330"/>
      <c r="H33" s="330"/>
      <c r="I33" s="330"/>
      <c r="J33" s="304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4">
        <f>IFERROR(IF('Enriquecimento - SOA com ETX'!$E33="",0,INDEX(Pesos_IFPUG,MATCH('Enriquecimento - SOA com ETX'!$E33,Pesos_IFPUG_Objetos,0),MATCH('Enriquecimento - SOA com ETX'!$J33,Pesos_IFPUG_Complexidade,0))),"")</f>
        <v>0</v>
      </c>
      <c r="L33" s="477"/>
      <c r="M33" s="479"/>
      <c r="N33" s="341" t="str">
        <f t="shared" si="0"/>
        <v/>
      </c>
      <c r="O33" s="477"/>
      <c r="P33" s="479"/>
      <c r="Q33" s="341" t="str">
        <f t="shared" si="1"/>
        <v/>
      </c>
      <c r="R33" s="477"/>
      <c r="S33" s="478"/>
      <c r="T33" s="479"/>
      <c r="U33" s="341" t="str">
        <f t="shared" si="2"/>
        <v/>
      </c>
      <c r="V33" s="342" t="str">
        <f t="shared" si="3"/>
        <v/>
      </c>
      <c r="W33" s="358">
        <f t="shared" si="4"/>
        <v>0</v>
      </c>
      <c r="X33" s="358">
        <f t="shared" si="5"/>
        <v>0</v>
      </c>
      <c r="Y33" s="358">
        <f t="shared" si="6"/>
        <v>0</v>
      </c>
      <c r="Z33" s="358">
        <f t="shared" si="7"/>
        <v>0</v>
      </c>
      <c r="AA33" s="358">
        <f t="shared" si="8"/>
        <v>0</v>
      </c>
      <c r="AB33" s="324"/>
      <c r="AC33" s="316" t="str">
        <f>AD33&amp;" - "&amp;AE33</f>
        <v>Media - 20 a 49 campos</v>
      </c>
      <c r="AD33" s="316" t="s">
        <v>119</v>
      </c>
      <c r="AE33" s="316" t="s">
        <v>363</v>
      </c>
      <c r="AF33" s="28" t="s">
        <v>96</v>
      </c>
      <c r="AG33" s="310"/>
      <c r="AH33" s="310"/>
      <c r="AI33" s="310"/>
      <c r="AJ33" s="310"/>
      <c r="AK33" s="310"/>
      <c r="AL33" s="311"/>
    </row>
    <row r="34" spans="2:38" x14ac:dyDescent="0.2">
      <c r="B34" s="361"/>
      <c r="C34" s="329"/>
      <c r="D34" s="330"/>
      <c r="E34" s="330"/>
      <c r="F34" s="330"/>
      <c r="G34" s="330"/>
      <c r="H34" s="330"/>
      <c r="I34" s="330"/>
      <c r="J34" s="304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4">
        <f>IFERROR(IF('Enriquecimento - SOA com ETX'!$E34="",0,INDEX(Pesos_IFPUG,MATCH('Enriquecimento - SOA com ETX'!$E34,Pesos_IFPUG_Objetos,0),MATCH('Enriquecimento - SOA com ETX'!$J34,Pesos_IFPUG_Complexidade,0))),"")</f>
        <v>0</v>
      </c>
      <c r="L34" s="477"/>
      <c r="M34" s="479"/>
      <c r="N34" s="341" t="str">
        <f t="shared" si="0"/>
        <v/>
      </c>
      <c r="O34" s="477"/>
      <c r="P34" s="479"/>
      <c r="Q34" s="341" t="str">
        <f t="shared" si="1"/>
        <v/>
      </c>
      <c r="R34" s="477"/>
      <c r="S34" s="478"/>
      <c r="T34" s="479"/>
      <c r="U34" s="341" t="str">
        <f t="shared" si="2"/>
        <v/>
      </c>
      <c r="V34" s="342" t="str">
        <f t="shared" si="3"/>
        <v/>
      </c>
      <c r="W34" s="358">
        <f t="shared" si="4"/>
        <v>0</v>
      </c>
      <c r="X34" s="358">
        <f t="shared" si="5"/>
        <v>0</v>
      </c>
      <c r="Y34" s="358">
        <f t="shared" si="6"/>
        <v>0</v>
      </c>
      <c r="Z34" s="358">
        <f t="shared" si="7"/>
        <v>0</v>
      </c>
      <c r="AA34" s="358">
        <f t="shared" si="8"/>
        <v>0</v>
      </c>
      <c r="AB34" s="336"/>
      <c r="AC34" s="316" t="str">
        <f>AD34&amp;" - "&amp;AE34</f>
        <v>Complexa - Acima de 50 campos</v>
      </c>
      <c r="AD34" s="316" t="s">
        <v>359</v>
      </c>
      <c r="AE34" s="316" t="s">
        <v>364</v>
      </c>
      <c r="AF34" s="28" t="s">
        <v>96</v>
      </c>
      <c r="AG34" s="310"/>
      <c r="AH34" s="310"/>
      <c r="AI34" s="310"/>
      <c r="AJ34" s="310"/>
      <c r="AK34" s="310"/>
      <c r="AL34" s="311"/>
    </row>
    <row r="35" spans="2:38" x14ac:dyDescent="0.2">
      <c r="B35" s="361"/>
      <c r="C35" s="329"/>
      <c r="D35" s="330"/>
      <c r="E35" s="330"/>
      <c r="F35" s="330"/>
      <c r="G35" s="330"/>
      <c r="H35" s="330"/>
      <c r="I35" s="330"/>
      <c r="J35" s="304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4">
        <f>IFERROR(IF('Enriquecimento - SOA com ETX'!$E35="",0,INDEX(Pesos_IFPUG,MATCH('Enriquecimento - SOA com ETX'!$E35,Pesos_IFPUG_Objetos,0),MATCH('Enriquecimento - SOA com ETX'!$J35,Pesos_IFPUG_Complexidade,0))),"")</f>
        <v>0</v>
      </c>
      <c r="L35" s="477"/>
      <c r="M35" s="479"/>
      <c r="N35" s="341" t="str">
        <f t="shared" si="0"/>
        <v/>
      </c>
      <c r="O35" s="477"/>
      <c r="P35" s="479"/>
      <c r="Q35" s="341" t="str">
        <f t="shared" si="1"/>
        <v/>
      </c>
      <c r="R35" s="477"/>
      <c r="S35" s="478"/>
      <c r="T35" s="479"/>
      <c r="U35" s="341" t="str">
        <f t="shared" si="2"/>
        <v/>
      </c>
      <c r="V35" s="342" t="str">
        <f t="shared" si="3"/>
        <v/>
      </c>
      <c r="W35" s="358">
        <f t="shared" si="4"/>
        <v>0</v>
      </c>
      <c r="X35" s="358">
        <f t="shared" si="5"/>
        <v>0</v>
      </c>
      <c r="Y35" s="358">
        <f t="shared" si="6"/>
        <v>0</v>
      </c>
      <c r="Z35" s="358">
        <f t="shared" si="7"/>
        <v>0</v>
      </c>
      <c r="AA35" s="358">
        <f t="shared" si="8"/>
        <v>0</v>
      </c>
      <c r="AB35" s="324"/>
      <c r="AC35" s="310"/>
      <c r="AD35" s="310"/>
      <c r="AE35" s="310"/>
      <c r="AF35" s="310"/>
      <c r="AG35" s="310"/>
      <c r="AH35" s="310"/>
      <c r="AI35" s="310"/>
      <c r="AJ35" s="310"/>
      <c r="AK35" s="310"/>
      <c r="AL35" s="311"/>
    </row>
    <row r="36" spans="2:38" x14ac:dyDescent="0.2">
      <c r="B36" s="361"/>
      <c r="C36" s="329"/>
      <c r="D36" s="330"/>
      <c r="E36" s="330"/>
      <c r="F36" s="330"/>
      <c r="G36" s="330"/>
      <c r="H36" s="330"/>
      <c r="I36" s="330"/>
      <c r="J36" s="304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4">
        <f>IFERROR(IF('Enriquecimento - SOA com ETX'!$E36="",0,INDEX(Pesos_IFPUG,MATCH('Enriquecimento - SOA com ETX'!$E36,Pesos_IFPUG_Objetos,0),MATCH('Enriquecimento - SOA com ETX'!$J36,Pesos_IFPUG_Complexidade,0))),"")</f>
        <v>0</v>
      </c>
      <c r="L36" s="477"/>
      <c r="M36" s="479"/>
      <c r="N36" s="341" t="str">
        <f t="shared" si="0"/>
        <v/>
      </c>
      <c r="O36" s="477"/>
      <c r="P36" s="479"/>
      <c r="Q36" s="341" t="str">
        <f t="shared" si="1"/>
        <v/>
      </c>
      <c r="R36" s="477"/>
      <c r="S36" s="478"/>
      <c r="T36" s="479"/>
      <c r="U36" s="341" t="str">
        <f t="shared" si="2"/>
        <v/>
      </c>
      <c r="V36" s="342" t="str">
        <f t="shared" si="3"/>
        <v/>
      </c>
      <c r="W36" s="358">
        <f t="shared" si="4"/>
        <v>0</v>
      </c>
      <c r="X36" s="358">
        <f t="shared" si="5"/>
        <v>0</v>
      </c>
      <c r="Y36" s="358">
        <f t="shared" si="6"/>
        <v>0</v>
      </c>
      <c r="Z36" s="358">
        <f t="shared" si="7"/>
        <v>0</v>
      </c>
      <c r="AA36" s="358">
        <f t="shared" si="8"/>
        <v>0</v>
      </c>
      <c r="AB36" s="336"/>
      <c r="AC36" s="317" t="s">
        <v>380</v>
      </c>
      <c r="AD36" s="317" t="s">
        <v>4</v>
      </c>
      <c r="AE36" s="317" t="s">
        <v>353</v>
      </c>
      <c r="AF36" s="317" t="s">
        <v>388</v>
      </c>
      <c r="AG36" s="310"/>
      <c r="AH36" s="310"/>
      <c r="AI36" s="310"/>
      <c r="AJ36" s="310"/>
      <c r="AK36" s="310"/>
      <c r="AL36" s="311"/>
    </row>
    <row r="37" spans="2:38" x14ac:dyDescent="0.2">
      <c r="B37" s="361"/>
      <c r="C37" s="329"/>
      <c r="D37" s="330"/>
      <c r="E37" s="330"/>
      <c r="F37" s="330"/>
      <c r="G37" s="330"/>
      <c r="H37" s="330"/>
      <c r="I37" s="330"/>
      <c r="J37" s="304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4">
        <f>IFERROR(IF('Enriquecimento - SOA com ETX'!$E37="",0,INDEX(Pesos_IFPUG,MATCH('Enriquecimento - SOA com ETX'!$E37,Pesos_IFPUG_Objetos,0),MATCH('Enriquecimento - SOA com ETX'!$J37,Pesos_IFPUG_Complexidade,0))),"")</f>
        <v>0</v>
      </c>
      <c r="L37" s="477"/>
      <c r="M37" s="479"/>
      <c r="N37" s="341" t="str">
        <f t="shared" ref="N37:N50" si="13">IF(L37="","",$AC$12&amp;L37)</f>
        <v/>
      </c>
      <c r="O37" s="477"/>
      <c r="P37" s="479"/>
      <c r="Q37" s="341" t="str">
        <f t="shared" ref="Q37:Q50" si="14">IF(O37="","",$AC$15&amp;O37)</f>
        <v/>
      </c>
      <c r="R37" s="477"/>
      <c r="S37" s="478"/>
      <c r="T37" s="479"/>
      <c r="U37" s="341" t="str">
        <f t="shared" si="2"/>
        <v/>
      </c>
      <c r="V37" s="342" t="str">
        <f t="shared" si="3"/>
        <v/>
      </c>
      <c r="W37" s="358">
        <f t="shared" si="4"/>
        <v>0</v>
      </c>
      <c r="X37" s="358">
        <f t="shared" si="5"/>
        <v>0</v>
      </c>
      <c r="Y37" s="358">
        <f t="shared" si="6"/>
        <v>0</v>
      </c>
      <c r="Z37" s="358">
        <f t="shared" si="7"/>
        <v>0</v>
      </c>
      <c r="AA37" s="358">
        <f t="shared" si="8"/>
        <v>0</v>
      </c>
      <c r="AB37" s="324"/>
      <c r="AC37" s="310" t="str">
        <f>AD37&amp;" - "&amp;AE37&amp;" - "&amp;AF37</f>
        <v>Simples(-) - 1 a 15 campos - 1 a 5 campos</v>
      </c>
      <c r="AD37" s="310" t="s">
        <v>397</v>
      </c>
      <c r="AE37" s="316" t="s">
        <v>360</v>
      </c>
      <c r="AF37" s="310" t="s">
        <v>368</v>
      </c>
      <c r="AG37" s="310"/>
      <c r="AH37" s="310"/>
      <c r="AI37" s="310"/>
      <c r="AJ37" s="310"/>
      <c r="AK37" s="310"/>
      <c r="AL37" s="311"/>
    </row>
    <row r="38" spans="2:38" x14ac:dyDescent="0.2">
      <c r="B38" s="361"/>
      <c r="C38" s="329"/>
      <c r="D38" s="330"/>
      <c r="E38" s="330"/>
      <c r="F38" s="330"/>
      <c r="G38" s="330"/>
      <c r="H38" s="330"/>
      <c r="I38" s="330"/>
      <c r="J38" s="304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4">
        <f>IFERROR(IF('Enriquecimento - SOA com ETX'!$E38="",0,INDEX(Pesos_IFPUG,MATCH('Enriquecimento - SOA com ETX'!$E38,Pesos_IFPUG_Objetos,0),MATCH('Enriquecimento - SOA com ETX'!$J38,Pesos_IFPUG_Complexidade,0))),"")</f>
        <v>0</v>
      </c>
      <c r="L38" s="477"/>
      <c r="M38" s="479"/>
      <c r="N38" s="341" t="str">
        <f t="shared" si="13"/>
        <v/>
      </c>
      <c r="O38" s="477"/>
      <c r="P38" s="479"/>
      <c r="Q38" s="341" t="str">
        <f t="shared" si="14"/>
        <v/>
      </c>
      <c r="R38" s="477"/>
      <c r="S38" s="478"/>
      <c r="T38" s="479"/>
      <c r="U38" s="341" t="str">
        <f t="shared" si="2"/>
        <v/>
      </c>
      <c r="V38" s="342" t="str">
        <f t="shared" si="3"/>
        <v/>
      </c>
      <c r="W38" s="358">
        <f t="shared" si="4"/>
        <v>0</v>
      </c>
      <c r="X38" s="358">
        <f t="shared" si="5"/>
        <v>0</v>
      </c>
      <c r="Y38" s="358">
        <f t="shared" si="6"/>
        <v>0</v>
      </c>
      <c r="Z38" s="358">
        <f t="shared" si="7"/>
        <v>0</v>
      </c>
      <c r="AA38" s="358">
        <f t="shared" si="8"/>
        <v>0</v>
      </c>
      <c r="AB38" s="336"/>
      <c r="AC38" s="310" t="str">
        <f t="shared" ref="AC38:AC45" si="15">AD38&amp;" - "&amp;AE38&amp;" - "&amp;AF38</f>
        <v>Simples - 1 a 15 campos - 6 a 10 campos</v>
      </c>
      <c r="AD38" s="310" t="s">
        <v>358</v>
      </c>
      <c r="AE38" s="316" t="s">
        <v>360</v>
      </c>
      <c r="AF38" s="310" t="s">
        <v>373</v>
      </c>
      <c r="AG38" s="310"/>
      <c r="AH38" s="310"/>
      <c r="AI38" s="310"/>
      <c r="AJ38" s="310"/>
      <c r="AK38" s="310"/>
      <c r="AL38" s="311"/>
    </row>
    <row r="39" spans="2:38" x14ac:dyDescent="0.2">
      <c r="B39" s="361"/>
      <c r="C39" s="329"/>
      <c r="D39" s="330"/>
      <c r="E39" s="330"/>
      <c r="F39" s="330"/>
      <c r="G39" s="330"/>
      <c r="H39" s="330"/>
      <c r="I39" s="330"/>
      <c r="J39" s="304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4">
        <f>IFERROR(IF('Enriquecimento - SOA com ETX'!$E39="",0,INDEX(Pesos_IFPUG,MATCH('Enriquecimento - SOA com ETX'!$E39,Pesos_IFPUG_Objetos,0),MATCH('Enriquecimento - SOA com ETX'!$J39,Pesos_IFPUG_Complexidade,0))),"")</f>
        <v>0</v>
      </c>
      <c r="L39" s="477"/>
      <c r="M39" s="479"/>
      <c r="N39" s="341" t="str">
        <f t="shared" si="13"/>
        <v/>
      </c>
      <c r="O39" s="477"/>
      <c r="P39" s="479"/>
      <c r="Q39" s="341" t="str">
        <f t="shared" si="14"/>
        <v/>
      </c>
      <c r="R39" s="477"/>
      <c r="S39" s="478"/>
      <c r="T39" s="479"/>
      <c r="U39" s="341" t="str">
        <f t="shared" ref="U39:U50" si="16">IF(R39="","",$AC$18&amp;R39)</f>
        <v/>
      </c>
      <c r="V39" s="342" t="str">
        <f t="shared" ref="V39:V50" si="17">N39&amp;Q39&amp;U39</f>
        <v/>
      </c>
      <c r="W39" s="358">
        <f t="shared" si="4"/>
        <v>0</v>
      </c>
      <c r="X39" s="358">
        <f t="shared" si="5"/>
        <v>0</v>
      </c>
      <c r="Y39" s="358">
        <f t="shared" si="6"/>
        <v>0</v>
      </c>
      <c r="Z39" s="358">
        <f t="shared" si="7"/>
        <v>0</v>
      </c>
      <c r="AA39" s="358">
        <f t="shared" si="8"/>
        <v>0</v>
      </c>
      <c r="AB39" s="324"/>
      <c r="AC39" s="310" t="str">
        <f t="shared" si="15"/>
        <v>Simples(+) - 1 a 15 campos - 11 a 19 campos</v>
      </c>
      <c r="AD39" s="316" t="s">
        <v>398</v>
      </c>
      <c r="AE39" s="316" t="s">
        <v>360</v>
      </c>
      <c r="AF39" s="316" t="s">
        <v>369</v>
      </c>
      <c r="AG39" s="310"/>
      <c r="AH39" s="310"/>
      <c r="AI39" s="310"/>
      <c r="AJ39" s="310"/>
      <c r="AK39" s="310"/>
      <c r="AL39" s="311"/>
    </row>
    <row r="40" spans="2:38" x14ac:dyDescent="0.2">
      <c r="B40" s="361"/>
      <c r="C40" s="329"/>
      <c r="D40" s="330"/>
      <c r="E40" s="330"/>
      <c r="F40" s="330"/>
      <c r="G40" s="330"/>
      <c r="H40" s="330"/>
      <c r="I40" s="330"/>
      <c r="J40" s="304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4">
        <f>IFERROR(IF('Enriquecimento - SOA com ETX'!$E40="",0,INDEX(Pesos_IFPUG,MATCH('Enriquecimento - SOA com ETX'!$E40,Pesos_IFPUG_Objetos,0),MATCH('Enriquecimento - SOA com ETX'!$J40,Pesos_IFPUG_Complexidade,0))),"")</f>
        <v>0</v>
      </c>
      <c r="L40" s="477"/>
      <c r="M40" s="479"/>
      <c r="N40" s="341" t="str">
        <f t="shared" si="13"/>
        <v/>
      </c>
      <c r="O40" s="477"/>
      <c r="P40" s="479"/>
      <c r="Q40" s="341" t="str">
        <f t="shared" si="14"/>
        <v/>
      </c>
      <c r="R40" s="477"/>
      <c r="S40" s="478"/>
      <c r="T40" s="479"/>
      <c r="U40" s="341" t="str">
        <f t="shared" si="16"/>
        <v/>
      </c>
      <c r="V40" s="342" t="str">
        <f t="shared" si="17"/>
        <v/>
      </c>
      <c r="W40" s="358">
        <f t="shared" si="4"/>
        <v>0</v>
      </c>
      <c r="X40" s="358">
        <f t="shared" si="5"/>
        <v>0</v>
      </c>
      <c r="Y40" s="358">
        <f t="shared" si="6"/>
        <v>0</v>
      </c>
      <c r="Z40" s="358">
        <f t="shared" si="7"/>
        <v>0</v>
      </c>
      <c r="AA40" s="358">
        <f t="shared" si="8"/>
        <v>0</v>
      </c>
      <c r="AB40" s="336"/>
      <c r="AC40" s="310" t="str">
        <f t="shared" si="15"/>
        <v>Media(-) - 16 a 49 campos - 1 a 10 campos</v>
      </c>
      <c r="AD40" s="316" t="s">
        <v>399</v>
      </c>
      <c r="AE40" s="357" t="s">
        <v>362</v>
      </c>
      <c r="AF40" s="316" t="s">
        <v>366</v>
      </c>
      <c r="AG40" s="310"/>
      <c r="AH40" s="310"/>
      <c r="AI40" s="310"/>
      <c r="AJ40" s="310"/>
      <c r="AK40" s="310"/>
      <c r="AL40" s="311"/>
    </row>
    <row r="41" spans="2:38" x14ac:dyDescent="0.2">
      <c r="B41" s="361"/>
      <c r="C41" s="329"/>
      <c r="D41" s="330"/>
      <c r="E41" s="330"/>
      <c r="F41" s="330"/>
      <c r="G41" s="330"/>
      <c r="H41" s="330"/>
      <c r="I41" s="330"/>
      <c r="J41" s="304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4">
        <f>IFERROR(IF('Enriquecimento - SOA com ETX'!$E41="",0,INDEX(Pesos_IFPUG,MATCH('Enriquecimento - SOA com ETX'!$E41,Pesos_IFPUG_Objetos,0),MATCH('Enriquecimento - SOA com ETX'!$J41,Pesos_IFPUG_Complexidade,0))),"")</f>
        <v>0</v>
      </c>
      <c r="L41" s="477"/>
      <c r="M41" s="479"/>
      <c r="N41" s="341" t="str">
        <f t="shared" si="13"/>
        <v/>
      </c>
      <c r="O41" s="477"/>
      <c r="P41" s="479"/>
      <c r="Q41" s="341" t="str">
        <f t="shared" si="14"/>
        <v/>
      </c>
      <c r="R41" s="477"/>
      <c r="S41" s="478"/>
      <c r="T41" s="479"/>
      <c r="U41" s="341" t="str">
        <f t="shared" si="16"/>
        <v/>
      </c>
      <c r="V41" s="342" t="str">
        <f t="shared" si="17"/>
        <v/>
      </c>
      <c r="W41" s="358">
        <f t="shared" si="4"/>
        <v>0</v>
      </c>
      <c r="X41" s="358">
        <f t="shared" si="5"/>
        <v>0</v>
      </c>
      <c r="Y41" s="358">
        <f t="shared" si="6"/>
        <v>0</v>
      </c>
      <c r="Z41" s="358">
        <f t="shared" si="7"/>
        <v>0</v>
      </c>
      <c r="AA41" s="358">
        <f t="shared" si="8"/>
        <v>0</v>
      </c>
      <c r="AB41" s="324"/>
      <c r="AC41" s="310" t="str">
        <f t="shared" si="15"/>
        <v>Media - 16 a 49 campos - 11 a 30 campos</v>
      </c>
      <c r="AD41" s="316" t="s">
        <v>119</v>
      </c>
      <c r="AE41" s="316" t="s">
        <v>362</v>
      </c>
      <c r="AF41" s="316" t="s">
        <v>370</v>
      </c>
      <c r="AG41" s="310"/>
      <c r="AH41" s="310"/>
      <c r="AI41" s="310"/>
      <c r="AJ41" s="310"/>
      <c r="AK41" s="310"/>
      <c r="AL41" s="311"/>
    </row>
    <row r="42" spans="2:38" x14ac:dyDescent="0.2">
      <c r="B42" s="361"/>
      <c r="C42" s="329"/>
      <c r="D42" s="330"/>
      <c r="E42" s="330"/>
      <c r="F42" s="330"/>
      <c r="G42" s="330"/>
      <c r="H42" s="330"/>
      <c r="I42" s="330"/>
      <c r="J42" s="304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4">
        <f>IFERROR(IF('Enriquecimento - SOA com ETX'!$E42="",0,INDEX(Pesos_IFPUG,MATCH('Enriquecimento - SOA com ETX'!$E42,Pesos_IFPUG_Objetos,0),MATCH('Enriquecimento - SOA com ETX'!$J42,Pesos_IFPUG_Complexidade,0))),"")</f>
        <v>0</v>
      </c>
      <c r="L42" s="477"/>
      <c r="M42" s="479"/>
      <c r="N42" s="341" t="str">
        <f t="shared" si="13"/>
        <v/>
      </c>
      <c r="O42" s="477"/>
      <c r="P42" s="479"/>
      <c r="Q42" s="341" t="str">
        <f t="shared" si="14"/>
        <v/>
      </c>
      <c r="R42" s="477"/>
      <c r="S42" s="478"/>
      <c r="T42" s="479"/>
      <c r="U42" s="341" t="str">
        <f t="shared" si="16"/>
        <v/>
      </c>
      <c r="V42" s="342" t="str">
        <f t="shared" si="17"/>
        <v/>
      </c>
      <c r="W42" s="358">
        <f t="shared" si="4"/>
        <v>0</v>
      </c>
      <c r="X42" s="358">
        <f t="shared" si="5"/>
        <v>0</v>
      </c>
      <c r="Y42" s="358">
        <f t="shared" si="6"/>
        <v>0</v>
      </c>
      <c r="Z42" s="358">
        <f t="shared" si="7"/>
        <v>0</v>
      </c>
      <c r="AA42" s="358">
        <f t="shared" si="8"/>
        <v>0</v>
      </c>
      <c r="AB42" s="336"/>
      <c r="AC42" s="310" t="str">
        <f t="shared" si="15"/>
        <v>Media(+) - 16 a 49 campos - 31 a 49 campos</v>
      </c>
      <c r="AD42" s="316" t="s">
        <v>400</v>
      </c>
      <c r="AE42" s="316" t="s">
        <v>362</v>
      </c>
      <c r="AF42" s="316" t="s">
        <v>371</v>
      </c>
      <c r="AG42" s="310"/>
      <c r="AH42" s="310"/>
      <c r="AI42" s="310"/>
      <c r="AJ42" s="310"/>
      <c r="AK42" s="310"/>
      <c r="AL42" s="311"/>
    </row>
    <row r="43" spans="2:38" x14ac:dyDescent="0.2">
      <c r="B43" s="361"/>
      <c r="C43" s="329"/>
      <c r="D43" s="330"/>
      <c r="E43" s="330"/>
      <c r="F43" s="330"/>
      <c r="G43" s="330"/>
      <c r="H43" s="330"/>
      <c r="I43" s="330"/>
      <c r="J43" s="304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4">
        <f>IFERROR(IF('Enriquecimento - SOA com ETX'!$E43="",0,INDEX(Pesos_IFPUG,MATCH('Enriquecimento - SOA com ETX'!$E43,Pesos_IFPUG_Objetos,0),MATCH('Enriquecimento - SOA com ETX'!$J43,Pesos_IFPUG_Complexidade,0))),"")</f>
        <v>0</v>
      </c>
      <c r="L43" s="477"/>
      <c r="M43" s="479"/>
      <c r="N43" s="341" t="str">
        <f t="shared" si="13"/>
        <v/>
      </c>
      <c r="O43" s="477"/>
      <c r="P43" s="479"/>
      <c r="Q43" s="341" t="str">
        <f t="shared" si="14"/>
        <v/>
      </c>
      <c r="R43" s="477"/>
      <c r="S43" s="478"/>
      <c r="T43" s="479"/>
      <c r="U43" s="341" t="str">
        <f t="shared" si="16"/>
        <v/>
      </c>
      <c r="V43" s="342" t="str">
        <f t="shared" si="17"/>
        <v/>
      </c>
      <c r="W43" s="358">
        <f t="shared" si="4"/>
        <v>0</v>
      </c>
      <c r="X43" s="358">
        <f t="shared" si="5"/>
        <v>0</v>
      </c>
      <c r="Y43" s="358">
        <f t="shared" si="6"/>
        <v>0</v>
      </c>
      <c r="Z43" s="358">
        <f t="shared" si="7"/>
        <v>0</v>
      </c>
      <c r="AA43" s="358">
        <f t="shared" si="8"/>
        <v>0</v>
      </c>
      <c r="AB43" s="324"/>
      <c r="AC43" s="310" t="str">
        <f t="shared" si="15"/>
        <v>Complexa(-) - Acima de 50 campos - 1 a 30 campos</v>
      </c>
      <c r="AD43" s="316" t="s">
        <v>401</v>
      </c>
      <c r="AE43" s="357" t="s">
        <v>364</v>
      </c>
      <c r="AF43" s="316" t="s">
        <v>367</v>
      </c>
      <c r="AG43" s="310"/>
      <c r="AH43" s="310"/>
      <c r="AI43" s="310"/>
      <c r="AJ43" s="310"/>
      <c r="AK43" s="310"/>
      <c r="AL43" s="311"/>
    </row>
    <row r="44" spans="2:38" x14ac:dyDescent="0.2">
      <c r="B44" s="361"/>
      <c r="C44" s="329"/>
      <c r="D44" s="330"/>
      <c r="E44" s="330"/>
      <c r="F44" s="330"/>
      <c r="G44" s="330"/>
      <c r="H44" s="330"/>
      <c r="I44" s="330"/>
      <c r="J44" s="304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4">
        <f>IFERROR(IF('Enriquecimento - SOA com ETX'!$E44="",0,INDEX(Pesos_IFPUG,MATCH('Enriquecimento - SOA com ETX'!$E44,Pesos_IFPUG_Objetos,0),MATCH('Enriquecimento - SOA com ETX'!$J44,Pesos_IFPUG_Complexidade,0))),"")</f>
        <v>0</v>
      </c>
      <c r="L44" s="477"/>
      <c r="M44" s="479"/>
      <c r="N44" s="341" t="str">
        <f t="shared" si="13"/>
        <v/>
      </c>
      <c r="O44" s="477"/>
      <c r="P44" s="479"/>
      <c r="Q44" s="341" t="str">
        <f t="shared" si="14"/>
        <v/>
      </c>
      <c r="R44" s="477"/>
      <c r="S44" s="478"/>
      <c r="T44" s="479"/>
      <c r="U44" s="341" t="str">
        <f t="shared" si="16"/>
        <v/>
      </c>
      <c r="V44" s="342" t="str">
        <f t="shared" si="17"/>
        <v/>
      </c>
      <c r="W44" s="358">
        <f t="shared" si="4"/>
        <v>0</v>
      </c>
      <c r="X44" s="358">
        <f t="shared" si="5"/>
        <v>0</v>
      </c>
      <c r="Y44" s="358">
        <f t="shared" si="6"/>
        <v>0</v>
      </c>
      <c r="Z44" s="358">
        <f t="shared" si="7"/>
        <v>0</v>
      </c>
      <c r="AA44" s="358">
        <f t="shared" si="8"/>
        <v>0</v>
      </c>
      <c r="AB44" s="336"/>
      <c r="AC44" s="310" t="str">
        <f t="shared" si="15"/>
        <v>Complexa - Acima de 50 campos - 31 a 50 campos</v>
      </c>
      <c r="AD44" s="316" t="s">
        <v>359</v>
      </c>
      <c r="AE44" s="316" t="s">
        <v>364</v>
      </c>
      <c r="AF44" s="316" t="s">
        <v>372</v>
      </c>
      <c r="AG44" s="310"/>
      <c r="AH44" s="310"/>
      <c r="AI44" s="310"/>
      <c r="AJ44" s="310"/>
      <c r="AK44" s="310"/>
      <c r="AL44" s="311"/>
    </row>
    <row r="45" spans="2:38" x14ac:dyDescent="0.2">
      <c r="B45" s="361"/>
      <c r="C45" s="329"/>
      <c r="D45" s="330"/>
      <c r="E45" s="330"/>
      <c r="F45" s="330"/>
      <c r="G45" s="330"/>
      <c r="H45" s="330"/>
      <c r="I45" s="330"/>
      <c r="J45" s="304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4">
        <f>IFERROR(IF('Enriquecimento - SOA com ETX'!$E45="",0,INDEX(Pesos_IFPUG,MATCH('Enriquecimento - SOA com ETX'!$E45,Pesos_IFPUG_Objetos,0),MATCH('Enriquecimento - SOA com ETX'!$J45,Pesos_IFPUG_Complexidade,0))),"")</f>
        <v>0</v>
      </c>
      <c r="L45" s="477"/>
      <c r="M45" s="479"/>
      <c r="N45" s="341" t="str">
        <f t="shared" si="13"/>
        <v/>
      </c>
      <c r="O45" s="477"/>
      <c r="P45" s="479"/>
      <c r="Q45" s="341" t="str">
        <f t="shared" si="14"/>
        <v/>
      </c>
      <c r="R45" s="477"/>
      <c r="S45" s="478"/>
      <c r="T45" s="479"/>
      <c r="U45" s="341" t="str">
        <f t="shared" si="16"/>
        <v/>
      </c>
      <c r="V45" s="342" t="str">
        <f t="shared" si="17"/>
        <v/>
      </c>
      <c r="W45" s="358">
        <f t="shared" si="4"/>
        <v>0</v>
      </c>
      <c r="X45" s="358">
        <f t="shared" si="5"/>
        <v>0</v>
      </c>
      <c r="Y45" s="358">
        <f t="shared" si="6"/>
        <v>0</v>
      </c>
      <c r="Z45" s="358">
        <f t="shared" si="7"/>
        <v>0</v>
      </c>
      <c r="AA45" s="358">
        <f t="shared" si="8"/>
        <v>0</v>
      </c>
      <c r="AB45" s="324"/>
      <c r="AC45" s="310" t="str">
        <f t="shared" si="15"/>
        <v>Complexa(+) - Acima de 50 campos - Acima de 50</v>
      </c>
      <c r="AD45" s="316" t="s">
        <v>402</v>
      </c>
      <c r="AE45" s="316" t="s">
        <v>364</v>
      </c>
      <c r="AF45" s="316" t="s">
        <v>374</v>
      </c>
      <c r="AG45" s="310"/>
      <c r="AH45" s="310"/>
      <c r="AI45" s="310"/>
      <c r="AJ45" s="310"/>
      <c r="AK45" s="310"/>
      <c r="AL45" s="311"/>
    </row>
    <row r="46" spans="2:38" x14ac:dyDescent="0.2">
      <c r="B46" s="361"/>
      <c r="C46" s="329"/>
      <c r="D46" s="330"/>
      <c r="E46" s="330"/>
      <c r="F46" s="330"/>
      <c r="G46" s="330"/>
      <c r="H46" s="330"/>
      <c r="I46" s="330"/>
      <c r="J46" s="304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4">
        <f>IFERROR(IF('Enriquecimento - SOA com ETX'!$E46="",0,INDEX(Pesos_IFPUG,MATCH('Enriquecimento - SOA com ETX'!$E46,Pesos_IFPUG_Objetos,0),MATCH('Enriquecimento - SOA com ETX'!$J46,Pesos_IFPUG_Complexidade,0))),"")</f>
        <v>0</v>
      </c>
      <c r="L46" s="477"/>
      <c r="M46" s="479"/>
      <c r="N46" s="341" t="str">
        <f t="shared" si="13"/>
        <v/>
      </c>
      <c r="O46" s="477"/>
      <c r="P46" s="479"/>
      <c r="Q46" s="341" t="str">
        <f t="shared" si="14"/>
        <v/>
      </c>
      <c r="R46" s="477"/>
      <c r="S46" s="478"/>
      <c r="T46" s="479"/>
      <c r="U46" s="341" t="str">
        <f t="shared" si="16"/>
        <v/>
      </c>
      <c r="V46" s="342" t="str">
        <f t="shared" si="17"/>
        <v/>
      </c>
      <c r="W46" s="358">
        <f t="shared" si="4"/>
        <v>0</v>
      </c>
      <c r="X46" s="358">
        <f t="shared" si="5"/>
        <v>0</v>
      </c>
      <c r="Y46" s="358">
        <f t="shared" si="6"/>
        <v>0</v>
      </c>
      <c r="Z46" s="358">
        <f t="shared" si="7"/>
        <v>0</v>
      </c>
      <c r="AA46" s="358">
        <f t="shared" si="8"/>
        <v>0</v>
      </c>
      <c r="AB46" s="336"/>
      <c r="AC46" s="310"/>
      <c r="AD46" s="316"/>
      <c r="AE46" s="316"/>
      <c r="AF46" s="316"/>
      <c r="AG46" s="310"/>
      <c r="AH46" s="310"/>
      <c r="AI46" s="310"/>
      <c r="AJ46" s="310"/>
      <c r="AK46" s="310"/>
      <c r="AL46" s="311"/>
    </row>
    <row r="47" spans="2:38" x14ac:dyDescent="0.2">
      <c r="B47" s="361"/>
      <c r="C47" s="329"/>
      <c r="D47" s="330"/>
      <c r="E47" s="330"/>
      <c r="F47" s="330"/>
      <c r="G47" s="330"/>
      <c r="H47" s="330"/>
      <c r="I47" s="330"/>
      <c r="J47" s="304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4">
        <f>IFERROR(IF('Enriquecimento - SOA com ETX'!$E47="",0,INDEX(Pesos_IFPUG,MATCH('Enriquecimento - SOA com ETX'!$E47,Pesos_IFPUG_Objetos,0),MATCH('Enriquecimento - SOA com ETX'!$J47,Pesos_IFPUG_Complexidade,0))),"")</f>
        <v>0</v>
      </c>
      <c r="L47" s="477"/>
      <c r="M47" s="479"/>
      <c r="N47" s="341" t="str">
        <f t="shared" si="13"/>
        <v/>
      </c>
      <c r="O47" s="477"/>
      <c r="P47" s="479"/>
      <c r="Q47" s="341" t="str">
        <f t="shared" si="14"/>
        <v/>
      </c>
      <c r="R47" s="477"/>
      <c r="S47" s="478"/>
      <c r="T47" s="479"/>
      <c r="U47" s="341" t="str">
        <f t="shared" si="16"/>
        <v/>
      </c>
      <c r="V47" s="342" t="str">
        <f t="shared" si="17"/>
        <v/>
      </c>
      <c r="W47" s="358">
        <f t="shared" si="4"/>
        <v>0</v>
      </c>
      <c r="X47" s="358">
        <f t="shared" si="5"/>
        <v>0</v>
      </c>
      <c r="Y47" s="358">
        <f t="shared" si="6"/>
        <v>0</v>
      </c>
      <c r="Z47" s="358">
        <f t="shared" si="7"/>
        <v>0</v>
      </c>
      <c r="AA47" s="358">
        <f t="shared" si="8"/>
        <v>0</v>
      </c>
      <c r="AB47" s="324"/>
      <c r="AC47" s="310"/>
      <c r="AD47" s="310"/>
      <c r="AE47" s="310"/>
      <c r="AF47" s="310"/>
      <c r="AG47" s="310"/>
      <c r="AH47" s="310"/>
      <c r="AI47" s="310"/>
      <c r="AJ47" s="310"/>
      <c r="AK47" s="310"/>
      <c r="AL47" s="311"/>
    </row>
    <row r="48" spans="2:38" x14ac:dyDescent="0.2">
      <c r="B48" s="361"/>
      <c r="C48" s="329"/>
      <c r="D48" s="330"/>
      <c r="E48" s="330"/>
      <c r="F48" s="330"/>
      <c r="G48" s="330"/>
      <c r="H48" s="330"/>
      <c r="I48" s="330"/>
      <c r="J48" s="304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4">
        <f>IFERROR(IF('Enriquecimento - SOA com ETX'!$E48="",0,INDEX(Pesos_IFPUG,MATCH('Enriquecimento - SOA com ETX'!$E48,Pesos_IFPUG_Objetos,0),MATCH('Enriquecimento - SOA com ETX'!$J48,Pesos_IFPUG_Complexidade,0))),"")</f>
        <v>0</v>
      </c>
      <c r="L48" s="477"/>
      <c r="M48" s="479"/>
      <c r="N48" s="341" t="str">
        <f t="shared" si="13"/>
        <v/>
      </c>
      <c r="O48" s="477"/>
      <c r="P48" s="479"/>
      <c r="Q48" s="341" t="str">
        <f t="shared" si="14"/>
        <v/>
      </c>
      <c r="R48" s="477"/>
      <c r="S48" s="478"/>
      <c r="T48" s="479"/>
      <c r="U48" s="341" t="str">
        <f t="shared" si="16"/>
        <v/>
      </c>
      <c r="V48" s="342" t="str">
        <f t="shared" si="17"/>
        <v/>
      </c>
      <c r="W48" s="358">
        <f t="shared" si="4"/>
        <v>0</v>
      </c>
      <c r="X48" s="358">
        <f t="shared" si="5"/>
        <v>0</v>
      </c>
      <c r="Y48" s="358">
        <f t="shared" si="6"/>
        <v>0</v>
      </c>
      <c r="Z48" s="358">
        <f t="shared" si="7"/>
        <v>0</v>
      </c>
      <c r="AA48" s="358">
        <f t="shared" si="8"/>
        <v>0</v>
      </c>
      <c r="AB48" s="336"/>
      <c r="AC48" s="310"/>
      <c r="AD48" s="310"/>
      <c r="AE48" s="310"/>
      <c r="AF48" s="310"/>
      <c r="AG48" s="310"/>
      <c r="AH48" s="310"/>
      <c r="AI48" s="310"/>
      <c r="AJ48" s="310"/>
      <c r="AK48" s="310"/>
      <c r="AL48" s="311"/>
    </row>
    <row r="49" spans="2:38" x14ac:dyDescent="0.2">
      <c r="B49" s="361"/>
      <c r="C49" s="329"/>
      <c r="D49" s="330"/>
      <c r="E49" s="330"/>
      <c r="F49" s="330"/>
      <c r="G49" s="330"/>
      <c r="H49" s="330"/>
      <c r="I49" s="330"/>
      <c r="J49" s="304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4">
        <f>IFERROR(IF('Enriquecimento - SOA com ETX'!$E49="",0,INDEX(Pesos_IFPUG,MATCH('Enriquecimento - SOA com ETX'!$E49,Pesos_IFPUG_Objetos,0),MATCH('Enriquecimento - SOA com ETX'!$J49,Pesos_IFPUG_Complexidade,0))),"")</f>
        <v>0</v>
      </c>
      <c r="L49" s="477"/>
      <c r="M49" s="479"/>
      <c r="N49" s="341" t="str">
        <f t="shared" si="13"/>
        <v/>
      </c>
      <c r="O49" s="477"/>
      <c r="P49" s="479"/>
      <c r="Q49" s="341" t="str">
        <f t="shared" si="14"/>
        <v/>
      </c>
      <c r="R49" s="477"/>
      <c r="S49" s="478"/>
      <c r="T49" s="479"/>
      <c r="U49" s="341" t="str">
        <f t="shared" si="16"/>
        <v/>
      </c>
      <c r="V49" s="342" t="str">
        <f t="shared" si="17"/>
        <v/>
      </c>
      <c r="W49" s="358">
        <f t="shared" si="4"/>
        <v>0</v>
      </c>
      <c r="X49" s="358">
        <f t="shared" si="5"/>
        <v>0</v>
      </c>
      <c r="Y49" s="358">
        <f t="shared" si="6"/>
        <v>0</v>
      </c>
      <c r="Z49" s="358">
        <f t="shared" si="7"/>
        <v>0</v>
      </c>
      <c r="AA49" s="358">
        <f t="shared" si="8"/>
        <v>0</v>
      </c>
      <c r="AB49" s="324"/>
      <c r="AC49" s="310"/>
      <c r="AD49" s="310"/>
      <c r="AE49" s="310"/>
      <c r="AF49" s="310"/>
      <c r="AG49" s="310"/>
      <c r="AH49" s="310"/>
      <c r="AI49" s="310"/>
      <c r="AJ49" s="310"/>
      <c r="AK49" s="310"/>
      <c r="AL49" s="311"/>
    </row>
    <row r="50" spans="2:38" x14ac:dyDescent="0.2">
      <c r="B50" s="361"/>
      <c r="C50" s="329"/>
      <c r="D50" s="330"/>
      <c r="E50" s="330"/>
      <c r="F50" s="330"/>
      <c r="G50" s="330"/>
      <c r="H50" s="330"/>
      <c r="I50" s="330"/>
      <c r="J50" s="304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4">
        <f>IFERROR(IF('Enriquecimento - SOA com ETX'!$E50="",0,INDEX(Pesos_IFPUG,MATCH('Enriquecimento - SOA com ETX'!$E50,Pesos_IFPUG_Objetos,0),MATCH('Enriquecimento - SOA com ETX'!$J50,Pesos_IFPUG_Complexidade,0))),"")</f>
        <v>0</v>
      </c>
      <c r="L50" s="477"/>
      <c r="M50" s="479"/>
      <c r="N50" s="341" t="str">
        <f t="shared" si="13"/>
        <v/>
      </c>
      <c r="O50" s="477"/>
      <c r="P50" s="479"/>
      <c r="Q50" s="341" t="str">
        <f t="shared" si="14"/>
        <v/>
      </c>
      <c r="R50" s="477"/>
      <c r="S50" s="478"/>
      <c r="T50" s="479"/>
      <c r="U50" s="341" t="str">
        <f t="shared" si="16"/>
        <v/>
      </c>
      <c r="V50" s="342" t="str">
        <f t="shared" si="17"/>
        <v/>
      </c>
      <c r="W50" s="358">
        <f t="shared" si="4"/>
        <v>0</v>
      </c>
      <c r="X50" s="358">
        <f t="shared" si="5"/>
        <v>0</v>
      </c>
      <c r="Y50" s="358">
        <f t="shared" si="6"/>
        <v>0</v>
      </c>
      <c r="Z50" s="358">
        <f t="shared" si="7"/>
        <v>0</v>
      </c>
      <c r="AA50" s="358">
        <f t="shared" si="8"/>
        <v>0</v>
      </c>
      <c r="AB50" s="336"/>
      <c r="AC50" s="310"/>
      <c r="AD50" s="310"/>
      <c r="AE50" s="310"/>
      <c r="AF50" s="310"/>
      <c r="AG50" s="310"/>
      <c r="AH50" s="310"/>
      <c r="AI50" s="310"/>
      <c r="AJ50" s="310"/>
      <c r="AK50" s="310"/>
      <c r="AL50" s="311"/>
    </row>
    <row r="51" spans="2:38" ht="15.75" thickBot="1" x14ac:dyDescent="0.3">
      <c r="B51" s="307" t="s">
        <v>112</v>
      </c>
      <c r="C51" s="308"/>
      <c r="D51" s="308"/>
      <c r="E51" s="308"/>
      <c r="F51" s="309"/>
      <c r="G51" s="309"/>
      <c r="H51" s="309"/>
      <c r="I51" s="309"/>
      <c r="J51" s="308"/>
      <c r="K51" s="308">
        <f>SUBTOTAL(109,'Enriquecimento - SOA com ETX'!$K$10:$K$50)</f>
        <v>0</v>
      </c>
      <c r="L51" s="474"/>
      <c r="M51" s="475"/>
      <c r="N51" s="341" t="str">
        <f t="shared" ref="N51" si="18">IF(AND(L51&lt;&gt;"",M51&lt;&gt;""),CONCATENATE($AC$12,L51,M51),"")</f>
        <v/>
      </c>
      <c r="O51" s="474"/>
      <c r="P51" s="475"/>
      <c r="Q51" s="341" t="str">
        <f t="shared" ref="Q51" si="19">IF(AND(O51&lt;&gt;"",P51&lt;&gt;""),CONCATENATE($AC$15,O51,P51),"")</f>
        <v/>
      </c>
      <c r="R51" s="474"/>
      <c r="S51" s="476"/>
      <c r="T51" s="475"/>
      <c r="U51" s="341" t="str">
        <f t="shared" ref="U51" si="20">IF(AND(R51&lt;&gt;"",S51&lt;&gt;"",T51&lt;&gt;""),CONCATENATE($AC$18,R51,S51,T51),"")</f>
        <v/>
      </c>
      <c r="V51" s="343"/>
      <c r="W51" s="338"/>
      <c r="X51" s="339"/>
      <c r="Y51" s="339"/>
      <c r="Z51" s="325"/>
      <c r="AA51" s="340">
        <f>SUM(AA11:AA50)</f>
        <v>0</v>
      </c>
      <c r="AB51" s="337"/>
      <c r="AC51" s="312"/>
      <c r="AD51" s="312"/>
      <c r="AE51" s="312"/>
      <c r="AF51" s="312"/>
      <c r="AG51" s="312"/>
      <c r="AH51" s="312"/>
      <c r="AI51" s="312"/>
      <c r="AJ51" s="312"/>
      <c r="AK51" s="312"/>
      <c r="AL51" s="313"/>
    </row>
  </sheetData>
  <sheetProtection algorithmName="SHA-512" hashValue="kjHdadm23c8xmZrsUGEmu0fRdVVxudY+uboEqscx7KfdOs1trV/QM1cXb8CKgcf/40WYlVOC2sDQagBRD0GiEg==" saltValue="bpl8a/JEw+QqWi25xIMgig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5" t="s">
        <v>395</v>
      </c>
      <c r="C2" s="435"/>
      <c r="D2" s="435"/>
      <c r="E2" s="435"/>
      <c r="F2" s="435"/>
      <c r="G2" s="435"/>
      <c r="H2" s="435"/>
      <c r="I2" s="435"/>
      <c r="J2" s="435"/>
      <c r="K2" s="435"/>
      <c r="L2" s="435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55"/>
      <c r="C6" s="281" t="s">
        <v>282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5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6" t="s">
        <v>378</v>
      </c>
      <c r="M8" s="497"/>
      <c r="N8" s="318"/>
      <c r="O8" s="496" t="s">
        <v>379</v>
      </c>
      <c r="P8" s="497"/>
      <c r="Q8" s="318"/>
      <c r="R8" s="498" t="s">
        <v>380</v>
      </c>
      <c r="S8" s="499"/>
      <c r="T8" s="500"/>
      <c r="U8" s="328"/>
      <c r="V8" s="331"/>
      <c r="W8" s="493" t="s">
        <v>104</v>
      </c>
      <c r="X8" s="494"/>
      <c r="Y8" s="494"/>
      <c r="Z8" s="495"/>
      <c r="AA8" s="504" t="s">
        <v>105</v>
      </c>
      <c r="AB8" s="314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N8" s="89"/>
    </row>
    <row r="9" spans="1:40" ht="54" customHeight="1" x14ac:dyDescent="0.2">
      <c r="A9" s="486"/>
      <c r="B9" s="484" t="s">
        <v>79</v>
      </c>
      <c r="C9" s="487" t="s">
        <v>1</v>
      </c>
      <c r="D9" s="487" t="s">
        <v>101</v>
      </c>
      <c r="E9" s="487" t="s">
        <v>151</v>
      </c>
      <c r="F9" s="487" t="s">
        <v>51</v>
      </c>
      <c r="G9" s="487" t="s">
        <v>52</v>
      </c>
      <c r="H9" s="487" t="s">
        <v>171</v>
      </c>
      <c r="I9" s="487" t="s">
        <v>172</v>
      </c>
      <c r="J9" s="503" t="s">
        <v>381</v>
      </c>
      <c r="K9" s="501" t="s">
        <v>5</v>
      </c>
      <c r="L9" s="480" t="s">
        <v>403</v>
      </c>
      <c r="M9" s="481"/>
      <c r="N9" s="326" t="s">
        <v>390</v>
      </c>
      <c r="O9" s="480" t="s">
        <v>404</v>
      </c>
      <c r="P9" s="481"/>
      <c r="Q9" s="326" t="s">
        <v>389</v>
      </c>
      <c r="R9" s="480" t="s">
        <v>405</v>
      </c>
      <c r="S9" s="489"/>
      <c r="T9" s="481"/>
      <c r="U9" s="322" t="s">
        <v>391</v>
      </c>
      <c r="V9" s="315" t="s">
        <v>392</v>
      </c>
      <c r="W9" s="333" t="s">
        <v>83</v>
      </c>
      <c r="X9" s="303" t="s">
        <v>349</v>
      </c>
      <c r="Y9" s="303" t="s">
        <v>350</v>
      </c>
      <c r="Z9" s="334" t="s">
        <v>10</v>
      </c>
      <c r="AA9" s="505"/>
      <c r="AB9" s="314" t="s">
        <v>386</v>
      </c>
      <c r="AC9" s="320" t="s">
        <v>341</v>
      </c>
      <c r="AD9" s="320" t="s">
        <v>353</v>
      </c>
      <c r="AE9" s="320" t="s">
        <v>365</v>
      </c>
      <c r="AF9" s="320" t="s">
        <v>4</v>
      </c>
      <c r="AG9" s="320" t="s">
        <v>382</v>
      </c>
      <c r="AH9" s="320" t="s">
        <v>383</v>
      </c>
      <c r="AI9" s="320" t="s">
        <v>384</v>
      </c>
      <c r="AJ9" s="320" t="s">
        <v>385</v>
      </c>
      <c r="AK9" s="320" t="s">
        <v>342</v>
      </c>
      <c r="AL9" s="321" t="s">
        <v>343</v>
      </c>
      <c r="AN9" s="88"/>
    </row>
    <row r="10" spans="1:40" x14ac:dyDescent="0.2">
      <c r="A10" s="486"/>
      <c r="B10" s="485"/>
      <c r="C10" s="488"/>
      <c r="D10" s="488"/>
      <c r="E10" s="488"/>
      <c r="F10" s="488"/>
      <c r="G10" s="488"/>
      <c r="H10" s="488"/>
      <c r="I10" s="488"/>
      <c r="J10" s="488"/>
      <c r="K10" s="502"/>
      <c r="L10" s="482"/>
      <c r="M10" s="483"/>
      <c r="N10" s="327"/>
      <c r="O10" s="482"/>
      <c r="P10" s="483"/>
      <c r="Q10" s="327"/>
      <c r="R10" s="482"/>
      <c r="S10" s="490"/>
      <c r="T10" s="483"/>
      <c r="U10" s="323"/>
      <c r="V10" s="332"/>
      <c r="W10" s="335" t="s">
        <v>173</v>
      </c>
      <c r="X10" s="335" t="s">
        <v>173</v>
      </c>
      <c r="Y10" s="335" t="s">
        <v>173</v>
      </c>
      <c r="Z10" s="335" t="s">
        <v>173</v>
      </c>
      <c r="AA10" s="506"/>
      <c r="AB10" s="326"/>
      <c r="AC10" s="305"/>
      <c r="AD10" s="305"/>
      <c r="AE10" s="305"/>
      <c r="AF10" s="305"/>
      <c r="AG10" s="305"/>
      <c r="AH10" s="305"/>
      <c r="AI10" s="305"/>
      <c r="AJ10" s="305"/>
      <c r="AK10" s="305"/>
      <c r="AL10" s="306"/>
      <c r="AN10" s="88"/>
    </row>
    <row r="11" spans="1:40" s="266" customFormat="1" x14ac:dyDescent="0.2">
      <c r="B11" s="361"/>
      <c r="C11" s="297"/>
      <c r="D11" s="298"/>
      <c r="E11" s="298"/>
      <c r="F11" s="330"/>
      <c r="G11" s="330"/>
      <c r="H11" s="330"/>
      <c r="I11" s="330"/>
      <c r="J11" s="304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4">
        <f>IFERROR(IF('Enriquecimento - SOA sem ETX'!$E11="",0,INDEX(Pesos_IFPUG,MATCH('Enriquecimento - SOA sem ETX'!$E11,Pesos_IFPUG_Objetos,0),MATCH('Enriquecimento - SOA sem ETX'!$J11,Pesos_IFPUG_Complexidade,0))),"")</f>
        <v>0</v>
      </c>
      <c r="L11" s="477"/>
      <c r="M11" s="479"/>
      <c r="N11" s="341" t="str">
        <f t="shared" ref="N11:N50" si="0">IF(L11="","",$AC$12&amp;L11)</f>
        <v/>
      </c>
      <c r="O11" s="477"/>
      <c r="P11" s="479"/>
      <c r="Q11" s="341" t="str">
        <f t="shared" ref="Q11:Q50" si="1">IF(O11="","",$AC$15&amp;O11)</f>
        <v/>
      </c>
      <c r="R11" s="477"/>
      <c r="S11" s="478"/>
      <c r="T11" s="479"/>
      <c r="U11" s="341" t="str">
        <f t="shared" ref="U11:U50" si="2">IF(R11="","",$AC$18&amp;R11)</f>
        <v/>
      </c>
      <c r="V11" s="342" t="str">
        <f>N11&amp;Q11&amp;U11</f>
        <v/>
      </c>
      <c r="W11" s="358">
        <f t="shared" ref="W11:W50" si="3">IF($W$10="Não",0,IF(V11="",0,VLOOKUP(V11,$AB$9:$AJ$26,6,0)))</f>
        <v>0</v>
      </c>
      <c r="X11" s="358">
        <f t="shared" ref="X11:X50" si="4">IF($X$10="Não",0,IF(V11="",0,VLOOKUP(V11,$AB$9:$AJ$26,7,0)))</f>
        <v>0</v>
      </c>
      <c r="Y11" s="358">
        <f t="shared" ref="Y11:Y50" si="5">IF($Y$10="Não",0,IF(V11="",0,VLOOKUP(V11,$AB$9:$AJ$26,8,0)))</f>
        <v>0</v>
      </c>
      <c r="Z11" s="358">
        <f t="shared" ref="Z11:Z50" si="6">IF($Z$10="Não",0,IF(V11="",0,VLOOKUP(V11,$AB$9:$AJ$26,9,0)))</f>
        <v>0</v>
      </c>
      <c r="AA11" s="358">
        <f>SUM(W11:Z11)</f>
        <v>0</v>
      </c>
      <c r="AB11" s="324"/>
      <c r="AC11" s="305"/>
      <c r="AD11" s="305"/>
      <c r="AE11" s="305"/>
      <c r="AF11" s="305"/>
      <c r="AG11" s="305"/>
      <c r="AH11" s="305"/>
      <c r="AI11" s="305"/>
      <c r="AJ11" s="305"/>
      <c r="AK11" s="305"/>
      <c r="AL11" s="306"/>
      <c r="AN11" s="267"/>
    </row>
    <row r="12" spans="1:40" s="266" customFormat="1" x14ac:dyDescent="0.2">
      <c r="B12" s="361"/>
      <c r="C12" s="329"/>
      <c r="D12" s="330"/>
      <c r="E12" s="330"/>
      <c r="F12" s="330"/>
      <c r="G12" s="330"/>
      <c r="H12" s="330"/>
      <c r="I12" s="330"/>
      <c r="J12" s="304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4">
        <f>IFERROR(IF('Enriquecimento - SOA sem ETX'!$E12="",0,INDEX(Pesos_IFPUG,MATCH('Enriquecimento - SOA sem ETX'!$E12,Pesos_IFPUG_Objetos,0),MATCH('Enriquecimento - SOA sem ETX'!$J12,Pesos_IFPUG_Complexidade,0))),"")</f>
        <v>0</v>
      </c>
      <c r="L12" s="477"/>
      <c r="M12" s="479"/>
      <c r="N12" s="341" t="str">
        <f t="shared" si="0"/>
        <v/>
      </c>
      <c r="O12" s="477"/>
      <c r="P12" s="479"/>
      <c r="Q12" s="341" t="str">
        <f t="shared" si="1"/>
        <v/>
      </c>
      <c r="R12" s="477"/>
      <c r="S12" s="478"/>
      <c r="T12" s="479"/>
      <c r="U12" s="341" t="str">
        <f t="shared" si="2"/>
        <v/>
      </c>
      <c r="V12" s="342" t="str">
        <f t="shared" ref="V12:V50" si="7">N12&amp;Q12&amp;U12</f>
        <v/>
      </c>
      <c r="W12" s="358">
        <f t="shared" si="3"/>
        <v>0</v>
      </c>
      <c r="X12" s="358">
        <f t="shared" si="4"/>
        <v>0</v>
      </c>
      <c r="Y12" s="358">
        <f t="shared" si="5"/>
        <v>0</v>
      </c>
      <c r="Z12" s="358">
        <f t="shared" si="6"/>
        <v>0</v>
      </c>
      <c r="AA12" s="358">
        <f t="shared" ref="AA12:AA50" si="8">SUM(W12:Z12)</f>
        <v>0</v>
      </c>
      <c r="AB12" s="336" t="str">
        <f t="shared" ref="AB12:AB17" si="9">AC12&amp;AF12&amp;" - "&amp;AD12</f>
        <v>CriarInterfaceSimples - 1 a 19 campos</v>
      </c>
      <c r="AC12" s="305" t="s">
        <v>354</v>
      </c>
      <c r="AD12" s="305" t="s">
        <v>361</v>
      </c>
      <c r="AE12" s="305" t="s">
        <v>96</v>
      </c>
      <c r="AF12" s="305" t="s">
        <v>358</v>
      </c>
      <c r="AG12" s="305">
        <v>12</v>
      </c>
      <c r="AH12" s="305">
        <v>4</v>
      </c>
      <c r="AI12" s="305">
        <v>50</v>
      </c>
      <c r="AJ12" s="305">
        <v>6</v>
      </c>
      <c r="AK12" s="305">
        <f>AG12+AI12+AJ12</f>
        <v>68</v>
      </c>
      <c r="AL12" s="306">
        <f>AH12+AI12+AJ12</f>
        <v>60</v>
      </c>
      <c r="AN12" s="267" t="s">
        <v>258</v>
      </c>
    </row>
    <row r="13" spans="1:40" s="266" customFormat="1" x14ac:dyDescent="0.2">
      <c r="B13" s="361"/>
      <c r="C13" s="329"/>
      <c r="D13" s="330"/>
      <c r="E13" s="330"/>
      <c r="F13" s="330"/>
      <c r="G13" s="330"/>
      <c r="H13" s="330"/>
      <c r="I13" s="330"/>
      <c r="J13" s="304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4">
        <f>IFERROR(IF('Enriquecimento - SOA sem ETX'!$E13="",0,INDEX(Pesos_IFPUG,MATCH('Enriquecimento - SOA sem ETX'!$E13,Pesos_IFPUG_Objetos,0),MATCH('Enriquecimento - SOA sem ETX'!$J13,Pesos_IFPUG_Complexidade,0))),"")</f>
        <v>0</v>
      </c>
      <c r="L13" s="477"/>
      <c r="M13" s="479"/>
      <c r="N13" s="341" t="str">
        <f t="shared" si="0"/>
        <v/>
      </c>
      <c r="O13" s="477"/>
      <c r="P13" s="479"/>
      <c r="Q13" s="341" t="str">
        <f t="shared" si="1"/>
        <v/>
      </c>
      <c r="R13" s="477"/>
      <c r="S13" s="478"/>
      <c r="T13" s="479"/>
      <c r="U13" s="341" t="str">
        <f t="shared" si="2"/>
        <v/>
      </c>
      <c r="V13" s="342" t="str">
        <f t="shared" si="7"/>
        <v/>
      </c>
      <c r="W13" s="358">
        <f t="shared" si="3"/>
        <v>0</v>
      </c>
      <c r="X13" s="358">
        <f t="shared" si="4"/>
        <v>0</v>
      </c>
      <c r="Y13" s="358">
        <f t="shared" si="5"/>
        <v>0</v>
      </c>
      <c r="Z13" s="358">
        <f t="shared" si="6"/>
        <v>0</v>
      </c>
      <c r="AA13" s="358">
        <f t="shared" si="8"/>
        <v>0</v>
      </c>
      <c r="AB13" s="336" t="str">
        <f t="shared" si="9"/>
        <v>CriarInterfaceMedia - 20 a 49 campos</v>
      </c>
      <c r="AC13" s="305" t="s">
        <v>354</v>
      </c>
      <c r="AD13" s="305" t="s">
        <v>363</v>
      </c>
      <c r="AE13" s="305" t="s">
        <v>96</v>
      </c>
      <c r="AF13" s="305" t="s">
        <v>119</v>
      </c>
      <c r="AG13" s="305">
        <v>14</v>
      </c>
      <c r="AH13" s="305">
        <v>4</v>
      </c>
      <c r="AI13" s="305">
        <v>64</v>
      </c>
      <c r="AJ13" s="305">
        <v>6</v>
      </c>
      <c r="AK13" s="305">
        <f t="shared" ref="AK13:AK26" si="10">AG13+AI13+AJ13</f>
        <v>84</v>
      </c>
      <c r="AL13" s="306">
        <f t="shared" ref="AL13:AL26" si="11">AH13+AI13+AJ13</f>
        <v>74</v>
      </c>
      <c r="AN13" s="267" t="s">
        <v>259</v>
      </c>
    </row>
    <row r="14" spans="1:40" s="266" customFormat="1" x14ac:dyDescent="0.2">
      <c r="B14" s="361"/>
      <c r="C14" s="329"/>
      <c r="D14" s="330"/>
      <c r="E14" s="330"/>
      <c r="F14" s="330"/>
      <c r="G14" s="330"/>
      <c r="H14" s="330"/>
      <c r="I14" s="330"/>
      <c r="J14" s="304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4">
        <f>IFERROR(IF('Enriquecimento - SOA sem ETX'!$E14="",0,INDEX(Pesos_IFPUG,MATCH('Enriquecimento - SOA sem ETX'!$E14,Pesos_IFPUG_Objetos,0),MATCH('Enriquecimento - SOA sem ETX'!$J14,Pesos_IFPUG_Complexidade,0))),"")</f>
        <v>0</v>
      </c>
      <c r="L14" s="477"/>
      <c r="M14" s="479"/>
      <c r="N14" s="341" t="str">
        <f t="shared" si="0"/>
        <v/>
      </c>
      <c r="O14" s="477"/>
      <c r="P14" s="479"/>
      <c r="Q14" s="341" t="str">
        <f t="shared" si="1"/>
        <v/>
      </c>
      <c r="R14" s="477"/>
      <c r="S14" s="478"/>
      <c r="T14" s="479"/>
      <c r="U14" s="341" t="str">
        <f t="shared" si="2"/>
        <v/>
      </c>
      <c r="V14" s="342" t="str">
        <f t="shared" si="7"/>
        <v/>
      </c>
      <c r="W14" s="358">
        <f t="shared" si="3"/>
        <v>0</v>
      </c>
      <c r="X14" s="358">
        <f t="shared" si="4"/>
        <v>0</v>
      </c>
      <c r="Y14" s="358">
        <f t="shared" si="5"/>
        <v>0</v>
      </c>
      <c r="Z14" s="358">
        <f t="shared" si="6"/>
        <v>0</v>
      </c>
      <c r="AA14" s="358">
        <f t="shared" si="8"/>
        <v>0</v>
      </c>
      <c r="AB14" s="336" t="str">
        <f t="shared" si="9"/>
        <v>CriarInterfaceComplexa - Acima de 50 campos</v>
      </c>
      <c r="AC14" s="305" t="s">
        <v>354</v>
      </c>
      <c r="AD14" s="305" t="s">
        <v>364</v>
      </c>
      <c r="AE14" s="305" t="s">
        <v>96</v>
      </c>
      <c r="AF14" s="305" t="s">
        <v>359</v>
      </c>
      <c r="AG14" s="305">
        <v>16</v>
      </c>
      <c r="AH14" s="305">
        <v>4</v>
      </c>
      <c r="AI14" s="305">
        <v>80</v>
      </c>
      <c r="AJ14" s="305">
        <v>6</v>
      </c>
      <c r="AK14" s="305">
        <f t="shared" si="10"/>
        <v>102</v>
      </c>
      <c r="AL14" s="306">
        <f t="shared" si="11"/>
        <v>90</v>
      </c>
      <c r="AN14" s="267" t="s">
        <v>260</v>
      </c>
    </row>
    <row r="15" spans="1:40" s="266" customFormat="1" x14ac:dyDescent="0.2">
      <c r="B15" s="361"/>
      <c r="C15" s="329"/>
      <c r="D15" s="330"/>
      <c r="E15" s="330"/>
      <c r="F15" s="330"/>
      <c r="G15" s="330"/>
      <c r="H15" s="330"/>
      <c r="I15" s="330"/>
      <c r="J15" s="304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4">
        <f>IFERROR(IF('Enriquecimento - SOA sem ETX'!$E15="",0,INDEX(Pesos_IFPUG,MATCH('Enriquecimento - SOA sem ETX'!$E15,Pesos_IFPUG_Objetos,0),MATCH('Enriquecimento - SOA sem ETX'!$J15,Pesos_IFPUG_Complexidade,0))),"")</f>
        <v>0</v>
      </c>
      <c r="L15" s="477"/>
      <c r="M15" s="479"/>
      <c r="N15" s="341" t="str">
        <f t="shared" si="0"/>
        <v/>
      </c>
      <c r="O15" s="477"/>
      <c r="P15" s="479"/>
      <c r="Q15" s="341" t="str">
        <f t="shared" si="1"/>
        <v/>
      </c>
      <c r="R15" s="477"/>
      <c r="S15" s="478"/>
      <c r="T15" s="479"/>
      <c r="U15" s="341" t="str">
        <f t="shared" si="2"/>
        <v/>
      </c>
      <c r="V15" s="342" t="str">
        <f t="shared" si="7"/>
        <v/>
      </c>
      <c r="W15" s="358">
        <f t="shared" si="3"/>
        <v>0</v>
      </c>
      <c r="X15" s="358">
        <f t="shared" si="4"/>
        <v>0</v>
      </c>
      <c r="Y15" s="358">
        <f t="shared" si="5"/>
        <v>0</v>
      </c>
      <c r="Z15" s="358">
        <f t="shared" si="6"/>
        <v>0</v>
      </c>
      <c r="AA15" s="358">
        <f t="shared" si="8"/>
        <v>0</v>
      </c>
      <c r="AB15" s="336" t="str">
        <f t="shared" si="9"/>
        <v>CriarSourceTargetSimples - 1 a 19 campos</v>
      </c>
      <c r="AC15" s="305" t="s">
        <v>355</v>
      </c>
      <c r="AD15" s="305" t="s">
        <v>361</v>
      </c>
      <c r="AE15" s="305" t="s">
        <v>96</v>
      </c>
      <c r="AF15" s="305" t="s">
        <v>358</v>
      </c>
      <c r="AG15" s="305">
        <v>10</v>
      </c>
      <c r="AH15" s="305">
        <v>3</v>
      </c>
      <c r="AI15" s="305">
        <v>40</v>
      </c>
      <c r="AJ15" s="305">
        <v>4</v>
      </c>
      <c r="AK15" s="305">
        <f t="shared" si="10"/>
        <v>54</v>
      </c>
      <c r="AL15" s="306">
        <f t="shared" si="11"/>
        <v>47</v>
      </c>
      <c r="AN15" s="267"/>
    </row>
    <row r="16" spans="1:40" s="266" customFormat="1" x14ac:dyDescent="0.2">
      <c r="B16" s="361"/>
      <c r="C16" s="329"/>
      <c r="D16" s="330"/>
      <c r="E16" s="330"/>
      <c r="F16" s="330"/>
      <c r="G16" s="330"/>
      <c r="H16" s="330"/>
      <c r="I16" s="330"/>
      <c r="J16" s="304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4">
        <f>IFERROR(IF('Enriquecimento - SOA sem ETX'!$E16="",0,INDEX(Pesos_IFPUG,MATCH('Enriquecimento - SOA sem ETX'!$E16,Pesos_IFPUG_Objetos,0),MATCH('Enriquecimento - SOA sem ETX'!$J16,Pesos_IFPUG_Complexidade,0))),"")</f>
        <v>0</v>
      </c>
      <c r="L16" s="477"/>
      <c r="M16" s="479"/>
      <c r="N16" s="341" t="str">
        <f t="shared" si="0"/>
        <v/>
      </c>
      <c r="O16" s="477"/>
      <c r="P16" s="479"/>
      <c r="Q16" s="341" t="str">
        <f t="shared" si="1"/>
        <v/>
      </c>
      <c r="R16" s="477"/>
      <c r="S16" s="478"/>
      <c r="T16" s="479"/>
      <c r="U16" s="341" t="str">
        <f t="shared" si="2"/>
        <v/>
      </c>
      <c r="V16" s="342" t="str">
        <f t="shared" si="7"/>
        <v/>
      </c>
      <c r="W16" s="358">
        <f t="shared" si="3"/>
        <v>0</v>
      </c>
      <c r="X16" s="358">
        <f t="shared" si="4"/>
        <v>0</v>
      </c>
      <c r="Y16" s="358">
        <f t="shared" si="5"/>
        <v>0</v>
      </c>
      <c r="Z16" s="358">
        <f t="shared" si="6"/>
        <v>0</v>
      </c>
      <c r="AA16" s="358">
        <f t="shared" si="8"/>
        <v>0</v>
      </c>
      <c r="AB16" s="336" t="str">
        <f t="shared" si="9"/>
        <v>CriarSourceTargetMedia - 20 a 49 campos</v>
      </c>
      <c r="AC16" s="305" t="s">
        <v>355</v>
      </c>
      <c r="AD16" s="305" t="s">
        <v>363</v>
      </c>
      <c r="AE16" s="305" t="s">
        <v>96</v>
      </c>
      <c r="AF16" s="305" t="s">
        <v>119</v>
      </c>
      <c r="AG16" s="305">
        <v>12</v>
      </c>
      <c r="AH16" s="305">
        <v>3</v>
      </c>
      <c r="AI16" s="305">
        <v>52</v>
      </c>
      <c r="AJ16" s="305">
        <v>4</v>
      </c>
      <c r="AK16" s="305">
        <f t="shared" si="10"/>
        <v>68</v>
      </c>
      <c r="AL16" s="306">
        <f t="shared" si="11"/>
        <v>59</v>
      </c>
      <c r="AN16" s="267"/>
    </row>
    <row r="17" spans="2:38" s="266" customFormat="1" x14ac:dyDescent="0.2">
      <c r="B17" s="361"/>
      <c r="C17" s="329"/>
      <c r="D17" s="330"/>
      <c r="E17" s="330"/>
      <c r="F17" s="330"/>
      <c r="G17" s="330"/>
      <c r="H17" s="330"/>
      <c r="I17" s="330"/>
      <c r="J17" s="304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4">
        <f>IFERROR(IF('Enriquecimento - SOA sem ETX'!$E17="",0,INDEX(Pesos_IFPUG,MATCH('Enriquecimento - SOA sem ETX'!$E17,Pesos_IFPUG_Objetos,0),MATCH('Enriquecimento - SOA sem ETX'!$J17,Pesos_IFPUG_Complexidade,0))),"")</f>
        <v>0</v>
      </c>
      <c r="L17" s="477"/>
      <c r="M17" s="479"/>
      <c r="N17" s="341" t="str">
        <f t="shared" si="0"/>
        <v/>
      </c>
      <c r="O17" s="477"/>
      <c r="P17" s="479"/>
      <c r="Q17" s="341" t="str">
        <f t="shared" si="1"/>
        <v/>
      </c>
      <c r="R17" s="477"/>
      <c r="S17" s="478"/>
      <c r="T17" s="479"/>
      <c r="U17" s="341" t="str">
        <f t="shared" si="2"/>
        <v/>
      </c>
      <c r="V17" s="342" t="str">
        <f t="shared" si="7"/>
        <v/>
      </c>
      <c r="W17" s="358">
        <f t="shared" si="3"/>
        <v>0</v>
      </c>
      <c r="X17" s="358">
        <f t="shared" si="4"/>
        <v>0</v>
      </c>
      <c r="Y17" s="358">
        <f t="shared" si="5"/>
        <v>0</v>
      </c>
      <c r="Z17" s="358">
        <f t="shared" si="6"/>
        <v>0</v>
      </c>
      <c r="AA17" s="358">
        <f t="shared" si="8"/>
        <v>0</v>
      </c>
      <c r="AB17" s="336" t="str">
        <f t="shared" si="9"/>
        <v>CriarSourceTargetComplexa - Acima de 50 campos</v>
      </c>
      <c r="AC17" s="305" t="s">
        <v>355</v>
      </c>
      <c r="AD17" s="305" t="s">
        <v>364</v>
      </c>
      <c r="AE17" s="305" t="s">
        <v>96</v>
      </c>
      <c r="AF17" s="305" t="s">
        <v>359</v>
      </c>
      <c r="AG17" s="305">
        <v>14</v>
      </c>
      <c r="AH17" s="305">
        <v>3</v>
      </c>
      <c r="AI17" s="305">
        <v>64</v>
      </c>
      <c r="AJ17" s="305">
        <v>4</v>
      </c>
      <c r="AK17" s="305">
        <f t="shared" si="10"/>
        <v>82</v>
      </c>
      <c r="AL17" s="306">
        <f t="shared" si="11"/>
        <v>71</v>
      </c>
    </row>
    <row r="18" spans="2:38" s="266" customFormat="1" x14ac:dyDescent="0.2">
      <c r="B18" s="361"/>
      <c r="C18" s="329"/>
      <c r="D18" s="330"/>
      <c r="E18" s="330"/>
      <c r="F18" s="330"/>
      <c r="G18" s="330"/>
      <c r="H18" s="330"/>
      <c r="I18" s="330"/>
      <c r="J18" s="304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4">
        <f>IFERROR(IF('Enriquecimento - SOA sem ETX'!$E18="",0,INDEX(Pesos_IFPUG,MATCH('Enriquecimento - SOA sem ETX'!$E18,Pesos_IFPUG_Objetos,0),MATCH('Enriquecimento - SOA sem ETX'!$J18,Pesos_IFPUG_Complexidade,0))),"")</f>
        <v>0</v>
      </c>
      <c r="L18" s="477"/>
      <c r="M18" s="479"/>
      <c r="N18" s="341" t="str">
        <f t="shared" si="0"/>
        <v/>
      </c>
      <c r="O18" s="477"/>
      <c r="P18" s="479"/>
      <c r="Q18" s="341" t="str">
        <f t="shared" si="1"/>
        <v/>
      </c>
      <c r="R18" s="477"/>
      <c r="S18" s="478"/>
      <c r="T18" s="479"/>
      <c r="U18" s="341" t="str">
        <f t="shared" si="2"/>
        <v/>
      </c>
      <c r="V18" s="342" t="str">
        <f t="shared" si="7"/>
        <v/>
      </c>
      <c r="W18" s="358">
        <f t="shared" si="3"/>
        <v>0</v>
      </c>
      <c r="X18" s="358">
        <f t="shared" si="4"/>
        <v>0</v>
      </c>
      <c r="Y18" s="358">
        <f t="shared" si="5"/>
        <v>0</v>
      </c>
      <c r="Z18" s="358">
        <f t="shared" si="6"/>
        <v>0</v>
      </c>
      <c r="AA18" s="358">
        <f t="shared" si="8"/>
        <v>0</v>
      </c>
      <c r="AB18" s="336" t="str">
        <f>AC18&amp;AF18&amp;" - "&amp;AD18&amp;" - "&amp;AE18</f>
        <v>AlterarMapeamentoSimples(-) - 1 a 15 campos - 1 a 5 campos</v>
      </c>
      <c r="AC18" s="305" t="s">
        <v>356</v>
      </c>
      <c r="AD18" s="305" t="s">
        <v>360</v>
      </c>
      <c r="AE18" s="305" t="s">
        <v>368</v>
      </c>
      <c r="AF18" s="305" t="s">
        <v>397</v>
      </c>
      <c r="AG18" s="305">
        <v>2</v>
      </c>
      <c r="AH18" s="305">
        <v>2</v>
      </c>
      <c r="AI18" s="305">
        <v>30</v>
      </c>
      <c r="AJ18" s="305">
        <v>2</v>
      </c>
      <c r="AK18" s="305">
        <f t="shared" si="10"/>
        <v>34</v>
      </c>
      <c r="AL18" s="306">
        <f t="shared" si="11"/>
        <v>34</v>
      </c>
    </row>
    <row r="19" spans="2:38" s="266" customFormat="1" x14ac:dyDescent="0.2">
      <c r="B19" s="361"/>
      <c r="C19" s="329"/>
      <c r="D19" s="330"/>
      <c r="E19" s="330"/>
      <c r="F19" s="330"/>
      <c r="G19" s="330"/>
      <c r="H19" s="330"/>
      <c r="I19" s="330"/>
      <c r="J19" s="304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4">
        <f>IFERROR(IF('Enriquecimento - SOA sem ETX'!$E19="",0,INDEX(Pesos_IFPUG,MATCH('Enriquecimento - SOA sem ETX'!$E19,Pesos_IFPUG_Objetos,0),MATCH('Enriquecimento - SOA sem ETX'!$J19,Pesos_IFPUG_Complexidade,0))),"")</f>
        <v>0</v>
      </c>
      <c r="L19" s="477"/>
      <c r="M19" s="479"/>
      <c r="N19" s="341" t="str">
        <f t="shared" si="0"/>
        <v/>
      </c>
      <c r="O19" s="477"/>
      <c r="P19" s="479"/>
      <c r="Q19" s="341" t="str">
        <f t="shared" si="1"/>
        <v/>
      </c>
      <c r="R19" s="477"/>
      <c r="S19" s="478"/>
      <c r="T19" s="479"/>
      <c r="U19" s="341" t="str">
        <f t="shared" si="2"/>
        <v/>
      </c>
      <c r="V19" s="342" t="str">
        <f t="shared" si="7"/>
        <v/>
      </c>
      <c r="W19" s="358">
        <f t="shared" si="3"/>
        <v>0</v>
      </c>
      <c r="X19" s="358">
        <f t="shared" si="4"/>
        <v>0</v>
      </c>
      <c r="Y19" s="358">
        <f t="shared" si="5"/>
        <v>0</v>
      </c>
      <c r="Z19" s="358">
        <f t="shared" si="6"/>
        <v>0</v>
      </c>
      <c r="AA19" s="358">
        <f t="shared" si="8"/>
        <v>0</v>
      </c>
      <c r="AB19" s="336" t="str">
        <f t="shared" ref="AB19:AB26" si="12">AC19&amp;AF19&amp;" - "&amp;AD19&amp;" - "&amp;AE19</f>
        <v>AlterarMapeamentoSimples - 1 a 15 campos - 6 a 10 campos</v>
      </c>
      <c r="AC19" s="305" t="s">
        <v>356</v>
      </c>
      <c r="AD19" s="305" t="s">
        <v>360</v>
      </c>
      <c r="AE19" s="305" t="s">
        <v>373</v>
      </c>
      <c r="AF19" s="305" t="s">
        <v>358</v>
      </c>
      <c r="AG19" s="305">
        <v>4</v>
      </c>
      <c r="AH19" s="305">
        <v>2</v>
      </c>
      <c r="AI19" s="305">
        <v>44</v>
      </c>
      <c r="AJ19" s="305">
        <v>2</v>
      </c>
      <c r="AK19" s="305">
        <f t="shared" si="10"/>
        <v>50</v>
      </c>
      <c r="AL19" s="306">
        <f t="shared" si="11"/>
        <v>48</v>
      </c>
    </row>
    <row r="20" spans="2:38" s="266" customFormat="1" x14ac:dyDescent="0.2">
      <c r="B20" s="361"/>
      <c r="C20" s="329"/>
      <c r="D20" s="330"/>
      <c r="E20" s="330"/>
      <c r="F20" s="330"/>
      <c r="G20" s="330"/>
      <c r="H20" s="330"/>
      <c r="I20" s="330"/>
      <c r="J20" s="304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4">
        <f>IFERROR(IF('Enriquecimento - SOA sem ETX'!$E20="",0,INDEX(Pesos_IFPUG,MATCH('Enriquecimento - SOA sem ETX'!$E20,Pesos_IFPUG_Objetos,0),MATCH('Enriquecimento - SOA sem ETX'!$J20,Pesos_IFPUG_Complexidade,0))),"")</f>
        <v>0</v>
      </c>
      <c r="L20" s="477"/>
      <c r="M20" s="479"/>
      <c r="N20" s="341" t="str">
        <f t="shared" si="0"/>
        <v/>
      </c>
      <c r="O20" s="477"/>
      <c r="P20" s="479"/>
      <c r="Q20" s="341" t="str">
        <f t="shared" si="1"/>
        <v/>
      </c>
      <c r="R20" s="477"/>
      <c r="S20" s="478"/>
      <c r="T20" s="479"/>
      <c r="U20" s="341" t="str">
        <f t="shared" si="2"/>
        <v/>
      </c>
      <c r="V20" s="342" t="str">
        <f t="shared" si="7"/>
        <v/>
      </c>
      <c r="W20" s="358">
        <f t="shared" si="3"/>
        <v>0</v>
      </c>
      <c r="X20" s="358">
        <f t="shared" si="4"/>
        <v>0</v>
      </c>
      <c r="Y20" s="358">
        <f t="shared" si="5"/>
        <v>0</v>
      </c>
      <c r="Z20" s="358">
        <f t="shared" si="6"/>
        <v>0</v>
      </c>
      <c r="AA20" s="358">
        <f t="shared" si="8"/>
        <v>0</v>
      </c>
      <c r="AB20" s="336" t="str">
        <f t="shared" si="12"/>
        <v>AlterarMapeamentoSimples(+) - 1 a 15 campos - 11 a 19 campos</v>
      </c>
      <c r="AC20" s="305" t="s">
        <v>356</v>
      </c>
      <c r="AD20" s="305" t="s">
        <v>360</v>
      </c>
      <c r="AE20" s="305" t="s">
        <v>369</v>
      </c>
      <c r="AF20" s="305" t="s">
        <v>398</v>
      </c>
      <c r="AG20" s="305">
        <v>6</v>
      </c>
      <c r="AH20" s="305">
        <v>2</v>
      </c>
      <c r="AI20" s="305">
        <v>56</v>
      </c>
      <c r="AJ20" s="305">
        <v>2</v>
      </c>
      <c r="AK20" s="305">
        <f t="shared" si="10"/>
        <v>64</v>
      </c>
      <c r="AL20" s="306">
        <f t="shared" si="11"/>
        <v>60</v>
      </c>
    </row>
    <row r="21" spans="2:38" s="266" customFormat="1" x14ac:dyDescent="0.2">
      <c r="B21" s="361"/>
      <c r="C21" s="329"/>
      <c r="D21" s="330"/>
      <c r="E21" s="330"/>
      <c r="F21" s="330"/>
      <c r="G21" s="330"/>
      <c r="H21" s="330"/>
      <c r="I21" s="330"/>
      <c r="J21" s="304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4">
        <f>IFERROR(IF('Enriquecimento - SOA sem ETX'!$E21="",0,INDEX(Pesos_IFPUG,MATCH('Enriquecimento - SOA sem ETX'!$E21,Pesos_IFPUG_Objetos,0),MATCH('Enriquecimento - SOA sem ETX'!$J21,Pesos_IFPUG_Complexidade,0))),"")</f>
        <v>0</v>
      </c>
      <c r="L21" s="477"/>
      <c r="M21" s="479"/>
      <c r="N21" s="341" t="str">
        <f t="shared" si="0"/>
        <v/>
      </c>
      <c r="O21" s="477"/>
      <c r="P21" s="479"/>
      <c r="Q21" s="341" t="str">
        <f t="shared" si="1"/>
        <v/>
      </c>
      <c r="R21" s="477"/>
      <c r="S21" s="478"/>
      <c r="T21" s="479"/>
      <c r="U21" s="341" t="str">
        <f t="shared" si="2"/>
        <v/>
      </c>
      <c r="V21" s="342" t="str">
        <f t="shared" si="7"/>
        <v/>
      </c>
      <c r="W21" s="358">
        <f t="shared" si="3"/>
        <v>0</v>
      </c>
      <c r="X21" s="358">
        <f t="shared" si="4"/>
        <v>0</v>
      </c>
      <c r="Y21" s="358">
        <f t="shared" si="5"/>
        <v>0</v>
      </c>
      <c r="Z21" s="358">
        <f t="shared" si="6"/>
        <v>0</v>
      </c>
      <c r="AA21" s="358">
        <f t="shared" si="8"/>
        <v>0</v>
      </c>
      <c r="AB21" s="336" t="str">
        <f t="shared" si="12"/>
        <v>AlterarMapeamentoMedia(-) - 16 a 49 campos - 1 a 10 campos</v>
      </c>
      <c r="AC21" s="305" t="s">
        <v>356</v>
      </c>
      <c r="AD21" s="305" t="s">
        <v>362</v>
      </c>
      <c r="AE21" s="305" t="s">
        <v>366</v>
      </c>
      <c r="AF21" s="305" t="s">
        <v>399</v>
      </c>
      <c r="AG21" s="305">
        <v>4</v>
      </c>
      <c r="AH21" s="305">
        <v>2</v>
      </c>
      <c r="AI21" s="305">
        <v>44</v>
      </c>
      <c r="AJ21" s="305">
        <v>2</v>
      </c>
      <c r="AK21" s="305">
        <f t="shared" si="10"/>
        <v>50</v>
      </c>
      <c r="AL21" s="306">
        <f t="shared" si="11"/>
        <v>48</v>
      </c>
    </row>
    <row r="22" spans="2:38" s="266" customFormat="1" x14ac:dyDescent="0.2">
      <c r="B22" s="361"/>
      <c r="C22" s="329"/>
      <c r="D22" s="330"/>
      <c r="E22" s="330"/>
      <c r="F22" s="330"/>
      <c r="G22" s="330"/>
      <c r="H22" s="330"/>
      <c r="I22" s="330"/>
      <c r="J22" s="304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4">
        <f>IFERROR(IF('Enriquecimento - SOA sem ETX'!$E22="",0,INDEX(Pesos_IFPUG,MATCH('Enriquecimento - SOA sem ETX'!$E22,Pesos_IFPUG_Objetos,0),MATCH('Enriquecimento - SOA sem ETX'!$J22,Pesos_IFPUG_Complexidade,0))),"")</f>
        <v>0</v>
      </c>
      <c r="L22" s="477"/>
      <c r="M22" s="479"/>
      <c r="N22" s="341" t="str">
        <f t="shared" si="0"/>
        <v/>
      </c>
      <c r="O22" s="477"/>
      <c r="P22" s="479"/>
      <c r="Q22" s="341" t="str">
        <f t="shared" si="1"/>
        <v/>
      </c>
      <c r="R22" s="477"/>
      <c r="S22" s="478"/>
      <c r="T22" s="479"/>
      <c r="U22" s="341" t="str">
        <f t="shared" si="2"/>
        <v/>
      </c>
      <c r="V22" s="342" t="str">
        <f t="shared" si="7"/>
        <v/>
      </c>
      <c r="W22" s="358">
        <f t="shared" si="3"/>
        <v>0</v>
      </c>
      <c r="X22" s="358">
        <f t="shared" si="4"/>
        <v>0</v>
      </c>
      <c r="Y22" s="358">
        <f t="shared" si="5"/>
        <v>0</v>
      </c>
      <c r="Z22" s="358">
        <f t="shared" si="6"/>
        <v>0</v>
      </c>
      <c r="AA22" s="358">
        <f t="shared" si="8"/>
        <v>0</v>
      </c>
      <c r="AB22" s="336" t="str">
        <f t="shared" si="12"/>
        <v>AlterarMapeamentoMedia - 16 a 49 campos - 11 a 30 campos</v>
      </c>
      <c r="AC22" s="367" t="s">
        <v>356</v>
      </c>
      <c r="AD22" s="367" t="s">
        <v>362</v>
      </c>
      <c r="AE22" s="367" t="s">
        <v>370</v>
      </c>
      <c r="AF22" s="367" t="s">
        <v>119</v>
      </c>
      <c r="AG22" s="367">
        <v>6</v>
      </c>
      <c r="AH22" s="367">
        <v>2</v>
      </c>
      <c r="AI22" s="367">
        <v>56</v>
      </c>
      <c r="AJ22" s="367">
        <v>2</v>
      </c>
      <c r="AK22" s="367">
        <f t="shared" si="10"/>
        <v>64</v>
      </c>
      <c r="AL22" s="368">
        <f t="shared" si="11"/>
        <v>60</v>
      </c>
    </row>
    <row r="23" spans="2:38" s="266" customFormat="1" x14ac:dyDescent="0.2">
      <c r="B23" s="361"/>
      <c r="C23" s="329"/>
      <c r="D23" s="330"/>
      <c r="E23" s="330"/>
      <c r="F23" s="330"/>
      <c r="G23" s="330"/>
      <c r="H23" s="330"/>
      <c r="I23" s="330"/>
      <c r="J23" s="304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4">
        <f>IFERROR(IF('Enriquecimento - SOA sem ETX'!$E23="",0,INDEX(Pesos_IFPUG,MATCH('Enriquecimento - SOA sem ETX'!$E23,Pesos_IFPUG_Objetos,0),MATCH('Enriquecimento - SOA sem ETX'!$J23,Pesos_IFPUG_Complexidade,0))),"")</f>
        <v>0</v>
      </c>
      <c r="L23" s="477"/>
      <c r="M23" s="479"/>
      <c r="N23" s="341" t="str">
        <f t="shared" si="0"/>
        <v/>
      </c>
      <c r="O23" s="477"/>
      <c r="P23" s="479"/>
      <c r="Q23" s="341" t="str">
        <f t="shared" si="1"/>
        <v/>
      </c>
      <c r="R23" s="477"/>
      <c r="S23" s="478"/>
      <c r="T23" s="479"/>
      <c r="U23" s="341" t="str">
        <f t="shared" si="2"/>
        <v/>
      </c>
      <c r="V23" s="342" t="str">
        <f t="shared" si="7"/>
        <v/>
      </c>
      <c r="W23" s="358">
        <f t="shared" si="3"/>
        <v>0</v>
      </c>
      <c r="X23" s="358">
        <f t="shared" si="4"/>
        <v>0</v>
      </c>
      <c r="Y23" s="358">
        <f t="shared" si="5"/>
        <v>0</v>
      </c>
      <c r="Z23" s="358">
        <f t="shared" si="6"/>
        <v>0</v>
      </c>
      <c r="AA23" s="358">
        <f t="shared" si="8"/>
        <v>0</v>
      </c>
      <c r="AB23" s="336" t="str">
        <f t="shared" si="12"/>
        <v>AlterarMapeamentoMedia(+) - 16 a 49 campos - 31 a 49 campos</v>
      </c>
      <c r="AC23" s="367" t="s">
        <v>356</v>
      </c>
      <c r="AD23" s="367" t="s">
        <v>362</v>
      </c>
      <c r="AE23" s="367" t="s">
        <v>371</v>
      </c>
      <c r="AF23" s="367" t="s">
        <v>400</v>
      </c>
      <c r="AG23" s="367">
        <v>8</v>
      </c>
      <c r="AH23" s="367">
        <v>2</v>
      </c>
      <c r="AI23" s="367">
        <v>70</v>
      </c>
      <c r="AJ23" s="367">
        <v>4</v>
      </c>
      <c r="AK23" s="367">
        <f t="shared" si="10"/>
        <v>82</v>
      </c>
      <c r="AL23" s="368">
        <f t="shared" si="11"/>
        <v>76</v>
      </c>
    </row>
    <row r="24" spans="2:38" s="266" customFormat="1" x14ac:dyDescent="0.2">
      <c r="B24" s="361"/>
      <c r="C24" s="329"/>
      <c r="D24" s="330"/>
      <c r="E24" s="330"/>
      <c r="F24" s="330"/>
      <c r="G24" s="330"/>
      <c r="H24" s="330"/>
      <c r="I24" s="330"/>
      <c r="J24" s="304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4">
        <f>IFERROR(IF('Enriquecimento - SOA sem ETX'!$E24="",0,INDEX(Pesos_IFPUG,MATCH('Enriquecimento - SOA sem ETX'!$E24,Pesos_IFPUG_Objetos,0),MATCH('Enriquecimento - SOA sem ETX'!$J24,Pesos_IFPUG_Complexidade,0))),"")</f>
        <v>0</v>
      </c>
      <c r="L24" s="477"/>
      <c r="M24" s="479"/>
      <c r="N24" s="341" t="str">
        <f t="shared" si="0"/>
        <v/>
      </c>
      <c r="O24" s="477"/>
      <c r="P24" s="479"/>
      <c r="Q24" s="341" t="str">
        <f t="shared" si="1"/>
        <v/>
      </c>
      <c r="R24" s="477"/>
      <c r="S24" s="478"/>
      <c r="T24" s="479"/>
      <c r="U24" s="341" t="str">
        <f t="shared" si="2"/>
        <v/>
      </c>
      <c r="V24" s="342" t="str">
        <f t="shared" si="7"/>
        <v/>
      </c>
      <c r="W24" s="358">
        <f t="shared" si="3"/>
        <v>0</v>
      </c>
      <c r="X24" s="358">
        <f t="shared" si="4"/>
        <v>0</v>
      </c>
      <c r="Y24" s="358">
        <f t="shared" si="5"/>
        <v>0</v>
      </c>
      <c r="Z24" s="358">
        <f t="shared" si="6"/>
        <v>0</v>
      </c>
      <c r="AA24" s="358">
        <f t="shared" si="8"/>
        <v>0</v>
      </c>
      <c r="AB24" s="336" t="str">
        <f t="shared" si="12"/>
        <v>AlterarMapeamentoComplexa(-) - Acima de 50 campos - 1 a 30 campos</v>
      </c>
      <c r="AC24" s="305" t="s">
        <v>356</v>
      </c>
      <c r="AD24" s="305" t="s">
        <v>364</v>
      </c>
      <c r="AE24" s="305" t="s">
        <v>367</v>
      </c>
      <c r="AF24" s="305" t="s">
        <v>401</v>
      </c>
      <c r="AG24" s="305">
        <v>6</v>
      </c>
      <c r="AH24" s="305">
        <v>2</v>
      </c>
      <c r="AI24" s="305">
        <v>56</v>
      </c>
      <c r="AJ24" s="305">
        <v>2</v>
      </c>
      <c r="AK24" s="305">
        <f t="shared" si="10"/>
        <v>64</v>
      </c>
      <c r="AL24" s="306">
        <f t="shared" si="11"/>
        <v>60</v>
      </c>
    </row>
    <row r="25" spans="2:38" s="266" customFormat="1" x14ac:dyDescent="0.2">
      <c r="B25" s="361"/>
      <c r="C25" s="329"/>
      <c r="D25" s="330"/>
      <c r="E25" s="330"/>
      <c r="F25" s="330"/>
      <c r="G25" s="330"/>
      <c r="H25" s="330"/>
      <c r="I25" s="330"/>
      <c r="J25" s="304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4">
        <f>IFERROR(IF('Enriquecimento - SOA sem ETX'!$E25="",0,INDEX(Pesos_IFPUG,MATCH('Enriquecimento - SOA sem ETX'!$E25,Pesos_IFPUG_Objetos,0),MATCH('Enriquecimento - SOA sem ETX'!$J25,Pesos_IFPUG_Complexidade,0))),"")</f>
        <v>0</v>
      </c>
      <c r="L25" s="477"/>
      <c r="M25" s="479"/>
      <c r="N25" s="341" t="str">
        <f t="shared" si="0"/>
        <v/>
      </c>
      <c r="O25" s="477"/>
      <c r="P25" s="479"/>
      <c r="Q25" s="341" t="str">
        <f t="shared" si="1"/>
        <v/>
      </c>
      <c r="R25" s="477"/>
      <c r="S25" s="478"/>
      <c r="T25" s="479"/>
      <c r="U25" s="341" t="str">
        <f t="shared" si="2"/>
        <v/>
      </c>
      <c r="V25" s="342" t="str">
        <f t="shared" si="7"/>
        <v/>
      </c>
      <c r="W25" s="358">
        <f t="shared" si="3"/>
        <v>0</v>
      </c>
      <c r="X25" s="358">
        <f t="shared" si="4"/>
        <v>0</v>
      </c>
      <c r="Y25" s="358">
        <f t="shared" si="5"/>
        <v>0</v>
      </c>
      <c r="Z25" s="358">
        <f t="shared" si="6"/>
        <v>0</v>
      </c>
      <c r="AA25" s="358">
        <f t="shared" si="8"/>
        <v>0</v>
      </c>
      <c r="AB25" s="336" t="str">
        <f t="shared" si="12"/>
        <v>AlterarMapeamentoComplexa - Acima de 50 campos - 31 a 50 campos</v>
      </c>
      <c r="AC25" s="305" t="s">
        <v>356</v>
      </c>
      <c r="AD25" s="305" t="s">
        <v>364</v>
      </c>
      <c r="AE25" s="305" t="s">
        <v>372</v>
      </c>
      <c r="AF25" s="305" t="s">
        <v>359</v>
      </c>
      <c r="AG25" s="305">
        <v>8</v>
      </c>
      <c r="AH25" s="305">
        <v>2</v>
      </c>
      <c r="AI25" s="305">
        <v>70</v>
      </c>
      <c r="AJ25" s="305">
        <v>4</v>
      </c>
      <c r="AK25" s="305">
        <f t="shared" si="10"/>
        <v>82</v>
      </c>
      <c r="AL25" s="306">
        <f t="shared" si="11"/>
        <v>76</v>
      </c>
    </row>
    <row r="26" spans="2:38" s="266" customFormat="1" x14ac:dyDescent="0.2">
      <c r="B26" s="361"/>
      <c r="C26" s="329"/>
      <c r="D26" s="330"/>
      <c r="E26" s="330"/>
      <c r="F26" s="330"/>
      <c r="G26" s="330"/>
      <c r="H26" s="330"/>
      <c r="I26" s="330"/>
      <c r="J26" s="304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4">
        <f>IFERROR(IF('Enriquecimento - SOA sem ETX'!$E26="",0,INDEX(Pesos_IFPUG,MATCH('Enriquecimento - SOA sem ETX'!$E26,Pesos_IFPUG_Objetos,0),MATCH('Enriquecimento - SOA sem ETX'!$J26,Pesos_IFPUG_Complexidade,0))),"")</f>
        <v>0</v>
      </c>
      <c r="L26" s="477"/>
      <c r="M26" s="479"/>
      <c r="N26" s="341" t="str">
        <f t="shared" si="0"/>
        <v/>
      </c>
      <c r="O26" s="477"/>
      <c r="P26" s="479"/>
      <c r="Q26" s="341" t="str">
        <f t="shared" si="1"/>
        <v/>
      </c>
      <c r="R26" s="477"/>
      <c r="S26" s="478"/>
      <c r="T26" s="479"/>
      <c r="U26" s="341" t="str">
        <f t="shared" si="2"/>
        <v/>
      </c>
      <c r="V26" s="342" t="str">
        <f t="shared" si="7"/>
        <v/>
      </c>
      <c r="W26" s="358">
        <f t="shared" si="3"/>
        <v>0</v>
      </c>
      <c r="X26" s="358">
        <f t="shared" si="4"/>
        <v>0</v>
      </c>
      <c r="Y26" s="358">
        <f t="shared" si="5"/>
        <v>0</v>
      </c>
      <c r="Z26" s="358">
        <f t="shared" si="6"/>
        <v>0</v>
      </c>
      <c r="AA26" s="358">
        <f t="shared" si="8"/>
        <v>0</v>
      </c>
      <c r="AB26" s="336" t="str">
        <f t="shared" si="12"/>
        <v>AlterarMapeamentoComplexa(+) - Acima de 50 campos - Acima de 50</v>
      </c>
      <c r="AC26" s="305" t="s">
        <v>356</v>
      </c>
      <c r="AD26" s="305" t="s">
        <v>364</v>
      </c>
      <c r="AE26" s="305" t="s">
        <v>374</v>
      </c>
      <c r="AF26" s="305" t="s">
        <v>402</v>
      </c>
      <c r="AG26" s="305">
        <v>10</v>
      </c>
      <c r="AH26" s="305">
        <v>2</v>
      </c>
      <c r="AI26" s="305">
        <v>84</v>
      </c>
      <c r="AJ26" s="305">
        <v>4</v>
      </c>
      <c r="AK26" s="305">
        <f t="shared" si="10"/>
        <v>98</v>
      </c>
      <c r="AL26" s="306">
        <f t="shared" si="11"/>
        <v>90</v>
      </c>
    </row>
    <row r="27" spans="2:38" s="266" customFormat="1" x14ac:dyDescent="0.2">
      <c r="B27" s="361"/>
      <c r="C27" s="329"/>
      <c r="D27" s="330"/>
      <c r="E27" s="330"/>
      <c r="F27" s="330"/>
      <c r="G27" s="330"/>
      <c r="H27" s="330"/>
      <c r="I27" s="330"/>
      <c r="J27" s="304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4">
        <f>IFERROR(IF('Enriquecimento - SOA sem ETX'!$E27="",0,INDEX(Pesos_IFPUG,MATCH('Enriquecimento - SOA sem ETX'!$E27,Pesos_IFPUG_Objetos,0),MATCH('Enriquecimento - SOA sem ETX'!$J27,Pesos_IFPUG_Complexidade,0))),"")</f>
        <v>0</v>
      </c>
      <c r="L27" s="477"/>
      <c r="M27" s="479"/>
      <c r="N27" s="341" t="str">
        <f t="shared" si="0"/>
        <v/>
      </c>
      <c r="O27" s="477"/>
      <c r="P27" s="479"/>
      <c r="Q27" s="341" t="str">
        <f t="shared" si="1"/>
        <v/>
      </c>
      <c r="R27" s="477"/>
      <c r="S27" s="478"/>
      <c r="T27" s="479"/>
      <c r="U27" s="341" t="str">
        <f t="shared" si="2"/>
        <v/>
      </c>
      <c r="V27" s="342" t="str">
        <f t="shared" si="7"/>
        <v/>
      </c>
      <c r="W27" s="358">
        <f t="shared" si="3"/>
        <v>0</v>
      </c>
      <c r="X27" s="358">
        <f t="shared" si="4"/>
        <v>0</v>
      </c>
      <c r="Y27" s="358">
        <f t="shared" si="5"/>
        <v>0</v>
      </c>
      <c r="Z27" s="358">
        <f t="shared" si="6"/>
        <v>0</v>
      </c>
      <c r="AA27" s="358">
        <f t="shared" si="8"/>
        <v>0</v>
      </c>
      <c r="AB27" s="336"/>
      <c r="AC27" s="310"/>
      <c r="AD27" s="310"/>
      <c r="AE27" s="310"/>
      <c r="AF27" s="310"/>
      <c r="AG27" s="310"/>
      <c r="AH27" s="310"/>
      <c r="AI27" s="310"/>
      <c r="AJ27" s="310"/>
      <c r="AK27" s="310"/>
      <c r="AL27" s="311"/>
    </row>
    <row r="28" spans="2:38" s="266" customFormat="1" x14ac:dyDescent="0.2">
      <c r="B28" s="361"/>
      <c r="C28" s="329"/>
      <c r="D28" s="330"/>
      <c r="E28" s="330"/>
      <c r="F28" s="330"/>
      <c r="G28" s="330"/>
      <c r="H28" s="330"/>
      <c r="I28" s="330"/>
      <c r="J28" s="304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4">
        <f>IFERROR(IF('Enriquecimento - SOA sem ETX'!$E28="",0,INDEX(Pesos_IFPUG,MATCH('Enriquecimento - SOA sem ETX'!$E28,Pesos_IFPUG_Objetos,0),MATCH('Enriquecimento - SOA sem ETX'!$J28,Pesos_IFPUG_Complexidade,0))),"")</f>
        <v>0</v>
      </c>
      <c r="L28" s="477"/>
      <c r="M28" s="479"/>
      <c r="N28" s="341" t="str">
        <f t="shared" si="0"/>
        <v/>
      </c>
      <c r="O28" s="477"/>
      <c r="P28" s="479"/>
      <c r="Q28" s="341" t="str">
        <f t="shared" si="1"/>
        <v/>
      </c>
      <c r="R28" s="477"/>
      <c r="S28" s="478"/>
      <c r="T28" s="479"/>
      <c r="U28" s="341" t="str">
        <f t="shared" si="2"/>
        <v/>
      </c>
      <c r="V28" s="342" t="str">
        <f t="shared" si="7"/>
        <v/>
      </c>
      <c r="W28" s="358">
        <f t="shared" si="3"/>
        <v>0</v>
      </c>
      <c r="X28" s="358">
        <f t="shared" si="4"/>
        <v>0</v>
      </c>
      <c r="Y28" s="358">
        <f t="shared" si="5"/>
        <v>0</v>
      </c>
      <c r="Z28" s="358">
        <f t="shared" si="6"/>
        <v>0</v>
      </c>
      <c r="AA28" s="358">
        <f t="shared" si="8"/>
        <v>0</v>
      </c>
      <c r="AB28" s="336"/>
      <c r="AC28" s="310"/>
      <c r="AD28" s="310"/>
      <c r="AE28" s="310"/>
      <c r="AF28" s="310"/>
      <c r="AG28" s="310"/>
      <c r="AH28" s="310"/>
      <c r="AI28" s="310"/>
      <c r="AJ28" s="310"/>
      <c r="AK28" s="310"/>
      <c r="AL28" s="311"/>
    </row>
    <row r="29" spans="2:38" s="266" customFormat="1" x14ac:dyDescent="0.2">
      <c r="B29" s="361"/>
      <c r="C29" s="329"/>
      <c r="D29" s="330"/>
      <c r="E29" s="330"/>
      <c r="F29" s="330"/>
      <c r="G29" s="330"/>
      <c r="H29" s="330"/>
      <c r="I29" s="330"/>
      <c r="J29" s="304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4">
        <f>IFERROR(IF('Enriquecimento - SOA sem ETX'!$E29="",0,INDEX(Pesos_IFPUG,MATCH('Enriquecimento - SOA sem ETX'!$E29,Pesos_IFPUG_Objetos,0),MATCH('Enriquecimento - SOA sem ETX'!$J29,Pesos_IFPUG_Complexidade,0))),"")</f>
        <v>0</v>
      </c>
      <c r="L29" s="477"/>
      <c r="M29" s="479"/>
      <c r="N29" s="341" t="str">
        <f t="shared" si="0"/>
        <v/>
      </c>
      <c r="O29" s="477"/>
      <c r="P29" s="479"/>
      <c r="Q29" s="341" t="str">
        <f t="shared" si="1"/>
        <v/>
      </c>
      <c r="R29" s="477"/>
      <c r="S29" s="478"/>
      <c r="T29" s="479"/>
      <c r="U29" s="341" t="str">
        <f t="shared" si="2"/>
        <v/>
      </c>
      <c r="V29" s="342" t="str">
        <f t="shared" si="7"/>
        <v/>
      </c>
      <c r="W29" s="358">
        <f t="shared" si="3"/>
        <v>0</v>
      </c>
      <c r="X29" s="358">
        <f t="shared" si="4"/>
        <v>0</v>
      </c>
      <c r="Y29" s="358">
        <f t="shared" si="5"/>
        <v>0</v>
      </c>
      <c r="Z29" s="358">
        <f t="shared" si="6"/>
        <v>0</v>
      </c>
      <c r="AA29" s="358">
        <f t="shared" si="8"/>
        <v>0</v>
      </c>
      <c r="AB29" s="324"/>
      <c r="AC29" s="310"/>
      <c r="AD29" s="310"/>
      <c r="AE29" s="310"/>
      <c r="AF29" s="310"/>
      <c r="AG29" s="310"/>
      <c r="AH29" s="310"/>
      <c r="AI29" s="310"/>
      <c r="AJ29" s="310"/>
      <c r="AK29" s="310"/>
      <c r="AL29" s="311"/>
    </row>
    <row r="30" spans="2:38" s="266" customFormat="1" x14ac:dyDescent="0.2">
      <c r="B30" s="361"/>
      <c r="C30" s="329"/>
      <c r="D30" s="330"/>
      <c r="E30" s="330"/>
      <c r="F30" s="330"/>
      <c r="G30" s="330"/>
      <c r="H30" s="330"/>
      <c r="I30" s="330"/>
      <c r="J30" s="304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4">
        <f>IFERROR(IF('Enriquecimento - SOA sem ETX'!$E30="",0,INDEX(Pesos_IFPUG,MATCH('Enriquecimento - SOA sem ETX'!$E30,Pesos_IFPUG_Objetos,0),MATCH('Enriquecimento - SOA sem ETX'!$J30,Pesos_IFPUG_Complexidade,0))),"")</f>
        <v>0</v>
      </c>
      <c r="L30" s="477"/>
      <c r="M30" s="479"/>
      <c r="N30" s="341" t="str">
        <f t="shared" si="0"/>
        <v/>
      </c>
      <c r="O30" s="477"/>
      <c r="P30" s="479"/>
      <c r="Q30" s="341" t="str">
        <f t="shared" si="1"/>
        <v/>
      </c>
      <c r="R30" s="477"/>
      <c r="S30" s="478"/>
      <c r="T30" s="479"/>
      <c r="U30" s="341" t="str">
        <f t="shared" si="2"/>
        <v/>
      </c>
      <c r="V30" s="342" t="str">
        <f t="shared" si="7"/>
        <v/>
      </c>
      <c r="W30" s="358">
        <f t="shared" si="3"/>
        <v>0</v>
      </c>
      <c r="X30" s="358">
        <f t="shared" si="4"/>
        <v>0</v>
      </c>
      <c r="Y30" s="358">
        <f t="shared" si="5"/>
        <v>0</v>
      </c>
      <c r="Z30" s="358">
        <f t="shared" si="6"/>
        <v>0</v>
      </c>
      <c r="AA30" s="358">
        <f t="shared" si="8"/>
        <v>0</v>
      </c>
      <c r="AB30" s="336"/>
      <c r="AC30" s="310"/>
      <c r="AD30" s="310"/>
      <c r="AE30" s="310"/>
      <c r="AF30" s="310"/>
      <c r="AG30" s="310"/>
      <c r="AH30" s="310"/>
      <c r="AI30" s="310"/>
      <c r="AJ30" s="310"/>
      <c r="AK30" s="310"/>
      <c r="AL30" s="311"/>
    </row>
    <row r="31" spans="2:38" x14ac:dyDescent="0.2">
      <c r="B31" s="361"/>
      <c r="C31" s="329"/>
      <c r="D31" s="330"/>
      <c r="E31" s="330"/>
      <c r="F31" s="330"/>
      <c r="G31" s="330"/>
      <c r="H31" s="330"/>
      <c r="I31" s="330"/>
      <c r="J31" s="304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4">
        <f>IFERROR(IF('Enriquecimento - SOA sem ETX'!$E31="",0,INDEX(Pesos_IFPUG,MATCH('Enriquecimento - SOA sem ETX'!$E31,Pesos_IFPUG_Objetos,0),MATCH('Enriquecimento - SOA sem ETX'!$J31,Pesos_IFPUG_Complexidade,0))),"")</f>
        <v>0</v>
      </c>
      <c r="L31" s="477"/>
      <c r="M31" s="479"/>
      <c r="N31" s="341" t="str">
        <f t="shared" si="0"/>
        <v/>
      </c>
      <c r="O31" s="477"/>
      <c r="P31" s="479"/>
      <c r="Q31" s="341" t="str">
        <f t="shared" si="1"/>
        <v/>
      </c>
      <c r="R31" s="477"/>
      <c r="S31" s="478"/>
      <c r="T31" s="479"/>
      <c r="U31" s="341" t="str">
        <f t="shared" si="2"/>
        <v/>
      </c>
      <c r="V31" s="342" t="str">
        <f t="shared" si="7"/>
        <v/>
      </c>
      <c r="W31" s="358">
        <f t="shared" si="3"/>
        <v>0</v>
      </c>
      <c r="X31" s="358">
        <f t="shared" si="4"/>
        <v>0</v>
      </c>
      <c r="Y31" s="358">
        <f t="shared" si="5"/>
        <v>0</v>
      </c>
      <c r="Z31" s="358">
        <f t="shared" si="6"/>
        <v>0</v>
      </c>
      <c r="AA31" s="358">
        <f t="shared" si="8"/>
        <v>0</v>
      </c>
      <c r="AB31" s="324"/>
      <c r="AC31" s="317" t="s">
        <v>387</v>
      </c>
      <c r="AD31" s="317" t="s">
        <v>4</v>
      </c>
      <c r="AE31" s="317" t="s">
        <v>353</v>
      </c>
      <c r="AF31" s="317" t="s">
        <v>388</v>
      </c>
      <c r="AG31" s="310"/>
      <c r="AH31" s="310"/>
      <c r="AI31" s="310"/>
      <c r="AJ31" s="310"/>
      <c r="AK31" s="310"/>
      <c r="AL31" s="311"/>
    </row>
    <row r="32" spans="2:38" x14ac:dyDescent="0.2">
      <c r="B32" s="361"/>
      <c r="C32" s="329"/>
      <c r="D32" s="330"/>
      <c r="E32" s="330"/>
      <c r="F32" s="330"/>
      <c r="G32" s="330"/>
      <c r="H32" s="330"/>
      <c r="I32" s="330"/>
      <c r="J32" s="304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4">
        <f>IFERROR(IF('Enriquecimento - SOA sem ETX'!$E32="",0,INDEX(Pesos_IFPUG,MATCH('Enriquecimento - SOA sem ETX'!$E32,Pesos_IFPUG_Objetos,0),MATCH('Enriquecimento - SOA sem ETX'!$J32,Pesos_IFPUG_Complexidade,0))),"")</f>
        <v>0</v>
      </c>
      <c r="L32" s="477"/>
      <c r="M32" s="479"/>
      <c r="N32" s="341" t="str">
        <f t="shared" si="0"/>
        <v/>
      </c>
      <c r="O32" s="477"/>
      <c r="P32" s="479"/>
      <c r="Q32" s="341" t="str">
        <f t="shared" si="1"/>
        <v/>
      </c>
      <c r="R32" s="477"/>
      <c r="S32" s="478"/>
      <c r="T32" s="479"/>
      <c r="U32" s="341" t="str">
        <f t="shared" si="2"/>
        <v/>
      </c>
      <c r="V32" s="342" t="str">
        <f t="shared" si="7"/>
        <v/>
      </c>
      <c r="W32" s="358">
        <f t="shared" si="3"/>
        <v>0</v>
      </c>
      <c r="X32" s="358">
        <f t="shared" si="4"/>
        <v>0</v>
      </c>
      <c r="Y32" s="358">
        <f t="shared" si="5"/>
        <v>0</v>
      </c>
      <c r="Z32" s="358">
        <f t="shared" si="6"/>
        <v>0</v>
      </c>
      <c r="AA32" s="358">
        <f t="shared" si="8"/>
        <v>0</v>
      </c>
      <c r="AB32" s="336" t="s">
        <v>396</v>
      </c>
      <c r="AC32" s="316" t="str">
        <f>AD32&amp;" - "&amp;AE32</f>
        <v>Simples - 1 a 19 campos</v>
      </c>
      <c r="AD32" s="316" t="s">
        <v>358</v>
      </c>
      <c r="AE32" s="316" t="s">
        <v>361</v>
      </c>
      <c r="AF32" s="28" t="s">
        <v>96</v>
      </c>
      <c r="AG32" s="310"/>
      <c r="AH32" s="310"/>
      <c r="AI32" s="310"/>
      <c r="AJ32" s="310"/>
      <c r="AK32" s="310"/>
      <c r="AL32" s="311"/>
    </row>
    <row r="33" spans="2:38" x14ac:dyDescent="0.2">
      <c r="B33" s="361"/>
      <c r="C33" s="329"/>
      <c r="D33" s="330"/>
      <c r="E33" s="330"/>
      <c r="F33" s="330"/>
      <c r="G33" s="330"/>
      <c r="H33" s="330"/>
      <c r="I33" s="330"/>
      <c r="J33" s="304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4">
        <f>IFERROR(IF('Enriquecimento - SOA sem ETX'!$E33="",0,INDEX(Pesos_IFPUG,MATCH('Enriquecimento - SOA sem ETX'!$E33,Pesos_IFPUG_Objetos,0),MATCH('Enriquecimento - SOA sem ETX'!$J33,Pesos_IFPUG_Complexidade,0))),"")</f>
        <v>0</v>
      </c>
      <c r="L33" s="477"/>
      <c r="M33" s="479"/>
      <c r="N33" s="341" t="str">
        <f t="shared" si="0"/>
        <v/>
      </c>
      <c r="O33" s="477"/>
      <c r="P33" s="479"/>
      <c r="Q33" s="341" t="str">
        <f t="shared" si="1"/>
        <v/>
      </c>
      <c r="R33" s="477"/>
      <c r="S33" s="478"/>
      <c r="T33" s="479"/>
      <c r="U33" s="341" t="str">
        <f t="shared" si="2"/>
        <v/>
      </c>
      <c r="V33" s="342" t="str">
        <f t="shared" si="7"/>
        <v/>
      </c>
      <c r="W33" s="358">
        <f t="shared" si="3"/>
        <v>0</v>
      </c>
      <c r="X33" s="358">
        <f t="shared" si="4"/>
        <v>0</v>
      </c>
      <c r="Y33" s="358">
        <f t="shared" si="5"/>
        <v>0</v>
      </c>
      <c r="Z33" s="358">
        <f t="shared" si="6"/>
        <v>0</v>
      </c>
      <c r="AA33" s="358">
        <f t="shared" si="8"/>
        <v>0</v>
      </c>
      <c r="AB33" s="324"/>
      <c r="AC33" s="316" t="str">
        <f>AD33&amp;" - "&amp;AE33</f>
        <v>Media - 20 a 49 campos</v>
      </c>
      <c r="AD33" s="316" t="s">
        <v>119</v>
      </c>
      <c r="AE33" s="316" t="s">
        <v>363</v>
      </c>
      <c r="AF33" s="28" t="s">
        <v>96</v>
      </c>
      <c r="AG33" s="310"/>
      <c r="AH33" s="310"/>
      <c r="AI33" s="310"/>
      <c r="AJ33" s="310"/>
      <c r="AK33" s="310"/>
      <c r="AL33" s="311"/>
    </row>
    <row r="34" spans="2:38" x14ac:dyDescent="0.2">
      <c r="B34" s="361"/>
      <c r="C34" s="329"/>
      <c r="D34" s="330"/>
      <c r="E34" s="330"/>
      <c r="F34" s="330"/>
      <c r="G34" s="330"/>
      <c r="H34" s="330"/>
      <c r="I34" s="330"/>
      <c r="J34" s="304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4">
        <f>IFERROR(IF('Enriquecimento - SOA sem ETX'!$E34="",0,INDEX(Pesos_IFPUG,MATCH('Enriquecimento - SOA sem ETX'!$E34,Pesos_IFPUG_Objetos,0),MATCH('Enriquecimento - SOA sem ETX'!$J34,Pesos_IFPUG_Complexidade,0))),"")</f>
        <v>0</v>
      </c>
      <c r="L34" s="477"/>
      <c r="M34" s="479"/>
      <c r="N34" s="341" t="str">
        <f t="shared" si="0"/>
        <v/>
      </c>
      <c r="O34" s="477"/>
      <c r="P34" s="479"/>
      <c r="Q34" s="341" t="str">
        <f t="shared" si="1"/>
        <v/>
      </c>
      <c r="R34" s="477"/>
      <c r="S34" s="478"/>
      <c r="T34" s="479"/>
      <c r="U34" s="341" t="str">
        <f t="shared" si="2"/>
        <v/>
      </c>
      <c r="V34" s="342" t="str">
        <f t="shared" si="7"/>
        <v/>
      </c>
      <c r="W34" s="358">
        <f t="shared" si="3"/>
        <v>0</v>
      </c>
      <c r="X34" s="358">
        <f t="shared" si="4"/>
        <v>0</v>
      </c>
      <c r="Y34" s="358">
        <f t="shared" si="5"/>
        <v>0</v>
      </c>
      <c r="Z34" s="358">
        <f t="shared" si="6"/>
        <v>0</v>
      </c>
      <c r="AA34" s="358">
        <f t="shared" si="8"/>
        <v>0</v>
      </c>
      <c r="AB34" s="336"/>
      <c r="AC34" s="316" t="str">
        <f>AD34&amp;" - "&amp;AE34</f>
        <v>Complexa - Acima de 50 campos</v>
      </c>
      <c r="AD34" s="316" t="s">
        <v>359</v>
      </c>
      <c r="AE34" s="316" t="s">
        <v>364</v>
      </c>
      <c r="AF34" s="28" t="s">
        <v>96</v>
      </c>
      <c r="AG34" s="310"/>
      <c r="AH34" s="310"/>
      <c r="AI34" s="310"/>
      <c r="AJ34" s="310"/>
      <c r="AK34" s="310"/>
      <c r="AL34" s="311"/>
    </row>
    <row r="35" spans="2:38" x14ac:dyDescent="0.2">
      <c r="B35" s="361"/>
      <c r="C35" s="329"/>
      <c r="D35" s="330"/>
      <c r="E35" s="330"/>
      <c r="F35" s="330"/>
      <c r="G35" s="330"/>
      <c r="H35" s="330"/>
      <c r="I35" s="330"/>
      <c r="J35" s="304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4">
        <f>IFERROR(IF('Enriquecimento - SOA sem ETX'!$E35="",0,INDEX(Pesos_IFPUG,MATCH('Enriquecimento - SOA sem ETX'!$E35,Pesos_IFPUG_Objetos,0),MATCH('Enriquecimento - SOA sem ETX'!$J35,Pesos_IFPUG_Complexidade,0))),"")</f>
        <v>0</v>
      </c>
      <c r="L35" s="477"/>
      <c r="M35" s="479"/>
      <c r="N35" s="341" t="str">
        <f t="shared" si="0"/>
        <v/>
      </c>
      <c r="O35" s="477"/>
      <c r="P35" s="479"/>
      <c r="Q35" s="341" t="str">
        <f t="shared" si="1"/>
        <v/>
      </c>
      <c r="R35" s="477"/>
      <c r="S35" s="478"/>
      <c r="T35" s="479"/>
      <c r="U35" s="341" t="str">
        <f t="shared" si="2"/>
        <v/>
      </c>
      <c r="V35" s="342" t="str">
        <f t="shared" si="7"/>
        <v/>
      </c>
      <c r="W35" s="358">
        <f t="shared" si="3"/>
        <v>0</v>
      </c>
      <c r="X35" s="358">
        <f t="shared" si="4"/>
        <v>0</v>
      </c>
      <c r="Y35" s="358">
        <f t="shared" si="5"/>
        <v>0</v>
      </c>
      <c r="Z35" s="358">
        <f t="shared" si="6"/>
        <v>0</v>
      </c>
      <c r="AA35" s="358">
        <f t="shared" si="8"/>
        <v>0</v>
      </c>
      <c r="AB35" s="324"/>
      <c r="AC35" s="310"/>
      <c r="AD35" s="310"/>
      <c r="AE35" s="310"/>
      <c r="AF35" s="310"/>
      <c r="AG35" s="310"/>
      <c r="AH35" s="310"/>
      <c r="AI35" s="310"/>
      <c r="AJ35" s="310"/>
      <c r="AK35" s="310"/>
      <c r="AL35" s="311"/>
    </row>
    <row r="36" spans="2:38" x14ac:dyDescent="0.2">
      <c r="B36" s="361"/>
      <c r="C36" s="329"/>
      <c r="D36" s="330"/>
      <c r="E36" s="330"/>
      <c r="F36" s="330"/>
      <c r="G36" s="330"/>
      <c r="H36" s="330"/>
      <c r="I36" s="330"/>
      <c r="J36" s="304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4">
        <f>IFERROR(IF('Enriquecimento - SOA sem ETX'!$E36="",0,INDEX(Pesos_IFPUG,MATCH('Enriquecimento - SOA sem ETX'!$E36,Pesos_IFPUG_Objetos,0),MATCH('Enriquecimento - SOA sem ETX'!$J36,Pesos_IFPUG_Complexidade,0))),"")</f>
        <v>0</v>
      </c>
      <c r="L36" s="477"/>
      <c r="M36" s="479"/>
      <c r="N36" s="341" t="str">
        <f t="shared" si="0"/>
        <v/>
      </c>
      <c r="O36" s="477"/>
      <c r="P36" s="479"/>
      <c r="Q36" s="341" t="str">
        <f t="shared" si="1"/>
        <v/>
      </c>
      <c r="R36" s="477"/>
      <c r="S36" s="478"/>
      <c r="T36" s="479"/>
      <c r="U36" s="341" t="str">
        <f t="shared" si="2"/>
        <v/>
      </c>
      <c r="V36" s="342" t="str">
        <f t="shared" si="7"/>
        <v/>
      </c>
      <c r="W36" s="358">
        <f t="shared" si="3"/>
        <v>0</v>
      </c>
      <c r="X36" s="358">
        <f t="shared" si="4"/>
        <v>0</v>
      </c>
      <c r="Y36" s="358">
        <f t="shared" si="5"/>
        <v>0</v>
      </c>
      <c r="Z36" s="358">
        <f t="shared" si="6"/>
        <v>0</v>
      </c>
      <c r="AA36" s="358">
        <f t="shared" si="8"/>
        <v>0</v>
      </c>
      <c r="AB36" s="336"/>
      <c r="AC36" s="317" t="s">
        <v>380</v>
      </c>
      <c r="AD36" s="317" t="s">
        <v>4</v>
      </c>
      <c r="AE36" s="317" t="s">
        <v>353</v>
      </c>
      <c r="AF36" s="317" t="s">
        <v>388</v>
      </c>
      <c r="AG36" s="310"/>
      <c r="AH36" s="310"/>
      <c r="AI36" s="310"/>
      <c r="AJ36" s="310"/>
      <c r="AK36" s="310"/>
      <c r="AL36" s="311"/>
    </row>
    <row r="37" spans="2:38" x14ac:dyDescent="0.2">
      <c r="B37" s="361"/>
      <c r="C37" s="329"/>
      <c r="D37" s="330"/>
      <c r="E37" s="330"/>
      <c r="F37" s="330"/>
      <c r="G37" s="330"/>
      <c r="H37" s="330"/>
      <c r="I37" s="330"/>
      <c r="J37" s="304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4">
        <f>IFERROR(IF('Enriquecimento - SOA sem ETX'!$E37="",0,INDEX(Pesos_IFPUG,MATCH('Enriquecimento - SOA sem ETX'!$E37,Pesos_IFPUG_Objetos,0),MATCH('Enriquecimento - SOA sem ETX'!$J37,Pesos_IFPUG_Complexidade,0))),"")</f>
        <v>0</v>
      </c>
      <c r="L37" s="477"/>
      <c r="M37" s="479"/>
      <c r="N37" s="341" t="str">
        <f t="shared" si="0"/>
        <v/>
      </c>
      <c r="O37" s="477"/>
      <c r="P37" s="479"/>
      <c r="Q37" s="341" t="str">
        <f t="shared" si="1"/>
        <v/>
      </c>
      <c r="R37" s="477"/>
      <c r="S37" s="478"/>
      <c r="T37" s="479"/>
      <c r="U37" s="341" t="str">
        <f t="shared" si="2"/>
        <v/>
      </c>
      <c r="V37" s="342" t="str">
        <f t="shared" si="7"/>
        <v/>
      </c>
      <c r="W37" s="358">
        <f t="shared" si="3"/>
        <v>0</v>
      </c>
      <c r="X37" s="358">
        <f t="shared" si="4"/>
        <v>0</v>
      </c>
      <c r="Y37" s="358">
        <f t="shared" si="5"/>
        <v>0</v>
      </c>
      <c r="Z37" s="358">
        <f t="shared" si="6"/>
        <v>0</v>
      </c>
      <c r="AA37" s="358">
        <f t="shared" si="8"/>
        <v>0</v>
      </c>
      <c r="AB37" s="324"/>
      <c r="AC37" s="310" t="str">
        <f>AD37&amp;" - "&amp;AE37&amp;" - "&amp;AF37</f>
        <v>Simples(-) - 1 a 15 campos - 1 a 5 campos</v>
      </c>
      <c r="AD37" s="310" t="s">
        <v>397</v>
      </c>
      <c r="AE37" s="316" t="s">
        <v>360</v>
      </c>
      <c r="AF37" s="310" t="s">
        <v>368</v>
      </c>
      <c r="AG37" s="310"/>
      <c r="AH37" s="310"/>
      <c r="AI37" s="310"/>
      <c r="AJ37" s="310"/>
      <c r="AK37" s="310"/>
      <c r="AL37" s="311"/>
    </row>
    <row r="38" spans="2:38" x14ac:dyDescent="0.2">
      <c r="B38" s="361"/>
      <c r="C38" s="329"/>
      <c r="D38" s="330"/>
      <c r="E38" s="330"/>
      <c r="F38" s="330"/>
      <c r="G38" s="330"/>
      <c r="H38" s="330"/>
      <c r="I38" s="330"/>
      <c r="J38" s="304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4">
        <f>IFERROR(IF('Enriquecimento - SOA sem ETX'!$E38="",0,INDEX(Pesos_IFPUG,MATCH('Enriquecimento - SOA sem ETX'!$E38,Pesos_IFPUG_Objetos,0),MATCH('Enriquecimento - SOA sem ETX'!$J38,Pesos_IFPUG_Complexidade,0))),"")</f>
        <v>0</v>
      </c>
      <c r="L38" s="477"/>
      <c r="M38" s="479"/>
      <c r="N38" s="341" t="str">
        <f t="shared" si="0"/>
        <v/>
      </c>
      <c r="O38" s="477"/>
      <c r="P38" s="479"/>
      <c r="Q38" s="341" t="str">
        <f t="shared" si="1"/>
        <v/>
      </c>
      <c r="R38" s="477"/>
      <c r="S38" s="478"/>
      <c r="T38" s="479"/>
      <c r="U38" s="341" t="str">
        <f t="shared" si="2"/>
        <v/>
      </c>
      <c r="V38" s="342" t="str">
        <f t="shared" si="7"/>
        <v/>
      </c>
      <c r="W38" s="358">
        <f t="shared" si="3"/>
        <v>0</v>
      </c>
      <c r="X38" s="358">
        <f t="shared" si="4"/>
        <v>0</v>
      </c>
      <c r="Y38" s="358">
        <f t="shared" si="5"/>
        <v>0</v>
      </c>
      <c r="Z38" s="358">
        <f t="shared" si="6"/>
        <v>0</v>
      </c>
      <c r="AA38" s="358">
        <f t="shared" si="8"/>
        <v>0</v>
      </c>
      <c r="AB38" s="336"/>
      <c r="AC38" s="310" t="str">
        <f t="shared" ref="AC38:AC45" si="13">AD38&amp;" - "&amp;AE38&amp;" - "&amp;AF38</f>
        <v>Simples - 1 a 15 campos - 6 a 10 campos</v>
      </c>
      <c r="AD38" s="310" t="s">
        <v>358</v>
      </c>
      <c r="AE38" s="316" t="s">
        <v>360</v>
      </c>
      <c r="AF38" s="310" t="s">
        <v>373</v>
      </c>
      <c r="AG38" s="310"/>
      <c r="AH38" s="310"/>
      <c r="AI38" s="310"/>
      <c r="AJ38" s="310"/>
      <c r="AK38" s="310"/>
      <c r="AL38" s="311"/>
    </row>
    <row r="39" spans="2:38" x14ac:dyDescent="0.2">
      <c r="B39" s="361"/>
      <c r="C39" s="329"/>
      <c r="D39" s="330"/>
      <c r="E39" s="330"/>
      <c r="F39" s="330"/>
      <c r="G39" s="330"/>
      <c r="H39" s="330"/>
      <c r="I39" s="330"/>
      <c r="J39" s="304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4">
        <f>IFERROR(IF('Enriquecimento - SOA sem ETX'!$E39="",0,INDEX(Pesos_IFPUG,MATCH('Enriquecimento - SOA sem ETX'!$E39,Pesos_IFPUG_Objetos,0),MATCH('Enriquecimento - SOA sem ETX'!$J39,Pesos_IFPUG_Complexidade,0))),"")</f>
        <v>0</v>
      </c>
      <c r="L39" s="477"/>
      <c r="M39" s="479"/>
      <c r="N39" s="341" t="str">
        <f t="shared" si="0"/>
        <v/>
      </c>
      <c r="O39" s="477"/>
      <c r="P39" s="479"/>
      <c r="Q39" s="341" t="str">
        <f t="shared" si="1"/>
        <v/>
      </c>
      <c r="R39" s="477"/>
      <c r="S39" s="478"/>
      <c r="T39" s="479"/>
      <c r="U39" s="341" t="str">
        <f t="shared" si="2"/>
        <v/>
      </c>
      <c r="V39" s="342" t="str">
        <f t="shared" si="7"/>
        <v/>
      </c>
      <c r="W39" s="358">
        <f t="shared" si="3"/>
        <v>0</v>
      </c>
      <c r="X39" s="358">
        <f t="shared" si="4"/>
        <v>0</v>
      </c>
      <c r="Y39" s="358">
        <f t="shared" si="5"/>
        <v>0</v>
      </c>
      <c r="Z39" s="358">
        <f t="shared" si="6"/>
        <v>0</v>
      </c>
      <c r="AA39" s="358">
        <f t="shared" si="8"/>
        <v>0</v>
      </c>
      <c r="AB39" s="324"/>
      <c r="AC39" s="310" t="str">
        <f t="shared" si="13"/>
        <v>Simples(+) - 1 a 15 campos - 11 a 19 campos</v>
      </c>
      <c r="AD39" s="316" t="s">
        <v>398</v>
      </c>
      <c r="AE39" s="316" t="s">
        <v>360</v>
      </c>
      <c r="AF39" s="316" t="s">
        <v>369</v>
      </c>
      <c r="AG39" s="310"/>
      <c r="AH39" s="310"/>
      <c r="AI39" s="310"/>
      <c r="AJ39" s="310"/>
      <c r="AK39" s="310"/>
      <c r="AL39" s="311"/>
    </row>
    <row r="40" spans="2:38" x14ac:dyDescent="0.2">
      <c r="B40" s="361"/>
      <c r="C40" s="329"/>
      <c r="D40" s="330"/>
      <c r="E40" s="330"/>
      <c r="F40" s="330"/>
      <c r="G40" s="330"/>
      <c r="H40" s="330"/>
      <c r="I40" s="330"/>
      <c r="J40" s="304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4">
        <f>IFERROR(IF('Enriquecimento - SOA sem ETX'!$E40="",0,INDEX(Pesos_IFPUG,MATCH('Enriquecimento - SOA sem ETX'!$E40,Pesos_IFPUG_Objetos,0),MATCH('Enriquecimento - SOA sem ETX'!$J40,Pesos_IFPUG_Complexidade,0))),"")</f>
        <v>0</v>
      </c>
      <c r="L40" s="477"/>
      <c r="M40" s="479"/>
      <c r="N40" s="341" t="str">
        <f t="shared" si="0"/>
        <v/>
      </c>
      <c r="O40" s="477"/>
      <c r="P40" s="479"/>
      <c r="Q40" s="341" t="str">
        <f t="shared" si="1"/>
        <v/>
      </c>
      <c r="R40" s="477"/>
      <c r="S40" s="478"/>
      <c r="T40" s="479"/>
      <c r="U40" s="341" t="str">
        <f t="shared" si="2"/>
        <v/>
      </c>
      <c r="V40" s="342" t="str">
        <f t="shared" si="7"/>
        <v/>
      </c>
      <c r="W40" s="358">
        <f t="shared" si="3"/>
        <v>0</v>
      </c>
      <c r="X40" s="358">
        <f t="shared" si="4"/>
        <v>0</v>
      </c>
      <c r="Y40" s="358">
        <f t="shared" si="5"/>
        <v>0</v>
      </c>
      <c r="Z40" s="358">
        <f t="shared" si="6"/>
        <v>0</v>
      </c>
      <c r="AA40" s="358">
        <f t="shared" si="8"/>
        <v>0</v>
      </c>
      <c r="AB40" s="336"/>
      <c r="AC40" s="310" t="str">
        <f t="shared" si="13"/>
        <v>Media(-) - 16 a 49 campos - 1 a 10 campos</v>
      </c>
      <c r="AD40" s="316" t="s">
        <v>399</v>
      </c>
      <c r="AE40" s="357" t="s">
        <v>362</v>
      </c>
      <c r="AF40" s="316" t="s">
        <v>366</v>
      </c>
      <c r="AG40" s="310"/>
      <c r="AH40" s="310"/>
      <c r="AI40" s="310"/>
      <c r="AJ40" s="310"/>
      <c r="AK40" s="310"/>
      <c r="AL40" s="311"/>
    </row>
    <row r="41" spans="2:38" x14ac:dyDescent="0.2">
      <c r="B41" s="361"/>
      <c r="C41" s="329"/>
      <c r="D41" s="330"/>
      <c r="E41" s="330"/>
      <c r="F41" s="330"/>
      <c r="G41" s="330"/>
      <c r="H41" s="330"/>
      <c r="I41" s="330"/>
      <c r="J41" s="304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4">
        <f>IFERROR(IF('Enriquecimento - SOA sem ETX'!$E41="",0,INDEX(Pesos_IFPUG,MATCH('Enriquecimento - SOA sem ETX'!$E41,Pesos_IFPUG_Objetos,0),MATCH('Enriquecimento - SOA sem ETX'!$J41,Pesos_IFPUG_Complexidade,0))),"")</f>
        <v>0</v>
      </c>
      <c r="L41" s="477"/>
      <c r="M41" s="479"/>
      <c r="N41" s="341" t="str">
        <f t="shared" si="0"/>
        <v/>
      </c>
      <c r="O41" s="477"/>
      <c r="P41" s="479"/>
      <c r="Q41" s="341" t="str">
        <f t="shared" si="1"/>
        <v/>
      </c>
      <c r="R41" s="477"/>
      <c r="S41" s="478"/>
      <c r="T41" s="479"/>
      <c r="U41" s="341" t="str">
        <f t="shared" si="2"/>
        <v/>
      </c>
      <c r="V41" s="342" t="str">
        <f t="shared" si="7"/>
        <v/>
      </c>
      <c r="W41" s="358">
        <f t="shared" si="3"/>
        <v>0</v>
      </c>
      <c r="X41" s="358">
        <f t="shared" si="4"/>
        <v>0</v>
      </c>
      <c r="Y41" s="358">
        <f t="shared" si="5"/>
        <v>0</v>
      </c>
      <c r="Z41" s="358">
        <f t="shared" si="6"/>
        <v>0</v>
      </c>
      <c r="AA41" s="358">
        <f t="shared" si="8"/>
        <v>0</v>
      </c>
      <c r="AB41" s="324"/>
      <c r="AC41" s="310" t="str">
        <f t="shared" si="13"/>
        <v>Media - 16 a 49 campos - 11 a 30 campos</v>
      </c>
      <c r="AD41" s="316" t="s">
        <v>119</v>
      </c>
      <c r="AE41" s="316" t="s">
        <v>362</v>
      </c>
      <c r="AF41" s="316" t="s">
        <v>370</v>
      </c>
      <c r="AG41" s="310"/>
      <c r="AH41" s="310"/>
      <c r="AI41" s="310"/>
      <c r="AJ41" s="310"/>
      <c r="AK41" s="310"/>
      <c r="AL41" s="311"/>
    </row>
    <row r="42" spans="2:38" x14ac:dyDescent="0.2">
      <c r="B42" s="361"/>
      <c r="C42" s="329"/>
      <c r="D42" s="330"/>
      <c r="E42" s="330"/>
      <c r="F42" s="330"/>
      <c r="G42" s="330"/>
      <c r="H42" s="330"/>
      <c r="I42" s="330"/>
      <c r="J42" s="304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4">
        <f>IFERROR(IF('Enriquecimento - SOA sem ETX'!$E42="",0,INDEX(Pesos_IFPUG,MATCH('Enriquecimento - SOA sem ETX'!$E42,Pesos_IFPUG_Objetos,0),MATCH('Enriquecimento - SOA sem ETX'!$J42,Pesos_IFPUG_Complexidade,0))),"")</f>
        <v>0</v>
      </c>
      <c r="L42" s="477"/>
      <c r="M42" s="479"/>
      <c r="N42" s="341" t="str">
        <f t="shared" si="0"/>
        <v/>
      </c>
      <c r="O42" s="477"/>
      <c r="P42" s="479"/>
      <c r="Q42" s="341" t="str">
        <f t="shared" si="1"/>
        <v/>
      </c>
      <c r="R42" s="477"/>
      <c r="S42" s="478"/>
      <c r="T42" s="479"/>
      <c r="U42" s="341" t="str">
        <f t="shared" si="2"/>
        <v/>
      </c>
      <c r="V42" s="342" t="str">
        <f t="shared" si="7"/>
        <v/>
      </c>
      <c r="W42" s="358">
        <f t="shared" si="3"/>
        <v>0</v>
      </c>
      <c r="X42" s="358">
        <f t="shared" si="4"/>
        <v>0</v>
      </c>
      <c r="Y42" s="358">
        <f t="shared" si="5"/>
        <v>0</v>
      </c>
      <c r="Z42" s="358">
        <f t="shared" si="6"/>
        <v>0</v>
      </c>
      <c r="AA42" s="358">
        <f t="shared" si="8"/>
        <v>0</v>
      </c>
      <c r="AB42" s="336"/>
      <c r="AC42" s="310" t="str">
        <f t="shared" si="13"/>
        <v>Media(+) - 16 a 49 campos - 31 a 49 campos</v>
      </c>
      <c r="AD42" s="316" t="s">
        <v>400</v>
      </c>
      <c r="AE42" s="316" t="s">
        <v>362</v>
      </c>
      <c r="AF42" s="316" t="s">
        <v>371</v>
      </c>
      <c r="AG42" s="310"/>
      <c r="AH42" s="310"/>
      <c r="AI42" s="310"/>
      <c r="AJ42" s="310"/>
      <c r="AK42" s="310"/>
      <c r="AL42" s="311"/>
    </row>
    <row r="43" spans="2:38" x14ac:dyDescent="0.2">
      <c r="B43" s="361"/>
      <c r="C43" s="329"/>
      <c r="D43" s="330"/>
      <c r="E43" s="330"/>
      <c r="F43" s="330"/>
      <c r="G43" s="330"/>
      <c r="H43" s="330"/>
      <c r="I43" s="330"/>
      <c r="J43" s="304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4">
        <f>IFERROR(IF('Enriquecimento - SOA sem ETX'!$E43="",0,INDEX(Pesos_IFPUG,MATCH('Enriquecimento - SOA sem ETX'!$E43,Pesos_IFPUG_Objetos,0),MATCH('Enriquecimento - SOA sem ETX'!$J43,Pesos_IFPUG_Complexidade,0))),"")</f>
        <v>0</v>
      </c>
      <c r="L43" s="477"/>
      <c r="M43" s="479"/>
      <c r="N43" s="341" t="str">
        <f t="shared" si="0"/>
        <v/>
      </c>
      <c r="O43" s="477"/>
      <c r="P43" s="479"/>
      <c r="Q43" s="341" t="str">
        <f t="shared" si="1"/>
        <v/>
      </c>
      <c r="R43" s="477"/>
      <c r="S43" s="478"/>
      <c r="T43" s="479"/>
      <c r="U43" s="341" t="str">
        <f t="shared" si="2"/>
        <v/>
      </c>
      <c r="V43" s="342" t="str">
        <f t="shared" si="7"/>
        <v/>
      </c>
      <c r="W43" s="358">
        <f t="shared" si="3"/>
        <v>0</v>
      </c>
      <c r="X43" s="358">
        <f t="shared" si="4"/>
        <v>0</v>
      </c>
      <c r="Y43" s="358">
        <f t="shared" si="5"/>
        <v>0</v>
      </c>
      <c r="Z43" s="358">
        <f t="shared" si="6"/>
        <v>0</v>
      </c>
      <c r="AA43" s="358">
        <f t="shared" si="8"/>
        <v>0</v>
      </c>
      <c r="AB43" s="324"/>
      <c r="AC43" s="310" t="str">
        <f t="shared" si="13"/>
        <v>Complexa(-) - Acima de 50 campos - 1 a 30 campos</v>
      </c>
      <c r="AD43" s="316" t="s">
        <v>401</v>
      </c>
      <c r="AE43" s="357" t="s">
        <v>364</v>
      </c>
      <c r="AF43" s="316" t="s">
        <v>367</v>
      </c>
      <c r="AG43" s="310"/>
      <c r="AH43" s="310"/>
      <c r="AI43" s="310"/>
      <c r="AJ43" s="310"/>
      <c r="AK43" s="310"/>
      <c r="AL43" s="311"/>
    </row>
    <row r="44" spans="2:38" x14ac:dyDescent="0.2">
      <c r="B44" s="361"/>
      <c r="C44" s="329"/>
      <c r="D44" s="330"/>
      <c r="E44" s="330"/>
      <c r="F44" s="330"/>
      <c r="G44" s="330"/>
      <c r="H44" s="330"/>
      <c r="I44" s="330"/>
      <c r="J44" s="304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4">
        <f>IFERROR(IF('Enriquecimento - SOA sem ETX'!$E44="",0,INDEX(Pesos_IFPUG,MATCH('Enriquecimento - SOA sem ETX'!$E44,Pesos_IFPUG_Objetos,0),MATCH('Enriquecimento - SOA sem ETX'!$J44,Pesos_IFPUG_Complexidade,0))),"")</f>
        <v>0</v>
      </c>
      <c r="L44" s="477"/>
      <c r="M44" s="479"/>
      <c r="N44" s="341" t="str">
        <f t="shared" si="0"/>
        <v/>
      </c>
      <c r="O44" s="477"/>
      <c r="P44" s="479"/>
      <c r="Q44" s="341" t="str">
        <f t="shared" si="1"/>
        <v/>
      </c>
      <c r="R44" s="477"/>
      <c r="S44" s="478"/>
      <c r="T44" s="479"/>
      <c r="U44" s="341" t="str">
        <f t="shared" si="2"/>
        <v/>
      </c>
      <c r="V44" s="342" t="str">
        <f t="shared" si="7"/>
        <v/>
      </c>
      <c r="W44" s="358">
        <f t="shared" si="3"/>
        <v>0</v>
      </c>
      <c r="X44" s="358">
        <f t="shared" si="4"/>
        <v>0</v>
      </c>
      <c r="Y44" s="358">
        <f t="shared" si="5"/>
        <v>0</v>
      </c>
      <c r="Z44" s="358">
        <f t="shared" si="6"/>
        <v>0</v>
      </c>
      <c r="AA44" s="358">
        <f t="shared" si="8"/>
        <v>0</v>
      </c>
      <c r="AB44" s="336"/>
      <c r="AC44" s="310" t="str">
        <f t="shared" si="13"/>
        <v>Complexa - Acima de 50 campos - 31 a 50 campos</v>
      </c>
      <c r="AD44" s="316" t="s">
        <v>359</v>
      </c>
      <c r="AE44" s="316" t="s">
        <v>364</v>
      </c>
      <c r="AF44" s="316" t="s">
        <v>372</v>
      </c>
      <c r="AG44" s="310"/>
      <c r="AH44" s="310"/>
      <c r="AI44" s="310"/>
      <c r="AJ44" s="310"/>
      <c r="AK44" s="310"/>
      <c r="AL44" s="311"/>
    </row>
    <row r="45" spans="2:38" x14ac:dyDescent="0.2">
      <c r="B45" s="361"/>
      <c r="C45" s="329"/>
      <c r="D45" s="330"/>
      <c r="E45" s="330"/>
      <c r="F45" s="330"/>
      <c r="G45" s="330"/>
      <c r="H45" s="330"/>
      <c r="I45" s="330"/>
      <c r="J45" s="304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4">
        <f>IFERROR(IF('Enriquecimento - SOA sem ETX'!$E45="",0,INDEX(Pesos_IFPUG,MATCH('Enriquecimento - SOA sem ETX'!$E45,Pesos_IFPUG_Objetos,0),MATCH('Enriquecimento - SOA sem ETX'!$J45,Pesos_IFPUG_Complexidade,0))),"")</f>
        <v>0</v>
      </c>
      <c r="L45" s="477"/>
      <c r="M45" s="479"/>
      <c r="N45" s="341" t="str">
        <f t="shared" si="0"/>
        <v/>
      </c>
      <c r="O45" s="477"/>
      <c r="P45" s="479"/>
      <c r="Q45" s="341" t="str">
        <f t="shared" si="1"/>
        <v/>
      </c>
      <c r="R45" s="477"/>
      <c r="S45" s="478"/>
      <c r="T45" s="479"/>
      <c r="U45" s="341" t="str">
        <f t="shared" si="2"/>
        <v/>
      </c>
      <c r="V45" s="342" t="str">
        <f t="shared" si="7"/>
        <v/>
      </c>
      <c r="W45" s="358">
        <f t="shared" si="3"/>
        <v>0</v>
      </c>
      <c r="X45" s="358">
        <f t="shared" si="4"/>
        <v>0</v>
      </c>
      <c r="Y45" s="358">
        <f t="shared" si="5"/>
        <v>0</v>
      </c>
      <c r="Z45" s="358">
        <f t="shared" si="6"/>
        <v>0</v>
      </c>
      <c r="AA45" s="358">
        <f t="shared" si="8"/>
        <v>0</v>
      </c>
      <c r="AB45" s="324"/>
      <c r="AC45" s="310" t="str">
        <f t="shared" si="13"/>
        <v>Complexa(+) - Acima de 50 campos - Acima de 50</v>
      </c>
      <c r="AD45" s="316" t="s">
        <v>402</v>
      </c>
      <c r="AE45" s="316" t="s">
        <v>364</v>
      </c>
      <c r="AF45" s="316" t="s">
        <v>374</v>
      </c>
      <c r="AG45" s="310"/>
      <c r="AH45" s="310"/>
      <c r="AI45" s="310"/>
      <c r="AJ45" s="310"/>
      <c r="AK45" s="310"/>
      <c r="AL45" s="311"/>
    </row>
    <row r="46" spans="2:38" x14ac:dyDescent="0.2">
      <c r="B46" s="361"/>
      <c r="C46" s="329"/>
      <c r="D46" s="330"/>
      <c r="E46" s="330"/>
      <c r="F46" s="330"/>
      <c r="G46" s="330"/>
      <c r="H46" s="330"/>
      <c r="I46" s="330"/>
      <c r="J46" s="304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4">
        <f>IFERROR(IF('Enriquecimento - SOA sem ETX'!$E46="",0,INDEX(Pesos_IFPUG,MATCH('Enriquecimento - SOA sem ETX'!$E46,Pesos_IFPUG_Objetos,0),MATCH('Enriquecimento - SOA sem ETX'!$J46,Pesos_IFPUG_Complexidade,0))),"")</f>
        <v>0</v>
      </c>
      <c r="L46" s="477"/>
      <c r="M46" s="479"/>
      <c r="N46" s="341" t="str">
        <f t="shared" si="0"/>
        <v/>
      </c>
      <c r="O46" s="477"/>
      <c r="P46" s="479"/>
      <c r="Q46" s="341" t="str">
        <f t="shared" si="1"/>
        <v/>
      </c>
      <c r="R46" s="477"/>
      <c r="S46" s="478"/>
      <c r="T46" s="479"/>
      <c r="U46" s="341" t="str">
        <f t="shared" si="2"/>
        <v/>
      </c>
      <c r="V46" s="342" t="str">
        <f t="shared" si="7"/>
        <v/>
      </c>
      <c r="W46" s="358">
        <f t="shared" si="3"/>
        <v>0</v>
      </c>
      <c r="X46" s="358">
        <f t="shared" si="4"/>
        <v>0</v>
      </c>
      <c r="Y46" s="358">
        <f t="shared" si="5"/>
        <v>0</v>
      </c>
      <c r="Z46" s="358">
        <f t="shared" si="6"/>
        <v>0</v>
      </c>
      <c r="AA46" s="358">
        <f t="shared" si="8"/>
        <v>0</v>
      </c>
      <c r="AB46" s="336"/>
      <c r="AC46" s="310"/>
      <c r="AD46" s="316"/>
      <c r="AE46" s="316"/>
      <c r="AF46" s="316"/>
      <c r="AG46" s="310"/>
      <c r="AH46" s="310"/>
      <c r="AI46" s="310"/>
      <c r="AJ46" s="310"/>
      <c r="AK46" s="310"/>
      <c r="AL46" s="311"/>
    </row>
    <row r="47" spans="2:38" x14ac:dyDescent="0.2">
      <c r="B47" s="361"/>
      <c r="C47" s="329"/>
      <c r="D47" s="330"/>
      <c r="E47" s="330"/>
      <c r="F47" s="330"/>
      <c r="G47" s="330"/>
      <c r="H47" s="330"/>
      <c r="I47" s="330"/>
      <c r="J47" s="304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4">
        <f>IFERROR(IF('Enriquecimento - SOA sem ETX'!$E47="",0,INDEX(Pesos_IFPUG,MATCH('Enriquecimento - SOA sem ETX'!$E47,Pesos_IFPUG_Objetos,0),MATCH('Enriquecimento - SOA sem ETX'!$J47,Pesos_IFPUG_Complexidade,0))),"")</f>
        <v>0</v>
      </c>
      <c r="L47" s="477"/>
      <c r="M47" s="479"/>
      <c r="N47" s="341" t="str">
        <f t="shared" si="0"/>
        <v/>
      </c>
      <c r="O47" s="477"/>
      <c r="P47" s="479"/>
      <c r="Q47" s="341" t="str">
        <f t="shared" si="1"/>
        <v/>
      </c>
      <c r="R47" s="477"/>
      <c r="S47" s="478"/>
      <c r="T47" s="479"/>
      <c r="U47" s="341" t="str">
        <f t="shared" si="2"/>
        <v/>
      </c>
      <c r="V47" s="342" t="str">
        <f t="shared" si="7"/>
        <v/>
      </c>
      <c r="W47" s="358">
        <f t="shared" si="3"/>
        <v>0</v>
      </c>
      <c r="X47" s="358">
        <f t="shared" si="4"/>
        <v>0</v>
      </c>
      <c r="Y47" s="358">
        <f t="shared" si="5"/>
        <v>0</v>
      </c>
      <c r="Z47" s="358">
        <f t="shared" si="6"/>
        <v>0</v>
      </c>
      <c r="AA47" s="358">
        <f t="shared" si="8"/>
        <v>0</v>
      </c>
      <c r="AB47" s="324"/>
      <c r="AC47" s="310"/>
      <c r="AD47" s="310"/>
      <c r="AE47" s="310"/>
      <c r="AF47" s="310"/>
      <c r="AG47" s="310"/>
      <c r="AH47" s="310"/>
      <c r="AI47" s="310"/>
      <c r="AJ47" s="310"/>
      <c r="AK47" s="310"/>
      <c r="AL47" s="311"/>
    </row>
    <row r="48" spans="2:38" x14ac:dyDescent="0.2">
      <c r="B48" s="361"/>
      <c r="C48" s="329"/>
      <c r="D48" s="330"/>
      <c r="E48" s="330"/>
      <c r="F48" s="330"/>
      <c r="G48" s="330"/>
      <c r="H48" s="330"/>
      <c r="I48" s="330"/>
      <c r="J48" s="304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4">
        <f>IFERROR(IF('Enriquecimento - SOA sem ETX'!$E48="",0,INDEX(Pesos_IFPUG,MATCH('Enriquecimento - SOA sem ETX'!$E48,Pesos_IFPUG_Objetos,0),MATCH('Enriquecimento - SOA sem ETX'!$J48,Pesos_IFPUG_Complexidade,0))),"")</f>
        <v>0</v>
      </c>
      <c r="L48" s="477"/>
      <c r="M48" s="479"/>
      <c r="N48" s="341" t="str">
        <f t="shared" si="0"/>
        <v/>
      </c>
      <c r="O48" s="477"/>
      <c r="P48" s="479"/>
      <c r="Q48" s="341" t="str">
        <f t="shared" si="1"/>
        <v/>
      </c>
      <c r="R48" s="477"/>
      <c r="S48" s="478"/>
      <c r="T48" s="479"/>
      <c r="U48" s="341" t="str">
        <f t="shared" si="2"/>
        <v/>
      </c>
      <c r="V48" s="342" t="str">
        <f t="shared" si="7"/>
        <v/>
      </c>
      <c r="W48" s="358">
        <f t="shared" si="3"/>
        <v>0</v>
      </c>
      <c r="X48" s="358">
        <f t="shared" si="4"/>
        <v>0</v>
      </c>
      <c r="Y48" s="358">
        <f t="shared" si="5"/>
        <v>0</v>
      </c>
      <c r="Z48" s="358">
        <f t="shared" si="6"/>
        <v>0</v>
      </c>
      <c r="AA48" s="358">
        <f t="shared" si="8"/>
        <v>0</v>
      </c>
      <c r="AB48" s="336"/>
      <c r="AC48" s="310"/>
      <c r="AD48" s="310"/>
      <c r="AE48" s="310"/>
      <c r="AF48" s="310"/>
      <c r="AG48" s="310"/>
      <c r="AH48" s="310"/>
      <c r="AI48" s="310"/>
      <c r="AJ48" s="310"/>
      <c r="AK48" s="310"/>
      <c r="AL48" s="311"/>
    </row>
    <row r="49" spans="2:38" x14ac:dyDescent="0.2">
      <c r="B49" s="361"/>
      <c r="C49" s="329"/>
      <c r="D49" s="330"/>
      <c r="E49" s="330"/>
      <c r="F49" s="330"/>
      <c r="G49" s="330"/>
      <c r="H49" s="330"/>
      <c r="I49" s="330"/>
      <c r="J49" s="304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4">
        <f>IFERROR(IF('Enriquecimento - SOA sem ETX'!$E49="",0,INDEX(Pesos_IFPUG,MATCH('Enriquecimento - SOA sem ETX'!$E49,Pesos_IFPUG_Objetos,0),MATCH('Enriquecimento - SOA sem ETX'!$J49,Pesos_IFPUG_Complexidade,0))),"")</f>
        <v>0</v>
      </c>
      <c r="L49" s="477"/>
      <c r="M49" s="479"/>
      <c r="N49" s="341" t="str">
        <f t="shared" si="0"/>
        <v/>
      </c>
      <c r="O49" s="477"/>
      <c r="P49" s="479"/>
      <c r="Q49" s="341" t="str">
        <f t="shared" si="1"/>
        <v/>
      </c>
      <c r="R49" s="477"/>
      <c r="S49" s="478"/>
      <c r="T49" s="479"/>
      <c r="U49" s="341" t="str">
        <f t="shared" si="2"/>
        <v/>
      </c>
      <c r="V49" s="342" t="str">
        <f t="shared" si="7"/>
        <v/>
      </c>
      <c r="W49" s="358">
        <f t="shared" si="3"/>
        <v>0</v>
      </c>
      <c r="X49" s="358">
        <f t="shared" si="4"/>
        <v>0</v>
      </c>
      <c r="Y49" s="358">
        <f t="shared" si="5"/>
        <v>0</v>
      </c>
      <c r="Z49" s="358">
        <f t="shared" si="6"/>
        <v>0</v>
      </c>
      <c r="AA49" s="358">
        <f t="shared" si="8"/>
        <v>0</v>
      </c>
      <c r="AB49" s="324"/>
      <c r="AC49" s="310"/>
      <c r="AD49" s="310"/>
      <c r="AE49" s="310"/>
      <c r="AF49" s="310"/>
      <c r="AG49" s="310"/>
      <c r="AH49" s="310"/>
      <c r="AI49" s="310"/>
      <c r="AJ49" s="310"/>
      <c r="AK49" s="310"/>
      <c r="AL49" s="311"/>
    </row>
    <row r="50" spans="2:38" x14ac:dyDescent="0.2">
      <c r="B50" s="361"/>
      <c r="C50" s="329"/>
      <c r="D50" s="330"/>
      <c r="E50" s="330"/>
      <c r="F50" s="330"/>
      <c r="G50" s="330"/>
      <c r="H50" s="330"/>
      <c r="I50" s="330"/>
      <c r="J50" s="304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4">
        <f>IFERROR(IF('Enriquecimento - SOA sem ETX'!$E50="",0,INDEX(Pesos_IFPUG,MATCH('Enriquecimento - SOA sem ETX'!$E50,Pesos_IFPUG_Objetos,0),MATCH('Enriquecimento - SOA sem ETX'!$J50,Pesos_IFPUG_Complexidade,0))),"")</f>
        <v>0</v>
      </c>
      <c r="L50" s="477"/>
      <c r="M50" s="479"/>
      <c r="N50" s="341" t="str">
        <f t="shared" si="0"/>
        <v/>
      </c>
      <c r="O50" s="477"/>
      <c r="P50" s="479"/>
      <c r="Q50" s="341" t="str">
        <f t="shared" si="1"/>
        <v/>
      </c>
      <c r="R50" s="477"/>
      <c r="S50" s="478"/>
      <c r="T50" s="479"/>
      <c r="U50" s="341" t="str">
        <f t="shared" si="2"/>
        <v/>
      </c>
      <c r="V50" s="342" t="str">
        <f t="shared" si="7"/>
        <v/>
      </c>
      <c r="W50" s="358">
        <f t="shared" si="3"/>
        <v>0</v>
      </c>
      <c r="X50" s="358">
        <f t="shared" si="4"/>
        <v>0</v>
      </c>
      <c r="Y50" s="358">
        <f t="shared" si="5"/>
        <v>0</v>
      </c>
      <c r="Z50" s="358">
        <f t="shared" si="6"/>
        <v>0</v>
      </c>
      <c r="AA50" s="358">
        <f t="shared" si="8"/>
        <v>0</v>
      </c>
      <c r="AB50" s="336"/>
      <c r="AC50" s="310"/>
      <c r="AD50" s="310"/>
      <c r="AE50" s="310"/>
      <c r="AF50" s="310"/>
      <c r="AG50" s="310"/>
      <c r="AH50" s="310"/>
      <c r="AI50" s="310"/>
      <c r="AJ50" s="310"/>
      <c r="AK50" s="310"/>
      <c r="AL50" s="311"/>
    </row>
    <row r="51" spans="2:38" ht="15.75" thickBot="1" x14ac:dyDescent="0.3">
      <c r="B51" s="307" t="s">
        <v>112</v>
      </c>
      <c r="C51" s="308"/>
      <c r="D51" s="308"/>
      <c r="E51" s="308"/>
      <c r="F51" s="309"/>
      <c r="G51" s="309"/>
      <c r="H51" s="309"/>
      <c r="I51" s="309"/>
      <c r="J51" s="308"/>
      <c r="K51" s="308">
        <f>SUBTOTAL(109,'Enriquecimento - SOA sem ETX'!$K$10:$K$50)</f>
        <v>0</v>
      </c>
      <c r="L51" s="474"/>
      <c r="M51" s="475"/>
      <c r="N51" s="341" t="str">
        <f>IF(AND(L51&lt;&gt;"",M51&lt;&gt;""),CONCATENATE($AC$12,L51,M51),"")</f>
        <v/>
      </c>
      <c r="O51" s="474"/>
      <c r="P51" s="475"/>
      <c r="Q51" s="341" t="str">
        <f>IF(AND(O51&lt;&gt;"",P51&lt;&gt;""),CONCATENATE($AC$15,O51,P51),"")</f>
        <v/>
      </c>
      <c r="R51" s="474"/>
      <c r="S51" s="476"/>
      <c r="T51" s="475"/>
      <c r="U51" s="341" t="str">
        <f>IF(AND(R51&lt;&gt;"",S51&lt;&gt;"",T51&lt;&gt;""),CONCATENATE($AC$18,R51,S51,T51),"")</f>
        <v/>
      </c>
      <c r="V51" s="343"/>
      <c r="W51" s="338"/>
      <c r="X51" s="339"/>
      <c r="Y51" s="339"/>
      <c r="Z51" s="325"/>
      <c r="AA51" s="340">
        <f>SUM(AA11:AA50)</f>
        <v>0</v>
      </c>
      <c r="AB51" s="337"/>
      <c r="AC51" s="312"/>
      <c r="AD51" s="312"/>
      <c r="AE51" s="312"/>
      <c r="AF51" s="312"/>
      <c r="AG51" s="312"/>
      <c r="AH51" s="312"/>
      <c r="AI51" s="312"/>
      <c r="AJ51" s="312"/>
      <c r="AK51" s="312"/>
      <c r="AL51" s="313"/>
    </row>
  </sheetData>
  <sheetProtection algorithmName="SHA-512" hashValue="IMbqCR93TI0zNTHgbOtGLxDo9MO3zT5PrYJMkGfQAliWvwdGuY/rY2wjkWgh9eYYfDUJd1990BZIg6SqwjRNKA==" saltValue="hQDBjd8IufP02GOnNba3Xw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zoomScale="85" zoomScaleNormal="85" workbookViewId="0">
      <selection activeCell="H29" sqref="H29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5" t="s">
        <v>38</v>
      </c>
      <c r="D2" s="435"/>
      <c r="E2" s="435"/>
      <c r="F2" s="435"/>
      <c r="G2" s="435"/>
      <c r="H2" s="435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0" t="s">
        <v>39</v>
      </c>
      <c r="D3" s="510"/>
      <c r="E3" s="510"/>
      <c r="F3" s="510"/>
      <c r="G3" s="510"/>
      <c r="H3" s="510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400</v>
      </c>
      <c r="E5" s="90"/>
      <c r="G5" s="74"/>
      <c r="H5" s="74" t="s">
        <v>45</v>
      </c>
      <c r="I5" s="74"/>
      <c r="J5" s="168"/>
      <c r="K5" s="168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68"/>
      <c r="K6" s="168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5" t="s">
        <v>90</v>
      </c>
      <c r="E7" s="435"/>
      <c r="F7" s="72" t="s">
        <v>207</v>
      </c>
      <c r="G7" s="359" t="s">
        <v>91</v>
      </c>
      <c r="H7" s="70" t="s">
        <v>94</v>
      </c>
      <c r="I7" s="4"/>
      <c r="J7" s="169" t="s">
        <v>268</v>
      </c>
      <c r="K7" s="188" t="s">
        <v>255</v>
      </c>
      <c r="L7" s="188" t="s">
        <v>223</v>
      </c>
      <c r="M7" s="188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5"/>
      <c r="E8" s="515"/>
      <c r="F8" s="75"/>
      <c r="G8" s="7"/>
      <c r="H8" s="7"/>
      <c r="I8" s="91"/>
      <c r="J8" s="171" t="e">
        <f>AND(Man_Cosmetica_Especial,VLOOKUP(B8,PercentuaisFases[],COLUMN(PercentuaisFases[[#Headers],[Man Cosmetica Especial]]),FALSE))</f>
        <v>#N/A</v>
      </c>
      <c r="K8" s="187" t="e">
        <f>AND(FabricaTestes,VLOOKUP(B8,PercentuaisFases[],VLOOKUP(Fornecedor,MapFasesFornecedores[#All],4,FALSE),FALSE))</f>
        <v>#N/A</v>
      </c>
      <c r="L8" s="164" t="b">
        <f>IF(C8="",0)</f>
        <v>0</v>
      </c>
      <c r="M8" s="164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>Ciclo extra de Teste Integrado (entre fornecedores distintos)</v>
      </c>
      <c r="D9" s="516"/>
      <c r="E9" s="516"/>
      <c r="F9" s="344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2"/>
      <c r="H9" s="220"/>
      <c r="I9" s="92"/>
      <c r="J9" s="171" t="b">
        <f>AND(Man_Cosmetica_Especial,VLOOKUP(B9,PercentuaisFases[],COLUMN(PercentuaisFases[[#Headers],[Man Cosmetica Especial]]),FALSE))</f>
        <v>0</v>
      </c>
      <c r="K9" s="187" t="b">
        <f>AND(FabricaTestes,VLOOKUP(B9,PercentuaisFases[],VLOOKUP(Fornecedor,MapFasesFornecedores[#All],4,FALSE),FALSE))</f>
        <v>0</v>
      </c>
      <c r="L9" s="164" t="b">
        <f>IF(C9="",0)</f>
        <v>0</v>
      </c>
      <c r="M9" s="164" t="b">
        <f>AND(Man_Cosmetica_Especial,VLOOKUP(B9,PercentuaisFases[],COLUMN(PercentuaisFases[[#Headers],[Man Cosmetica Especial]]),FALSE))</f>
        <v>0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>Ciclo extra de UAT</v>
      </c>
      <c r="D10" s="516"/>
      <c r="E10" s="516"/>
      <c r="F10" s="423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2"/>
      <c r="H10" s="220"/>
      <c r="I10" s="92"/>
      <c r="J10" s="171" t="b">
        <f>AND(Man_Cosmetica_Especial,VLOOKUP(B10,PercentuaisFases[],COLUMN(PercentuaisFases[[#Headers],[Man Cosmetica Especial]]),FALSE))</f>
        <v>0</v>
      </c>
      <c r="K10" s="187" t="b">
        <f>AND(FabricaTestes,VLOOKUP(B10,PercentuaisFases[],VLOOKUP(Fornecedor,MapFasesFornecedores[#All],4,FALSE),FALSE))</f>
        <v>0</v>
      </c>
      <c r="L10" s="164" t="b">
        <f t="shared" ref="L10:L15" si="0">IF(C10="",0)</f>
        <v>0</v>
      </c>
      <c r="M10" s="164" t="b">
        <f>AND(Man_Cosmetica_Especial,VLOOKUP(B10,PercentuaisFases[],COLUMN(PercentuaisFases[[#Headers],[Man Cosmetica Especial]]),FALSE))</f>
        <v>0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6"/>
      <c r="E11" s="516"/>
      <c r="F11" s="344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2"/>
      <c r="H11" s="220"/>
      <c r="I11" s="92"/>
      <c r="J11" s="171" t="b">
        <f>AND(Man_Cosmetica_Especial,VLOOKUP(B11,PercentuaisFases[],COLUMN(PercentuaisFases[[#Headers],[Man Cosmetica Especial]]),FALSE))</f>
        <v>0</v>
      </c>
      <c r="K11" s="187" t="b">
        <f>AND(FabricaTestes,VLOOKUP(B11,PercentuaisFases[],VLOOKUP(Fornecedor,MapFasesFornecedores[#All],4,FALSE),FALSE))</f>
        <v>0</v>
      </c>
      <c r="L11" s="164" t="b">
        <f t="shared" si="0"/>
        <v>0</v>
      </c>
      <c r="M11" s="164" t="b">
        <f>AND(Man_Cosmetica_Especial,VLOOKUP(B11,PercentuaisFases[],COLUMN(PercentuaisFases[[#Headers],[Man Cosmetica Especial]]),FALSE))</f>
        <v>0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7"/>
      <c r="E12" s="517"/>
      <c r="F12" s="345"/>
      <c r="G12" s="7"/>
      <c r="H12" s="221"/>
      <c r="I12" s="91"/>
      <c r="J12" s="171" t="e">
        <f>AND(Man_Cosmetica_Especial,VLOOKUP(B12,PercentuaisFases[],COLUMN(PercentuaisFases[[#Headers],[Man Cosmetica Especial]]),FALSE))</f>
        <v>#N/A</v>
      </c>
      <c r="K12" s="187" t="e">
        <f>AND(FabricaTestes,VLOOKUP(B12,PercentuaisFases[],VLOOKUP(Fornecedor,MapFasesFornecedores[#All],4,FALSE),FALSE))</f>
        <v>#N/A</v>
      </c>
      <c r="L12" s="164" t="b">
        <f t="shared" si="0"/>
        <v>0</v>
      </c>
      <c r="M12" s="164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>Site extra de Teste Integrado (entre fornecedores distintos)</v>
      </c>
      <c r="D13" s="516"/>
      <c r="E13" s="516"/>
      <c r="F13" s="423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2"/>
      <c r="H13" s="220"/>
      <c r="I13" s="92"/>
      <c r="J13" s="171" t="b">
        <f>AND(Man_Cosmetica_Especial,VLOOKUP(B13,PercentuaisFases[],COLUMN(PercentuaisFases[[#Headers],[Man Cosmetica Especial]]),FALSE))</f>
        <v>0</v>
      </c>
      <c r="K13" s="187" t="b">
        <f>AND(FabricaTestes,VLOOKUP(B13,PercentuaisFases[],VLOOKUP(Fornecedor,MapFasesFornecedores[#All],4,FALSE),FALSE))</f>
        <v>0</v>
      </c>
      <c r="L13" s="164" t="b">
        <f>IF(C13="",0)</f>
        <v>0</v>
      </c>
      <c r="M13" s="164" t="b">
        <f>AND(Man_Cosmetica_Especial,VLOOKUP(B13,PercentuaisFases[],COLUMN(PercentuaisFases[[#Headers],[Man Cosmetica Especial]]),FALSE))</f>
        <v>0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>Site extra de UAT</v>
      </c>
      <c r="D14" s="516"/>
      <c r="E14" s="516"/>
      <c r="F14" s="423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2"/>
      <c r="H14" s="220"/>
      <c r="I14" s="92"/>
      <c r="J14" s="171" t="b">
        <f>AND(Man_Cosmetica_Especial,VLOOKUP(B14,PercentuaisFases[],COLUMN(PercentuaisFases[[#Headers],[Man Cosmetica Especial]]),FALSE))</f>
        <v>0</v>
      </c>
      <c r="K14" s="187" t="b">
        <f>AND(FabricaTestes,VLOOKUP(B14,PercentuaisFases[],VLOOKUP(Fornecedor,MapFasesFornecedores[#All],4,FALSE),FALSE))</f>
        <v>0</v>
      </c>
      <c r="L14" s="164" t="b">
        <f t="shared" si="0"/>
        <v>0</v>
      </c>
      <c r="M14" s="164" t="b">
        <f>AND(Man_Cosmetica_Especial,VLOOKUP(B14,PercentuaisFases[],COLUMN(PercentuaisFases[[#Headers],[Man Cosmetica Especial]]),FALSE))</f>
        <v>0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6"/>
      <c r="E15" s="516"/>
      <c r="F15" s="423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2"/>
      <c r="H15" s="220"/>
      <c r="I15" s="92"/>
      <c r="J15" s="171" t="b">
        <f>AND(Man_Cosmetica_Especial,VLOOKUP(B15,PercentuaisFases[],COLUMN(PercentuaisFases[[#Headers],[Man Cosmetica Especial]]),FALSE))</f>
        <v>0</v>
      </c>
      <c r="K15" s="187" t="b">
        <f>AND(FabricaTestes,VLOOKUP(B15,PercentuaisFases[],VLOOKUP(Fornecedor,MapFasesFornecedores[#All],4,FALSE),FALSE))</f>
        <v>0</v>
      </c>
      <c r="L15" s="164" t="b">
        <f t="shared" si="0"/>
        <v>0</v>
      </c>
      <c r="M15" s="164" t="b">
        <f>AND(Man_Cosmetica_Especial,VLOOKUP(B15,PercentuaisFases[],COLUMN(PercentuaisFases[[#Headers],[Man Cosmetica Especial]]),FALSE))</f>
        <v>0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7"/>
      <c r="E16" s="517"/>
      <c r="F16" s="345"/>
      <c r="G16" s="7"/>
      <c r="H16" s="221"/>
      <c r="I16" s="91"/>
      <c r="J16" s="171" t="e">
        <f>AND(Man_Cosmetica_Especial,VLOOKUP(B16,PercentuaisFases[],COLUMN(PercentuaisFases[[#Headers],[Man Cosmetica Especial]]),FALSE))</f>
        <v>#N/A</v>
      </c>
      <c r="K16" s="170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8"/>
      <c r="E17" s="518"/>
      <c r="F17" s="344">
        <f ca="1">ROUND(IF(AND(D17=Sim,L17&gt;Acomp_PosProducao_Min),N17,0),2)</f>
        <v>0</v>
      </c>
      <c r="G17" s="406">
        <f ca="1">IF(AND(D17=Sim,L17&gt;Acomp_PosProducao_Min),N17,0)</f>
        <v>0</v>
      </c>
      <c r="H17" s="220"/>
      <c r="I17" s="94"/>
      <c r="J17" s="171" t="e">
        <f>AND(Man_Cosmetica_Especial,VLOOKUP(B17,PercentuaisFases[],COLUMN(PercentuaisFases[[#Headers],[Man Cosmetica Especial]]),FALSE))</f>
        <v>#N/A</v>
      </c>
      <c r="K17" s="172"/>
      <c r="L17" s="103">
        <f ca="1">ROUND(MAX(SUM(F9:F11,F13:F15,F19,F21,F23),SUM(G9:G11,G13:G15,G19,G21,G23))+Horas_APF+Horas_Analogia+Horas_NF_B+Horas_NF_C+Horas_NF_D+Horas_NF_E,2)</f>
        <v>400</v>
      </c>
      <c r="M17" s="103">
        <f ca="1">L17*Acomp_PosProducao_Perc</f>
        <v>8</v>
      </c>
      <c r="N17" s="103">
        <f ca="1">MIN(M17,Acomp_PosProducao_Max)</f>
        <v>8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7"/>
      <c r="E18" s="517"/>
      <c r="F18" s="345"/>
      <c r="G18" s="7"/>
      <c r="H18" s="221"/>
      <c r="I18" s="94"/>
      <c r="J18" s="171" t="e">
        <f>AND(Man_Cosmetica_Especial,VLOOKUP(B18,PercentuaisFases[],COLUMN(PercentuaisFases[[#Headers],[Man Cosmetica Especial]]),FALSE))</f>
        <v>#N/A</v>
      </c>
      <c r="K18" s="172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0"/>
      <c r="E19" s="521"/>
      <c r="F19" s="344">
        <f ca="1">IFERROR(INDIRECT(M19),0)</f>
        <v>0</v>
      </c>
      <c r="G19" s="360">
        <f ca="1">IFERROR(INDIRECT(M19),0)</f>
        <v>0</v>
      </c>
      <c r="H19" s="220"/>
      <c r="I19" s="94"/>
      <c r="J19" s="171" t="e">
        <f>AND(Man_Cosmetica_Especial,VLOOKUP(B19,PercentuaisFases[],COLUMN(PercentuaisFases[[#Headers],[Man Cosmetica Especial]]),FALSE))</f>
        <v>#N/A</v>
      </c>
      <c r="K19" s="172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hidden="1" customHeight="1" x14ac:dyDescent="0.2">
      <c r="A20" s="113"/>
      <c r="B20" s="114"/>
      <c r="C20" s="7" t="s">
        <v>351</v>
      </c>
      <c r="D20" s="517"/>
      <c r="E20" s="517"/>
      <c r="F20" s="345"/>
      <c r="G20" s="7"/>
      <c r="H20" s="221"/>
      <c r="I20" s="94"/>
      <c r="J20" s="171"/>
      <c r="K20" s="172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hidden="1" customHeight="1" x14ac:dyDescent="0.2">
      <c r="A21" s="113"/>
      <c r="B21" s="114"/>
      <c r="C21" s="78" t="s">
        <v>351</v>
      </c>
      <c r="D21" s="520"/>
      <c r="E21" s="521"/>
      <c r="F21" s="344">
        <f ca="1">IFERROR(INDIRECT(M20),0)</f>
        <v>0</v>
      </c>
      <c r="G21" s="360">
        <f ca="1">IFERROR(INDIRECT(M20),0)</f>
        <v>0</v>
      </c>
      <c r="H21" s="220"/>
      <c r="I21" s="94"/>
      <c r="J21" s="171"/>
      <c r="K21" s="172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hidden="1" customHeight="1" x14ac:dyDescent="0.2">
      <c r="A22" s="113"/>
      <c r="B22" s="114"/>
      <c r="C22" s="7" t="s">
        <v>393</v>
      </c>
      <c r="D22" s="517"/>
      <c r="E22" s="517"/>
      <c r="F22" s="345"/>
      <c r="G22" s="7"/>
      <c r="H22" s="221"/>
      <c r="I22" s="94"/>
      <c r="J22" s="171"/>
      <c r="K22" s="172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hidden="1" customHeight="1" x14ac:dyDescent="0.2">
      <c r="A23" s="113"/>
      <c r="B23" s="114"/>
      <c r="C23" s="78" t="s">
        <v>393</v>
      </c>
      <c r="D23" s="520"/>
      <c r="E23" s="521"/>
      <c r="F23" s="344">
        <f ca="1">IFERROR(INDIRECT(M21),0)</f>
        <v>0</v>
      </c>
      <c r="G23" s="360">
        <f ca="1">IFERROR(INDIRECT(M21),0)</f>
        <v>0</v>
      </c>
      <c r="H23" s="220"/>
      <c r="I23" s="94"/>
      <c r="J23" s="171"/>
      <c r="K23" s="172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9" t="s">
        <v>394</v>
      </c>
      <c r="D24" s="519"/>
      <c r="E24" s="519"/>
      <c r="F24" s="76">
        <f ca="1">ROUND(SUM(F9,F10,F11,F13,F14,F15,F17,F19,F21,F23),2)</f>
        <v>0</v>
      </c>
      <c r="G24" s="76">
        <f ca="1">ROUND(SUM(G9,G10,G11,G13,G14,G15,G17,G19,G21,G23),2)</f>
        <v>0</v>
      </c>
      <c r="H24" s="134"/>
      <c r="I24" s="74"/>
      <c r="J24" s="168"/>
      <c r="K24" s="168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5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48" t="s">
        <v>375</v>
      </c>
      <c r="D26" s="511"/>
      <c r="E26" s="449"/>
      <c r="F26" s="299" t="s">
        <v>91</v>
      </c>
      <c r="G26" s="299" t="s">
        <v>91</v>
      </c>
      <c r="H26" s="299" t="s">
        <v>94</v>
      </c>
      <c r="I26" s="4"/>
      <c r="J26" s="169"/>
      <c r="K26" s="169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89.25" x14ac:dyDescent="0.2">
      <c r="A27" s="107"/>
      <c r="B27" s="108"/>
      <c r="C27" s="512" t="s">
        <v>16</v>
      </c>
      <c r="D27" s="513"/>
      <c r="E27" s="514"/>
      <c r="F27" s="346"/>
      <c r="G27" s="346">
        <v>400</v>
      </c>
      <c r="H27" s="425" t="s">
        <v>484</v>
      </c>
      <c r="I27" s="97"/>
      <c r="J27" s="30"/>
      <c r="K27" s="30"/>
      <c r="L27" s="88" t="str">
        <f>VLOOKUP(Fornecedor,MapItensNFuncFornecedores[],2,FALSE)</f>
        <v>Itens 1</v>
      </c>
      <c r="M27" s="88" t="str">
        <f>"ItensNaoFuncionais["&amp;L27&amp;"]"</f>
        <v>ItensNaoFuncionais[Itens 1]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0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2"/>
      <c r="D28" s="513"/>
      <c r="E28" s="514"/>
      <c r="F28" s="346"/>
      <c r="G28" s="346"/>
      <c r="H28" s="222"/>
      <c r="I28" s="97"/>
      <c r="J28" s="30"/>
      <c r="K28" s="30"/>
      <c r="L28" s="142" t="str">
        <f>VLOOKUP(Fornecedor,MapItensNFuncFornecedores[],3,FALSE)</f>
        <v>Descrição obrigatoria item 1?</v>
      </c>
      <c r="M28" s="88" t="str">
        <f>"ItensNaoFuncionais[["&amp;L27&amp;"]:["&amp;L28&amp;"]]"</f>
        <v>ItensNaoFuncionais[[Itens 1]:[Descrição obrigatoria item 1?]]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2"/>
      <c r="D29" s="513"/>
      <c r="E29" s="514"/>
      <c r="F29" s="346"/>
      <c r="G29" s="346"/>
      <c r="H29" s="222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2"/>
      <c r="D30" s="513"/>
      <c r="E30" s="514"/>
      <c r="F30" s="346"/>
      <c r="G30" s="346"/>
      <c r="H30" s="222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2"/>
      <c r="D31" s="513"/>
      <c r="E31" s="514"/>
      <c r="F31" s="346"/>
      <c r="G31" s="346"/>
      <c r="H31" s="222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2"/>
      <c r="D32" s="513"/>
      <c r="E32" s="514"/>
      <c r="F32" s="346"/>
      <c r="G32" s="346"/>
      <c r="H32" s="222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2"/>
      <c r="D33" s="513"/>
      <c r="E33" s="514"/>
      <c r="F33" s="346"/>
      <c r="G33" s="346"/>
      <c r="H33" s="222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2"/>
      <c r="D34" s="513"/>
      <c r="E34" s="514"/>
      <c r="F34" s="346"/>
      <c r="G34" s="346"/>
      <c r="H34" s="222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2"/>
      <c r="D35" s="513"/>
      <c r="E35" s="514"/>
      <c r="F35" s="346"/>
      <c r="G35" s="346"/>
      <c r="H35" s="222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2"/>
      <c r="D36" s="513"/>
      <c r="E36" s="514"/>
      <c r="F36" s="346"/>
      <c r="G36" s="346"/>
      <c r="H36" s="222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2"/>
      <c r="D37" s="513"/>
      <c r="E37" s="514"/>
      <c r="F37" s="346"/>
      <c r="G37" s="346"/>
      <c r="H37" s="222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2"/>
      <c r="D38" s="513"/>
      <c r="E38" s="514"/>
      <c r="F38" s="346"/>
      <c r="G38" s="346"/>
      <c r="H38" s="222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2"/>
      <c r="D39" s="513"/>
      <c r="E39" s="514"/>
      <c r="F39" s="346"/>
      <c r="G39" s="346"/>
      <c r="H39" s="222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2"/>
      <c r="D40" s="513"/>
      <c r="E40" s="514"/>
      <c r="F40" s="346"/>
      <c r="G40" s="346"/>
      <c r="H40" s="222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2"/>
      <c r="D41" s="513"/>
      <c r="E41" s="514"/>
      <c r="F41" s="346"/>
      <c r="G41" s="346"/>
      <c r="H41" s="222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2"/>
      <c r="D42" s="513"/>
      <c r="E42" s="514"/>
      <c r="F42" s="346"/>
      <c r="G42" s="346"/>
      <c r="H42" s="222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19" t="s">
        <v>41</v>
      </c>
      <c r="D43" s="519"/>
      <c r="E43" s="519"/>
      <c r="F43" s="216">
        <f>SUM(F27:F42)</f>
        <v>0</v>
      </c>
      <c r="G43" s="216">
        <f>SUM(G27:G42)</f>
        <v>400</v>
      </c>
      <c r="H43" s="136"/>
      <c r="I43" s="34"/>
      <c r="J43" s="88"/>
      <c r="K43" s="88"/>
      <c r="L43" s="102">
        <f>MAX(F43:G43)</f>
        <v>400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6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79" t="s">
        <v>37</v>
      </c>
      <c r="I45" s="99"/>
      <c r="J45" s="173"/>
      <c r="K45" s="173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15"/>
      <c r="E46" s="215"/>
      <c r="F46" s="212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3"/>
      <c r="I46" s="100"/>
      <c r="J46" s="174"/>
      <c r="K46" s="174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15"/>
      <c r="E47" s="215"/>
      <c r="F47" s="212">
        <f t="shared" si="7"/>
        <v>0</v>
      </c>
      <c r="G47" s="71">
        <f t="shared" ref="G47:G51" si="8">F47</f>
        <v>0</v>
      </c>
      <c r="H47" s="223"/>
      <c r="I47" s="100"/>
      <c r="J47" s="174"/>
      <c r="K47" s="174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15"/>
      <c r="E48" s="215"/>
      <c r="F48" s="212">
        <f t="shared" si="7"/>
        <v>0</v>
      </c>
      <c r="G48" s="71">
        <f t="shared" si="8"/>
        <v>0</v>
      </c>
      <c r="H48" s="223"/>
      <c r="I48" s="100"/>
      <c r="J48" s="174"/>
      <c r="K48" s="174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15"/>
      <c r="E49" s="215"/>
      <c r="F49" s="212">
        <f t="shared" si="7"/>
        <v>0</v>
      </c>
      <c r="G49" s="71">
        <f t="shared" si="8"/>
        <v>0</v>
      </c>
      <c r="H49" s="223"/>
      <c r="I49" s="100"/>
      <c r="J49" s="174"/>
      <c r="K49" s="174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15"/>
      <c r="E50" s="215"/>
      <c r="F50" s="212">
        <f t="shared" si="7"/>
        <v>0</v>
      </c>
      <c r="G50" s="71">
        <f t="shared" si="8"/>
        <v>0</v>
      </c>
      <c r="H50" s="223"/>
      <c r="I50" s="100"/>
      <c r="J50" s="174"/>
      <c r="K50" s="174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15"/>
      <c r="E51" s="215"/>
      <c r="F51" s="212">
        <f t="shared" si="7"/>
        <v>0</v>
      </c>
      <c r="G51" s="71">
        <f t="shared" si="8"/>
        <v>0</v>
      </c>
      <c r="H51" s="223"/>
      <c r="I51" s="100"/>
      <c r="J51" s="174"/>
      <c r="K51" s="174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6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6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6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8" t="s">
        <v>62</v>
      </c>
      <c r="E55" s="449"/>
      <c r="F55" s="72" t="s">
        <v>207</v>
      </c>
      <c r="G55" s="72" t="s">
        <v>207</v>
      </c>
      <c r="H55" s="179" t="s">
        <v>37</v>
      </c>
      <c r="I55" s="99"/>
      <c r="J55" s="173"/>
      <c r="K55" s="173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09"/>
      <c r="E56" s="509"/>
      <c r="F56" s="212">
        <f>IF(D56&gt;0,VLOOKUP(D56,Config_Cenarios,2,TRUE),0)</f>
        <v>0</v>
      </c>
      <c r="G56" s="71">
        <f>F56</f>
        <v>0</v>
      </c>
      <c r="H56" s="223"/>
      <c r="I56" s="100"/>
      <c r="J56" s="174"/>
      <c r="K56" s="174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07"/>
      <c r="E57" s="508"/>
      <c r="F57" s="10">
        <f>SUM(F56)</f>
        <v>0</v>
      </c>
      <c r="G57" s="10">
        <f>F57</f>
        <v>0</v>
      </c>
      <c r="H57" s="136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6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6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5" t="s">
        <v>69</v>
      </c>
      <c r="E60" s="435"/>
      <c r="F60" s="72" t="s">
        <v>207</v>
      </c>
      <c r="G60" s="72" t="s">
        <v>207</v>
      </c>
      <c r="H60" s="179" t="s">
        <v>37</v>
      </c>
      <c r="I60" s="99"/>
      <c r="J60" s="173"/>
      <c r="K60" s="173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09"/>
      <c r="E61" s="509"/>
      <c r="F61" s="212">
        <f>IF(D61&gt;0,D61*16+16,0)</f>
        <v>0</v>
      </c>
      <c r="G61" s="71">
        <f>F61</f>
        <v>0</v>
      </c>
      <c r="H61" s="223"/>
      <c r="I61" s="100"/>
      <c r="J61" s="174"/>
      <c r="K61" s="174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07"/>
      <c r="E62" s="508"/>
      <c r="F62" s="10">
        <f>SUM(F61)</f>
        <v>0</v>
      </c>
      <c r="G62" s="10">
        <f>F62</f>
        <v>0</v>
      </c>
      <c r="H62" s="136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password="CABF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7" zoomScale="85" zoomScaleNormal="85" workbookViewId="0">
      <selection activeCell="F7" sqref="F7"/>
    </sheetView>
  </sheetViews>
  <sheetFormatPr defaultRowHeight="18" customHeight="1" x14ac:dyDescent="0.25"/>
  <cols>
    <col min="1" max="1" width="15.7109375" style="59" customWidth="1"/>
    <col min="2" max="2" width="7.7109375" style="203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395" hidden="1" customWidth="1"/>
    <col min="18" max="18" width="20.5703125" style="395" hidden="1" customWidth="1"/>
    <col min="19" max="19" width="11.5703125" style="387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196"/>
      <c r="E1" s="422"/>
      <c r="F1" s="68"/>
      <c r="G1" s="68"/>
      <c r="H1" s="34"/>
      <c r="I1" s="381" t="s">
        <v>30</v>
      </c>
      <c r="J1" s="88"/>
      <c r="K1" s="88"/>
      <c r="L1" s="88"/>
      <c r="M1" s="88"/>
      <c r="N1" s="88"/>
      <c r="O1" s="88"/>
      <c r="P1" s="88"/>
      <c r="Q1" s="382"/>
      <c r="R1" s="382"/>
      <c r="S1" s="383"/>
      <c r="T1" s="88"/>
      <c r="U1" s="88"/>
      <c r="V1" s="102"/>
    </row>
    <row r="2" spans="2:22" s="28" customFormat="1" ht="35.1" customHeight="1" x14ac:dyDescent="0.2">
      <c r="B2" s="435" t="s">
        <v>26</v>
      </c>
      <c r="C2" s="435"/>
      <c r="D2" s="435"/>
      <c r="E2" s="435"/>
      <c r="F2" s="435"/>
      <c r="G2" s="435"/>
      <c r="H2" s="435"/>
      <c r="I2" s="384"/>
      <c r="J2" s="88"/>
      <c r="K2" s="88"/>
      <c r="L2" s="88"/>
      <c r="M2" s="88"/>
      <c r="N2" s="88"/>
      <c r="O2" s="88"/>
      <c r="P2" s="88"/>
      <c r="Q2" s="382"/>
      <c r="R2" s="382"/>
      <c r="S2" s="383"/>
      <c r="T2" s="88"/>
      <c r="U2" s="88"/>
      <c r="V2" s="102"/>
    </row>
    <row r="3" spans="2:22" s="31" customFormat="1" ht="41.25" customHeight="1" x14ac:dyDescent="0.2">
      <c r="B3" s="522" t="s">
        <v>85</v>
      </c>
      <c r="C3" s="522"/>
      <c r="D3" s="522"/>
      <c r="E3" s="522"/>
      <c r="F3" s="522"/>
      <c r="G3" s="522"/>
      <c r="H3" s="522"/>
      <c r="I3" s="384"/>
      <c r="J3" s="89"/>
      <c r="K3" s="89"/>
      <c r="L3" s="89"/>
      <c r="M3" s="89"/>
      <c r="N3" s="89"/>
      <c r="O3" s="89"/>
      <c r="P3" s="89"/>
      <c r="Q3" s="174"/>
      <c r="R3" s="174"/>
      <c r="S3" s="385"/>
      <c r="T3" s="89" t="s">
        <v>425</v>
      </c>
      <c r="U3" s="89"/>
      <c r="V3" s="397"/>
    </row>
    <row r="4" spans="2:22" s="31" customFormat="1" ht="35.1" customHeight="1" x14ac:dyDescent="0.25">
      <c r="B4" s="197"/>
      <c r="C4" s="4"/>
      <c r="E4" s="68"/>
      <c r="F4" s="68"/>
      <c r="G4" s="68"/>
      <c r="H4" s="21" t="s">
        <v>45</v>
      </c>
      <c r="I4" s="384" t="s">
        <v>30</v>
      </c>
      <c r="J4" s="89"/>
      <c r="K4" s="89"/>
      <c r="L4" s="89"/>
      <c r="M4" s="89"/>
      <c r="N4" s="89"/>
      <c r="O4" s="89"/>
      <c r="P4" s="89"/>
      <c r="Q4" s="174"/>
      <c r="R4" s="174"/>
      <c r="S4" s="385"/>
      <c r="T4" s="405" t="s">
        <v>288</v>
      </c>
      <c r="U4" s="89"/>
      <c r="V4" s="397"/>
    </row>
    <row r="5" spans="2:22" ht="25.5" customHeight="1" x14ac:dyDescent="0.25">
      <c r="B5" s="198" t="s">
        <v>195</v>
      </c>
      <c r="C5" s="302" t="s">
        <v>86</v>
      </c>
      <c r="D5" s="302" t="s">
        <v>15</v>
      </c>
      <c r="E5" s="302" t="s">
        <v>168</v>
      </c>
      <c r="F5" s="302" t="s">
        <v>169</v>
      </c>
      <c r="G5" s="302" t="s">
        <v>170</v>
      </c>
      <c r="H5" s="302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0</v>
      </c>
      <c r="O5" s="88" t="b">
        <f>VLOOKUP(Fornecedor,MapFasesFornecedores[],5,FALSE)</f>
        <v>0</v>
      </c>
      <c r="P5" s="88"/>
      <c r="Q5" s="386" t="s">
        <v>408</v>
      </c>
      <c r="R5" s="386" t="s">
        <v>409</v>
      </c>
      <c r="T5" s="398" t="s">
        <v>92</v>
      </c>
      <c r="U5" s="399">
        <f>SUM(U6:U8)</f>
        <v>0.14000000000000001</v>
      </c>
      <c r="V5" s="400"/>
    </row>
    <row r="6" spans="2:22" ht="15" x14ac:dyDescent="0.2">
      <c r="B6" s="199">
        <v>1</v>
      </c>
      <c r="C6" s="350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47"/>
      <c r="G6" s="348"/>
      <c r="H6" s="347"/>
      <c r="I6" s="388" t="b">
        <f>IF(EsforcoFases[[#This Row],[Contratação]]=Sim,TRUE,FALSE)</f>
        <v>0</v>
      </c>
      <c r="J6" s="389" t="b">
        <f>AND(FabricaTestes,VLOOKUP(B6,PercentuaisFases[],VLOOKUP(Fornecedor,MapFasesFornecedores[#All],4,FALSE),FALSE))</f>
        <v>0</v>
      </c>
      <c r="K6" s="164" t="b">
        <f t="shared" ref="K6:K18" si="0">IF(C6="",0)</f>
        <v>0</v>
      </c>
      <c r="L6" s="164" t="b">
        <f>AND(Man_Cosmetica_Especial,VLOOKUP(EsforcoFases[[#This Row],[Id]],PercentuaisFases[],COLUMN(PercentuaisFases[[#Headers],[Man Cosmetica Especial]]),FALSE))</f>
        <v>0</v>
      </c>
      <c r="Q6" s="390"/>
      <c r="R6" s="390"/>
      <c r="T6" s="401" t="s">
        <v>416</v>
      </c>
      <c r="U6" s="402">
        <v>0.08</v>
      </c>
      <c r="V6" s="403">
        <f>ROUND(Analogia[[#Totals],[Esforço com Impacto]]*'Fases Contratadas'!U6,2)</f>
        <v>0</v>
      </c>
    </row>
    <row r="7" spans="2:22" ht="14.25" x14ac:dyDescent="0.2">
      <c r="B7" s="200" t="s">
        <v>196</v>
      </c>
      <c r="C7" s="230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4"/>
      <c r="I7" s="388" t="b">
        <f>IF(EsforcoFases[[#This Row],[Contratação]]=Sim,TRUE,FALSE)</f>
        <v>0</v>
      </c>
      <c r="J7" s="389" t="b">
        <f>AND(FabricaTestes,VLOOKUP(B7,PercentuaisFases[],VLOOKUP(Fornecedor,MapFasesFornecedores[#All],4,FALSE),FALSE))</f>
        <v>0</v>
      </c>
      <c r="K7" s="164" t="b">
        <f t="shared" si="0"/>
        <v>0</v>
      </c>
      <c r="L7" s="164" t="b">
        <f>AND(Man_Cosmetica_Especial,VLOOKUP(EsforcoFases[[#This Row],[Id]],PercentuaisFases[],COLUMN(PercentuaisFases[[#Headers],[Man Cosmetica Especial]]),FALSE))</f>
        <v>0</v>
      </c>
      <c r="Q7" s="391">
        <f>ROUND(IF(EsforcoFases[[#This Row],[checks]]=FALSE,0,PontosFuncao[[#Totals],[Esforço]]*IF(C7="","",VLOOKUP(B7,PercentuaisFases[],VLOOKUP(Fornecedor,MapFasesFornecedores[#All],3,FALSE),FALSE))),2)</f>
        <v>0</v>
      </c>
      <c r="R7" s="391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2">
        <f>Q7+R7</f>
        <v>0</v>
      </c>
      <c r="T7" s="401" t="s">
        <v>417</v>
      </c>
      <c r="U7" s="402">
        <v>0.03</v>
      </c>
      <c r="V7" s="403">
        <f>ROUND(Analogia[[#Totals],[Esforço com Impacto]]*'Fases Contratadas'!U7,2)</f>
        <v>0</v>
      </c>
    </row>
    <row r="8" spans="2:22" ht="15" x14ac:dyDescent="0.2">
      <c r="B8" s="199">
        <v>2</v>
      </c>
      <c r="C8" s="350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47"/>
      <c r="G8" s="348"/>
      <c r="H8" s="349"/>
      <c r="I8" s="388" t="b">
        <f>IF(EsforcoFases[[#This Row],[Contratação]]=Sim,TRUE,FALSE)</f>
        <v>0</v>
      </c>
      <c r="J8" s="389" t="b">
        <f>AND(FabricaTestes,VLOOKUP(B8,PercentuaisFases[],VLOOKUP(Fornecedor,MapFasesFornecedores[#All],4,FALSE),FALSE))</f>
        <v>0</v>
      </c>
      <c r="K8" s="164" t="b">
        <f t="shared" si="0"/>
        <v>0</v>
      </c>
      <c r="L8" s="164" t="b">
        <f>AND(Man_Cosmetica_Especial,VLOOKUP(EsforcoFases[[#This Row],[Id]],PercentuaisFases[],COLUMN(PercentuaisFases[[#Headers],[Man Cosmetica Especial]]),FALSE))</f>
        <v>0</v>
      </c>
      <c r="Q8" s="390"/>
      <c r="R8" s="390"/>
      <c r="S8" s="392"/>
      <c r="T8" s="401" t="s">
        <v>418</v>
      </c>
      <c r="U8" s="402">
        <v>0.03</v>
      </c>
      <c r="V8" s="403">
        <f>ROUND(Analogia[[#Totals],[Esforço com Impacto]]*'Fases Contratadas'!U8,2)</f>
        <v>0</v>
      </c>
    </row>
    <row r="9" spans="2:22" ht="15" customHeight="1" x14ac:dyDescent="0.25">
      <c r="B9" s="200" t="s">
        <v>197</v>
      </c>
      <c r="C9" s="230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4"/>
      <c r="I9" s="388" t="b">
        <f>IF(EsforcoFases[[#This Row],[Contratação]]=Sim,TRUE,FALSE)</f>
        <v>0</v>
      </c>
      <c r="J9" s="389" t="b">
        <f>AND(FabricaTestes,VLOOKUP(B9,PercentuaisFases[],VLOOKUP(Fornecedor,MapFasesFornecedores[#All],4,FALSE),FALSE))</f>
        <v>0</v>
      </c>
      <c r="K9" s="164" t="b">
        <f>IF(OR(F10&gt;0,C9=""),0)</f>
        <v>0</v>
      </c>
      <c r="L9" s="164" t="b">
        <f>AND(Man_Cosmetica_Especial,VLOOKUP(EsforcoFases[[#This Row],[Id]],PercentuaisFases[],COLUMN(PercentuaisFases[[#Headers],[Man Cosmetica Especial]]),FALSE))</f>
        <v>0</v>
      </c>
      <c r="Q9" s="391">
        <f>ROUND(IF(EsforcoFases[[#This Row],[checks]]=FALSE,0,PontosFuncao[[#Totals],[Esforço]]*IF(C9="","",VLOOKUP(B9,PercentuaisFases[],VLOOKUP(Fornecedor,MapFasesFornecedores[#All],3,FALSE),FALSE))),2)</f>
        <v>0</v>
      </c>
      <c r="R9" s="391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2">
        <f>Q9+R9</f>
        <v>0</v>
      </c>
      <c r="T9" s="398" t="s">
        <v>419</v>
      </c>
      <c r="U9" s="399">
        <f>SUM(U10:U14)</f>
        <v>0.56499999999999995</v>
      </c>
      <c r="V9" s="400"/>
    </row>
    <row r="10" spans="2:22" ht="14.25" x14ac:dyDescent="0.2">
      <c r="B10" s="200" t="s">
        <v>198</v>
      </c>
      <c r="C10" s="230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4"/>
      <c r="I10" s="388" t="b">
        <f>IF(EsforcoFases[[#This Row],[Contratação]]=Sim,TRUE,FALSE)</f>
        <v>0</v>
      </c>
      <c r="J10" s="389" t="b">
        <f>AND(FabricaTestes,VLOOKUP(B10,PercentuaisFases[],VLOOKUP(Fornecedor,MapFasesFornecedores[#All],4,FALSE),FALSE))</f>
        <v>0</v>
      </c>
      <c r="K10" s="164" t="b">
        <f>IF(OR(F9&gt;0,C10=""),0)</f>
        <v>0</v>
      </c>
      <c r="L10" s="164" t="b">
        <f>AND(Man_Cosmetica_Especial,VLOOKUP(EsforcoFases[[#This Row],[Id]],PercentuaisFases[],COLUMN(PercentuaisFases[[#Headers],[Man Cosmetica Especial]]),FALSE))</f>
        <v>0</v>
      </c>
      <c r="Q10" s="391">
        <f>ROUND(IF(EsforcoFases[[#This Row],[checks]]=FALSE,0,PontosFuncao[[#Totals],[Esforço]]*IF(C10="","",VLOOKUP(B10,PercentuaisFases[],VLOOKUP(Fornecedor,MapFasesFornecedores[#All],3,FALSE),FALSE))),2)</f>
        <v>0</v>
      </c>
      <c r="R10" s="391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2">
        <f>Q10+R10</f>
        <v>0</v>
      </c>
      <c r="T10" s="401" t="s">
        <v>420</v>
      </c>
      <c r="U10" s="402">
        <v>0.45</v>
      </c>
      <c r="V10" s="403">
        <f>ROUND(Analogia[[#Totals],[Esforço com Impacto]]*'Fases Contratadas'!U10,2)</f>
        <v>0</v>
      </c>
    </row>
    <row r="11" spans="2:22" ht="15" x14ac:dyDescent="0.2">
      <c r="B11" s="199">
        <v>3</v>
      </c>
      <c r="C11" s="350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47"/>
      <c r="G11" s="348"/>
      <c r="H11" s="349"/>
      <c r="I11" s="388" t="b">
        <f>IF(EsforcoFases[[#This Row],[Contratação]]=Sim,TRUE,FALSE)</f>
        <v>0</v>
      </c>
      <c r="J11" s="389" t="b">
        <f>AND(FabricaTestes,VLOOKUP(B11,PercentuaisFases[],VLOOKUP(Fornecedor,MapFasesFornecedores[#All],4,FALSE),FALSE))</f>
        <v>0</v>
      </c>
      <c r="K11" s="164" t="b">
        <f t="shared" si="0"/>
        <v>0</v>
      </c>
      <c r="L11" s="164" t="b">
        <f>AND(Man_Cosmetica_Especial,VLOOKUP(EsforcoFases[[#This Row],[Id]],PercentuaisFases[],COLUMN(PercentuaisFases[[#Headers],[Man Cosmetica Especial]]),FALSE))</f>
        <v>0</v>
      </c>
      <c r="Q11" s="390"/>
      <c r="R11" s="390"/>
      <c r="S11" s="392"/>
      <c r="T11" s="401" t="s">
        <v>421</v>
      </c>
      <c r="U11" s="402">
        <v>0.03</v>
      </c>
      <c r="V11" s="403">
        <f>ROUND(Analogia[[#Totals],[Esforço sem Impacto]]*'Fases Contratadas'!U11,2)</f>
        <v>0</v>
      </c>
    </row>
    <row r="12" spans="2:22" ht="76.5" customHeight="1" x14ac:dyDescent="0.2">
      <c r="B12" s="200" t="s">
        <v>199</v>
      </c>
      <c r="C12" s="230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4"/>
      <c r="I12" s="388" t="b">
        <f>IF(EsforcoFases[[#This Row],[Contratação]]=Sim,TRUE,FALSE)</f>
        <v>0</v>
      </c>
      <c r="J12" s="389" t="b">
        <f>AND(FabricaTestes,VLOOKUP(B12,PercentuaisFases[],VLOOKUP(Fornecedor,MapFasesFornecedores[#All],4,FALSE),FALSE))</f>
        <v>0</v>
      </c>
      <c r="K12" s="164" t="b">
        <f t="shared" si="0"/>
        <v>0</v>
      </c>
      <c r="L12" s="164" t="b">
        <f>AND(Man_Cosmetica_Especial,VLOOKUP(EsforcoFases[[#This Row],[Id]],PercentuaisFases[],COLUMN(PercentuaisFases[[#Headers],[Man Cosmetica Especial]]),FALSE))</f>
        <v>0</v>
      </c>
      <c r="Q12" s="391">
        <f>ROUND(IF(EsforcoFases[[#This Row],[checks]]=FALSE,0,PontosFuncao[[#Totals],[Esforço]]*IF(C12="","",VLOOKUP(B12,PercentuaisFases[],VLOOKUP(Fornecedor,MapFasesFornecedores[#All],3,FALSE),FALSE))),2)</f>
        <v>0</v>
      </c>
      <c r="R12" s="391">
        <f>ROUND(IF(EsforcoFases[[#This Row],[checks]]=FALSE,0,V15),2)</f>
        <v>0</v>
      </c>
      <c r="S12" s="392">
        <f>Q12+R12</f>
        <v>0</v>
      </c>
      <c r="T12" s="404" t="s">
        <v>422</v>
      </c>
      <c r="U12" s="402">
        <v>1.4999999999999999E-2</v>
      </c>
      <c r="V12" s="403">
        <f>ROUND(Analogia[[#Totals],[Esforço sem Impacto]]*'Fases Contratadas'!U12,2)</f>
        <v>0</v>
      </c>
    </row>
    <row r="13" spans="2:22" ht="15" customHeight="1" x14ac:dyDescent="0.2">
      <c r="B13" s="199">
        <v>4</v>
      </c>
      <c r="C13" s="350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>Testes Integrados / UAT</v>
      </c>
      <c r="D13" s="120"/>
      <c r="E13" s="123"/>
      <c r="F13" s="347"/>
      <c r="G13" s="348"/>
      <c r="H13" s="349"/>
      <c r="I13" s="388" t="b">
        <f>IF(EsforcoFases[[#This Row],[Contratação]]=Sim,TRUE,FALSE)</f>
        <v>0</v>
      </c>
      <c r="J13" s="389" t="b">
        <f>AND(FabricaTestes,VLOOKUP(B13,PercentuaisFases[],VLOOKUP(Fornecedor,MapFasesFornecedores[#All],4,FALSE),FALSE))</f>
        <v>0</v>
      </c>
      <c r="K13" s="369" t="b">
        <f t="shared" si="0"/>
        <v>0</v>
      </c>
      <c r="L13" s="164" t="b">
        <f>AND(Man_Cosmetica_Especial,VLOOKUP(EsforcoFases[[#This Row],[Id]],PercentuaisFases[],COLUMN(PercentuaisFases[[#Headers],[Man Cosmetica Especial]]),FALSE))</f>
        <v>0</v>
      </c>
      <c r="Q13" s="390"/>
      <c r="R13" s="390"/>
      <c r="S13" s="392"/>
      <c r="T13" s="401" t="s">
        <v>423</v>
      </c>
      <c r="U13" s="402">
        <v>0.01</v>
      </c>
      <c r="V13" s="403">
        <f>ROUND(Analogia[[#Totals],[Esforço sem Impacto]]*'Fases Contratadas'!U13,2)</f>
        <v>0</v>
      </c>
    </row>
    <row r="14" spans="2:22" ht="14.25" customHeight="1" x14ac:dyDescent="0.2">
      <c r="B14" s="200" t="s">
        <v>200</v>
      </c>
      <c r="C14" s="230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>Teste Integrado (Plano, Execução e Geração de Evidências)</v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4"/>
      <c r="I14" s="388" t="b">
        <f>IF(EsforcoFases[[#This Row],[Contratação]]=Sim,TRUE,FALSE)</f>
        <v>0</v>
      </c>
      <c r="J14" s="389" t="b">
        <f>AND(FabricaTestes,VLOOKUP(B14,PercentuaisFases[],VLOOKUP(Fornecedor,MapFasesFornecedores[#All],4,FALSE),FALSE))</f>
        <v>0</v>
      </c>
      <c r="K14" s="369" t="b">
        <f t="shared" si="0"/>
        <v>0</v>
      </c>
      <c r="L14" s="164" t="b">
        <f>AND(Man_Cosmetica_Especial,VLOOKUP(EsforcoFases[[#This Row],[Id]],PercentuaisFases[],COLUMN(PercentuaisFases[[#Headers],[Man Cosmetica Especial]]),FALSE))</f>
        <v>0</v>
      </c>
      <c r="Q14" s="391">
        <f>ROUND(IF(EsforcoFases[[#This Row],[checks]]=FALSE,0,PontosFuncao[[#Totals],[Esforço]]*IF(C14="","",VLOOKUP(B14,PercentuaisFases[],VLOOKUP(Fornecedor,MapFasesFornecedores[#All],3,FALSE),FALSE))),2)</f>
        <v>0</v>
      </c>
      <c r="R14" s="391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2">
        <f>Q14+R14</f>
        <v>0</v>
      </c>
      <c r="T14" s="401" t="s">
        <v>424</v>
      </c>
      <c r="U14" s="402">
        <v>0.06</v>
      </c>
      <c r="V14" s="403">
        <f>ROUND(Analogia[[#Totals],[Esforço sem Impacto]]*'Fases Contratadas'!U14,2)</f>
        <v>0</v>
      </c>
    </row>
    <row r="15" spans="2:22" ht="14.25" x14ac:dyDescent="0.2">
      <c r="B15" s="200" t="s">
        <v>201</v>
      </c>
      <c r="C15" s="230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>UAT (Plano, Execução, Geração e Apresentação de Evidências)</v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4"/>
      <c r="I15" s="388" t="b">
        <f>IF(EsforcoFases[[#This Row],[Contratação]]=Sim,TRUE,FALSE)</f>
        <v>0</v>
      </c>
      <c r="J15" s="389" t="b">
        <f>AND(FabricaTestes,VLOOKUP(B15,PercentuaisFases[],VLOOKUP(Fornecedor,MapFasesFornecedores[#All],4,FALSE),FALSE))</f>
        <v>0</v>
      </c>
      <c r="K15" s="369" t="b">
        <f t="shared" si="0"/>
        <v>0</v>
      </c>
      <c r="L15" s="164" t="b">
        <f>AND(Man_Cosmetica_Especial,VLOOKUP(EsforcoFases[[#This Row],[Id]],PercentuaisFases[],COLUMN(PercentuaisFases[[#Headers],[Man Cosmetica Especial]]),FALSE))</f>
        <v>0</v>
      </c>
      <c r="Q15" s="391">
        <f>ROUND(IF(EsforcoFases[[#This Row],[checks]]=FALSE,0,PontosFuncao[[#Totals],[Esforço]]*IF(C15="","",VLOOKUP(B15,PercentuaisFases[],VLOOKUP(Fornecedor,MapFasesFornecedores[#All],3,FALSE),FALSE))),2)</f>
        <v>0</v>
      </c>
      <c r="R15" s="391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2">
        <f>Q15+R15</f>
        <v>0</v>
      </c>
      <c r="V15" s="394">
        <f>SUM(V6:V14)</f>
        <v>0</v>
      </c>
    </row>
    <row r="16" spans="2:22" ht="15" x14ac:dyDescent="0.2">
      <c r="B16" s="199">
        <v>5</v>
      </c>
      <c r="C16" s="350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47"/>
      <c r="G16" s="348"/>
      <c r="H16" s="349"/>
      <c r="I16" s="388" t="b">
        <f>IF(EsforcoFases[[#This Row],[Contratação]]=Sim,TRUE,FALSE)</f>
        <v>0</v>
      </c>
      <c r="J16" s="389" t="b">
        <f>AND(FabricaTestes,VLOOKUP(B16,PercentuaisFases[],VLOOKUP(Fornecedor,MapFasesFornecedores[#All],4,FALSE),FALSE))</f>
        <v>0</v>
      </c>
      <c r="K16" s="164" t="b">
        <f t="shared" si="0"/>
        <v>0</v>
      </c>
      <c r="L16" s="164" t="b">
        <f>AND(Man_Cosmetica_Especial,VLOOKUP(EsforcoFases[[#This Row],[Id]],PercentuaisFases[],COLUMN(PercentuaisFases[[#Headers],[Man Cosmetica Especial]]),FALSE))</f>
        <v>0</v>
      </c>
      <c r="Q16" s="390"/>
      <c r="R16" s="390"/>
      <c r="S16" s="392"/>
    </row>
    <row r="17" spans="1:19" ht="14.25" x14ac:dyDescent="0.2">
      <c r="B17" s="200" t="s">
        <v>202</v>
      </c>
      <c r="C17" s="230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4"/>
      <c r="I17" s="388" t="b">
        <f>IF(EsforcoFases[[#This Row],[Contratação]]=Sim,TRUE,FALSE)</f>
        <v>0</v>
      </c>
      <c r="J17" s="389" t="b">
        <f>AND(FabricaTestes,VLOOKUP(B17,PercentuaisFases[],VLOOKUP(Fornecedor,MapFasesFornecedores[#All],4,FALSE),FALSE))</f>
        <v>0</v>
      </c>
      <c r="K17" s="164" t="b">
        <f t="shared" si="0"/>
        <v>0</v>
      </c>
      <c r="L17" s="164" t="b">
        <f>AND(Man_Cosmetica_Especial,VLOOKUP(EsforcoFases[[#This Row],[Id]],PercentuaisFases[],COLUMN(PercentuaisFases[[#Headers],[Man Cosmetica Especial]]),FALSE))</f>
        <v>0</v>
      </c>
      <c r="Q17" s="391">
        <f>ROUND(IF(EsforcoFases[[#This Row],[checks]]=FALSE,0,PontosFuncao[[#Totals],[Esforço]]*IF(C17="","",VLOOKUP(B17,PercentuaisFases[],VLOOKUP(Fornecedor,MapFasesFornecedores[#All],3,FALSE),FALSE))),2)</f>
        <v>0</v>
      </c>
      <c r="R17" s="391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2">
        <f t="shared" ref="S17:S18" si="1">Q17+R17</f>
        <v>0</v>
      </c>
    </row>
    <row r="18" spans="1:19" ht="14.25" x14ac:dyDescent="0.2">
      <c r="B18" s="200" t="s">
        <v>203</v>
      </c>
      <c r="C18" s="230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4"/>
      <c r="I18" s="388" t="b">
        <f>IF(EsforcoFases[[#This Row],[Contratação]]=Sim,TRUE,FALSE)</f>
        <v>0</v>
      </c>
      <c r="J18" s="389" t="b">
        <f>AND(FabricaTestes,VLOOKUP(B18,PercentuaisFases[],VLOOKUP(Fornecedor,MapFasesFornecedores[#All],4,FALSE),FALSE))</f>
        <v>0</v>
      </c>
      <c r="K18" s="103" t="b">
        <f t="shared" si="0"/>
        <v>0</v>
      </c>
      <c r="L18" s="164" t="b">
        <f>AND(Man_Cosmetica_Especial,VLOOKUP(EsforcoFases[[#This Row],[Id]],PercentuaisFases[],COLUMN(PercentuaisFases[[#Headers],[Man Cosmetica Especial]]),FALSE))</f>
        <v>0</v>
      </c>
      <c r="Q18" s="391">
        <f>ROUND(IF(EsforcoFases[[#This Row],[checks]]=FALSE,0,PontosFuncao[[#Totals],[Esforço]]*IF(C18="","",VLOOKUP(B18,PercentuaisFases[],VLOOKUP(Fornecedor,MapFasesFornecedores[#All],3,FALSE),FALSE))),2)</f>
        <v>0</v>
      </c>
      <c r="R18" s="391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2">
        <f t="shared" si="1"/>
        <v>0</v>
      </c>
    </row>
    <row r="19" spans="1:19" ht="15" x14ac:dyDescent="0.25">
      <c r="B19" s="201"/>
      <c r="C19" s="351" t="s">
        <v>112</v>
      </c>
      <c r="D19" s="49"/>
      <c r="E19" s="180">
        <f>ROUND(SUBTOTAL(109,EsforcoFases[Esforço em Horas (calculado)]),2)</f>
        <v>0</v>
      </c>
      <c r="F19" s="180">
        <f>ROUND(SUBTOTAL(109,EsforcoFases[Esforço em Horas (preenchido)]),2)</f>
        <v>0</v>
      </c>
      <c r="G19" s="181">
        <f>SUBTOTAL(109,EsforcoFases[Percentual Calculado da Fase])</f>
        <v>0</v>
      </c>
      <c r="H19" s="201"/>
      <c r="I19" s="393"/>
      <c r="J19" s="393"/>
      <c r="K19" s="393"/>
      <c r="L19" s="393"/>
      <c r="Q19" s="394">
        <f>SUBTOTAL(109,Q6:Q18)</f>
        <v>0</v>
      </c>
      <c r="R19" s="394">
        <f>SUBTOTAL(109,R6:R18)</f>
        <v>0</v>
      </c>
    </row>
    <row r="20" spans="1:19" ht="18" customHeight="1" x14ac:dyDescent="0.25">
      <c r="A20" s="83"/>
      <c r="B20" s="202"/>
      <c r="C20" s="83"/>
      <c r="D20" s="83"/>
      <c r="E20" s="84"/>
      <c r="F20" s="84"/>
      <c r="G20" s="84"/>
    </row>
    <row r="21" spans="1:19" ht="18" customHeight="1" x14ac:dyDescent="0.25">
      <c r="A21" s="83"/>
      <c r="B21" s="202"/>
      <c r="C21" s="83"/>
      <c r="D21" s="83"/>
      <c r="E21" s="84"/>
      <c r="F21" s="84"/>
      <c r="G21" s="84"/>
    </row>
  </sheetData>
  <sheetProtection password="CABF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89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5" t="s">
        <v>23</v>
      </c>
      <c r="C2" s="435"/>
      <c r="D2" s="435"/>
    </row>
    <row r="3" spans="2:4" s="18" customFormat="1" ht="35.1" customHeight="1" x14ac:dyDescent="0.2">
      <c r="B3" s="190"/>
      <c r="C3" s="4"/>
      <c r="D3" s="22" t="s">
        <v>45</v>
      </c>
    </row>
    <row r="4" spans="2:4" ht="15" customHeight="1" x14ac:dyDescent="0.2">
      <c r="B4" s="191" t="s">
        <v>195</v>
      </c>
      <c r="C4" s="179" t="s">
        <v>86</v>
      </c>
      <c r="D4" s="179" t="s">
        <v>82</v>
      </c>
    </row>
    <row r="5" spans="2:4" ht="15" x14ac:dyDescent="0.25">
      <c r="B5" s="192">
        <v>1</v>
      </c>
      <c r="C5" s="228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29">
        <f>IF(C5="","",VLOOKUP(B5,PercentuaisFases[],VLOOKUP(Fornecedor,MapFasesFornecedores[#All],3,FALSE),FALSE))</f>
        <v>0.01</v>
      </c>
    </row>
    <row r="6" spans="2:4" x14ac:dyDescent="0.2">
      <c r="B6" s="193" t="s">
        <v>196</v>
      </c>
      <c r="C6" s="230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1">
        <f>IF(C6="","",VLOOKUP(B6,PercentuaisFases[],VLOOKUP(Fornecedor,MapFasesFornecedores[#All],3,FALSE),FALSE))</f>
        <v>0.01</v>
      </c>
    </row>
    <row r="7" spans="2:4" ht="15" x14ac:dyDescent="0.25">
      <c r="B7" s="192">
        <v>2</v>
      </c>
      <c r="C7" s="228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29">
        <f>IF(C7="","",VLOOKUP(B7,PercentuaisFases[],VLOOKUP(Fornecedor,MapFasesFornecedores[#All],3,FALSE),FALSE))</f>
        <v>0.16</v>
      </c>
    </row>
    <row r="8" spans="2:4" x14ac:dyDescent="0.2">
      <c r="B8" s="193" t="s">
        <v>197</v>
      </c>
      <c r="C8" s="230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1">
        <f>IF(C8="","",VLOOKUP(B8,PercentuaisFases[],VLOOKUP(Fornecedor,MapFasesFornecedores[#All],3,FALSE),FALSE))</f>
        <v>0.16</v>
      </c>
    </row>
    <row r="9" spans="2:4" x14ac:dyDescent="0.2">
      <c r="B9" s="193" t="s">
        <v>198</v>
      </c>
      <c r="C9" s="230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1">
        <f>IF(C9="","",VLOOKUP(B9,PercentuaisFases[],VLOOKUP(Fornecedor,MapFasesFornecedores[#All],3,FALSE),FALSE))</f>
        <v>0.04</v>
      </c>
    </row>
    <row r="10" spans="2:4" ht="15" x14ac:dyDescent="0.25">
      <c r="B10" s="192">
        <v>3</v>
      </c>
      <c r="C10" s="228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29">
        <f>IF(C10="","",VLOOKUP(B10,PercentuaisFases[],VLOOKUP(Fornecedor,MapFasesFornecedores[#All],3,FALSE),FALSE))</f>
        <v>0.70499999999999996</v>
      </c>
    </row>
    <row r="11" spans="2:4" ht="76.5" x14ac:dyDescent="0.2">
      <c r="B11" s="193" t="s">
        <v>199</v>
      </c>
      <c r="C11" s="230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1" s="231">
        <f>IF(C11="","",VLOOKUP(B11,PercentuaisFases[],VLOOKUP(Fornecedor,MapFasesFornecedores[#All],3,FALSE),FALSE))</f>
        <v>0.70499999999999996</v>
      </c>
    </row>
    <row r="12" spans="2:4" ht="15" x14ac:dyDescent="0.25">
      <c r="B12" s="192">
        <v>4</v>
      </c>
      <c r="C12" s="228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29">
        <f>IF(C12="","",VLOOKUP(B12,PercentuaisFases[],VLOOKUP(Fornecedor,MapFasesFornecedores[#All],3,FALSE),FALSE))</f>
        <v>0.08</v>
      </c>
    </row>
    <row r="13" spans="2:4" x14ac:dyDescent="0.2">
      <c r="B13" s="193" t="s">
        <v>200</v>
      </c>
      <c r="C13" s="230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1">
        <f>IF(C13="","",VLOOKUP(B13,PercentuaisFases[],VLOOKUP(Fornecedor,MapFasesFornecedores[#All],3,FALSE),FALSE))</f>
        <v>0.05</v>
      </c>
    </row>
    <row r="14" spans="2:4" x14ac:dyDescent="0.2">
      <c r="B14" s="193" t="s">
        <v>201</v>
      </c>
      <c r="C14" s="230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1">
        <f>IF(C14="","",VLOOKUP(B14,PercentuaisFases[],VLOOKUP(Fornecedor,MapFasesFornecedores[#All],3,FALSE),FALSE))</f>
        <v>0.03</v>
      </c>
    </row>
    <row r="15" spans="2:4" ht="15" x14ac:dyDescent="0.25">
      <c r="B15" s="192">
        <v>5</v>
      </c>
      <c r="C15" s="228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29">
        <f>IF(C15="","",VLOOKUP(B15,PercentuaisFases[],VLOOKUP(Fornecedor,MapFasesFornecedores[#All],3,FALSE),FALSE))</f>
        <v>5.5E-2</v>
      </c>
    </row>
    <row r="16" spans="2:4" x14ac:dyDescent="0.2">
      <c r="B16" s="193" t="s">
        <v>202</v>
      </c>
      <c r="C16" s="230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1">
        <f>IF(C16="","",VLOOKUP(B16,PercentuaisFases[],VLOOKUP(Fornecedor,MapFasesFornecedores[#All],3,FALSE),FALSE))</f>
        <v>0.03</v>
      </c>
    </row>
    <row r="17" spans="2:4" x14ac:dyDescent="0.2">
      <c r="B17" s="193" t="s">
        <v>203</v>
      </c>
      <c r="C17" s="230" t="str">
        <f>IF(VLOOKUP(B17,PercentuaisFases[],VLOOKUP(Fornecedor,MapFasesFornecedores[#All],2,FALSE),FALSE)=0,"",VLOOKUP(B17,PercentuaisFases[],VLOOKUP(Fornecedor,MapFasesFornecedores[#All],2,FALSE),FALSE))</f>
        <v>Shakeout</v>
      </c>
      <c r="D17" s="231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4"/>
      <c r="C18" s="232"/>
      <c r="D18" s="226"/>
    </row>
    <row r="19" spans="2:4" s="128" customFormat="1" x14ac:dyDescent="0.2">
      <c r="B19" s="191" t="s">
        <v>195</v>
      </c>
      <c r="C19" s="137" t="s">
        <v>233</v>
      </c>
      <c r="D19" s="227" t="s">
        <v>82</v>
      </c>
    </row>
    <row r="20" spans="2:4" ht="15" x14ac:dyDescent="0.25">
      <c r="B20" s="192">
        <v>6</v>
      </c>
      <c r="C20" s="228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29">
        <f>IF(C20="","",VLOOKUP(B20,PercentuaisFases[],VLOOKUP(Fornecedor,MapFasesFornecedores[#All],3,FALSE),FALSE))</f>
        <v>0</v>
      </c>
    </row>
    <row r="21" spans="2:4" x14ac:dyDescent="0.2">
      <c r="B21" s="195" t="s">
        <v>204</v>
      </c>
      <c r="C21" s="230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1">
        <f>IF(C21="","",VLOOKUP(B21,PercentuaisFases[],VLOOKUP(Fornecedor,MapFasesFornecedores[#All],3,FALSE),FALSE))</f>
        <v>0.05</v>
      </c>
    </row>
    <row r="22" spans="2:4" x14ac:dyDescent="0.2">
      <c r="B22" s="195" t="s">
        <v>205</v>
      </c>
      <c r="C22" s="230" t="str">
        <f>IF(VLOOKUP(B22,PercentuaisFases[],VLOOKUP(Fornecedor,MapFasesFornecedores[#All],2,FALSE),FALSE)=0,"",VLOOKUP(B22,PercentuaisFases[],VLOOKUP(Fornecedor,MapFasesFornecedores[#All],2,FALSE),FALSE))</f>
        <v>UAT</v>
      </c>
      <c r="D22" s="231">
        <f>IF(C22="","",VLOOKUP(B22,PercentuaisFases[],VLOOKUP(Fornecedor,MapFasesFornecedores[#All],3,FALSE),FALSE))</f>
        <v>0.03</v>
      </c>
    </row>
    <row r="23" spans="2:4" x14ac:dyDescent="0.2">
      <c r="B23" s="195" t="s">
        <v>275</v>
      </c>
      <c r="C23" s="230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1">
        <f>IF(C23="","",VLOOKUP(B23,PercentuaisFases[],VLOOKUP(Fornecedor,MapFasesFornecedores[#All],3,FALSE),FALSE))</f>
        <v>7.0000000000000007E-2</v>
      </c>
    </row>
    <row r="24" spans="2:4" ht="15" x14ac:dyDescent="0.25">
      <c r="B24" s="192">
        <v>7</v>
      </c>
      <c r="C24" s="228" t="str">
        <f>IF(VLOOKUP(B24,PercentuaisFases[],VLOOKUP(Fornecedor,MapFasesFornecedores[#All],2,FALSE),FALSE)=0,"",VLOOKUP(B24,PercentuaisFases[],VLOOKUP(Fornecedor,MapFasesFornecedores[#All],2,FALSE),FALSE))</f>
        <v>Gestão</v>
      </c>
      <c r="D24" s="229">
        <f>IF(C24="","",VLOOKUP(B24,PercentuaisFases[],VLOOKUP(Fornecedor,MapFasesFornecedores[#All],3,FALSE),FALSE))</f>
        <v>0</v>
      </c>
    </row>
    <row r="25" spans="2:4" x14ac:dyDescent="0.2">
      <c r="B25" s="195" t="s">
        <v>206</v>
      </c>
      <c r="C25" s="230" t="str">
        <f>IF(VLOOKUP(B25,PercentuaisFases[],VLOOKUP(Fornecedor,MapFasesFornecedores[#All],2,FALSE),FALSE)=0,"",VLOOKUP(B25,PercentuaisFases[],VLOOKUP(Fornecedor,MapFasesFornecedores[#All],2,FALSE),FALSE))</f>
        <v>Gestão</v>
      </c>
      <c r="D25" s="231">
        <f>IF(C25="","",VLOOKUP(B25,PercentuaisFases[],VLOOKUP(Fornecedor,MapFasesFornecedores[#All],3,FALSE),FALSE))</f>
        <v>0.17</v>
      </c>
    </row>
  </sheetData>
  <sheetProtection algorithmName="SHA-512" hashValue="/PKy/UNx19FmB9DBeCjIAq8pWHabiuoerfI+S/QMEcdnJi4Bg1RDuf7JcJ+xPmQavArH5XAZkF+x2nbYG5ktvw==" saltValue="it/1XmcXSaAibm6BG2fMN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5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5" t="s">
        <v>22</v>
      </c>
      <c r="C2" s="435"/>
      <c r="D2" s="435"/>
      <c r="E2" s="435"/>
      <c r="F2" s="435"/>
      <c r="G2" s="435"/>
      <c r="H2" s="435"/>
    </row>
    <row r="3" spans="2:15" s="18" customFormat="1" ht="35.1" customHeight="1" x14ac:dyDescent="0.2">
      <c r="B3" s="4"/>
      <c r="H3" s="21" t="s">
        <v>45</v>
      </c>
      <c r="O3" s="166"/>
    </row>
    <row r="4" spans="2:15" ht="25.5" x14ac:dyDescent="0.2">
      <c r="B4" s="44" t="s">
        <v>228</v>
      </c>
      <c r="C4" s="54" t="s">
        <v>414</v>
      </c>
      <c r="D4" s="396" t="s">
        <v>415</v>
      </c>
      <c r="E4" s="408" t="s">
        <v>434</v>
      </c>
      <c r="F4" s="54" t="s">
        <v>175</v>
      </c>
      <c r="G4" s="45" t="s">
        <v>141</v>
      </c>
      <c r="H4" s="43" t="s">
        <v>142</v>
      </c>
      <c r="I4" s="130" t="s">
        <v>224</v>
      </c>
      <c r="J4" s="269" t="s">
        <v>352</v>
      </c>
      <c r="K4" s="133" t="s">
        <v>226</v>
      </c>
      <c r="L4" s="144" t="s">
        <v>254</v>
      </c>
      <c r="O4" s="167"/>
    </row>
    <row r="5" spans="2:15" x14ac:dyDescent="0.2">
      <c r="B5" s="186" t="s">
        <v>473</v>
      </c>
      <c r="C5" s="46">
        <v>0</v>
      </c>
      <c r="D5" s="46">
        <f>Produtividades[[#This Row],[Produtividade Inclusão]]</f>
        <v>0</v>
      </c>
      <c r="E5" s="46">
        <f>Produtividades[[#This Row],[Produtividade Inclusão]]</f>
        <v>0</v>
      </c>
      <c r="F5" s="409">
        <v>186</v>
      </c>
      <c r="G5" s="47" t="s">
        <v>269</v>
      </c>
      <c r="H5" s="46" t="s">
        <v>443</v>
      </c>
      <c r="I5" s="46"/>
      <c r="J5" s="46"/>
      <c r="K5" s="46" t="s">
        <v>165</v>
      </c>
      <c r="L5" s="46" t="b">
        <v>0</v>
      </c>
    </row>
  </sheetData>
  <sheetProtection algorithmName="SHA-512" hashValue="g1ZjUWgXvZHN3YR9ohzE1EyKm0M+UBliJfICdLE6ixyVQxOFfw5kwA0GHy1YqUqAsM4DzseZpgNERXB1TOLFgw==" saltValue="8QTx/jNsg78QEkjYJr8Oyw==" spinCount="100000" sheet="1" objects="1" scenarios="1"/>
  <mergeCells count="1">
    <mergeCell ref="B2:H2"/>
  </mergeCells>
  <phoneticPr fontId="0" type="noConversion"/>
  <dataValidations count="1">
    <dataValidation type="list" allowBlank="1" showInputMessage="1" showErrorMessage="1" sqref="L5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24"/>
  <sheetViews>
    <sheetView showGridLines="0" showRowColHeaders="0" topLeftCell="A16" zoomScale="85" zoomScaleNormal="85" workbookViewId="0">
      <selection activeCell="E2" sqref="E2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35" t="s">
        <v>176</v>
      </c>
      <c r="C2" s="235" t="s">
        <v>177</v>
      </c>
      <c r="D2" s="235" t="s">
        <v>142</v>
      </c>
      <c r="E2" s="235" t="s">
        <v>0</v>
      </c>
    </row>
    <row r="3" spans="2:5" ht="15.75" customHeight="1" x14ac:dyDescent="0.25">
      <c r="B3" s="233" t="s">
        <v>296</v>
      </c>
      <c r="C3" s="233">
        <v>0</v>
      </c>
      <c r="D3" s="124" t="s">
        <v>298</v>
      </c>
      <c r="E3" s="236" t="s">
        <v>299</v>
      </c>
    </row>
    <row r="4" spans="2:5" x14ac:dyDescent="0.25">
      <c r="B4" s="233" t="s">
        <v>309</v>
      </c>
      <c r="C4" s="233">
        <v>0</v>
      </c>
      <c r="D4" s="124" t="s">
        <v>308</v>
      </c>
      <c r="E4" s="236" t="s">
        <v>313</v>
      </c>
    </row>
    <row r="5" spans="2:5" x14ac:dyDescent="0.25">
      <c r="B5" s="125" t="s">
        <v>310</v>
      </c>
      <c r="C5" s="234">
        <v>0</v>
      </c>
      <c r="D5" s="125" t="s">
        <v>311</v>
      </c>
      <c r="E5" s="236" t="s">
        <v>312</v>
      </c>
    </row>
    <row r="6" spans="2:5" x14ac:dyDescent="0.25">
      <c r="B6" s="125" t="s">
        <v>314</v>
      </c>
      <c r="C6" s="234">
        <v>0</v>
      </c>
      <c r="D6" s="125" t="s">
        <v>315</v>
      </c>
      <c r="E6" s="237" t="s">
        <v>329</v>
      </c>
    </row>
    <row r="7" spans="2:5" x14ac:dyDescent="0.25">
      <c r="B7" s="125" t="s">
        <v>318</v>
      </c>
      <c r="C7" s="234">
        <v>0</v>
      </c>
      <c r="D7" s="125" t="s">
        <v>298</v>
      </c>
      <c r="E7" s="237" t="s">
        <v>319</v>
      </c>
    </row>
    <row r="8" spans="2:5" x14ac:dyDescent="0.25">
      <c r="B8" s="125" t="s">
        <v>328</v>
      </c>
      <c r="C8" s="234">
        <v>0</v>
      </c>
      <c r="D8" s="125" t="s">
        <v>330</v>
      </c>
      <c r="E8" s="237" t="s">
        <v>331</v>
      </c>
    </row>
    <row r="9" spans="2:5" x14ac:dyDescent="0.25">
      <c r="B9" s="125" t="s">
        <v>332</v>
      </c>
      <c r="C9" s="234">
        <v>0</v>
      </c>
      <c r="D9" s="125" t="s">
        <v>300</v>
      </c>
      <c r="E9" s="237" t="s">
        <v>333</v>
      </c>
    </row>
    <row r="10" spans="2:5" x14ac:dyDescent="0.25">
      <c r="B10" s="125" t="s">
        <v>335</v>
      </c>
      <c r="C10" s="234">
        <v>0</v>
      </c>
      <c r="D10" s="125" t="s">
        <v>336</v>
      </c>
      <c r="E10" s="237" t="s">
        <v>337</v>
      </c>
    </row>
    <row r="11" spans="2:5" ht="25.5" x14ac:dyDescent="0.25">
      <c r="B11" s="125" t="s">
        <v>407</v>
      </c>
      <c r="C11" s="234">
        <v>0</v>
      </c>
      <c r="D11" s="125" t="s">
        <v>298</v>
      </c>
      <c r="E11" s="237" t="s">
        <v>430</v>
      </c>
    </row>
    <row r="12" spans="2:5" x14ac:dyDescent="0.25">
      <c r="B12" s="125" t="s">
        <v>426</v>
      </c>
      <c r="C12" s="234">
        <v>0</v>
      </c>
      <c r="D12" s="125" t="s">
        <v>427</v>
      </c>
      <c r="E12" s="237" t="s">
        <v>428</v>
      </c>
    </row>
    <row r="13" spans="2:5" x14ac:dyDescent="0.25">
      <c r="B13" s="125" t="s">
        <v>429</v>
      </c>
      <c r="C13" s="234">
        <v>0</v>
      </c>
      <c r="D13" s="125" t="s">
        <v>427</v>
      </c>
      <c r="E13" s="237" t="s">
        <v>431</v>
      </c>
    </row>
    <row r="14" spans="2:5" ht="63.75" x14ac:dyDescent="0.25">
      <c r="B14" s="234" t="s">
        <v>432</v>
      </c>
      <c r="C14" s="234">
        <v>0</v>
      </c>
      <c r="D14" s="125" t="s">
        <v>298</v>
      </c>
      <c r="E14" s="237" t="s">
        <v>448</v>
      </c>
    </row>
    <row r="15" spans="2:5" x14ac:dyDescent="0.25">
      <c r="B15" s="125" t="s">
        <v>449</v>
      </c>
      <c r="C15" s="234">
        <v>0</v>
      </c>
      <c r="D15" s="125" t="s">
        <v>298</v>
      </c>
      <c r="E15" s="237" t="s">
        <v>450</v>
      </c>
    </row>
    <row r="16" spans="2:5" ht="63.75" x14ac:dyDescent="0.25">
      <c r="B16" s="125" t="s">
        <v>451</v>
      </c>
      <c r="C16" s="234">
        <v>0</v>
      </c>
      <c r="D16" s="125" t="s">
        <v>298</v>
      </c>
      <c r="E16" s="237" t="s">
        <v>452</v>
      </c>
    </row>
    <row r="17" spans="2:5" ht="63.75" x14ac:dyDescent="0.25">
      <c r="B17" s="125" t="s">
        <v>456</v>
      </c>
      <c r="C17" s="234">
        <v>0</v>
      </c>
      <c r="D17" s="424" t="s">
        <v>462</v>
      </c>
      <c r="E17" s="237" t="s">
        <v>461</v>
      </c>
    </row>
    <row r="18" spans="2:5" x14ac:dyDescent="0.25">
      <c r="B18" s="125" t="s">
        <v>464</v>
      </c>
      <c r="C18" s="234">
        <v>0</v>
      </c>
      <c r="D18" s="125" t="s">
        <v>463</v>
      </c>
      <c r="E18" s="237" t="s">
        <v>465</v>
      </c>
    </row>
    <row r="19" spans="2:5" x14ac:dyDescent="0.25">
      <c r="B19" s="125" t="s">
        <v>469</v>
      </c>
      <c r="C19" s="234">
        <v>0</v>
      </c>
      <c r="D19" s="125" t="s">
        <v>433</v>
      </c>
      <c r="E19" s="237" t="s">
        <v>470</v>
      </c>
    </row>
    <row r="20" spans="2:5" x14ac:dyDescent="0.25">
      <c r="B20" s="125" t="s">
        <v>471</v>
      </c>
      <c r="C20" s="234">
        <v>0</v>
      </c>
      <c r="D20" s="125" t="s">
        <v>443</v>
      </c>
      <c r="E20" s="237" t="s">
        <v>472</v>
      </c>
    </row>
    <row r="21" spans="2:5" x14ac:dyDescent="0.25">
      <c r="B21" s="125" t="s">
        <v>474</v>
      </c>
      <c r="C21" s="234">
        <v>0</v>
      </c>
      <c r="D21" s="125" t="s">
        <v>334</v>
      </c>
      <c r="E21" s="237" t="s">
        <v>472</v>
      </c>
    </row>
    <row r="22" spans="2:5" x14ac:dyDescent="0.25">
      <c r="B22" s="125" t="s">
        <v>475</v>
      </c>
      <c r="C22" s="234">
        <v>0</v>
      </c>
      <c r="D22" s="125" t="s">
        <v>327</v>
      </c>
      <c r="E22" s="237" t="s">
        <v>472</v>
      </c>
    </row>
    <row r="23" spans="2:5" x14ac:dyDescent="0.25">
      <c r="B23" s="125" t="s">
        <v>476</v>
      </c>
      <c r="C23" s="234">
        <v>0</v>
      </c>
      <c r="D23" s="125" t="s">
        <v>311</v>
      </c>
      <c r="E23" s="237" t="s">
        <v>472</v>
      </c>
    </row>
    <row r="24" spans="2:5" x14ac:dyDescent="0.25">
      <c r="B24" s="125" t="s">
        <v>477</v>
      </c>
      <c r="C24" s="234">
        <v>0</v>
      </c>
      <c r="D24" s="125" t="s">
        <v>443</v>
      </c>
      <c r="E24" s="237" t="s">
        <v>478</v>
      </c>
    </row>
  </sheetData>
  <sheetProtection algorithmName="SHA-512" hashValue="zXp+EXMFgA+HFs9h1FdNXXhTxlXolUuRpkwdkez9Ip306/QQea0GyCFC7DZIyMgHuPbv5UmiVaUZNgipiGdv5g==" saltValue="KXUW8mwQB3ToAmWpklQ7tw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topLeftCell="A7" zoomScale="70" zoomScaleNormal="70" workbookViewId="0">
      <selection activeCell="E32" sqref="E32"/>
    </sheetView>
  </sheetViews>
  <sheetFormatPr defaultRowHeight="15" x14ac:dyDescent="0.25"/>
  <cols>
    <col min="1" max="1" width="8.7109375" style="204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3" t="s">
        <v>14</v>
      </c>
      <c r="C2" s="523"/>
      <c r="D2" s="523"/>
      <c r="E2" s="523"/>
      <c r="F2" s="523"/>
      <c r="G2" s="523"/>
      <c r="H2" s="523"/>
    </row>
    <row r="4" spans="1:19" s="1" customFormat="1" x14ac:dyDescent="0.25">
      <c r="A4" s="209" t="s">
        <v>13</v>
      </c>
      <c r="B4" s="152" t="s">
        <v>12</v>
      </c>
      <c r="C4" s="154"/>
      <c r="D4" s="150" t="s">
        <v>141</v>
      </c>
      <c r="E4" s="150" t="s">
        <v>142</v>
      </c>
      <c r="F4" s="147" t="s">
        <v>2</v>
      </c>
      <c r="G4" s="147" t="s">
        <v>3</v>
      </c>
      <c r="H4" s="147" t="s">
        <v>4</v>
      </c>
      <c r="I4" s="147" t="s">
        <v>158</v>
      </c>
      <c r="J4" s="1" t="s">
        <v>166</v>
      </c>
      <c r="K4" s="1" t="s">
        <v>174</v>
      </c>
      <c r="L4" s="1" t="s">
        <v>216</v>
      </c>
      <c r="M4" s="207" t="s">
        <v>217</v>
      </c>
      <c r="N4" s="207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406</v>
      </c>
    </row>
    <row r="5" spans="1:19" s="3" customFormat="1" x14ac:dyDescent="0.25">
      <c r="A5" s="210">
        <v>0</v>
      </c>
      <c r="B5" s="153" t="s">
        <v>8</v>
      </c>
      <c r="C5" s="8"/>
      <c r="D5" s="149" t="s">
        <v>140</v>
      </c>
      <c r="E5" s="149" t="s">
        <v>145</v>
      </c>
      <c r="F5" s="146" t="s">
        <v>148</v>
      </c>
      <c r="G5" s="146" t="s">
        <v>53</v>
      </c>
      <c r="H5" s="146" t="s">
        <v>116</v>
      </c>
      <c r="I5" s="146" t="s">
        <v>156</v>
      </c>
      <c r="J5" s="272" t="s">
        <v>96</v>
      </c>
      <c r="K5" s="51" t="s">
        <v>167</v>
      </c>
      <c r="L5" s="104">
        <v>0.02</v>
      </c>
      <c r="M5" s="208">
        <v>168</v>
      </c>
      <c r="N5" s="208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07" t="s">
        <v>173</v>
      </c>
    </row>
    <row r="6" spans="1:19" x14ac:dyDescent="0.25">
      <c r="A6" s="210">
        <v>1</v>
      </c>
      <c r="B6" s="2" t="s">
        <v>9</v>
      </c>
      <c r="C6" s="8"/>
      <c r="D6" s="149" t="s">
        <v>269</v>
      </c>
      <c r="E6" s="149" t="s">
        <v>272</v>
      </c>
      <c r="F6" s="146" t="s">
        <v>149</v>
      </c>
      <c r="G6" s="146" t="s">
        <v>54</v>
      </c>
      <c r="H6" s="146" t="s">
        <v>117</v>
      </c>
      <c r="I6" s="148" t="s">
        <v>157</v>
      </c>
      <c r="J6" s="284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0">
        <v>2</v>
      </c>
      <c r="B7" s="2"/>
      <c r="C7" s="8"/>
      <c r="D7" s="151" t="s">
        <v>181</v>
      </c>
      <c r="E7" s="149" t="s">
        <v>143</v>
      </c>
      <c r="F7" s="148" t="s">
        <v>150</v>
      </c>
      <c r="G7" s="146" t="s">
        <v>55</v>
      </c>
      <c r="H7" s="148" t="s">
        <v>118</v>
      </c>
      <c r="I7" s="48"/>
      <c r="J7" s="284" t="s">
        <v>184</v>
      </c>
    </row>
    <row r="8" spans="1:19" x14ac:dyDescent="0.25">
      <c r="A8" s="210">
        <v>3</v>
      </c>
      <c r="B8" s="2"/>
      <c r="C8" s="8"/>
      <c r="D8"/>
      <c r="E8" s="149" t="s">
        <v>144</v>
      </c>
      <c r="F8" s="48"/>
      <c r="G8" s="146" t="s">
        <v>56</v>
      </c>
      <c r="H8" s="48"/>
      <c r="I8" s="48"/>
      <c r="J8" s="271" t="s">
        <v>183</v>
      </c>
    </row>
    <row r="9" spans="1:19" x14ac:dyDescent="0.25">
      <c r="A9" s="210">
        <v>4</v>
      </c>
      <c r="B9" s="2"/>
      <c r="C9" s="240"/>
      <c r="D9"/>
      <c r="E9" s="149" t="s">
        <v>284</v>
      </c>
      <c r="F9" s="48"/>
      <c r="G9" s="148" t="s">
        <v>57</v>
      </c>
      <c r="H9" s="48"/>
      <c r="I9" s="48"/>
      <c r="J9" s="285" t="s">
        <v>339</v>
      </c>
    </row>
    <row r="10" spans="1:19" x14ac:dyDescent="0.25">
      <c r="A10" s="210">
        <v>5</v>
      </c>
      <c r="B10" s="2"/>
      <c r="C10" s="8"/>
      <c r="D10"/>
      <c r="E10" s="149" t="s">
        <v>289</v>
      </c>
      <c r="J10" s="271" t="s">
        <v>185</v>
      </c>
    </row>
    <row r="11" spans="1:19" x14ac:dyDescent="0.25">
      <c r="A11" s="210">
        <v>6</v>
      </c>
      <c r="B11" s="2"/>
      <c r="C11" s="8"/>
      <c r="D11"/>
      <c r="E11" s="149" t="s">
        <v>297</v>
      </c>
      <c r="J11" s="271" t="s">
        <v>188</v>
      </c>
    </row>
    <row r="12" spans="1:19" x14ac:dyDescent="0.25">
      <c r="A12" s="210">
        <v>7</v>
      </c>
      <c r="B12" s="2"/>
      <c r="C12" s="8"/>
      <c r="D12"/>
      <c r="E12" s="149" t="s">
        <v>300</v>
      </c>
      <c r="J12" s="271" t="s">
        <v>35</v>
      </c>
    </row>
    <row r="13" spans="1:19" x14ac:dyDescent="0.25">
      <c r="A13" s="210">
        <v>8</v>
      </c>
      <c r="B13" s="2"/>
      <c r="C13" s="8"/>
      <c r="D13"/>
      <c r="E13" s="149" t="s">
        <v>301</v>
      </c>
      <c r="J13" s="271" t="s">
        <v>11</v>
      </c>
    </row>
    <row r="14" spans="1:19" x14ac:dyDescent="0.25">
      <c r="A14" s="210">
        <v>9</v>
      </c>
      <c r="B14" s="2"/>
      <c r="C14" s="8"/>
      <c r="D14"/>
      <c r="E14" s="149" t="s">
        <v>302</v>
      </c>
      <c r="J14" s="271" t="s">
        <v>186</v>
      </c>
    </row>
    <row r="15" spans="1:19" x14ac:dyDescent="0.25">
      <c r="A15" s="210">
        <v>10</v>
      </c>
      <c r="B15" s="2"/>
      <c r="C15" s="8"/>
      <c r="D15"/>
      <c r="E15" s="149" t="s">
        <v>303</v>
      </c>
      <c r="J15" s="271" t="s">
        <v>187</v>
      </c>
    </row>
    <row r="16" spans="1:19" x14ac:dyDescent="0.25">
      <c r="A16" s="210"/>
      <c r="B16" s="2"/>
      <c r="C16" s="8"/>
      <c r="D16"/>
      <c r="E16" s="149" t="s">
        <v>304</v>
      </c>
      <c r="J16" s="286" t="s">
        <v>338</v>
      </c>
    </row>
    <row r="17" spans="1:10" x14ac:dyDescent="0.25">
      <c r="A17" s="210"/>
      <c r="B17" s="2"/>
      <c r="C17" s="8"/>
      <c r="D17"/>
      <c r="E17" s="149" t="s">
        <v>305</v>
      </c>
      <c r="J17" s="271"/>
    </row>
    <row r="18" spans="1:10" x14ac:dyDescent="0.25">
      <c r="A18" s="210"/>
      <c r="B18" s="2"/>
      <c r="C18" s="8"/>
      <c r="D18"/>
      <c r="E18" s="151" t="s">
        <v>308</v>
      </c>
    </row>
    <row r="19" spans="1:10" x14ac:dyDescent="0.25">
      <c r="A19" s="210"/>
      <c r="B19" s="2"/>
      <c r="C19" s="8"/>
      <c r="D19"/>
      <c r="E19" s="151" t="s">
        <v>316</v>
      </c>
    </row>
    <row r="20" spans="1:10" x14ac:dyDescent="0.25">
      <c r="A20" s="210"/>
      <c r="B20" s="2"/>
      <c r="C20" s="8"/>
      <c r="D20"/>
      <c r="E20" s="151" t="s">
        <v>433</v>
      </c>
    </row>
    <row r="21" spans="1:10" x14ac:dyDescent="0.25">
      <c r="A21" s="210"/>
      <c r="B21" s="2"/>
      <c r="C21" s="8"/>
      <c r="D21"/>
      <c r="E21" s="151" t="s">
        <v>323</v>
      </c>
    </row>
    <row r="22" spans="1:10" x14ac:dyDescent="0.25">
      <c r="A22" s="210"/>
      <c r="B22" s="2"/>
      <c r="C22" s="8"/>
      <c r="D22"/>
      <c r="E22" s="151" t="s">
        <v>324</v>
      </c>
    </row>
    <row r="23" spans="1:10" x14ac:dyDescent="0.25">
      <c r="A23" s="210"/>
      <c r="B23" s="2"/>
      <c r="C23" s="8"/>
      <c r="D23"/>
      <c r="E23" s="151" t="s">
        <v>325</v>
      </c>
    </row>
    <row r="24" spans="1:10" x14ac:dyDescent="0.25">
      <c r="A24" s="210"/>
      <c r="B24" s="2"/>
      <c r="C24" s="8"/>
      <c r="D24"/>
      <c r="E24" s="151" t="s">
        <v>327</v>
      </c>
    </row>
    <row r="25" spans="1:10" x14ac:dyDescent="0.25">
      <c r="A25" s="210"/>
      <c r="B25" s="2"/>
      <c r="C25" s="8"/>
      <c r="D25"/>
      <c r="E25" s="151" t="s">
        <v>334</v>
      </c>
    </row>
    <row r="26" spans="1:10" x14ac:dyDescent="0.25">
      <c r="A26" s="210"/>
      <c r="B26" s="2"/>
      <c r="C26" s="8"/>
      <c r="D26"/>
      <c r="E26" s="151" t="s">
        <v>336</v>
      </c>
    </row>
    <row r="27" spans="1:10" x14ac:dyDescent="0.25">
      <c r="A27" s="210"/>
      <c r="B27" s="2"/>
      <c r="C27" s="8"/>
      <c r="D27"/>
      <c r="E27" s="151" t="s">
        <v>443</v>
      </c>
    </row>
    <row r="28" spans="1:10" x14ac:dyDescent="0.25">
      <c r="A28" s="210"/>
      <c r="B28" s="2"/>
      <c r="C28" s="8"/>
      <c r="D28"/>
      <c r="E28" s="151" t="s">
        <v>444</v>
      </c>
    </row>
    <row r="29" spans="1:10" x14ac:dyDescent="0.25">
      <c r="A29" s="210"/>
      <c r="B29" s="2"/>
      <c r="C29" s="8"/>
      <c r="D29"/>
      <c r="E29" s="151" t="s">
        <v>445</v>
      </c>
    </row>
    <row r="30" spans="1:10" x14ac:dyDescent="0.25">
      <c r="A30" s="210"/>
      <c r="B30" s="2"/>
      <c r="C30" s="8"/>
      <c r="D30"/>
      <c r="E30" s="151" t="s">
        <v>460</v>
      </c>
    </row>
    <row r="31" spans="1:10" x14ac:dyDescent="0.25">
      <c r="A31" s="210"/>
      <c r="B31" s="2"/>
      <c r="C31" s="8"/>
      <c r="D31"/>
      <c r="E31" s="151" t="s">
        <v>463</v>
      </c>
    </row>
    <row r="32" spans="1:10" x14ac:dyDescent="0.25">
      <c r="A32" s="210"/>
      <c r="B32" s="2"/>
      <c r="C32" s="8"/>
      <c r="D32"/>
      <c r="E32"/>
    </row>
    <row r="33" spans="1:5" x14ac:dyDescent="0.25">
      <c r="A33" s="210"/>
      <c r="B33" s="2"/>
      <c r="C33" s="8"/>
      <c r="D33"/>
      <c r="E33"/>
    </row>
    <row r="34" spans="1:5" x14ac:dyDescent="0.25">
      <c r="A34" s="210"/>
      <c r="B34" s="2"/>
      <c r="C34" s="8"/>
      <c r="D34"/>
      <c r="E34"/>
    </row>
    <row r="35" spans="1:5" x14ac:dyDescent="0.25">
      <c r="A35" s="210"/>
      <c r="D35"/>
      <c r="E35"/>
    </row>
  </sheetData>
  <sheetProtection algorithmName="SHA-512" hashValue="1R7GhWFDErsUxrP1JdDMG3KXHqJtmfvYc5SdTbjuSNzpdIUjsERA2nvvrFAHTLMWzdihg4JltMozlgtIiHTQOA==" saltValue="puFBnOBqE2DRZnWsET8oNw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4"/>
    <col min="15" max="15" width="23" style="204" bestFit="1" customWidth="1"/>
    <col min="16" max="16" width="9.140625" style="204"/>
    <col min="17" max="17" width="35.140625" style="204" bestFit="1" customWidth="1"/>
    <col min="18" max="18" width="15.5703125" style="204" customWidth="1"/>
    <col min="19" max="16384" width="9.140625" style="204"/>
  </cols>
  <sheetData>
    <row r="1" spans="2:27" x14ac:dyDescent="0.25">
      <c r="B1" s="205" t="s">
        <v>53</v>
      </c>
      <c r="C1" s="205">
        <v>1</v>
      </c>
      <c r="D1" s="205">
        <v>20</v>
      </c>
      <c r="E1" s="205">
        <v>51</v>
      </c>
      <c r="I1" s="205" t="s">
        <v>116</v>
      </c>
      <c r="J1" s="205" t="s">
        <v>117</v>
      </c>
      <c r="K1" s="205" t="s">
        <v>118</v>
      </c>
      <c r="O1" s="205" t="s">
        <v>161</v>
      </c>
      <c r="Q1" s="205" t="s">
        <v>6</v>
      </c>
      <c r="R1" s="205" t="s">
        <v>163</v>
      </c>
      <c r="U1" s="205"/>
      <c r="V1" s="524" t="s">
        <v>160</v>
      </c>
      <c r="W1" s="204" t="s">
        <v>154</v>
      </c>
      <c r="X1" s="204" t="s">
        <v>152</v>
      </c>
      <c r="Y1" s="204" t="s">
        <v>153</v>
      </c>
      <c r="Z1" s="204" t="s">
        <v>4</v>
      </c>
      <c r="AA1" s="204" t="s">
        <v>155</v>
      </c>
    </row>
    <row r="2" spans="2:27" x14ac:dyDescent="0.25">
      <c r="B2" s="205">
        <v>1</v>
      </c>
      <c r="C2" s="204" t="s">
        <v>116</v>
      </c>
      <c r="D2" s="204" t="s">
        <v>116</v>
      </c>
      <c r="E2" s="204" t="s">
        <v>117</v>
      </c>
      <c r="H2" s="205" t="s">
        <v>53</v>
      </c>
      <c r="I2" s="204">
        <v>7</v>
      </c>
      <c r="J2" s="204">
        <v>10</v>
      </c>
      <c r="K2" s="204">
        <v>15</v>
      </c>
      <c r="N2" s="205" t="s">
        <v>53</v>
      </c>
      <c r="O2" s="204" t="s">
        <v>116</v>
      </c>
      <c r="Q2" s="204" t="s">
        <v>322</v>
      </c>
      <c r="R2" s="204">
        <v>0.25</v>
      </c>
      <c r="V2" s="524"/>
      <c r="W2" s="204" t="s">
        <v>57</v>
      </c>
      <c r="X2" s="204">
        <v>2</v>
      </c>
      <c r="Y2" s="204">
        <v>5</v>
      </c>
      <c r="Z2" s="205" t="str">
        <f ca="1">INDEX(INDIRECT("Complexidade_"&amp;W2),MATCH(X2,INDIRECT("Complexidade_"&amp;W2&amp;"_Arq"),1),MATCH(Y2,INDIRECT("Complexidade_"&amp;W2&amp;"_Ite",1)))</f>
        <v>Baixa</v>
      </c>
      <c r="AA2" s="205">
        <f ca="1">INDEX(Pesos_IFPUG,MATCH(W2,Pesos_IFPUG_Objetos,0),MATCH(Z2,Pesos_IFPUG_Complexidade,0))</f>
        <v>3</v>
      </c>
    </row>
    <row r="3" spans="2:27" x14ac:dyDescent="0.25">
      <c r="B3" s="205">
        <v>2</v>
      </c>
      <c r="C3" s="204" t="s">
        <v>116</v>
      </c>
      <c r="D3" s="204" t="s">
        <v>117</v>
      </c>
      <c r="E3" s="204" t="s">
        <v>118</v>
      </c>
      <c r="H3" s="205" t="s">
        <v>54</v>
      </c>
      <c r="I3" s="204">
        <v>5</v>
      </c>
      <c r="J3" s="204">
        <v>7</v>
      </c>
      <c r="K3" s="204">
        <v>10</v>
      </c>
      <c r="N3" s="205" t="s">
        <v>54</v>
      </c>
      <c r="O3" s="204" t="s">
        <v>116</v>
      </c>
      <c r="Q3" s="204" t="s">
        <v>162</v>
      </c>
      <c r="R3" s="204">
        <v>1</v>
      </c>
      <c r="V3" s="524"/>
      <c r="X3" s="206">
        <f ca="1">MATCH(X2,INDIRECT("Complexidade_"&amp;W2&amp;"_Arq"),1)</f>
        <v>3</v>
      </c>
      <c r="Y3" s="206">
        <f ca="1">MATCH(Y2,INDIRECT("Complexidade_"&amp;W2&amp;"_Ite",1))</f>
        <v>2</v>
      </c>
      <c r="AA3" s="206">
        <f>MATCH(W2,Pesos_IFPUG_Objetos,0)</f>
        <v>6</v>
      </c>
    </row>
    <row r="4" spans="2:27" x14ac:dyDescent="0.25">
      <c r="B4" s="205">
        <v>6</v>
      </c>
      <c r="C4" s="204" t="s">
        <v>117</v>
      </c>
      <c r="D4" s="204" t="s">
        <v>118</v>
      </c>
      <c r="E4" s="204" t="s">
        <v>118</v>
      </c>
      <c r="H4" s="205" t="s">
        <v>55</v>
      </c>
      <c r="I4" s="204">
        <v>3</v>
      </c>
      <c r="J4" s="204">
        <v>4</v>
      </c>
      <c r="K4" s="204">
        <v>6</v>
      </c>
      <c r="N4" s="205" t="s">
        <v>55</v>
      </c>
      <c r="O4" s="204" t="s">
        <v>117</v>
      </c>
      <c r="Q4" s="204" t="s">
        <v>34</v>
      </c>
      <c r="R4" s="204">
        <v>1</v>
      </c>
      <c r="V4" s="524"/>
      <c r="AA4" s="206">
        <f ca="1">MATCH(Z2,Pesos_IFPUG_Complexidade,0)</f>
        <v>2</v>
      </c>
    </row>
    <row r="5" spans="2:27" x14ac:dyDescent="0.25">
      <c r="H5" s="205" t="s">
        <v>56</v>
      </c>
      <c r="I5" s="204">
        <v>4</v>
      </c>
      <c r="J5" s="204">
        <v>5</v>
      </c>
      <c r="K5" s="204">
        <v>7</v>
      </c>
      <c r="N5" s="205" t="s">
        <v>56</v>
      </c>
      <c r="O5" s="204" t="s">
        <v>117</v>
      </c>
      <c r="Q5" s="204" t="s">
        <v>35</v>
      </c>
      <c r="R5" s="204">
        <v>1</v>
      </c>
    </row>
    <row r="6" spans="2:27" x14ac:dyDescent="0.25">
      <c r="B6" s="205" t="s">
        <v>54</v>
      </c>
      <c r="C6" s="205">
        <v>1</v>
      </c>
      <c r="D6" s="205">
        <v>20</v>
      </c>
      <c r="E6" s="205">
        <v>51</v>
      </c>
      <c r="H6" s="205" t="s">
        <v>57</v>
      </c>
      <c r="I6" s="204">
        <v>3</v>
      </c>
      <c r="J6" s="204">
        <v>4</v>
      </c>
      <c r="K6" s="204">
        <v>6</v>
      </c>
      <c r="N6" s="205" t="s">
        <v>57</v>
      </c>
      <c r="O6" s="204" t="s">
        <v>117</v>
      </c>
      <c r="Q6" s="204" t="s">
        <v>320</v>
      </c>
      <c r="R6" s="204">
        <v>1</v>
      </c>
    </row>
    <row r="7" spans="2:27" x14ac:dyDescent="0.25">
      <c r="B7" s="205">
        <v>1</v>
      </c>
      <c r="C7" s="204" t="s">
        <v>116</v>
      </c>
      <c r="D7" s="204" t="s">
        <v>116</v>
      </c>
      <c r="E7" s="204" t="s">
        <v>117</v>
      </c>
      <c r="Q7" s="204" t="s">
        <v>93</v>
      </c>
      <c r="R7" s="204">
        <v>1</v>
      </c>
    </row>
    <row r="8" spans="2:27" x14ac:dyDescent="0.25">
      <c r="B8" s="205">
        <v>2</v>
      </c>
      <c r="C8" s="204" t="s">
        <v>116</v>
      </c>
      <c r="D8" s="204" t="s">
        <v>117</v>
      </c>
      <c r="E8" s="204" t="s">
        <v>118</v>
      </c>
      <c r="Q8" s="204" t="s">
        <v>321</v>
      </c>
      <c r="R8" s="204">
        <v>1</v>
      </c>
    </row>
    <row r="9" spans="2:27" x14ac:dyDescent="0.25">
      <c r="B9" s="205">
        <v>6</v>
      </c>
      <c r="C9" s="204" t="s">
        <v>117</v>
      </c>
      <c r="D9" s="204" t="s">
        <v>118</v>
      </c>
      <c r="E9" s="204" t="s">
        <v>118</v>
      </c>
    </row>
    <row r="11" spans="2:27" x14ac:dyDescent="0.25">
      <c r="B11" s="205" t="s">
        <v>55</v>
      </c>
      <c r="C11" s="205">
        <v>1</v>
      </c>
      <c r="D11" s="205">
        <v>5</v>
      </c>
      <c r="E11" s="205">
        <v>16</v>
      </c>
    </row>
    <row r="12" spans="2:27" x14ac:dyDescent="0.25">
      <c r="B12" s="205">
        <v>0</v>
      </c>
      <c r="C12" s="204" t="s">
        <v>116</v>
      </c>
      <c r="D12" s="204" t="s">
        <v>116</v>
      </c>
      <c r="E12" s="204" t="s">
        <v>117</v>
      </c>
    </row>
    <row r="13" spans="2:27" x14ac:dyDescent="0.25">
      <c r="B13" s="205">
        <v>2</v>
      </c>
      <c r="C13" s="204" t="s">
        <v>116</v>
      </c>
      <c r="D13" s="204" t="s">
        <v>117</v>
      </c>
      <c r="E13" s="204" t="s">
        <v>118</v>
      </c>
    </row>
    <row r="14" spans="2:27" x14ac:dyDescent="0.25">
      <c r="B14" s="205">
        <v>3</v>
      </c>
      <c r="C14" s="204" t="s">
        <v>117</v>
      </c>
      <c r="D14" s="204" t="s">
        <v>118</v>
      </c>
      <c r="E14" s="204" t="s">
        <v>118</v>
      </c>
    </row>
    <row r="16" spans="2:27" x14ac:dyDescent="0.25">
      <c r="B16" s="205" t="s">
        <v>56</v>
      </c>
      <c r="C16" s="205">
        <v>1</v>
      </c>
      <c r="D16" s="205">
        <v>6</v>
      </c>
      <c r="E16" s="205">
        <v>20</v>
      </c>
    </row>
    <row r="17" spans="2:5" x14ac:dyDescent="0.25">
      <c r="B17" s="205">
        <v>0</v>
      </c>
      <c r="C17" s="204" t="s">
        <v>116</v>
      </c>
      <c r="D17" s="204" t="s">
        <v>116</v>
      </c>
      <c r="E17" s="204" t="s">
        <v>117</v>
      </c>
    </row>
    <row r="18" spans="2:5" x14ac:dyDescent="0.25">
      <c r="B18" s="205">
        <v>2</v>
      </c>
      <c r="C18" s="204" t="s">
        <v>116</v>
      </c>
      <c r="D18" s="204" t="s">
        <v>117</v>
      </c>
      <c r="E18" s="204" t="s">
        <v>118</v>
      </c>
    </row>
    <row r="19" spans="2:5" x14ac:dyDescent="0.25">
      <c r="B19" s="205">
        <v>4</v>
      </c>
      <c r="C19" s="204" t="s">
        <v>117</v>
      </c>
      <c r="D19" s="204" t="s">
        <v>118</v>
      </c>
      <c r="E19" s="204" t="s">
        <v>118</v>
      </c>
    </row>
    <row r="21" spans="2:5" x14ac:dyDescent="0.25">
      <c r="B21" s="205" t="s">
        <v>57</v>
      </c>
      <c r="C21" s="205">
        <v>1</v>
      </c>
      <c r="D21" s="205">
        <v>6</v>
      </c>
      <c r="E21" s="205">
        <v>20</v>
      </c>
    </row>
    <row r="22" spans="2:5" x14ac:dyDescent="0.25">
      <c r="B22" s="205">
        <v>0</v>
      </c>
      <c r="C22" s="204" t="s">
        <v>116</v>
      </c>
      <c r="D22" s="204" t="s">
        <v>116</v>
      </c>
      <c r="E22" s="204" t="s">
        <v>117</v>
      </c>
    </row>
    <row r="23" spans="2:5" x14ac:dyDescent="0.25">
      <c r="B23" s="205">
        <v>2</v>
      </c>
      <c r="C23" s="204" t="s">
        <v>116</v>
      </c>
      <c r="D23" s="204" t="s">
        <v>117</v>
      </c>
      <c r="E23" s="204" t="s">
        <v>118</v>
      </c>
    </row>
    <row r="24" spans="2:5" x14ac:dyDescent="0.25">
      <c r="B24" s="205">
        <v>4</v>
      </c>
      <c r="C24" s="204" t="s">
        <v>117</v>
      </c>
      <c r="D24" s="204" t="s">
        <v>118</v>
      </c>
      <c r="E24" s="204" t="s">
        <v>118</v>
      </c>
    </row>
  </sheetData>
  <sheetProtection algorithmName="SHA-512" hashValue="EYhZm1fBdseWM1EWMLymjR/fziKQlm7IPRdvcYHzWFRWj7k2mpWWLL1UJ/bRQxJ8edhZRqUPanzfB4GdgP3pgQ==" saltValue="gtIkZrPfWotuz9nGQ73QAQ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M29"/>
  <sheetViews>
    <sheetView showGridLines="0" topLeftCell="AB3" zoomScale="80" zoomScaleNormal="80" workbookViewId="0">
      <selection activeCell="AK19" sqref="AK19"/>
    </sheetView>
  </sheetViews>
  <sheetFormatPr defaultRowHeight="15" x14ac:dyDescent="0.25"/>
  <cols>
    <col min="1" max="1" width="6.140625" style="252" customWidth="1"/>
    <col min="2" max="2" width="14" style="26" customWidth="1"/>
    <col min="3" max="3" width="56.85546875" style="26" customWidth="1"/>
    <col min="4" max="4" width="16.7109375" style="242" customWidth="1"/>
    <col min="5" max="5" width="16" style="242" customWidth="1"/>
    <col min="6" max="6" width="59" style="26" customWidth="1"/>
    <col min="7" max="7" width="19.140625" style="242" bestFit="1" customWidth="1"/>
    <col min="8" max="8" width="19.85546875" style="242" customWidth="1"/>
    <col min="9" max="9" width="69.42578125" style="26" customWidth="1"/>
    <col min="10" max="11" width="19.85546875" style="242" customWidth="1"/>
    <col min="12" max="12" width="48.85546875" style="26" customWidth="1"/>
    <col min="13" max="14" width="19.85546875" style="242" customWidth="1"/>
    <col min="15" max="15" width="44.140625" style="242" customWidth="1"/>
    <col min="16" max="17" width="19.85546875" style="242" customWidth="1"/>
    <col min="18" max="18" width="44.140625" style="242" customWidth="1"/>
    <col min="19" max="20" width="19.85546875" style="242" customWidth="1"/>
    <col min="21" max="21" width="44.140625" style="242" customWidth="1"/>
    <col min="22" max="23" width="19.85546875" style="242" customWidth="1"/>
    <col min="24" max="24" width="50.42578125" style="242" customWidth="1"/>
    <col min="25" max="26" width="19.85546875" style="242" customWidth="1"/>
    <col min="27" max="27" width="49.140625" style="242" customWidth="1"/>
    <col min="28" max="29" width="19.85546875" style="242" customWidth="1"/>
    <col min="30" max="30" width="44" style="242" customWidth="1"/>
    <col min="31" max="32" width="19.85546875" style="242" customWidth="1"/>
    <col min="33" max="33" width="12.7109375" style="26" customWidth="1"/>
    <col min="34" max="34" width="21.42578125" style="26" bestFit="1" customWidth="1"/>
    <col min="35" max="35" width="12.7109375" style="26" bestFit="1" customWidth="1"/>
    <col min="36" max="36" width="13.42578125" style="26" bestFit="1" customWidth="1"/>
    <col min="37" max="37" width="15" style="26" customWidth="1"/>
    <col min="38" max="38" width="25.7109375" style="26" bestFit="1" customWidth="1"/>
    <col min="39" max="39" width="18.7109375" style="26" bestFit="1" customWidth="1"/>
    <col min="40" max="16384" width="9.140625" style="26"/>
  </cols>
  <sheetData>
    <row r="1" spans="1:39" s="241" customFormat="1" x14ac:dyDescent="0.25">
      <c r="A1" s="241">
        <v>1</v>
      </c>
      <c r="B1" s="241">
        <v>2</v>
      </c>
      <c r="C1" s="241">
        <v>3</v>
      </c>
      <c r="D1" s="241">
        <v>4</v>
      </c>
      <c r="E1" s="241">
        <v>5</v>
      </c>
      <c r="F1" s="241">
        <v>6</v>
      </c>
      <c r="G1" s="241">
        <v>7</v>
      </c>
      <c r="H1" s="241">
        <v>8</v>
      </c>
      <c r="I1" s="241">
        <v>9</v>
      </c>
      <c r="J1" s="241">
        <v>10</v>
      </c>
      <c r="K1" s="241">
        <v>11</v>
      </c>
      <c r="L1" s="241">
        <v>12</v>
      </c>
      <c r="M1" s="241">
        <v>13</v>
      </c>
      <c r="N1" s="241">
        <v>14</v>
      </c>
      <c r="O1" s="241">
        <v>15</v>
      </c>
      <c r="P1" s="241">
        <v>16</v>
      </c>
      <c r="Q1" s="241">
        <v>17</v>
      </c>
      <c r="R1" s="241">
        <v>18</v>
      </c>
      <c r="S1" s="241">
        <v>19</v>
      </c>
      <c r="T1" s="241">
        <v>20</v>
      </c>
      <c r="U1" s="241">
        <v>21</v>
      </c>
      <c r="V1" s="241">
        <v>22</v>
      </c>
      <c r="W1" s="241">
        <v>23</v>
      </c>
      <c r="X1" s="241">
        <v>24</v>
      </c>
      <c r="Y1" s="241">
        <v>25</v>
      </c>
      <c r="Z1" s="241">
        <v>26</v>
      </c>
      <c r="AA1" s="241">
        <v>27</v>
      </c>
      <c r="AB1" s="241">
        <v>28</v>
      </c>
      <c r="AC1" s="241">
        <v>29</v>
      </c>
      <c r="AD1" s="241">
        <v>30</v>
      </c>
      <c r="AE1" s="241">
        <v>31</v>
      </c>
      <c r="AF1" s="241">
        <v>32</v>
      </c>
    </row>
    <row r="2" spans="1:39" ht="38.25" x14ac:dyDescent="0.25">
      <c r="A2" s="247" t="s">
        <v>195</v>
      </c>
      <c r="B2" s="248" t="s">
        <v>267</v>
      </c>
      <c r="C2" s="248" t="s">
        <v>231</v>
      </c>
      <c r="D2" s="238" t="s">
        <v>146</v>
      </c>
      <c r="E2" s="238" t="s">
        <v>252</v>
      </c>
      <c r="F2" s="248" t="s">
        <v>232</v>
      </c>
      <c r="G2" s="238" t="s">
        <v>147</v>
      </c>
      <c r="H2" s="238" t="s">
        <v>253</v>
      </c>
      <c r="I2" s="249" t="s">
        <v>285</v>
      </c>
      <c r="J2" s="239" t="s">
        <v>286</v>
      </c>
      <c r="K2" s="239" t="s">
        <v>287</v>
      </c>
      <c r="L2" s="249" t="s">
        <v>290</v>
      </c>
      <c r="M2" s="239" t="s">
        <v>291</v>
      </c>
      <c r="N2" s="239" t="s">
        <v>292</v>
      </c>
      <c r="O2" s="249" t="s">
        <v>435</v>
      </c>
      <c r="P2" s="408" t="s">
        <v>436</v>
      </c>
      <c r="Q2" s="408" t="s">
        <v>437</v>
      </c>
      <c r="R2" s="249" t="s">
        <v>441</v>
      </c>
      <c r="S2" s="408" t="s">
        <v>442</v>
      </c>
      <c r="T2" s="408" t="s">
        <v>439</v>
      </c>
      <c r="U2" s="249" t="s">
        <v>446</v>
      </c>
      <c r="V2" s="408" t="s">
        <v>447</v>
      </c>
      <c r="W2" s="408" t="s">
        <v>440</v>
      </c>
      <c r="X2" s="249" t="s">
        <v>453</v>
      </c>
      <c r="Y2" s="249" t="s">
        <v>454</v>
      </c>
      <c r="Z2" s="249" t="s">
        <v>455</v>
      </c>
      <c r="AA2" s="249" t="s">
        <v>457</v>
      </c>
      <c r="AB2" s="249" t="s">
        <v>458</v>
      </c>
      <c r="AC2" s="249" t="s">
        <v>459</v>
      </c>
      <c r="AD2" s="249" t="s">
        <v>467</v>
      </c>
      <c r="AE2" s="249" t="s">
        <v>468</v>
      </c>
      <c r="AF2" s="249" t="s">
        <v>466</v>
      </c>
      <c r="AH2" s="26" t="s">
        <v>142</v>
      </c>
      <c r="AI2" s="26" t="s">
        <v>230</v>
      </c>
      <c r="AJ2" s="26" t="s">
        <v>82</v>
      </c>
      <c r="AK2" s="26" t="s">
        <v>251</v>
      </c>
      <c r="AL2" s="26" t="s">
        <v>267</v>
      </c>
      <c r="AM2" s="26" t="s">
        <v>295</v>
      </c>
    </row>
    <row r="3" spans="1:39" x14ac:dyDescent="0.25">
      <c r="A3" s="250">
        <v>1</v>
      </c>
      <c r="B3" s="251"/>
      <c r="C3" s="251" t="s">
        <v>306</v>
      </c>
      <c r="D3" s="229">
        <f>SUM(D4)</f>
        <v>0.04</v>
      </c>
      <c r="E3" s="229" t="b">
        <v>0</v>
      </c>
      <c r="F3" s="251" t="s">
        <v>306</v>
      </c>
      <c r="G3" s="229">
        <v>0.04</v>
      </c>
      <c r="H3" s="229" t="b">
        <v>0</v>
      </c>
      <c r="I3" s="251" t="s">
        <v>306</v>
      </c>
      <c r="J3" s="229">
        <v>0.01</v>
      </c>
      <c r="K3" s="229" t="b">
        <v>0</v>
      </c>
      <c r="L3" s="251" t="s">
        <v>306</v>
      </c>
      <c r="M3" s="229">
        <v>0.01</v>
      </c>
      <c r="N3" s="229" t="b">
        <v>0</v>
      </c>
      <c r="O3" s="251" t="s">
        <v>306</v>
      </c>
      <c r="P3" s="413">
        <v>0.01</v>
      </c>
      <c r="Q3" s="413" t="b">
        <v>0</v>
      </c>
      <c r="R3" s="251" t="s">
        <v>306</v>
      </c>
      <c r="S3" s="413">
        <v>0.01</v>
      </c>
      <c r="T3" s="413" t="b">
        <v>0</v>
      </c>
      <c r="U3" s="251" t="s">
        <v>306</v>
      </c>
      <c r="V3" s="413">
        <v>0.01</v>
      </c>
      <c r="W3" s="413" t="b">
        <v>0</v>
      </c>
      <c r="X3" s="251" t="s">
        <v>306</v>
      </c>
      <c r="Y3" s="413">
        <v>0.01</v>
      </c>
      <c r="Z3" s="413" t="b">
        <v>0</v>
      </c>
      <c r="AA3" s="251" t="s">
        <v>306</v>
      </c>
      <c r="AB3" s="413">
        <v>0.01</v>
      </c>
      <c r="AC3" s="413" t="b">
        <v>0</v>
      </c>
      <c r="AD3" s="251" t="s">
        <v>306</v>
      </c>
      <c r="AE3" s="413">
        <v>0.01</v>
      </c>
      <c r="AF3" s="413" t="b">
        <v>0</v>
      </c>
      <c r="AH3" s="411" t="str">
        <f>Parâmetros!E5</f>
        <v>IBM - Torre I</v>
      </c>
      <c r="AI3" s="412">
        <f>COLUMN(PercentuaisFases[[#Headers],[Fases do Ciclo de Vida / Artefatos 1]])</f>
        <v>3</v>
      </c>
      <c r="AJ3" s="412">
        <f>COLUMN(PercentuaisFases[[#Headers],[Percentual 1]])</f>
        <v>4</v>
      </c>
      <c r="AK3" s="412">
        <f>COLUMN(PercentuaisFases[[#Headers],[Fábrica testes 1]])</f>
        <v>5</v>
      </c>
      <c r="AL3" s="411" t="b">
        <v>0</v>
      </c>
      <c r="AM3" s="412" t="b">
        <v>0</v>
      </c>
    </row>
    <row r="4" spans="1:39" x14ac:dyDescent="0.25">
      <c r="A4" s="253" t="s">
        <v>196</v>
      </c>
      <c r="B4" s="254" t="b">
        <v>0</v>
      </c>
      <c r="C4" s="254" t="s">
        <v>306</v>
      </c>
      <c r="D4" s="79">
        <v>0.04</v>
      </c>
      <c r="E4" s="79" t="b">
        <v>0</v>
      </c>
      <c r="F4" s="254" t="s">
        <v>306</v>
      </c>
      <c r="G4" s="79">
        <v>0.04</v>
      </c>
      <c r="H4" s="79" t="b">
        <v>0</v>
      </c>
      <c r="I4" s="254" t="s">
        <v>306</v>
      </c>
      <c r="J4" s="410">
        <v>0.01</v>
      </c>
      <c r="K4" s="79" t="b">
        <v>0</v>
      </c>
      <c r="L4" s="254" t="s">
        <v>306</v>
      </c>
      <c r="M4" s="79">
        <v>0.01</v>
      </c>
      <c r="N4" s="79" t="b">
        <v>0</v>
      </c>
      <c r="O4" s="254" t="s">
        <v>306</v>
      </c>
      <c r="P4" s="414">
        <v>0.01</v>
      </c>
      <c r="Q4" s="414" t="b">
        <v>0</v>
      </c>
      <c r="R4" s="254" t="s">
        <v>306</v>
      </c>
      <c r="S4" s="414">
        <v>0.01</v>
      </c>
      <c r="T4" s="414" t="b">
        <v>0</v>
      </c>
      <c r="U4" s="254" t="s">
        <v>306</v>
      </c>
      <c r="V4" s="414">
        <v>0.01</v>
      </c>
      <c r="W4" s="414" t="b">
        <v>0</v>
      </c>
      <c r="X4" s="254" t="s">
        <v>306</v>
      </c>
      <c r="Y4" s="414">
        <v>0.01</v>
      </c>
      <c r="Z4" s="414" t="b">
        <v>0</v>
      </c>
      <c r="AA4" s="254" t="s">
        <v>306</v>
      </c>
      <c r="AB4" s="414">
        <v>0.01</v>
      </c>
      <c r="AC4" s="414" t="b">
        <v>0</v>
      </c>
      <c r="AD4" s="254" t="s">
        <v>306</v>
      </c>
      <c r="AE4" s="414">
        <v>0.01</v>
      </c>
      <c r="AF4" s="414" t="b">
        <v>0</v>
      </c>
      <c r="AH4" s="411" t="str">
        <f>Parâmetros!E6</f>
        <v>IBM - Torre VII</v>
      </c>
      <c r="AI4" s="412">
        <f>COLUMN(PercentuaisFases[[#Headers],[Fases do Ciclo de Vida / Artefatos 1]])</f>
        <v>3</v>
      </c>
      <c r="AJ4" s="412">
        <f>COLUMN(PercentuaisFases[[#Headers],[Percentual 1]])</f>
        <v>4</v>
      </c>
      <c r="AK4" s="412">
        <f>COLUMN(PercentuaisFases[[#Headers],[Fábrica testes 1]])</f>
        <v>5</v>
      </c>
      <c r="AL4" s="411" t="b">
        <v>0</v>
      </c>
      <c r="AM4" s="412" t="b">
        <v>0</v>
      </c>
    </row>
    <row r="5" spans="1:39" x14ac:dyDescent="0.25">
      <c r="A5" s="250">
        <v>2</v>
      </c>
      <c r="B5" s="251"/>
      <c r="C5" s="251" t="s">
        <v>83</v>
      </c>
      <c r="D5" s="229">
        <f>D6</f>
        <v>0.16</v>
      </c>
      <c r="E5" s="229" t="b">
        <v>0</v>
      </c>
      <c r="F5" s="251" t="s">
        <v>83</v>
      </c>
      <c r="G5" s="229">
        <v>0.16</v>
      </c>
      <c r="H5" s="229" t="b">
        <v>0</v>
      </c>
      <c r="I5" s="251" t="s">
        <v>83</v>
      </c>
      <c r="J5" s="229">
        <v>0.16</v>
      </c>
      <c r="K5" s="229" t="b">
        <v>0</v>
      </c>
      <c r="L5" s="251" t="s">
        <v>83</v>
      </c>
      <c r="M5" s="229">
        <v>0.16</v>
      </c>
      <c r="N5" s="229" t="b">
        <v>0</v>
      </c>
      <c r="O5" s="251" t="s">
        <v>83</v>
      </c>
      <c r="P5" s="413">
        <v>0.16</v>
      </c>
      <c r="Q5" s="413" t="b">
        <v>0</v>
      </c>
      <c r="R5" s="251" t="s">
        <v>83</v>
      </c>
      <c r="S5" s="413">
        <v>0.16</v>
      </c>
      <c r="T5" s="413" t="b">
        <v>0</v>
      </c>
      <c r="U5" s="251" t="s">
        <v>83</v>
      </c>
      <c r="V5" s="413">
        <v>0.16</v>
      </c>
      <c r="W5" s="413" t="b">
        <v>0</v>
      </c>
      <c r="X5" s="251" t="s">
        <v>83</v>
      </c>
      <c r="Y5" s="413">
        <v>0.16</v>
      </c>
      <c r="Z5" s="413" t="b">
        <v>0</v>
      </c>
      <c r="AA5" s="251" t="s">
        <v>83</v>
      </c>
      <c r="AB5" s="413">
        <v>0.16</v>
      </c>
      <c r="AC5" s="413" t="b">
        <v>0</v>
      </c>
      <c r="AD5" s="251" t="s">
        <v>83</v>
      </c>
      <c r="AE5" s="413">
        <v>0.16</v>
      </c>
      <c r="AF5" s="413" t="b">
        <v>0</v>
      </c>
      <c r="AH5" s="411" t="str">
        <f>Parâmetros!E7</f>
        <v>Accenture - Torre II</v>
      </c>
      <c r="AI5" s="412">
        <f>COLUMN(PercentuaisFases[[#Headers],[Fases do Ciclo de Vida / Artefatos 2]])</f>
        <v>6</v>
      </c>
      <c r="AJ5" s="412">
        <f>COLUMN(PercentuaisFases[[#Headers],[Percentual 2]])</f>
        <v>7</v>
      </c>
      <c r="AK5" s="412">
        <f>COLUMN(PercentuaisFases[[#Headers],[Fábrica testes 2]])</f>
        <v>8</v>
      </c>
      <c r="AL5" s="411" t="b">
        <v>1</v>
      </c>
      <c r="AM5" s="412" t="b">
        <v>0</v>
      </c>
    </row>
    <row r="6" spans="1:39" ht="25.5" x14ac:dyDescent="0.25">
      <c r="A6" s="253" t="s">
        <v>197</v>
      </c>
      <c r="B6" s="254" t="b">
        <v>0</v>
      </c>
      <c r="C6" s="254" t="s">
        <v>307</v>
      </c>
      <c r="D6" s="79">
        <v>0.16</v>
      </c>
      <c r="E6" s="79" t="b">
        <v>0</v>
      </c>
      <c r="F6" s="254" t="s">
        <v>307</v>
      </c>
      <c r="G6" s="79">
        <v>0.16</v>
      </c>
      <c r="H6" s="79" t="b">
        <v>0</v>
      </c>
      <c r="I6" s="254" t="s">
        <v>307</v>
      </c>
      <c r="J6" s="79">
        <v>0.16</v>
      </c>
      <c r="K6" s="79" t="b">
        <v>0</v>
      </c>
      <c r="L6" s="254" t="s">
        <v>307</v>
      </c>
      <c r="M6" s="79">
        <v>0.16</v>
      </c>
      <c r="N6" s="79" t="b">
        <v>0</v>
      </c>
      <c r="O6" s="254" t="s">
        <v>307</v>
      </c>
      <c r="P6" s="414">
        <v>0.16</v>
      </c>
      <c r="Q6" s="414" t="b">
        <v>0</v>
      </c>
      <c r="R6" s="254" t="s">
        <v>307</v>
      </c>
      <c r="S6" s="414">
        <v>0.16</v>
      </c>
      <c r="T6" s="414" t="b">
        <v>0</v>
      </c>
      <c r="U6" s="254" t="s">
        <v>307</v>
      </c>
      <c r="V6" s="414">
        <v>0.16</v>
      </c>
      <c r="W6" s="414" t="b">
        <v>0</v>
      </c>
      <c r="X6" s="254" t="s">
        <v>307</v>
      </c>
      <c r="Y6" s="414">
        <v>0.16</v>
      </c>
      <c r="Z6" s="414" t="b">
        <v>0</v>
      </c>
      <c r="AA6" s="254" t="s">
        <v>307</v>
      </c>
      <c r="AB6" s="414">
        <v>0.16</v>
      </c>
      <c r="AC6" s="414" t="b">
        <v>0</v>
      </c>
      <c r="AD6" s="254" t="s">
        <v>307</v>
      </c>
      <c r="AE6" s="414">
        <v>0.16</v>
      </c>
      <c r="AF6" s="414" t="b">
        <v>0</v>
      </c>
      <c r="AH6" s="252" t="str">
        <f>Parâmetros!E8</f>
        <v>Accenture - Torre IV</v>
      </c>
      <c r="AI6" s="252">
        <f>COLUMN(PercentuaisFases[[#Headers],[Fases do Ciclo de Vida / Artefatos 2]])</f>
        <v>6</v>
      </c>
      <c r="AJ6" s="252">
        <f>COLUMN(PercentuaisFases[[#Headers],[Percentual 2]])</f>
        <v>7</v>
      </c>
      <c r="AK6" s="252">
        <f>COLUMN(PercentuaisFases[[#Headers],[Fábrica testes 2]])</f>
        <v>8</v>
      </c>
      <c r="AL6" s="26" t="b">
        <v>1</v>
      </c>
      <c r="AM6" s="252" t="b">
        <v>1</v>
      </c>
    </row>
    <row r="7" spans="1:39" x14ac:dyDescent="0.25">
      <c r="A7" s="253" t="s">
        <v>198</v>
      </c>
      <c r="B7" s="254" t="b">
        <v>0</v>
      </c>
      <c r="C7" s="254" t="s">
        <v>84</v>
      </c>
      <c r="D7" s="79">
        <v>0.04</v>
      </c>
      <c r="E7" s="79" t="b">
        <v>0</v>
      </c>
      <c r="F7" s="254" t="s">
        <v>84</v>
      </c>
      <c r="G7" s="79">
        <v>0.04</v>
      </c>
      <c r="H7" s="79" t="b">
        <v>0</v>
      </c>
      <c r="I7" s="254" t="s">
        <v>84</v>
      </c>
      <c r="J7" s="79">
        <v>0.04</v>
      </c>
      <c r="K7" s="79" t="b">
        <v>0</v>
      </c>
      <c r="L7" s="254" t="s">
        <v>84</v>
      </c>
      <c r="M7" s="79">
        <v>0.04</v>
      </c>
      <c r="N7" s="79" t="b">
        <v>0</v>
      </c>
      <c r="O7" s="254" t="s">
        <v>84</v>
      </c>
      <c r="P7" s="414">
        <v>0.04</v>
      </c>
      <c r="Q7" s="414" t="b">
        <v>0</v>
      </c>
      <c r="R7" s="254" t="s">
        <v>84</v>
      </c>
      <c r="S7" s="414">
        <v>0.04</v>
      </c>
      <c r="T7" s="414" t="b">
        <v>0</v>
      </c>
      <c r="U7" s="254" t="s">
        <v>84</v>
      </c>
      <c r="V7" s="414">
        <v>0.04</v>
      </c>
      <c r="W7" s="414" t="b">
        <v>0</v>
      </c>
      <c r="X7" s="254" t="s">
        <v>84</v>
      </c>
      <c r="Y7" s="414">
        <v>0.04</v>
      </c>
      <c r="Z7" s="414" t="b">
        <v>0</v>
      </c>
      <c r="AA7" s="254" t="s">
        <v>84</v>
      </c>
      <c r="AB7" s="414">
        <v>0.04</v>
      </c>
      <c r="AC7" s="414" t="b">
        <v>0</v>
      </c>
      <c r="AD7" s="254" t="s">
        <v>84</v>
      </c>
      <c r="AE7" s="414">
        <v>0.04</v>
      </c>
      <c r="AF7" s="414" t="b">
        <v>0</v>
      </c>
      <c r="AH7" s="411" t="str">
        <f>Parâmetros!E9</f>
        <v>PTI</v>
      </c>
      <c r="AI7" s="412">
        <f>COLUMN(PercentuaisFases[[#Headers],[Fases do Ciclo de Vida / Artefatos 3]])</f>
        <v>9</v>
      </c>
      <c r="AJ7" s="412">
        <f>COLUMN(PercentuaisFases[[#Headers],[Percentual 3]])</f>
        <v>10</v>
      </c>
      <c r="AK7" s="412">
        <f>COLUMN(PercentuaisFases[[#Headers],[Fábrica testes 3]])</f>
        <v>11</v>
      </c>
      <c r="AL7" s="411" t="b">
        <v>0</v>
      </c>
      <c r="AM7" s="412" t="b">
        <v>0</v>
      </c>
    </row>
    <row r="8" spans="1:39" x14ac:dyDescent="0.25">
      <c r="A8" s="250">
        <v>3</v>
      </c>
      <c r="B8" s="251"/>
      <c r="C8" s="251" t="s">
        <v>191</v>
      </c>
      <c r="D8" s="229">
        <f>SUM(D9:D9)</f>
        <v>0.70499999999999996</v>
      </c>
      <c r="E8" s="229" t="b">
        <v>0</v>
      </c>
      <c r="F8" s="251" t="s">
        <v>191</v>
      </c>
      <c r="G8" s="229">
        <f>SUM(G9:G9)</f>
        <v>0.70499999999999996</v>
      </c>
      <c r="H8" s="229" t="b">
        <v>0</v>
      </c>
      <c r="I8" s="251" t="s">
        <v>191</v>
      </c>
      <c r="J8" s="229">
        <v>0.70499999999999996</v>
      </c>
      <c r="K8" s="229" t="b">
        <v>0</v>
      </c>
      <c r="L8" s="251" t="s">
        <v>191</v>
      </c>
      <c r="M8" s="229">
        <v>0.70499999999999996</v>
      </c>
      <c r="N8" s="229" t="b">
        <v>0</v>
      </c>
      <c r="O8" s="251" t="s">
        <v>191</v>
      </c>
      <c r="P8" s="413">
        <v>0.70499999999999996</v>
      </c>
      <c r="Q8" s="413" t="b">
        <v>0</v>
      </c>
      <c r="R8" s="251" t="s">
        <v>191</v>
      </c>
      <c r="S8" s="413">
        <v>0.70499999999999996</v>
      </c>
      <c r="T8" s="413" t="b">
        <v>0</v>
      </c>
      <c r="U8" s="251" t="s">
        <v>191</v>
      </c>
      <c r="V8" s="413">
        <v>0.70499999999999996</v>
      </c>
      <c r="W8" s="413" t="b">
        <v>0</v>
      </c>
      <c r="X8" s="251" t="s">
        <v>191</v>
      </c>
      <c r="Y8" s="413">
        <v>0.70499999999999996</v>
      </c>
      <c r="Z8" s="413" t="b">
        <v>0</v>
      </c>
      <c r="AA8" s="251" t="s">
        <v>191</v>
      </c>
      <c r="AB8" s="413">
        <v>0.69499999999999995</v>
      </c>
      <c r="AC8" s="413" t="b">
        <v>0</v>
      </c>
      <c r="AD8" s="251" t="s">
        <v>191</v>
      </c>
      <c r="AE8" s="413">
        <v>0.70499999999999996</v>
      </c>
      <c r="AF8" s="413" t="b">
        <v>0</v>
      </c>
      <c r="AH8" s="411" t="str">
        <f>Parâmetros!E10</f>
        <v>3CON</v>
      </c>
      <c r="AI8" s="412">
        <f>COLUMN(PercentuaisFases[[#Headers],[Fases do Ciclo de Vida / Artefatos 3]])</f>
        <v>9</v>
      </c>
      <c r="AJ8" s="412">
        <f>COLUMN(PercentuaisFases[[#Headers],[Percentual 3]])</f>
        <v>10</v>
      </c>
      <c r="AK8" s="412">
        <f>COLUMN(PercentuaisFases[[#Headers],[Fábrica testes 3]])</f>
        <v>11</v>
      </c>
      <c r="AL8" s="411" t="b">
        <v>0</v>
      </c>
      <c r="AM8" s="412" t="b">
        <v>0</v>
      </c>
    </row>
    <row r="9" spans="1:39" ht="140.25" x14ac:dyDescent="0.25">
      <c r="A9" s="253" t="s">
        <v>199</v>
      </c>
      <c r="B9" s="254" t="b">
        <v>1</v>
      </c>
      <c r="C9" s="254" t="s">
        <v>274</v>
      </c>
      <c r="D9" s="79">
        <v>0.70499999999999996</v>
      </c>
      <c r="E9" s="79" t="b">
        <v>0</v>
      </c>
      <c r="F9" s="254" t="s">
        <v>288</v>
      </c>
      <c r="G9" s="79">
        <v>0.70499999999999996</v>
      </c>
      <c r="H9" s="79" t="b">
        <v>0</v>
      </c>
      <c r="I9" s="254" t="s">
        <v>274</v>
      </c>
      <c r="J9" s="79">
        <v>0.70499999999999996</v>
      </c>
      <c r="K9" s="79" t="b">
        <v>0</v>
      </c>
      <c r="L9" s="254" t="s">
        <v>274</v>
      </c>
      <c r="M9" s="79">
        <v>0.70499999999999996</v>
      </c>
      <c r="N9" s="79" t="b">
        <v>0</v>
      </c>
      <c r="O9" s="254" t="s">
        <v>274</v>
      </c>
      <c r="P9" s="414">
        <v>0.70499999999999996</v>
      </c>
      <c r="Q9" s="414" t="b">
        <v>0</v>
      </c>
      <c r="R9" s="254" t="s">
        <v>274</v>
      </c>
      <c r="S9" s="414">
        <v>0.70499999999999996</v>
      </c>
      <c r="T9" s="414" t="b">
        <v>0</v>
      </c>
      <c r="U9" s="254" t="s">
        <v>274</v>
      </c>
      <c r="V9" s="414">
        <v>0.70499999999999996</v>
      </c>
      <c r="W9" s="414" t="b">
        <v>0</v>
      </c>
      <c r="X9" s="254" t="s">
        <v>274</v>
      </c>
      <c r="Y9" s="414">
        <v>0.70499999999999996</v>
      </c>
      <c r="Z9" s="414" t="b">
        <v>0</v>
      </c>
      <c r="AA9" s="254" t="s">
        <v>274</v>
      </c>
      <c r="AB9" s="414">
        <v>0.69499999999999995</v>
      </c>
      <c r="AC9" s="414" t="b">
        <v>0</v>
      </c>
      <c r="AD9" s="254" t="s">
        <v>274</v>
      </c>
      <c r="AE9" s="414">
        <v>0.70499999999999996</v>
      </c>
      <c r="AF9" s="414" t="b">
        <v>0</v>
      </c>
      <c r="AH9" s="411" t="str">
        <f>Parâmetros!E11</f>
        <v>Capgemini - Torre III</v>
      </c>
      <c r="AI9" s="412">
        <f>COLUMN(PercentuaisFases[[#Headers],[Fases do Ciclo de Vida / Artefatos 8]])</f>
        <v>24</v>
      </c>
      <c r="AJ9" s="412">
        <f>COLUMN(PercentuaisFases[[#Headers],[Percentual 8]])</f>
        <v>25</v>
      </c>
      <c r="AK9" s="412">
        <f>COLUMN(PercentuaisFases[[#Headers],[Fábrica testes 8]])</f>
        <v>26</v>
      </c>
      <c r="AL9" s="411" t="b">
        <v>0</v>
      </c>
      <c r="AM9" s="412" t="b">
        <v>0</v>
      </c>
    </row>
    <row r="10" spans="1:39" x14ac:dyDescent="0.25">
      <c r="A10" s="250">
        <v>4</v>
      </c>
      <c r="B10" s="251"/>
      <c r="C10" s="251" t="s">
        <v>192</v>
      </c>
      <c r="D10" s="229">
        <f>SUM(D11:D12)</f>
        <v>0.105</v>
      </c>
      <c r="E10" s="229" t="b">
        <v>0</v>
      </c>
      <c r="F10" s="251" t="s">
        <v>192</v>
      </c>
      <c r="G10" s="229">
        <v>0.08</v>
      </c>
      <c r="H10" s="229" t="b">
        <v>1</v>
      </c>
      <c r="I10" s="251" t="s">
        <v>192</v>
      </c>
      <c r="J10" s="229">
        <v>0.08</v>
      </c>
      <c r="K10" s="229" t="b">
        <v>0</v>
      </c>
      <c r="L10" s="251" t="s">
        <v>192</v>
      </c>
      <c r="M10" s="229">
        <v>0.08</v>
      </c>
      <c r="N10" s="229" t="b">
        <v>0</v>
      </c>
      <c r="O10" s="251" t="s">
        <v>192</v>
      </c>
      <c r="P10" s="413">
        <v>0.08</v>
      </c>
      <c r="Q10" s="413" t="b">
        <v>0</v>
      </c>
      <c r="R10" s="251" t="s">
        <v>192</v>
      </c>
      <c r="S10" s="413">
        <v>0.08</v>
      </c>
      <c r="T10" s="413" t="b">
        <v>0</v>
      </c>
      <c r="U10" s="251" t="s">
        <v>192</v>
      </c>
      <c r="V10" s="413">
        <v>0.08</v>
      </c>
      <c r="W10" s="413" t="b">
        <v>0</v>
      </c>
      <c r="X10" s="251" t="s">
        <v>192</v>
      </c>
      <c r="Y10" s="413">
        <v>0.08</v>
      </c>
      <c r="Z10" s="413" t="b">
        <v>0</v>
      </c>
      <c r="AA10" s="251" t="s">
        <v>192</v>
      </c>
      <c r="AB10" s="413">
        <v>0.08</v>
      </c>
      <c r="AC10" s="413" t="b">
        <v>0</v>
      </c>
      <c r="AD10" s="251" t="s">
        <v>192</v>
      </c>
      <c r="AE10" s="413">
        <v>0.08</v>
      </c>
      <c r="AF10" s="413" t="b">
        <v>0</v>
      </c>
      <c r="AH10" s="411" t="str">
        <f>Parâmetros!E12</f>
        <v>CPQD</v>
      </c>
      <c r="AI10" s="412">
        <f>COLUMN(PercentuaisFases[[#Headers],[Fases do Ciclo de Vida / Artefatos 3]])</f>
        <v>9</v>
      </c>
      <c r="AJ10" s="412">
        <f>COLUMN(PercentuaisFases[[#Headers],[Percentual 3]])</f>
        <v>10</v>
      </c>
      <c r="AK10" s="412">
        <f>COLUMN(PercentuaisFases[[#Headers],[Fábrica testes 3]])</f>
        <v>11</v>
      </c>
      <c r="AL10" s="411" t="b">
        <v>0</v>
      </c>
      <c r="AM10" s="412" t="b">
        <v>0</v>
      </c>
    </row>
    <row r="11" spans="1:39" ht="25.5" x14ac:dyDescent="0.25">
      <c r="A11" s="253" t="s">
        <v>200</v>
      </c>
      <c r="B11" s="254" t="b">
        <v>1</v>
      </c>
      <c r="C11" s="254" t="s">
        <v>193</v>
      </c>
      <c r="D11" s="79">
        <v>7.4999999999999997E-2</v>
      </c>
      <c r="E11" s="79" t="b">
        <v>0</v>
      </c>
      <c r="F11" s="254" t="s">
        <v>193</v>
      </c>
      <c r="G11" s="79">
        <v>0.05</v>
      </c>
      <c r="H11" s="79" t="b">
        <v>1</v>
      </c>
      <c r="I11" s="254" t="s">
        <v>193</v>
      </c>
      <c r="J11" s="79">
        <v>0.05</v>
      </c>
      <c r="K11" s="79" t="b">
        <v>0</v>
      </c>
      <c r="L11" s="254" t="s">
        <v>193</v>
      </c>
      <c r="M11" s="79">
        <v>0.05</v>
      </c>
      <c r="N11" s="79" t="b">
        <v>0</v>
      </c>
      <c r="O11" s="254" t="s">
        <v>193</v>
      </c>
      <c r="P11" s="414">
        <v>0.05</v>
      </c>
      <c r="Q11" s="414" t="b">
        <v>0</v>
      </c>
      <c r="R11" s="254" t="s">
        <v>193</v>
      </c>
      <c r="S11" s="414">
        <v>0.05</v>
      </c>
      <c r="T11" s="414" t="b">
        <v>0</v>
      </c>
      <c r="U11" s="254" t="s">
        <v>193</v>
      </c>
      <c r="V11" s="414">
        <v>0.05</v>
      </c>
      <c r="W11" s="414" t="b">
        <v>0</v>
      </c>
      <c r="X11" s="254" t="s">
        <v>193</v>
      </c>
      <c r="Y11" s="414">
        <v>0.05</v>
      </c>
      <c r="Z11" s="414" t="b">
        <v>0</v>
      </c>
      <c r="AA11" s="254" t="s">
        <v>193</v>
      </c>
      <c r="AB11" s="414">
        <v>0.05</v>
      </c>
      <c r="AC11" s="414" t="b">
        <v>0</v>
      </c>
      <c r="AD11" s="254" t="s">
        <v>193</v>
      </c>
      <c r="AE11" s="414">
        <v>0.05</v>
      </c>
      <c r="AF11" s="414" t="b">
        <v>0</v>
      </c>
      <c r="AH11" s="411" t="str">
        <f>Parâmetros!E13</f>
        <v>Experian</v>
      </c>
      <c r="AI11" s="412">
        <f>COLUMN(PercentuaisFases[[#Headers],[Fases do Ciclo de Vida / Artefatos 5]])</f>
        <v>15</v>
      </c>
      <c r="AJ11" s="412">
        <f>COLUMN(PercentuaisFases[[#Headers],[Percentual 5]])</f>
        <v>16</v>
      </c>
      <c r="AK11" s="412">
        <f>COLUMN(PercentuaisFases[[#Headers],[Fábrica testes 5]])</f>
        <v>17</v>
      </c>
      <c r="AL11" s="411" t="b">
        <v>0</v>
      </c>
      <c r="AM11" s="412" t="b">
        <v>0</v>
      </c>
    </row>
    <row r="12" spans="1:39" ht="25.5" x14ac:dyDescent="0.25">
      <c r="A12" s="253" t="s">
        <v>201</v>
      </c>
      <c r="B12" s="254" t="b">
        <v>1</v>
      </c>
      <c r="C12" s="254" t="s">
        <v>194</v>
      </c>
      <c r="D12" s="79">
        <v>0.03</v>
      </c>
      <c r="E12" s="79" t="b">
        <v>0</v>
      </c>
      <c r="F12" s="254" t="s">
        <v>194</v>
      </c>
      <c r="G12" s="79">
        <v>0.03</v>
      </c>
      <c r="H12" s="79" t="b">
        <v>1</v>
      </c>
      <c r="I12" s="254" t="s">
        <v>194</v>
      </c>
      <c r="J12" s="79">
        <v>0.03</v>
      </c>
      <c r="K12" s="79" t="b">
        <v>0</v>
      </c>
      <c r="L12" s="254" t="s">
        <v>194</v>
      </c>
      <c r="M12" s="79">
        <v>0.03</v>
      </c>
      <c r="N12" s="79" t="b">
        <v>0</v>
      </c>
      <c r="O12" s="254" t="s">
        <v>194</v>
      </c>
      <c r="P12" s="414">
        <v>0.03</v>
      </c>
      <c r="Q12" s="414" t="b">
        <v>0</v>
      </c>
      <c r="R12" s="254" t="s">
        <v>194</v>
      </c>
      <c r="S12" s="414">
        <v>0.03</v>
      </c>
      <c r="T12" s="414" t="b">
        <v>0</v>
      </c>
      <c r="U12" s="254" t="s">
        <v>194</v>
      </c>
      <c r="V12" s="414">
        <v>0.03</v>
      </c>
      <c r="W12" s="414" t="b">
        <v>0</v>
      </c>
      <c r="X12" s="254" t="s">
        <v>194</v>
      </c>
      <c r="Y12" s="414">
        <v>0.03</v>
      </c>
      <c r="Z12" s="414" t="b">
        <v>0</v>
      </c>
      <c r="AA12" s="254" t="s">
        <v>194</v>
      </c>
      <c r="AB12" s="414">
        <v>0.03</v>
      </c>
      <c r="AC12" s="414" t="b">
        <v>0</v>
      </c>
      <c r="AD12" s="254" t="s">
        <v>194</v>
      </c>
      <c r="AE12" s="414">
        <v>0.03</v>
      </c>
      <c r="AF12" s="414" t="b">
        <v>0</v>
      </c>
      <c r="AH12" s="411" t="str">
        <f>Parâmetros!E14</f>
        <v>Perlink</v>
      </c>
      <c r="AI12" s="412">
        <f>COLUMN(PercentuaisFases[[#Headers],[Fases do Ciclo de Vida / Artefatos 4]])</f>
        <v>12</v>
      </c>
      <c r="AJ12" s="412">
        <f>COLUMN(PercentuaisFases[[#Headers],[Percentual 4]])</f>
        <v>13</v>
      </c>
      <c r="AK12" s="412">
        <f>COLUMN(PercentuaisFases[[#Headers],[Fábrica testes 4]])</f>
        <v>14</v>
      </c>
      <c r="AL12" s="411" t="b">
        <v>0</v>
      </c>
      <c r="AM12" s="412" t="b">
        <v>0</v>
      </c>
    </row>
    <row r="13" spans="1:39" x14ac:dyDescent="0.25">
      <c r="A13" s="250">
        <v>5</v>
      </c>
      <c r="B13" s="251"/>
      <c r="C13" s="251" t="s">
        <v>10</v>
      </c>
      <c r="D13" s="229">
        <f>SUM(D14)</f>
        <v>0.03</v>
      </c>
      <c r="E13" s="229" t="b">
        <v>0</v>
      </c>
      <c r="F13" s="251" t="s">
        <v>10</v>
      </c>
      <c r="G13" s="229">
        <v>5.5E-2</v>
      </c>
      <c r="H13" s="229" t="b">
        <v>0</v>
      </c>
      <c r="I13" s="251" t="s">
        <v>10</v>
      </c>
      <c r="J13" s="229">
        <v>5.5E-2</v>
      </c>
      <c r="K13" s="229" t="b">
        <v>0</v>
      </c>
      <c r="L13" s="251" t="s">
        <v>10</v>
      </c>
      <c r="M13" s="229">
        <v>5.5E-2</v>
      </c>
      <c r="N13" s="229" t="b">
        <v>0</v>
      </c>
      <c r="O13" s="251" t="s">
        <v>10</v>
      </c>
      <c r="P13" s="413">
        <v>5.5E-2</v>
      </c>
      <c r="Q13" s="413" t="b">
        <v>0</v>
      </c>
      <c r="R13" s="251" t="s">
        <v>10</v>
      </c>
      <c r="S13" s="413">
        <v>5.5E-2</v>
      </c>
      <c r="T13" s="413" t="b">
        <v>0</v>
      </c>
      <c r="U13" s="251" t="s">
        <v>10</v>
      </c>
      <c r="V13" s="413">
        <v>5.5E-2</v>
      </c>
      <c r="W13" s="413" t="b">
        <v>0</v>
      </c>
      <c r="X13" s="251" t="s">
        <v>10</v>
      </c>
      <c r="Y13" s="413">
        <v>5.5E-2</v>
      </c>
      <c r="Z13" s="413" t="b">
        <v>0</v>
      </c>
      <c r="AA13" s="251" t="s">
        <v>10</v>
      </c>
      <c r="AB13" s="413">
        <v>5.5E-2</v>
      </c>
      <c r="AC13" s="413" t="b">
        <v>0</v>
      </c>
      <c r="AD13" s="251" t="s">
        <v>10</v>
      </c>
      <c r="AE13" s="413">
        <v>5.5E-2</v>
      </c>
      <c r="AF13" s="413" t="b">
        <v>0</v>
      </c>
      <c r="AH13" s="252" t="str">
        <f>Parâmetros!E15</f>
        <v>Teradata</v>
      </c>
      <c r="AI13" s="252">
        <f>COLUMN(PercentuaisFases[[#Headers],[Fases do Ciclo de Vida / Artefatos 3]])</f>
        <v>9</v>
      </c>
      <c r="AJ13" s="252">
        <f>COLUMN(PercentuaisFases[[#Headers],[Percentual 3]])</f>
        <v>10</v>
      </c>
      <c r="AK13" s="252">
        <f>COLUMN(PercentuaisFases[[#Headers],[Fábrica testes 3]])</f>
        <v>11</v>
      </c>
      <c r="AL13" s="26" t="b">
        <v>0</v>
      </c>
      <c r="AM13" s="252" t="b">
        <v>0</v>
      </c>
    </row>
    <row r="14" spans="1:39" x14ac:dyDescent="0.25">
      <c r="A14" s="253" t="s">
        <v>202</v>
      </c>
      <c r="B14" s="254" t="b">
        <v>1</v>
      </c>
      <c r="C14" s="254" t="s">
        <v>340</v>
      </c>
      <c r="D14" s="79">
        <v>0.03</v>
      </c>
      <c r="E14" s="79" t="b">
        <v>0</v>
      </c>
      <c r="F14" s="254" t="s">
        <v>340</v>
      </c>
      <c r="G14" s="79">
        <v>0.03</v>
      </c>
      <c r="H14" s="79" t="b">
        <v>0</v>
      </c>
      <c r="I14" s="254" t="s">
        <v>340</v>
      </c>
      <c r="J14" s="79">
        <v>0.03</v>
      </c>
      <c r="K14" s="79" t="b">
        <v>0</v>
      </c>
      <c r="L14" s="254" t="s">
        <v>340</v>
      </c>
      <c r="M14" s="79">
        <v>0.03</v>
      </c>
      <c r="N14" s="79" t="b">
        <v>0</v>
      </c>
      <c r="O14" s="254" t="s">
        <v>340</v>
      </c>
      <c r="P14" s="414">
        <v>0.03</v>
      </c>
      <c r="Q14" s="414" t="b">
        <v>0</v>
      </c>
      <c r="R14" s="254" t="s">
        <v>340</v>
      </c>
      <c r="S14" s="414">
        <v>0.03</v>
      </c>
      <c r="T14" s="414" t="b">
        <v>0</v>
      </c>
      <c r="U14" s="254" t="s">
        <v>340</v>
      </c>
      <c r="V14" s="414">
        <v>0.03</v>
      </c>
      <c r="W14" s="414" t="b">
        <v>0</v>
      </c>
      <c r="X14" s="254" t="s">
        <v>340</v>
      </c>
      <c r="Y14" s="414">
        <v>5.5E-2</v>
      </c>
      <c r="Z14" s="414" t="b">
        <v>0</v>
      </c>
      <c r="AA14" s="254" t="s">
        <v>340</v>
      </c>
      <c r="AB14" s="414">
        <v>0.03</v>
      </c>
      <c r="AC14" s="414" t="b">
        <v>0</v>
      </c>
      <c r="AD14" s="254" t="s">
        <v>340</v>
      </c>
      <c r="AE14" s="414">
        <v>0.03</v>
      </c>
      <c r="AF14" s="414" t="b">
        <v>0</v>
      </c>
      <c r="AH14" s="411" t="str">
        <f>Parâmetros!E16</f>
        <v>Triad</v>
      </c>
      <c r="AI14" s="412">
        <f>COLUMN(PercentuaisFases[[#Headers],[Fases do Ciclo de Vida / Artefatos 3]])</f>
        <v>9</v>
      </c>
      <c r="AJ14" s="412">
        <f>COLUMN(PercentuaisFases[[#Headers],[Percentual 3]])</f>
        <v>10</v>
      </c>
      <c r="AK14" s="412">
        <f>COLUMN(PercentuaisFases[[#Headers],[Fábrica testes 3]])</f>
        <v>11</v>
      </c>
      <c r="AL14" s="411" t="b">
        <v>0</v>
      </c>
      <c r="AM14" s="412" t="b">
        <v>0</v>
      </c>
    </row>
    <row r="15" spans="1:39" x14ac:dyDescent="0.25">
      <c r="A15" s="255" t="s">
        <v>203</v>
      </c>
      <c r="B15" s="256" t="b">
        <v>1</v>
      </c>
      <c r="C15" s="256"/>
      <c r="D15" s="243"/>
      <c r="E15" s="244"/>
      <c r="F15" s="256" t="s">
        <v>281</v>
      </c>
      <c r="G15" s="243">
        <v>2.5000000000000001E-2</v>
      </c>
      <c r="H15" s="244" t="b">
        <v>0</v>
      </c>
      <c r="I15" s="256" t="s">
        <v>281</v>
      </c>
      <c r="J15" s="243">
        <v>2.5000000000000001E-2</v>
      </c>
      <c r="K15" s="244" t="b">
        <v>0</v>
      </c>
      <c r="L15" s="256" t="s">
        <v>281</v>
      </c>
      <c r="M15" s="243">
        <v>2.5000000000000001E-2</v>
      </c>
      <c r="N15" s="244" t="b">
        <v>0</v>
      </c>
      <c r="O15" s="256" t="s">
        <v>281</v>
      </c>
      <c r="P15" s="415">
        <v>2.5000000000000001E-2</v>
      </c>
      <c r="Q15" s="416" t="b">
        <v>0</v>
      </c>
      <c r="R15" s="256" t="s">
        <v>281</v>
      </c>
      <c r="S15" s="415">
        <v>2.5000000000000001E-2</v>
      </c>
      <c r="T15" s="416" t="b">
        <v>0</v>
      </c>
      <c r="U15" s="256" t="s">
        <v>281</v>
      </c>
      <c r="V15" s="415">
        <v>2.5000000000000001E-2</v>
      </c>
      <c r="W15" s="416" t="b">
        <v>0</v>
      </c>
      <c r="X15" s="256"/>
      <c r="Y15" s="415"/>
      <c r="Z15" s="416"/>
      <c r="AA15" s="256" t="s">
        <v>281</v>
      </c>
      <c r="AB15" s="415">
        <v>2.5000000000000001E-2</v>
      </c>
      <c r="AC15" s="416" t="b">
        <v>0</v>
      </c>
      <c r="AD15" s="256" t="s">
        <v>281</v>
      </c>
      <c r="AE15" s="415">
        <v>2.5000000000000001E-2</v>
      </c>
      <c r="AF15" s="416" t="b">
        <v>0</v>
      </c>
      <c r="AH15" s="411" t="str">
        <f>Parâmetros!E17</f>
        <v>Wedo</v>
      </c>
      <c r="AI15" s="412">
        <f>COLUMN(PercentuaisFases[[#Headers],[Fases do Ciclo de Vida / Artefatos 5]])</f>
        <v>15</v>
      </c>
      <c r="AJ15" s="412">
        <f>COLUMN(PercentuaisFases[[#Headers],[Percentual 5]])</f>
        <v>16</v>
      </c>
      <c r="AK15" s="412">
        <f>COLUMN(PercentuaisFases[[#Headers],[Fábrica testes 5]])</f>
        <v>17</v>
      </c>
      <c r="AL15" s="411" t="b">
        <v>0</v>
      </c>
      <c r="AM15" s="412" t="b">
        <v>0</v>
      </c>
    </row>
    <row r="16" spans="1:39" x14ac:dyDescent="0.25">
      <c r="A16" s="250">
        <v>6</v>
      </c>
      <c r="B16" s="251"/>
      <c r="C16" s="251" t="s">
        <v>32</v>
      </c>
      <c r="D16" s="245"/>
      <c r="E16" s="245" t="b">
        <v>0</v>
      </c>
      <c r="F16" s="251" t="s">
        <v>32</v>
      </c>
      <c r="G16" s="245"/>
      <c r="H16" s="245" t="b">
        <v>1</v>
      </c>
      <c r="I16" s="251" t="s">
        <v>32</v>
      </c>
      <c r="J16" s="245"/>
      <c r="K16" s="245" t="b">
        <v>0</v>
      </c>
      <c r="L16" s="251" t="s">
        <v>32</v>
      </c>
      <c r="M16" s="245"/>
      <c r="N16" s="245" t="b">
        <v>0</v>
      </c>
      <c r="O16" s="251" t="s">
        <v>32</v>
      </c>
      <c r="P16" s="417"/>
      <c r="Q16" s="417" t="b">
        <v>0</v>
      </c>
      <c r="R16" s="251" t="s">
        <v>32</v>
      </c>
      <c r="S16" s="417"/>
      <c r="T16" s="417" t="b">
        <v>0</v>
      </c>
      <c r="U16" s="251" t="s">
        <v>32</v>
      </c>
      <c r="V16" s="417"/>
      <c r="W16" s="417" t="b">
        <v>0</v>
      </c>
      <c r="X16" s="251" t="s">
        <v>32</v>
      </c>
      <c r="Y16" s="417"/>
      <c r="Z16" s="417" t="b">
        <v>0</v>
      </c>
      <c r="AA16" s="251" t="s">
        <v>32</v>
      </c>
      <c r="AB16" s="417"/>
      <c r="AC16" s="417" t="b">
        <v>0</v>
      </c>
      <c r="AD16" s="251" t="s">
        <v>32</v>
      </c>
      <c r="AE16" s="417"/>
      <c r="AF16" s="417" t="b">
        <v>0</v>
      </c>
      <c r="AH16" s="411" t="str">
        <f>Parâmetros!E18</f>
        <v>Metatron</v>
      </c>
      <c r="AI16" s="412">
        <f>COLUMN(PercentuaisFases[[#Headers],[Fases do Ciclo de Vida / Artefatos 3]])</f>
        <v>9</v>
      </c>
      <c r="AJ16" s="412">
        <f>COLUMN(PercentuaisFases[[#Headers],[Percentual 3]])</f>
        <v>10</v>
      </c>
      <c r="AK16" s="412">
        <f>COLUMN(PercentuaisFases[[#Headers],[Fábrica testes 3]])</f>
        <v>11</v>
      </c>
      <c r="AL16" s="411" t="b">
        <v>0</v>
      </c>
      <c r="AM16" s="412" t="b">
        <v>0</v>
      </c>
    </row>
    <row r="17" spans="1:39" x14ac:dyDescent="0.25">
      <c r="A17" s="257" t="s">
        <v>204</v>
      </c>
      <c r="B17" s="258" t="b">
        <v>1</v>
      </c>
      <c r="C17" s="258" t="s">
        <v>33</v>
      </c>
      <c r="D17" s="80">
        <v>7.4999999999999997E-2</v>
      </c>
      <c r="E17" s="79" t="b">
        <v>0</v>
      </c>
      <c r="F17" s="258" t="s">
        <v>33</v>
      </c>
      <c r="G17" s="80">
        <v>0.05</v>
      </c>
      <c r="H17" s="79" t="b">
        <v>1</v>
      </c>
      <c r="I17" s="258" t="s">
        <v>33</v>
      </c>
      <c r="J17" s="80">
        <v>0.05</v>
      </c>
      <c r="K17" s="79" t="b">
        <v>0</v>
      </c>
      <c r="L17" s="258" t="s">
        <v>33</v>
      </c>
      <c r="M17" s="80">
        <v>0.05</v>
      </c>
      <c r="N17" s="79" t="b">
        <v>0</v>
      </c>
      <c r="O17" s="258" t="s">
        <v>33</v>
      </c>
      <c r="P17" s="418">
        <v>0.05</v>
      </c>
      <c r="Q17" s="414" t="b">
        <v>0</v>
      </c>
      <c r="R17" s="258" t="s">
        <v>33</v>
      </c>
      <c r="S17" s="418">
        <v>0.05</v>
      </c>
      <c r="T17" s="414" t="b">
        <v>0</v>
      </c>
      <c r="U17" s="258" t="s">
        <v>33</v>
      </c>
      <c r="V17" s="418">
        <v>0.05</v>
      </c>
      <c r="W17" s="414" t="b">
        <v>0</v>
      </c>
      <c r="X17" s="258" t="s">
        <v>33</v>
      </c>
      <c r="Y17" s="418">
        <v>0.05</v>
      </c>
      <c r="Z17" s="414" t="b">
        <v>0</v>
      </c>
      <c r="AA17" s="258" t="s">
        <v>33</v>
      </c>
      <c r="AB17" s="418">
        <v>0.05</v>
      </c>
      <c r="AC17" s="414" t="b">
        <v>0</v>
      </c>
      <c r="AD17" s="258" t="s">
        <v>33</v>
      </c>
      <c r="AE17" s="418">
        <v>0.05</v>
      </c>
      <c r="AF17" s="414" t="b">
        <v>0</v>
      </c>
      <c r="AH17" s="411" t="str">
        <f>Parâmetros!E19</f>
        <v>Capgemini - Torre VI</v>
      </c>
      <c r="AI17" s="412">
        <f>COLUMN(PercentuaisFases[[#Headers],[Fases do Ciclo de Vida / Artefatos 3]])</f>
        <v>9</v>
      </c>
      <c r="AJ17" s="412">
        <f>COLUMN(PercentuaisFases[[#Headers],[Percentual 3]])</f>
        <v>10</v>
      </c>
      <c r="AK17" s="412">
        <f>COLUMN(PercentuaisFases[[#Headers],[Fábrica testes 3]])</f>
        <v>11</v>
      </c>
      <c r="AL17" s="411" t="b">
        <v>0</v>
      </c>
      <c r="AM17" s="412" t="b">
        <v>0</v>
      </c>
    </row>
    <row r="18" spans="1:39" x14ac:dyDescent="0.25">
      <c r="A18" s="257" t="s">
        <v>205</v>
      </c>
      <c r="B18" s="258" t="b">
        <v>1</v>
      </c>
      <c r="C18" s="258" t="s">
        <v>18</v>
      </c>
      <c r="D18" s="80">
        <v>0.03</v>
      </c>
      <c r="E18" s="79" t="b">
        <v>0</v>
      </c>
      <c r="F18" s="258" t="s">
        <v>18</v>
      </c>
      <c r="G18" s="80">
        <v>0.03</v>
      </c>
      <c r="H18" s="79" t="b">
        <v>1</v>
      </c>
      <c r="I18" s="258" t="s">
        <v>18</v>
      </c>
      <c r="J18" s="80">
        <v>0.03</v>
      </c>
      <c r="K18" s="79" t="b">
        <v>0</v>
      </c>
      <c r="L18" s="258" t="s">
        <v>18</v>
      </c>
      <c r="M18" s="80">
        <v>0.03</v>
      </c>
      <c r="N18" s="79" t="b">
        <v>0</v>
      </c>
      <c r="O18" s="258" t="s">
        <v>18</v>
      </c>
      <c r="P18" s="418">
        <v>0.03</v>
      </c>
      <c r="Q18" s="414" t="b">
        <v>0</v>
      </c>
      <c r="R18" s="258" t="s">
        <v>18</v>
      </c>
      <c r="S18" s="418">
        <v>0.03</v>
      </c>
      <c r="T18" s="414" t="b">
        <v>0</v>
      </c>
      <c r="U18" s="258" t="s">
        <v>18</v>
      </c>
      <c r="V18" s="418">
        <v>0.03</v>
      </c>
      <c r="W18" s="414" t="b">
        <v>0</v>
      </c>
      <c r="X18" s="258" t="s">
        <v>18</v>
      </c>
      <c r="Y18" s="418">
        <v>0.03</v>
      </c>
      <c r="Z18" s="414" t="b">
        <v>0</v>
      </c>
      <c r="AA18" s="258" t="s">
        <v>18</v>
      </c>
      <c r="AB18" s="418">
        <v>0.03</v>
      </c>
      <c r="AC18" s="414" t="b">
        <v>0</v>
      </c>
      <c r="AD18" s="258" t="s">
        <v>18</v>
      </c>
      <c r="AE18" s="418">
        <v>0.03</v>
      </c>
      <c r="AF18" s="414" t="b">
        <v>0</v>
      </c>
      <c r="AH18" s="411" t="str">
        <f>Parâmetros!E20</f>
        <v>ASGA</v>
      </c>
      <c r="AI18" s="412">
        <f>COLUMN(PercentuaisFases[[#Headers],[Fases do Ciclo de Vida / Artefatos 10]])</f>
        <v>30</v>
      </c>
      <c r="AJ18" s="412">
        <f>COLUMN(PercentuaisFases[[#Headers],[Percentual 10]])</f>
        <v>31</v>
      </c>
      <c r="AK18" s="412">
        <f>COLUMN(PercentuaisFases[[#Headers],[Fábrica testes 10]])</f>
        <v>32</v>
      </c>
      <c r="AL18" s="411" t="b">
        <v>0</v>
      </c>
      <c r="AM18" s="412" t="b">
        <v>1</v>
      </c>
    </row>
    <row r="19" spans="1:39" x14ac:dyDescent="0.25">
      <c r="A19" s="257" t="s">
        <v>275</v>
      </c>
      <c r="B19" s="258" t="b">
        <v>1</v>
      </c>
      <c r="C19" s="258" t="s">
        <v>87</v>
      </c>
      <c r="D19" s="80">
        <v>7.0000000000000007E-2</v>
      </c>
      <c r="E19" s="79" t="b">
        <v>0</v>
      </c>
      <c r="F19" s="258" t="s">
        <v>87</v>
      </c>
      <c r="G19" s="80">
        <v>7.0000000000000007E-2</v>
      </c>
      <c r="H19" s="79" t="b">
        <v>0</v>
      </c>
      <c r="I19" s="258" t="s">
        <v>87</v>
      </c>
      <c r="J19" s="80">
        <v>7.0000000000000007E-2</v>
      </c>
      <c r="K19" s="79" t="b">
        <v>0</v>
      </c>
      <c r="L19" s="258" t="s">
        <v>87</v>
      </c>
      <c r="M19" s="80">
        <v>7.0000000000000007E-2</v>
      </c>
      <c r="N19" s="79" t="b">
        <v>0</v>
      </c>
      <c r="O19" s="258" t="s">
        <v>87</v>
      </c>
      <c r="P19" s="418">
        <v>7.0000000000000007E-2</v>
      </c>
      <c r="Q19" s="414" t="b">
        <v>0</v>
      </c>
      <c r="R19" s="258" t="s">
        <v>87</v>
      </c>
      <c r="S19" s="418">
        <v>7.0000000000000007E-2</v>
      </c>
      <c r="T19" s="414" t="b">
        <v>0</v>
      </c>
      <c r="U19" s="258" t="s">
        <v>87</v>
      </c>
      <c r="V19" s="418">
        <v>7.0000000000000007E-2</v>
      </c>
      <c r="W19" s="414" t="b">
        <v>0</v>
      </c>
      <c r="X19" s="258" t="s">
        <v>87</v>
      </c>
      <c r="Y19" s="418">
        <v>7.0000000000000007E-2</v>
      </c>
      <c r="Z19" s="414" t="b">
        <v>0</v>
      </c>
      <c r="AA19" s="258" t="s">
        <v>87</v>
      </c>
      <c r="AB19" s="418">
        <v>7.0000000000000007E-2</v>
      </c>
      <c r="AC19" s="414" t="b">
        <v>0</v>
      </c>
      <c r="AD19" s="258" t="s">
        <v>87</v>
      </c>
      <c r="AE19" s="418">
        <v>7.0000000000000007E-2</v>
      </c>
      <c r="AF19" s="414" t="b">
        <v>0</v>
      </c>
      <c r="AH19" s="411" t="str">
        <f>Parâmetros!E21</f>
        <v>HP</v>
      </c>
      <c r="AI19" s="412">
        <f>COLUMN(PercentuaisFases[[#Headers],[Fases do Ciclo de Vida / Artefatos 3]])</f>
        <v>9</v>
      </c>
      <c r="AJ19" s="412">
        <f>COLUMN(PercentuaisFases[[#Headers],[Percentual 3]])</f>
        <v>10</v>
      </c>
      <c r="AK19" s="412">
        <f>COLUMN(PercentuaisFases[[#Headers],[Fábrica testes 3]])</f>
        <v>11</v>
      </c>
      <c r="AL19" s="411" t="b">
        <v>0</v>
      </c>
      <c r="AM19" s="412" t="b">
        <v>1</v>
      </c>
    </row>
    <row r="20" spans="1:39" x14ac:dyDescent="0.25">
      <c r="A20" s="259">
        <v>7</v>
      </c>
      <c r="B20" s="260"/>
      <c r="C20" s="260" t="s">
        <v>88</v>
      </c>
      <c r="D20" s="245"/>
      <c r="E20" s="246" t="b">
        <v>0</v>
      </c>
      <c r="F20" s="260" t="s">
        <v>88</v>
      </c>
      <c r="G20" s="245"/>
      <c r="H20" s="246" t="b">
        <v>0</v>
      </c>
      <c r="I20" s="260" t="s">
        <v>88</v>
      </c>
      <c r="J20" s="245"/>
      <c r="K20" s="246" t="b">
        <v>0</v>
      </c>
      <c r="L20" s="260" t="s">
        <v>88</v>
      </c>
      <c r="M20" s="245"/>
      <c r="N20" s="246" t="b">
        <v>0</v>
      </c>
      <c r="O20" s="260" t="s">
        <v>88</v>
      </c>
      <c r="P20" s="417"/>
      <c r="Q20" s="419" t="b">
        <v>0</v>
      </c>
      <c r="R20" s="260" t="s">
        <v>88</v>
      </c>
      <c r="S20" s="417"/>
      <c r="T20" s="419" t="b">
        <v>0</v>
      </c>
      <c r="U20" s="260" t="s">
        <v>88</v>
      </c>
      <c r="V20" s="417"/>
      <c r="W20" s="419" t="b">
        <v>0</v>
      </c>
      <c r="X20" s="260" t="s">
        <v>88</v>
      </c>
      <c r="Y20" s="417"/>
      <c r="Z20" s="419" t="b">
        <v>0</v>
      </c>
      <c r="AA20" s="260" t="s">
        <v>88</v>
      </c>
      <c r="AB20" s="417"/>
      <c r="AC20" s="419" t="b">
        <v>0</v>
      </c>
      <c r="AD20" s="260" t="s">
        <v>88</v>
      </c>
      <c r="AE20" s="417"/>
      <c r="AF20" s="419" t="b">
        <v>0</v>
      </c>
      <c r="AH20" s="411" t="str">
        <f>Parâmetros!E22</f>
        <v>Procwork</v>
      </c>
      <c r="AI20" s="412">
        <f>COLUMN(PercentuaisFases[[#Headers],[Fases do Ciclo de Vida / Artefatos 5]])</f>
        <v>15</v>
      </c>
      <c r="AJ20" s="412">
        <f>COLUMN(PercentuaisFases[[#Headers],[Percentual 5]])</f>
        <v>16</v>
      </c>
      <c r="AK20" s="412">
        <f>COLUMN(PercentuaisFases[[#Headers],[Fábrica testes 5]])</f>
        <v>17</v>
      </c>
      <c r="AL20" s="411" t="b">
        <v>0</v>
      </c>
      <c r="AM20" s="412" t="b">
        <v>0</v>
      </c>
    </row>
    <row r="21" spans="1:39" x14ac:dyDescent="0.25">
      <c r="A21" s="261" t="s">
        <v>206</v>
      </c>
      <c r="B21" s="262"/>
      <c r="C21" s="262" t="s">
        <v>88</v>
      </c>
      <c r="D21" s="81">
        <v>0.15</v>
      </c>
      <c r="E21" s="145" t="b">
        <v>0</v>
      </c>
      <c r="F21" s="262" t="s">
        <v>88</v>
      </c>
      <c r="G21" s="81">
        <v>0.18</v>
      </c>
      <c r="H21" s="145" t="b">
        <v>0</v>
      </c>
      <c r="I21" s="262" t="s">
        <v>88</v>
      </c>
      <c r="J21" s="81">
        <v>0.1</v>
      </c>
      <c r="K21" s="145" t="b">
        <v>0</v>
      </c>
      <c r="L21" s="262" t="s">
        <v>88</v>
      </c>
      <c r="M21" s="81">
        <v>0.16</v>
      </c>
      <c r="N21" s="145" t="b">
        <v>0</v>
      </c>
      <c r="O21" s="262" t="s">
        <v>88</v>
      </c>
      <c r="P21" s="420">
        <v>0.15</v>
      </c>
      <c r="Q21" s="421" t="b">
        <v>0</v>
      </c>
      <c r="R21" s="262" t="s">
        <v>88</v>
      </c>
      <c r="S21" s="420">
        <v>0.17</v>
      </c>
      <c r="T21" s="421" t="b">
        <v>0</v>
      </c>
      <c r="U21" s="262" t="s">
        <v>88</v>
      </c>
      <c r="V21" s="420">
        <v>0.12</v>
      </c>
      <c r="W21" s="421" t="b">
        <v>0</v>
      </c>
      <c r="X21" s="262" t="s">
        <v>88</v>
      </c>
      <c r="Y21" s="420">
        <v>0.1</v>
      </c>
      <c r="Z21" s="421" t="b">
        <v>0</v>
      </c>
      <c r="AA21" s="262" t="s">
        <v>88</v>
      </c>
      <c r="AB21" s="420">
        <v>0.18</v>
      </c>
      <c r="AC21" s="421" t="b">
        <v>0</v>
      </c>
      <c r="AD21" s="262" t="s">
        <v>88</v>
      </c>
      <c r="AE21" s="420">
        <f>IF(Variacao="&lt; 700 h",0.1,0.2)</f>
        <v>0.1</v>
      </c>
      <c r="AF21" s="421" t="b">
        <v>0</v>
      </c>
      <c r="AH21" s="411" t="str">
        <f>Parâmetros!E23</f>
        <v>Cleartech</v>
      </c>
      <c r="AI21" s="412">
        <f>COLUMN(PercentuaisFases[[#Headers],[Fases do Ciclo de Vida / Artefatos 3]])</f>
        <v>9</v>
      </c>
      <c r="AJ21" s="412">
        <f>COLUMN(PercentuaisFases[[#Headers],[Percentual 3]])</f>
        <v>10</v>
      </c>
      <c r="AK21" s="412">
        <f>COLUMN(PercentuaisFases[[#Headers],[Fábrica testes 3]])</f>
        <v>11</v>
      </c>
      <c r="AL21" s="411" t="b">
        <v>0</v>
      </c>
      <c r="AM21" s="412" t="b">
        <v>0</v>
      </c>
    </row>
    <row r="22" spans="1:39" x14ac:dyDescent="0.25">
      <c r="AH22" s="411" t="str">
        <f>Parâmetros!E24</f>
        <v>Squadra - Torre IV</v>
      </c>
      <c r="AI22" s="412">
        <f>COLUMN(PercentuaisFases[[#Headers],[Fases do Ciclo de Vida / Artefatos 3]])</f>
        <v>9</v>
      </c>
      <c r="AJ22" s="412">
        <f>COLUMN(PercentuaisFases[[#Headers],[Percentual 3]])</f>
        <v>10</v>
      </c>
      <c r="AK22" s="412">
        <f>COLUMN(PercentuaisFases[[#Headers],[Fábrica testes 3]])</f>
        <v>11</v>
      </c>
      <c r="AL22" s="411" t="b">
        <v>0</v>
      </c>
      <c r="AM22" s="412" t="b">
        <v>0</v>
      </c>
    </row>
    <row r="23" spans="1:39" x14ac:dyDescent="0.25">
      <c r="AH23" s="411" t="str">
        <f>Parâmetros!E25</f>
        <v>IBM - Torre IV</v>
      </c>
      <c r="AI23" s="412">
        <f>COLUMN(PercentuaisFases[[#Headers],[Fases do Ciclo de Vida / Artefatos 5]])</f>
        <v>15</v>
      </c>
      <c r="AJ23" s="412">
        <f>COLUMN(PercentuaisFases[[#Headers],[Percentual 5]])</f>
        <v>16</v>
      </c>
      <c r="AK23" s="412">
        <f>COLUMN(PercentuaisFases[[#Headers],[Fábrica testes 5]])</f>
        <v>17</v>
      </c>
      <c r="AL23" s="411" t="b">
        <v>0</v>
      </c>
      <c r="AM23" s="412" t="b">
        <v>0</v>
      </c>
    </row>
    <row r="24" spans="1:39" x14ac:dyDescent="0.25">
      <c r="AH24" s="411" t="str">
        <f>Parâmetros!E26</f>
        <v>TQI</v>
      </c>
      <c r="AI24" s="412">
        <f>COLUMN(PercentuaisFases[[#Headers],[Fases do Ciclo de Vida / Artefatos 3]])</f>
        <v>9</v>
      </c>
      <c r="AJ24" s="412">
        <f>COLUMN(PercentuaisFases[[#Headers],[Percentual 3]])</f>
        <v>10</v>
      </c>
      <c r="AK24" s="412">
        <f>COLUMN(PercentuaisFases[[#Headers],[Fábrica testes 3]])</f>
        <v>11</v>
      </c>
      <c r="AL24" s="411" t="b">
        <v>0</v>
      </c>
      <c r="AM24" s="412" t="b">
        <v>0</v>
      </c>
    </row>
    <row r="25" spans="1:39" x14ac:dyDescent="0.25">
      <c r="AH25" s="411" t="str">
        <f>Parâmetros!E27</f>
        <v>Amdocs</v>
      </c>
      <c r="AI25" s="412">
        <f>COLUMN(PercentuaisFases[[#Headers],[Fases do Ciclo de Vida / Artefatos 6]])</f>
        <v>18</v>
      </c>
      <c r="AJ25" s="412">
        <f>COLUMN(PercentuaisFases[[#Headers],[Percentual 6]])</f>
        <v>19</v>
      </c>
      <c r="AK25" s="412">
        <f>COLUMN(PercentuaisFases[[#Headers],[Fábrica testes 6]])</f>
        <v>20</v>
      </c>
      <c r="AL25" s="411" t="b">
        <v>0</v>
      </c>
      <c r="AM25" s="412" t="b">
        <v>0</v>
      </c>
    </row>
    <row r="26" spans="1:39" x14ac:dyDescent="0.25">
      <c r="AH26" s="411" t="str">
        <f>Parâmetros!E28</f>
        <v>iFactory</v>
      </c>
      <c r="AI26" s="412">
        <f>COLUMN(PercentuaisFases[[#Headers],[Fases do Ciclo de Vida / Artefatos 3]])</f>
        <v>9</v>
      </c>
      <c r="AJ26" s="412">
        <f>COLUMN(PercentuaisFases[[#Headers],[Percentual 3]])</f>
        <v>10</v>
      </c>
      <c r="AK26" s="412">
        <f>COLUMN(PercentuaisFases[[#Headers],[Fábrica testes 3]])</f>
        <v>11</v>
      </c>
      <c r="AL26" s="411" t="b">
        <v>0</v>
      </c>
      <c r="AM26" s="412" t="b">
        <v>0</v>
      </c>
    </row>
    <row r="27" spans="1:39" x14ac:dyDescent="0.25">
      <c r="AH27" s="411" t="str">
        <f>Parâmetros!E29</f>
        <v>VP Consulting</v>
      </c>
      <c r="AI27" s="412">
        <f>COLUMN(PercentuaisFases[[#Headers],[Fases do Ciclo de Vida / Artefatos 7]])</f>
        <v>21</v>
      </c>
      <c r="AJ27" s="412">
        <f>COLUMN(PercentuaisFases[[#Headers],[Percentual 7]])</f>
        <v>22</v>
      </c>
      <c r="AK27" s="412">
        <f>COLUMN(PercentuaisFases[[#Headers],[Fábrica testes 7]])</f>
        <v>23</v>
      </c>
      <c r="AL27" s="411" t="b">
        <v>0</v>
      </c>
      <c r="AM27" s="412" t="b">
        <v>0</v>
      </c>
    </row>
    <row r="28" spans="1:39" x14ac:dyDescent="0.25">
      <c r="AH28" s="26" t="s">
        <v>460</v>
      </c>
      <c r="AI28" s="252">
        <f>COLUMN(PercentuaisFases[[#Headers],[Fases do Ciclo de Vida / Artefatos 9]])</f>
        <v>27</v>
      </c>
      <c r="AJ28" s="252">
        <f>COLUMN(PercentuaisFases[[#Headers],[Percentual 9]])</f>
        <v>28</v>
      </c>
      <c r="AK28" s="252">
        <f>COLUMN(PercentuaisFases[[#Headers],[Fábrica testes 9]])</f>
        <v>29</v>
      </c>
      <c r="AL28" s="26" t="b">
        <v>0</v>
      </c>
      <c r="AM28" s="252" t="b">
        <v>0</v>
      </c>
    </row>
    <row r="29" spans="1:39" x14ac:dyDescent="0.25">
      <c r="AH29" s="26" t="s">
        <v>463</v>
      </c>
      <c r="AI29" s="412">
        <f>COLUMN(PercentuaisFases[[#Headers],[Fases do Ciclo de Vida / Artefatos 3]])</f>
        <v>9</v>
      </c>
      <c r="AJ29" s="412">
        <f>COLUMN(PercentuaisFases[[#Headers],[Percentual 3]])</f>
        <v>10</v>
      </c>
      <c r="AK29" s="412">
        <f>COLUMN(PercentuaisFases[[#Headers],[Fábrica testes 3]])</f>
        <v>11</v>
      </c>
      <c r="AL29" s="411" t="b">
        <v>0</v>
      </c>
      <c r="AM29" s="412" t="b">
        <v>0</v>
      </c>
    </row>
  </sheetData>
  <sheetProtection algorithmName="SHA-512" hashValue="9zd8HJ2QOxSHtK/QhgovEPWLgJaUZjP/lGxqQlwfLE685ZAdX0gULCg0P/I/kzqt56WizByl3aQF+DtZfnMsTQ==" saltValue="VhG5ogyCKx2UzZiIH/kiuw==" spinCount="100000" sheet="1" objects="1" scenarios="1"/>
  <dataValidations count="2">
    <dataValidation type="list" allowBlank="1" showInputMessage="1" showErrorMessage="1" sqref="H3:H21 E3:E21 J5:J21 AL3:AM29 B3:B21 I20:I21 I7:I13 I15:I18 K3:K21 N3:N21 Q3:Q21 T3:T21 W3:W21 Z3:Z21 AC3:AC21 AF3:AF21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L12:AM13 AL16:AM16 AL21:AL22 AL24 AL23 AL11 AL15 AL14" calculatedColumn="1"/>
    <ignoredError sqref="I7:I13 I20:I21 K3:K18 K20:K21 I15:I18 J5:J21" listDataValidation="1"/>
    <ignoredError sqref="AI12:AK12 AI15:AK17 AI23:AK23 AI25:AK25 AI9:AK9 AI19:AK19" formula="1"/>
    <ignoredError sqref="AI24:AK24 AI21:AK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F4" zoomScale="80" zoomScaleNormal="80" workbookViewId="0">
      <selection activeCell="K29" sqref="K29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1" t="b">
        <v>0</v>
      </c>
      <c r="C7" s="141" t="b">
        <v>0</v>
      </c>
      <c r="D7" s="141" t="s">
        <v>277</v>
      </c>
      <c r="E7" s="86" t="str">
        <f>IF(ItensNaoFuncionais[[#This Row],[Lista 2]]="","",IF(AND(FabricaTestes=TRUE,ItensNaoFuncionais[[#This Row],[Fabrica Testes 2]]=TRUE),"",ItensNaoFuncionais[[#This Row],[Lista 2]]))</f>
        <v xml:space="preserve">Cenários Extras TI/UAT </v>
      </c>
      <c r="F7" s="141" t="b">
        <v>0</v>
      </c>
      <c r="G7" s="141" t="b">
        <v>1</v>
      </c>
      <c r="H7" s="141" t="s">
        <v>277</v>
      </c>
      <c r="K7" t="str">
        <f>Parâmetros!E9</f>
        <v>PTI</v>
      </c>
      <c r="L7" s="204" t="str">
        <f>ItensNaoFuncionais[[#Headers],[Itens 1]]</f>
        <v>Itens 1</v>
      </c>
      <c r="M7" s="204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1" t="b">
        <v>0</v>
      </c>
      <c r="C8" s="141" t="b">
        <v>0</v>
      </c>
      <c r="D8" s="141" t="s">
        <v>36</v>
      </c>
      <c r="E8" s="86" t="str">
        <f>IF(ItensNaoFuncionais[[#This Row],[Lista 2]]="","",IF(AND(FabricaTestes=TRUE,ItensNaoFuncionais[[#This Row],[Fabrica Testes 2]]=TRUE),"",ItensNaoFuncionais[[#This Row],[Lista 2]]))</f>
        <v>Geração de massa de dados para testes</v>
      </c>
      <c r="F8" s="141" t="b">
        <v>0</v>
      </c>
      <c r="G8" s="141" t="b">
        <v>1</v>
      </c>
      <c r="H8" s="141" t="s">
        <v>36</v>
      </c>
      <c r="K8" t="str">
        <f>Parâmetros!E10</f>
        <v>3CON</v>
      </c>
      <c r="L8" s="204" t="str">
        <f>ItensNaoFuncionais[[#Headers],[Itens 1]]</f>
        <v>Itens 1</v>
      </c>
      <c r="M8" s="204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1" t="b">
        <v>0</v>
      </c>
      <c r="C9" s="141" t="b">
        <v>0</v>
      </c>
      <c r="D9" s="141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1" t="b">
        <v>0</v>
      </c>
      <c r="G9" s="141" t="b">
        <v>0</v>
      </c>
      <c r="H9" s="141" t="s">
        <v>276</v>
      </c>
      <c r="K9" t="str">
        <f>Parâmetros!E11</f>
        <v>Capgemini - Torre III</v>
      </c>
      <c r="L9" s="204" t="str">
        <f>ItensNaoFuncionais[[#Headers],[Itens 1]]</f>
        <v>Itens 1</v>
      </c>
      <c r="M9" s="204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1" t="b">
        <v>0</v>
      </c>
      <c r="C10" s="141" t="b">
        <v>0</v>
      </c>
      <c r="D10" s="141" t="s">
        <v>16</v>
      </c>
      <c r="E10" s="86" t="str">
        <f>IF(ItensNaoFuncionais[[#This Row],[Lista 2]]="","",IF(AND(FabricaTestes=TRUE,ItensNaoFuncionais[[#This Row],[Fabrica Testes 2]]=TRUE),"",ItensNaoFuncionais[[#This Row],[Lista 2]]))</f>
        <v>Teste de Performance</v>
      </c>
      <c r="F10" s="141" t="b">
        <v>0</v>
      </c>
      <c r="G10" s="141" t="b">
        <v>1</v>
      </c>
      <c r="H10" s="141" t="s">
        <v>16</v>
      </c>
      <c r="K10" t="str">
        <f>Parâmetros!E12</f>
        <v>CPQD</v>
      </c>
      <c r="L10" s="204" t="str">
        <f>ItensNaoFuncionais[[#Headers],[Itens 1]]</f>
        <v>Itens 1</v>
      </c>
      <c r="M10" s="204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1" t="b">
        <v>0</v>
      </c>
      <c r="C11" s="141" t="b">
        <v>0</v>
      </c>
      <c r="D11" s="141" t="s">
        <v>80</v>
      </c>
      <c r="E11" s="86" t="str">
        <f>IF(ItensNaoFuncionais[[#This Row],[Lista 2]]="","",IF(AND(FabricaTestes=TRUE,ItensNaoFuncionais[[#This Row],[Fabrica Testes 2]]=TRUE),"",ItensNaoFuncionais[[#This Row],[Lista 2]]))</f>
        <v>Teste de Regressão Geral</v>
      </c>
      <c r="F11" s="141" t="b">
        <v>0</v>
      </c>
      <c r="G11" s="141" t="b">
        <v>1</v>
      </c>
      <c r="H11" s="141" t="s">
        <v>80</v>
      </c>
      <c r="K11" t="str">
        <f>Parâmetros!E13</f>
        <v>Experian</v>
      </c>
      <c r="L11" s="204" t="str">
        <f>ItensNaoFuncionais[[#Headers],[Itens 1]]</f>
        <v>Itens 1</v>
      </c>
      <c r="M11" s="204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1" t="b">
        <v>0</v>
      </c>
      <c r="C12" s="141" t="b">
        <v>0</v>
      </c>
      <c r="D12" s="141" t="s">
        <v>17</v>
      </c>
      <c r="E12" s="86" t="str">
        <f>IF(ItensNaoFuncionais[[#This Row],[Lista 2]]="","",IF(AND(FabricaTestes=TRUE,ItensNaoFuncionais[[#This Row],[Fabrica Testes 2]]=TRUE),"",ItensNaoFuncionais[[#This Row],[Lista 2]]))</f>
        <v>Teste de Segurança</v>
      </c>
      <c r="F12" s="141" t="b">
        <v>0</v>
      </c>
      <c r="G12" s="141" t="b">
        <v>1</v>
      </c>
      <c r="H12" s="141" t="s">
        <v>17</v>
      </c>
      <c r="K12" t="str">
        <f>Parâmetros!E14</f>
        <v>Perlink</v>
      </c>
      <c r="L12" s="204" t="str">
        <f>ItensNaoFuncionais[[#Headers],[Itens 1]]</f>
        <v>Itens 1</v>
      </c>
      <c r="M12" s="204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1" t="b">
        <v>0</v>
      </c>
      <c r="C13" s="182" t="b">
        <v>0</v>
      </c>
      <c r="D13" s="183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1" t="b">
        <v>0</v>
      </c>
      <c r="G13" s="182" t="b">
        <v>0</v>
      </c>
      <c r="H13" s="183" t="s">
        <v>278</v>
      </c>
      <c r="K13" t="str">
        <f>Parâmetros!E15</f>
        <v>Teradata</v>
      </c>
      <c r="L13" s="204" t="str">
        <f>ItensNaoFuncionais[[#Headers],[Itens 1]]</f>
        <v>Itens 1</v>
      </c>
      <c r="M13" s="204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1" t="b">
        <v>0</v>
      </c>
      <c r="C14" s="141" t="b">
        <v>0</v>
      </c>
      <c r="D14" s="184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1" t="b">
        <v>0</v>
      </c>
      <c r="G14" s="141" t="b">
        <v>0</v>
      </c>
      <c r="H14" s="184" t="s">
        <v>279</v>
      </c>
      <c r="K14" t="str">
        <f>Parâmetros!E16</f>
        <v>Triad</v>
      </c>
      <c r="L14" s="204" t="str">
        <f>ItensNaoFuncionais[[#Headers],[Itens 1]]</f>
        <v>Itens 1</v>
      </c>
      <c r="M14" s="204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1" t="b">
        <v>0</v>
      </c>
      <c r="C15" s="141" t="b">
        <v>0</v>
      </c>
      <c r="D15" s="184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1" t="b">
        <v>0</v>
      </c>
      <c r="G15" s="141" t="b">
        <v>0</v>
      </c>
      <c r="H15" s="184" t="s">
        <v>185</v>
      </c>
      <c r="K15" t="str">
        <f>Parâmetros!E17</f>
        <v>Wedo</v>
      </c>
      <c r="L15" s="204" t="str">
        <f>ItensNaoFuncionais[[#Headers],[Itens 1]]</f>
        <v>Itens 1</v>
      </c>
      <c r="M15" s="204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4" t="str">
        <f>ItensNaoFuncionais[[#Headers],[Itens 1]]</f>
        <v>Itens 1</v>
      </c>
      <c r="M16" s="204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4" t="str">
        <f>ItensNaoFuncionais[[#Headers],[Itens 1]]</f>
        <v>Itens 1</v>
      </c>
      <c r="M17" s="204" t="str">
        <f>ItensNaoFuncionais[[#Headers],[Descrição obrigatoria item 1?]]</f>
        <v>Descrição obrigatoria item 1?</v>
      </c>
    </row>
    <row r="18" spans="7:13" x14ac:dyDescent="0.25">
      <c r="G18" s="141"/>
      <c r="K18" t="str">
        <f>Parâmetros!E20</f>
        <v>ASGA</v>
      </c>
      <c r="L18" s="204" t="str">
        <f>ItensNaoFuncionais[[#Headers],[Itens 1]]</f>
        <v>Itens 1</v>
      </c>
      <c r="M18" s="204" t="str">
        <f>ItensNaoFuncionais[[#Headers],[Descrição obrigatoria item 1?]]</f>
        <v>Descrição obrigatoria item 1?</v>
      </c>
    </row>
    <row r="19" spans="7:13" x14ac:dyDescent="0.25">
      <c r="G19" s="138"/>
      <c r="K19" t="str">
        <f>Parâmetros!E21</f>
        <v>HP</v>
      </c>
      <c r="L19" s="204" t="str">
        <f>ItensNaoFuncionais[[#Headers],[Itens 1]]</f>
        <v>Itens 1</v>
      </c>
      <c r="M19" s="204" t="str">
        <f>ItensNaoFuncionais[[#Headers],[Descrição obrigatoria item 1?]]</f>
        <v>Descrição obrigatoria item 1?</v>
      </c>
    </row>
    <row r="20" spans="7:13" x14ac:dyDescent="0.25">
      <c r="G20" s="138"/>
      <c r="K20" t="str">
        <f>Parâmetros!E22</f>
        <v>Procwork</v>
      </c>
      <c r="L20" s="204" t="str">
        <f>ItensNaoFuncionais[[#Headers],[Itens 1]]</f>
        <v>Itens 1</v>
      </c>
      <c r="M20" s="204" t="str">
        <f>ItensNaoFuncionais[[#Headers],[Descrição obrigatoria item 1?]]</f>
        <v>Descrição obrigatoria item 1?</v>
      </c>
    </row>
    <row r="21" spans="7:13" x14ac:dyDescent="0.25">
      <c r="G21" s="138"/>
      <c r="K21" t="str">
        <f>Parâmetros!E23</f>
        <v>Cleartech</v>
      </c>
      <c r="L21" s="204" t="str">
        <f>ItensNaoFuncionais[[#Headers],[Itens 1]]</f>
        <v>Itens 1</v>
      </c>
      <c r="M21" s="204" t="str">
        <f>ItensNaoFuncionais[[#Headers],[Descrição obrigatoria item 1?]]</f>
        <v>Descrição obrigatoria item 1?</v>
      </c>
    </row>
    <row r="22" spans="7:13" x14ac:dyDescent="0.25">
      <c r="G22" s="138"/>
      <c r="K22" t="str">
        <f>Parâmetros!E24</f>
        <v>Squadra - Torre IV</v>
      </c>
      <c r="L22" s="204" t="str">
        <f>ItensNaoFuncionais[[#Headers],[Itens 1]]</f>
        <v>Itens 1</v>
      </c>
      <c r="M22" s="204" t="str">
        <f>ItensNaoFuncionais[[#Headers],[Descrição obrigatoria item 1?]]</f>
        <v>Descrição obrigatoria item 1?</v>
      </c>
    </row>
    <row r="23" spans="7:13" x14ac:dyDescent="0.25">
      <c r="G23" s="138"/>
      <c r="K23" t="str">
        <f>Parâmetros!E25</f>
        <v>IBM - Torre IV</v>
      </c>
      <c r="L23" s="204" t="str">
        <f>ItensNaoFuncionais[[#Headers],[Itens 1]]</f>
        <v>Itens 1</v>
      </c>
      <c r="M23" s="204" t="str">
        <f>ItensNaoFuncionais[[#Headers],[Descrição obrigatoria item 1?]]</f>
        <v>Descrição obrigatoria item 1?</v>
      </c>
    </row>
    <row r="24" spans="7:13" x14ac:dyDescent="0.25">
      <c r="G24" s="138"/>
      <c r="K24" t="str">
        <f>Parâmetros!E26</f>
        <v>TQI</v>
      </c>
      <c r="L24" s="204" t="str">
        <f>ItensNaoFuncionais[[#Headers],[Itens 1]]</f>
        <v>Itens 1</v>
      </c>
      <c r="M24" s="204" t="str">
        <f>ItensNaoFuncionais[[#Headers],[Descrição obrigatoria item 1?]]</f>
        <v>Descrição obrigatoria item 1?</v>
      </c>
    </row>
    <row r="25" spans="7:13" x14ac:dyDescent="0.25">
      <c r="G25" s="138"/>
      <c r="K25" t="str">
        <f>Parâmetros!E27</f>
        <v>Amdocs</v>
      </c>
      <c r="L25" s="204" t="str">
        <f>ItensNaoFuncionais[[#Headers],[Itens 1]]</f>
        <v>Itens 1</v>
      </c>
      <c r="M25" s="204" t="str">
        <f>ItensNaoFuncionais[[#Headers],[Descrição obrigatoria item 1?]]</f>
        <v>Descrição obrigatoria item 1?</v>
      </c>
    </row>
    <row r="26" spans="7:13" x14ac:dyDescent="0.25">
      <c r="G26" s="138"/>
      <c r="K26" t="str">
        <f>Parâmetros!E28</f>
        <v>iFactory</v>
      </c>
      <c r="L26" s="204" t="str">
        <f>ItensNaoFuncionais[[#Headers],[Itens 1]]</f>
        <v>Itens 1</v>
      </c>
      <c r="M26" s="204" t="str">
        <f>ItensNaoFuncionais[[#Headers],[Descrição obrigatoria item 1?]]</f>
        <v>Descrição obrigatoria item 1?</v>
      </c>
    </row>
    <row r="27" spans="7:13" x14ac:dyDescent="0.25">
      <c r="G27" s="138"/>
      <c r="K27" t="str">
        <f>Parâmetros!E29</f>
        <v>VP Consulting</v>
      </c>
      <c r="L27" s="204" t="str">
        <f>ItensNaoFuncionais[[#Headers],[Itens 1]]</f>
        <v>Itens 1</v>
      </c>
      <c r="M27" s="204" t="str">
        <f>ItensNaoFuncionais[[#Headers],[Descrição obrigatoria item 1?]]</f>
        <v>Descrição obrigatoria item 1?</v>
      </c>
    </row>
    <row r="28" spans="7:13" x14ac:dyDescent="0.25">
      <c r="G28" s="138"/>
      <c r="K28" t="s">
        <v>460</v>
      </c>
      <c r="L28" s="204" t="str">
        <f>ItensNaoFuncionais[[#Headers],[Itens 1]]</f>
        <v>Itens 1</v>
      </c>
      <c r="M28" s="204" t="str">
        <f>ItensNaoFuncionais[[#Headers],[Descrição obrigatoria item 1?]]</f>
        <v>Descrição obrigatoria item 1?</v>
      </c>
    </row>
    <row r="29" spans="7:13" x14ac:dyDescent="0.25">
      <c r="G29" s="138"/>
      <c r="K29" t="s">
        <v>463</v>
      </c>
      <c r="L29" s="204" t="str">
        <f>ItensNaoFuncionais[[#Headers],[Itens 1]]</f>
        <v>Itens 1</v>
      </c>
      <c r="M29" s="204" t="str">
        <f>ItensNaoFuncionais[[#Headers],[Descrição obrigatoria item 1?]]</f>
        <v>Descrição obrigatoria item 1?</v>
      </c>
    </row>
    <row r="30" spans="7:13" x14ac:dyDescent="0.25">
      <c r="G30" s="138"/>
    </row>
    <row r="31" spans="7:13" x14ac:dyDescent="0.25">
      <c r="G31" s="138"/>
    </row>
    <row r="32" spans="7:13" x14ac:dyDescent="0.25">
      <c r="G32" s="138"/>
    </row>
    <row r="33" spans="7:7" x14ac:dyDescent="0.25">
      <c r="G33" s="138"/>
    </row>
    <row r="34" spans="7:7" x14ac:dyDescent="0.25">
      <c r="G34" s="139"/>
    </row>
    <row r="35" spans="7:7" x14ac:dyDescent="0.25">
      <c r="G35" s="140"/>
    </row>
  </sheetData>
  <sheetProtection algorithmName="SHA-512" hashValue="mNDE6ycTXcLxMlqId//MlbkP376nVrayJQmG1kzeZTUpWBk0JhxbxJfwMsu/zPNKhi2E7GkcuQBumcMexxMoYg==" saltValue="RjHr0UB0690skT9Qrsx2c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Fabio Carvalho Dos Santos</cp:lastModifiedBy>
  <dcterms:created xsi:type="dcterms:W3CDTF">2006-09-25T12:47:36Z</dcterms:created>
  <dcterms:modified xsi:type="dcterms:W3CDTF">2018-01-04T17:00:24Z</dcterms:modified>
</cp:coreProperties>
</file>