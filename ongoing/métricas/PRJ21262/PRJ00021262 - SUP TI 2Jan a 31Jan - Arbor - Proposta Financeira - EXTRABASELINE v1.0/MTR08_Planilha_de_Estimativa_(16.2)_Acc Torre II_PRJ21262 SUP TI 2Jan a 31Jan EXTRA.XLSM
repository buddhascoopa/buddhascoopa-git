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drawings/drawing1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omments3.xml" ContentType="application/vnd.openxmlformats-officedocument.spreadsheetml.comments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enata.mota.esteves\OneDrive - Accenture\Renata\Accenture\Oi\Propostas\Suporte 21262 Arbor-0201 a 3101\"/>
    </mc:Choice>
  </mc:AlternateContent>
  <workbookProtection workbookAlgorithmName="SHA-512" workbookHashValue="aamNVuvv9ehXOxbiojU9o/hXxDQQq/0g/E6Z780FWWJkbLYFHnLC0xshvxlVnniWh/isN9U/dG27DlkF/kadkA==" workbookSaltValue="m14PZIBzZhnhEJQ13qWrXg==" workbookSpinCount="100000" lockStructure="1"/>
  <bookViews>
    <workbookView xWindow="0" yWindow="0" windowWidth="5865" windowHeight="3330" tabRatio="942" activeTab="9"/>
  </bookViews>
  <sheets>
    <sheet name="Histórico de Validações" sheetId="22" r:id="rId1"/>
    <sheet name="Resumo" sheetId="8" r:id="rId2"/>
    <sheet name="Pontos de Função" sheetId="36" state="hidden" r:id="rId3"/>
    <sheet name="Analogia" sheetId="38" state="hidden" r:id="rId4"/>
    <sheet name="Configurações - Siebel" sheetId="15" state="veryHidden" r:id="rId5"/>
    <sheet name="Tamanho Campo - SOA com ETX" sheetId="23" state="veryHidden" r:id="rId6"/>
    <sheet name="Tamanho Campo - SOA sem ETX" sheetId="28" state="veryHidden" r:id="rId7"/>
    <sheet name="Enriquecimento - SOA com ETX" sheetId="30" state="veryHidden" r:id="rId8"/>
    <sheet name="Enriquecimento - SOA sem ETX" sheetId="34" state="veryHidden" r:id="rId9"/>
    <sheet name="Itens Não Funcionais" sheetId="12" r:id="rId10"/>
    <sheet name="Fases Contratadas" sheetId="4" r:id="rId11"/>
    <sheet name="Percentuais das Fases" sheetId="5" r:id="rId12"/>
    <sheet name="Produtividade" sheetId="6" r:id="rId13"/>
    <sheet name="Versão" sheetId="7" r:id="rId14"/>
    <sheet name="Parâmetros" sheetId="13" state="hidden" r:id="rId15"/>
    <sheet name="Parâmetros PF" sheetId="18" state="hidden" r:id="rId16"/>
    <sheet name="PercentuaisFornecedor" sheetId="16" state="hidden" r:id="rId17"/>
    <sheet name="ItensNaoFuncionaisFornecedor" sheetId="21" state="hidden" r:id="rId18"/>
  </sheets>
  <definedNames>
    <definedName name="_xlnm._FilterDatabase" localSheetId="3" hidden="1">Analogia!$B$6:$F$6</definedName>
    <definedName name="_xlnm._FilterDatabase" localSheetId="4" hidden="1">'Configurações - Siebel'!#REF!</definedName>
    <definedName name="_xlnm._FilterDatabase" localSheetId="7" hidden="1">'Enriquecimento - SOA com ETX'!$B$9:$E$9</definedName>
    <definedName name="_xlnm._FilterDatabase" localSheetId="8" hidden="1">'Enriquecimento - SOA sem ETX'!$B$9:$E$9</definedName>
    <definedName name="_xlnm._FilterDatabase" localSheetId="9" hidden="1">'Itens Não Funcionais'!$B$32:$H$62</definedName>
    <definedName name="_xlnm._FilterDatabase" localSheetId="2" hidden="1">'Pontos de Função'!$B$6:$E$6</definedName>
    <definedName name="_xlnm._FilterDatabase" localSheetId="5" hidden="1">'Tamanho Campo - SOA com ETX'!#REF!</definedName>
    <definedName name="_xlnm._FilterDatabase" localSheetId="6" hidden="1">'Tamanho Campo - SOA sem ETX'!#REF!</definedName>
    <definedName name="Aba_Config">'Itens Não Funcionais'!$L$19</definedName>
    <definedName name="Acomp_PosProducao_Max">Parâmetros!$M$5</definedName>
    <definedName name="Acomp_PosProducao_Min">Parâmetros!$N$5</definedName>
    <definedName name="Acomp_PosProducao_Perc">Parâmetros!$L$5</definedName>
    <definedName name="Alta">Parâmetros!$H$7</definedName>
    <definedName name="Baixa">Parâmetros!$H$5</definedName>
    <definedName name="Complexidade_AIE">'Parâmetros PF'!$B$6:$E$9</definedName>
    <definedName name="Complexidade_AIE_Arq">'Parâmetros PF'!$B$6:$B$9</definedName>
    <definedName name="Complexidade_AIE_Ite">'Parâmetros PF'!$B$6:$E$6</definedName>
    <definedName name="Complexidade_ALI">'Parâmetros PF'!$B$1:$E$4</definedName>
    <definedName name="Complexidade_ALI_Arq">'Parâmetros PF'!$B$1:$B$4</definedName>
    <definedName name="Complexidade_ALI_Ite">'Parâmetros PF'!$B$1:$E$1</definedName>
    <definedName name="Complexidade_CE">'Parâmetros PF'!$B$21:$E$24</definedName>
    <definedName name="Complexidade_CE_Arq">'Parâmetros PF'!$B$21:$B$24</definedName>
    <definedName name="Complexidade_CE_Ite">'Parâmetros PF'!$B$21:$E$21</definedName>
    <definedName name="Complexidade_EE">'Parâmetros PF'!$B$11:$E$14</definedName>
    <definedName name="Complexidade_EE_Arq">'Parâmetros PF'!$B$11:$B$14</definedName>
    <definedName name="Complexidade_EE_Ite">'Parâmetros PF'!$B$11:$E$11</definedName>
    <definedName name="Complexidade_Estimada">'Parâmetros PF'!$N$1:$O$6</definedName>
    <definedName name="Complexidade_SE">'Parâmetros PF'!$B$16:$E$19</definedName>
    <definedName name="Complexidade_SE_Arq">'Parâmetros PF'!$B$16:$B$19</definedName>
    <definedName name="Complexidade_SE_Ite">'Parâmetros PF'!$B$16:$E$16</definedName>
    <definedName name="Config_Cenarios">'Itens Não Funcionais'!$M$55:$N$61</definedName>
    <definedName name="Config_Simproc">'Itens Não Funcionais'!$M$45:$O$48</definedName>
    <definedName name="Config_Simproc_Sites">'Itens Não Funcionais'!$M$45:$O$45</definedName>
    <definedName name="Config_Simproc_Steps">'Itens Não Funcionais'!$M$45:$M$48</definedName>
    <definedName name="Contratacao_Gestao">Resumo!$C$32</definedName>
    <definedName name="Contrato">Resumo!$C$11</definedName>
    <definedName name="Contrato_Apuramento">Parâmetros!$D$6</definedName>
    <definedName name="Contrato_SemAPF">Parâmetros!$D$7</definedName>
    <definedName name="Contrato_UsoComercial">Parâmetros!$D$5</definedName>
    <definedName name="Custo">Resumo!$C$38</definedName>
    <definedName name="Desconto">Resumo!$C$40</definedName>
    <definedName name="Desconto_Justificacao">Resumo!$C$42</definedName>
    <definedName name="FabricaTestes">'Fases Contratadas'!$N$5</definedName>
    <definedName name="Flip" hidden="1">"A"</definedName>
    <definedName name="Fornecedor">Resumo!$C$4</definedName>
    <definedName name="Gestao">PercentuaisFornecedor!$A$21</definedName>
    <definedName name="Horas_Analogia">Resumo!$D$23</definedName>
    <definedName name="Horas_APF">Resumo!$D$22</definedName>
    <definedName name="Horas_Funcionais">Resumo!$C$26</definedName>
    <definedName name="Horas_Gestao">Resumo!$D$32</definedName>
    <definedName name="Horas_HH">Resumo!$C$29</definedName>
    <definedName name="Horas_HH_Total">'Itens Não Funcionais'!$D$5</definedName>
    <definedName name="Horas_NF_A">'Itens Não Funcionais'!$L$24</definedName>
    <definedName name="Horas_NF_B">'Itens Não Funcionais'!$L$43</definedName>
    <definedName name="Horas_NF_C">'Itens Não Funcionais'!$L$52</definedName>
    <definedName name="Horas_NF_D">'Itens Não Funcionais'!$L$57</definedName>
    <definedName name="Horas_NF_E">'Itens Não Funcionais'!$L$62</definedName>
    <definedName name="Horas_Total">Resumo!$C$34</definedName>
    <definedName name="ListaAtividadesAutorizar">'Itens Não Funcionais'!$T$25</definedName>
    <definedName name="Man_Cosmetica_Especial">'Fases Contratadas'!$O$5</definedName>
    <definedName name="Media">Parâmetros!$H$6</definedName>
    <definedName name="MensagemAtividadesAutorizar">Parâmetros!$Q$5</definedName>
    <definedName name="Motivo">Resumo!$C$15</definedName>
    <definedName name="Motivo_DevNaoFunc">Parâmetros!$J$8</definedName>
    <definedName name="Motivo_NaoAplicavel">Parâmetros!$J$5</definedName>
    <definedName name="Motivo_SemContratoAPF">Parâmetros!$J$7</definedName>
    <definedName name="Nao">Parâmetros!$K$6</definedName>
    <definedName name="Nome_Demanda">Resumo!$C$8</definedName>
    <definedName name="Numero_Demanda">Resumo!$C$6</definedName>
    <definedName name="Numero_Proposta">Resumo!$C$7</definedName>
    <definedName name="Pesos_IFPUG">'Parâmetros PF'!$H$1:$K$6</definedName>
    <definedName name="Pesos_IFPUG_Complexidade">'Parâmetros PF'!$H$1:$K$1</definedName>
    <definedName name="Pesos_IFPUG_Objetos">'Parâmetros PF'!$H$1:$H$6</definedName>
    <definedName name="Pontos_Analogia">Resumo!$C$23</definedName>
    <definedName name="Pontos_Analogia_SemFatorImpacto">Resumo!$F$23</definedName>
    <definedName name="Pontos_APF">Resumo!$C$22</definedName>
    <definedName name="Produtividade">Resumo!$C$19</definedName>
    <definedName name="RespostaAnalogia" localSheetId="3">Resumo!#REF!</definedName>
    <definedName name="RespostaAnalogia" localSheetId="7">Resumo!#REF!</definedName>
    <definedName name="RespostaAnalogia" localSheetId="8">Resumo!#REF!</definedName>
    <definedName name="RespostaAnalogia" localSheetId="2">Resumo!#REF!</definedName>
    <definedName name="RespostaAnalogia" localSheetId="5">Resumo!#REF!</definedName>
    <definedName name="RespostaAnalogia" localSheetId="6">Resumo!#REF!</definedName>
    <definedName name="RespostaAnalogia">Resumo!#REF!</definedName>
    <definedName name="RespostaContagem">Resumo!$C$13</definedName>
    <definedName name="Sim">Parâmetros!$K$5</definedName>
    <definedName name="Sim_Nao">Parâmetros!$K$5:$K$6</definedName>
    <definedName name="Sistema">Resumo!$D$9</definedName>
    <definedName name="Taxa_Horaria">Resumo!$C$36</definedName>
    <definedName name="TemAtividadesAutorizar">'Itens Não Funcionais'!$Q$25</definedName>
    <definedName name="TipoContagem">Resumo!$C$17</definedName>
    <definedName name="TipoContagemDetalhada">Parâmetros!$I$5</definedName>
    <definedName name="TipoContagemEstimada">Parâmetros!$I$6</definedName>
    <definedName name="True_False">Parâmetros!$R$5:$R$6</definedName>
    <definedName name="Variacao">Resumo!$F$32</definedName>
  </definedNames>
  <calcPr calcId="171027"/>
</workbook>
</file>

<file path=xl/calcChain.xml><?xml version="1.0" encoding="utf-8"?>
<calcChain xmlns="http://schemas.openxmlformats.org/spreadsheetml/2006/main">
  <c r="M28" i="21" l="1"/>
  <c r="L28" i="21"/>
  <c r="AB28" i="16"/>
  <c r="AA28" i="16"/>
  <c r="Z28" i="16"/>
  <c r="N11" i="30" l="1"/>
  <c r="N12" i="30"/>
  <c r="N13" i="30"/>
  <c r="N14" i="30"/>
  <c r="N15" i="30"/>
  <c r="N16" i="30"/>
  <c r="N17" i="30"/>
  <c r="N18" i="30"/>
  <c r="N19" i="30"/>
  <c r="N20" i="30"/>
  <c r="N21" i="30"/>
  <c r="N22" i="30"/>
  <c r="N23" i="30"/>
  <c r="N24" i="30"/>
  <c r="N25" i="30"/>
  <c r="N26" i="30"/>
  <c r="N27" i="30"/>
  <c r="N28" i="30"/>
  <c r="Q11" i="30"/>
  <c r="Q12" i="30"/>
  <c r="Q13" i="30"/>
  <c r="Q14" i="30"/>
  <c r="Q15" i="30"/>
  <c r="Q16" i="30"/>
  <c r="Q17" i="30"/>
  <c r="Q18" i="30"/>
  <c r="Q19" i="30"/>
  <c r="Q20" i="30"/>
  <c r="Q21" i="30"/>
  <c r="Q22" i="30"/>
  <c r="Q23" i="30"/>
  <c r="Q24" i="30"/>
  <c r="Q25" i="30"/>
  <c r="Q26" i="30"/>
  <c r="Q27" i="30"/>
  <c r="N29" i="30"/>
  <c r="N30" i="30"/>
  <c r="N31" i="30"/>
  <c r="N32" i="30"/>
  <c r="N33" i="30"/>
  <c r="N34" i="30"/>
  <c r="N35" i="30"/>
  <c r="N36" i="30"/>
  <c r="N37" i="30"/>
  <c r="N38" i="30"/>
  <c r="N39" i="30"/>
  <c r="N40" i="30"/>
  <c r="Q28" i="30"/>
  <c r="Q29" i="30"/>
  <c r="Q30" i="30"/>
  <c r="Q31" i="30"/>
  <c r="Q32" i="30"/>
  <c r="Q33" i="30"/>
  <c r="Q34" i="30"/>
  <c r="Q35" i="30"/>
  <c r="Q36" i="30"/>
  <c r="Q37" i="30"/>
  <c r="Q38" i="30"/>
  <c r="J8" i="12" l="1"/>
  <c r="J12" i="12"/>
  <c r="J16" i="12"/>
  <c r="J17" i="12"/>
  <c r="J18" i="12"/>
  <c r="J19" i="12"/>
  <c r="N5" i="4" l="1"/>
  <c r="K4" i="21"/>
  <c r="K5" i="21"/>
  <c r="K6" i="21"/>
  <c r="K7" i="21"/>
  <c r="K8" i="21"/>
  <c r="K9" i="21"/>
  <c r="K10" i="21"/>
  <c r="K11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24" i="21"/>
  <c r="K25" i="21"/>
  <c r="K26" i="21"/>
  <c r="K27" i="21"/>
  <c r="K3" i="21"/>
  <c r="Y4" i="16"/>
  <c r="Y5" i="16"/>
  <c r="Y6" i="16"/>
  <c r="Y7" i="16"/>
  <c r="Y8" i="16"/>
  <c r="Y9" i="16"/>
  <c r="Y10" i="16"/>
  <c r="Y11" i="16"/>
  <c r="Y12" i="16"/>
  <c r="Y13" i="16"/>
  <c r="Y14" i="16"/>
  <c r="Y15" i="16"/>
  <c r="Y16" i="16"/>
  <c r="Y17" i="16"/>
  <c r="Y18" i="16"/>
  <c r="Y19" i="16"/>
  <c r="Y20" i="16"/>
  <c r="Y21" i="16"/>
  <c r="Y22" i="16"/>
  <c r="Y23" i="16"/>
  <c r="Y24" i="16"/>
  <c r="Y25" i="16"/>
  <c r="Y26" i="16"/>
  <c r="Y27" i="16"/>
  <c r="Y3" i="16"/>
  <c r="AB23" i="16"/>
  <c r="AA23" i="16"/>
  <c r="Z23" i="16"/>
  <c r="O5" i="4" l="1"/>
  <c r="L27" i="21"/>
  <c r="M27" i="21"/>
  <c r="L24" i="21"/>
  <c r="L25" i="21"/>
  <c r="L26" i="21"/>
  <c r="M24" i="21"/>
  <c r="M25" i="21"/>
  <c r="M26" i="21"/>
  <c r="L23" i="21"/>
  <c r="M23" i="21"/>
  <c r="AB27" i="16"/>
  <c r="AA27" i="16"/>
  <c r="Z27" i="16"/>
  <c r="AB26" i="16"/>
  <c r="AA26" i="16"/>
  <c r="Z26" i="16"/>
  <c r="AB11" i="16"/>
  <c r="AA11" i="16"/>
  <c r="Z11" i="16"/>
  <c r="AB25" i="16"/>
  <c r="AA25" i="16"/>
  <c r="Z25" i="16"/>
  <c r="O26" i="38"/>
  <c r="N26" i="38"/>
  <c r="L26" i="36"/>
  <c r="AA15" i="16"/>
  <c r="AB15" i="16"/>
  <c r="Z15" i="16"/>
  <c r="AB16" i="16" l="1"/>
  <c r="AA16" i="16"/>
  <c r="Z16" i="16"/>
  <c r="E6" i="6" l="1"/>
  <c r="E7" i="6"/>
  <c r="E9" i="6"/>
  <c r="E11" i="6"/>
  <c r="E12" i="6"/>
  <c r="E13" i="6"/>
  <c r="E14" i="6"/>
  <c r="E16" i="6"/>
  <c r="E17" i="6"/>
  <c r="E18" i="6"/>
  <c r="E19" i="6"/>
  <c r="E20" i="6"/>
  <c r="E23" i="6"/>
  <c r="E24" i="6"/>
  <c r="E28" i="6"/>
  <c r="E29" i="6"/>
  <c r="E30" i="6"/>
  <c r="E31" i="6"/>
  <c r="E32" i="6"/>
  <c r="E34" i="6"/>
  <c r="E39" i="6"/>
  <c r="E40" i="6"/>
  <c r="C27" i="6" l="1"/>
  <c r="E27" i="6" s="1"/>
  <c r="C26" i="6"/>
  <c r="E26" i="6" s="1"/>
  <c r="C25" i="6"/>
  <c r="E25" i="6" s="1"/>
  <c r="C38" i="6"/>
  <c r="E38" i="6" s="1"/>
  <c r="C37" i="6"/>
  <c r="E37" i="6" s="1"/>
  <c r="C33" i="6"/>
  <c r="E33" i="6" s="1"/>
  <c r="C10" i="6"/>
  <c r="E10" i="6" s="1"/>
  <c r="C8" i="6"/>
  <c r="E8" i="6" s="1"/>
  <c r="C5" i="6"/>
  <c r="E5" i="6" s="1"/>
  <c r="U9" i="4" l="1"/>
  <c r="U5" i="4"/>
  <c r="C4" i="38"/>
  <c r="F5" i="38" s="1"/>
  <c r="C4" i="36"/>
  <c r="F5" i="36" s="1"/>
  <c r="L19" i="12" l="1"/>
  <c r="L26" i="38" l="1"/>
  <c r="M26" i="38" l="1"/>
  <c r="K26" i="38"/>
  <c r="H1" i="38"/>
  <c r="G1" i="38"/>
  <c r="B2" i="36"/>
  <c r="G1" i="36"/>
  <c r="F1" i="36"/>
  <c r="J26" i="36"/>
  <c r="K18" i="38"/>
  <c r="K10" i="38"/>
  <c r="K13" i="38"/>
  <c r="K24" i="38"/>
  <c r="K22" i="38"/>
  <c r="K16" i="38"/>
  <c r="K19" i="38"/>
  <c r="K11" i="38"/>
  <c r="K8" i="38"/>
  <c r="K14" i="38"/>
  <c r="K17" i="38"/>
  <c r="K9" i="38"/>
  <c r="K25" i="38"/>
  <c r="K23" i="38"/>
  <c r="K21" i="38"/>
  <c r="K20" i="38"/>
  <c r="K12" i="38"/>
  <c r="K15" i="38"/>
  <c r="K7" i="38"/>
  <c r="J17" i="36"/>
  <c r="J11" i="36"/>
  <c r="J13" i="36"/>
  <c r="J14" i="36"/>
  <c r="J21" i="36"/>
  <c r="J22" i="36"/>
  <c r="J20" i="36"/>
  <c r="J25" i="36"/>
  <c r="J16" i="36"/>
  <c r="J18" i="36"/>
  <c r="J24" i="36"/>
  <c r="J8" i="36"/>
  <c r="J19" i="36"/>
  <c r="J9" i="36"/>
  <c r="J10" i="36"/>
  <c r="J15" i="36"/>
  <c r="J12" i="36"/>
  <c r="J23" i="36"/>
  <c r="J7" i="36"/>
  <c r="L21" i="38" l="1"/>
  <c r="L23" i="38"/>
  <c r="L25" i="38"/>
  <c r="L22" i="38"/>
  <c r="L24" i="38"/>
  <c r="L9" i="38"/>
  <c r="L11" i="38"/>
  <c r="L13" i="38"/>
  <c r="L15" i="38"/>
  <c r="L17" i="38"/>
  <c r="L19" i="38"/>
  <c r="L10" i="38"/>
  <c r="L12" i="38"/>
  <c r="L14" i="38"/>
  <c r="L16" i="38"/>
  <c r="L18" i="38"/>
  <c r="L20" i="38"/>
  <c r="L8" i="38"/>
  <c r="L7" i="38"/>
  <c r="K19" i="36"/>
  <c r="K26" i="36"/>
  <c r="K23" i="36"/>
  <c r="K20" i="36"/>
  <c r="K24" i="36"/>
  <c r="K21" i="36"/>
  <c r="K25" i="36"/>
  <c r="K22" i="36"/>
  <c r="K18" i="36"/>
  <c r="K12" i="36"/>
  <c r="K13" i="36"/>
  <c r="K16" i="36"/>
  <c r="K14" i="36"/>
  <c r="K15" i="36"/>
  <c r="K7" i="36"/>
  <c r="K9" i="36"/>
  <c r="K17" i="36"/>
  <c r="K8" i="36"/>
  <c r="K11" i="36"/>
  <c r="K10" i="36"/>
  <c r="AB12" i="34"/>
  <c r="AK12" i="34"/>
  <c r="AL12" i="34"/>
  <c r="AB13" i="34"/>
  <c r="AK13" i="34"/>
  <c r="AL13" i="34"/>
  <c r="AB14" i="34"/>
  <c r="AK14" i="34"/>
  <c r="AL14" i="34"/>
  <c r="AB15" i="34"/>
  <c r="AK15" i="34"/>
  <c r="AL15" i="34"/>
  <c r="AB16" i="34"/>
  <c r="AK16" i="34"/>
  <c r="AL16" i="34"/>
  <c r="AB17" i="34"/>
  <c r="AK17" i="34"/>
  <c r="AL17" i="34"/>
  <c r="AB18" i="34"/>
  <c r="AK18" i="34"/>
  <c r="AL18" i="34"/>
  <c r="AB19" i="34"/>
  <c r="AK19" i="34"/>
  <c r="AL19" i="34"/>
  <c r="AB20" i="34"/>
  <c r="AK20" i="34"/>
  <c r="AL20" i="34"/>
  <c r="AB21" i="34"/>
  <c r="AK21" i="34"/>
  <c r="AL21" i="34"/>
  <c r="AB22" i="34"/>
  <c r="AK22" i="34"/>
  <c r="AL22" i="34"/>
  <c r="AB23" i="34"/>
  <c r="AK23" i="34"/>
  <c r="AL23" i="34"/>
  <c r="AB24" i="34"/>
  <c r="AK24" i="34"/>
  <c r="AL24" i="34"/>
  <c r="AB25" i="34"/>
  <c r="AK25" i="34"/>
  <c r="AL25" i="34"/>
  <c r="AB26" i="34"/>
  <c r="AK26" i="34"/>
  <c r="AL26" i="34"/>
  <c r="AC32" i="34"/>
  <c r="AC33" i="34"/>
  <c r="AC34" i="34"/>
  <c r="AC37" i="34"/>
  <c r="AC38" i="34"/>
  <c r="AC39" i="34"/>
  <c r="AC40" i="34"/>
  <c r="AC41" i="34"/>
  <c r="AC42" i="34"/>
  <c r="AC43" i="34"/>
  <c r="AC44" i="34"/>
  <c r="AC45" i="34"/>
  <c r="M22" i="38" l="1"/>
  <c r="M25" i="38"/>
  <c r="M23" i="38"/>
  <c r="M24" i="38"/>
  <c r="M21" i="38"/>
  <c r="M20" i="38"/>
  <c r="M12" i="38"/>
  <c r="M15" i="38"/>
  <c r="M18" i="38"/>
  <c r="M10" i="38"/>
  <c r="M13" i="38"/>
  <c r="M16" i="38"/>
  <c r="M19" i="38"/>
  <c r="M11" i="38"/>
  <c r="M14" i="38"/>
  <c r="M17" i="38"/>
  <c r="M9" i="38"/>
  <c r="L27" i="38"/>
  <c r="F23" i="8" s="1"/>
  <c r="M8" i="38"/>
  <c r="M7" i="38"/>
  <c r="K27" i="36"/>
  <c r="C22" i="8" s="1"/>
  <c r="U51" i="34"/>
  <c r="Q51" i="34"/>
  <c r="N51" i="34"/>
  <c r="X50" i="34"/>
  <c r="U50" i="34"/>
  <c r="Q50" i="34"/>
  <c r="N50" i="34"/>
  <c r="K50" i="34"/>
  <c r="J50" i="34"/>
  <c r="X49" i="34"/>
  <c r="U49" i="34"/>
  <c r="Q49" i="34"/>
  <c r="N49" i="34"/>
  <c r="K49" i="34"/>
  <c r="J49" i="34"/>
  <c r="X48" i="34"/>
  <c r="U48" i="34"/>
  <c r="Q48" i="34"/>
  <c r="N48" i="34"/>
  <c r="K48" i="34"/>
  <c r="J48" i="34"/>
  <c r="X47" i="34"/>
  <c r="U47" i="34"/>
  <c r="Q47" i="34"/>
  <c r="N47" i="34"/>
  <c r="K47" i="34"/>
  <c r="J47" i="34"/>
  <c r="X46" i="34"/>
  <c r="U46" i="34"/>
  <c r="Q46" i="34"/>
  <c r="N46" i="34"/>
  <c r="K46" i="34"/>
  <c r="J46" i="34"/>
  <c r="X45" i="34"/>
  <c r="U45" i="34"/>
  <c r="Q45" i="34"/>
  <c r="N45" i="34"/>
  <c r="K45" i="34"/>
  <c r="J45" i="34"/>
  <c r="X44" i="34"/>
  <c r="U44" i="34"/>
  <c r="Q44" i="34"/>
  <c r="N44" i="34"/>
  <c r="K44" i="34"/>
  <c r="J44" i="34"/>
  <c r="X43" i="34"/>
  <c r="U43" i="34"/>
  <c r="Q43" i="34"/>
  <c r="N43" i="34"/>
  <c r="K43" i="34"/>
  <c r="J43" i="34"/>
  <c r="X42" i="34"/>
  <c r="U42" i="34"/>
  <c r="Q42" i="34"/>
  <c r="N42" i="34"/>
  <c r="K42" i="34"/>
  <c r="J42" i="34"/>
  <c r="X41" i="34"/>
  <c r="U41" i="34"/>
  <c r="Q41" i="34"/>
  <c r="N41" i="34"/>
  <c r="K41" i="34"/>
  <c r="J41" i="34"/>
  <c r="X40" i="34"/>
  <c r="U40" i="34"/>
  <c r="Q40" i="34"/>
  <c r="N40" i="34"/>
  <c r="K40" i="34"/>
  <c r="J40" i="34"/>
  <c r="X39" i="34"/>
  <c r="U39" i="34"/>
  <c r="Q39" i="34"/>
  <c r="N39" i="34"/>
  <c r="K39" i="34"/>
  <c r="J39" i="34"/>
  <c r="X38" i="34"/>
  <c r="U38" i="34"/>
  <c r="Q38" i="34"/>
  <c r="N38" i="34"/>
  <c r="K38" i="34"/>
  <c r="J38" i="34"/>
  <c r="X37" i="34"/>
  <c r="U37" i="34"/>
  <c r="Q37" i="34"/>
  <c r="N37" i="34"/>
  <c r="K37" i="34"/>
  <c r="J37" i="34"/>
  <c r="X36" i="34"/>
  <c r="U36" i="34"/>
  <c r="Q36" i="34"/>
  <c r="N36" i="34"/>
  <c r="K36" i="34"/>
  <c r="J36" i="34"/>
  <c r="X35" i="34"/>
  <c r="U35" i="34"/>
  <c r="Q35" i="34"/>
  <c r="N35" i="34"/>
  <c r="K35" i="34"/>
  <c r="J35" i="34"/>
  <c r="X34" i="34"/>
  <c r="U34" i="34"/>
  <c r="Q34" i="34"/>
  <c r="N34" i="34"/>
  <c r="K34" i="34"/>
  <c r="J34" i="34"/>
  <c r="X33" i="34"/>
  <c r="U33" i="34"/>
  <c r="Q33" i="34"/>
  <c r="N33" i="34"/>
  <c r="K33" i="34"/>
  <c r="J33" i="34"/>
  <c r="X32" i="34"/>
  <c r="U32" i="34"/>
  <c r="Q32" i="34"/>
  <c r="N32" i="34"/>
  <c r="K32" i="34"/>
  <c r="J32" i="34"/>
  <c r="X31" i="34"/>
  <c r="U31" i="34"/>
  <c r="Q31" i="34"/>
  <c r="N31" i="34"/>
  <c r="K31" i="34"/>
  <c r="J31" i="34"/>
  <c r="X30" i="34"/>
  <c r="U30" i="34"/>
  <c r="Q30" i="34"/>
  <c r="N30" i="34"/>
  <c r="K30" i="34"/>
  <c r="J30" i="34"/>
  <c r="X29" i="34"/>
  <c r="U29" i="34"/>
  <c r="Q29" i="34"/>
  <c r="N29" i="34"/>
  <c r="K29" i="34"/>
  <c r="J29" i="34"/>
  <c r="X28" i="34"/>
  <c r="U28" i="34"/>
  <c r="Q28" i="34"/>
  <c r="N28" i="34"/>
  <c r="K28" i="34"/>
  <c r="J28" i="34"/>
  <c r="X27" i="34"/>
  <c r="U27" i="34"/>
  <c r="Q27" i="34"/>
  <c r="N27" i="34"/>
  <c r="K27" i="34"/>
  <c r="J27" i="34"/>
  <c r="X26" i="34"/>
  <c r="U26" i="34"/>
  <c r="Q26" i="34"/>
  <c r="N26" i="34"/>
  <c r="K26" i="34"/>
  <c r="J26" i="34"/>
  <c r="X25" i="34"/>
  <c r="U25" i="34"/>
  <c r="Q25" i="34"/>
  <c r="N25" i="34"/>
  <c r="K25" i="34"/>
  <c r="J25" i="34"/>
  <c r="X24" i="34"/>
  <c r="U24" i="34"/>
  <c r="Q24" i="34"/>
  <c r="N24" i="34"/>
  <c r="K24" i="34"/>
  <c r="J24" i="34"/>
  <c r="X23" i="34"/>
  <c r="U23" i="34"/>
  <c r="Q23" i="34"/>
  <c r="N23" i="34"/>
  <c r="K23" i="34"/>
  <c r="J23" i="34"/>
  <c r="X22" i="34"/>
  <c r="U22" i="34"/>
  <c r="Q22" i="34"/>
  <c r="N22" i="34"/>
  <c r="K22" i="34"/>
  <c r="J22" i="34"/>
  <c r="X21" i="34"/>
  <c r="U21" i="34"/>
  <c r="Q21" i="34"/>
  <c r="N21" i="34"/>
  <c r="K21" i="34"/>
  <c r="J21" i="34"/>
  <c r="X20" i="34"/>
  <c r="U20" i="34"/>
  <c r="Q20" i="34"/>
  <c r="N20" i="34"/>
  <c r="K20" i="34"/>
  <c r="J20" i="34"/>
  <c r="X19" i="34"/>
  <c r="U19" i="34"/>
  <c r="Q19" i="34"/>
  <c r="N19" i="34"/>
  <c r="K19" i="34"/>
  <c r="J19" i="34"/>
  <c r="X18" i="34"/>
  <c r="U18" i="34"/>
  <c r="Q18" i="34"/>
  <c r="N18" i="34"/>
  <c r="K18" i="34"/>
  <c r="J18" i="34"/>
  <c r="X17" i="34"/>
  <c r="U17" i="34"/>
  <c r="Q17" i="34"/>
  <c r="N17" i="34"/>
  <c r="K17" i="34"/>
  <c r="J17" i="34"/>
  <c r="X16" i="34"/>
  <c r="U16" i="34"/>
  <c r="Q16" i="34"/>
  <c r="N16" i="34"/>
  <c r="K16" i="34"/>
  <c r="J16" i="34"/>
  <c r="X15" i="34"/>
  <c r="U15" i="34"/>
  <c r="Q15" i="34"/>
  <c r="N15" i="34"/>
  <c r="K15" i="34"/>
  <c r="J15" i="34"/>
  <c r="X14" i="34"/>
  <c r="U14" i="34"/>
  <c r="Q14" i="34"/>
  <c r="N14" i="34"/>
  <c r="K14" i="34"/>
  <c r="J14" i="34"/>
  <c r="X13" i="34"/>
  <c r="U13" i="34"/>
  <c r="Q13" i="34"/>
  <c r="N13" i="34"/>
  <c r="X12" i="34"/>
  <c r="U12" i="34"/>
  <c r="Q12" i="34"/>
  <c r="N12" i="34"/>
  <c r="U11" i="34"/>
  <c r="Q11" i="34"/>
  <c r="N11" i="34"/>
  <c r="G1" i="34"/>
  <c r="F1" i="34"/>
  <c r="U12" i="30"/>
  <c r="U13" i="30"/>
  <c r="U14" i="30"/>
  <c r="U15" i="30"/>
  <c r="U16" i="30"/>
  <c r="U17" i="30"/>
  <c r="U18" i="30"/>
  <c r="U19" i="30"/>
  <c r="U20" i="30"/>
  <c r="U21" i="30"/>
  <c r="U22" i="30"/>
  <c r="U23" i="30"/>
  <c r="U24" i="30"/>
  <c r="U25" i="30"/>
  <c r="U26" i="30"/>
  <c r="U27" i="30"/>
  <c r="U28" i="30"/>
  <c r="U29" i="30"/>
  <c r="U30" i="30"/>
  <c r="U31" i="30"/>
  <c r="U32" i="30"/>
  <c r="U33" i="30"/>
  <c r="U34" i="30"/>
  <c r="U35" i="30"/>
  <c r="U36" i="30"/>
  <c r="U37" i="30"/>
  <c r="U38" i="30"/>
  <c r="U39" i="30"/>
  <c r="U40" i="30"/>
  <c r="U41" i="30"/>
  <c r="U42" i="30"/>
  <c r="U43" i="30"/>
  <c r="U44" i="30"/>
  <c r="U45" i="30"/>
  <c r="U46" i="30"/>
  <c r="U47" i="30"/>
  <c r="U48" i="30"/>
  <c r="U49" i="30"/>
  <c r="U50" i="30"/>
  <c r="Q39" i="30"/>
  <c r="Q40" i="30"/>
  <c r="Q41" i="30"/>
  <c r="Q42" i="30"/>
  <c r="Q43" i="30"/>
  <c r="Q44" i="30"/>
  <c r="Q45" i="30"/>
  <c r="Q46" i="30"/>
  <c r="Q47" i="30"/>
  <c r="Q48" i="30"/>
  <c r="Q49" i="30"/>
  <c r="Q50" i="30"/>
  <c r="N41" i="30"/>
  <c r="N42" i="30"/>
  <c r="N43" i="30"/>
  <c r="N44" i="30"/>
  <c r="N45" i="30"/>
  <c r="N46" i="30"/>
  <c r="N47" i="30"/>
  <c r="N48" i="30"/>
  <c r="N49" i="30"/>
  <c r="N50" i="30"/>
  <c r="AB19" i="30"/>
  <c r="AB20" i="30"/>
  <c r="AB21" i="30"/>
  <c r="AB22" i="30"/>
  <c r="AB23" i="30"/>
  <c r="AB24" i="30"/>
  <c r="AB25" i="30"/>
  <c r="AB26" i="30"/>
  <c r="AB18" i="30"/>
  <c r="AB17" i="30"/>
  <c r="AB16" i="30"/>
  <c r="AB15" i="30"/>
  <c r="AB14" i="30"/>
  <c r="AB13" i="30"/>
  <c r="AB12" i="30"/>
  <c r="U11" i="30"/>
  <c r="AC38" i="30"/>
  <c r="AC39" i="30"/>
  <c r="AC40" i="30"/>
  <c r="AC41" i="30"/>
  <c r="AC42" i="30"/>
  <c r="AC43" i="30"/>
  <c r="AC44" i="30"/>
  <c r="AC45" i="30"/>
  <c r="AC37" i="30"/>
  <c r="J12" i="34"/>
  <c r="J13" i="34"/>
  <c r="J11" i="34"/>
  <c r="M27" i="38" l="1"/>
  <c r="C23" i="8" s="1"/>
  <c r="V46" i="30"/>
  <c r="Z46" i="30" s="1"/>
  <c r="V43" i="30"/>
  <c r="Z43" i="30" s="1"/>
  <c r="V14" i="34"/>
  <c r="V15" i="34"/>
  <c r="V17" i="34"/>
  <c r="K13" i="34"/>
  <c r="K12" i="34"/>
  <c r="V13" i="34"/>
  <c r="K11" i="34"/>
  <c r="V25" i="34"/>
  <c r="V32" i="34"/>
  <c r="V34" i="34"/>
  <c r="V38" i="34"/>
  <c r="V40" i="34"/>
  <c r="V42" i="34"/>
  <c r="V44" i="34"/>
  <c r="V46" i="34"/>
  <c r="V48" i="34"/>
  <c r="V29" i="34"/>
  <c r="V12" i="34"/>
  <c r="V19" i="34"/>
  <c r="V21" i="34"/>
  <c r="V22" i="34"/>
  <c r="V23" i="34"/>
  <c r="V26" i="34"/>
  <c r="V27" i="34"/>
  <c r="V31" i="34"/>
  <c r="V47" i="34"/>
  <c r="V47" i="30"/>
  <c r="Z47" i="30" s="1"/>
  <c r="V11" i="34"/>
  <c r="X11" i="34" s="1"/>
  <c r="V18" i="34"/>
  <c r="V50" i="34"/>
  <c r="V20" i="34"/>
  <c r="V33" i="34"/>
  <c r="V35" i="34"/>
  <c r="V37" i="34"/>
  <c r="V39" i="34"/>
  <c r="V41" i="34"/>
  <c r="V43" i="34"/>
  <c r="V45" i="34"/>
  <c r="V28" i="34"/>
  <c r="V30" i="34"/>
  <c r="V36" i="34"/>
  <c r="V49" i="34"/>
  <c r="V16" i="34"/>
  <c r="V24" i="34"/>
  <c r="V35" i="30"/>
  <c r="Z35" i="30" s="1"/>
  <c r="V34" i="30"/>
  <c r="Z34" i="30" s="1"/>
  <c r="V27" i="30"/>
  <c r="Z27" i="30" s="1"/>
  <c r="V42" i="30"/>
  <c r="Z42" i="30" s="1"/>
  <c r="V38" i="30"/>
  <c r="Z38" i="30" s="1"/>
  <c r="V30" i="30"/>
  <c r="Z30" i="30" s="1"/>
  <c r="V26" i="30"/>
  <c r="Z26" i="30" s="1"/>
  <c r="V39" i="30"/>
  <c r="Z39" i="30" s="1"/>
  <c r="V23" i="30"/>
  <c r="Z23" i="30" s="1"/>
  <c r="V15" i="30"/>
  <c r="Z15" i="30" s="1"/>
  <c r="V22" i="30"/>
  <c r="Z22" i="30" s="1"/>
  <c r="V31" i="30"/>
  <c r="Z31" i="30" s="1"/>
  <c r="V19" i="30"/>
  <c r="Z19" i="30" s="1"/>
  <c r="V50" i="30"/>
  <c r="Z50" i="30" s="1"/>
  <c r="V18" i="30"/>
  <c r="Z18" i="30" s="1"/>
  <c r="V14" i="30"/>
  <c r="Z14" i="30" s="1"/>
  <c r="V49" i="30"/>
  <c r="Z49" i="30" s="1"/>
  <c r="V45" i="30"/>
  <c r="Z45" i="30" s="1"/>
  <c r="V41" i="30"/>
  <c r="Z41" i="30" s="1"/>
  <c r="V37" i="30"/>
  <c r="Z37" i="30" s="1"/>
  <c r="V33" i="30"/>
  <c r="Z33" i="30" s="1"/>
  <c r="V29" i="30"/>
  <c r="Z29" i="30" s="1"/>
  <c r="V25" i="30"/>
  <c r="Z25" i="30" s="1"/>
  <c r="V21" i="30"/>
  <c r="Z21" i="30" s="1"/>
  <c r="V17" i="30"/>
  <c r="Z17" i="30" s="1"/>
  <c r="V13" i="30"/>
  <c r="Z13" i="30" s="1"/>
  <c r="V48" i="30"/>
  <c r="Z48" i="30" s="1"/>
  <c r="V44" i="30"/>
  <c r="Z44" i="30" s="1"/>
  <c r="V40" i="30"/>
  <c r="Z40" i="30" s="1"/>
  <c r="V36" i="30"/>
  <c r="Z36" i="30" s="1"/>
  <c r="V32" i="30"/>
  <c r="Z32" i="30" s="1"/>
  <c r="V28" i="30"/>
  <c r="Z28" i="30" s="1"/>
  <c r="V24" i="30"/>
  <c r="Z24" i="30" s="1"/>
  <c r="V20" i="30"/>
  <c r="Z20" i="30" s="1"/>
  <c r="V16" i="30"/>
  <c r="Z16" i="30" s="1"/>
  <c r="V12" i="30"/>
  <c r="Z12" i="30" s="1"/>
  <c r="AC34" i="30"/>
  <c r="AC33" i="30"/>
  <c r="AC32" i="30"/>
  <c r="Z49" i="34" l="1"/>
  <c r="Y49" i="34"/>
  <c r="W49" i="34"/>
  <c r="Z37" i="34"/>
  <c r="Y37" i="34"/>
  <c r="W37" i="34"/>
  <c r="W47" i="34"/>
  <c r="Z47" i="34"/>
  <c r="Y47" i="34"/>
  <c r="Z23" i="34"/>
  <c r="Y23" i="34"/>
  <c r="W23" i="34"/>
  <c r="W44" i="34"/>
  <c r="Y44" i="34"/>
  <c r="Z44" i="34"/>
  <c r="W36" i="34"/>
  <c r="Y36" i="34"/>
  <c r="Z36" i="34"/>
  <c r="Z35" i="34"/>
  <c r="W35" i="34"/>
  <c r="Y35" i="34"/>
  <c r="Z31" i="34"/>
  <c r="Y31" i="34"/>
  <c r="W31" i="34"/>
  <c r="Z29" i="34"/>
  <c r="Y29" i="34"/>
  <c r="W29" i="34"/>
  <c r="W32" i="34"/>
  <c r="Y32" i="34"/>
  <c r="Z32" i="34"/>
  <c r="W24" i="34"/>
  <c r="Y24" i="34"/>
  <c r="Z24" i="34"/>
  <c r="Z41" i="34"/>
  <c r="Y41" i="34"/>
  <c r="W41" i="34"/>
  <c r="Z33" i="34"/>
  <c r="W33" i="34"/>
  <c r="Y33" i="34"/>
  <c r="W27" i="34"/>
  <c r="Z27" i="34"/>
  <c r="Y27" i="34"/>
  <c r="Z21" i="34"/>
  <c r="Y21" i="34"/>
  <c r="W21" i="34"/>
  <c r="W48" i="34"/>
  <c r="Z48" i="34"/>
  <c r="Y48" i="34"/>
  <c r="W40" i="34"/>
  <c r="Z40" i="34"/>
  <c r="Y40" i="34"/>
  <c r="Z25" i="34"/>
  <c r="W25" i="34"/>
  <c r="Y25" i="34"/>
  <c r="Z45" i="34"/>
  <c r="Y45" i="34"/>
  <c r="W45" i="34"/>
  <c r="Y50" i="34"/>
  <c r="W50" i="34"/>
  <c r="Z50" i="34"/>
  <c r="Y34" i="34"/>
  <c r="W34" i="34"/>
  <c r="Z34" i="34"/>
  <c r="Y15" i="34"/>
  <c r="W15" i="34"/>
  <c r="Z15" i="34"/>
  <c r="Z43" i="34"/>
  <c r="Y43" i="34"/>
  <c r="W43" i="34"/>
  <c r="Y18" i="34"/>
  <c r="W18" i="34"/>
  <c r="Z18" i="34"/>
  <c r="Y22" i="34"/>
  <c r="Z22" i="34"/>
  <c r="W22" i="34"/>
  <c r="Y42" i="34"/>
  <c r="Z42" i="34"/>
  <c r="W42" i="34"/>
  <c r="Y14" i="34"/>
  <c r="W14" i="34"/>
  <c r="Z14" i="34"/>
  <c r="Y30" i="34"/>
  <c r="Z30" i="34"/>
  <c r="W30" i="34"/>
  <c r="W16" i="34"/>
  <c r="Z16" i="34"/>
  <c r="Y16" i="34"/>
  <c r="W28" i="34"/>
  <c r="Z28" i="34"/>
  <c r="Y28" i="34"/>
  <c r="W39" i="34"/>
  <c r="Z39" i="34"/>
  <c r="Y39" i="34"/>
  <c r="W20" i="34"/>
  <c r="Z20" i="34"/>
  <c r="Y20" i="34"/>
  <c r="Y26" i="34"/>
  <c r="W26" i="34"/>
  <c r="Z26" i="34"/>
  <c r="W19" i="34"/>
  <c r="Z19" i="34"/>
  <c r="Y19" i="34"/>
  <c r="Y46" i="34"/>
  <c r="W46" i="34"/>
  <c r="Z46" i="34"/>
  <c r="Y38" i="34"/>
  <c r="W38" i="34"/>
  <c r="Z38" i="34"/>
  <c r="Z17" i="34"/>
  <c r="W17" i="34"/>
  <c r="Y17" i="34"/>
  <c r="W11" i="34"/>
  <c r="Z11" i="34"/>
  <c r="Y11" i="34"/>
  <c r="K51" i="34"/>
  <c r="W13" i="34"/>
  <c r="Z13" i="34"/>
  <c r="Y13" i="34"/>
  <c r="W12" i="34"/>
  <c r="Y12" i="34"/>
  <c r="Z12" i="34"/>
  <c r="AA29" i="34" l="1"/>
  <c r="AA49" i="34"/>
  <c r="AA22" i="34"/>
  <c r="AA38" i="34"/>
  <c r="AA18" i="34"/>
  <c r="AA50" i="34"/>
  <c r="AA24" i="34"/>
  <c r="AA42" i="34"/>
  <c r="AA37" i="34"/>
  <c r="AA12" i="34"/>
  <c r="AA39" i="34"/>
  <c r="AA47" i="34"/>
  <c r="AA20" i="34"/>
  <c r="AA33" i="34"/>
  <c r="AA13" i="34"/>
  <c r="AA11" i="34"/>
  <c r="AA46" i="34"/>
  <c r="AA19" i="34"/>
  <c r="AA28" i="34"/>
  <c r="AA30" i="34"/>
  <c r="AA14" i="34"/>
  <c r="AA27" i="34"/>
  <c r="AA41" i="34"/>
  <c r="AA32" i="34"/>
  <c r="AA31" i="34"/>
  <c r="AA35" i="34"/>
  <c r="AA36" i="34"/>
  <c r="AA23" i="34"/>
  <c r="AA17" i="34"/>
  <c r="AA26" i="34"/>
  <c r="AA34" i="34"/>
  <c r="AA48" i="34"/>
  <c r="AA16" i="34"/>
  <c r="AA43" i="34"/>
  <c r="AA15" i="34"/>
  <c r="AA45" i="34"/>
  <c r="AA25" i="34"/>
  <c r="AA40" i="34"/>
  <c r="AA21" i="34"/>
  <c r="AA44" i="34"/>
  <c r="I12" i="28"/>
  <c r="I13" i="28"/>
  <c r="I14" i="28"/>
  <c r="I15" i="28"/>
  <c r="I16" i="28"/>
  <c r="I17" i="28"/>
  <c r="I18" i="28"/>
  <c r="I19" i="28"/>
  <c r="I20" i="28"/>
  <c r="I21" i="28"/>
  <c r="I22" i="28"/>
  <c r="I23" i="28"/>
  <c r="I24" i="28"/>
  <c r="I25" i="28"/>
  <c r="I26" i="28"/>
  <c r="I27" i="28"/>
  <c r="I28" i="28"/>
  <c r="I29" i="28"/>
  <c r="I30" i="28"/>
  <c r="I31" i="28"/>
  <c r="I32" i="28"/>
  <c r="I33" i="28"/>
  <c r="I34" i="28"/>
  <c r="I35" i="28"/>
  <c r="I36" i="28"/>
  <c r="J12" i="28"/>
  <c r="J13" i="28"/>
  <c r="J14" i="28"/>
  <c r="J15" i="28"/>
  <c r="J16" i="28"/>
  <c r="J17" i="28"/>
  <c r="J18" i="28"/>
  <c r="J19" i="28"/>
  <c r="J20" i="28"/>
  <c r="J21" i="28"/>
  <c r="J22" i="28"/>
  <c r="J23" i="28"/>
  <c r="J24" i="28"/>
  <c r="J25" i="28"/>
  <c r="J26" i="28"/>
  <c r="J27" i="28"/>
  <c r="J28" i="28"/>
  <c r="J29" i="28"/>
  <c r="J30" i="28"/>
  <c r="J31" i="28"/>
  <c r="J32" i="28"/>
  <c r="J33" i="28"/>
  <c r="J34" i="28"/>
  <c r="J35" i="28"/>
  <c r="J36" i="28"/>
  <c r="K12" i="28"/>
  <c r="K13" i="28"/>
  <c r="K14" i="28"/>
  <c r="K15" i="28"/>
  <c r="K16" i="28"/>
  <c r="K17" i="28"/>
  <c r="K18" i="28"/>
  <c r="K19" i="28"/>
  <c r="K20" i="28"/>
  <c r="K21" i="28"/>
  <c r="K22" i="28"/>
  <c r="K23" i="28"/>
  <c r="K24" i="28"/>
  <c r="K25" i="28"/>
  <c r="K26" i="28"/>
  <c r="K27" i="28"/>
  <c r="K28" i="28"/>
  <c r="K29" i="28"/>
  <c r="K30" i="28"/>
  <c r="K31" i="28"/>
  <c r="K32" i="28"/>
  <c r="K33" i="28"/>
  <c r="K34" i="28"/>
  <c r="K35" i="28"/>
  <c r="K36" i="28"/>
  <c r="L12" i="28"/>
  <c r="L13" i="28"/>
  <c r="L14" i="28"/>
  <c r="L15" i="28"/>
  <c r="L16" i="28"/>
  <c r="L17" i="28"/>
  <c r="L18" i="28"/>
  <c r="L19" i="28"/>
  <c r="L20" i="28"/>
  <c r="L21" i="28"/>
  <c r="L22" i="28"/>
  <c r="L23" i="28"/>
  <c r="L24" i="28"/>
  <c r="L25" i="28"/>
  <c r="L26" i="28"/>
  <c r="L27" i="28"/>
  <c r="L28" i="28"/>
  <c r="L29" i="28"/>
  <c r="L30" i="28"/>
  <c r="L31" i="28"/>
  <c r="L32" i="28"/>
  <c r="L33" i="28"/>
  <c r="L34" i="28"/>
  <c r="L35" i="28"/>
  <c r="L36" i="28"/>
  <c r="L11" i="28"/>
  <c r="AA51" i="34" l="1"/>
  <c r="C7" i="34" s="1"/>
  <c r="Q51" i="30"/>
  <c r="J37" i="30"/>
  <c r="K37" i="30"/>
  <c r="J38" i="30"/>
  <c r="K38" i="30"/>
  <c r="J39" i="30"/>
  <c r="K39" i="30"/>
  <c r="J40" i="30"/>
  <c r="K40" i="30"/>
  <c r="J41" i="30"/>
  <c r="K41" i="30"/>
  <c r="J42" i="30"/>
  <c r="K42" i="30"/>
  <c r="J43" i="30"/>
  <c r="K43" i="30"/>
  <c r="J44" i="30"/>
  <c r="K44" i="30"/>
  <c r="J45" i="30"/>
  <c r="K45" i="30"/>
  <c r="J46" i="30"/>
  <c r="K46" i="30"/>
  <c r="J47" i="30"/>
  <c r="K47" i="30"/>
  <c r="J48" i="30"/>
  <c r="K48" i="30"/>
  <c r="J49" i="30"/>
  <c r="K49" i="30"/>
  <c r="J50" i="30"/>
  <c r="K50" i="30"/>
  <c r="J15" i="30"/>
  <c r="J17" i="30"/>
  <c r="J19" i="30"/>
  <c r="J21" i="30"/>
  <c r="J23" i="30"/>
  <c r="J25" i="30"/>
  <c r="J27" i="30"/>
  <c r="J29" i="30"/>
  <c r="J31" i="30"/>
  <c r="J33" i="30"/>
  <c r="J35" i="30"/>
  <c r="J13" i="30"/>
  <c r="J12" i="30"/>
  <c r="J14" i="30"/>
  <c r="J16" i="30"/>
  <c r="J18" i="30"/>
  <c r="J20" i="30"/>
  <c r="J22" i="30"/>
  <c r="J24" i="30"/>
  <c r="J26" i="30"/>
  <c r="J28" i="30"/>
  <c r="J30" i="30"/>
  <c r="J32" i="30"/>
  <c r="J34" i="30"/>
  <c r="J36" i="30"/>
  <c r="J11" i="30"/>
  <c r="K36" i="30" l="1"/>
  <c r="K34" i="30"/>
  <c r="K32" i="30"/>
  <c r="K30" i="30"/>
  <c r="K28" i="30"/>
  <c r="K26" i="30"/>
  <c r="K24" i="30"/>
  <c r="K22" i="30"/>
  <c r="K20" i="30"/>
  <c r="K18" i="30"/>
  <c r="K16" i="30"/>
  <c r="K14" i="30"/>
  <c r="K35" i="30"/>
  <c r="K33" i="30"/>
  <c r="K31" i="30"/>
  <c r="K29" i="30"/>
  <c r="K27" i="30"/>
  <c r="K25" i="30"/>
  <c r="K23" i="30"/>
  <c r="K21" i="30"/>
  <c r="K19" i="30"/>
  <c r="K17" i="30"/>
  <c r="K15" i="30"/>
  <c r="K13" i="30"/>
  <c r="K12" i="30"/>
  <c r="K11" i="30"/>
  <c r="X13" i="30" l="1"/>
  <c r="X14" i="30"/>
  <c r="X15" i="30"/>
  <c r="X16" i="30"/>
  <c r="X17" i="30"/>
  <c r="X18" i="30"/>
  <c r="X19" i="30"/>
  <c r="X20" i="30"/>
  <c r="X21" i="30"/>
  <c r="X22" i="30"/>
  <c r="X23" i="30"/>
  <c r="X24" i="30"/>
  <c r="X25" i="30"/>
  <c r="X26" i="30"/>
  <c r="X27" i="30"/>
  <c r="X28" i="30"/>
  <c r="X29" i="30"/>
  <c r="X30" i="30"/>
  <c r="X31" i="30"/>
  <c r="X32" i="30"/>
  <c r="X33" i="30"/>
  <c r="X34" i="30"/>
  <c r="X35" i="30"/>
  <c r="X36" i="30"/>
  <c r="X37" i="30"/>
  <c r="X38" i="30"/>
  <c r="X39" i="30"/>
  <c r="X40" i="30"/>
  <c r="X41" i="30"/>
  <c r="X42" i="30"/>
  <c r="X43" i="30"/>
  <c r="X44" i="30"/>
  <c r="X45" i="30"/>
  <c r="X46" i="30"/>
  <c r="X47" i="30"/>
  <c r="X48" i="30"/>
  <c r="X49" i="30"/>
  <c r="X50" i="30"/>
  <c r="U51" i="30"/>
  <c r="Y12" i="30"/>
  <c r="Y13" i="30"/>
  <c r="Y14" i="30"/>
  <c r="Y15" i="30"/>
  <c r="Y16" i="30"/>
  <c r="Y17" i="30"/>
  <c r="Y18" i="30"/>
  <c r="Y19" i="30"/>
  <c r="Y20" i="30"/>
  <c r="Y21" i="30"/>
  <c r="Y22" i="30"/>
  <c r="Y23" i="30"/>
  <c r="Y24" i="30"/>
  <c r="Y25" i="30"/>
  <c r="Y26" i="30"/>
  <c r="Y27" i="30"/>
  <c r="Y28" i="30"/>
  <c r="Y29" i="30"/>
  <c r="Y30" i="30"/>
  <c r="Y31" i="30"/>
  <c r="Y32" i="30"/>
  <c r="Y33" i="30"/>
  <c r="Y34" i="30"/>
  <c r="Y35" i="30"/>
  <c r="Y36" i="30"/>
  <c r="Y37" i="30"/>
  <c r="Y38" i="30"/>
  <c r="Y39" i="30"/>
  <c r="Y40" i="30"/>
  <c r="Y41" i="30"/>
  <c r="Y42" i="30"/>
  <c r="Y43" i="30"/>
  <c r="Y44" i="30"/>
  <c r="Y45" i="30"/>
  <c r="Y46" i="30"/>
  <c r="Y47" i="30"/>
  <c r="Y48" i="30"/>
  <c r="Y49" i="30"/>
  <c r="Y50" i="30"/>
  <c r="N51" i="30"/>
  <c r="W16" i="30" l="1"/>
  <c r="W36" i="30"/>
  <c r="W21" i="30"/>
  <c r="W13" i="30"/>
  <c r="W48" i="30"/>
  <c r="W32" i="30"/>
  <c r="W20" i="30"/>
  <c r="W12" i="30"/>
  <c r="W44" i="30"/>
  <c r="W28" i="30"/>
  <c r="W17" i="30"/>
  <c r="W40" i="30"/>
  <c r="W24" i="30"/>
  <c r="W49" i="30"/>
  <c r="W45" i="30"/>
  <c r="W41" i="30"/>
  <c r="W37" i="30"/>
  <c r="W33" i="30"/>
  <c r="W29" i="30"/>
  <c r="W25" i="30"/>
  <c r="W47" i="30"/>
  <c r="W43" i="30"/>
  <c r="W39" i="30"/>
  <c r="W35" i="30"/>
  <c r="W31" i="30"/>
  <c r="W27" i="30"/>
  <c r="W23" i="30"/>
  <c r="W19" i="30"/>
  <c r="W15" i="30"/>
  <c r="W50" i="30"/>
  <c r="W46" i="30"/>
  <c r="W42" i="30"/>
  <c r="W38" i="30"/>
  <c r="W34" i="30"/>
  <c r="W30" i="30"/>
  <c r="W26" i="30"/>
  <c r="W22" i="30"/>
  <c r="W18" i="30"/>
  <c r="W14" i="30"/>
  <c r="X12" i="30"/>
  <c r="V11" i="30"/>
  <c r="W11" i="30" l="1"/>
  <c r="Z11" i="30"/>
  <c r="Y11" i="30"/>
  <c r="X11" i="30"/>
  <c r="AA11" i="30" l="1"/>
  <c r="AA12" i="30"/>
  <c r="AL26" i="30"/>
  <c r="AK26" i="30"/>
  <c r="AL25" i="30"/>
  <c r="AK25" i="30"/>
  <c r="AL24" i="30"/>
  <c r="AK24" i="30"/>
  <c r="AL23" i="30"/>
  <c r="AK23" i="30"/>
  <c r="AL22" i="30"/>
  <c r="AK22" i="30"/>
  <c r="AL21" i="30"/>
  <c r="AK21" i="30"/>
  <c r="AL20" i="30"/>
  <c r="AK20" i="30"/>
  <c r="AL19" i="30"/>
  <c r="AK19" i="30"/>
  <c r="AL18" i="30"/>
  <c r="AK18" i="30"/>
  <c r="AL17" i="30"/>
  <c r="AK17" i="30"/>
  <c r="AL16" i="30"/>
  <c r="AK16" i="30"/>
  <c r="AL15" i="30"/>
  <c r="AK15" i="30"/>
  <c r="AL14" i="30"/>
  <c r="AK14" i="30"/>
  <c r="AL13" i="30"/>
  <c r="AK13" i="30"/>
  <c r="AL12" i="30"/>
  <c r="AK12" i="30"/>
  <c r="G1" i="30"/>
  <c r="F1" i="30"/>
  <c r="AA13" i="30" l="1"/>
  <c r="K51" i="30"/>
  <c r="AA14" i="30" l="1"/>
  <c r="I18" i="23"/>
  <c r="J18" i="23"/>
  <c r="K18" i="23"/>
  <c r="L18" i="23"/>
  <c r="I19" i="23"/>
  <c r="J19" i="23"/>
  <c r="K19" i="23"/>
  <c r="L19" i="23"/>
  <c r="I20" i="23"/>
  <c r="J20" i="23"/>
  <c r="K20" i="23"/>
  <c r="L20" i="23"/>
  <c r="I21" i="23"/>
  <c r="J21" i="23"/>
  <c r="K21" i="23"/>
  <c r="L21" i="23"/>
  <c r="I22" i="23"/>
  <c r="J22" i="23"/>
  <c r="K22" i="23"/>
  <c r="L22" i="23"/>
  <c r="I23" i="23"/>
  <c r="J23" i="23"/>
  <c r="K23" i="23"/>
  <c r="L23" i="23"/>
  <c r="I24" i="23"/>
  <c r="J24" i="23"/>
  <c r="K24" i="23"/>
  <c r="L24" i="23"/>
  <c r="I25" i="23"/>
  <c r="J25" i="23"/>
  <c r="K25" i="23"/>
  <c r="L25" i="23"/>
  <c r="I26" i="23"/>
  <c r="J26" i="23"/>
  <c r="K26" i="23"/>
  <c r="L26" i="23"/>
  <c r="I27" i="23"/>
  <c r="J27" i="23"/>
  <c r="K27" i="23"/>
  <c r="L27" i="23"/>
  <c r="I28" i="23"/>
  <c r="J28" i="23"/>
  <c r="K28" i="23"/>
  <c r="L28" i="23"/>
  <c r="I29" i="23"/>
  <c r="J29" i="23"/>
  <c r="K29" i="23"/>
  <c r="L29" i="23"/>
  <c r="I30" i="23"/>
  <c r="J30" i="23"/>
  <c r="K30" i="23"/>
  <c r="L30" i="23"/>
  <c r="I31" i="23"/>
  <c r="J31" i="23"/>
  <c r="K31" i="23"/>
  <c r="L31" i="23"/>
  <c r="I32" i="23"/>
  <c r="J32" i="23"/>
  <c r="K32" i="23"/>
  <c r="L32" i="23"/>
  <c r="I33" i="23"/>
  <c r="J33" i="23"/>
  <c r="K33" i="23"/>
  <c r="L33" i="23"/>
  <c r="I34" i="23"/>
  <c r="J34" i="23"/>
  <c r="K34" i="23"/>
  <c r="L34" i="23"/>
  <c r="K11" i="28"/>
  <c r="J11" i="28"/>
  <c r="I11" i="28"/>
  <c r="AA15" i="30" l="1"/>
  <c r="M33" i="28"/>
  <c r="M25" i="28"/>
  <c r="M21" i="28"/>
  <c r="M36" i="28"/>
  <c r="M35" i="28"/>
  <c r="M34" i="28"/>
  <c r="M20" i="28"/>
  <c r="M29" i="28"/>
  <c r="M28" i="28"/>
  <c r="M27" i="28"/>
  <c r="M26" i="28"/>
  <c r="M24" i="28"/>
  <c r="M23" i="28"/>
  <c r="M22" i="28"/>
  <c r="M32" i="28"/>
  <c r="M31" i="28"/>
  <c r="M30" i="28"/>
  <c r="M30" i="23"/>
  <c r="M23" i="23"/>
  <c r="M19" i="23"/>
  <c r="M18" i="23"/>
  <c r="M34" i="23"/>
  <c r="M33" i="23"/>
  <c r="M32" i="23"/>
  <c r="M27" i="23"/>
  <c r="M26" i="23"/>
  <c r="M25" i="23"/>
  <c r="M24" i="23"/>
  <c r="M22" i="23"/>
  <c r="M21" i="23"/>
  <c r="M20" i="23"/>
  <c r="M31" i="23"/>
  <c r="M29" i="23"/>
  <c r="M28" i="23"/>
  <c r="M11" i="28"/>
  <c r="M12" i="28"/>
  <c r="M13" i="28"/>
  <c r="M14" i="28"/>
  <c r="M15" i="28"/>
  <c r="M16" i="28"/>
  <c r="M17" i="28"/>
  <c r="M18" i="28"/>
  <c r="M19" i="28"/>
  <c r="L21" i="12"/>
  <c r="M21" i="12" s="1"/>
  <c r="AA16" i="30" l="1"/>
  <c r="M37" i="28"/>
  <c r="E5" i="28" s="1"/>
  <c r="AA17" i="30" l="1"/>
  <c r="AA18" i="30" l="1"/>
  <c r="L20" i="12"/>
  <c r="M20" i="12" s="1"/>
  <c r="L12" i="23"/>
  <c r="L13" i="23"/>
  <c r="L14" i="23"/>
  <c r="L15" i="23"/>
  <c r="L16" i="23"/>
  <c r="L17" i="23"/>
  <c r="L35" i="23"/>
  <c r="L36" i="23"/>
  <c r="L37" i="23"/>
  <c r="L11" i="23"/>
  <c r="K12" i="23"/>
  <c r="K13" i="23"/>
  <c r="K14" i="23"/>
  <c r="K15" i="23"/>
  <c r="K16" i="23"/>
  <c r="K17" i="23"/>
  <c r="K35" i="23"/>
  <c r="K36" i="23"/>
  <c r="K37" i="23"/>
  <c r="J12" i="23"/>
  <c r="J13" i="23"/>
  <c r="J14" i="23"/>
  <c r="J15" i="23"/>
  <c r="J16" i="23"/>
  <c r="J17" i="23"/>
  <c r="J35" i="23"/>
  <c r="J36" i="23"/>
  <c r="J37" i="23"/>
  <c r="J11" i="23"/>
  <c r="K11" i="23"/>
  <c r="I12" i="23"/>
  <c r="I13" i="23"/>
  <c r="I14" i="23"/>
  <c r="I15" i="23"/>
  <c r="I16" i="23"/>
  <c r="I17" i="23"/>
  <c r="I35" i="23"/>
  <c r="I36" i="23"/>
  <c r="I37" i="23"/>
  <c r="I11" i="23"/>
  <c r="AA19" i="30" l="1"/>
  <c r="M16" i="23"/>
  <c r="M17" i="23"/>
  <c r="M35" i="23"/>
  <c r="M36" i="23"/>
  <c r="M37" i="23"/>
  <c r="AA20" i="30" l="1"/>
  <c r="M14" i="23"/>
  <c r="M13" i="23"/>
  <c r="M11" i="23"/>
  <c r="M12" i="23"/>
  <c r="M15" i="23"/>
  <c r="AA21" i="30" l="1"/>
  <c r="M38" i="23"/>
  <c r="L22" i="21"/>
  <c r="M22" i="21"/>
  <c r="AB24" i="16"/>
  <c r="AA24" i="16"/>
  <c r="Z24" i="16"/>
  <c r="AA22" i="30" l="1"/>
  <c r="AA23" i="30" l="1"/>
  <c r="L21" i="21"/>
  <c r="M21" i="21"/>
  <c r="AB22" i="16"/>
  <c r="AA22" i="16"/>
  <c r="Z22" i="16"/>
  <c r="AA24" i="30" l="1"/>
  <c r="AA25" i="30" l="1"/>
  <c r="AA26" i="30" l="1"/>
  <c r="L20" i="21"/>
  <c r="M20" i="21"/>
  <c r="L19" i="21"/>
  <c r="M19" i="21"/>
  <c r="AB21" i="16"/>
  <c r="AA21" i="16"/>
  <c r="Z21" i="16"/>
  <c r="L18" i="21"/>
  <c r="M18" i="21"/>
  <c r="L11" i="21"/>
  <c r="M11" i="21"/>
  <c r="AA27" i="30" l="1"/>
  <c r="AB20" i="16"/>
  <c r="AA20" i="16"/>
  <c r="Z20" i="16"/>
  <c r="AB19" i="16"/>
  <c r="AA19" i="16"/>
  <c r="Z19" i="16"/>
  <c r="AB18" i="16"/>
  <c r="AA18" i="16"/>
  <c r="Z18" i="16"/>
  <c r="AA28" i="30" l="1"/>
  <c r="L17" i="21"/>
  <c r="M17" i="21"/>
  <c r="AB17" i="16"/>
  <c r="AA17" i="16"/>
  <c r="Z17" i="16"/>
  <c r="AA29" i="30" l="1"/>
  <c r="AB14" i="16"/>
  <c r="AA14" i="16"/>
  <c r="Z14" i="16"/>
  <c r="AB13" i="16"/>
  <c r="AA13" i="16"/>
  <c r="Z13" i="16"/>
  <c r="AB12" i="16"/>
  <c r="AA12" i="16"/>
  <c r="Z12" i="16"/>
  <c r="Z10" i="16"/>
  <c r="AA10" i="16"/>
  <c r="AB10" i="16"/>
  <c r="Z9" i="16"/>
  <c r="AA9" i="16"/>
  <c r="AB9" i="16"/>
  <c r="Z8" i="16"/>
  <c r="AA8" i="16"/>
  <c r="AB8" i="16"/>
  <c r="AB7" i="16"/>
  <c r="AA7" i="16"/>
  <c r="Z7" i="16"/>
  <c r="Z6" i="16"/>
  <c r="AA6" i="16"/>
  <c r="AB6" i="16"/>
  <c r="AB5" i="16"/>
  <c r="AA5" i="16"/>
  <c r="Z5" i="16"/>
  <c r="Z4" i="16"/>
  <c r="AA4" i="16"/>
  <c r="AB4" i="16"/>
  <c r="AB3" i="16"/>
  <c r="AA3" i="16"/>
  <c r="Z3" i="16"/>
  <c r="AA30" i="30" l="1"/>
  <c r="M16" i="21"/>
  <c r="L16" i="21"/>
  <c r="AA31" i="30" l="1"/>
  <c r="M15" i="21"/>
  <c r="L15" i="21"/>
  <c r="M14" i="21"/>
  <c r="L14" i="21"/>
  <c r="M13" i="21"/>
  <c r="L13" i="21"/>
  <c r="L12" i="21"/>
  <c r="M12" i="21"/>
  <c r="AA32" i="30" l="1"/>
  <c r="L10" i="21"/>
  <c r="M10" i="21"/>
  <c r="D38" i="6"/>
  <c r="D33" i="6"/>
  <c r="D32" i="6"/>
  <c r="D30" i="6"/>
  <c r="D29" i="6"/>
  <c r="D28" i="6"/>
  <c r="D27" i="6"/>
  <c r="D26" i="6"/>
  <c r="D25" i="6"/>
  <c r="D14" i="6"/>
  <c r="D13" i="6"/>
  <c r="D12" i="6"/>
  <c r="D10" i="6"/>
  <c r="D8" i="6"/>
  <c r="D7" i="6"/>
  <c r="D5" i="6"/>
  <c r="D5" i="38" l="1"/>
  <c r="D37" i="6"/>
  <c r="D5" i="36"/>
  <c r="AA33" i="30"/>
  <c r="L9" i="21"/>
  <c r="M9" i="21"/>
  <c r="L17" i="36" l="1"/>
  <c r="L9" i="36"/>
  <c r="L12" i="36"/>
  <c r="L16" i="36"/>
  <c r="L25" i="36"/>
  <c r="L10" i="36"/>
  <c r="L24" i="36"/>
  <c r="L13" i="36"/>
  <c r="L18" i="36"/>
  <c r="L22" i="36"/>
  <c r="L21" i="36"/>
  <c r="L20" i="36"/>
  <c r="L23" i="36"/>
  <c r="L19" i="36"/>
  <c r="L8" i="36"/>
  <c r="L14" i="36"/>
  <c r="L11" i="36"/>
  <c r="L15" i="36"/>
  <c r="E5" i="38"/>
  <c r="N7" i="38" s="1"/>
  <c r="E5" i="36"/>
  <c r="AA34" i="30"/>
  <c r="G8" i="16"/>
  <c r="O7" i="38" l="1"/>
  <c r="O8" i="38"/>
  <c r="O22" i="38"/>
  <c r="O23" i="38"/>
  <c r="O21" i="38"/>
  <c r="O12" i="38"/>
  <c r="O18" i="38"/>
  <c r="O13" i="38"/>
  <c r="O19" i="38"/>
  <c r="O14" i="38"/>
  <c r="O9" i="38"/>
  <c r="O25" i="38"/>
  <c r="O24" i="38"/>
  <c r="O20" i="38"/>
  <c r="O15" i="38"/>
  <c r="O10" i="38"/>
  <c r="O16" i="38"/>
  <c r="O11" i="38"/>
  <c r="O17" i="38"/>
  <c r="N9" i="38"/>
  <c r="N18" i="38"/>
  <c r="N22" i="38"/>
  <c r="N16" i="38"/>
  <c r="N24" i="38"/>
  <c r="N14" i="38"/>
  <c r="N12" i="38"/>
  <c r="N8" i="38"/>
  <c r="N10" i="38"/>
  <c r="N25" i="38"/>
  <c r="N19" i="38"/>
  <c r="N21" i="38"/>
  <c r="N17" i="38"/>
  <c r="N15" i="38"/>
  <c r="N13" i="38"/>
  <c r="N23" i="38"/>
  <c r="N11" i="38"/>
  <c r="N20" i="38"/>
  <c r="L7" i="36"/>
  <c r="L27" i="36" s="1"/>
  <c r="AA35" i="30"/>
  <c r="L8" i="21"/>
  <c r="M8" i="21"/>
  <c r="N27" i="38" l="1"/>
  <c r="V8" i="4" s="1"/>
  <c r="O27" i="38"/>
  <c r="V11" i="4" s="1"/>
  <c r="AA36" i="30"/>
  <c r="L7" i="21"/>
  <c r="M7" i="21"/>
  <c r="V6" i="4" l="1"/>
  <c r="V12" i="4"/>
  <c r="V14" i="4"/>
  <c r="V10" i="4"/>
  <c r="V13" i="4"/>
  <c r="V7" i="4"/>
  <c r="AA37" i="30"/>
  <c r="V15" i="4" l="1"/>
  <c r="AA38" i="30"/>
  <c r="L12" i="12"/>
  <c r="M12" i="12"/>
  <c r="M8" i="12"/>
  <c r="L8" i="12"/>
  <c r="E15" i="21" l="1"/>
  <c r="A15" i="21"/>
  <c r="AA39" i="30"/>
  <c r="M6" i="21"/>
  <c r="M3" i="21"/>
  <c r="M4" i="21"/>
  <c r="M5" i="21"/>
  <c r="L5" i="21"/>
  <c r="L3" i="21"/>
  <c r="L4" i="21"/>
  <c r="L6" i="21"/>
  <c r="AA40" i="30" l="1"/>
  <c r="AA41" i="30" l="1"/>
  <c r="AA42" i="30" l="1"/>
  <c r="R6" i="13"/>
  <c r="R5" i="13"/>
  <c r="AA43" i="30" l="1"/>
  <c r="E3" i="21"/>
  <c r="E8" i="21"/>
  <c r="E12" i="21"/>
  <c r="E5" i="21"/>
  <c r="E9" i="21"/>
  <c r="E13" i="21"/>
  <c r="E6" i="21"/>
  <c r="E10" i="21"/>
  <c r="E14" i="21"/>
  <c r="E7" i="21"/>
  <c r="E11" i="21"/>
  <c r="E4" i="21"/>
  <c r="A13" i="21"/>
  <c r="A14" i="21"/>
  <c r="A8" i="21"/>
  <c r="A10" i="21"/>
  <c r="A11" i="21"/>
  <c r="A6" i="21"/>
  <c r="A12" i="21"/>
  <c r="A3" i="21"/>
  <c r="A9" i="21"/>
  <c r="A4" i="21"/>
  <c r="A5" i="21"/>
  <c r="A7" i="21"/>
  <c r="R28" i="12"/>
  <c r="S28" i="12"/>
  <c r="AA44" i="30" l="1"/>
  <c r="R29" i="12"/>
  <c r="S29" i="12"/>
  <c r="Q29" i="12" s="1"/>
  <c r="T29" i="12" s="1"/>
  <c r="AA45" i="30" l="1"/>
  <c r="P29" i="12"/>
  <c r="R30" i="12"/>
  <c r="S30" i="12"/>
  <c r="Q30" i="12" s="1"/>
  <c r="AA46" i="30" l="1"/>
  <c r="T30" i="12"/>
  <c r="P30" i="12"/>
  <c r="R31" i="12"/>
  <c r="S31" i="12"/>
  <c r="Q31" i="12" s="1"/>
  <c r="T31" i="12" s="1"/>
  <c r="AA47" i="30" l="1"/>
  <c r="P31" i="12"/>
  <c r="R32" i="12"/>
  <c r="S32" i="12"/>
  <c r="Q32" i="12" s="1"/>
  <c r="T32" i="12" s="1"/>
  <c r="AA48" i="30" l="1"/>
  <c r="P32" i="12"/>
  <c r="R33" i="12"/>
  <c r="S33" i="12"/>
  <c r="Q33" i="12" s="1"/>
  <c r="T33" i="12" s="1"/>
  <c r="AA50" i="30" l="1"/>
  <c r="AA49" i="30"/>
  <c r="P33" i="12"/>
  <c r="R34" i="12"/>
  <c r="S34" i="12"/>
  <c r="Q34" i="12" s="1"/>
  <c r="T34" i="12" s="1"/>
  <c r="AA51" i="30" l="1"/>
  <c r="C7" i="30" s="1"/>
  <c r="P34" i="12"/>
  <c r="R35" i="12"/>
  <c r="S35" i="12"/>
  <c r="Q35" i="12" s="1"/>
  <c r="T35" i="12" s="1"/>
  <c r="F23" i="12"/>
  <c r="G23" i="12"/>
  <c r="P35" i="12" l="1"/>
  <c r="R36" i="12"/>
  <c r="S36" i="12"/>
  <c r="Q36" i="12" s="1"/>
  <c r="T36" i="12" s="1"/>
  <c r="P36" i="12" l="1"/>
  <c r="R37" i="12"/>
  <c r="S37" i="12"/>
  <c r="Q37" i="12" s="1"/>
  <c r="T37" i="12" s="1"/>
  <c r="P37" i="12" l="1"/>
  <c r="R38" i="12"/>
  <c r="S38" i="12"/>
  <c r="Q38" i="12" s="1"/>
  <c r="T38" i="12" s="1"/>
  <c r="P38" i="12" l="1"/>
  <c r="R39" i="12"/>
  <c r="S39" i="12"/>
  <c r="Q39" i="12" s="1"/>
  <c r="T39" i="12" s="1"/>
  <c r="P39" i="12" l="1"/>
  <c r="R40" i="12"/>
  <c r="S40" i="12"/>
  <c r="Q40" i="12" s="1"/>
  <c r="T40" i="12" s="1"/>
  <c r="P40" i="12" l="1"/>
  <c r="R41" i="12"/>
  <c r="S41" i="12"/>
  <c r="Q41" i="12" s="1"/>
  <c r="T41" i="12" s="1"/>
  <c r="P41" i="12" l="1"/>
  <c r="R42" i="12"/>
  <c r="S42" i="12"/>
  <c r="Q42" i="12" s="1"/>
  <c r="T42" i="12" s="1"/>
  <c r="R27" i="12"/>
  <c r="S27" i="12"/>
  <c r="P42" i="12" l="1"/>
  <c r="D5" i="16"/>
  <c r="C9" i="8"/>
  <c r="C11" i="8"/>
  <c r="M19" i="12"/>
  <c r="F10" i="12" l="1"/>
  <c r="F9" i="12"/>
  <c r="F13" i="12"/>
  <c r="F15" i="12"/>
  <c r="F11" i="12"/>
  <c r="F14" i="12"/>
  <c r="F43" i="12"/>
  <c r="L28" i="12"/>
  <c r="F47" i="12"/>
  <c r="G47" i="12" s="1"/>
  <c r="F48" i="12"/>
  <c r="G48" i="12" s="1"/>
  <c r="F49" i="12"/>
  <c r="G49" i="12" s="1"/>
  <c r="F50" i="12"/>
  <c r="G50" i="12" s="1"/>
  <c r="F51" i="12"/>
  <c r="G51" i="12" s="1"/>
  <c r="F46" i="12"/>
  <c r="F56" i="12"/>
  <c r="F57" i="12" s="1"/>
  <c r="G57" i="12" s="1"/>
  <c r="F61" i="12"/>
  <c r="G61" i="12" s="1"/>
  <c r="L57" i="12" l="1"/>
  <c r="G56" i="12"/>
  <c r="L27" i="12"/>
  <c r="F62" i="12"/>
  <c r="D13" i="16"/>
  <c r="D10" i="16"/>
  <c r="D8" i="16"/>
  <c r="D3" i="16"/>
  <c r="M27" i="12" l="1"/>
  <c r="M28" i="12"/>
  <c r="G62" i="12"/>
  <c r="L62" i="12" s="1"/>
  <c r="C36" i="8"/>
  <c r="I6" i="4"/>
  <c r="I7" i="4"/>
  <c r="I8" i="4"/>
  <c r="I9" i="4"/>
  <c r="I10" i="4"/>
  <c r="E10" i="4" s="1"/>
  <c r="I11" i="4"/>
  <c r="I12" i="4"/>
  <c r="I13" i="4"/>
  <c r="I14" i="4"/>
  <c r="E14" i="4" s="1"/>
  <c r="I15" i="4"/>
  <c r="E15" i="4" s="1"/>
  <c r="I16" i="4"/>
  <c r="I17" i="4"/>
  <c r="I18" i="4"/>
  <c r="Q28" i="12"/>
  <c r="Q27" i="12"/>
  <c r="R12" i="4" l="1"/>
  <c r="Q10" i="4"/>
  <c r="R10" i="4"/>
  <c r="R14" i="4"/>
  <c r="Q14" i="4"/>
  <c r="Q15" i="4"/>
  <c r="R15" i="4"/>
  <c r="T28" i="12"/>
  <c r="P28" i="12"/>
  <c r="T27" i="12"/>
  <c r="U27" i="12" s="1"/>
  <c r="Q25" i="12"/>
  <c r="P27" i="12"/>
  <c r="F19" i="4"/>
  <c r="C19" i="8" s="1"/>
  <c r="S10" i="4" l="1"/>
  <c r="S14" i="4"/>
  <c r="S15" i="4"/>
  <c r="U28" i="12"/>
  <c r="U29" i="12" s="1"/>
  <c r="U30" i="12" s="1"/>
  <c r="U31" i="12" s="1"/>
  <c r="U32" i="12" s="1"/>
  <c r="U33" i="12" s="1"/>
  <c r="U34" i="12" s="1"/>
  <c r="U35" i="12" s="1"/>
  <c r="U36" i="12" s="1"/>
  <c r="U37" i="12" s="1"/>
  <c r="U38" i="12" s="1"/>
  <c r="U39" i="12" s="1"/>
  <c r="U40" i="12" s="1"/>
  <c r="U41" i="12" s="1"/>
  <c r="U42" i="12" s="1"/>
  <c r="G15" i="4"/>
  <c r="G18" i="4"/>
  <c r="G14" i="4"/>
  <c r="G12" i="4"/>
  <c r="G7" i="4"/>
  <c r="G17" i="4"/>
  <c r="G9" i="4"/>
  <c r="G10" i="4"/>
  <c r="Y3" i="18"/>
  <c r="X3" i="18"/>
  <c r="T25" i="12" l="1"/>
  <c r="G19" i="4"/>
  <c r="AA3" i="18"/>
  <c r="Z2" i="18"/>
  <c r="AA4" i="18" l="1"/>
  <c r="AA2" i="18"/>
  <c r="F3" i="8"/>
  <c r="O166" i="15"/>
  <c r="N166" i="15"/>
  <c r="M166" i="15"/>
  <c r="L166" i="15"/>
  <c r="K166" i="15"/>
  <c r="J166" i="15"/>
  <c r="I166" i="15"/>
  <c r="H166" i="15"/>
  <c r="O165" i="15"/>
  <c r="N165" i="15"/>
  <c r="M165" i="15"/>
  <c r="L165" i="15"/>
  <c r="K165" i="15"/>
  <c r="J165" i="15"/>
  <c r="I165" i="15"/>
  <c r="H165" i="15"/>
  <c r="O164" i="15"/>
  <c r="N164" i="15"/>
  <c r="M164" i="15"/>
  <c r="L164" i="15"/>
  <c r="K164" i="15"/>
  <c r="J164" i="15"/>
  <c r="I164" i="15"/>
  <c r="H164" i="15"/>
  <c r="O163" i="15"/>
  <c r="N163" i="15"/>
  <c r="M163" i="15"/>
  <c r="L163" i="15"/>
  <c r="K163" i="15"/>
  <c r="J163" i="15"/>
  <c r="I163" i="15"/>
  <c r="H163" i="15"/>
  <c r="O162" i="15"/>
  <c r="N162" i="15"/>
  <c r="M162" i="15"/>
  <c r="L162" i="15"/>
  <c r="K162" i="15"/>
  <c r="J162" i="15"/>
  <c r="I162" i="15"/>
  <c r="H162" i="15"/>
  <c r="O161" i="15"/>
  <c r="N161" i="15"/>
  <c r="M161" i="15"/>
  <c r="L161" i="15"/>
  <c r="K161" i="15"/>
  <c r="J161" i="15"/>
  <c r="I161" i="15"/>
  <c r="H161" i="15"/>
  <c r="O160" i="15"/>
  <c r="N160" i="15"/>
  <c r="M160" i="15"/>
  <c r="L160" i="15"/>
  <c r="K160" i="15"/>
  <c r="J160" i="15"/>
  <c r="I160" i="15"/>
  <c r="H160" i="15"/>
  <c r="O159" i="15"/>
  <c r="N159" i="15"/>
  <c r="M159" i="15"/>
  <c r="L159" i="15"/>
  <c r="K159" i="15"/>
  <c r="J159" i="15"/>
  <c r="I159" i="15"/>
  <c r="H159" i="15"/>
  <c r="O158" i="15"/>
  <c r="N158" i="15"/>
  <c r="M158" i="15"/>
  <c r="L158" i="15"/>
  <c r="K158" i="15"/>
  <c r="J158" i="15"/>
  <c r="I158" i="15"/>
  <c r="H158" i="15"/>
  <c r="O157" i="15"/>
  <c r="N157" i="15"/>
  <c r="M157" i="15"/>
  <c r="L157" i="15"/>
  <c r="K157" i="15"/>
  <c r="J157" i="15"/>
  <c r="I157" i="15"/>
  <c r="H157" i="15"/>
  <c r="O156" i="15"/>
  <c r="N156" i="15"/>
  <c r="M156" i="15"/>
  <c r="L156" i="15"/>
  <c r="K156" i="15"/>
  <c r="J156" i="15"/>
  <c r="I156" i="15"/>
  <c r="H156" i="15"/>
  <c r="O155" i="15"/>
  <c r="N155" i="15"/>
  <c r="M155" i="15"/>
  <c r="L155" i="15"/>
  <c r="K155" i="15"/>
  <c r="J155" i="15"/>
  <c r="I155" i="15"/>
  <c r="H155" i="15"/>
  <c r="O154" i="15"/>
  <c r="N154" i="15"/>
  <c r="M154" i="15"/>
  <c r="L154" i="15"/>
  <c r="K154" i="15"/>
  <c r="J154" i="15"/>
  <c r="I154" i="15"/>
  <c r="H154" i="15"/>
  <c r="O153" i="15"/>
  <c r="N153" i="15"/>
  <c r="M153" i="15"/>
  <c r="L153" i="15"/>
  <c r="K153" i="15"/>
  <c r="J153" i="15"/>
  <c r="I153" i="15"/>
  <c r="H153" i="15"/>
  <c r="O152" i="15"/>
  <c r="N152" i="15"/>
  <c r="M152" i="15"/>
  <c r="L152" i="15"/>
  <c r="K152" i="15"/>
  <c r="J152" i="15"/>
  <c r="I152" i="15"/>
  <c r="H152" i="15"/>
  <c r="O151" i="15"/>
  <c r="N151" i="15"/>
  <c r="M151" i="15"/>
  <c r="L151" i="15"/>
  <c r="K151" i="15"/>
  <c r="J151" i="15"/>
  <c r="I151" i="15"/>
  <c r="H151" i="15"/>
  <c r="O150" i="15"/>
  <c r="N150" i="15"/>
  <c r="M150" i="15"/>
  <c r="L150" i="15"/>
  <c r="K150" i="15"/>
  <c r="J150" i="15"/>
  <c r="I150" i="15"/>
  <c r="H150" i="15"/>
  <c r="O149" i="15"/>
  <c r="N149" i="15"/>
  <c r="M149" i="15"/>
  <c r="L149" i="15"/>
  <c r="K149" i="15"/>
  <c r="J149" i="15"/>
  <c r="I149" i="15"/>
  <c r="H149" i="15"/>
  <c r="O148" i="15"/>
  <c r="N148" i="15"/>
  <c r="M148" i="15"/>
  <c r="L148" i="15"/>
  <c r="K148" i="15"/>
  <c r="J148" i="15"/>
  <c r="I148" i="15"/>
  <c r="H148" i="15"/>
  <c r="O147" i="15"/>
  <c r="N147" i="15"/>
  <c r="M147" i="15"/>
  <c r="L147" i="15"/>
  <c r="K147" i="15"/>
  <c r="J147" i="15"/>
  <c r="I147" i="15"/>
  <c r="H147" i="15"/>
  <c r="O146" i="15"/>
  <c r="N146" i="15"/>
  <c r="M146" i="15"/>
  <c r="L146" i="15"/>
  <c r="K146" i="15"/>
  <c r="J146" i="15"/>
  <c r="I146" i="15"/>
  <c r="H146" i="15"/>
  <c r="O145" i="15"/>
  <c r="N145" i="15"/>
  <c r="M145" i="15"/>
  <c r="L145" i="15"/>
  <c r="K145" i="15"/>
  <c r="J145" i="15"/>
  <c r="I145" i="15"/>
  <c r="H145" i="15"/>
  <c r="O144" i="15"/>
  <c r="N144" i="15"/>
  <c r="M144" i="15"/>
  <c r="L144" i="15"/>
  <c r="K144" i="15"/>
  <c r="J144" i="15"/>
  <c r="I144" i="15"/>
  <c r="H144" i="15"/>
  <c r="O143" i="15"/>
  <c r="N143" i="15"/>
  <c r="M143" i="15"/>
  <c r="L143" i="15"/>
  <c r="K143" i="15"/>
  <c r="J143" i="15"/>
  <c r="I143" i="15"/>
  <c r="H143" i="15"/>
  <c r="O142" i="15"/>
  <c r="N142" i="15"/>
  <c r="M142" i="15"/>
  <c r="L142" i="15"/>
  <c r="K142" i="15"/>
  <c r="J142" i="15"/>
  <c r="I142" i="15"/>
  <c r="H142" i="15"/>
  <c r="O141" i="15"/>
  <c r="N141" i="15"/>
  <c r="M141" i="15"/>
  <c r="L141" i="15"/>
  <c r="K141" i="15"/>
  <c r="J141" i="15"/>
  <c r="I141" i="15"/>
  <c r="H141" i="15"/>
  <c r="O140" i="15"/>
  <c r="N140" i="15"/>
  <c r="M140" i="15"/>
  <c r="L140" i="15"/>
  <c r="K140" i="15"/>
  <c r="J140" i="15"/>
  <c r="I140" i="15"/>
  <c r="H140" i="15"/>
  <c r="O139" i="15"/>
  <c r="N139" i="15"/>
  <c r="M139" i="15"/>
  <c r="L139" i="15"/>
  <c r="K139" i="15"/>
  <c r="J139" i="15"/>
  <c r="I139" i="15"/>
  <c r="H139" i="15"/>
  <c r="O138" i="15"/>
  <c r="N138" i="15"/>
  <c r="M138" i="15"/>
  <c r="L138" i="15"/>
  <c r="K138" i="15"/>
  <c r="J138" i="15"/>
  <c r="I138" i="15"/>
  <c r="H138" i="15"/>
  <c r="O137" i="15"/>
  <c r="N137" i="15"/>
  <c r="M137" i="15"/>
  <c r="L137" i="15"/>
  <c r="K137" i="15"/>
  <c r="J137" i="15"/>
  <c r="I137" i="15"/>
  <c r="H137" i="15"/>
  <c r="O136" i="15"/>
  <c r="N136" i="15"/>
  <c r="M136" i="15"/>
  <c r="L136" i="15"/>
  <c r="K136" i="15"/>
  <c r="J136" i="15"/>
  <c r="I136" i="15"/>
  <c r="H136" i="15"/>
  <c r="O135" i="15"/>
  <c r="N135" i="15"/>
  <c r="M135" i="15"/>
  <c r="L135" i="15"/>
  <c r="K135" i="15"/>
  <c r="J135" i="15"/>
  <c r="I135" i="15"/>
  <c r="H135" i="15"/>
  <c r="O134" i="15"/>
  <c r="N134" i="15"/>
  <c r="M134" i="15"/>
  <c r="L134" i="15"/>
  <c r="K134" i="15"/>
  <c r="J134" i="15"/>
  <c r="I134" i="15"/>
  <c r="H134" i="15"/>
  <c r="O133" i="15"/>
  <c r="N133" i="15"/>
  <c r="M133" i="15"/>
  <c r="L133" i="15"/>
  <c r="K133" i="15"/>
  <c r="J133" i="15"/>
  <c r="I133" i="15"/>
  <c r="H133" i="15"/>
  <c r="O132" i="15"/>
  <c r="N132" i="15"/>
  <c r="M132" i="15"/>
  <c r="L132" i="15"/>
  <c r="K132" i="15"/>
  <c r="J132" i="15"/>
  <c r="I132" i="15"/>
  <c r="H132" i="15"/>
  <c r="O131" i="15"/>
  <c r="N131" i="15"/>
  <c r="M131" i="15"/>
  <c r="L131" i="15"/>
  <c r="K131" i="15"/>
  <c r="J131" i="15"/>
  <c r="I131" i="15"/>
  <c r="H131" i="15"/>
  <c r="O130" i="15"/>
  <c r="N130" i="15"/>
  <c r="M130" i="15"/>
  <c r="L130" i="15"/>
  <c r="K130" i="15"/>
  <c r="J130" i="15"/>
  <c r="I130" i="15"/>
  <c r="H130" i="15"/>
  <c r="O129" i="15"/>
  <c r="N129" i="15"/>
  <c r="M129" i="15"/>
  <c r="L129" i="15"/>
  <c r="K129" i="15"/>
  <c r="J129" i="15"/>
  <c r="I129" i="15"/>
  <c r="H129" i="15"/>
  <c r="O128" i="15"/>
  <c r="N128" i="15"/>
  <c r="M128" i="15"/>
  <c r="L128" i="15"/>
  <c r="K128" i="15"/>
  <c r="J128" i="15"/>
  <c r="I128" i="15"/>
  <c r="H128" i="15"/>
  <c r="O127" i="15"/>
  <c r="N127" i="15"/>
  <c r="M127" i="15"/>
  <c r="L127" i="15"/>
  <c r="K127" i="15"/>
  <c r="J127" i="15"/>
  <c r="I127" i="15"/>
  <c r="H127" i="15"/>
  <c r="O126" i="15"/>
  <c r="N126" i="15"/>
  <c r="M126" i="15"/>
  <c r="L126" i="15"/>
  <c r="K126" i="15"/>
  <c r="J126" i="15"/>
  <c r="I126" i="15"/>
  <c r="H126" i="15"/>
  <c r="O125" i="15"/>
  <c r="N125" i="15"/>
  <c r="M125" i="15"/>
  <c r="L125" i="15"/>
  <c r="K125" i="15"/>
  <c r="J125" i="15"/>
  <c r="I125" i="15"/>
  <c r="H125" i="15"/>
  <c r="O124" i="15"/>
  <c r="N124" i="15"/>
  <c r="M124" i="15"/>
  <c r="L124" i="15"/>
  <c r="K124" i="15"/>
  <c r="J124" i="15"/>
  <c r="I124" i="15"/>
  <c r="H124" i="15"/>
  <c r="O123" i="15"/>
  <c r="N123" i="15"/>
  <c r="M123" i="15"/>
  <c r="L123" i="15"/>
  <c r="K123" i="15"/>
  <c r="J123" i="15"/>
  <c r="I123" i="15"/>
  <c r="H123" i="15"/>
  <c r="O122" i="15"/>
  <c r="N122" i="15"/>
  <c r="M122" i="15"/>
  <c r="L122" i="15"/>
  <c r="K122" i="15"/>
  <c r="J122" i="15"/>
  <c r="I122" i="15"/>
  <c r="H122" i="15"/>
  <c r="O121" i="15"/>
  <c r="N121" i="15"/>
  <c r="M121" i="15"/>
  <c r="L121" i="15"/>
  <c r="K121" i="15"/>
  <c r="J121" i="15"/>
  <c r="I121" i="15"/>
  <c r="H121" i="15"/>
  <c r="O120" i="15"/>
  <c r="N120" i="15"/>
  <c r="M120" i="15"/>
  <c r="L120" i="15"/>
  <c r="K120" i="15"/>
  <c r="J120" i="15"/>
  <c r="I120" i="15"/>
  <c r="H120" i="15"/>
  <c r="O119" i="15"/>
  <c r="N119" i="15"/>
  <c r="M119" i="15"/>
  <c r="L119" i="15"/>
  <c r="K119" i="15"/>
  <c r="J119" i="15"/>
  <c r="I119" i="15"/>
  <c r="H119" i="15"/>
  <c r="O118" i="15"/>
  <c r="N118" i="15"/>
  <c r="M118" i="15"/>
  <c r="L118" i="15"/>
  <c r="K118" i="15"/>
  <c r="J118" i="15"/>
  <c r="I118" i="15"/>
  <c r="H118" i="15"/>
  <c r="O117" i="15"/>
  <c r="N117" i="15"/>
  <c r="M117" i="15"/>
  <c r="L117" i="15"/>
  <c r="K117" i="15"/>
  <c r="J117" i="15"/>
  <c r="I117" i="15"/>
  <c r="H117" i="15"/>
  <c r="O116" i="15"/>
  <c r="N116" i="15"/>
  <c r="M116" i="15"/>
  <c r="L116" i="15"/>
  <c r="K116" i="15"/>
  <c r="J116" i="15"/>
  <c r="I116" i="15"/>
  <c r="H116" i="15"/>
  <c r="O115" i="15"/>
  <c r="N115" i="15"/>
  <c r="M115" i="15"/>
  <c r="L115" i="15"/>
  <c r="K115" i="15"/>
  <c r="J115" i="15"/>
  <c r="I115" i="15"/>
  <c r="H115" i="15"/>
  <c r="O114" i="15"/>
  <c r="N114" i="15"/>
  <c r="M114" i="15"/>
  <c r="L114" i="15"/>
  <c r="K114" i="15"/>
  <c r="J114" i="15"/>
  <c r="I114" i="15"/>
  <c r="H114" i="15"/>
  <c r="O113" i="15"/>
  <c r="N113" i="15"/>
  <c r="M113" i="15"/>
  <c r="L113" i="15"/>
  <c r="K113" i="15"/>
  <c r="J113" i="15"/>
  <c r="I113" i="15"/>
  <c r="H113" i="15"/>
  <c r="O112" i="15"/>
  <c r="N112" i="15"/>
  <c r="M112" i="15"/>
  <c r="L112" i="15"/>
  <c r="K112" i="15"/>
  <c r="J112" i="15"/>
  <c r="I112" i="15"/>
  <c r="H112" i="15"/>
  <c r="O111" i="15"/>
  <c r="N111" i="15"/>
  <c r="M111" i="15"/>
  <c r="L111" i="15"/>
  <c r="K111" i="15"/>
  <c r="J111" i="15"/>
  <c r="I111" i="15"/>
  <c r="H111" i="15"/>
  <c r="O110" i="15"/>
  <c r="N110" i="15"/>
  <c r="M110" i="15"/>
  <c r="L110" i="15"/>
  <c r="K110" i="15"/>
  <c r="J110" i="15"/>
  <c r="I110" i="15"/>
  <c r="H110" i="15"/>
  <c r="O109" i="15"/>
  <c r="N109" i="15"/>
  <c r="M109" i="15"/>
  <c r="L109" i="15"/>
  <c r="K109" i="15"/>
  <c r="J109" i="15"/>
  <c r="I109" i="15"/>
  <c r="H109" i="15"/>
  <c r="O108" i="15"/>
  <c r="N108" i="15"/>
  <c r="M108" i="15"/>
  <c r="L108" i="15"/>
  <c r="K108" i="15"/>
  <c r="J108" i="15"/>
  <c r="I108" i="15"/>
  <c r="H108" i="15"/>
  <c r="O107" i="15"/>
  <c r="N107" i="15"/>
  <c r="M107" i="15"/>
  <c r="L107" i="15"/>
  <c r="K107" i="15"/>
  <c r="J107" i="15"/>
  <c r="I107" i="15"/>
  <c r="H107" i="15"/>
  <c r="O106" i="15"/>
  <c r="N106" i="15"/>
  <c r="M106" i="15"/>
  <c r="L106" i="15"/>
  <c r="K106" i="15"/>
  <c r="J106" i="15"/>
  <c r="I106" i="15"/>
  <c r="H106" i="15"/>
  <c r="O105" i="15"/>
  <c r="N105" i="15"/>
  <c r="M105" i="15"/>
  <c r="L105" i="15"/>
  <c r="K105" i="15"/>
  <c r="J105" i="15"/>
  <c r="I105" i="15"/>
  <c r="H105" i="15"/>
  <c r="O104" i="15"/>
  <c r="N104" i="15"/>
  <c r="M104" i="15"/>
  <c r="L104" i="15"/>
  <c r="K104" i="15"/>
  <c r="J104" i="15"/>
  <c r="I104" i="15"/>
  <c r="H104" i="15"/>
  <c r="O103" i="15"/>
  <c r="N103" i="15"/>
  <c r="M103" i="15"/>
  <c r="L103" i="15"/>
  <c r="K103" i="15"/>
  <c r="J103" i="15"/>
  <c r="I103" i="15"/>
  <c r="H103" i="15"/>
  <c r="O102" i="15"/>
  <c r="N102" i="15"/>
  <c r="M102" i="15"/>
  <c r="L102" i="15"/>
  <c r="K102" i="15"/>
  <c r="J102" i="15"/>
  <c r="I102" i="15"/>
  <c r="H102" i="15"/>
  <c r="O101" i="15"/>
  <c r="N101" i="15"/>
  <c r="M101" i="15"/>
  <c r="L101" i="15"/>
  <c r="K101" i="15"/>
  <c r="J101" i="15"/>
  <c r="I101" i="15"/>
  <c r="H101" i="15"/>
  <c r="O100" i="15"/>
  <c r="N100" i="15"/>
  <c r="M100" i="15"/>
  <c r="L100" i="15"/>
  <c r="K100" i="15"/>
  <c r="J100" i="15"/>
  <c r="I100" i="15"/>
  <c r="H100" i="15"/>
  <c r="O99" i="15"/>
  <c r="N99" i="15"/>
  <c r="M99" i="15"/>
  <c r="L99" i="15"/>
  <c r="K99" i="15"/>
  <c r="J99" i="15"/>
  <c r="I99" i="15"/>
  <c r="H99" i="15"/>
  <c r="O98" i="15"/>
  <c r="N98" i="15"/>
  <c r="M98" i="15"/>
  <c r="L98" i="15"/>
  <c r="K98" i="15"/>
  <c r="J98" i="15"/>
  <c r="I98" i="15"/>
  <c r="H98" i="15"/>
  <c r="O97" i="15"/>
  <c r="N97" i="15"/>
  <c r="M97" i="15"/>
  <c r="L97" i="15"/>
  <c r="K97" i="15"/>
  <c r="J97" i="15"/>
  <c r="I97" i="15"/>
  <c r="H97" i="15"/>
  <c r="O96" i="15"/>
  <c r="N96" i="15"/>
  <c r="M96" i="15"/>
  <c r="L96" i="15"/>
  <c r="K96" i="15"/>
  <c r="J96" i="15"/>
  <c r="I96" i="15"/>
  <c r="H96" i="15"/>
  <c r="O95" i="15"/>
  <c r="N95" i="15"/>
  <c r="M95" i="15"/>
  <c r="L95" i="15"/>
  <c r="K95" i="15"/>
  <c r="J95" i="15"/>
  <c r="I95" i="15"/>
  <c r="H95" i="15"/>
  <c r="O94" i="15"/>
  <c r="N94" i="15"/>
  <c r="M94" i="15"/>
  <c r="L94" i="15"/>
  <c r="K94" i="15"/>
  <c r="J94" i="15"/>
  <c r="I94" i="15"/>
  <c r="H94" i="15"/>
  <c r="O93" i="15"/>
  <c r="N93" i="15"/>
  <c r="M93" i="15"/>
  <c r="L93" i="15"/>
  <c r="K93" i="15"/>
  <c r="J93" i="15"/>
  <c r="I93" i="15"/>
  <c r="H93" i="15"/>
  <c r="O92" i="15"/>
  <c r="N92" i="15"/>
  <c r="M92" i="15"/>
  <c r="L92" i="15"/>
  <c r="K92" i="15"/>
  <c r="J92" i="15"/>
  <c r="I92" i="15"/>
  <c r="H92" i="15"/>
  <c r="O91" i="15"/>
  <c r="N91" i="15"/>
  <c r="M91" i="15"/>
  <c r="L91" i="15"/>
  <c r="K91" i="15"/>
  <c r="J91" i="15"/>
  <c r="I91" i="15"/>
  <c r="H91" i="15"/>
  <c r="O90" i="15"/>
  <c r="N90" i="15"/>
  <c r="M90" i="15"/>
  <c r="L90" i="15"/>
  <c r="K90" i="15"/>
  <c r="J90" i="15"/>
  <c r="I90" i="15"/>
  <c r="H90" i="15"/>
  <c r="O89" i="15"/>
  <c r="N89" i="15"/>
  <c r="M89" i="15"/>
  <c r="L89" i="15"/>
  <c r="K89" i="15"/>
  <c r="J89" i="15"/>
  <c r="I89" i="15"/>
  <c r="H89" i="15"/>
  <c r="O88" i="15"/>
  <c r="N88" i="15"/>
  <c r="M88" i="15"/>
  <c r="L88" i="15"/>
  <c r="K88" i="15"/>
  <c r="J88" i="15"/>
  <c r="I88" i="15"/>
  <c r="H88" i="15"/>
  <c r="O87" i="15"/>
  <c r="N87" i="15"/>
  <c r="M87" i="15"/>
  <c r="L87" i="15"/>
  <c r="K87" i="15"/>
  <c r="J87" i="15"/>
  <c r="I87" i="15"/>
  <c r="H87" i="15"/>
  <c r="O86" i="15"/>
  <c r="N86" i="15"/>
  <c r="M86" i="15"/>
  <c r="L86" i="15"/>
  <c r="K86" i="15"/>
  <c r="J86" i="15"/>
  <c r="I86" i="15"/>
  <c r="H86" i="15"/>
  <c r="O85" i="15"/>
  <c r="N85" i="15"/>
  <c r="M85" i="15"/>
  <c r="L85" i="15"/>
  <c r="K85" i="15"/>
  <c r="J85" i="15"/>
  <c r="I85" i="15"/>
  <c r="H85" i="15"/>
  <c r="O84" i="15"/>
  <c r="N84" i="15"/>
  <c r="M84" i="15"/>
  <c r="L84" i="15"/>
  <c r="K84" i="15"/>
  <c r="J84" i="15"/>
  <c r="I84" i="15"/>
  <c r="H84" i="15"/>
  <c r="O83" i="15"/>
  <c r="N83" i="15"/>
  <c r="M83" i="15"/>
  <c r="L83" i="15"/>
  <c r="K83" i="15"/>
  <c r="J83" i="15"/>
  <c r="I83" i="15"/>
  <c r="H83" i="15"/>
  <c r="O82" i="15"/>
  <c r="N82" i="15"/>
  <c r="M82" i="15"/>
  <c r="L82" i="15"/>
  <c r="K82" i="15"/>
  <c r="J82" i="15"/>
  <c r="I82" i="15"/>
  <c r="H82" i="15"/>
  <c r="O81" i="15"/>
  <c r="N81" i="15"/>
  <c r="M81" i="15"/>
  <c r="L81" i="15"/>
  <c r="K81" i="15"/>
  <c r="J81" i="15"/>
  <c r="I81" i="15"/>
  <c r="H81" i="15"/>
  <c r="O80" i="15"/>
  <c r="N80" i="15"/>
  <c r="M80" i="15"/>
  <c r="L80" i="15"/>
  <c r="K80" i="15"/>
  <c r="J80" i="15"/>
  <c r="I80" i="15"/>
  <c r="H80" i="15"/>
  <c r="O79" i="15"/>
  <c r="N79" i="15"/>
  <c r="M79" i="15"/>
  <c r="L79" i="15"/>
  <c r="K79" i="15"/>
  <c r="J79" i="15"/>
  <c r="I79" i="15"/>
  <c r="H79" i="15"/>
  <c r="O78" i="15"/>
  <c r="N78" i="15"/>
  <c r="M78" i="15"/>
  <c r="L78" i="15"/>
  <c r="K78" i="15"/>
  <c r="J78" i="15"/>
  <c r="I78" i="15"/>
  <c r="H78" i="15"/>
  <c r="O77" i="15"/>
  <c r="N77" i="15"/>
  <c r="M77" i="15"/>
  <c r="L77" i="15"/>
  <c r="K77" i="15"/>
  <c r="J77" i="15"/>
  <c r="I77" i="15"/>
  <c r="H77" i="15"/>
  <c r="O76" i="15"/>
  <c r="N76" i="15"/>
  <c r="M76" i="15"/>
  <c r="L76" i="15"/>
  <c r="K76" i="15"/>
  <c r="J76" i="15"/>
  <c r="I76" i="15"/>
  <c r="H76" i="15"/>
  <c r="O75" i="15"/>
  <c r="N75" i="15"/>
  <c r="M75" i="15"/>
  <c r="L75" i="15"/>
  <c r="K75" i="15"/>
  <c r="J75" i="15"/>
  <c r="I75" i="15"/>
  <c r="H75" i="15"/>
  <c r="O74" i="15"/>
  <c r="N74" i="15"/>
  <c r="M74" i="15"/>
  <c r="L74" i="15"/>
  <c r="K74" i="15"/>
  <c r="J74" i="15"/>
  <c r="I74" i="15"/>
  <c r="H74" i="15"/>
  <c r="O73" i="15"/>
  <c r="N73" i="15"/>
  <c r="M73" i="15"/>
  <c r="L73" i="15"/>
  <c r="K73" i="15"/>
  <c r="J73" i="15"/>
  <c r="I73" i="15"/>
  <c r="H73" i="15"/>
  <c r="O72" i="15"/>
  <c r="N72" i="15"/>
  <c r="M72" i="15"/>
  <c r="L72" i="15"/>
  <c r="K72" i="15"/>
  <c r="J72" i="15"/>
  <c r="I72" i="15"/>
  <c r="H72" i="15"/>
  <c r="O71" i="15"/>
  <c r="N71" i="15"/>
  <c r="M71" i="15"/>
  <c r="L71" i="15"/>
  <c r="K71" i="15"/>
  <c r="J71" i="15"/>
  <c r="I71" i="15"/>
  <c r="H71" i="15"/>
  <c r="O70" i="15"/>
  <c r="N70" i="15"/>
  <c r="M70" i="15"/>
  <c r="L70" i="15"/>
  <c r="K70" i="15"/>
  <c r="J70" i="15"/>
  <c r="I70" i="15"/>
  <c r="H70" i="15"/>
  <c r="O69" i="15"/>
  <c r="N69" i="15"/>
  <c r="M69" i="15"/>
  <c r="L69" i="15"/>
  <c r="K69" i="15"/>
  <c r="J69" i="15"/>
  <c r="I69" i="15"/>
  <c r="H69" i="15"/>
  <c r="O68" i="15"/>
  <c r="N68" i="15"/>
  <c r="M68" i="15"/>
  <c r="L68" i="15"/>
  <c r="K68" i="15"/>
  <c r="J68" i="15"/>
  <c r="I68" i="15"/>
  <c r="H68" i="15"/>
  <c r="O67" i="15"/>
  <c r="N67" i="15"/>
  <c r="M67" i="15"/>
  <c r="L67" i="15"/>
  <c r="K67" i="15"/>
  <c r="J67" i="15"/>
  <c r="I67" i="15"/>
  <c r="H67" i="15"/>
  <c r="O66" i="15"/>
  <c r="N66" i="15"/>
  <c r="M66" i="15"/>
  <c r="L66" i="15"/>
  <c r="K66" i="15"/>
  <c r="J66" i="15"/>
  <c r="I66" i="15"/>
  <c r="H66" i="15"/>
  <c r="O65" i="15"/>
  <c r="N65" i="15"/>
  <c r="M65" i="15"/>
  <c r="L65" i="15"/>
  <c r="K65" i="15"/>
  <c r="J65" i="15"/>
  <c r="I65" i="15"/>
  <c r="H65" i="15"/>
  <c r="O64" i="15"/>
  <c r="N64" i="15"/>
  <c r="M64" i="15"/>
  <c r="L64" i="15"/>
  <c r="K64" i="15"/>
  <c r="J64" i="15"/>
  <c r="I64" i="15"/>
  <c r="H64" i="15"/>
  <c r="O63" i="15"/>
  <c r="N63" i="15"/>
  <c r="M63" i="15"/>
  <c r="L63" i="15"/>
  <c r="K63" i="15"/>
  <c r="J63" i="15"/>
  <c r="I63" i="15"/>
  <c r="H63" i="15"/>
  <c r="O62" i="15"/>
  <c r="N62" i="15"/>
  <c r="M62" i="15"/>
  <c r="L62" i="15"/>
  <c r="K62" i="15"/>
  <c r="J62" i="15"/>
  <c r="I62" i="15"/>
  <c r="H62" i="15"/>
  <c r="O61" i="15"/>
  <c r="N61" i="15"/>
  <c r="M61" i="15"/>
  <c r="L61" i="15"/>
  <c r="K61" i="15"/>
  <c r="J61" i="15"/>
  <c r="I61" i="15"/>
  <c r="H61" i="15"/>
  <c r="O60" i="15"/>
  <c r="N60" i="15"/>
  <c r="M60" i="15"/>
  <c r="L60" i="15"/>
  <c r="K60" i="15"/>
  <c r="J60" i="15"/>
  <c r="I60" i="15"/>
  <c r="H60" i="15"/>
  <c r="O59" i="15"/>
  <c r="N59" i="15"/>
  <c r="M59" i="15"/>
  <c r="L59" i="15"/>
  <c r="K59" i="15"/>
  <c r="J59" i="15"/>
  <c r="I59" i="15"/>
  <c r="H59" i="15"/>
  <c r="O58" i="15"/>
  <c r="N58" i="15"/>
  <c r="M58" i="15"/>
  <c r="L58" i="15"/>
  <c r="K58" i="15"/>
  <c r="J58" i="15"/>
  <c r="I58" i="15"/>
  <c r="H58" i="15"/>
  <c r="O57" i="15"/>
  <c r="N57" i="15"/>
  <c r="M57" i="15"/>
  <c r="L57" i="15"/>
  <c r="K57" i="15"/>
  <c r="J57" i="15"/>
  <c r="I57" i="15"/>
  <c r="H57" i="15"/>
  <c r="O56" i="15"/>
  <c r="N56" i="15"/>
  <c r="M56" i="15"/>
  <c r="L56" i="15"/>
  <c r="K56" i="15"/>
  <c r="J56" i="15"/>
  <c r="I56" i="15"/>
  <c r="H56" i="15"/>
  <c r="O55" i="15"/>
  <c r="N55" i="15"/>
  <c r="M55" i="15"/>
  <c r="L55" i="15"/>
  <c r="K55" i="15"/>
  <c r="J55" i="15"/>
  <c r="I55" i="15"/>
  <c r="H55" i="15"/>
  <c r="O54" i="15"/>
  <c r="N54" i="15"/>
  <c r="M54" i="15"/>
  <c r="L54" i="15"/>
  <c r="K54" i="15"/>
  <c r="J54" i="15"/>
  <c r="I54" i="15"/>
  <c r="H54" i="15"/>
  <c r="O53" i="15"/>
  <c r="N53" i="15"/>
  <c r="M53" i="15"/>
  <c r="L53" i="15"/>
  <c r="K53" i="15"/>
  <c r="J53" i="15"/>
  <c r="I53" i="15"/>
  <c r="H53" i="15"/>
  <c r="O52" i="15"/>
  <c r="N52" i="15"/>
  <c r="M52" i="15"/>
  <c r="L52" i="15"/>
  <c r="K52" i="15"/>
  <c r="J52" i="15"/>
  <c r="I52" i="15"/>
  <c r="H52" i="15"/>
  <c r="O51" i="15"/>
  <c r="N51" i="15"/>
  <c r="M51" i="15"/>
  <c r="L51" i="15"/>
  <c r="K51" i="15"/>
  <c r="J51" i="15"/>
  <c r="I51" i="15"/>
  <c r="H51" i="15"/>
  <c r="O50" i="15"/>
  <c r="N50" i="15"/>
  <c r="M50" i="15"/>
  <c r="L50" i="15"/>
  <c r="K50" i="15"/>
  <c r="J50" i="15"/>
  <c r="I50" i="15"/>
  <c r="H50" i="15"/>
  <c r="O49" i="15"/>
  <c r="N49" i="15"/>
  <c r="M49" i="15"/>
  <c r="L49" i="15"/>
  <c r="K49" i="15"/>
  <c r="J49" i="15"/>
  <c r="I49" i="15"/>
  <c r="H49" i="15"/>
  <c r="O48" i="15"/>
  <c r="N48" i="15"/>
  <c r="M48" i="15"/>
  <c r="L48" i="15"/>
  <c r="K48" i="15"/>
  <c r="J48" i="15"/>
  <c r="I48" i="15"/>
  <c r="H48" i="15"/>
  <c r="O47" i="15"/>
  <c r="N47" i="15"/>
  <c r="M47" i="15"/>
  <c r="L47" i="15"/>
  <c r="K47" i="15"/>
  <c r="J47" i="15"/>
  <c r="I47" i="15"/>
  <c r="H47" i="15"/>
  <c r="O46" i="15"/>
  <c r="N46" i="15"/>
  <c r="M46" i="15"/>
  <c r="L46" i="15"/>
  <c r="K46" i="15"/>
  <c r="J46" i="15"/>
  <c r="I46" i="15"/>
  <c r="H46" i="15"/>
  <c r="O45" i="15"/>
  <c r="N45" i="15"/>
  <c r="M45" i="15"/>
  <c r="L45" i="15"/>
  <c r="K45" i="15"/>
  <c r="J45" i="15"/>
  <c r="I45" i="15"/>
  <c r="H45" i="15"/>
  <c r="O44" i="15"/>
  <c r="N44" i="15"/>
  <c r="M44" i="15"/>
  <c r="L44" i="15"/>
  <c r="K44" i="15"/>
  <c r="J44" i="15"/>
  <c r="I44" i="15"/>
  <c r="H44" i="15"/>
  <c r="O43" i="15"/>
  <c r="N43" i="15"/>
  <c r="M43" i="15"/>
  <c r="L43" i="15"/>
  <c r="K43" i="15"/>
  <c r="J43" i="15"/>
  <c r="I43" i="15"/>
  <c r="H43" i="15"/>
  <c r="O42" i="15"/>
  <c r="N42" i="15"/>
  <c r="M42" i="15"/>
  <c r="L42" i="15"/>
  <c r="K42" i="15"/>
  <c r="J42" i="15"/>
  <c r="I42" i="15"/>
  <c r="H42" i="15"/>
  <c r="O41" i="15"/>
  <c r="N41" i="15"/>
  <c r="M41" i="15"/>
  <c r="L41" i="15"/>
  <c r="K41" i="15"/>
  <c r="J41" i="15"/>
  <c r="I41" i="15"/>
  <c r="H41" i="15"/>
  <c r="O40" i="15"/>
  <c r="N40" i="15"/>
  <c r="M40" i="15"/>
  <c r="L40" i="15"/>
  <c r="K40" i="15"/>
  <c r="J40" i="15"/>
  <c r="I40" i="15"/>
  <c r="H40" i="15"/>
  <c r="O39" i="15"/>
  <c r="N39" i="15"/>
  <c r="M39" i="15"/>
  <c r="L39" i="15"/>
  <c r="K39" i="15"/>
  <c r="J39" i="15"/>
  <c r="I39" i="15"/>
  <c r="H39" i="15"/>
  <c r="O38" i="15"/>
  <c r="N38" i="15"/>
  <c r="M38" i="15"/>
  <c r="L38" i="15"/>
  <c r="K38" i="15"/>
  <c r="J38" i="15"/>
  <c r="I38" i="15"/>
  <c r="H38" i="15"/>
  <c r="O37" i="15"/>
  <c r="N37" i="15"/>
  <c r="M37" i="15"/>
  <c r="L37" i="15"/>
  <c r="K37" i="15"/>
  <c r="J37" i="15"/>
  <c r="I37" i="15"/>
  <c r="H37" i="15"/>
  <c r="O36" i="15"/>
  <c r="N36" i="15"/>
  <c r="M36" i="15"/>
  <c r="L36" i="15"/>
  <c r="K36" i="15"/>
  <c r="J36" i="15"/>
  <c r="I36" i="15"/>
  <c r="H36" i="15"/>
  <c r="O35" i="15"/>
  <c r="N35" i="15"/>
  <c r="M35" i="15"/>
  <c r="L35" i="15"/>
  <c r="K35" i="15"/>
  <c r="J35" i="15"/>
  <c r="I35" i="15"/>
  <c r="H35" i="15"/>
  <c r="O34" i="15"/>
  <c r="N34" i="15"/>
  <c r="M34" i="15"/>
  <c r="L34" i="15"/>
  <c r="K34" i="15"/>
  <c r="J34" i="15"/>
  <c r="I34" i="15"/>
  <c r="H34" i="15"/>
  <c r="O33" i="15"/>
  <c r="N33" i="15"/>
  <c r="M33" i="15"/>
  <c r="L33" i="15"/>
  <c r="K33" i="15"/>
  <c r="J33" i="15"/>
  <c r="I33" i="15"/>
  <c r="H33" i="15"/>
  <c r="O32" i="15"/>
  <c r="N32" i="15"/>
  <c r="M32" i="15"/>
  <c r="L32" i="15"/>
  <c r="K32" i="15"/>
  <c r="J32" i="15"/>
  <c r="I32" i="15"/>
  <c r="H32" i="15"/>
  <c r="O31" i="15"/>
  <c r="N31" i="15"/>
  <c r="M31" i="15"/>
  <c r="L31" i="15"/>
  <c r="K31" i="15"/>
  <c r="J31" i="15"/>
  <c r="I31" i="15"/>
  <c r="H31" i="15"/>
  <c r="O30" i="15"/>
  <c r="N30" i="15"/>
  <c r="M30" i="15"/>
  <c r="L30" i="15"/>
  <c r="K30" i="15"/>
  <c r="J30" i="15"/>
  <c r="I30" i="15"/>
  <c r="H30" i="15"/>
  <c r="O29" i="15"/>
  <c r="N29" i="15"/>
  <c r="M29" i="15"/>
  <c r="L29" i="15"/>
  <c r="K29" i="15"/>
  <c r="J29" i="15"/>
  <c r="I29" i="15"/>
  <c r="H29" i="15"/>
  <c r="O28" i="15"/>
  <c r="N28" i="15"/>
  <c r="M28" i="15"/>
  <c r="L28" i="15"/>
  <c r="K28" i="15"/>
  <c r="J28" i="15"/>
  <c r="I28" i="15"/>
  <c r="H28" i="15"/>
  <c r="O27" i="15"/>
  <c r="N27" i="15"/>
  <c r="M27" i="15"/>
  <c r="L27" i="15"/>
  <c r="K27" i="15"/>
  <c r="J27" i="15"/>
  <c r="I27" i="15"/>
  <c r="H27" i="15"/>
  <c r="O26" i="15"/>
  <c r="N26" i="15"/>
  <c r="M26" i="15"/>
  <c r="L26" i="15"/>
  <c r="K26" i="15"/>
  <c r="J26" i="15"/>
  <c r="I26" i="15"/>
  <c r="H26" i="15"/>
  <c r="O25" i="15"/>
  <c r="N25" i="15"/>
  <c r="M25" i="15"/>
  <c r="L25" i="15"/>
  <c r="K25" i="15"/>
  <c r="J25" i="15"/>
  <c r="I25" i="15"/>
  <c r="H25" i="15"/>
  <c r="O24" i="15"/>
  <c r="N24" i="15"/>
  <c r="M24" i="15"/>
  <c r="L24" i="15"/>
  <c r="K24" i="15"/>
  <c r="J24" i="15"/>
  <c r="I24" i="15"/>
  <c r="H24" i="15"/>
  <c r="O23" i="15"/>
  <c r="N23" i="15"/>
  <c r="M23" i="15"/>
  <c r="L23" i="15"/>
  <c r="K23" i="15"/>
  <c r="J23" i="15"/>
  <c r="I23" i="15"/>
  <c r="H23" i="15"/>
  <c r="O22" i="15"/>
  <c r="N22" i="15"/>
  <c r="M22" i="15"/>
  <c r="L22" i="15"/>
  <c r="K22" i="15"/>
  <c r="J22" i="15"/>
  <c r="I22" i="15"/>
  <c r="H22" i="15"/>
  <c r="O21" i="15"/>
  <c r="N21" i="15"/>
  <c r="M21" i="15"/>
  <c r="L21" i="15"/>
  <c r="K21" i="15"/>
  <c r="J21" i="15"/>
  <c r="I21" i="15"/>
  <c r="H21" i="15"/>
  <c r="O20" i="15"/>
  <c r="N20" i="15"/>
  <c r="M20" i="15"/>
  <c r="L20" i="15"/>
  <c r="K20" i="15"/>
  <c r="J20" i="15"/>
  <c r="I20" i="15"/>
  <c r="H20" i="15"/>
  <c r="O19" i="15"/>
  <c r="N19" i="15"/>
  <c r="M19" i="15"/>
  <c r="L19" i="15"/>
  <c r="K19" i="15"/>
  <c r="J19" i="15"/>
  <c r="I19" i="15"/>
  <c r="H19" i="15"/>
  <c r="O18" i="15"/>
  <c r="N18" i="15"/>
  <c r="M18" i="15"/>
  <c r="L18" i="15"/>
  <c r="K18" i="15"/>
  <c r="J18" i="15"/>
  <c r="I18" i="15"/>
  <c r="H18" i="15"/>
  <c r="O17" i="15"/>
  <c r="N17" i="15"/>
  <c r="M17" i="15"/>
  <c r="L17" i="15"/>
  <c r="K17" i="15"/>
  <c r="J17" i="15"/>
  <c r="I17" i="15"/>
  <c r="H17" i="15"/>
  <c r="O16" i="15"/>
  <c r="N16" i="15"/>
  <c r="M16" i="15"/>
  <c r="L16" i="15"/>
  <c r="K16" i="15"/>
  <c r="J16" i="15"/>
  <c r="I16" i="15"/>
  <c r="H16" i="15"/>
  <c r="O15" i="15"/>
  <c r="N15" i="15"/>
  <c r="M15" i="15"/>
  <c r="L15" i="15"/>
  <c r="K15" i="15"/>
  <c r="J15" i="15"/>
  <c r="I15" i="15"/>
  <c r="H15" i="15"/>
  <c r="O14" i="15"/>
  <c r="N14" i="15"/>
  <c r="M14" i="15"/>
  <c r="L14" i="15"/>
  <c r="K14" i="15"/>
  <c r="J14" i="15"/>
  <c r="I14" i="15"/>
  <c r="H14" i="15"/>
  <c r="O13" i="15"/>
  <c r="N13" i="15"/>
  <c r="M13" i="15"/>
  <c r="L13" i="15"/>
  <c r="K13" i="15"/>
  <c r="J13" i="15"/>
  <c r="I13" i="15"/>
  <c r="H13" i="15"/>
  <c r="O12" i="15"/>
  <c r="N12" i="15"/>
  <c r="M12" i="15"/>
  <c r="L12" i="15"/>
  <c r="K12" i="15"/>
  <c r="J12" i="15"/>
  <c r="I12" i="15"/>
  <c r="H12" i="15"/>
  <c r="O11" i="15"/>
  <c r="N11" i="15"/>
  <c r="M11" i="15"/>
  <c r="L11" i="15"/>
  <c r="K11" i="15"/>
  <c r="J11" i="15"/>
  <c r="I11" i="15"/>
  <c r="H11" i="15"/>
  <c r="G43" i="12"/>
  <c r="L43" i="12" s="1"/>
  <c r="G46" i="12"/>
  <c r="L7" i="4" l="1"/>
  <c r="K9" i="12"/>
  <c r="K12" i="12"/>
  <c r="K8" i="12"/>
  <c r="K14" i="12"/>
  <c r="C14" i="12" s="1"/>
  <c r="K13" i="12"/>
  <c r="C13" i="12" s="1"/>
  <c r="K10" i="12"/>
  <c r="C10" i="12" s="1"/>
  <c r="K11" i="12"/>
  <c r="C11" i="12" s="1"/>
  <c r="K15" i="12"/>
  <c r="C15" i="12" s="1"/>
  <c r="P33" i="15"/>
  <c r="Q33" i="15" s="1"/>
  <c r="P65" i="15"/>
  <c r="Q65" i="15" s="1"/>
  <c r="P73" i="15"/>
  <c r="Q73" i="15" s="1"/>
  <c r="P81" i="15"/>
  <c r="Q81" i="15" s="1"/>
  <c r="P89" i="15"/>
  <c r="Q89" i="15" s="1"/>
  <c r="P91" i="15"/>
  <c r="Q91" i="15" s="1"/>
  <c r="P93" i="15"/>
  <c r="Q93" i="15" s="1"/>
  <c r="P105" i="15"/>
  <c r="Q105" i="15" s="1"/>
  <c r="P113" i="15"/>
  <c r="Q113" i="15" s="1"/>
  <c r="P121" i="15"/>
  <c r="Q121" i="15" s="1"/>
  <c r="P123" i="15"/>
  <c r="Q123" i="15" s="1"/>
  <c r="P125" i="15"/>
  <c r="Q125" i="15" s="1"/>
  <c r="P127" i="15"/>
  <c r="Q127" i="15" s="1"/>
  <c r="P129" i="15"/>
  <c r="Q129" i="15" s="1"/>
  <c r="P137" i="15"/>
  <c r="Q137" i="15" s="1"/>
  <c r="P145" i="15"/>
  <c r="Q145" i="15" s="1"/>
  <c r="P147" i="15"/>
  <c r="Q147" i="15" s="1"/>
  <c r="P149" i="15"/>
  <c r="Q149" i="15" s="1"/>
  <c r="P151" i="15"/>
  <c r="Q151" i="15" s="1"/>
  <c r="P161" i="15"/>
  <c r="Q161" i="15" s="1"/>
  <c r="P163" i="15"/>
  <c r="Q163" i="15" s="1"/>
  <c r="P165" i="15"/>
  <c r="Q165" i="15" s="1"/>
  <c r="P53" i="15"/>
  <c r="Q53" i="15" s="1"/>
  <c r="P54" i="15"/>
  <c r="Q54" i="15" s="1"/>
  <c r="P11" i="15"/>
  <c r="Q11" i="15" s="1"/>
  <c r="P23" i="15"/>
  <c r="Q23" i="15" s="1"/>
  <c r="P41" i="15"/>
  <c r="Q41" i="15" s="1"/>
  <c r="P49" i="15"/>
  <c r="Q49" i="15" s="1"/>
  <c r="P57" i="15"/>
  <c r="Q57" i="15" s="1"/>
  <c r="P59" i="15"/>
  <c r="Q59" i="15" s="1"/>
  <c r="P63" i="15"/>
  <c r="Q63" i="15" s="1"/>
  <c r="P86" i="15"/>
  <c r="Q86" i="15" s="1"/>
  <c r="P110" i="15"/>
  <c r="Q110" i="15" s="1"/>
  <c r="P118" i="15"/>
  <c r="Q118" i="15" s="1"/>
  <c r="P142" i="15"/>
  <c r="Q142" i="15" s="1"/>
  <c r="P153" i="15"/>
  <c r="Q153" i="15" s="1"/>
  <c r="P158" i="15"/>
  <c r="Q158" i="15" s="1"/>
  <c r="P16" i="15"/>
  <c r="Q16" i="15" s="1"/>
  <c r="P25" i="15"/>
  <c r="Q25" i="15" s="1"/>
  <c r="P27" i="15"/>
  <c r="Q27" i="15" s="1"/>
  <c r="P31" i="15"/>
  <c r="Q31" i="15" s="1"/>
  <c r="P97" i="15"/>
  <c r="Q97" i="15" s="1"/>
  <c r="P14" i="15"/>
  <c r="Q14" i="15" s="1"/>
  <c r="P37" i="15"/>
  <c r="Q37" i="15" s="1"/>
  <c r="P38" i="15"/>
  <c r="Q38" i="15" s="1"/>
  <c r="P43" i="15"/>
  <c r="Q43" i="15" s="1"/>
  <c r="P47" i="15"/>
  <c r="Q47" i="15" s="1"/>
  <c r="P69" i="15"/>
  <c r="Q69" i="15" s="1"/>
  <c r="P70" i="15"/>
  <c r="Q70" i="15" s="1"/>
  <c r="P75" i="15"/>
  <c r="Q75" i="15" s="1"/>
  <c r="P79" i="15"/>
  <c r="Q79" i="15" s="1"/>
  <c r="P102" i="15"/>
  <c r="Q102" i="15" s="1"/>
  <c r="P108" i="15"/>
  <c r="Q108" i="15" s="1"/>
  <c r="P109" i="15"/>
  <c r="Q109" i="15" s="1"/>
  <c r="P111" i="15"/>
  <c r="Q111" i="15" s="1"/>
  <c r="P139" i="15"/>
  <c r="Q139" i="15" s="1"/>
  <c r="P141" i="15"/>
  <c r="Q141" i="15" s="1"/>
  <c r="P143" i="15"/>
  <c r="Q143" i="15" s="1"/>
  <c r="P13" i="15"/>
  <c r="Q13" i="15" s="1"/>
  <c r="P20" i="15"/>
  <c r="Q20" i="15" s="1"/>
  <c r="P22" i="15"/>
  <c r="Q22" i="15" s="1"/>
  <c r="P24" i="15"/>
  <c r="Q24" i="15" s="1"/>
  <c r="P45" i="15"/>
  <c r="Q45" i="15" s="1"/>
  <c r="P46" i="15"/>
  <c r="Q46" i="15" s="1"/>
  <c r="P51" i="15"/>
  <c r="Q51" i="15" s="1"/>
  <c r="P55" i="15"/>
  <c r="Q55" i="15" s="1"/>
  <c r="P77" i="15"/>
  <c r="Q77" i="15" s="1"/>
  <c r="P78" i="15"/>
  <c r="Q78" i="15" s="1"/>
  <c r="P83" i="15"/>
  <c r="Q83" i="15" s="1"/>
  <c r="P85" i="15"/>
  <c r="Q85" i="15" s="1"/>
  <c r="P87" i="15"/>
  <c r="Q87" i="15" s="1"/>
  <c r="P115" i="15"/>
  <c r="Q115" i="15" s="1"/>
  <c r="P117" i="15"/>
  <c r="Q117" i="15" s="1"/>
  <c r="P119" i="15"/>
  <c r="Q119" i="15" s="1"/>
  <c r="P95" i="15"/>
  <c r="Q95" i="15" s="1"/>
  <c r="P128" i="15"/>
  <c r="Q128" i="15" s="1"/>
  <c r="P150" i="15"/>
  <c r="Q150" i="15" s="1"/>
  <c r="P155" i="15"/>
  <c r="Q155" i="15" s="1"/>
  <c r="P157" i="15"/>
  <c r="Q157" i="15" s="1"/>
  <c r="P159" i="15"/>
  <c r="Q159" i="15" s="1"/>
  <c r="P18" i="15"/>
  <c r="Q18" i="15" s="1"/>
  <c r="P29" i="15"/>
  <c r="Q29" i="15" s="1"/>
  <c r="P30" i="15"/>
  <c r="Q30" i="15" s="1"/>
  <c r="P35" i="15"/>
  <c r="Q35" i="15" s="1"/>
  <c r="P39" i="15"/>
  <c r="Q39" i="15" s="1"/>
  <c r="P61" i="15"/>
  <c r="Q61" i="15" s="1"/>
  <c r="P62" i="15"/>
  <c r="Q62" i="15" s="1"/>
  <c r="P67" i="15"/>
  <c r="Q67" i="15" s="1"/>
  <c r="P71" i="15"/>
  <c r="Q71" i="15" s="1"/>
  <c r="P94" i="15"/>
  <c r="Q94" i="15" s="1"/>
  <c r="P99" i="15"/>
  <c r="Q99" i="15" s="1"/>
  <c r="P101" i="15"/>
  <c r="Q101" i="15" s="1"/>
  <c r="P103" i="15"/>
  <c r="Q103" i="15" s="1"/>
  <c r="P131" i="15"/>
  <c r="Q131" i="15" s="1"/>
  <c r="P133" i="15"/>
  <c r="Q133" i="15" s="1"/>
  <c r="P135" i="15"/>
  <c r="Q135" i="15" s="1"/>
  <c r="J6" i="4"/>
  <c r="C6" i="4" s="1"/>
  <c r="K6" i="4" s="1"/>
  <c r="J8" i="4"/>
  <c r="C8" i="4" s="1"/>
  <c r="K8" i="4" s="1"/>
  <c r="J10" i="4"/>
  <c r="J12" i="4"/>
  <c r="C12" i="4" s="1"/>
  <c r="Q12" i="4" s="1"/>
  <c r="J14" i="4"/>
  <c r="J16" i="4"/>
  <c r="C16" i="4" s="1"/>
  <c r="K16" i="4" s="1"/>
  <c r="J18" i="4"/>
  <c r="C18" i="4" s="1"/>
  <c r="Q18" i="4" s="1"/>
  <c r="J7" i="4"/>
  <c r="C7" i="4" s="1"/>
  <c r="Q7" i="4" s="1"/>
  <c r="J9" i="4"/>
  <c r="J11" i="4"/>
  <c r="J13" i="4"/>
  <c r="J15" i="4"/>
  <c r="J17" i="4"/>
  <c r="C17" i="4" s="1"/>
  <c r="Q17" i="4" s="1"/>
  <c r="P19" i="15"/>
  <c r="Q19" i="15" s="1"/>
  <c r="P26" i="15"/>
  <c r="Q26" i="15" s="1"/>
  <c r="P34" i="15"/>
  <c r="Q34" i="15" s="1"/>
  <c r="P42" i="15"/>
  <c r="Q42" i="15" s="1"/>
  <c r="P50" i="15"/>
  <c r="Q50" i="15" s="1"/>
  <c r="P58" i="15"/>
  <c r="Q58" i="15" s="1"/>
  <c r="P66" i="15"/>
  <c r="Q66" i="15" s="1"/>
  <c r="P74" i="15"/>
  <c r="Q74" i="15" s="1"/>
  <c r="P82" i="15"/>
  <c r="Q82" i="15" s="1"/>
  <c r="P90" i="15"/>
  <c r="Q90" i="15" s="1"/>
  <c r="P98" i="15"/>
  <c r="Q98" i="15" s="1"/>
  <c r="P106" i="15"/>
  <c r="Q106" i="15" s="1"/>
  <c r="P107" i="15"/>
  <c r="Q107" i="15" s="1"/>
  <c r="P114" i="15"/>
  <c r="Q114" i="15" s="1"/>
  <c r="P122" i="15"/>
  <c r="Q122" i="15" s="1"/>
  <c r="P132" i="15"/>
  <c r="Q132" i="15" s="1"/>
  <c r="P146" i="15"/>
  <c r="Q146" i="15" s="1"/>
  <c r="P154" i="15"/>
  <c r="Q154" i="15" s="1"/>
  <c r="P162" i="15"/>
  <c r="Q162" i="15" s="1"/>
  <c r="P21" i="15"/>
  <c r="Q21" i="15" s="1"/>
  <c r="P28" i="15"/>
  <c r="Q28" i="15" s="1"/>
  <c r="P36" i="15"/>
  <c r="Q36" i="15" s="1"/>
  <c r="P44" i="15"/>
  <c r="Q44" i="15" s="1"/>
  <c r="P52" i="15"/>
  <c r="Q52" i="15" s="1"/>
  <c r="P60" i="15"/>
  <c r="Q60" i="15" s="1"/>
  <c r="P68" i="15"/>
  <c r="Q68" i="15" s="1"/>
  <c r="P76" i="15"/>
  <c r="Q76" i="15" s="1"/>
  <c r="P84" i="15"/>
  <c r="Q84" i="15" s="1"/>
  <c r="P92" i="15"/>
  <c r="Q92" i="15" s="1"/>
  <c r="P100" i="15"/>
  <c r="Q100" i="15" s="1"/>
  <c r="P116" i="15"/>
  <c r="Q116" i="15" s="1"/>
  <c r="P124" i="15"/>
  <c r="Q124" i="15" s="1"/>
  <c r="P126" i="15"/>
  <c r="Q126" i="15" s="1"/>
  <c r="P134" i="15"/>
  <c r="Q134" i="15" s="1"/>
  <c r="P140" i="15"/>
  <c r="Q140" i="15" s="1"/>
  <c r="P148" i="15"/>
  <c r="Q148" i="15" s="1"/>
  <c r="P156" i="15"/>
  <c r="Q156" i="15" s="1"/>
  <c r="P164" i="15"/>
  <c r="Q164" i="15" s="1"/>
  <c r="P166" i="15"/>
  <c r="Q166" i="15" s="1"/>
  <c r="P15" i="15"/>
  <c r="Q15" i="15" s="1"/>
  <c r="P12" i="15"/>
  <c r="Q12" i="15" s="1"/>
  <c r="P17" i="15"/>
  <c r="Q17" i="15" s="1"/>
  <c r="P32" i="15"/>
  <c r="Q32" i="15" s="1"/>
  <c r="P40" i="15"/>
  <c r="Q40" i="15" s="1"/>
  <c r="P48" i="15"/>
  <c r="Q48" i="15" s="1"/>
  <c r="P56" i="15"/>
  <c r="Q56" i="15" s="1"/>
  <c r="P64" i="15"/>
  <c r="Q64" i="15" s="1"/>
  <c r="P72" i="15"/>
  <c r="Q72" i="15" s="1"/>
  <c r="P80" i="15"/>
  <c r="Q80" i="15" s="1"/>
  <c r="P88" i="15"/>
  <c r="Q88" i="15" s="1"/>
  <c r="P96" i="15"/>
  <c r="Q96" i="15" s="1"/>
  <c r="P104" i="15"/>
  <c r="Q104" i="15" s="1"/>
  <c r="P112" i="15"/>
  <c r="Q112" i="15" s="1"/>
  <c r="P120" i="15"/>
  <c r="Q120" i="15" s="1"/>
  <c r="P130" i="15"/>
  <c r="Q130" i="15" s="1"/>
  <c r="P136" i="15"/>
  <c r="Q136" i="15" s="1"/>
  <c r="P138" i="15"/>
  <c r="Q138" i="15" s="1"/>
  <c r="P144" i="15"/>
  <c r="Q144" i="15" s="1"/>
  <c r="P152" i="15"/>
  <c r="Q152" i="15" s="1"/>
  <c r="P160" i="15"/>
  <c r="Q160" i="15" s="1"/>
  <c r="C25" i="5"/>
  <c r="D25" i="5" s="1"/>
  <c r="C23" i="5"/>
  <c r="D23" i="5" s="1"/>
  <c r="C21" i="5"/>
  <c r="D21" i="5" s="1"/>
  <c r="C6" i="5"/>
  <c r="D6" i="5" s="1"/>
  <c r="C8" i="5"/>
  <c r="D8" i="5" s="1"/>
  <c r="C10" i="5"/>
  <c r="D10" i="5" s="1"/>
  <c r="C12" i="5"/>
  <c r="D12" i="5" s="1"/>
  <c r="C14" i="5"/>
  <c r="D14" i="5" s="1"/>
  <c r="C16" i="5"/>
  <c r="D16" i="5" s="1"/>
  <c r="C24" i="5"/>
  <c r="D24" i="5" s="1"/>
  <c r="C22" i="5"/>
  <c r="D22" i="5" s="1"/>
  <c r="C20" i="5"/>
  <c r="D20" i="5" s="1"/>
  <c r="C7" i="5"/>
  <c r="D7" i="5" s="1"/>
  <c r="C9" i="5"/>
  <c r="D9" i="5" s="1"/>
  <c r="C11" i="5"/>
  <c r="D11" i="5" s="1"/>
  <c r="C13" i="5"/>
  <c r="D13" i="5" s="1"/>
  <c r="C15" i="5"/>
  <c r="D15" i="5" s="1"/>
  <c r="C17" i="5"/>
  <c r="D17" i="5" s="1"/>
  <c r="C5" i="5"/>
  <c r="D5" i="5" s="1"/>
  <c r="F52" i="12"/>
  <c r="E7" i="4" l="1"/>
  <c r="L10" i="12"/>
  <c r="L14" i="12"/>
  <c r="C9" i="12"/>
  <c r="L9" i="12" s="1"/>
  <c r="L11" i="12"/>
  <c r="R7" i="4"/>
  <c r="L12" i="4"/>
  <c r="E12" i="4" s="1"/>
  <c r="L14" i="4"/>
  <c r="L17" i="4"/>
  <c r="R17" i="4" s="1"/>
  <c r="E17" i="4" s="1"/>
  <c r="L15" i="4"/>
  <c r="L6" i="4"/>
  <c r="L10" i="4"/>
  <c r="J15" i="12"/>
  <c r="J14" i="12"/>
  <c r="J13" i="12"/>
  <c r="L9" i="4"/>
  <c r="L16" i="4"/>
  <c r="L11" i="4"/>
  <c r="L18" i="4"/>
  <c r="R18" i="4" s="1"/>
  <c r="E18" i="4" s="1"/>
  <c r="J11" i="12"/>
  <c r="J10" i="12"/>
  <c r="L13" i="4"/>
  <c r="L8" i="4"/>
  <c r="M10" i="12"/>
  <c r="M14" i="12"/>
  <c r="M9" i="12"/>
  <c r="J9" i="12"/>
  <c r="M11" i="12"/>
  <c r="M13" i="12"/>
  <c r="M15" i="12"/>
  <c r="C15" i="4"/>
  <c r="K15" i="4" s="1"/>
  <c r="L15" i="12"/>
  <c r="C11" i="4"/>
  <c r="K11" i="4" s="1"/>
  <c r="C13" i="4"/>
  <c r="K13" i="4" s="1"/>
  <c r="L13" i="12"/>
  <c r="C9" i="4"/>
  <c r="C14" i="4"/>
  <c r="K14" i="4" s="1"/>
  <c r="C10" i="4"/>
  <c r="K10" i="4" s="1"/>
  <c r="D5" i="15"/>
  <c r="K7" i="4"/>
  <c r="K18" i="4"/>
  <c r="K17" i="4"/>
  <c r="K12" i="4"/>
  <c r="G52" i="12"/>
  <c r="L52" i="12" s="1"/>
  <c r="G19" i="12"/>
  <c r="F19" i="12"/>
  <c r="E9" i="4" l="1"/>
  <c r="R9" i="4"/>
  <c r="K9" i="4"/>
  <c r="Q9" i="4"/>
  <c r="S7" i="4" l="1"/>
  <c r="R19" i="4"/>
  <c r="Q19" i="4"/>
  <c r="S17" i="4"/>
  <c r="S9" i="4"/>
  <c r="S18" i="4"/>
  <c r="S12" i="4"/>
  <c r="E19" i="4" l="1"/>
  <c r="D24" i="8" s="1"/>
  <c r="D22" i="8" l="1"/>
  <c r="C26" i="8" s="1"/>
  <c r="D23" i="8"/>
  <c r="E5" i="23"/>
  <c r="G21" i="12"/>
  <c r="N19" i="12"/>
  <c r="F21" i="12"/>
  <c r="L17" i="12" l="1"/>
  <c r="M17" i="12" l="1"/>
  <c r="N17" i="12" s="1"/>
  <c r="F17" i="12" s="1"/>
  <c r="F24" i="12" s="1"/>
  <c r="G17" i="12" l="1"/>
  <c r="G24" i="12" s="1"/>
  <c r="L24" i="12" l="1"/>
  <c r="D5" i="12" s="1"/>
  <c r="C29" i="8" s="1"/>
  <c r="D32" i="8" s="1"/>
  <c r="C34" i="8" s="1"/>
  <c r="C38" i="8" s="1"/>
  <c r="C44" i="8" s="1"/>
</calcChain>
</file>

<file path=xl/comments1.xml><?xml version="1.0" encoding="utf-8"?>
<comments xmlns="http://schemas.openxmlformats.org/spreadsheetml/2006/main">
  <authors>
    <author>Autor</author>
  </authors>
  <commentList>
    <comment ref="G5" authorId="0" shapeId="0">
      <text>
        <r>
          <rPr>
            <sz val="9"/>
            <color indexed="81"/>
            <rFont val="Tahoma"/>
            <family val="2"/>
          </rPr>
          <t>O percentual cobrado pelas fábricas para uma fase deve seguir o percentual padrão da Oi.</t>
        </r>
      </text>
    </comment>
  </commentList>
</comments>
</file>

<file path=xl/comments2.xml><?xml version="1.0" encoding="utf-8"?>
<comments xmlns="http://schemas.openxmlformats.org/spreadsheetml/2006/main">
  <authors>
    <author>Autor</author>
  </authors>
  <commentList>
    <comment ref="I4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 nome da aba tem que começar por "Configurações"</t>
        </r>
      </text>
    </comment>
  </commentList>
</comments>
</file>

<file path=xl/comments3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TRUE são as fases que não se aplica o fator de impacto 0,25</t>
        </r>
      </text>
    </comment>
    <comment ref="AC2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Especial é só Accenture porque não aplica o 0,25 a todas as fases. As fases estão indicadas na 2ª coluna da tabela ao lado</t>
        </r>
      </text>
    </comment>
  </commentList>
</comments>
</file>

<file path=xl/sharedStrings.xml><?xml version="1.0" encoding="utf-8"?>
<sst xmlns="http://schemas.openxmlformats.org/spreadsheetml/2006/main" count="1859" uniqueCount="500">
  <si>
    <t>O que mudou ?</t>
  </si>
  <si>
    <t>Nome da Função</t>
  </si>
  <si>
    <t>Tipo de Manutenção (I/A/E)</t>
  </si>
  <si>
    <t>Tipo de Função (ALI/AIE/EE/SE/CE)</t>
  </si>
  <si>
    <t>Complexidade</t>
  </si>
  <si>
    <t>PF</t>
  </si>
  <si>
    <t>Analogia</t>
  </si>
  <si>
    <t>Ciclos Extras</t>
  </si>
  <si>
    <t>Integração com até 3 sistemas</t>
  </si>
  <si>
    <t>Integração com mais de 3 sistemas</t>
  </si>
  <si>
    <t>Implantação</t>
  </si>
  <si>
    <t>Treinamento</t>
  </si>
  <si>
    <t>Suporte a Fábrica de Testes</t>
  </si>
  <si>
    <t>Índice</t>
  </si>
  <si>
    <t>Esta planilha centraliza os parâmetros utilizados pelos combobox das demais planilhas. 
Na lógica de interpretação do valor selecionado é utilizado o respectivo índice. 
A alteração na ordenação provoca impacto na lógica. Alteração nas descrições não provoca alteração na lógica, desde que seja mantido o significado semântico.</t>
  </si>
  <si>
    <t>Contratação</t>
  </si>
  <si>
    <t>Teste de Performance</t>
  </si>
  <si>
    <t>Teste de Segurança</t>
  </si>
  <si>
    <t>UAT</t>
  </si>
  <si>
    <t>Fornecedor:</t>
  </si>
  <si>
    <t>Número da Demanda:</t>
  </si>
  <si>
    <t>Nome da Demanda:</t>
  </si>
  <si>
    <t>PRODUTIVIDADES</t>
  </si>
  <si>
    <t>PERCENTUAIS</t>
  </si>
  <si>
    <t>Horas</t>
  </si>
  <si>
    <t>RESUMO</t>
  </si>
  <si>
    <t>CONFIGURAÇÃO DAS FASES CONTRATADAS</t>
  </si>
  <si>
    <t>Análise de Pontos de Função - Total (A):</t>
  </si>
  <si>
    <t>Analogia a Pontos de Função - Total (B):</t>
  </si>
  <si>
    <t>Homem/Hora - Total (C):</t>
  </si>
  <si>
    <t>OCULTAR</t>
  </si>
  <si>
    <t>checks</t>
  </si>
  <si>
    <t>Ciclos e/ou Sites Extras</t>
  </si>
  <si>
    <t xml:space="preserve">Teste Integrado (entre fornecedores distintos) </t>
  </si>
  <si>
    <t>Expurgo</t>
  </si>
  <si>
    <t>Performance</t>
  </si>
  <si>
    <t>Geração de massa de dados para testes</t>
  </si>
  <si>
    <t>Descrição/Observações/Justificativas</t>
  </si>
  <si>
    <r>
      <t xml:space="preserve">Contagem de Outros Itens </t>
    </r>
    <r>
      <rPr>
        <b/>
        <u/>
        <sz val="10"/>
        <rFont val="Arial"/>
        <family val="2"/>
      </rPr>
      <t>Não</t>
    </r>
    <r>
      <rPr>
        <b/>
        <sz val="10"/>
        <rFont val="Arial"/>
        <family val="2"/>
      </rPr>
      <t xml:space="preserve"> Medidos em Pontos de Função</t>
    </r>
  </si>
  <si>
    <r>
      <t xml:space="preserve">(Obs: para correto preenchimento e maiores informações, consulte o </t>
    </r>
    <r>
      <rPr>
        <i/>
        <u/>
        <sz val="10"/>
        <rFont val="Arial"/>
        <family val="2"/>
      </rPr>
      <t>Relatório de Métodos de Metrificação da Oi</t>
    </r>
    <r>
      <rPr>
        <i/>
        <sz val="10"/>
        <rFont val="Arial"/>
        <family val="2"/>
      </rPr>
      <t>)</t>
    </r>
  </si>
  <si>
    <t>(Obs: para correto preenchimento e maiores informações, consulte o Relatório de Métodos de Metrificação da Oi)</t>
  </si>
  <si>
    <t>TOTAL (B):</t>
  </si>
  <si>
    <t>Elemento de Rede</t>
  </si>
  <si>
    <t>Cenários Controlados</t>
  </si>
  <si>
    <t>Produtividade (h/PF)</t>
  </si>
  <si>
    <t>&lt;&lt; Voltar para RESUMO</t>
  </si>
  <si>
    <t>&gt;&gt; Identificar PF - IFPUG</t>
  </si>
  <si>
    <t>&gt;&gt; Identificar PF - Analogia</t>
  </si>
  <si>
    <t xml:space="preserve">&gt;&gt; Ver Produtividades </t>
  </si>
  <si>
    <t>&gt;&gt; Fases Contratadas</t>
  </si>
  <si>
    <r>
      <t>Horas</t>
    </r>
    <r>
      <rPr>
        <sz val="8"/>
        <rFont val="Arial"/>
        <family val="2"/>
      </rPr>
      <t xml:space="preserve"> ( ∑ fases contratadas )</t>
    </r>
  </si>
  <si>
    <t>Qtde Registros Lógicos/ Arquivos Referenciados</t>
  </si>
  <si>
    <t>Qtde de Itens</t>
  </si>
  <si>
    <t>ALI</t>
  </si>
  <si>
    <t>AIE</t>
  </si>
  <si>
    <t>EE</t>
  </si>
  <si>
    <t>SE</t>
  </si>
  <si>
    <t>CE</t>
  </si>
  <si>
    <t>Pontos</t>
  </si>
  <si>
    <t>Selecione na celula ao lado a quantidade de steps:</t>
  </si>
  <si>
    <t>Qtd. Steps</t>
  </si>
  <si>
    <t>TOTAL (C):</t>
  </si>
  <si>
    <t>Qtd. Cenários</t>
  </si>
  <si>
    <t>Informe na celula ao lado a quantidade de cenários:</t>
  </si>
  <si>
    <t>Informe na celula ao lado a quantidade de elementos de rede:</t>
  </si>
  <si>
    <t>TOTAL (D):</t>
  </si>
  <si>
    <t>TOTAL (E):</t>
  </si>
  <si>
    <t>TOTAL GERAL (A + B + C + D + E):</t>
  </si>
  <si>
    <t>PF s/ Fator de Impacto</t>
  </si>
  <si>
    <t>Qtd. Elementos 
de Rede</t>
  </si>
  <si>
    <t>SIMPROC 
(Somente no caso de demanda exclusiva de SIMPROC, 
não contada em pontos de função)</t>
  </si>
  <si>
    <t>Contagem de Pontos por ANALOGIA a Pontos de Função</t>
  </si>
  <si>
    <t>SOMA (A+B):</t>
  </si>
  <si>
    <t>Gestão (D):</t>
  </si>
  <si>
    <t>Esforço Total em Horas c/ Gestão (A+B+C+D):</t>
  </si>
  <si>
    <t>Qtd. Sites</t>
  </si>
  <si>
    <t>OCULTAR!</t>
  </si>
  <si>
    <t>Requisito / Justificativas / Observações</t>
  </si>
  <si>
    <t>Horas Funcionais</t>
  </si>
  <si>
    <t>Fronteira</t>
  </si>
  <si>
    <t>Teste de Regressão Geral</t>
  </si>
  <si>
    <t>Teste de Sistemas</t>
  </si>
  <si>
    <t>Percentual</t>
  </si>
  <si>
    <t>Desenho da Solução</t>
  </si>
  <si>
    <t>Participação Pontual no Desenho da Solução</t>
  </si>
  <si>
    <t>Obs: os valores aqui calculados são baseados nos Pontos de Função identificados (IFPUG)  + Analogia, na produtividade da tecnologia informada e nos percentuais das fases contratadas.</t>
  </si>
  <si>
    <t>Fases do Ciclo de Vida / Artefatos</t>
  </si>
  <si>
    <t>Teste de Sistema</t>
  </si>
  <si>
    <t>Gestão</t>
  </si>
  <si>
    <t>Fases/Atividades Contratadas Calculadas</t>
  </si>
  <si>
    <t>Quantidade</t>
  </si>
  <si>
    <t>Esforço (HH)</t>
  </si>
  <si>
    <t>Desenho Técnico</t>
  </si>
  <si>
    <t>Carga Novo Datamart (Dimensional)</t>
  </si>
  <si>
    <t>Descrição / Observações / Justificativas</t>
  </si>
  <si>
    <t>Acompanhamento Pós-Produção</t>
  </si>
  <si>
    <t>N/A</t>
  </si>
  <si>
    <t>Sites/Browsers Extras</t>
  </si>
  <si>
    <t>Contagem dos Itens de Configuração</t>
  </si>
  <si>
    <t>TOTAL GERAL :</t>
  </si>
  <si>
    <t>Funcionaildade</t>
  </si>
  <si>
    <t>Tipo de Manutenção</t>
  </si>
  <si>
    <t>Sinergia</t>
  </si>
  <si>
    <t>Quantidade Contratada</t>
  </si>
  <si>
    <t>Fases Ciclo de Vida</t>
  </si>
  <si>
    <t>TOTAL</t>
  </si>
  <si>
    <t>Desenho Solução</t>
  </si>
  <si>
    <t>CTU</t>
  </si>
  <si>
    <t>Merge</t>
  </si>
  <si>
    <t>Runbook</t>
  </si>
  <si>
    <t>Implatação Shakeout</t>
  </si>
  <si>
    <t>Suporte a Testes</t>
  </si>
  <si>
    <t>Total</t>
  </si>
  <si>
    <t>S</t>
  </si>
  <si>
    <t xml:space="preserve">Templates de Plano
LOV
Mensagem
Parâmetro Condicional
Configuração de Produto
Configuração de Pacote
Configuração de Componente
</t>
  </si>
  <si>
    <t>Alteração</t>
  </si>
  <si>
    <t>Baixa</t>
  </si>
  <si>
    <t>Média</t>
  </si>
  <si>
    <t>Alta</t>
  </si>
  <si>
    <t>Media</t>
  </si>
  <si>
    <t>Novo</t>
  </si>
  <si>
    <t>Config. de Modelo</t>
  </si>
  <si>
    <t>Config. de Template de produtos</t>
  </si>
  <si>
    <t>Sub-rotinas em VB</t>
  </si>
  <si>
    <t>Regras</t>
  </si>
  <si>
    <t>Constrains/UIs/Linked Items</t>
  </si>
  <si>
    <t>PL/SQL</t>
  </si>
  <si>
    <t>Eventos em tempo de execução</t>
  </si>
  <si>
    <t>Workflow Policies</t>
  </si>
  <si>
    <t>Integration Objects/WS</t>
  </si>
  <si>
    <t>Mapa de dados</t>
  </si>
  <si>
    <t>Cargas EIM</t>
  </si>
  <si>
    <t>Roteiro de Smart Script</t>
  </si>
  <si>
    <t>Application</t>
  </si>
  <si>
    <t>Javascript</t>
  </si>
  <si>
    <t>Arquivo SWT</t>
  </si>
  <si>
    <t>CFG</t>
  </si>
  <si>
    <t>BusinessServices</t>
  </si>
  <si>
    <t>Workflow Process</t>
  </si>
  <si>
    <t xml:space="preserve"> Business Component</t>
  </si>
  <si>
    <t>Uso comercial</t>
  </si>
  <si>
    <t>Contrato</t>
  </si>
  <si>
    <t>Fornecedor</t>
  </si>
  <si>
    <t>Accenture - Torre II</t>
  </si>
  <si>
    <t>Accenture - Torre IV</t>
  </si>
  <si>
    <t>IBM - Torre I</t>
  </si>
  <si>
    <t>Percentual 1</t>
  </si>
  <si>
    <t>Percentual 2</t>
  </si>
  <si>
    <t>I</t>
  </si>
  <si>
    <t>A</t>
  </si>
  <si>
    <t>E</t>
  </si>
  <si>
    <t>Tipo de Função</t>
  </si>
  <si>
    <t>#Reg</t>
  </si>
  <si>
    <t># Itens</t>
  </si>
  <si>
    <t>Objeto</t>
  </si>
  <si>
    <t>Peso</t>
  </si>
  <si>
    <t>Detalhada</t>
  </si>
  <si>
    <t>Estimada</t>
  </si>
  <si>
    <t>Tipo Contagem</t>
  </si>
  <si>
    <t>Tipo de contagem</t>
  </si>
  <si>
    <t>Exemplo</t>
  </si>
  <si>
    <t>Complexidade estimada</t>
  </si>
  <si>
    <t>Tratamento de Backlog</t>
  </si>
  <si>
    <t>Fator de ajuste</t>
  </si>
  <si>
    <t>Contrato APF</t>
  </si>
  <si>
    <t>Sistema</t>
  </si>
  <si>
    <t>Motivo</t>
  </si>
  <si>
    <t>Sim</t>
  </si>
  <si>
    <t>Esforço em Horas (calculado)</t>
  </si>
  <si>
    <t>Esforço em Horas (preenchido)</t>
  </si>
  <si>
    <t>Percentual Calculado da Fase</t>
  </si>
  <si>
    <t>Descrição dos Registros Lógicos/Arquivos Referenciados</t>
  </si>
  <si>
    <t>Descrição dos Itens de Dados</t>
  </si>
  <si>
    <t>Não</t>
  </si>
  <si>
    <t>Sim/Não</t>
  </si>
  <si>
    <t>Taxa horária</t>
  </si>
  <si>
    <t>Versão major</t>
  </si>
  <si>
    <t>Versão minor</t>
  </si>
  <si>
    <t>Desconto (Reais)</t>
  </si>
  <si>
    <t>Custo (Reais)</t>
  </si>
  <si>
    <t>Custo Total (Reais)</t>
  </si>
  <si>
    <t>Sem APF</t>
  </si>
  <si>
    <t>Produtividade</t>
  </si>
  <si>
    <t>Configuração de ferramenta adquirida</t>
  </si>
  <si>
    <t>Desenvolvimento sem alteração funcional</t>
  </si>
  <si>
    <t>Documentação</t>
  </si>
  <si>
    <t>Upgrade sem alteração funcional</t>
  </si>
  <si>
    <t>Alocação de recursos</t>
  </si>
  <si>
    <t>Fast Track</t>
  </si>
  <si>
    <t>Utilização de Métrica APF não prevista em contrato para o sistema</t>
  </si>
  <si>
    <t>Motivos[Motivo]</t>
  </si>
  <si>
    <t>Construção / Desenho Técnico / Teste</t>
  </si>
  <si>
    <t>Testes Integrados / UAT</t>
  </si>
  <si>
    <t>Teste Integrado (Plano, Execução e Geração de Evidências)</t>
  </si>
  <si>
    <t>UAT (Plano, Execução, Geração e Apresentação de Evidências)</t>
  </si>
  <si>
    <t>Id</t>
  </si>
  <si>
    <t>1.1</t>
  </si>
  <si>
    <t>2.1</t>
  </si>
  <si>
    <t>2.2</t>
  </si>
  <si>
    <t>3.1</t>
  </si>
  <si>
    <t>4.1</t>
  </si>
  <si>
    <t>4.2</t>
  </si>
  <si>
    <t>5.1</t>
  </si>
  <si>
    <t>5.2</t>
  </si>
  <si>
    <t>6.1</t>
  </si>
  <si>
    <t>6.2</t>
  </si>
  <si>
    <t>7.1</t>
  </si>
  <si>
    <t>Esforço calculado (HH)</t>
  </si>
  <si>
    <t>Cenários</t>
  </si>
  <si>
    <t>Steps/Sites</t>
  </si>
  <si>
    <t>Itens 1</t>
  </si>
  <si>
    <t>Itens 2</t>
  </si>
  <si>
    <t>Alocação de recursos / Serviços de consultoria</t>
  </si>
  <si>
    <t>Script de monitoramento da aplicação</t>
  </si>
  <si>
    <t>Suporte operacional</t>
  </si>
  <si>
    <t>Esforço sem acompanhamento e gestao</t>
  </si>
  <si>
    <t>% Esforço acompanhamento pós produção</t>
  </si>
  <si>
    <t>Max Esforço acompanhamento pós produção</t>
  </si>
  <si>
    <t>% para acompanhamento</t>
  </si>
  <si>
    <t>Horas para acompanhamento</t>
  </si>
  <si>
    <t xml:space="preserve">Min  Esforço acompanhamento pós produção </t>
  </si>
  <si>
    <t>Enc</t>
  </si>
  <si>
    <t>rita</t>
  </si>
  <si>
    <t>Max</t>
  </si>
  <si>
    <t>Aba Itens configuração</t>
  </si>
  <si>
    <t>Sistema ou Tecnologia:</t>
  </si>
  <si>
    <t>Sistema/Tecnologia</t>
  </si>
  <si>
    <t>Tecnologia</t>
  </si>
  <si>
    <t>Nome Sistema ou Tecnologia</t>
  </si>
  <si>
    <t>Produtividades[Nome Sistema ou Tecnologia]</t>
  </si>
  <si>
    <t>Descrição</t>
  </si>
  <si>
    <t>Fases do Ciclo de Vida / Artefatos 1</t>
  </si>
  <si>
    <t>Fases do Ciclo de Vida / Artefatos 2</t>
  </si>
  <si>
    <t>Atividades contratadas calculadas</t>
  </si>
  <si>
    <t>Descrição obrigatoria item 1?</t>
  </si>
  <si>
    <t>Descrição obrigatoria item 2?</t>
  </si>
  <si>
    <t>Descrição obrigatória?</t>
  </si>
  <si>
    <t>Coluna obrigtório</t>
  </si>
  <si>
    <t>Preenchido?</t>
  </si>
  <si>
    <t>Preenchido atividade?</t>
  </si>
  <si>
    <t>Preenchido descrição</t>
  </si>
  <si>
    <t>Data</t>
  </si>
  <si>
    <t>Responsável</t>
  </si>
  <si>
    <t>Revisor</t>
  </si>
  <si>
    <t>Documento confidencial e de propriedade da Oi</t>
  </si>
  <si>
    <t>Planilha de Estimativa</t>
  </si>
  <si>
    <t>Atividade</t>
  </si>
  <si>
    <t>Mensagem atividade não funcional com aprovacao</t>
  </si>
  <si>
    <t>&gt;&gt; Identificar Itens Não Funcionais</t>
  </si>
  <si>
    <t xml:space="preserve">  &gt;&gt; Este esforço deve ser documentado no STI no campo "Horas Funcionais"</t>
  </si>
  <si>
    <t>Você selecionou atividades não funcionais que requerem a aprovação do seu gerente. Por favor obtenha a(s) mesma(s) antes de continuar.</t>
  </si>
  <si>
    <t>Fábrica testes</t>
  </si>
  <si>
    <t>Fábrica testes 1</t>
  </si>
  <si>
    <t>Fábrica testes 2</t>
  </si>
  <si>
    <t>Fábrica Testes</t>
  </si>
  <si>
    <t>Ativ. Fabrica Testes</t>
  </si>
  <si>
    <t>Fornecedores[Fornecedor]</t>
  </si>
  <si>
    <t>TiposContagem[Tipo Contagem]</t>
  </si>
  <si>
    <t>TiposManutencao[Tipo de Manutenção (I/A/E)]</t>
  </si>
  <si>
    <t>TiposFuncao[Tipo de Função (ALI/AIE/EE/SE/CE)]</t>
  </si>
  <si>
    <t>Complexidades[Complexidade]</t>
  </si>
  <si>
    <t>TRUE/FALSE</t>
  </si>
  <si>
    <t>Fabrica Testes 1</t>
  </si>
  <si>
    <t>Lista 1</t>
  </si>
  <si>
    <t>Fabrica Testes 2</t>
  </si>
  <si>
    <t>Lista 2</t>
  </si>
  <si>
    <t>Itens</t>
  </si>
  <si>
    <t>Man Cosmetica Especial</t>
  </si>
  <si>
    <t>Manutenção cosmetica especial</t>
  </si>
  <si>
    <t>Em negociação</t>
  </si>
  <si>
    <t>FatoresAjuste_Analogia_[[Analogia]]</t>
  </si>
  <si>
    <t>Vai contar Pontos de Função ou Analogia?</t>
  </si>
  <si>
    <t>IBM - Torre VII</t>
  </si>
  <si>
    <t>Justificativa para o desconto</t>
  </si>
  <si>
    <t xml:space="preserve">Planilha de Interfaces (Data Mapping) / Construção e Teste Unitário / Especificação Técnica e Especificação dos Serviços / Modelo de dados / Merge / Migração para os ambientes / Teste de Sistema (Plano, execução e geração de evidências, Teste de Qualidade de Performance e Teste de segurança aderentes à metodologia 3Ps), Teste de Degustação e Conectividade/ Suporte a testes (sistemas com impacto em desenvolvimento) / Manual de Operações / Runbook / Simproc  </t>
  </si>
  <si>
    <t>6.3</t>
  </si>
  <si>
    <t>Suporte a Testes (sistema sem impacto em desenvolvimento)</t>
  </si>
  <si>
    <t xml:space="preserve">Cenários Extras TI/UAT </t>
  </si>
  <si>
    <t xml:space="preserve">Configuração de Ferramentas / Pacotes  </t>
  </si>
  <si>
    <t>Revisão do escopo do Desenho da Solução</t>
  </si>
  <si>
    <t>Número da Proposta:</t>
  </si>
  <si>
    <t>Shakeout</t>
  </si>
  <si>
    <t>Analytics de Vendas</t>
  </si>
  <si>
    <t>Arbor</t>
  </si>
  <si>
    <t>AUT - Sistema Autorizados</t>
  </si>
  <si>
    <t>ABC/ABD Mainframe</t>
  </si>
  <si>
    <t>BDC Oracle</t>
  </si>
  <si>
    <t xml:space="preserve">CADOP </t>
  </si>
  <si>
    <t>CCF / SIA</t>
  </si>
  <si>
    <t>CDI</t>
  </si>
  <si>
    <t>Clarify Ambiente Open</t>
  </si>
  <si>
    <t>Clarify Ambiente Web</t>
  </si>
  <si>
    <t>DataQuality</t>
  </si>
  <si>
    <t>FGP Oi</t>
  </si>
  <si>
    <t>GECO - Sistema de Gestão de Contratos</t>
  </si>
  <si>
    <t>Gerenciador de Interface Mainframe</t>
  </si>
  <si>
    <t>Gerenciador de Tarifas da Fixa</t>
  </si>
  <si>
    <t>NIP</t>
  </si>
  <si>
    <t>NIS</t>
  </si>
  <si>
    <t>Portal Corporativo</t>
  </si>
  <si>
    <t>PORTAL OI</t>
  </si>
  <si>
    <t>SAC Ambiente Mainframe</t>
  </si>
  <si>
    <t>SFA - CRM</t>
  </si>
  <si>
    <t>Siebel 6.3</t>
  </si>
  <si>
    <t>Siebel MKT</t>
  </si>
  <si>
    <t>Siebel 8</t>
  </si>
  <si>
    <t>Siebel 8 - Informacional</t>
  </si>
  <si>
    <t>SISRAF - Cadastro de Faturamento</t>
  </si>
  <si>
    <t>Site de contratação de pacote de dados</t>
  </si>
  <si>
    <t>STC</t>
  </si>
  <si>
    <t>TCE - TROCA DE CADASTRO ENTRE EMPRESAS</t>
  </si>
  <si>
    <t>VRA</t>
  </si>
  <si>
    <t>SOA sem Entirex</t>
  </si>
  <si>
    <t>SOA com Entirex</t>
  </si>
  <si>
    <t>Vitria R1 e R2</t>
  </si>
  <si>
    <t>Configurações - Siebel</t>
  </si>
  <si>
    <t>PTI</t>
  </si>
  <si>
    <t>Fases do Ciclo de Vida / Artefatos 3</t>
  </si>
  <si>
    <t>Percentual 3</t>
  </si>
  <si>
    <t>Fábrica testes 3</t>
  </si>
  <si>
    <t xml:space="preserve">Planilha de Interfaces (Data Mapping) / Construção e Teste Unitário / Especificação Técnica e Especificação dos Serviços / Modelo de dados / Merge / Migração para os ambientes / Teste de Sistema (Plano, execução e geração de evidências) / Suporte a testes (sistemas com impacto em desenvolvimento) / Manual de Operações / Runbook / Simproc  </t>
  </si>
  <si>
    <t>3CON</t>
  </si>
  <si>
    <t>Fases do Ciclo de Vida / Artefatos 4</t>
  </si>
  <si>
    <t>Percentual 4</t>
  </si>
  <si>
    <t>Fábrica testes 4</t>
  </si>
  <si>
    <t>Variação</t>
  </si>
  <si>
    <t>&lt; 700 h</t>
  </si>
  <si>
    <t>Variacao Gestao</t>
  </si>
  <si>
    <t>Click</t>
  </si>
  <si>
    <t>10.0</t>
  </si>
  <si>
    <t>Capgemini - Torre III</t>
  </si>
  <si>
    <t>Todos</t>
  </si>
  <si>
    <t>Versão inicial de planilha única, de acordo com a nova lista de artefatos.</t>
  </si>
  <si>
    <t>CPQD</t>
  </si>
  <si>
    <t>Experian</t>
  </si>
  <si>
    <t>Perlink</t>
  </si>
  <si>
    <t>Teradata</t>
  </si>
  <si>
    <t>Triad</t>
  </si>
  <si>
    <t>Wedo</t>
  </si>
  <si>
    <t>Visão da Solução</t>
  </si>
  <si>
    <t>Desenho e Descritivo da Solução (Especificação com ou sem Caso de Uso)</t>
  </si>
  <si>
    <t>Metatron</t>
  </si>
  <si>
    <t>10.1</t>
  </si>
  <si>
    <t>10.2</t>
  </si>
  <si>
    <t>IBM</t>
  </si>
  <si>
    <t>Versão IBM para inclusão do Informática.</t>
  </si>
  <si>
    <t>Versão ajustada para contemplar o novo contrato.</t>
  </si>
  <si>
    <t>10.3</t>
  </si>
  <si>
    <t>Capgemini</t>
  </si>
  <si>
    <t>Capgemini - Torre VI</t>
  </si>
  <si>
    <t>Versão da Validação</t>
  </si>
  <si>
    <t>11.0</t>
  </si>
  <si>
    <t>Versão ajustada para contemplar o novo Manual de Métricas da Oi para todos os fornecedores.</t>
  </si>
  <si>
    <t>Processo batch sem informações atravessando a fronteira</t>
  </si>
  <si>
    <t>Cópia estática sem lógica de processamento adicional</t>
  </si>
  <si>
    <t>Manutenção Cosmética</t>
  </si>
  <si>
    <t>Asga</t>
  </si>
  <si>
    <t>HP</t>
  </si>
  <si>
    <t>Procwork</t>
  </si>
  <si>
    <t>Cleartech</t>
  </si>
  <si>
    <t>Histórico de Validações</t>
  </si>
  <si>
    <t>Squadra - Torre IV</t>
  </si>
  <si>
    <t>12.0</t>
  </si>
  <si>
    <t>Versão Capgemini para contemplar o novo contrato.</t>
  </si>
  <si>
    <t>Squadra/IBM</t>
  </si>
  <si>
    <t>Versão ajustada para novo contrato da Squadra - Torre IV e ajuste para contemplar o contrato da IBM.</t>
  </si>
  <si>
    <t>13.0</t>
  </si>
  <si>
    <t>Versão CPQD para contemplar o contrato.</t>
  </si>
  <si>
    <t>IBM - Torre IV</t>
  </si>
  <si>
    <t>13.1</t>
  </si>
  <si>
    <t>TQI</t>
  </si>
  <si>
    <t>Versão para contemplar o contrato da TQI.</t>
  </si>
  <si>
    <t>Custo afundado</t>
  </si>
  <si>
    <t>Proposta de Teste</t>
  </si>
  <si>
    <t>Implantação Padrão</t>
  </si>
  <si>
    <t>Impacto</t>
  </si>
  <si>
    <t>TOTAL COM DSOL</t>
  </si>
  <si>
    <t>TOTAL SEM DSOL</t>
  </si>
  <si>
    <t>1 a 2 campos</t>
  </si>
  <si>
    <t>3 a 4 campos</t>
  </si>
  <si>
    <t>5 a 6 campos</t>
  </si>
  <si>
    <t>7 a 8 campos</t>
  </si>
  <si>
    <t>9 a 10 campos</t>
  </si>
  <si>
    <t>Participação pontual no Desenho da Solução</t>
  </si>
  <si>
    <t>Construção</t>
  </si>
  <si>
    <t>Contagem Alteração do Tamanho do Campo _ SOA</t>
  </si>
  <si>
    <t>Aba Estimator</t>
  </si>
  <si>
    <t>Total de Campos na Interface</t>
  </si>
  <si>
    <t>CriarInterface</t>
  </si>
  <si>
    <t>CriarSourceTarget</t>
  </si>
  <si>
    <t>AlterarMapeamento</t>
  </si>
  <si>
    <t>Quantidade de Campos Alterados na Interface</t>
  </si>
  <si>
    <t>Simples</t>
  </si>
  <si>
    <t>Complexa</t>
  </si>
  <si>
    <t>1 a 15 campos</t>
  </si>
  <si>
    <t>1 a 19 campos</t>
  </si>
  <si>
    <t>16 a 49 campos</t>
  </si>
  <si>
    <t>20 a 49 campos</t>
  </si>
  <si>
    <t>Acima de 50 campos</t>
  </si>
  <si>
    <t>Total de Campos Alterados Na Interface</t>
  </si>
  <si>
    <t>1 a 10 campos</t>
  </si>
  <si>
    <t>1 a 30 campos</t>
  </si>
  <si>
    <t>1 a 5 campos</t>
  </si>
  <si>
    <t>11 a 19 campos</t>
  </si>
  <si>
    <t>11 a 30 campos</t>
  </si>
  <si>
    <t>31 a 49 campos</t>
  </si>
  <si>
    <t>31 a 50 campos</t>
  </si>
  <si>
    <t>6 a 10 campos</t>
  </si>
  <si>
    <t>Acima de 50</t>
  </si>
  <si>
    <t>Fases/Atividades Contratadas Medidas em Horas</t>
  </si>
  <si>
    <t>Contagem Alteração do Tamanho do Campo _ SOA com Entirex</t>
  </si>
  <si>
    <t>Contagem Alteração do Tamanho do Campo _ SOA sem Entirex</t>
  </si>
  <si>
    <t>Criar Interface</t>
  </si>
  <si>
    <t>Criar Nova Origem / Destino</t>
  </si>
  <si>
    <t>Alterar Mapeamento</t>
  </si>
  <si>
    <t>Complexidade Funcional</t>
  </si>
  <si>
    <t>Desenho da Solução2</t>
  </si>
  <si>
    <t>Participação pontual no Desenho da Solução3</t>
  </si>
  <si>
    <t>Construção4</t>
  </si>
  <si>
    <t>Implantação5</t>
  </si>
  <si>
    <t>Chave</t>
  </si>
  <si>
    <t>CriarInterface / Origem e destino</t>
  </si>
  <si>
    <t>Total de campos alterados na interface</t>
  </si>
  <si>
    <t>Chave Origem e Destino</t>
  </si>
  <si>
    <t>Chave Nova Interface</t>
  </si>
  <si>
    <t>Chave Mapeamento</t>
  </si>
  <si>
    <t>Chave Final</t>
  </si>
  <si>
    <t>Tamanho Campo - SOA com ETX</t>
  </si>
  <si>
    <t>Tamanho Campo - SOA sem ETX</t>
  </si>
  <si>
    <t>Enriquecimento - SOA com ETX</t>
  </si>
  <si>
    <t>Enriquecimento - SOA sem ETX</t>
  </si>
  <si>
    <t>Contagem Enriquecimento _ SOA</t>
  </si>
  <si>
    <t>Total (A):</t>
  </si>
  <si>
    <t>Contagem Enriquecimento
Alteração de mais de 30 campos em interface existente
Incluir origem ou destino com mais de 50 campos em interface já existente</t>
  </si>
  <si>
    <t xml:space="preserve"> </t>
  </si>
  <si>
    <t>Simples(-)</t>
  </si>
  <si>
    <t>Simples(+)</t>
  </si>
  <si>
    <t>Media(-)</t>
  </si>
  <si>
    <t>Media(+)</t>
  </si>
  <si>
    <t>Complexa(-)</t>
  </si>
  <si>
    <t>Complexa(+)</t>
  </si>
  <si>
    <t>Complexidade / Total de Campos Interface Nova</t>
  </si>
  <si>
    <t>Complexidade / Total de Campos da Interface (Origem/Destino)</t>
  </si>
  <si>
    <t>Complexidade da Interface / Total de Campos / Total de Campos Alterados (Mapeamento)</t>
  </si>
  <si>
    <t>Exibir todas as abas de configuração?</t>
  </si>
  <si>
    <t>14.0</t>
  </si>
  <si>
    <t>Esforço em Horas APF (calculado)</t>
  </si>
  <si>
    <t>Esforço em Horas Analogia (calculado)</t>
  </si>
  <si>
    <t>Esforço</t>
  </si>
  <si>
    <t>Esforço com Impacto</t>
  </si>
  <si>
    <t>Esforço sem Impacto</t>
  </si>
  <si>
    <t>Inclusão</t>
  </si>
  <si>
    <t>Produtividade Inclusão</t>
  </si>
  <si>
    <t>Produtividade Alteração</t>
  </si>
  <si>
    <t>Especificação Técnica (de qualquer tipo de objeto)</t>
  </si>
  <si>
    <t>Planilha de Interfaces (Data Mapping)</t>
  </si>
  <si>
    <t>Modelo de Dados</t>
  </si>
  <si>
    <t>Construção e Aprovação da Solução</t>
  </si>
  <si>
    <t>Construção e Teste Unitário</t>
  </si>
  <si>
    <t>Merge / Migração (entre os ambientes)</t>
  </si>
  <si>
    <t>Manual de Operações / Runbook / Simproc</t>
  </si>
  <si>
    <t>Plano de Teste de Sistema (Casos/Cenários de Testes)</t>
  </si>
  <si>
    <t>Execução e Geração de Evidências do Teste de Sistema</t>
  </si>
  <si>
    <t>MANUTENÇÃO COSMÉTICA - ACCENTURE</t>
  </si>
  <si>
    <t>GSOA com Entirex</t>
  </si>
  <si>
    <t>GSOA sem Entirex</t>
  </si>
  <si>
    <t>14.1</t>
  </si>
  <si>
    <t>Accenture</t>
  </si>
  <si>
    <t>Inclusão das produtividades do Click (inclusão e alteração).</t>
  </si>
  <si>
    <t>14.2</t>
  </si>
  <si>
    <t>Versão da planilha ajustada para contemplar melhorias do Clarity. Ajuste das produtividades do SOA e da taxa horária conforme contrato vigente.</t>
  </si>
  <si>
    <t>Inclusão das produtividades do GSOA.</t>
  </si>
  <si>
    <t>15.0</t>
  </si>
  <si>
    <t>Produtividade Exclusão</t>
  </si>
  <si>
    <t>Fases do Ciclo de Vida / Artefatos 5</t>
  </si>
  <si>
    <t>Percentual 5</t>
  </si>
  <si>
    <t>Fábrica testes 5</t>
  </si>
  <si>
    <t>Exclusão</t>
  </si>
  <si>
    <t>Fábrica testes 6</t>
  </si>
  <si>
    <t>Fábrica testes 7</t>
  </si>
  <si>
    <t>Fases do Ciclo de Vida / Artefatos 6</t>
  </si>
  <si>
    <t>Percentual 6</t>
  </si>
  <si>
    <t>Amdocs</t>
  </si>
  <si>
    <t>iFactory</t>
  </si>
  <si>
    <t>VP Consulting</t>
  </si>
  <si>
    <t>Fases do Ciclo de Vida / Artefatos 7</t>
  </si>
  <si>
    <t>Percentual 7</t>
  </si>
  <si>
    <t>IBM: Ajustes conforme o contrato.
CPQD: Ajustes conforme contrato.
Wedo: Ajustes na planilha conforme renovação do contrato.
Accenture: Ajustes na produtividade conforme contrato e ajustes no cálculo Tamanho de campo SOA.
Todos: Ajustes na planiha para adequação do novo processo (fase Visão da Solução).</t>
  </si>
  <si>
    <t>16.0</t>
  </si>
  <si>
    <t>Ajuste do template da planilha de métricas para adequação ao projeto de carga automática de métricas no Clarity.</t>
  </si>
  <si>
    <t>16.1</t>
  </si>
  <si>
    <t>Ajuste no cálculo da aba itens não funcionais
Accenture: Ajuste no cálculo do SOA
3CON: Ajuste conforme renovação do Contrato
ASGA: Ajuste na aba Resumo
Capgemini: Ajuste conforme Contrato</t>
  </si>
  <si>
    <t>16.2</t>
  </si>
  <si>
    <t>Ajuste conforme previsto no Contrato</t>
  </si>
  <si>
    <t>Accenture - Torre II - EXTRABASELINE</t>
  </si>
  <si>
    <t>19/10/2017</t>
  </si>
  <si>
    <t>Versão inicial</t>
  </si>
  <si>
    <t>Felipe Lima</t>
  </si>
  <si>
    <t>Suporte ao TI em HE de 02/01 a 31/01/2018. 
De 18h às 22h nos dias úteis e de 10h às 19h nos finais de semana.</t>
  </si>
  <si>
    <t>CR SUP TI em HE - 2Jan a 31Jan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</si>
</sst>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_(* #,##0.00_);_(* \(#,##0.00\);_(* &quot;-&quot;??_);_(@_)"/>
    <numFmt numFmtId="165" formatCode="_-* #,##0.00\ _€_-;\-* #,##0.00\ _€_-;_-* &quot;-&quot;??\ _€_-;_-@_-"/>
    <numFmt numFmtId="166" formatCode="[$R$-416]\ #,##0"/>
    <numFmt numFmtId="167" formatCode="&quot;R$&quot;\ #,##0.00"/>
    <numFmt numFmtId="168" formatCode="[$R$-416]\ #,##0.00"/>
    <numFmt numFmtId="169" formatCode="_(&quot;R$ &quot;* #,##0.00_);_(&quot;R$ &quot;* \(#,##0.00\);_(&quot;R$ &quot;* &quot;-&quot;??_);_(@_)"/>
    <numFmt numFmtId="170" formatCode="0.0000%"/>
  </numFmts>
  <fonts count="4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i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u/>
      <sz val="10"/>
      <name val="Arial"/>
      <family val="2"/>
    </font>
    <font>
      <i/>
      <u/>
      <sz val="1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8"/>
      <name val="Arial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1"/>
      <color indexed="62"/>
      <name val="Calibri"/>
      <family val="2"/>
    </font>
    <font>
      <sz val="11"/>
      <color indexed="8"/>
      <name val="Arial"/>
      <family val="2"/>
    </font>
    <font>
      <b/>
      <sz val="11"/>
      <color indexed="8"/>
      <name val="Arial"/>
      <family val="2"/>
    </font>
    <font>
      <sz val="14"/>
      <color indexed="8"/>
      <name val="Arial"/>
      <family val="2"/>
    </font>
    <font>
      <u/>
      <sz val="10"/>
      <color indexed="12"/>
      <name val="Arial"/>
      <family val="2"/>
    </font>
    <font>
      <b/>
      <sz val="10"/>
      <color indexed="8"/>
      <name val="Arial"/>
      <family val="2"/>
    </font>
    <font>
      <b/>
      <sz val="14"/>
      <color indexed="57"/>
      <name val="Arial"/>
      <family val="2"/>
    </font>
    <font>
      <u/>
      <sz val="11"/>
      <color theme="10"/>
      <name val="Calibri"/>
      <family val="2"/>
    </font>
    <font>
      <b/>
      <sz val="11"/>
      <color theme="1"/>
      <name val="Calibri"/>
      <family val="2"/>
      <scheme val="minor"/>
    </font>
    <font>
      <b/>
      <u/>
      <sz val="10"/>
      <color rgb="FFFF0000"/>
      <name val="Arial"/>
      <family val="2"/>
    </font>
    <font>
      <sz val="11"/>
      <color rgb="FF00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color rgb="FFFF0000"/>
      <name val="Arial"/>
      <family val="2"/>
    </font>
    <font>
      <sz val="10"/>
      <color rgb="FFFF0000"/>
      <name val="Arial"/>
      <family val="2"/>
    </font>
    <font>
      <b/>
      <sz val="9"/>
      <color indexed="81"/>
      <name val="Tahoma"/>
      <family val="2"/>
    </font>
    <font>
      <u/>
      <sz val="10"/>
      <name val="Arial"/>
      <family val="2"/>
    </font>
    <font>
      <sz val="11"/>
      <color theme="4" tint="-0.249977111117893"/>
      <name val="Calibri"/>
      <family val="2"/>
      <scheme val="minor"/>
    </font>
    <font>
      <sz val="11"/>
      <color rgb="FF006100"/>
      <name val="Calibri"/>
      <family val="2"/>
      <scheme val="minor"/>
    </font>
    <font>
      <sz val="10"/>
      <color theme="1"/>
      <name val="Calibri"/>
      <family val="2"/>
    </font>
    <font>
      <sz val="10"/>
      <name val="Times New Roman"/>
      <family val="1"/>
      <charset val="204"/>
    </font>
    <font>
      <sz val="9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indexed="43"/>
        <bgColor indexed="8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rgb="FF000000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25">
    <xf numFmtId="166" fontId="0" fillId="0" borderId="0"/>
    <xf numFmtId="166" fontId="23" fillId="0" borderId="0" applyNumberFormat="0" applyFill="0" applyBorder="0" applyAlignment="0" applyProtection="0">
      <alignment vertical="top"/>
      <protection locked="0"/>
    </xf>
    <xf numFmtId="166" fontId="4" fillId="0" borderId="0"/>
    <xf numFmtId="166" fontId="4" fillId="0" borderId="0"/>
    <xf numFmtId="166" fontId="4" fillId="0" borderId="0"/>
    <xf numFmtId="9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" fillId="0" borderId="0" applyFont="0" applyFill="0" applyBorder="0" applyAlignment="0" applyProtection="0"/>
    <xf numFmtId="166" fontId="34" fillId="14" borderId="0" applyNumberFormat="0" applyBorder="0" applyAlignment="0" applyProtection="0"/>
    <xf numFmtId="166" fontId="35" fillId="0" borderId="0"/>
    <xf numFmtId="9" fontId="35" fillId="0" borderId="0" applyFont="0" applyFill="0" applyBorder="0" applyAlignment="0" applyProtection="0"/>
    <xf numFmtId="166" fontId="36" fillId="0" borderId="0" applyNumberFormat="0" applyFill="0" applyBorder="0" applyProtection="0">
      <alignment vertical="top" wrapText="1"/>
    </xf>
    <xf numFmtId="165" fontId="35" fillId="0" borderId="0" applyFont="0" applyFill="0" applyBorder="0" applyAlignment="0" applyProtection="0"/>
    <xf numFmtId="0" fontId="41" fillId="0" borderId="0"/>
    <xf numFmtId="166" fontId="41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6" fontId="34" fillId="14" borderId="0" applyNumberFormat="0" applyBorder="0" applyAlignment="0" applyProtection="0"/>
    <xf numFmtId="0" fontId="41" fillId="0" borderId="0"/>
    <xf numFmtId="169" fontId="41" fillId="0" borderId="0" applyFont="0" applyFill="0" applyBorder="0" applyAlignment="0" applyProtection="0"/>
    <xf numFmtId="164" fontId="41" fillId="0" borderId="0" applyFont="0" applyFill="0" applyBorder="0" applyAlignment="0" applyProtection="0"/>
    <xf numFmtId="0" fontId="41" fillId="0" borderId="0"/>
    <xf numFmtId="0" fontId="41" fillId="0" borderId="0"/>
    <xf numFmtId="0" fontId="4" fillId="0" borderId="0"/>
    <xf numFmtId="0" fontId="23" fillId="0" borderId="0" applyNumberFormat="0" applyFill="0" applyBorder="0" applyAlignment="0" applyProtection="0">
      <alignment vertical="top"/>
      <protection locked="0"/>
    </xf>
  </cellStyleXfs>
  <cellXfs count="528">
    <xf numFmtId="166" fontId="0" fillId="0" borderId="0" xfId="0"/>
    <xf numFmtId="166" fontId="13" fillId="0" borderId="0" xfId="0" applyFont="1" applyAlignment="1">
      <alignment horizontal="center"/>
    </xf>
    <xf numFmtId="166" fontId="0" fillId="0" borderId="1" xfId="0" applyBorder="1"/>
    <xf numFmtId="166" fontId="13" fillId="0" borderId="0" xfId="0" applyFont="1"/>
    <xf numFmtId="166" fontId="5" fillId="0" borderId="0" xfId="3" applyFont="1" applyFill="1" applyBorder="1" applyAlignment="1" applyProtection="1">
      <alignment horizontal="center" vertical="center" wrapText="1"/>
    </xf>
    <xf numFmtId="2" fontId="4" fillId="4" borderId="1" xfId="2" applyNumberFormat="1" applyFont="1" applyFill="1" applyBorder="1" applyAlignment="1" applyProtection="1">
      <alignment horizontal="center"/>
    </xf>
    <xf numFmtId="166" fontId="16" fillId="0" borderId="0" xfId="0" applyFont="1"/>
    <xf numFmtId="2" fontId="2" fillId="5" borderId="1" xfId="2" applyNumberFormat="1" applyFont="1" applyFill="1" applyBorder="1" applyAlignment="1" applyProtection="1">
      <alignment horizontal="left"/>
    </xf>
    <xf numFmtId="166" fontId="0" fillId="0" borderId="1" xfId="0" applyBorder="1" applyAlignment="1">
      <alignment horizontal="center"/>
    </xf>
    <xf numFmtId="166" fontId="5" fillId="6" borderId="1" xfId="3" applyFont="1" applyFill="1" applyBorder="1" applyAlignment="1" applyProtection="1">
      <alignment horizontal="left" vertical="center" wrapText="1"/>
    </xf>
    <xf numFmtId="164" fontId="5" fillId="6" borderId="1" xfId="6" applyFont="1" applyFill="1" applyBorder="1" applyAlignment="1" applyProtection="1">
      <alignment horizontal="center" vertical="center" wrapText="1"/>
    </xf>
    <xf numFmtId="4" fontId="4" fillId="0" borderId="0" xfId="2" applyNumberFormat="1" applyFont="1" applyFill="1" applyBorder="1" applyAlignment="1" applyProtection="1">
      <alignment horizontal="center"/>
    </xf>
    <xf numFmtId="164" fontId="9" fillId="6" borderId="1" xfId="6" applyFont="1" applyFill="1" applyBorder="1" applyAlignment="1" applyProtection="1">
      <alignment horizontal="center" vertical="center" wrapText="1"/>
    </xf>
    <xf numFmtId="166" fontId="3" fillId="0" borderId="0" xfId="3" applyFont="1" applyFill="1" applyBorder="1" applyAlignment="1" applyProtection="1">
      <alignment horizontal="center" vertical="center" wrapText="1"/>
    </xf>
    <xf numFmtId="166" fontId="9" fillId="6" borderId="1" xfId="3" applyFont="1" applyFill="1" applyBorder="1" applyAlignment="1" applyProtection="1">
      <alignment horizontal="center" vertical="center" wrapText="1"/>
    </xf>
    <xf numFmtId="166" fontId="5" fillId="7" borderId="0" xfId="3" applyFont="1" applyFill="1" applyBorder="1" applyAlignment="1" applyProtection="1">
      <alignment horizontal="left" vertical="center" wrapText="1" indent="1"/>
    </xf>
    <xf numFmtId="2" fontId="5" fillId="7" borderId="0" xfId="2" applyNumberFormat="1" applyFont="1" applyFill="1" applyBorder="1" applyAlignment="1" applyProtection="1">
      <alignment horizontal="left" vertical="center" indent="1"/>
    </xf>
    <xf numFmtId="166" fontId="17" fillId="0" borderId="0" xfId="0" applyFont="1"/>
    <xf numFmtId="166" fontId="17" fillId="0" borderId="0" xfId="0" applyFont="1" applyFill="1" applyBorder="1"/>
    <xf numFmtId="166" fontId="4" fillId="7" borderId="0" xfId="3" applyFont="1" applyFill="1" applyBorder="1" applyAlignment="1" applyProtection="1">
      <alignment horizontal="left" vertical="center" wrapText="1" indent="1"/>
    </xf>
    <xf numFmtId="2" fontId="20" fillId="7" borderId="0" xfId="1" applyNumberFormat="1" applyFont="1" applyFill="1" applyBorder="1" applyAlignment="1" applyProtection="1">
      <alignment horizontal="left" vertical="center" indent="1"/>
    </xf>
    <xf numFmtId="166" fontId="20" fillId="0" borderId="0" xfId="1" applyFont="1" applyFill="1" applyBorder="1" applyAlignment="1" applyProtection="1">
      <alignment horizontal="right" vertical="center" wrapText="1"/>
    </xf>
    <xf numFmtId="166" fontId="20" fillId="0" borderId="0" xfId="1" applyFont="1" applyFill="1" applyBorder="1" applyAlignment="1" applyProtection="1">
      <alignment horizontal="right" vertical="center"/>
    </xf>
    <xf numFmtId="2" fontId="4" fillId="4" borderId="1" xfId="2" applyNumberFormat="1" applyFont="1" applyFill="1" applyBorder="1" applyAlignment="1" applyProtection="1">
      <alignment horizontal="center" vertical="center"/>
    </xf>
    <xf numFmtId="2" fontId="5" fillId="4" borderId="1" xfId="2" applyNumberFormat="1" applyFont="1" applyFill="1" applyBorder="1" applyAlignment="1" applyProtection="1">
      <alignment horizontal="center" vertical="center"/>
    </xf>
    <xf numFmtId="166" fontId="20" fillId="0" borderId="0" xfId="1" applyFont="1" applyFill="1" applyBorder="1" applyAlignment="1" applyProtection="1">
      <alignment horizontal="center" vertical="center" wrapText="1"/>
    </xf>
    <xf numFmtId="166" fontId="0" fillId="0" borderId="0" xfId="0" applyAlignment="1">
      <alignment vertical="center"/>
    </xf>
    <xf numFmtId="166" fontId="6" fillId="9" borderId="0" xfId="0" applyFont="1" applyFill="1" applyAlignment="1" applyProtection="1">
      <alignment horizontal="center" vertical="center"/>
    </xf>
    <xf numFmtId="166" fontId="17" fillId="0" borderId="0" xfId="0" applyFont="1" applyProtection="1"/>
    <xf numFmtId="166" fontId="17" fillId="9" borderId="0" xfId="0" applyFont="1" applyFill="1" applyAlignment="1" applyProtection="1">
      <alignment horizontal="center" vertical="center"/>
    </xf>
    <xf numFmtId="166" fontId="17" fillId="9" borderId="0" xfId="0" applyFont="1" applyFill="1" applyBorder="1" applyAlignment="1" applyProtection="1">
      <alignment horizontal="center" vertical="center"/>
    </xf>
    <xf numFmtId="166" fontId="17" fillId="0" borderId="0" xfId="0" applyFont="1" applyFill="1" applyBorder="1" applyProtection="1"/>
    <xf numFmtId="166" fontId="9" fillId="0" borderId="0" xfId="3" applyFont="1" applyFill="1" applyBorder="1" applyAlignment="1" applyProtection="1">
      <alignment horizontal="center" vertical="center" wrapText="1"/>
    </xf>
    <xf numFmtId="164" fontId="9" fillId="0" borderId="0" xfId="7" applyFont="1" applyFill="1" applyBorder="1" applyAlignment="1" applyProtection="1">
      <alignment horizontal="center" vertical="center" wrapText="1"/>
    </xf>
    <xf numFmtId="166" fontId="17" fillId="0" borderId="0" xfId="0" applyFont="1" applyFill="1" applyProtection="1"/>
    <xf numFmtId="166" fontId="5" fillId="11" borderId="1" xfId="3" applyFont="1" applyFill="1" applyBorder="1" applyAlignment="1" applyProtection="1">
      <alignment horizontal="center" vertical="center" wrapText="1"/>
    </xf>
    <xf numFmtId="166" fontId="5" fillId="9" borderId="1" xfId="3" applyFont="1" applyFill="1" applyBorder="1" applyAlignment="1" applyProtection="1">
      <alignment horizontal="center" vertical="center" wrapText="1"/>
    </xf>
    <xf numFmtId="166" fontId="5" fillId="0" borderId="1" xfId="3" applyFont="1" applyFill="1" applyBorder="1" applyAlignment="1" applyProtection="1">
      <alignment horizontal="center" vertical="center" wrapText="1"/>
      <protection locked="0"/>
    </xf>
    <xf numFmtId="166" fontId="0" fillId="12" borderId="1" xfId="0" applyFill="1" applyBorder="1" applyAlignment="1" applyProtection="1">
      <alignment horizontal="center" vertical="center"/>
    </xf>
    <xf numFmtId="1" fontId="17" fillId="0" borderId="1" xfId="0" applyNumberFormat="1" applyFont="1" applyBorder="1" applyProtection="1">
      <protection locked="0"/>
    </xf>
    <xf numFmtId="2" fontId="0" fillId="12" borderId="1" xfId="0" applyNumberFormat="1" applyFill="1" applyBorder="1" applyAlignment="1" applyProtection="1">
      <alignment horizontal="center" vertical="center"/>
    </xf>
    <xf numFmtId="2" fontId="24" fillId="12" borderId="1" xfId="0" applyNumberFormat="1" applyFont="1" applyFill="1" applyBorder="1" applyAlignment="1" applyProtection="1">
      <alignment horizontal="center" vertical="center"/>
    </xf>
    <xf numFmtId="2" fontId="0" fillId="9" borderId="1" xfId="0" applyNumberFormat="1" applyFill="1" applyBorder="1" applyAlignment="1" applyProtection="1">
      <alignment horizontal="center" vertical="center"/>
    </xf>
    <xf numFmtId="166" fontId="5" fillId="6" borderId="7" xfId="3" applyFont="1" applyFill="1" applyBorder="1" applyAlignment="1" applyProtection="1">
      <alignment horizontal="center" vertical="center" wrapText="1"/>
    </xf>
    <xf numFmtId="166" fontId="5" fillId="6" borderId="9" xfId="3" applyFont="1" applyFill="1" applyBorder="1" applyAlignment="1" applyProtection="1">
      <alignment horizontal="center" vertical="center" wrapText="1"/>
    </xf>
    <xf numFmtId="166" fontId="5" fillId="6" borderId="10" xfId="3" applyFont="1" applyFill="1" applyBorder="1" applyAlignment="1" applyProtection="1">
      <alignment horizontal="center" vertical="center" wrapText="1"/>
    </xf>
    <xf numFmtId="2" fontId="4" fillId="4" borderId="3" xfId="4" applyNumberFormat="1" applyFont="1" applyFill="1" applyBorder="1" applyAlignment="1" applyProtection="1">
      <alignment horizontal="center"/>
    </xf>
    <xf numFmtId="2" fontId="4" fillId="4" borderId="11" xfId="4" applyNumberFormat="1" applyFont="1" applyFill="1" applyBorder="1" applyAlignment="1" applyProtection="1">
      <alignment horizontal="center"/>
    </xf>
    <xf numFmtId="166" fontId="0" fillId="0" borderId="0" xfId="0" applyFont="1"/>
    <xf numFmtId="166" fontId="4" fillId="4" borderId="1" xfId="0" applyNumberFormat="1" applyFont="1" applyFill="1" applyBorder="1" applyAlignment="1" applyProtection="1">
      <alignment horizontal="center"/>
    </xf>
    <xf numFmtId="166" fontId="5" fillId="9" borderId="9" xfId="3" applyFont="1" applyFill="1" applyBorder="1" applyAlignment="1" applyProtection="1">
      <alignment horizontal="center" vertical="center" wrapText="1"/>
    </xf>
    <xf numFmtId="166" fontId="1" fillId="0" borderId="8" xfId="0" applyFont="1" applyFill="1" applyBorder="1" applyAlignment="1">
      <alignment horizontal="center"/>
    </xf>
    <xf numFmtId="166" fontId="5" fillId="6" borderId="1" xfId="3" applyFont="1" applyFill="1" applyBorder="1" applyAlignment="1" applyProtection="1">
      <alignment horizontal="center" vertical="center" wrapText="1"/>
    </xf>
    <xf numFmtId="166" fontId="5" fillId="6" borderId="2" xfId="3" applyFont="1" applyFill="1" applyBorder="1" applyAlignment="1" applyProtection="1">
      <alignment horizontal="center" vertic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166" fontId="22" fillId="0" borderId="0" xfId="0" applyFont="1" applyAlignment="1" applyProtection="1">
      <alignment horizontal="center" vertical="center"/>
    </xf>
    <xf numFmtId="1" fontId="17" fillId="0" borderId="0" xfId="0" applyNumberFormat="1" applyFont="1" applyProtection="1"/>
    <xf numFmtId="166" fontId="18" fillId="7" borderId="0" xfId="0" applyFont="1" applyFill="1" applyAlignment="1" applyProtection="1">
      <alignment horizontal="left" vertical="center" indent="1"/>
    </xf>
    <xf numFmtId="166" fontId="5" fillId="7" borderId="0" xfId="0" applyFont="1" applyFill="1" applyBorder="1" applyAlignment="1" applyProtection="1">
      <alignment horizontal="left" vertical="center" indent="1"/>
    </xf>
    <xf numFmtId="166" fontId="10" fillId="0" borderId="0" xfId="0" applyFont="1" applyProtection="1"/>
    <xf numFmtId="166" fontId="9" fillId="7" borderId="0" xfId="0" applyFont="1" applyFill="1" applyAlignment="1" applyProtection="1">
      <alignment horizontal="left" vertical="center" indent="1"/>
    </xf>
    <xf numFmtId="166" fontId="6" fillId="7" borderId="0" xfId="0" applyFont="1" applyFill="1" applyBorder="1" applyAlignment="1" applyProtection="1">
      <alignment horizontal="left" vertical="center" indent="1"/>
    </xf>
    <xf numFmtId="166" fontId="5" fillId="7" borderId="0" xfId="0" applyFont="1" applyFill="1" applyBorder="1" applyAlignment="1" applyProtection="1">
      <alignment horizontal="left" vertical="center" wrapText="1" indent="1"/>
    </xf>
    <xf numFmtId="166" fontId="10" fillId="0" borderId="0" xfId="0" applyFont="1" applyBorder="1" applyProtection="1"/>
    <xf numFmtId="166" fontId="4" fillId="7" borderId="0" xfId="0" applyFont="1" applyFill="1" applyBorder="1" applyAlignment="1" applyProtection="1">
      <alignment horizontal="left" vertical="center" indent="1"/>
    </xf>
    <xf numFmtId="166" fontId="25" fillId="0" borderId="0" xfId="0" applyFont="1" applyProtection="1"/>
    <xf numFmtId="166" fontId="21" fillId="7" borderId="0" xfId="0" applyFont="1" applyFill="1" applyAlignment="1" applyProtection="1">
      <alignment horizontal="left" vertical="center" indent="1"/>
    </xf>
    <xf numFmtId="9" fontId="4" fillId="4" borderId="1" xfId="5" applyFont="1" applyFill="1" applyBorder="1" applyAlignment="1" applyProtection="1">
      <alignment horizontal="center"/>
    </xf>
    <xf numFmtId="166" fontId="0" fillId="0" borderId="0" xfId="0" applyProtection="1"/>
    <xf numFmtId="4" fontId="4" fillId="10" borderId="1" xfId="2" applyNumberFormat="1" applyFont="1" applyFill="1" applyBorder="1" applyAlignment="1" applyProtection="1">
      <alignment horizontal="center"/>
      <protection locked="0"/>
    </xf>
    <xf numFmtId="166" fontId="5" fillId="6" borderId="1" xfId="3" applyFont="1" applyFill="1" applyBorder="1" applyAlignment="1" applyProtection="1">
      <alignment horizontal="center" vertical="center" wrapText="1"/>
    </xf>
    <xf numFmtId="2" fontId="4" fillId="4" borderId="2" xfId="2" applyNumberFormat="1" applyFont="1" applyFill="1" applyBorder="1" applyAlignment="1" applyProtection="1">
      <alignment horizontal="center"/>
    </xf>
    <xf numFmtId="166" fontId="5" fillId="6" borderId="2" xfId="3" applyFont="1" applyFill="1" applyBorder="1" applyAlignment="1" applyProtection="1">
      <alignment horizontal="center" vertical="center" wrapText="1"/>
    </xf>
    <xf numFmtId="166" fontId="3" fillId="0" borderId="0" xfId="3" applyFont="1" applyFill="1" applyBorder="1" applyAlignment="1" applyProtection="1">
      <alignment horizontal="center" vertical="center" wrapText="1"/>
    </xf>
    <xf numFmtId="166" fontId="20" fillId="0" borderId="0" xfId="1" applyFont="1" applyFill="1" applyBorder="1" applyAlignment="1" applyProtection="1">
      <alignment horizontal="center" vertical="center" wrapText="1"/>
    </xf>
    <xf numFmtId="2" fontId="2" fillId="5" borderId="2" xfId="2" applyNumberFormat="1" applyFont="1" applyFill="1" applyBorder="1" applyAlignment="1" applyProtection="1">
      <alignment horizontal="center"/>
    </xf>
    <xf numFmtId="2" fontId="5" fillId="6" borderId="1" xfId="3" applyNumberFormat="1" applyFont="1" applyFill="1" applyBorder="1" applyAlignment="1" applyProtection="1">
      <alignment horizontal="center" vertical="center" wrapText="1"/>
    </xf>
    <xf numFmtId="166" fontId="18" fillId="0" borderId="0" xfId="0" applyFont="1" applyFill="1" applyAlignment="1" applyProtection="1">
      <alignment horizontal="left" vertical="center" indent="1"/>
    </xf>
    <xf numFmtId="2" fontId="4" fillId="4" borderId="1" xfId="2" applyNumberFormat="1" applyFont="1" applyFill="1" applyBorder="1" applyAlignment="1">
      <alignment horizontal="left" wrapText="1"/>
    </xf>
    <xf numFmtId="10" fontId="14" fillId="4" borderId="1" xfId="0" applyNumberFormat="1" applyFont="1" applyFill="1" applyBorder="1" applyAlignment="1">
      <alignment horizontal="center" vertical="center" wrapText="1"/>
    </xf>
    <xf numFmtId="10" fontId="14" fillId="4" borderId="1" xfId="5" applyNumberFormat="1" applyFont="1" applyFill="1" applyBorder="1" applyAlignment="1" applyProtection="1">
      <alignment horizontal="center" vertical="center" wrapText="1"/>
    </xf>
    <xf numFmtId="10" fontId="15" fillId="4" borderId="3" xfId="5" applyNumberFormat="1" applyFont="1" applyFill="1" applyBorder="1" applyAlignment="1" applyProtection="1">
      <alignment horizontal="center" vertical="center" wrapText="1"/>
    </xf>
    <xf numFmtId="2" fontId="4" fillId="4" borderId="1" xfId="2" applyNumberFormat="1" applyFont="1" applyFill="1" applyBorder="1" applyAlignment="1">
      <alignment horizontal="center" vertical="center" wrapText="1"/>
    </xf>
    <xf numFmtId="166" fontId="10" fillId="0" borderId="0" xfId="0" applyFont="1" applyFill="1" applyProtection="1"/>
    <xf numFmtId="166" fontId="0" fillId="0" borderId="0" xfId="0" applyFill="1" applyProtection="1"/>
    <xf numFmtId="166" fontId="17" fillId="0" borderId="0" xfId="0" applyFont="1" applyFill="1" applyAlignment="1" applyProtection="1">
      <alignment horizontal="center"/>
    </xf>
    <xf numFmtId="166" fontId="0" fillId="0" borderId="0" xfId="0" applyFill="1"/>
    <xf numFmtId="166" fontId="0" fillId="0" borderId="0" xfId="0" applyAlignment="1">
      <alignment horizontal="center"/>
    </xf>
    <xf numFmtId="166" fontId="17" fillId="9" borderId="0" xfId="0" applyFont="1" applyFill="1" applyProtection="1"/>
    <xf numFmtId="166" fontId="17" fillId="9" borderId="0" xfId="0" applyFont="1" applyFill="1" applyBorder="1" applyProtection="1"/>
    <xf numFmtId="166" fontId="18" fillId="0" borderId="0" xfId="0" applyFont="1" applyAlignment="1" applyProtection="1">
      <alignment horizontal="center"/>
    </xf>
    <xf numFmtId="2" fontId="2" fillId="0" borderId="0" xfId="2" applyNumberFormat="1" applyFont="1" applyFill="1" applyBorder="1" applyAlignment="1" applyProtection="1">
      <alignment horizontal="left"/>
    </xf>
    <xf numFmtId="2" fontId="17" fillId="0" borderId="0" xfId="0" applyNumberFormat="1" applyFont="1" applyFill="1" applyBorder="1" applyAlignment="1" applyProtection="1">
      <alignment horizontal="center" vertical="center"/>
    </xf>
    <xf numFmtId="166" fontId="29" fillId="0" borderId="0" xfId="0" applyFont="1" applyProtection="1"/>
    <xf numFmtId="2" fontId="29" fillId="0" borderId="0" xfId="0" applyNumberFormat="1" applyFont="1" applyFill="1" applyBorder="1" applyAlignment="1" applyProtection="1">
      <alignment horizontal="center" vertical="center"/>
    </xf>
    <xf numFmtId="166" fontId="29" fillId="9" borderId="0" xfId="0" applyFont="1" applyFill="1" applyProtection="1"/>
    <xf numFmtId="166" fontId="18" fillId="9" borderId="0" xfId="0" applyFont="1" applyFill="1" applyAlignment="1" applyProtection="1">
      <alignment horizontal="center"/>
    </xf>
    <xf numFmtId="166" fontId="17" fillId="0" borderId="0" xfId="0" applyFont="1" applyFill="1" applyBorder="1" applyAlignment="1" applyProtection="1">
      <alignment horizontal="center" vertical="center"/>
    </xf>
    <xf numFmtId="166" fontId="17" fillId="3" borderId="0" xfId="0" applyFont="1" applyFill="1" applyProtection="1"/>
    <xf numFmtId="166" fontId="5" fillId="0" borderId="0" xfId="3" applyFont="1" applyFill="1" applyBorder="1" applyAlignment="1" applyProtection="1">
      <alignment vertical="center" wrapText="1"/>
    </xf>
    <xf numFmtId="166" fontId="17" fillId="0" borderId="0" xfId="0" applyFont="1" applyFill="1" applyBorder="1" applyAlignment="1" applyProtection="1">
      <alignment vertical="center"/>
    </xf>
    <xf numFmtId="166" fontId="18" fillId="9" borderId="0" xfId="0" applyFont="1" applyFill="1" applyProtection="1"/>
    <xf numFmtId="2" fontId="17" fillId="9" borderId="0" xfId="0" applyNumberFormat="1" applyFont="1" applyFill="1" applyProtection="1"/>
    <xf numFmtId="2" fontId="10" fillId="9" borderId="0" xfId="0" applyNumberFormat="1" applyFont="1" applyFill="1" applyProtection="1"/>
    <xf numFmtId="9" fontId="1" fillId="0" borderId="0" xfId="0" applyNumberFormat="1" applyFont="1"/>
    <xf numFmtId="166" fontId="1" fillId="0" borderId="0" xfId="0" applyFont="1"/>
    <xf numFmtId="166" fontId="10" fillId="9" borderId="0" xfId="0" applyFont="1" applyFill="1" applyProtection="1"/>
    <xf numFmtId="166" fontId="14" fillId="0" borderId="0" xfId="0" applyFont="1" applyProtection="1"/>
    <xf numFmtId="166" fontId="14" fillId="9" borderId="0" xfId="0" applyFont="1" applyFill="1" applyAlignment="1" applyProtection="1">
      <alignment horizontal="center" vertical="center"/>
    </xf>
    <xf numFmtId="166" fontId="5" fillId="10" borderId="0" xfId="3" applyFont="1" applyFill="1" applyBorder="1" applyAlignment="1" applyProtection="1">
      <alignment horizontal="center" vertical="center" wrapText="1"/>
    </xf>
    <xf numFmtId="164" fontId="5" fillId="10" borderId="0" xfId="6" applyFont="1" applyFill="1" applyBorder="1" applyAlignment="1" applyProtection="1">
      <alignment horizontal="center" vertical="center" wrapText="1"/>
    </xf>
    <xf numFmtId="166" fontId="21" fillId="0" borderId="0" xfId="0" applyFont="1" applyAlignment="1" applyProtection="1">
      <alignment horizontal="center"/>
    </xf>
    <xf numFmtId="166" fontId="14" fillId="9" borderId="0" xfId="0" applyFont="1" applyFill="1" applyProtection="1"/>
    <xf numFmtId="166" fontId="30" fillId="0" borderId="0" xfId="0" applyFont="1" applyProtection="1"/>
    <xf numFmtId="166" fontId="30" fillId="9" borderId="0" xfId="0" applyFont="1" applyFill="1" applyAlignment="1" applyProtection="1">
      <alignment horizontal="center" vertical="center"/>
    </xf>
    <xf numFmtId="166" fontId="14" fillId="0" borderId="0" xfId="0" applyFont="1" applyFill="1" applyBorder="1" applyProtection="1"/>
    <xf numFmtId="166" fontId="14" fillId="9" borderId="0" xfId="0" applyFont="1" applyFill="1" applyBorder="1" applyAlignment="1" applyProtection="1">
      <alignment horizontal="center" vertical="center"/>
    </xf>
    <xf numFmtId="166" fontId="21" fillId="9" borderId="0" xfId="0" applyFont="1" applyFill="1" applyAlignment="1" applyProtection="1">
      <alignment horizontal="center" vertical="center"/>
    </xf>
    <xf numFmtId="166" fontId="14" fillId="0" borderId="0" xfId="0" applyFont="1" applyBorder="1" applyAlignment="1" applyProtection="1">
      <alignment horizontal="justify" vertical="center" wrapText="1"/>
    </xf>
    <xf numFmtId="166" fontId="14" fillId="0" borderId="0" xfId="0" applyFont="1" applyBorder="1" applyProtection="1"/>
    <xf numFmtId="166" fontId="18" fillId="5" borderId="1" xfId="0" applyFont="1" applyFill="1" applyBorder="1" applyAlignment="1" applyProtection="1">
      <alignment horizontal="center" vertical="center" wrapText="1"/>
      <protection locked="0"/>
    </xf>
    <xf numFmtId="2" fontId="4" fillId="0" borderId="1" xfId="2" applyNumberFormat="1" applyFont="1" applyFill="1" applyBorder="1" applyAlignment="1" applyProtection="1">
      <alignment horizontal="center" vertical="center" wrapText="1"/>
      <protection locked="0"/>
    </xf>
    <xf numFmtId="2" fontId="4" fillId="10" borderId="1" xfId="2" applyNumberFormat="1" applyFont="1" applyFill="1" applyBorder="1" applyAlignment="1" applyProtection="1">
      <alignment horizontal="center" vertical="center" wrapText="1"/>
      <protection locked="0"/>
    </xf>
    <xf numFmtId="166" fontId="18" fillId="5" borderId="1" xfId="0" applyNumberFormat="1" applyFont="1" applyFill="1" applyBorder="1" applyAlignment="1">
      <alignment horizontal="center" vertical="center" wrapText="1"/>
    </xf>
    <xf numFmtId="166" fontId="3" fillId="2" borderId="1" xfId="0" applyFont="1" applyFill="1" applyBorder="1" applyAlignment="1">
      <alignment horizontal="center"/>
    </xf>
    <xf numFmtId="166" fontId="3" fillId="2" borderId="1" xfId="0" applyFont="1" applyFill="1" applyBorder="1" applyAlignment="1">
      <alignment horizontal="center" vertical="center"/>
    </xf>
    <xf numFmtId="166" fontId="29" fillId="0" borderId="0" xfId="0" applyFont="1" applyFill="1" applyProtection="1"/>
    <xf numFmtId="166" fontId="18" fillId="0" borderId="0" xfId="0" applyFont="1" applyFill="1" applyAlignment="1" applyProtection="1">
      <alignment horizontal="center"/>
    </xf>
    <xf numFmtId="166" fontId="17" fillId="0" borderId="0" xfId="0" applyFont="1" applyFill="1"/>
    <xf numFmtId="166" fontId="4" fillId="0" borderId="1" xfId="2" applyNumberFormat="1" applyFont="1" applyFill="1" applyBorder="1" applyAlignment="1" applyProtection="1">
      <alignment horizontal="center" vertical="center"/>
      <protection locked="0"/>
    </xf>
    <xf numFmtId="166" fontId="5" fillId="6" borderId="7" xfId="3" applyFont="1" applyFill="1" applyBorder="1" applyAlignment="1" applyProtection="1">
      <alignment horizontal="center" vertical="center" wrapText="1"/>
    </xf>
    <xf numFmtId="4" fontId="10" fillId="9" borderId="0" xfId="0" applyNumberFormat="1" applyFont="1" applyFill="1" applyProtection="1"/>
    <xf numFmtId="166" fontId="5" fillId="6" borderId="1" xfId="3" applyFont="1" applyFill="1" applyBorder="1" applyAlignment="1" applyProtection="1">
      <alignment horizontal="center" vertic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2" fontId="4" fillId="4" borderId="7" xfId="4" applyNumberFormat="1" applyFont="1" applyFill="1" applyBorder="1" applyAlignment="1" applyProtection="1">
      <alignment horizontal="center"/>
    </xf>
    <xf numFmtId="166" fontId="32" fillId="0" borderId="0" xfId="1" applyFont="1" applyFill="1" applyBorder="1" applyAlignment="1" applyProtection="1">
      <alignment horizontal="center" vertical="center" wrapText="1"/>
    </xf>
    <xf numFmtId="166" fontId="4" fillId="0" borderId="0" xfId="0" applyFont="1" applyFill="1" applyBorder="1" applyProtection="1"/>
    <xf numFmtId="166" fontId="4" fillId="0" borderId="0" xfId="0" applyFont="1" applyProtection="1"/>
    <xf numFmtId="166" fontId="5" fillId="6" borderId="1" xfId="3" applyFont="1" applyFill="1" applyBorder="1" applyAlignment="1">
      <alignment horizontal="left" vertical="center" wrapText="1"/>
    </xf>
    <xf numFmtId="166" fontId="33" fillId="0" borderId="14" xfId="0" applyFont="1" applyFill="1" applyBorder="1"/>
    <xf numFmtId="166" fontId="33" fillId="0" borderId="15" xfId="0" applyFont="1" applyFill="1" applyBorder="1"/>
    <xf numFmtId="166" fontId="0" fillId="0" borderId="14" xfId="0" applyBorder="1"/>
    <xf numFmtId="166" fontId="33" fillId="0" borderId="0" xfId="0" applyFont="1" applyFill="1"/>
    <xf numFmtId="166" fontId="17" fillId="9" borderId="0" xfId="0" applyFont="1" applyFill="1" applyAlignment="1" applyProtection="1">
      <alignment horizontal="left"/>
    </xf>
    <xf numFmtId="166" fontId="24" fillId="0" borderId="16" xfId="0" applyFont="1" applyBorder="1" applyAlignment="1">
      <alignment horizontal="center" vertical="top"/>
    </xf>
    <xf numFmtId="166" fontId="5" fillId="6" borderId="7" xfId="3" applyFont="1" applyFill="1" applyBorder="1" applyAlignment="1" applyProtection="1">
      <alignment horizontal="center" vertical="center" wrapText="1"/>
    </xf>
    <xf numFmtId="166" fontId="4" fillId="4" borderId="4" xfId="4" applyFont="1" applyFill="1" applyBorder="1" applyAlignment="1" applyProtection="1">
      <alignment horizontal="left"/>
    </xf>
    <xf numFmtId="10" fontId="15" fillId="4" borderId="17" xfId="5" applyNumberFormat="1" applyFont="1" applyFill="1" applyBorder="1" applyAlignment="1" applyProtection="1">
      <alignment horizontal="center" vertical="center" wrapText="1"/>
    </xf>
    <xf numFmtId="166" fontId="1" fillId="0" borderId="5" xfId="0" applyFont="1" applyBorder="1" applyAlignment="1">
      <alignment horizontal="center"/>
    </xf>
    <xf numFmtId="166" fontId="5" fillId="6" borderId="13" xfId="3" applyFont="1" applyFill="1" applyBorder="1" applyAlignment="1">
      <alignment horizontal="center" vertical="center" wrapText="1"/>
    </xf>
    <xf numFmtId="166" fontId="1" fillId="0" borderId="18" xfId="0" applyFont="1" applyBorder="1" applyAlignment="1">
      <alignment horizontal="center"/>
    </xf>
    <xf numFmtId="166" fontId="0" fillId="0" borderId="5" xfId="0" applyBorder="1"/>
    <xf numFmtId="166" fontId="13" fillId="0" borderId="13" xfId="0" applyFont="1" applyBorder="1" applyAlignment="1">
      <alignment horizontal="center"/>
    </xf>
    <xf numFmtId="166" fontId="0" fillId="0" borderId="18" xfId="0" applyBorder="1"/>
    <xf numFmtId="166" fontId="13" fillId="0" borderId="2" xfId="0" applyFont="1" applyBorder="1" applyAlignment="1">
      <alignment horizontal="center"/>
    </xf>
    <xf numFmtId="166" fontId="0" fillId="0" borderId="2" xfId="0" applyBorder="1"/>
    <xf numFmtId="166" fontId="13" fillId="0" borderId="7" xfId="0" applyFont="1" applyBorder="1" applyAlignment="1">
      <alignment horizontal="center"/>
    </xf>
    <xf numFmtId="166" fontId="5" fillId="9" borderId="0" xfId="3" applyFont="1" applyFill="1" applyBorder="1" applyAlignment="1" applyProtection="1">
      <alignment horizontal="left" vertical="center" wrapText="1" indent="1"/>
    </xf>
    <xf numFmtId="166" fontId="18" fillId="9" borderId="0" xfId="0" applyFont="1" applyFill="1" applyAlignment="1" applyProtection="1">
      <alignment horizontal="left" vertical="center" indent="1"/>
    </xf>
    <xf numFmtId="166" fontId="5" fillId="9" borderId="0" xfId="0" applyFont="1" applyFill="1" applyBorder="1" applyAlignment="1" applyProtection="1">
      <alignment horizontal="left" vertical="center" indent="1"/>
    </xf>
    <xf numFmtId="166" fontId="9" fillId="9" borderId="0" xfId="0" applyFont="1" applyFill="1" applyAlignment="1" applyProtection="1">
      <alignment horizontal="left" vertical="center" indent="1"/>
    </xf>
    <xf numFmtId="166" fontId="6" fillId="9" borderId="0" xfId="0" applyFont="1" applyFill="1" applyBorder="1" applyAlignment="1" applyProtection="1">
      <alignment horizontal="left" vertical="center" indent="1"/>
    </xf>
    <xf numFmtId="166" fontId="5" fillId="9" borderId="0" xfId="0" applyFont="1" applyFill="1" applyBorder="1" applyAlignment="1" applyProtection="1">
      <alignment horizontal="left" vertical="center" wrapText="1" indent="1"/>
    </xf>
    <xf numFmtId="166" fontId="4" fillId="9" borderId="0" xfId="0" applyFont="1" applyFill="1" applyBorder="1" applyAlignment="1" applyProtection="1">
      <alignment horizontal="left" vertical="center" indent="1"/>
    </xf>
    <xf numFmtId="166" fontId="21" fillId="9" borderId="0" xfId="0" applyFont="1" applyFill="1" applyAlignment="1" applyProtection="1">
      <alignment horizontal="left" vertical="center" indent="1"/>
    </xf>
    <xf numFmtId="2" fontId="20" fillId="9" borderId="0" xfId="1" applyNumberFormat="1" applyFont="1" applyFill="1" applyBorder="1" applyAlignment="1" applyProtection="1">
      <alignment horizontal="left" vertical="center" indent="1"/>
    </xf>
    <xf numFmtId="166" fontId="10" fillId="9" borderId="0" xfId="0" applyNumberFormat="1" applyFont="1" applyFill="1" applyProtection="1"/>
    <xf numFmtId="166" fontId="37" fillId="0" borderId="0" xfId="0" applyFont="1"/>
    <xf numFmtId="166" fontId="17" fillId="9" borderId="0" xfId="0" applyFont="1" applyFill="1" applyBorder="1"/>
    <xf numFmtId="166" fontId="17" fillId="9" borderId="0" xfId="0" applyFont="1" applyFill="1"/>
    <xf numFmtId="166" fontId="20" fillId="9" borderId="0" xfId="1" applyFont="1" applyFill="1" applyBorder="1" applyAlignment="1" applyProtection="1">
      <alignment horizontal="center" vertical="center" wrapText="1"/>
    </xf>
    <xf numFmtId="166" fontId="5" fillId="9" borderId="0" xfId="3" applyFont="1" applyFill="1" applyBorder="1" applyAlignment="1" applyProtection="1">
      <alignment horizontal="center" vertical="center" wrapText="1"/>
    </xf>
    <xf numFmtId="2" fontId="2" fillId="9" borderId="0" xfId="2" applyNumberFormat="1" applyFont="1" applyFill="1" applyBorder="1" applyAlignment="1" applyProtection="1">
      <alignment horizontal="left"/>
    </xf>
    <xf numFmtId="2" fontId="17" fillId="9" borderId="0" xfId="0" applyNumberFormat="1" applyFont="1" applyFill="1" applyBorder="1" applyAlignment="1" applyProtection="1">
      <alignment horizontal="center" vertical="center"/>
    </xf>
    <xf numFmtId="2" fontId="29" fillId="9" borderId="0" xfId="0" applyNumberFormat="1" applyFont="1" applyFill="1" applyBorder="1" applyAlignment="1" applyProtection="1">
      <alignment horizontal="center" vertical="center"/>
    </xf>
    <xf numFmtId="166" fontId="5" fillId="9" borderId="0" xfId="3" applyFont="1" applyFill="1" applyBorder="1" applyAlignment="1" applyProtection="1">
      <alignment vertical="center" wrapText="1"/>
    </xf>
    <xf numFmtId="166" fontId="17" fillId="9" borderId="0" xfId="0" applyFont="1" applyFill="1" applyBorder="1" applyAlignment="1" applyProtection="1">
      <alignment vertical="center"/>
    </xf>
    <xf numFmtId="14" fontId="0" fillId="0" borderId="1" xfId="0" applyNumberFormat="1" applyBorder="1" applyAlignment="1" applyProtection="1">
      <alignment horizontal="center"/>
      <protection locked="0"/>
    </xf>
    <xf numFmtId="166" fontId="38" fillId="15" borderId="1" xfId="8" applyFont="1" applyFill="1" applyBorder="1" applyAlignment="1">
      <alignment horizontal="center"/>
    </xf>
    <xf numFmtId="166" fontId="5" fillId="6" borderId="2" xfId="3" applyFont="1" applyFill="1" applyBorder="1" applyAlignment="1" applyProtection="1">
      <alignment horizontal="center" vertical="center" wrapText="1"/>
    </xf>
    <xf numFmtId="166" fontId="39" fillId="0" borderId="16" xfId="0" applyFont="1" applyBorder="1" applyAlignment="1">
      <alignment horizontal="center"/>
    </xf>
    <xf numFmtId="166" fontId="5" fillId="6" borderId="1" xfId="3" applyFont="1" applyFill="1" applyBorder="1" applyAlignment="1" applyProtection="1">
      <alignment horizontal="center" vertical="center" wrapText="1"/>
    </xf>
    <xf numFmtId="2" fontId="4" fillId="4" borderId="1" xfId="4" applyNumberFormat="1" applyFont="1" applyFill="1" applyBorder="1" applyAlignment="1" applyProtection="1">
      <alignment horizontal="center"/>
    </xf>
    <xf numFmtId="167" fontId="4" fillId="4" borderId="1" xfId="4" applyNumberFormat="1" applyFont="1" applyFill="1" applyBorder="1" applyAlignment="1" applyProtection="1">
      <alignment horizontal="center"/>
    </xf>
    <xf numFmtId="4" fontId="4" fillId="4" borderId="1" xfId="0" applyNumberFormat="1" applyFont="1" applyFill="1" applyBorder="1" applyAlignment="1" applyProtection="1">
      <alignment horizontal="center"/>
    </xf>
    <xf numFmtId="9" fontId="4" fillId="4" borderId="1" xfId="0" applyNumberFormat="1" applyFont="1" applyFill="1" applyBorder="1" applyAlignment="1" applyProtection="1">
      <alignment horizontal="center"/>
    </xf>
    <xf numFmtId="166" fontId="0" fillId="0" borderId="0" xfId="0" applyFill="1" applyBorder="1"/>
    <xf numFmtId="166" fontId="0" fillId="0" borderId="0" xfId="0" applyNumberFormat="1" applyFill="1" applyBorder="1" applyAlignment="1"/>
    <xf numFmtId="166" fontId="0" fillId="0" borderId="0" xfId="0" applyNumberFormat="1" applyFill="1" applyBorder="1"/>
    <xf numFmtId="166" fontId="5" fillId="6" borderId="1" xfId="3" applyFont="1" applyFill="1" applyBorder="1" applyAlignment="1" applyProtection="1">
      <alignment horizontal="center" vertical="center" wrapText="1"/>
    </xf>
    <xf numFmtId="166" fontId="4" fillId="4" borderId="17" xfId="4" applyFont="1" applyFill="1" applyBorder="1" applyAlignment="1" applyProtection="1">
      <alignment horizontal="left"/>
    </xf>
    <xf numFmtId="166" fontId="10" fillId="16" borderId="0" xfId="0" applyNumberFormat="1" applyFont="1" applyFill="1"/>
    <xf numFmtId="166" fontId="5" fillId="6" borderId="5" xfId="3" applyFont="1" applyFill="1" applyBorder="1" applyAlignment="1">
      <alignment horizontal="center" vertical="center" wrapText="1"/>
    </xf>
    <xf numFmtId="0" fontId="17" fillId="0" borderId="0" xfId="0" applyNumberFormat="1" applyFont="1"/>
    <xf numFmtId="0" fontId="17" fillId="0" borderId="0" xfId="0" applyNumberFormat="1" applyFont="1" applyFill="1" applyBorder="1"/>
    <xf numFmtId="0" fontId="5" fillId="6" borderId="1" xfId="3" applyNumberFormat="1" applyFont="1" applyFill="1" applyBorder="1" applyAlignment="1">
      <alignment horizontal="center" vertical="center" wrapText="1"/>
    </xf>
    <xf numFmtId="0" fontId="18" fillId="5" borderId="1" xfId="0" applyNumberFormat="1" applyFont="1" applyFill="1" applyBorder="1" applyAlignment="1">
      <alignment horizontal="center" wrapText="1"/>
    </xf>
    <xf numFmtId="0" fontId="4" fillId="4" borderId="1" xfId="2" applyNumberFormat="1" applyFont="1" applyFill="1" applyBorder="1" applyAlignment="1">
      <alignment horizontal="center" wrapText="1"/>
    </xf>
    <xf numFmtId="0" fontId="4" fillId="0" borderId="1" xfId="2" applyNumberFormat="1" applyFont="1" applyFill="1" applyBorder="1" applyAlignment="1">
      <alignment horizontal="center" wrapText="1"/>
    </xf>
    <xf numFmtId="0" fontId="14" fillId="4" borderId="1" xfId="0" applyNumberFormat="1" applyFont="1" applyFill="1" applyBorder="1" applyAlignment="1">
      <alignment horizontal="center" wrapText="1"/>
    </xf>
    <xf numFmtId="0" fontId="17" fillId="0" borderId="0" xfId="0" applyNumberFormat="1" applyFont="1" applyProtection="1"/>
    <xf numFmtId="0" fontId="5" fillId="0" borderId="0" xfId="3" applyNumberFormat="1" applyFont="1" applyFill="1" applyBorder="1" applyAlignment="1" applyProtection="1">
      <alignment horizontal="center" vertical="center" wrapText="1"/>
    </xf>
    <xf numFmtId="0" fontId="5" fillId="6" borderId="1" xfId="3" applyNumberFormat="1" applyFont="1" applyFill="1" applyBorder="1" applyAlignment="1" applyProtection="1">
      <alignment horizontal="center" vertical="center" wrapText="1"/>
    </xf>
    <xf numFmtId="0" fontId="18" fillId="5" borderId="1" xfId="0" applyNumberFormat="1" applyFont="1" applyFill="1" applyBorder="1" applyAlignment="1">
      <alignment horizontal="center" vertical="center" wrapText="1"/>
    </xf>
    <xf numFmtId="0" fontId="4" fillId="4" borderId="1" xfId="2" applyNumberFormat="1" applyFont="1" applyFill="1" applyBorder="1" applyAlignment="1">
      <alignment horizontal="center" vertical="center" wrapText="1"/>
    </xf>
    <xf numFmtId="0" fontId="4" fillId="4" borderId="1" xfId="0" applyNumberFormat="1" applyFont="1" applyFill="1" applyBorder="1" applyAlignment="1" applyProtection="1">
      <alignment horizontal="center"/>
    </xf>
    <xf numFmtId="0" fontId="10" fillId="0" borderId="0" xfId="0" applyNumberFormat="1" applyFont="1" applyFill="1" applyProtection="1"/>
    <xf numFmtId="0" fontId="10" fillId="0" borderId="0" xfId="0" applyNumberFormat="1" applyFont="1" applyProtection="1"/>
    <xf numFmtId="0" fontId="0" fillId="0" borderId="0" xfId="0" applyNumberFormat="1"/>
    <xf numFmtId="0" fontId="24" fillId="0" borderId="0" xfId="0" applyNumberFormat="1" applyFont="1"/>
    <xf numFmtId="0" fontId="27" fillId="0" borderId="0" xfId="0" applyNumberFormat="1" applyFont="1"/>
    <xf numFmtId="0" fontId="13" fillId="0" borderId="0" xfId="0" applyNumberFormat="1" applyFont="1" applyAlignment="1">
      <alignment horizontal="center"/>
    </xf>
    <xf numFmtId="0" fontId="1" fillId="0" borderId="0" xfId="0" applyNumberFormat="1" applyFont="1"/>
    <xf numFmtId="0" fontId="13" fillId="0" borderId="1" xfId="0" applyNumberFormat="1" applyFont="1" applyBorder="1" applyAlignment="1">
      <alignment horizontal="center"/>
    </xf>
    <xf numFmtId="0" fontId="0" fillId="0" borderId="1" xfId="0" applyNumberFormat="1" applyBorder="1"/>
    <xf numFmtId="166" fontId="4" fillId="4" borderId="1" xfId="4" applyFont="1" applyFill="1" applyBorder="1" applyAlignment="1" applyProtection="1">
      <alignment horizontal="left"/>
    </xf>
    <xf numFmtId="0" fontId="0" fillId="0" borderId="1" xfId="0" applyNumberFormat="1" applyBorder="1" applyAlignment="1" applyProtection="1">
      <alignment horizontal="center"/>
      <protection locked="0"/>
    </xf>
    <xf numFmtId="2" fontId="4" fillId="4" borderId="2" xfId="2" applyNumberFormat="1" applyFont="1" applyFill="1" applyBorder="1" applyAlignment="1" applyProtection="1">
      <alignment horizontal="center"/>
    </xf>
    <xf numFmtId="0" fontId="4" fillId="4" borderId="1" xfId="3" applyNumberFormat="1" applyFont="1" applyFill="1" applyBorder="1" applyAlignment="1" applyProtection="1">
      <alignment horizontal="center"/>
    </xf>
    <xf numFmtId="0" fontId="4" fillId="0" borderId="1" xfId="3" applyNumberFormat="1" applyFont="1" applyFill="1" applyBorder="1" applyAlignment="1" applyProtection="1">
      <alignment horizontal="left" vertical="center" wrapText="1"/>
      <protection locked="0"/>
    </xf>
    <xf numFmtId="2" fontId="4" fillId="0" borderId="1" xfId="2" applyNumberFormat="1" applyFont="1" applyFill="1" applyBorder="1" applyAlignment="1" applyProtection="1">
      <alignment horizontal="center"/>
      <protection locked="0"/>
    </xf>
    <xf numFmtId="2" fontId="5" fillId="6" borderId="1" xfId="6" applyNumberFormat="1" applyFont="1" applyFill="1" applyBorder="1" applyAlignment="1" applyProtection="1">
      <alignment horizontal="center" vertical="center" wrapText="1"/>
    </xf>
    <xf numFmtId="0" fontId="0" fillId="0" borderId="1" xfId="0" applyNumberFormat="1" applyBorder="1" applyAlignment="1" applyProtection="1">
      <alignment horizontal="left"/>
      <protection locked="0"/>
    </xf>
    <xf numFmtId="0" fontId="17" fillId="6" borderId="4" xfId="3" applyNumberFormat="1" applyFont="1" applyFill="1" applyBorder="1" applyAlignment="1" applyProtection="1">
      <alignment wrapText="1"/>
      <protection locked="0"/>
    </xf>
    <xf numFmtId="0" fontId="17" fillId="0" borderId="4" xfId="0" applyNumberFormat="1" applyFont="1" applyBorder="1" applyAlignment="1" applyProtection="1">
      <alignment wrapText="1"/>
    </xf>
    <xf numFmtId="0" fontId="4" fillId="0" borderId="1" xfId="0" applyNumberFormat="1" applyFont="1" applyBorder="1" applyAlignment="1" applyProtection="1">
      <alignment horizontal="center" vertical="center"/>
      <protection locked="0"/>
    </xf>
    <xf numFmtId="0" fontId="2" fillId="5" borderId="1" xfId="2" applyNumberFormat="1" applyFont="1" applyFill="1" applyBorder="1" applyAlignment="1" applyProtection="1">
      <alignment horizontal="left"/>
    </xf>
    <xf numFmtId="0" fontId="4" fillId="0" borderId="1" xfId="0" applyNumberFormat="1" applyFont="1" applyBorder="1" applyAlignment="1" applyProtection="1">
      <alignment horizontal="left" vertical="center"/>
      <protection locked="0"/>
    </xf>
    <xf numFmtId="0" fontId="4" fillId="0" borderId="1" xfId="0" applyNumberFormat="1" applyFont="1" applyFill="1" applyBorder="1" applyAlignment="1" applyProtection="1">
      <alignment vertical="center"/>
      <protection locked="0"/>
    </xf>
    <xf numFmtId="0" fontId="4" fillId="10" borderId="1" xfId="2" applyNumberFormat="1" applyFont="1" applyFill="1" applyBorder="1" applyAlignment="1" applyProtection="1">
      <alignment horizontal="center"/>
      <protection locked="0"/>
    </xf>
    <xf numFmtId="166" fontId="5" fillId="6" borderId="1" xfId="3" applyFont="1" applyFill="1" applyBorder="1" applyAlignment="1" applyProtection="1">
      <alignment horizontal="center" vertical="center" wrapText="1"/>
    </xf>
    <xf numFmtId="10" fontId="4" fillId="0" borderId="1" xfId="5" applyNumberFormat="1" applyFont="1" applyFill="1" applyBorder="1" applyAlignment="1">
      <alignment horizontal="center" vertical="center" wrapText="1"/>
    </xf>
    <xf numFmtId="10" fontId="5" fillId="6" borderId="1" xfId="5" applyNumberFormat="1" applyFont="1" applyFill="1" applyBorder="1" applyAlignment="1">
      <alignment horizontal="center" vertical="center" wrapText="1"/>
    </xf>
    <xf numFmtId="166" fontId="18" fillId="5" borderId="1" xfId="0" applyFont="1" applyFill="1" applyBorder="1" applyAlignment="1">
      <alignment horizontal="left" vertical="center" wrapText="1"/>
    </xf>
    <xf numFmtId="10" fontId="18" fillId="5" borderId="1" xfId="5" applyNumberFormat="1" applyFont="1" applyFill="1" applyBorder="1" applyAlignment="1">
      <alignment horizontal="center" vertical="center" wrapText="1"/>
    </xf>
    <xf numFmtId="2" fontId="4" fillId="4" borderId="1" xfId="2" applyNumberFormat="1" applyFont="1" applyFill="1" applyBorder="1" applyAlignment="1">
      <alignment horizontal="left" vertical="center" wrapText="1"/>
    </xf>
    <xf numFmtId="10" fontId="4" fillId="4" borderId="1" xfId="5" applyNumberFormat="1" applyFont="1" applyFill="1" applyBorder="1" applyAlignment="1">
      <alignment horizontal="center" vertical="center" wrapText="1"/>
    </xf>
    <xf numFmtId="2" fontId="4" fillId="0" borderId="1" xfId="2" applyNumberFormat="1" applyFont="1" applyFill="1" applyBorder="1" applyAlignment="1">
      <alignment horizontal="left" vertical="center" wrapText="1"/>
    </xf>
    <xf numFmtId="0" fontId="3" fillId="2" borderId="1" xfId="0" applyNumberFormat="1" applyFont="1" applyFill="1" applyBorder="1" applyAlignment="1">
      <alignment horizontal="center"/>
    </xf>
    <xf numFmtId="0" fontId="3" fillId="2" borderId="1" xfId="0" applyNumberFormat="1" applyFont="1" applyFill="1" applyBorder="1" applyAlignment="1">
      <alignment horizontal="center" vertical="center"/>
    </xf>
    <xf numFmtId="166" fontId="5" fillId="6" borderId="1" xfId="3" applyFont="1" applyFill="1" applyBorder="1" applyAlignment="1" applyProtection="1">
      <alignment horizontal="center" vertical="center" wrapText="1"/>
    </xf>
    <xf numFmtId="166" fontId="14" fillId="2" borderId="1" xfId="0" applyFont="1" applyFill="1" applyBorder="1" applyAlignment="1">
      <alignment wrapText="1"/>
    </xf>
    <xf numFmtId="166" fontId="4" fillId="4" borderId="1" xfId="0" applyFont="1" applyFill="1" applyBorder="1" applyAlignment="1">
      <alignment vertical="top" wrapText="1"/>
    </xf>
    <xf numFmtId="166" fontId="5" fillId="6" borderId="1" xfId="3" applyFont="1" applyFill="1" applyBorder="1" applyAlignment="1" applyProtection="1">
      <alignment horizontal="center" vertic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166" fontId="0" fillId="0" borderId="1" xfId="0" applyBorder="1" applyAlignment="1">
      <alignment vertical="center"/>
    </xf>
    <xf numFmtId="2" fontId="0" fillId="0" borderId="0" xfId="0" applyNumberFormat="1" applyAlignment="1">
      <alignment horizontal="center" vertical="center"/>
    </xf>
    <xf numFmtId="166" fontId="0" fillId="0" borderId="0" xfId="0" applyAlignment="1">
      <alignment horizontal="center" vertical="center"/>
    </xf>
    <xf numFmtId="10" fontId="15" fillId="4" borderId="1" xfId="0" applyNumberFormat="1" applyFont="1" applyFill="1" applyBorder="1" applyAlignment="1">
      <alignment horizontal="center" vertical="center" wrapText="1"/>
    </xf>
    <xf numFmtId="10" fontId="15" fillId="4" borderId="4" xfId="0" applyNumberFormat="1" applyFont="1" applyFill="1" applyBorder="1" applyAlignment="1">
      <alignment horizontal="center" vertical="center" wrapText="1"/>
    </xf>
    <xf numFmtId="10" fontId="17" fillId="5" borderId="1" xfId="5" applyNumberFormat="1" applyFont="1" applyFill="1" applyBorder="1" applyAlignment="1">
      <alignment horizontal="center" vertical="center" wrapText="1"/>
    </xf>
    <xf numFmtId="10" fontId="17" fillId="5" borderId="4" xfId="5" applyNumberFormat="1" applyFont="1" applyFill="1" applyBorder="1" applyAlignment="1">
      <alignment horizontal="center" vertical="center" wrapText="1"/>
    </xf>
    <xf numFmtId="0" fontId="5" fillId="6" borderId="1" xfId="3" applyNumberFormat="1" applyFont="1" applyFill="1" applyBorder="1" applyAlignment="1" applyProtection="1">
      <alignment vertical="center" wrapText="1"/>
    </xf>
    <xf numFmtId="166" fontId="5" fillId="6" borderId="1" xfId="3" applyFont="1" applyFill="1" applyBorder="1" applyAlignment="1" applyProtection="1">
      <alignment vertical="center" wrapText="1"/>
    </xf>
    <xf numFmtId="166" fontId="5" fillId="6" borderId="7" xfId="3" applyFont="1" applyFill="1" applyBorder="1" applyAlignment="1" applyProtection="1">
      <alignment vertical="center" wrapText="1"/>
    </xf>
    <xf numFmtId="0" fontId="18" fillId="5" borderId="1" xfId="0" applyNumberFormat="1" applyFont="1" applyFill="1" applyBorder="1" applyAlignment="1">
      <alignment vertical="center" wrapText="1"/>
    </xf>
    <xf numFmtId="166" fontId="18" fillId="5" borderId="1" xfId="0" applyFont="1" applyFill="1" applyBorder="1" applyAlignment="1">
      <alignment vertical="center" wrapText="1"/>
    </xf>
    <xf numFmtId="0" fontId="0" fillId="0" borderId="0" xfId="0" applyNumberFormat="1" applyAlignment="1">
      <alignment vertical="center"/>
    </xf>
    <xf numFmtId="0" fontId="4" fillId="4" borderId="1" xfId="2" applyNumberFormat="1" applyFont="1" applyFill="1" applyBorder="1" applyAlignment="1" applyProtection="1">
      <alignment vertical="center" wrapText="1"/>
    </xf>
    <xf numFmtId="2" fontId="4" fillId="4" borderId="1" xfId="2" applyNumberFormat="1" applyFont="1" applyFill="1" applyBorder="1" applyAlignment="1" applyProtection="1">
      <alignment vertical="center" wrapText="1"/>
    </xf>
    <xf numFmtId="0" fontId="4" fillId="4" borderId="4" xfId="2" applyNumberFormat="1" applyFont="1" applyFill="1" applyBorder="1" applyAlignment="1" applyProtection="1">
      <alignment vertical="center" wrapText="1"/>
    </xf>
    <xf numFmtId="2" fontId="4" fillId="4" borderId="4" xfId="2" applyNumberFormat="1" applyFont="1" applyFill="1" applyBorder="1" applyAlignment="1" applyProtection="1">
      <alignment vertical="center" wrapText="1"/>
    </xf>
    <xf numFmtId="0" fontId="14" fillId="4" borderId="1" xfId="0" applyNumberFormat="1" applyFont="1" applyFill="1" applyBorder="1" applyAlignment="1" applyProtection="1">
      <alignment vertical="center" wrapText="1"/>
    </xf>
    <xf numFmtId="2" fontId="14" fillId="4" borderId="1" xfId="0" applyNumberFormat="1" applyFont="1" applyFill="1" applyBorder="1" applyAlignment="1" applyProtection="1">
      <alignment vertical="center" wrapText="1"/>
    </xf>
    <xf numFmtId="0" fontId="18" fillId="5" borderId="4" xfId="0" applyNumberFormat="1" applyFont="1" applyFill="1" applyBorder="1" applyAlignment="1">
      <alignment vertical="center" wrapText="1"/>
    </xf>
    <xf numFmtId="166" fontId="18" fillId="5" borderId="4" xfId="0" applyFont="1" applyFill="1" applyBorder="1" applyAlignment="1">
      <alignment vertical="center" wrapText="1"/>
    </xf>
    <xf numFmtId="0" fontId="14" fillId="4" borderId="4" xfId="0" applyNumberFormat="1" applyFont="1" applyFill="1" applyBorder="1" applyAlignment="1" applyProtection="1">
      <alignment vertical="center" wrapText="1"/>
    </xf>
    <xf numFmtId="2" fontId="14" fillId="4" borderId="4" xfId="0" applyNumberFormat="1" applyFont="1" applyFill="1" applyBorder="1" applyAlignment="1" applyProtection="1">
      <alignment vertical="center" wrapText="1"/>
    </xf>
    <xf numFmtId="0" fontId="17" fillId="6" borderId="4" xfId="3" applyNumberFormat="1" applyFont="1" applyFill="1" applyBorder="1" applyAlignment="1" applyProtection="1">
      <protection locked="0"/>
    </xf>
    <xf numFmtId="0" fontId="4" fillId="0" borderId="1" xfId="3" applyNumberFormat="1" applyFont="1" applyFill="1" applyBorder="1" applyAlignment="1" applyProtection="1">
      <alignment horizontal="left"/>
      <protection locked="0"/>
    </xf>
    <xf numFmtId="0" fontId="4" fillId="0" borderId="1" xfId="3" applyNumberFormat="1" applyFont="1" applyFill="1" applyBorder="1" applyAlignment="1" applyProtection="1">
      <alignment horizontal="center"/>
      <protection locked="0"/>
    </xf>
    <xf numFmtId="166" fontId="17" fillId="0" borderId="0" xfId="0" applyFont="1" applyAlignment="1" applyProtection="1"/>
    <xf numFmtId="166" fontId="17" fillId="9" borderId="0" xfId="0" applyFont="1" applyFill="1" applyAlignment="1" applyProtection="1"/>
    <xf numFmtId="0" fontId="4" fillId="4" borderId="1" xfId="0" applyNumberFormat="1" applyFont="1" applyFill="1" applyBorder="1" applyAlignment="1" applyProtection="1">
      <alignment horizont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166" fontId="3" fillId="0" borderId="0" xfId="3" applyFont="1" applyFill="1" applyBorder="1" applyAlignment="1" applyProtection="1">
      <alignment horizontal="center" vertical="center" wrapText="1"/>
    </xf>
    <xf numFmtId="166" fontId="42" fillId="0" borderId="0" xfId="0" applyFont="1"/>
    <xf numFmtId="166" fontId="26" fillId="0" borderId="8" xfId="0" applyFont="1" applyBorder="1"/>
    <xf numFmtId="0" fontId="5" fillId="0" borderId="1" xfId="3" applyNumberFormat="1" applyFont="1" applyFill="1" applyBorder="1" applyAlignment="1" applyProtection="1">
      <alignment horizontal="center" vertical="center" wrapText="1"/>
      <protection locked="0"/>
    </xf>
    <xf numFmtId="166" fontId="17" fillId="0" borderId="0" xfId="0" applyFont="1" applyFill="1" applyAlignment="1" applyProtection="1">
      <alignment horizontal="center" vertical="center"/>
    </xf>
    <xf numFmtId="166" fontId="0" fillId="0" borderId="0" xfId="0" applyFill="1" applyBorder="1" applyAlignment="1" applyProtection="1">
      <alignment vertical="center"/>
    </xf>
    <xf numFmtId="166" fontId="0" fillId="0" borderId="0" xfId="0" applyFill="1" applyBorder="1" applyAlignment="1" applyProtection="1">
      <alignment horizontal="center" vertical="center"/>
    </xf>
    <xf numFmtId="2" fontId="0" fillId="0" borderId="0" xfId="0" applyNumberFormat="1" applyFill="1" applyBorder="1" applyAlignment="1" applyProtection="1">
      <alignment horizontal="center" vertical="center"/>
    </xf>
    <xf numFmtId="166" fontId="17" fillId="0" borderId="18" xfId="0" applyFont="1" applyFill="1" applyBorder="1" applyAlignment="1" applyProtection="1"/>
    <xf numFmtId="166" fontId="17" fillId="0" borderId="0" xfId="0" applyFont="1" applyFill="1" applyBorder="1" applyAlignment="1" applyProtection="1"/>
    <xf numFmtId="2" fontId="43" fillId="12" borderId="1" xfId="0" applyNumberFormat="1" applyFont="1" applyFill="1" applyBorder="1" applyAlignment="1" applyProtection="1">
      <alignment horizontal="center" vertical="center"/>
    </xf>
    <xf numFmtId="2" fontId="44" fillId="12" borderId="1" xfId="0" applyNumberFormat="1" applyFont="1" applyFill="1" applyBorder="1" applyAlignment="1" applyProtection="1">
      <alignment horizontal="center" vertical="center"/>
    </xf>
    <xf numFmtId="2" fontId="43" fillId="0" borderId="0" xfId="0" applyNumberFormat="1" applyFont="1" applyFill="1" applyBorder="1" applyAlignment="1" applyProtection="1">
      <alignment horizontal="center" vertical="center"/>
    </xf>
    <xf numFmtId="2" fontId="43" fillId="12" borderId="7" xfId="0" applyNumberFormat="1" applyFont="1" applyFill="1" applyBorder="1" applyAlignment="1" applyProtection="1">
      <alignment horizontal="center" vertical="center"/>
    </xf>
    <xf numFmtId="166" fontId="42" fillId="0" borderId="8" xfId="0" applyFont="1" applyBorder="1"/>
    <xf numFmtId="166" fontId="42" fillId="0" borderId="0" xfId="0" applyFont="1" applyBorder="1"/>
    <xf numFmtId="166" fontId="42" fillId="0" borderId="0" xfId="0" applyFont="1" applyFill="1" applyBorder="1" applyAlignment="1">
      <alignment horizontal="left"/>
    </xf>
    <xf numFmtId="2" fontId="44" fillId="9" borderId="1" xfId="0" applyNumberFormat="1" applyFont="1" applyFill="1" applyBorder="1" applyAlignment="1" applyProtection="1">
      <alignment horizontal="center" vertical="center"/>
    </xf>
    <xf numFmtId="4" fontId="9" fillId="9" borderId="1" xfId="7" applyNumberFormat="1" applyFont="1" applyFill="1" applyBorder="1" applyAlignment="1" applyProtection="1">
      <alignment horizontal="center" vertical="center" wrapText="1"/>
    </xf>
    <xf numFmtId="164" fontId="9" fillId="9" borderId="0" xfId="7" applyFont="1" applyFill="1" applyBorder="1" applyAlignment="1" applyProtection="1">
      <alignment horizontal="center" vertical="center" wrapText="1"/>
    </xf>
    <xf numFmtId="1" fontId="43" fillId="9" borderId="1" xfId="0" applyNumberFormat="1" applyFont="1" applyFill="1" applyBorder="1" applyAlignment="1" applyProtection="1">
      <alignment horizontal="center" vertical="center"/>
    </xf>
    <xf numFmtId="166" fontId="17" fillId="9" borderId="18" xfId="0" applyFont="1" applyFill="1" applyBorder="1" applyAlignment="1" applyProtection="1"/>
    <xf numFmtId="166" fontId="17" fillId="9" borderId="0" xfId="0" applyFont="1" applyFill="1" applyBorder="1" applyAlignment="1" applyProtection="1"/>
    <xf numFmtId="166" fontId="0" fillId="9" borderId="0" xfId="0" applyFill="1" applyBorder="1" applyAlignment="1" applyProtection="1">
      <alignment horizontal="center" vertical="center"/>
    </xf>
    <xf numFmtId="166" fontId="3" fillId="0" borderId="0" xfId="3" applyFont="1" applyFill="1" applyBorder="1" applyAlignment="1" applyProtection="1">
      <alignment horizontal="center" vertical="center" wrapText="1"/>
    </xf>
    <xf numFmtId="4" fontId="9" fillId="6" borderId="1" xfId="7" applyNumberFormat="1" applyFont="1" applyFill="1" applyBorder="1" applyAlignment="1" applyProtection="1">
      <alignment horizontal="center" vertical="center" wrapText="1"/>
    </xf>
    <xf numFmtId="166" fontId="5" fillId="11" borderId="1" xfId="3" applyFont="1" applyFill="1" applyBorder="1" applyAlignment="1" applyProtection="1">
      <alignment horizontal="center" vertical="center" wrapText="1"/>
    </xf>
    <xf numFmtId="0" fontId="43" fillId="0" borderId="1" xfId="0" applyNumberFormat="1" applyFont="1" applyFill="1" applyBorder="1" applyAlignment="1" applyProtection="1">
      <alignment horizontal="center" vertical="center"/>
      <protection locked="0"/>
    </xf>
    <xf numFmtId="1" fontId="43" fillId="0" borderId="1" xfId="0" applyNumberFormat="1" applyFont="1" applyFill="1" applyBorder="1" applyAlignment="1" applyProtection="1">
      <alignment horizontal="center" vertical="center"/>
      <protection locked="0"/>
    </xf>
    <xf numFmtId="166" fontId="5" fillId="6" borderId="1" xfId="3" applyFont="1" applyFill="1" applyBorder="1" applyAlignment="1" applyProtection="1">
      <alignment horizontal="center" vertical="center" wrapText="1"/>
    </xf>
    <xf numFmtId="166" fontId="3" fillId="0" borderId="0" xfId="3" applyFont="1" applyFill="1" applyBorder="1" applyAlignment="1" applyProtection="1">
      <alignment horizontal="center" vertical="center" wrapText="1"/>
    </xf>
    <xf numFmtId="4" fontId="9" fillId="6" borderId="1" xfId="7" applyNumberFormat="1" applyFont="1" applyFill="1" applyBorder="1" applyAlignment="1" applyProtection="1">
      <alignment horizontal="center" vertical="center" wrapText="1"/>
    </xf>
    <xf numFmtId="166" fontId="5" fillId="6" borderId="1" xfId="3" applyFont="1" applyFill="1" applyBorder="1" applyAlignment="1" applyProtection="1">
      <alignment horizontal="center" vertical="center" wrapText="1"/>
    </xf>
    <xf numFmtId="166" fontId="5" fillId="11" borderId="1" xfId="3" applyNumberFormat="1" applyFont="1" applyFill="1" applyBorder="1" applyAlignment="1">
      <alignment horizontal="center" vertical="center" wrapText="1"/>
    </xf>
    <xf numFmtId="0" fontId="4" fillId="4" borderId="11" xfId="3" applyNumberFormat="1" applyFont="1" applyFill="1" applyBorder="1" applyAlignment="1">
      <alignment horizontal="center"/>
    </xf>
    <xf numFmtId="0" fontId="45" fillId="17" borderId="11" xfId="3" applyNumberFormat="1" applyFont="1" applyFill="1" applyBorder="1" applyAlignment="1">
      <alignment horizontal="center"/>
    </xf>
    <xf numFmtId="0" fontId="45" fillId="17" borderId="24" xfId="3" applyNumberFormat="1" applyFont="1" applyFill="1" applyBorder="1" applyAlignment="1">
      <alignment horizontal="center"/>
    </xf>
    <xf numFmtId="0" fontId="18" fillId="0" borderId="25" xfId="0" applyNumberFormat="1" applyFont="1" applyBorder="1" applyAlignment="1">
      <alignment wrapText="1"/>
    </xf>
    <xf numFmtId="0" fontId="5" fillId="4" borderId="26" xfId="0" applyNumberFormat="1" applyFont="1" applyFill="1" applyBorder="1" applyAlignment="1">
      <alignment horizontal="center"/>
    </xf>
    <xf numFmtId="0" fontId="5" fillId="4" borderId="26" xfId="0" applyNumberFormat="1" applyFont="1" applyFill="1" applyBorder="1" applyAlignment="1">
      <alignment horizontal="center" wrapText="1"/>
    </xf>
    <xf numFmtId="0" fontId="45" fillId="0" borderId="11" xfId="3" applyNumberFormat="1" applyFont="1" applyFill="1" applyBorder="1" applyAlignment="1">
      <alignment horizontal="center"/>
    </xf>
    <xf numFmtId="0" fontId="45" fillId="0" borderId="24" xfId="3" applyNumberFormat="1" applyFont="1" applyFill="1" applyBorder="1" applyAlignment="1">
      <alignment horizontal="center"/>
    </xf>
    <xf numFmtId="166" fontId="5" fillId="0" borderId="27" xfId="0" applyFont="1" applyFill="1" applyBorder="1" applyAlignment="1">
      <alignment horizontal="center"/>
    </xf>
    <xf numFmtId="166" fontId="5" fillId="0" borderId="19" xfId="0" applyFont="1" applyFill="1" applyBorder="1" applyAlignment="1">
      <alignment horizontal="center"/>
    </xf>
    <xf numFmtId="166" fontId="5" fillId="9" borderId="0" xfId="3" applyNumberFormat="1" applyFont="1" applyFill="1" applyBorder="1" applyAlignment="1">
      <alignment horizontal="center" vertical="center" wrapText="1"/>
    </xf>
    <xf numFmtId="166" fontId="5" fillId="9" borderId="11" xfId="3" applyNumberFormat="1" applyFont="1" applyFill="1" applyBorder="1" applyAlignment="1">
      <alignment horizontal="center" vertical="center" wrapText="1"/>
    </xf>
    <xf numFmtId="0" fontId="45" fillId="0" borderId="1" xfId="3" applyNumberFormat="1" applyFont="1" applyFill="1" applyBorder="1" applyAlignment="1">
      <alignment horizontal="center"/>
    </xf>
    <xf numFmtId="0" fontId="45" fillId="20" borderId="1" xfId="3" applyNumberFormat="1" applyFont="1" applyFill="1" applyBorder="1" applyAlignment="1">
      <alignment horizontal="center"/>
    </xf>
    <xf numFmtId="0" fontId="5" fillId="9" borderId="5" xfId="23" applyFont="1" applyFill="1" applyBorder="1" applyAlignment="1" applyProtection="1">
      <alignment horizontal="center" vertical="center" wrapText="1"/>
    </xf>
    <xf numFmtId="0" fontId="5" fillId="9" borderId="0" xfId="23" applyFont="1" applyFill="1" applyBorder="1" applyAlignment="1" applyProtection="1">
      <alignment horizontal="center" vertical="center" wrapText="1"/>
    </xf>
    <xf numFmtId="166" fontId="5" fillId="9" borderId="21" xfId="3" applyNumberFormat="1" applyFont="1" applyFill="1" applyBorder="1" applyAlignment="1">
      <alignment horizontal="center" wrapText="1"/>
    </xf>
    <xf numFmtId="166" fontId="5" fillId="9" borderId="22" xfId="3" applyNumberFormat="1" applyFont="1" applyFill="1" applyBorder="1" applyAlignment="1">
      <alignment horizontal="center" wrapText="1"/>
    </xf>
    <xf numFmtId="166" fontId="5" fillId="9" borderId="17" xfId="3" applyNumberFormat="1" applyFont="1" applyFill="1" applyBorder="1" applyAlignment="1">
      <alignment horizontal="center" vertical="center" wrapText="1"/>
    </xf>
    <xf numFmtId="166" fontId="5" fillId="9" borderId="9" xfId="3" applyNumberFormat="1" applyFont="1" applyFill="1" applyBorder="1" applyAlignment="1">
      <alignment horizontal="center" vertical="center" wrapText="1"/>
    </xf>
    <xf numFmtId="0" fontId="4" fillId="9" borderId="18" xfId="3" applyNumberFormat="1" applyFont="1" applyFill="1" applyBorder="1" applyAlignment="1">
      <alignment horizontal="left" vertical="center"/>
    </xf>
    <xf numFmtId="0" fontId="5" fillId="4" borderId="34" xfId="0" applyNumberFormat="1" applyFont="1" applyFill="1" applyBorder="1" applyAlignment="1">
      <alignment horizontal="center"/>
    </xf>
    <xf numFmtId="166" fontId="5" fillId="9" borderId="18" xfId="3" applyNumberFormat="1" applyFont="1" applyFill="1" applyBorder="1" applyAlignment="1">
      <alignment horizontal="center" vertical="center" wrapText="1"/>
    </xf>
    <xf numFmtId="166" fontId="5" fillId="9" borderId="13" xfId="3" applyNumberFormat="1" applyFont="1" applyFill="1" applyBorder="1" applyAlignment="1">
      <alignment horizontal="center" vertical="center" wrapText="1"/>
    </xf>
    <xf numFmtId="0" fontId="5" fillId="9" borderId="4" xfId="23" applyFont="1" applyFill="1" applyBorder="1" applyAlignment="1" applyProtection="1">
      <alignment horizontal="center" vertical="center" wrapText="1"/>
    </xf>
    <xf numFmtId="0" fontId="4" fillId="0" borderId="11" xfId="3" applyNumberFormat="1" applyFont="1" applyFill="1" applyBorder="1" applyAlignment="1" applyProtection="1">
      <alignment horizontal="left"/>
      <protection locked="0"/>
    </xf>
    <xf numFmtId="0" fontId="4" fillId="0" borderId="11" xfId="3" applyNumberFormat="1" applyFont="1" applyFill="1" applyBorder="1" applyAlignment="1" applyProtection="1">
      <alignment horizontal="center"/>
      <protection locked="0"/>
    </xf>
    <xf numFmtId="0" fontId="5" fillId="9" borderId="2" xfId="23" applyFont="1" applyFill="1" applyBorder="1" applyAlignment="1" applyProtection="1">
      <alignment horizontal="center" vertical="center" wrapText="1"/>
    </xf>
    <xf numFmtId="166" fontId="5" fillId="9" borderId="10" xfId="3" applyNumberFormat="1" applyFont="1" applyFill="1" applyBorder="1" applyAlignment="1">
      <alignment horizontal="center" vertical="center" wrapText="1"/>
    </xf>
    <xf numFmtId="166" fontId="5" fillId="11" borderId="38" xfId="3" applyNumberFormat="1" applyFont="1" applyFill="1" applyBorder="1" applyAlignment="1">
      <alignment horizontal="center" vertical="center" wrapText="1"/>
    </xf>
    <xf numFmtId="166" fontId="5" fillId="11" borderId="39" xfId="3" applyNumberFormat="1" applyFont="1" applyFill="1" applyBorder="1" applyAlignment="1">
      <alignment horizontal="center" vertical="center" wrapText="1"/>
    </xf>
    <xf numFmtId="166" fontId="5" fillId="0" borderId="38" xfId="3" applyNumberFormat="1" applyFont="1" applyFill="1" applyBorder="1" applyAlignment="1" applyProtection="1">
      <alignment horizontal="center" vertical="center" wrapText="1"/>
      <protection locked="0"/>
    </xf>
    <xf numFmtId="0" fontId="4" fillId="19" borderId="18" xfId="3" applyNumberFormat="1" applyFont="1" applyFill="1" applyBorder="1" applyAlignment="1">
      <alignment horizontal="left" vertical="center"/>
    </xf>
    <xf numFmtId="166" fontId="5" fillId="9" borderId="40" xfId="0" applyFont="1" applyFill="1" applyBorder="1" applyAlignment="1">
      <alignment horizontal="center"/>
    </xf>
    <xf numFmtId="0" fontId="5" fillId="4" borderId="44" xfId="0" applyNumberFormat="1" applyFont="1" applyFill="1" applyBorder="1" applyAlignment="1">
      <alignment horizontal="center"/>
    </xf>
    <xf numFmtId="0" fontId="5" fillId="4" borderId="45" xfId="0" applyNumberFormat="1" applyFont="1" applyFill="1" applyBorder="1" applyAlignment="1">
      <alignment horizontal="center"/>
    </xf>
    <xf numFmtId="0" fontId="5" fillId="4" borderId="43" xfId="0" applyNumberFormat="1" applyFont="1" applyFill="1" applyBorder="1" applyAlignment="1">
      <alignment horizontal="center"/>
    </xf>
    <xf numFmtId="0" fontId="4" fillId="9" borderId="18" xfId="3" applyNumberFormat="1" applyFont="1" applyFill="1" applyBorder="1" applyAlignment="1">
      <alignment horizontal="center" vertical="center"/>
    </xf>
    <xf numFmtId="0" fontId="4" fillId="9" borderId="11" xfId="3" applyNumberFormat="1" applyFont="1" applyFill="1" applyBorder="1" applyAlignment="1">
      <alignment horizontal="center" vertical="center"/>
    </xf>
    <xf numFmtId="0" fontId="4" fillId="9" borderId="8" xfId="3" applyNumberFormat="1" applyFont="1" applyFill="1" applyBorder="1" applyAlignment="1">
      <alignment horizontal="center" vertical="center"/>
    </xf>
    <xf numFmtId="2" fontId="4" fillId="4" borderId="2" xfId="2" applyNumberFormat="1" applyFont="1" applyFill="1" applyBorder="1" applyAlignment="1" applyProtection="1">
      <alignment horizontal="center" vertical="center"/>
    </xf>
    <xf numFmtId="2" fontId="2" fillId="5" borderId="2" xfId="2" applyNumberFormat="1" applyFont="1" applyFill="1" applyBorder="1" applyAlignment="1" applyProtection="1">
      <alignment horizontal="center" vertical="center"/>
    </xf>
    <xf numFmtId="2" fontId="4" fillId="0" borderId="1" xfId="2" applyNumberFormat="1" applyFont="1" applyFill="1" applyBorder="1" applyAlignment="1" applyProtection="1">
      <alignment horizontal="center" vertical="center"/>
      <protection locked="0"/>
    </xf>
    <xf numFmtId="4" fontId="4" fillId="5" borderId="1" xfId="2" applyNumberFormat="1" applyFont="1" applyFill="1" applyBorder="1" applyAlignment="1" applyProtection="1">
      <alignment horizontal="center"/>
      <protection locked="0"/>
    </xf>
    <xf numFmtId="9" fontId="4" fillId="5" borderId="1" xfId="5" applyFont="1" applyFill="1" applyBorder="1" applyAlignment="1" applyProtection="1">
      <alignment horizontal="center"/>
    </xf>
    <xf numFmtId="0" fontId="4" fillId="5" borderId="1" xfId="2" applyNumberFormat="1" applyFont="1" applyFill="1" applyBorder="1" applyAlignment="1" applyProtection="1">
      <alignment horizontal="center"/>
      <protection locked="0"/>
    </xf>
    <xf numFmtId="166" fontId="18" fillId="5" borderId="1" xfId="0" applyNumberFormat="1" applyFont="1" applyFill="1" applyBorder="1" applyAlignment="1">
      <alignment horizontal="left" vertical="center" wrapText="1"/>
    </xf>
    <xf numFmtId="166" fontId="4" fillId="4" borderId="1" xfId="0" applyNumberFormat="1" applyFont="1" applyFill="1" applyBorder="1" applyAlignment="1" applyProtection="1">
      <alignment horizontal="left" vertical="center"/>
    </xf>
    <xf numFmtId="170" fontId="17" fillId="0" borderId="0" xfId="5" applyNumberFormat="1" applyFont="1" applyProtection="1"/>
    <xf numFmtId="0" fontId="4" fillId="9" borderId="1" xfId="3" applyNumberFormat="1" applyFont="1" applyFill="1" applyBorder="1" applyAlignment="1" applyProtection="1">
      <alignment horizontal="center"/>
    </xf>
    <xf numFmtId="0" fontId="4" fillId="9" borderId="1" xfId="0" applyNumberFormat="1" applyFont="1" applyFill="1" applyBorder="1" applyAlignment="1" applyProtection="1">
      <alignment horizontal="center"/>
    </xf>
    <xf numFmtId="166" fontId="3" fillId="0" borderId="0" xfId="3" applyFont="1" applyFill="1" applyBorder="1" applyAlignment="1" applyProtection="1">
      <alignment horizontal="center" vertical="center" wrapText="1"/>
    </xf>
    <xf numFmtId="4" fontId="9" fillId="6" borderId="1" xfId="7" applyNumberFormat="1" applyFont="1" applyFill="1" applyBorder="1" applyAlignment="1" applyProtection="1">
      <alignment horizontal="center" vertical="center" wrapText="1"/>
    </xf>
    <xf numFmtId="166" fontId="17" fillId="0" borderId="1" xfId="0" applyFont="1" applyBorder="1" applyAlignment="1" applyProtection="1">
      <alignment horizontal="center"/>
    </xf>
    <xf numFmtId="1" fontId="43" fillId="12" borderId="1" xfId="0" applyNumberFormat="1" applyFont="1" applyFill="1" applyBorder="1" applyAlignment="1" applyProtection="1">
      <alignment horizontal="center" vertical="center"/>
    </xf>
    <xf numFmtId="166" fontId="5" fillId="6" borderId="1" xfId="3" applyFont="1" applyFill="1" applyBorder="1" applyAlignment="1" applyProtection="1">
      <alignment horizontal="center" vertical="center" wrapText="1"/>
    </xf>
    <xf numFmtId="2" fontId="4" fillId="4" borderId="2" xfId="2" applyNumberFormat="1" applyFont="1" applyFill="1" applyBorder="1" applyAlignment="1" applyProtection="1">
      <alignment horizontal="center"/>
    </xf>
    <xf numFmtId="0" fontId="17" fillId="6" borderId="23" xfId="3" applyNumberFormat="1" applyFont="1" applyFill="1" applyBorder="1" applyAlignment="1" applyProtection="1">
      <protection locked="0"/>
    </xf>
    <xf numFmtId="2" fontId="14" fillId="0" borderId="1" xfId="0" applyNumberFormat="1" applyFont="1" applyBorder="1" applyAlignment="1" applyProtection="1">
      <alignment horizontal="center" vertical="center"/>
      <protection locked="0"/>
    </xf>
    <xf numFmtId="166" fontId="5" fillId="6" borderId="1" xfId="3" applyFont="1" applyFill="1" applyBorder="1" applyAlignment="1" applyProtection="1">
      <alignment horizontal="center" vertical="center" wrapText="1"/>
    </xf>
    <xf numFmtId="166" fontId="5" fillId="6" borderId="2" xfId="3" applyFont="1" applyFill="1" applyBorder="1" applyAlignment="1" applyProtection="1">
      <alignment horizontal="center" vertic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166" fontId="5" fillId="9" borderId="7" xfId="3" applyFont="1" applyFill="1" applyBorder="1" applyAlignment="1" applyProtection="1">
      <alignment horizontal="center" vertical="center" wrapText="1"/>
    </xf>
    <xf numFmtId="0" fontId="10" fillId="17" borderId="11" xfId="3" applyNumberFormat="1" applyFont="1" applyFill="1" applyBorder="1" applyAlignment="1">
      <alignment horizontal="center"/>
    </xf>
    <xf numFmtId="0" fontId="10" fillId="17" borderId="24" xfId="3" applyNumberFormat="1" applyFont="1" applyFill="1" applyBorder="1" applyAlignment="1">
      <alignment horizontal="center"/>
    </xf>
    <xf numFmtId="0" fontId="10" fillId="9" borderId="0" xfId="0" applyNumberFormat="1" applyFont="1" applyFill="1" applyProtection="1"/>
    <xf numFmtId="166" fontId="17" fillId="0" borderId="0" xfId="0" applyFont="1" applyAlignment="1" applyProtection="1">
      <alignment vertical="center"/>
    </xf>
    <xf numFmtId="166" fontId="10" fillId="0" borderId="0" xfId="0" applyFont="1" applyAlignment="1" applyProtection="1">
      <alignment vertical="center"/>
    </xf>
    <xf numFmtId="166" fontId="4" fillId="4" borderId="1" xfId="2" applyNumberFormat="1" applyFont="1" applyFill="1" applyBorder="1" applyAlignment="1" applyProtection="1">
      <alignment horizontal="center" vertical="center"/>
    </xf>
    <xf numFmtId="166" fontId="4" fillId="0" borderId="1" xfId="0" applyFont="1" applyBorder="1" applyAlignment="1" applyProtection="1">
      <alignment vertical="center"/>
      <protection locked="0"/>
    </xf>
    <xf numFmtId="166" fontId="10" fillId="0" borderId="0" xfId="0" applyFont="1" applyBorder="1" applyAlignment="1" applyProtection="1">
      <alignment vertical="center"/>
    </xf>
    <xf numFmtId="2" fontId="4" fillId="8" borderId="1" xfId="2" applyNumberFormat="1" applyFont="1" applyFill="1" applyBorder="1" applyAlignment="1" applyProtection="1">
      <alignment horizontal="center" vertical="center"/>
    </xf>
    <xf numFmtId="166" fontId="4" fillId="0" borderId="0" xfId="0" applyFont="1" applyFill="1" applyBorder="1" applyAlignment="1" applyProtection="1">
      <alignment horizontal="center" vertical="center"/>
    </xf>
    <xf numFmtId="166" fontId="4" fillId="9" borderId="0" xfId="3" applyFont="1" applyFill="1" applyBorder="1" applyAlignment="1" applyProtection="1">
      <alignment horizontal="center" vertical="center" wrapText="1"/>
    </xf>
    <xf numFmtId="166" fontId="4" fillId="9" borderId="13" xfId="3" applyFont="1" applyFill="1" applyBorder="1" applyAlignment="1" applyProtection="1">
      <alignment horizontal="center" vertical="center" wrapText="1"/>
    </xf>
    <xf numFmtId="2" fontId="5" fillId="9" borderId="0" xfId="3" applyNumberFormat="1" applyFont="1" applyFill="1" applyBorder="1" applyAlignment="1" applyProtection="1">
      <alignment horizontal="center" vertical="center" wrapText="1"/>
    </xf>
    <xf numFmtId="166" fontId="20" fillId="9" borderId="0" xfId="1" applyFont="1" applyFill="1" applyBorder="1" applyAlignment="1" applyProtection="1">
      <alignment horizontal="right" vertical="center" wrapText="1"/>
    </xf>
    <xf numFmtId="166" fontId="19" fillId="9" borderId="0" xfId="0" applyFont="1" applyFill="1" applyAlignment="1" applyProtection="1">
      <alignment horizontal="center" vertical="center" textRotation="45"/>
    </xf>
    <xf numFmtId="166" fontId="17" fillId="9" borderId="0" xfId="0" applyFont="1" applyFill="1" applyAlignment="1" applyProtection="1">
      <alignment vertical="center"/>
    </xf>
    <xf numFmtId="0" fontId="17" fillId="9" borderId="0" xfId="0" applyNumberFormat="1" applyFont="1" applyFill="1" applyAlignment="1" applyProtection="1">
      <alignment vertical="center"/>
    </xf>
    <xf numFmtId="166" fontId="17" fillId="9" borderId="0" xfId="0" applyFont="1" applyFill="1" applyAlignment="1" applyProtection="1">
      <alignment horizontal="center"/>
    </xf>
    <xf numFmtId="0" fontId="17" fillId="9" borderId="0" xfId="0" applyNumberFormat="1" applyFont="1" applyFill="1" applyBorder="1" applyAlignment="1" applyProtection="1">
      <alignment vertical="center"/>
    </xf>
    <xf numFmtId="166" fontId="5" fillId="9" borderId="1" xfId="3" applyNumberFormat="1" applyFont="1" applyFill="1" applyBorder="1" applyAlignment="1">
      <alignment horizontal="center" vertical="center" wrapText="1"/>
    </xf>
    <xf numFmtId="0" fontId="10" fillId="9" borderId="0" xfId="0" applyNumberFormat="1" applyFont="1" applyFill="1" applyAlignment="1" applyProtection="1">
      <alignment vertical="center"/>
    </xf>
    <xf numFmtId="166" fontId="17" fillId="9" borderId="4" xfId="0" applyNumberFormat="1" applyFont="1" applyFill="1" applyBorder="1" applyAlignment="1" applyProtection="1">
      <alignment horizontal="center"/>
    </xf>
    <xf numFmtId="166" fontId="17" fillId="9" borderId="0" xfId="0" applyNumberFormat="1" applyFont="1" applyFill="1" applyBorder="1" applyAlignment="1" applyProtection="1">
      <alignment horizontal="center"/>
    </xf>
    <xf numFmtId="166" fontId="18" fillId="9" borderId="1" xfId="0" applyNumberFormat="1" applyFont="1" applyFill="1" applyBorder="1" applyAlignment="1">
      <alignment horizontal="center" vertical="center" wrapText="1"/>
    </xf>
    <xf numFmtId="2" fontId="4" fillId="9" borderId="1" xfId="2" applyNumberFormat="1" applyFont="1" applyFill="1" applyBorder="1" applyAlignment="1">
      <alignment horizontal="center" vertical="center" wrapText="1"/>
    </xf>
    <xf numFmtId="2" fontId="10" fillId="9" borderId="0" xfId="0" applyNumberFormat="1" applyFont="1" applyFill="1" applyAlignment="1" applyProtection="1">
      <alignment horizontal="left" vertical="center"/>
    </xf>
    <xf numFmtId="166" fontId="0" fillId="9" borderId="0" xfId="0" applyFill="1" applyProtection="1"/>
    <xf numFmtId="2" fontId="5" fillId="9" borderId="1" xfId="0" applyNumberFormat="1" applyFont="1" applyFill="1" applyBorder="1" applyAlignment="1">
      <alignment horizontal="center" vertical="center"/>
    </xf>
    <xf numFmtId="166" fontId="10" fillId="9" borderId="0" xfId="0" applyFont="1" applyFill="1" applyAlignment="1" applyProtection="1">
      <alignment vertical="center"/>
    </xf>
    <xf numFmtId="166" fontId="5" fillId="6" borderId="7" xfId="3" applyFont="1" applyFill="1" applyBorder="1" applyAlignment="1" applyProtection="1">
      <alignment horizontal="center" vertical="center" wrapText="1"/>
    </xf>
    <xf numFmtId="2" fontId="17" fillId="9" borderId="0" xfId="0" applyNumberFormat="1" applyFont="1" applyFill="1" applyBorder="1" applyProtection="1"/>
    <xf numFmtId="166" fontId="18" fillId="9" borderId="1" xfId="0" applyFont="1" applyFill="1" applyBorder="1"/>
    <xf numFmtId="10" fontId="18" fillId="9" borderId="1" xfId="15" applyNumberFormat="1" applyFont="1" applyFill="1" applyBorder="1" applyAlignment="1">
      <alignment horizontal="center"/>
    </xf>
    <xf numFmtId="2" fontId="18" fillId="9" borderId="1" xfId="15" applyNumberFormat="1" applyFont="1" applyFill="1" applyBorder="1" applyAlignment="1">
      <alignment horizontal="center"/>
    </xf>
    <xf numFmtId="2" fontId="4" fillId="9" borderId="1" xfId="2" applyNumberFormat="1" applyFont="1" applyFill="1" applyBorder="1" applyAlignment="1" applyProtection="1">
      <alignment horizontal="left"/>
    </xf>
    <xf numFmtId="10" fontId="14" fillId="9" borderId="1" xfId="0" applyNumberFormat="1" applyFont="1" applyFill="1" applyBorder="1" applyAlignment="1">
      <alignment horizontal="center"/>
    </xf>
    <xf numFmtId="2" fontId="14" fillId="9" borderId="1" xfId="0" applyNumberFormat="1" applyFont="1" applyFill="1" applyBorder="1" applyAlignment="1">
      <alignment horizontal="center"/>
    </xf>
    <xf numFmtId="2" fontId="4" fillId="9" borderId="1" xfId="2" applyNumberFormat="1" applyFont="1" applyFill="1" applyBorder="1" applyAlignment="1" applyProtection="1">
      <alignment horizontal="left" vertical="center"/>
    </xf>
    <xf numFmtId="166" fontId="17" fillId="9" borderId="0" xfId="0" applyFont="1" applyFill="1" applyBorder="1" applyAlignment="1" applyProtection="1">
      <alignment wrapText="1"/>
    </xf>
    <xf numFmtId="2" fontId="4" fillId="4" borderId="2" xfId="2" applyNumberFormat="1" applyFont="1" applyFill="1" applyBorder="1" applyAlignment="1" applyProtection="1">
      <alignment horizontal="center" vertical="center"/>
    </xf>
    <xf numFmtId="0" fontId="4" fillId="0" borderId="1" xfId="3" applyNumberFormat="1" applyFont="1" applyFill="1" applyBorder="1" applyAlignment="1" applyProtection="1">
      <alignment horizontal="center" wrapText="1"/>
      <protection locked="0"/>
    </xf>
    <xf numFmtId="166" fontId="5" fillId="6" borderId="7" xfId="3" applyFont="1" applyFill="1" applyBorder="1" applyAlignment="1" applyProtection="1">
      <alignment horizontal="center" vertical="center" wrapText="1"/>
    </xf>
    <xf numFmtId="10" fontId="14" fillId="4" borderId="1" xfId="5" applyNumberFormat="1" applyFont="1" applyFill="1" applyBorder="1" applyAlignment="1">
      <alignment horizontal="center" vertical="center" wrapText="1"/>
    </xf>
    <xf numFmtId="166" fontId="0" fillId="21" borderId="0" xfId="0" applyFill="1" applyAlignment="1">
      <alignment vertical="center"/>
    </xf>
    <xf numFmtId="0" fontId="0" fillId="21" borderId="0" xfId="0" applyNumberFormat="1" applyFill="1" applyAlignment="1">
      <alignment vertical="center"/>
    </xf>
    <xf numFmtId="10" fontId="18" fillId="5" borderId="1" xfId="5" applyNumberFormat="1" applyFont="1" applyFill="1" applyBorder="1" applyAlignment="1">
      <alignment vertical="center" wrapText="1"/>
    </xf>
    <xf numFmtId="10" fontId="14" fillId="4" borderId="1" xfId="0" applyNumberFormat="1" applyFont="1" applyFill="1" applyBorder="1" applyAlignment="1">
      <alignment vertical="center" wrapText="1"/>
    </xf>
    <xf numFmtId="10" fontId="15" fillId="4" borderId="1" xfId="0" applyNumberFormat="1" applyFont="1" applyFill="1" applyBorder="1" applyAlignment="1">
      <alignment vertical="center" wrapText="1"/>
    </xf>
    <xf numFmtId="10" fontId="15" fillId="4" borderId="4" xfId="0" applyNumberFormat="1" applyFont="1" applyFill="1" applyBorder="1" applyAlignment="1">
      <alignment vertical="center" wrapText="1"/>
    </xf>
    <xf numFmtId="10" fontId="17" fillId="5" borderId="1" xfId="5" applyNumberFormat="1" applyFont="1" applyFill="1" applyBorder="1" applyAlignment="1">
      <alignment vertical="center" wrapText="1"/>
    </xf>
    <xf numFmtId="10" fontId="14" fillId="4" borderId="1" xfId="5" applyNumberFormat="1" applyFont="1" applyFill="1" applyBorder="1" applyAlignment="1" applyProtection="1">
      <alignment vertical="center" wrapText="1"/>
    </xf>
    <xf numFmtId="10" fontId="17" fillId="5" borderId="4" xfId="5" applyNumberFormat="1" applyFont="1" applyFill="1" applyBorder="1" applyAlignment="1">
      <alignment vertical="center" wrapText="1"/>
    </xf>
    <xf numFmtId="10" fontId="15" fillId="4" borderId="3" xfId="5" applyNumberFormat="1" applyFont="1" applyFill="1" applyBorder="1" applyAlignment="1" applyProtection="1">
      <alignment vertical="center" wrapText="1"/>
    </xf>
    <xf numFmtId="10" fontId="15" fillId="4" borderId="17" xfId="5" applyNumberFormat="1" applyFont="1" applyFill="1" applyBorder="1" applyAlignment="1" applyProtection="1">
      <alignment vertical="center" wrapText="1"/>
    </xf>
    <xf numFmtId="2" fontId="0" fillId="0" borderId="0" xfId="0" applyNumberFormat="1" applyProtection="1"/>
    <xf numFmtId="2" fontId="4" fillId="4" borderId="2" xfId="2" applyNumberFormat="1" applyFont="1" applyFill="1" applyBorder="1" applyAlignment="1" applyProtection="1">
      <alignment horizontal="center" vertical="center"/>
    </xf>
    <xf numFmtId="0" fontId="4" fillId="0" borderId="1" xfId="0" applyNumberFormat="1" applyFont="1" applyBorder="1" applyAlignment="1" applyProtection="1">
      <alignment horizontal="left" vertical="center" wrapText="1"/>
      <protection locked="0"/>
    </xf>
    <xf numFmtId="166" fontId="38" fillId="15" borderId="1" xfId="8" applyFont="1" applyFill="1" applyBorder="1" applyAlignment="1">
      <alignment horizontal="center"/>
    </xf>
    <xf numFmtId="166" fontId="5" fillId="6" borderId="1" xfId="3" applyFont="1" applyFill="1" applyBorder="1" applyAlignment="1" applyProtection="1">
      <alignment horizontal="center" vertical="center" wrapText="1"/>
    </xf>
    <xf numFmtId="2" fontId="5" fillId="4" borderId="2" xfId="2" applyNumberFormat="1" applyFont="1" applyFill="1" applyBorder="1" applyAlignment="1" applyProtection="1">
      <alignment horizontal="center" vertical="center"/>
    </xf>
    <xf numFmtId="2" fontId="5" fillId="4" borderId="4" xfId="2" applyNumberFormat="1" applyFont="1" applyFill="1" applyBorder="1" applyAlignment="1" applyProtection="1">
      <alignment horizontal="center" vertical="center"/>
    </xf>
    <xf numFmtId="2" fontId="6" fillId="4" borderId="2" xfId="2" applyNumberFormat="1" applyFont="1" applyFill="1" applyBorder="1" applyAlignment="1" applyProtection="1">
      <alignment horizontal="center" vertical="center"/>
    </xf>
    <xf numFmtId="2" fontId="6" fillId="4" borderId="4" xfId="2" applyNumberFormat="1" applyFont="1" applyFill="1" applyBorder="1" applyAlignment="1" applyProtection="1">
      <alignment horizontal="center" vertical="center"/>
    </xf>
    <xf numFmtId="0" fontId="6" fillId="0" borderId="2" xfId="0" applyNumberFormat="1" applyFont="1" applyBorder="1" applyAlignment="1" applyProtection="1">
      <alignment horizontal="center" vertical="center"/>
      <protection locked="0"/>
    </xf>
    <xf numFmtId="0" fontId="6" fillId="0" borderId="4" xfId="0" applyNumberFormat="1" applyFont="1" applyBorder="1" applyAlignment="1" applyProtection="1">
      <alignment horizontal="center" vertical="center"/>
      <protection locked="0"/>
    </xf>
    <xf numFmtId="0" fontId="4" fillId="0" borderId="2" xfId="0" applyNumberFormat="1" applyFont="1" applyBorder="1" applyAlignment="1" applyProtection="1">
      <alignment horizontal="justify" vertical="center" wrapText="1"/>
      <protection locked="0"/>
    </xf>
    <xf numFmtId="0" fontId="4" fillId="0" borderId="4" xfId="0" applyNumberFormat="1" applyFont="1" applyBorder="1" applyAlignment="1" applyProtection="1">
      <alignment horizontal="justify" vertical="center" wrapText="1"/>
      <protection locked="0"/>
    </xf>
    <xf numFmtId="2" fontId="4" fillId="4" borderId="2" xfId="2" applyNumberFormat="1" applyFont="1" applyFill="1" applyBorder="1" applyAlignment="1" applyProtection="1">
      <alignment horizontal="center" vertical="center"/>
    </xf>
    <xf numFmtId="2" fontId="4" fillId="4" borderId="4" xfId="2" applyNumberFormat="1" applyFont="1" applyFill="1" applyBorder="1" applyAlignment="1" applyProtection="1">
      <alignment horizontal="center" vertical="center"/>
    </xf>
    <xf numFmtId="4" fontId="6" fillId="13" borderId="2" xfId="2" applyNumberFormat="1" applyFont="1" applyFill="1" applyBorder="1" applyAlignment="1" applyProtection="1">
      <alignment horizontal="center" vertical="center"/>
    </xf>
    <xf numFmtId="4" fontId="6" fillId="13" borderId="4" xfId="2" applyNumberFormat="1" applyFont="1" applyFill="1" applyBorder="1" applyAlignment="1" applyProtection="1">
      <alignment horizontal="center" vertical="center"/>
    </xf>
    <xf numFmtId="166" fontId="5" fillId="6" borderId="2" xfId="3" applyFont="1" applyFill="1" applyBorder="1" applyAlignment="1" applyProtection="1">
      <alignment horizontal="center" vertical="center" wrapText="1"/>
    </xf>
    <xf numFmtId="166" fontId="5" fillId="6" borderId="4" xfId="3" applyFont="1" applyFill="1" applyBorder="1" applyAlignment="1" applyProtection="1">
      <alignment horizontal="center" vertical="center" wrapText="1"/>
    </xf>
    <xf numFmtId="166" fontId="4" fillId="0" borderId="2" xfId="0" applyFont="1" applyBorder="1" applyAlignment="1" applyProtection="1">
      <alignment horizontal="left" vertical="center"/>
      <protection locked="0"/>
    </xf>
    <xf numFmtId="166" fontId="4" fillId="0" borderId="4" xfId="0" applyFont="1" applyBorder="1" applyAlignment="1" applyProtection="1">
      <alignment horizontal="left" vertical="center"/>
      <protection locked="0"/>
    </xf>
    <xf numFmtId="166" fontId="4" fillId="0" borderId="2" xfId="0" applyFont="1" applyBorder="1" applyAlignment="1" applyProtection="1">
      <alignment horizontal="center" vertical="center"/>
      <protection locked="0"/>
    </xf>
    <xf numFmtId="166" fontId="4" fillId="0" borderId="4" xfId="0" applyFont="1" applyBorder="1" applyAlignment="1" applyProtection="1">
      <alignment horizontal="center" vertical="center"/>
      <protection locked="0"/>
    </xf>
    <xf numFmtId="168" fontId="10" fillId="4" borderId="2" xfId="2" applyNumberFormat="1" applyFont="1" applyFill="1" applyBorder="1" applyAlignment="1" applyProtection="1">
      <alignment horizontal="center" vertical="center"/>
    </xf>
    <xf numFmtId="168" fontId="10" fillId="4" borderId="4" xfId="2" applyNumberFormat="1" applyFont="1" applyFill="1" applyBorder="1" applyAlignment="1" applyProtection="1">
      <alignment horizontal="center" vertical="center"/>
    </xf>
    <xf numFmtId="166" fontId="4" fillId="0" borderId="2" xfId="0" applyNumberFormat="1" applyFont="1" applyFill="1" applyBorder="1" applyAlignment="1" applyProtection="1">
      <alignment horizontal="center" vertical="center"/>
      <protection locked="0"/>
    </xf>
    <xf numFmtId="166" fontId="4" fillId="0" borderId="4" xfId="0" applyNumberFormat="1" applyFont="1" applyFill="1" applyBorder="1" applyAlignment="1" applyProtection="1">
      <alignment horizontal="center" vertical="center"/>
      <protection locked="0"/>
    </xf>
    <xf numFmtId="168" fontId="6" fillId="4" borderId="2" xfId="2" applyNumberFormat="1" applyFont="1" applyFill="1" applyBorder="1" applyAlignment="1" applyProtection="1">
      <alignment horizontal="center" vertical="center"/>
    </xf>
    <xf numFmtId="168" fontId="6" fillId="4" borderId="4" xfId="2" applyNumberFormat="1" applyFont="1" applyFill="1" applyBorder="1" applyAlignment="1" applyProtection="1">
      <alignment horizontal="center" vertical="center"/>
    </xf>
    <xf numFmtId="0" fontId="4" fillId="0" borderId="2" xfId="0" applyNumberFormat="1" applyFont="1" applyFill="1" applyBorder="1" applyAlignment="1" applyProtection="1">
      <alignment horizontal="center" vertical="center"/>
      <protection locked="0"/>
    </xf>
    <xf numFmtId="0" fontId="4" fillId="0" borderId="4" xfId="0" applyNumberFormat="1" applyFont="1" applyFill="1" applyBorder="1" applyAlignment="1" applyProtection="1">
      <alignment horizontal="center" vertical="center"/>
      <protection locked="0"/>
    </xf>
    <xf numFmtId="166" fontId="4" fillId="0" borderId="0" xfId="3" applyFont="1" applyFill="1" applyBorder="1" applyAlignment="1" applyProtection="1">
      <alignment horizontal="center" vertical="center" wrapText="1"/>
    </xf>
    <xf numFmtId="166" fontId="5" fillId="6" borderId="3" xfId="3" applyFont="1" applyFill="1" applyBorder="1" applyAlignment="1" applyProtection="1">
      <alignment horizontal="center" vertical="center" wrapText="1"/>
    </xf>
    <xf numFmtId="166" fontId="5" fillId="6" borderId="6" xfId="3" applyFont="1" applyFill="1" applyBorder="1" applyAlignment="1" applyProtection="1">
      <alignment horizontal="center" vertic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166" fontId="5" fillId="11" borderId="3" xfId="3" applyFont="1" applyFill="1" applyBorder="1" applyAlignment="1" applyProtection="1">
      <alignment horizontal="center" vertical="center" wrapText="1"/>
    </xf>
    <xf numFmtId="166" fontId="5" fillId="11" borderId="7" xfId="3" applyFont="1" applyFill="1" applyBorder="1" applyAlignment="1" applyProtection="1">
      <alignment horizontal="center" vertical="center" wrapText="1"/>
    </xf>
    <xf numFmtId="166" fontId="0" fillId="12" borderId="3" xfId="0" applyFill="1" applyBorder="1" applyAlignment="1" applyProtection="1">
      <alignment horizontal="center" vertical="center" wrapText="1"/>
    </xf>
    <xf numFmtId="166" fontId="0" fillId="12" borderId="6" xfId="0" applyFill="1" applyBorder="1" applyAlignment="1" applyProtection="1">
      <alignment horizontal="center" vertical="center"/>
    </xf>
    <xf numFmtId="166" fontId="0" fillId="12" borderId="7" xfId="0" applyFill="1" applyBorder="1" applyAlignment="1" applyProtection="1">
      <alignment horizontal="center" vertical="center"/>
    </xf>
    <xf numFmtId="166" fontId="3" fillId="0" borderId="0" xfId="3" applyFont="1" applyFill="1" applyBorder="1" applyAlignment="1" applyProtection="1">
      <alignment horizontal="center" vertical="center" wrapText="1"/>
    </xf>
    <xf numFmtId="4" fontId="9" fillId="6" borderId="1" xfId="7" applyNumberFormat="1" applyFont="1" applyFill="1" applyBorder="1" applyAlignment="1" applyProtection="1">
      <alignment horizontal="center" vertical="center" wrapText="1"/>
    </xf>
    <xf numFmtId="166" fontId="5" fillId="11" borderId="1" xfId="3" applyFont="1" applyFill="1" applyBorder="1" applyAlignment="1" applyProtection="1">
      <alignment horizontal="center" vertical="center" wrapText="1"/>
    </xf>
    <xf numFmtId="166" fontId="44" fillId="12" borderId="1" xfId="0" applyFont="1" applyFill="1" applyBorder="1" applyAlignment="1" applyProtection="1">
      <alignment horizontal="center" vertical="center" wrapText="1"/>
    </xf>
    <xf numFmtId="166" fontId="5" fillId="11" borderId="2" xfId="3" applyFont="1" applyFill="1" applyBorder="1" applyAlignment="1" applyProtection="1">
      <alignment horizontal="center" vertical="center" wrapText="1"/>
    </xf>
    <xf numFmtId="166" fontId="5" fillId="11" borderId="5" xfId="3" applyFont="1" applyFill="1" applyBorder="1" applyAlignment="1" applyProtection="1">
      <alignment horizontal="center" vertical="center" wrapText="1"/>
    </xf>
    <xf numFmtId="166" fontId="5" fillId="11" borderId="4" xfId="3" applyFont="1" applyFill="1" applyBorder="1" applyAlignment="1" applyProtection="1">
      <alignment horizontal="center" vertical="center" wrapText="1"/>
    </xf>
    <xf numFmtId="166" fontId="5" fillId="9" borderId="3" xfId="3" applyFont="1" applyFill="1" applyBorder="1" applyAlignment="1" applyProtection="1">
      <alignment horizontal="center" vertical="center" wrapText="1"/>
    </xf>
    <xf numFmtId="166" fontId="5" fillId="9" borderId="6" xfId="3" applyFont="1" applyFill="1" applyBorder="1" applyAlignment="1" applyProtection="1">
      <alignment horizontal="center" vertical="center" wrapText="1"/>
    </xf>
    <xf numFmtId="166" fontId="5" fillId="9" borderId="7" xfId="3" applyFont="1" applyFill="1" applyBorder="1" applyAlignment="1" applyProtection="1">
      <alignment horizontal="center" vertical="center" wrapText="1"/>
    </xf>
    <xf numFmtId="166" fontId="44" fillId="12" borderId="1" xfId="0" applyFont="1" applyFill="1" applyBorder="1" applyAlignment="1" applyProtection="1">
      <alignment horizontal="center" vertical="center"/>
    </xf>
    <xf numFmtId="166" fontId="5" fillId="18" borderId="41" xfId="3" applyNumberFormat="1" applyFont="1" applyFill="1" applyBorder="1" applyAlignment="1">
      <alignment horizontal="center" vertical="center" wrapText="1"/>
    </xf>
    <xf numFmtId="166" fontId="5" fillId="18" borderId="42" xfId="3" applyNumberFormat="1" applyFont="1" applyFill="1" applyBorder="1" applyAlignment="1">
      <alignment horizontal="center" vertical="center" wrapText="1"/>
    </xf>
    <xf numFmtId="166" fontId="5" fillId="11" borderId="35" xfId="3" applyFont="1" applyFill="1" applyBorder="1" applyAlignment="1" applyProtection="1">
      <alignment horizontal="center" vertical="center" wrapText="1"/>
    </xf>
    <xf numFmtId="166" fontId="5" fillId="11" borderId="36" xfId="3" applyFont="1" applyFill="1" applyBorder="1" applyAlignment="1" applyProtection="1">
      <alignment horizontal="center" vertical="center" wrapText="1"/>
    </xf>
    <xf numFmtId="166" fontId="5" fillId="11" borderId="37" xfId="3" applyFont="1" applyFill="1" applyBorder="1" applyAlignment="1" applyProtection="1">
      <alignment horizontal="center" vertical="center" wrapText="1"/>
    </xf>
    <xf numFmtId="0" fontId="5" fillId="6" borderId="30" xfId="23" applyFont="1" applyFill="1" applyBorder="1" applyAlignment="1" applyProtection="1">
      <alignment horizontal="center" vertical="center" wrapText="1"/>
    </xf>
    <xf numFmtId="0" fontId="5" fillId="6" borderId="31" xfId="23" applyFont="1" applyFill="1" applyBorder="1" applyAlignment="1" applyProtection="1">
      <alignment horizontal="center" vertical="center" wrapText="1"/>
    </xf>
    <xf numFmtId="0" fontId="5" fillId="6" borderId="35" xfId="23" applyFont="1" applyFill="1" applyBorder="1" applyAlignment="1" applyProtection="1">
      <alignment horizontal="center" vertical="center" wrapText="1"/>
    </xf>
    <xf numFmtId="0" fontId="5" fillId="6" borderId="36" xfId="23" applyFont="1" applyFill="1" applyBorder="1" applyAlignment="1" applyProtection="1">
      <alignment horizontal="center" vertical="center" wrapText="1"/>
    </xf>
    <xf numFmtId="0" fontId="5" fillId="6" borderId="37" xfId="23" applyFont="1" applyFill="1" applyBorder="1" applyAlignment="1" applyProtection="1">
      <alignment horizontal="center" vertical="center" wrapText="1"/>
    </xf>
    <xf numFmtId="166" fontId="5" fillId="6" borderId="21" xfId="3" applyNumberFormat="1" applyFont="1" applyFill="1" applyBorder="1" applyAlignment="1">
      <alignment horizontal="center" vertical="center" wrapText="1"/>
    </xf>
    <xf numFmtId="166" fontId="5" fillId="6" borderId="10" xfId="3" applyNumberFormat="1" applyFont="1" applyFill="1" applyBorder="1" applyAlignment="1">
      <alignment horizontal="center" vertical="center" wrapText="1"/>
    </xf>
    <xf numFmtId="166" fontId="5" fillId="6" borderId="28" xfId="3" applyNumberFormat="1" applyFont="1" applyFill="1" applyBorder="1" applyAlignment="1">
      <alignment horizontal="center" vertical="center" wrapText="1"/>
    </xf>
    <xf numFmtId="166" fontId="5" fillId="6" borderId="7" xfId="3" applyNumberFormat="1" applyFont="1" applyFill="1" applyBorder="1" applyAlignment="1">
      <alignment horizontal="center" vertical="center" wrapText="1"/>
    </xf>
    <xf numFmtId="166" fontId="5" fillId="6" borderId="3" xfId="3" applyNumberFormat="1" applyFont="1" applyFill="1" applyBorder="1" applyAlignment="1">
      <alignment horizontal="center" vertical="center" wrapText="1"/>
    </xf>
    <xf numFmtId="166" fontId="5" fillId="6" borderId="29" xfId="3" applyNumberFormat="1" applyFont="1" applyFill="1" applyBorder="1" applyAlignment="1">
      <alignment horizontal="center" vertical="center" wrapText="1"/>
    </xf>
    <xf numFmtId="166" fontId="5" fillId="6" borderId="20" xfId="3" applyNumberFormat="1" applyFont="1" applyFill="1" applyBorder="1" applyAlignment="1">
      <alignment horizontal="center" vertical="center" wrapText="1"/>
    </xf>
    <xf numFmtId="166" fontId="17" fillId="0" borderId="14" xfId="0" applyFont="1" applyBorder="1" applyAlignment="1" applyProtection="1">
      <alignment horizontal="center"/>
    </xf>
    <xf numFmtId="166" fontId="5" fillId="6" borderId="32" xfId="3" applyNumberFormat="1" applyFont="1" applyFill="1" applyBorder="1" applyAlignment="1">
      <alignment horizontal="center" vertical="center" wrapText="1"/>
    </xf>
    <xf numFmtId="166" fontId="5" fillId="6" borderId="18" xfId="3" applyNumberFormat="1" applyFont="1" applyFill="1" applyBorder="1" applyAlignment="1">
      <alignment horizontal="center" vertical="center" wrapText="1"/>
    </xf>
    <xf numFmtId="166" fontId="5" fillId="6" borderId="49" xfId="3" applyNumberFormat="1" applyFont="1" applyFill="1" applyBorder="1" applyAlignment="1">
      <alignment horizontal="center" vertical="center" wrapText="1"/>
    </xf>
    <xf numFmtId="166" fontId="5" fillId="6" borderId="48" xfId="3" applyNumberFormat="1" applyFont="1" applyFill="1" applyBorder="1" applyAlignment="1">
      <alignment horizontal="center" vertical="center" wrapText="1"/>
    </xf>
    <xf numFmtId="166" fontId="5" fillId="6" borderId="13" xfId="3" applyNumberFormat="1" applyFont="1" applyFill="1" applyBorder="1" applyAlignment="1">
      <alignment horizontal="center" vertical="center" wrapText="1"/>
    </xf>
    <xf numFmtId="166" fontId="5" fillId="6" borderId="50" xfId="3" applyNumberFormat="1" applyFont="1" applyFill="1" applyBorder="1" applyAlignment="1">
      <alignment horizontal="center" vertical="center" wrapText="1"/>
    </xf>
    <xf numFmtId="0" fontId="4" fillId="0" borderId="46" xfId="3" applyNumberFormat="1" applyFont="1" applyBorder="1" applyAlignment="1" applyProtection="1">
      <alignment horizontal="center" vertical="center"/>
      <protection locked="0"/>
    </xf>
    <xf numFmtId="0" fontId="4" fillId="0" borderId="47" xfId="3" applyNumberFormat="1" applyFont="1" applyBorder="1" applyAlignment="1" applyProtection="1">
      <alignment horizontal="center" vertical="center"/>
      <protection locked="0"/>
    </xf>
    <xf numFmtId="0" fontId="4" fillId="0" borderId="5" xfId="3" applyNumberFormat="1" applyFont="1" applyBorder="1" applyAlignment="1" applyProtection="1">
      <alignment horizontal="center" vertical="center"/>
      <protection locked="0"/>
    </xf>
    <xf numFmtId="0" fontId="5" fillId="4" borderId="33" xfId="0" applyNumberFormat="1" applyFont="1" applyFill="1" applyBorder="1" applyAlignment="1">
      <alignment horizontal="center"/>
    </xf>
    <xf numFmtId="0" fontId="5" fillId="4" borderId="51" xfId="0" applyNumberFormat="1" applyFont="1" applyFill="1" applyBorder="1" applyAlignment="1">
      <alignment horizontal="center"/>
    </xf>
    <xf numFmtId="0" fontId="5" fillId="4" borderId="52" xfId="0" applyNumberFormat="1" applyFont="1" applyFill="1" applyBorder="1" applyAlignment="1">
      <alignment horizontal="center"/>
    </xf>
    <xf numFmtId="166" fontId="5" fillId="18" borderId="53" xfId="3" applyNumberFormat="1" applyFont="1" applyFill="1" applyBorder="1" applyAlignment="1">
      <alignment horizontal="center" vertical="center" wrapText="1"/>
    </xf>
    <xf numFmtId="166" fontId="5" fillId="18" borderId="54" xfId="3" applyNumberFormat="1" applyFont="1" applyFill="1" applyBorder="1" applyAlignment="1">
      <alignment horizontal="center" vertical="center" wrapText="1"/>
    </xf>
    <xf numFmtId="166" fontId="5" fillId="18" borderId="55" xfId="3" applyNumberFormat="1" applyFont="1" applyFill="1" applyBorder="1" applyAlignment="1">
      <alignment horizontal="center" vertical="center" wrapText="1"/>
    </xf>
    <xf numFmtId="1" fontId="2" fillId="5" borderId="1" xfId="2" applyNumberFormat="1" applyFont="1" applyFill="1" applyBorder="1" applyAlignment="1" applyProtection="1">
      <alignment horizontal="center" vertical="center"/>
    </xf>
    <xf numFmtId="2" fontId="4" fillId="4" borderId="2" xfId="2" applyNumberFormat="1" applyFont="1" applyFill="1" applyBorder="1" applyAlignment="1">
      <alignment horizontal="center" vertical="center" wrapText="1"/>
    </xf>
    <xf numFmtId="2" fontId="4" fillId="4" borderId="4" xfId="2" applyNumberFormat="1" applyFont="1" applyFill="1" applyBorder="1" applyAlignment="1">
      <alignment horizontal="center" vertical="center" wrapText="1"/>
    </xf>
    <xf numFmtId="0" fontId="14" fillId="0" borderId="2" xfId="0" applyNumberFormat="1" applyFont="1" applyBorder="1" applyAlignment="1" applyProtection="1">
      <alignment horizontal="left" vertical="center"/>
      <protection locked="0"/>
    </xf>
    <xf numFmtId="0" fontId="14" fillId="0" borderId="5" xfId="0" applyNumberFormat="1" applyFont="1" applyBorder="1" applyAlignment="1" applyProtection="1">
      <alignment horizontal="left" vertical="center"/>
      <protection locked="0"/>
    </xf>
    <xf numFmtId="0" fontId="14" fillId="0" borderId="4" xfId="0" applyNumberFormat="1" applyFont="1" applyBorder="1" applyAlignment="1" applyProtection="1">
      <alignment horizontal="left" vertical="center"/>
      <protection locked="0"/>
    </xf>
    <xf numFmtId="1" fontId="4" fillId="0" borderId="1" xfId="2" applyNumberFormat="1" applyFont="1" applyFill="1" applyBorder="1" applyAlignment="1" applyProtection="1">
      <alignment horizontal="center" vertical="center"/>
      <protection locked="0"/>
    </xf>
    <xf numFmtId="4" fontId="4" fillId="0" borderId="1" xfId="2" applyNumberFormat="1" applyFont="1" applyFill="1" applyBorder="1" applyAlignment="1" applyProtection="1">
      <alignment horizontal="center" vertical="center"/>
      <protection locked="0"/>
    </xf>
    <xf numFmtId="2" fontId="4" fillId="0" borderId="1" xfId="2" applyNumberFormat="1" applyFont="1" applyFill="1" applyBorder="1" applyAlignment="1" applyProtection="1">
      <alignment horizontal="center"/>
      <protection locked="0"/>
    </xf>
    <xf numFmtId="166" fontId="5" fillId="6" borderId="1" xfId="3" applyFont="1" applyFill="1" applyBorder="1" applyAlignment="1" applyProtection="1">
      <alignment horizontal="left" vertical="center" wrapText="1"/>
    </xf>
    <xf numFmtId="166" fontId="14" fillId="0" borderId="8" xfId="0" applyFont="1" applyBorder="1" applyAlignment="1" applyProtection="1">
      <alignment horizontal="center"/>
    </xf>
    <xf numFmtId="166" fontId="14" fillId="0" borderId="12" xfId="0" applyFont="1" applyBorder="1" applyAlignment="1" applyProtection="1">
      <alignment horizontal="center"/>
    </xf>
    <xf numFmtId="166" fontId="3" fillId="0" borderId="1" xfId="3" applyFont="1" applyFill="1" applyBorder="1" applyAlignment="1" applyProtection="1">
      <alignment horizontal="center" vertical="center" wrapText="1"/>
    </xf>
    <xf numFmtId="166" fontId="5" fillId="6" borderId="5" xfId="3" applyFont="1" applyFill="1" applyBorder="1" applyAlignment="1" applyProtection="1">
      <alignment horizontal="center" vertical="center" wrapText="1"/>
    </xf>
    <xf numFmtId="1" fontId="2" fillId="5" borderId="1" xfId="2" applyNumberFormat="1" applyFont="1" applyFill="1" applyBorder="1" applyAlignment="1" applyProtection="1">
      <alignment horizontal="center"/>
    </xf>
    <xf numFmtId="166" fontId="4" fillId="0" borderId="1" xfId="3" applyFont="1" applyFill="1" applyBorder="1" applyAlignment="1" applyProtection="1">
      <alignment horizontal="center" vertical="center" wrapText="1"/>
    </xf>
    <xf numFmtId="166" fontId="13" fillId="0" borderId="0" xfId="0" applyFont="1" applyAlignment="1">
      <alignment horizontal="left" vertical="center" wrapText="1"/>
    </xf>
    <xf numFmtId="0" fontId="24" fillId="0" borderId="0" xfId="0" applyNumberFormat="1" applyFont="1" applyAlignment="1">
      <alignment horizontal="center" vertical="center"/>
    </xf>
  </cellXfs>
  <cellStyles count="25">
    <cellStyle name="Bom 2" xfId="17"/>
    <cellStyle name="Comma" xfId="6" builtinId="3"/>
    <cellStyle name="Good" xfId="8" builtinId="26"/>
    <cellStyle name="Hiperlink 2" xfId="24"/>
    <cellStyle name="Hyperlink" xfId="1" builtinId="8"/>
    <cellStyle name="Moeda 2" xfId="19"/>
    <cellStyle name="Normal" xfId="0" builtinId="0"/>
    <cellStyle name="Normal 10" xfId="21"/>
    <cellStyle name="Normal 11" xfId="22"/>
    <cellStyle name="Normal 2" xfId="11"/>
    <cellStyle name="Normal 3" xfId="9"/>
    <cellStyle name="Normal 4" xfId="14"/>
    <cellStyle name="Normal 5" xfId="2"/>
    <cellStyle name="Normal 6" xfId="3"/>
    <cellStyle name="Normal 6 2" xfId="23"/>
    <cellStyle name="Normal 7" xfId="13"/>
    <cellStyle name="Normal 8" xfId="18"/>
    <cellStyle name="Normal 9" xfId="4"/>
    <cellStyle name="Percent" xfId="5" builtinId="5"/>
    <cellStyle name="Porcentagem 2" xfId="10"/>
    <cellStyle name="Porcentagem 3" xfId="15"/>
    <cellStyle name="Vírgula 2" xfId="7"/>
    <cellStyle name="Vírgula 2 2" xfId="12"/>
    <cellStyle name="Vírgula 2 3" xfId="20"/>
    <cellStyle name="Vírgula 3" xfId="16"/>
  </cellStyles>
  <dxfs count="202">
    <dxf>
      <fill>
        <patternFill patternType="solid">
          <fgColor indexed="64"/>
          <bgColor rgb="FFFFFF00"/>
        </patternFill>
      </fill>
      <protection locked="1" hidden="0"/>
    </dxf>
    <dxf>
      <fill>
        <patternFill patternType="solid">
          <fgColor indexed="64"/>
          <bgColor rgb="FFFFFF00"/>
        </patternFill>
      </fill>
      <protection locked="1" hidden="0"/>
    </dxf>
    <dxf>
      <fill>
        <patternFill patternType="solid">
          <fgColor indexed="64"/>
          <bgColor rgb="FFFFFF00"/>
        </patternFill>
      </fill>
      <protection locked="1" hidden="0"/>
    </dxf>
    <dxf>
      <fill>
        <patternFill patternType="solid">
          <fgColor indexed="64"/>
          <bgColor rgb="FFFFFF00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3" formatCode="0%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4" formatCode="#,##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4" formatCode="#,##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6" formatCode="[$R$-416]\ #,##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6" formatCode="[$R$-416]\ #,##0"/>
      <fill>
        <patternFill patternType="solid">
          <fgColor indexed="64"/>
          <bgColor indexed="43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0" formatCode="General"/>
      <alignment horizontal="general" vertical="bottom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0" formatCode="General"/>
      <alignment horizontal="general" vertical="bottom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77111117893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77111117893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77111117893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rgb="FF000000"/>
        </right>
        <top/>
        <bottom/>
      </border>
      <protection locked="1" hidden="0"/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border outline="0">
        <bottom style="thin">
          <color rgb="FF000000"/>
        </bottom>
      </border>
    </dxf>
    <dxf>
      <alignment horizontal="center" vertical="bottom" textRotation="0" wrapText="0" indent="0" justifyLastLine="0" shrinkToFit="0" readingOrder="0"/>
    </dxf>
    <dxf>
      <numFmt numFmtId="0" formatCode="General"/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z val="10"/>
        <color indexed="8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7" formatCode="&quot;R$&quot;\ #,##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3"/>
        </patternFill>
      </fill>
      <alignment horizontal="left" vertical="bottom" textRotation="0" wrapText="0" relative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numFmt numFmtId="0" formatCode="General"/>
      <fill>
        <patternFill>
          <fgColor indexed="64"/>
          <bgColor rgb="FFFFFF00"/>
        </patternFill>
      </fill>
      <protection locked="1" hidden="0"/>
    </dxf>
    <dxf>
      <numFmt numFmtId="0" formatCode="General"/>
      <fill>
        <patternFill>
          <fgColor indexed="64"/>
          <bgColor rgb="FFFFFF00"/>
        </patternFill>
      </fill>
      <protection locked="1" hidden="0"/>
    </dxf>
    <dxf>
      <numFmt numFmtId="0" formatCode="General"/>
      <fill>
        <patternFill>
          <fgColor indexed="64"/>
          <bgColor rgb="FFFFFF00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3" formatCode="0%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4" formatCode="#,##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protection locked="1" hidden="0"/>
    </dxf>
    <dxf>
      <border outline="0">
        <left style="thin">
          <color indexed="64"/>
        </left>
        <top style="thin">
          <color indexed="64"/>
        </top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scheme val="none"/>
      </font>
      <numFmt numFmtId="0" formatCode="General"/>
      <alignment horizontal="general" vertical="bottom" textRotation="0" wrapText="1" relative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protection locked="1" hidden="0"/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fill>
        <patternFill patternType="solid">
          <fgColor rgb="FF000000"/>
          <bgColor rgb="FFFFFF00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bottom style="thin">
          <color rgb="FF000000"/>
        </bottom>
      </border>
    </dxf>
    <dxf>
      <fill>
        <patternFill patternType="solid">
          <fgColor indexed="64"/>
          <bgColor indexed="1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protection locked="1" hidden="0"/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fill>
        <patternFill patternType="solid">
          <fgColor rgb="FF000000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bottom style="thin">
          <color rgb="FF000000"/>
        </bottom>
      </border>
    </dxf>
    <dxf>
      <fill>
        <patternFill patternType="solid">
          <fgColor indexed="64"/>
          <bgColor indexed="1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9" defaultPivotStyle="PivotStyleLight16"/>
  <colors>
    <mruColors>
      <color rgb="FF00CEFF"/>
      <color rgb="FFA02B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104775</xdr:rowOff>
    </xdr:from>
    <xdr:to>
      <xdr:col>0</xdr:col>
      <xdr:colOff>731520</xdr:colOff>
      <xdr:row>4</xdr:row>
      <xdr:rowOff>57150</xdr:rowOff>
    </xdr:to>
    <xdr:pic>
      <xdr:nvPicPr>
        <xdr:cNvPr id="2" name="Imagem 1" descr="Oi_mass_logo_3_1c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104775"/>
          <a:ext cx="664845" cy="7239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247650</xdr:colOff>
      <xdr:row>2</xdr:row>
      <xdr:rowOff>381000</xdr:rowOff>
    </xdr:to>
    <xdr:pic>
      <xdr:nvPicPr>
        <xdr:cNvPr id="10228" name="Picture 1" descr="marca1">
          <a:extLst>
            <a:ext uri="{FF2B5EF4-FFF2-40B4-BE49-F238E27FC236}">
              <a16:creationId xmlns:a16="http://schemas.microsoft.com/office/drawing/2014/main" id="{00000000-0008-0000-0100-0000F427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85875" cy="1247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5</xdr:row>
      <xdr:rowOff>514350</xdr:rowOff>
    </xdr:to>
    <xdr:pic>
      <xdr:nvPicPr>
        <xdr:cNvPr id="2" name="Picture 1" descr="marca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47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5</xdr:row>
          <xdr:rowOff>428625</xdr:rowOff>
        </xdr:from>
        <xdr:to>
          <xdr:col>0</xdr:col>
          <xdr:colOff>1028700</xdr:colOff>
          <xdr:row>5</xdr:row>
          <xdr:rowOff>714375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2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Adic. linhas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5</xdr:row>
      <xdr:rowOff>514350</xdr:rowOff>
    </xdr:to>
    <xdr:pic>
      <xdr:nvPicPr>
        <xdr:cNvPr id="2" name="Picture 1" descr="marca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47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5</xdr:row>
          <xdr:rowOff>428625</xdr:rowOff>
        </xdr:from>
        <xdr:to>
          <xdr:col>0</xdr:col>
          <xdr:colOff>1028700</xdr:colOff>
          <xdr:row>5</xdr:row>
          <xdr:rowOff>714375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3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Adic. linhas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9525</xdr:rowOff>
    </xdr:from>
    <xdr:to>
      <xdr:col>2</xdr:col>
      <xdr:colOff>28575</xdr:colOff>
      <xdr:row>2</xdr:row>
      <xdr:rowOff>390525</xdr:rowOff>
    </xdr:to>
    <xdr:pic>
      <xdr:nvPicPr>
        <xdr:cNvPr id="29707" name="Picture 1" descr="marca1">
          <a:extLst>
            <a:ext uri="{FF2B5EF4-FFF2-40B4-BE49-F238E27FC236}">
              <a16:creationId xmlns:a16="http://schemas.microsoft.com/office/drawing/2014/main" id="{00000000-0008-0000-0400-00000B74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9525"/>
          <a:ext cx="131445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9525</xdr:rowOff>
    </xdr:from>
    <xdr:to>
      <xdr:col>2</xdr:col>
      <xdr:colOff>28575</xdr:colOff>
      <xdr:row>2</xdr:row>
      <xdr:rowOff>390525</xdr:rowOff>
    </xdr:to>
    <xdr:pic>
      <xdr:nvPicPr>
        <xdr:cNvPr id="2" name="Picture 1" descr="marca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9525"/>
          <a:ext cx="131445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9525</xdr:rowOff>
    </xdr:from>
    <xdr:to>
      <xdr:col>2</xdr:col>
      <xdr:colOff>28575</xdr:colOff>
      <xdr:row>2</xdr:row>
      <xdr:rowOff>390525</xdr:rowOff>
    </xdr:to>
    <xdr:pic>
      <xdr:nvPicPr>
        <xdr:cNvPr id="2" name="Picture 1" descr="marca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9525"/>
          <a:ext cx="131445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3</xdr:row>
      <xdr:rowOff>109538</xdr:rowOff>
    </xdr:to>
    <xdr:pic>
      <xdr:nvPicPr>
        <xdr:cNvPr id="2" name="Picture 1" descr="marca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47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3</xdr:row>
      <xdr:rowOff>109538</xdr:rowOff>
    </xdr:to>
    <xdr:pic>
      <xdr:nvPicPr>
        <xdr:cNvPr id="2" name="Picture 1" descr="marca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5253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2</xdr:col>
      <xdr:colOff>28575</xdr:colOff>
      <xdr:row>2</xdr:row>
      <xdr:rowOff>390525</xdr:rowOff>
    </xdr:to>
    <xdr:pic>
      <xdr:nvPicPr>
        <xdr:cNvPr id="28779" name="Picture 1" descr="marca1">
          <a:extLst>
            <a:ext uri="{FF2B5EF4-FFF2-40B4-BE49-F238E27FC236}">
              <a16:creationId xmlns:a16="http://schemas.microsoft.com/office/drawing/2014/main" id="{00000000-0008-0000-0900-00006B7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304925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2</xdr:row>
      <xdr:rowOff>390525</xdr:rowOff>
    </xdr:to>
    <xdr:pic>
      <xdr:nvPicPr>
        <xdr:cNvPr id="21665" name="Picture 1" descr="marca1">
          <a:extLst>
            <a:ext uri="{FF2B5EF4-FFF2-40B4-BE49-F238E27FC236}">
              <a16:creationId xmlns:a16="http://schemas.microsoft.com/office/drawing/2014/main" id="{00000000-0008-0000-0A00-0000A154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2</xdr:row>
      <xdr:rowOff>390525</xdr:rowOff>
    </xdr:to>
    <xdr:pic>
      <xdr:nvPicPr>
        <xdr:cNvPr id="11195" name="Picture 1" descr="marca1">
          <a:extLst>
            <a:ext uri="{FF2B5EF4-FFF2-40B4-BE49-F238E27FC236}">
              <a16:creationId xmlns:a16="http://schemas.microsoft.com/office/drawing/2014/main" id="{00000000-0008-0000-0B00-0000BB2B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695325</xdr:colOff>
      <xdr:row>2</xdr:row>
      <xdr:rowOff>390525</xdr:rowOff>
    </xdr:to>
    <xdr:pic>
      <xdr:nvPicPr>
        <xdr:cNvPr id="9126" name="Picture 1" descr="marca1">
          <a:extLst>
            <a:ext uri="{FF2B5EF4-FFF2-40B4-BE49-F238E27FC236}">
              <a16:creationId xmlns:a16="http://schemas.microsoft.com/office/drawing/2014/main" id="{00000000-0008-0000-0C00-0000A623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247650</xdr:colOff>
      <xdr:row>5</xdr:row>
      <xdr:rowOff>41462</xdr:rowOff>
    </xdr:to>
    <xdr:pic>
      <xdr:nvPicPr>
        <xdr:cNvPr id="12198" name="Picture 1" descr="marca1">
          <a:extLst>
            <a:ext uri="{FF2B5EF4-FFF2-40B4-BE49-F238E27FC236}">
              <a16:creationId xmlns:a16="http://schemas.microsoft.com/office/drawing/2014/main" id="{00000000-0008-0000-0D00-0000A62F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1301003" cy="126290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ables/table1.xml><?xml version="1.0" encoding="utf-8"?>
<table xmlns="http://schemas.openxmlformats.org/spreadsheetml/2006/main" id="19" name="PontosFuncao" displayName="PontosFuncao" ref="B6:M27" totalsRowCount="1" headerRowDxfId="201" dataDxfId="199" totalsRowDxfId="197" headerRowBorderDxfId="200" tableBorderDxfId="198" totalsRowBorderDxfId="196">
  <autoFilter ref="B6:M26"/>
  <tableColumns count="12">
    <tableColumn id="1" name="Fronteira" totalsRowLabel="Total" dataDxfId="195" totalsRowDxfId="37"/>
    <tableColumn id="2" name="Nome da Função" dataDxfId="194" totalsRowDxfId="36" dataCellStyle="Normal 6"/>
    <tableColumn id="3" name="Tipo de Manutenção" dataDxfId="193" totalsRowDxfId="35" dataCellStyle="Normal 6"/>
    <tableColumn id="4" name="Tipo de Função" dataDxfId="192" totalsRowDxfId="34" dataCellStyle="Normal 6"/>
    <tableColumn id="5" name="Qtde Registros Lógicos/ Arquivos Referenciados" dataDxfId="191" totalsRowDxfId="33" dataCellStyle="Normal 6"/>
    <tableColumn id="6" name="Qtde de Itens" dataDxfId="190" totalsRowDxfId="32" dataCellStyle="Normal 6"/>
    <tableColumn id="11" name="Descrição dos Registros Lógicos/Arquivos Referenciados" dataDxfId="189" totalsRowDxfId="31" dataCellStyle="Normal 6"/>
    <tableColumn id="10" name="Descrição dos Itens de Dados" dataDxfId="188" totalsRowDxfId="30" dataCellStyle="Normal 6"/>
    <tableColumn id="7" name="Complexidade" dataDxfId="187" totalsRowDxfId="29" dataCellStyle="Normal 6">
      <calculatedColumnFormula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calculatedColumnFormula>
    </tableColumn>
    <tableColumn id="8" name="PF" totalsRowFunction="sum" dataDxfId="186" totalsRowDxfId="28" dataCellStyle="Normal 6">
      <calculatedColumnFormula>IF(PontosFuncao[[#This Row],[Tipo de Função]]="",0,INDEX(Pesos_IFPUG,MATCH(PontosFuncao[[#This Row],[Tipo de Função]],Pesos_IFPUG_Objetos,0),MATCH(PontosFuncao[[#This Row],[Complexidade]],Pesos_IFPUG_Complexidade,0)))</calculatedColumnFormula>
    </tableColumn>
    <tableColumn id="12" name="Esforço" totalsRowFunction="sum" dataDxfId="185" totalsRowDxfId="27" dataCellStyle="Normal 6">
      <calculatedColumnFormula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calculatedColumnFormula>
    </tableColumn>
    <tableColumn id="9" name="Requisito / Justificativas / Observações" dataDxfId="184" totalsRowDxfId="26" dataCellStyle="Normal 6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id="21" name="Analogia" displayName="Analogia" ref="B6:P27" totalsRowCount="1" headerRowDxfId="183" dataDxfId="181" totalsRowDxfId="179" headerRowBorderDxfId="182" tableBorderDxfId="180" totalsRowBorderDxfId="178">
  <autoFilter ref="B6:P26"/>
  <tableColumns count="15">
    <tableColumn id="1" name="Fronteira" totalsRowLabel="Total" dataDxfId="177" totalsRowDxfId="25"/>
    <tableColumn id="10" name="Analogia" dataDxfId="176" totalsRowDxfId="24" dataCellStyle="Normal 6"/>
    <tableColumn id="2" name="Nome da Função" dataDxfId="175" totalsRowDxfId="23" dataCellStyle="Normal 6"/>
    <tableColumn id="3" name="Tipo de Manutenção" dataDxfId="174" totalsRowDxfId="22" dataCellStyle="Normal 6"/>
    <tableColumn id="4" name="Tipo de Função" dataDxfId="173" totalsRowDxfId="21" dataCellStyle="Normal 6"/>
    <tableColumn id="5" name="Qtde Registros Lógicos/ Arquivos Referenciados" dataDxfId="172" totalsRowDxfId="20" dataCellStyle="Normal 6"/>
    <tableColumn id="6" name="Qtde de Itens" dataDxfId="171" totalsRowDxfId="19" dataCellStyle="Normal 6"/>
    <tableColumn id="13" name="Descrição dos Registros Lógicos/Arquivos Referenciados" dataDxfId="170" totalsRowDxfId="18" dataCellStyle="Normal 6"/>
    <tableColumn id="12" name="Descrição dos Itens de Dados" dataDxfId="169" totalsRowDxfId="17" dataCellStyle="Normal 6"/>
    <tableColumn id="7" name="Complexidade" dataDxfId="168" totalsRowDxfId="16" dataCellStyle="Normal 6">
      <calculatedColumnFormula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calculatedColumnFormula>
    </tableColumn>
    <tableColumn id="11" name="PF s/ Fator de Impacto" totalsRowFunction="sum" dataDxfId="167" totalsRowDxfId="15" dataCellStyle="Normal 6">
      <calculatedColumnFormula>IF(Analogia[[#This Row],[Tipo de Função]]="",0,INDEX(Pesos_IFPUG,MATCH(Analogia[[#This Row],[Tipo de Função]],Pesos_IFPUG_Objetos,0),MATCH(Analogia[[#This Row],[Complexidade]],Pesos_IFPUG_Complexidade,0)))</calculatedColumnFormula>
    </tableColumn>
    <tableColumn id="8" name="Pontos" totalsRowFunction="sum" dataDxfId="166" totalsRowDxfId="14" dataCellStyle="Normal 6">
      <calculatedColumnFormula>ROUND(IF(Analogia[[#This Row],[Tipo de Função]]="",0,Analogia[[#This Row],[PF s/ Fator de Impacto]]*VLOOKUP(Analogia[[#This Row],[Analogia]],FatoresAjuste_Analogia_[],2,FALSE)),2)</calculatedColumnFormula>
    </tableColumn>
    <tableColumn id="14" name="Esforço com Impacto" totalsRowFunction="sum" dataDxfId="165" totalsRowDxfId="13" dataCellStyle="Normal 6">
      <calculatedColumnFormula>IF(Analogia[[#This Row],[Tipo de Manutenção]]="I",$D$5*Analogia[[#This Row],[Pontos]],IF(Analogia[[#This Row],[Tipo de Manutenção]]="A",$E$5*Analogia[[#This Row],[Pontos]],IF(Analogia[[#This Row],[Tipo de Manutenção]]="E",$F$5*Analogia[[#This Row],[Pontos]],0)))</calculatedColumnFormula>
    </tableColumn>
    <tableColumn id="15" name="Esforço sem Impacto" totalsRowFunction="sum" dataDxfId="164" totalsRowDxfId="12" dataCellStyle="Normal 6">
      <calculatedColumnFormula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calculatedColumnFormula>
    </tableColumn>
    <tableColumn id="9" name="Requisito / Justificativas / Observações" dataDxfId="163" totalsRowDxfId="11" dataCellStyle="Normal 6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id="6" name="EsforcoFases" displayName="EsforcoFases" ref="B5:L19" totalsRowCount="1" headerRowDxfId="162" dataDxfId="160" totalsRowDxfId="158" headerRowBorderDxfId="161" tableBorderDxfId="159" headerRowCellStyle="Normal 6">
  <autoFilter ref="B5:L18"/>
  <tableColumns count="11">
    <tableColumn id="8" name="Id" dataDxfId="157" totalsRowDxfId="10"/>
    <tableColumn id="1" name="Fases do Ciclo de Vida / Artefatos" totalsRowLabel="Total" dataDxfId="156" totalsRowDxfId="9" dataCellStyle="Normal 5">
      <calculatedColumnFormula>IF(OR(EsforcoFases[[#This Row],[Ativ. Fabrica Testes]],VLOOKUP(B6,PercentuaisFases[],VLOOKUP(Fornecedor,MapFasesFornecedores[#All],2,FALSE),FALSE)=0),"",VLOOKUP(B6,PercentuaisFases[],VLOOKUP(Fornecedor,MapFasesFornecedores[#All],2,FALSE),FALSE))</calculatedColumnFormula>
    </tableColumn>
    <tableColumn id="2" name="Contratação" dataDxfId="155" totalsRowDxfId="8" dataCellStyle="Normal 5"/>
    <tableColumn id="3" name="Esforço em Horas (calculado)" totalsRowFunction="custom" dataDxfId="154" totalsRowDxfId="7">
      <calculatedColumnFormula>ROUND(IF(EsforcoFases[[#This Row],[checks]]=FALSE,"",((Pontos_APF+IF(EsforcoFases[[#This Row],[Man Cosmetica Especial]]=FALSE,Pontos_Analogia,Pontos_Analogia_SemFatorImpacto))*Produtividade)*IF(C6="","",VLOOKUP(B6,PercentuaisFases[],VLOOKUP(Fornecedor,MapFasesFornecedores[#All],3,FALSE),FALSE))),2)</calculatedColumnFormula>
      <totalsRowFormula>ROUND(SUBTOTAL(109,EsforcoFases[Esforço em Horas (calculado)]),2)</totalsRowFormula>
    </tableColumn>
    <tableColumn id="4" name="Esforço em Horas (preenchido)" totalsRowFunction="sum" dataDxfId="153" totalsRowDxfId="6" dataCellStyle="Normal 5"/>
    <tableColumn id="5" name="Percentual Calculado da Fase" totalsRowFunction="sum" dataDxfId="152" totalsRowDxfId="5">
      <calculatedColumnFormula>IF(EsforcoFases[[#This Row],[Esforço em Horas (preenchido)]]="",0,EsforcoFases[[#This Row],[Esforço em Horas (preenchido)]]/EsforcoFases[[#Totals],[Esforço em Horas (preenchido)]])</calculatedColumnFormula>
    </tableColumn>
    <tableColumn id="6" name="Descrição/Observações/Justificativas" dataDxfId="151" totalsRowDxfId="4" dataCellStyle="Normal 5">
      <calculatedColumnFormula>(Pontos_APF+IF(EsforcoFases[[#This Row],[Man Cosmetica Especial]]=FALSE,Pontos_Analogia,Pontos_Analogia_SemFatorImpacto))*0</calculatedColumnFormula>
    </tableColumn>
    <tableColumn id="7" name="checks" dataDxfId="150" totalsRowDxfId="3">
      <calculatedColumnFormula>IF(EsforcoFases[[#This Row],[Contratação]]=Sim,TRUE,FALSE)</calculatedColumnFormula>
    </tableColumn>
    <tableColumn id="9" name="Ativ. Fabrica Testes" dataDxfId="149" totalsRowDxfId="2">
      <calculatedColumnFormula>AND(FabricaTestes,VLOOKUP(B6,PercentuaisFases[],VLOOKUP(Fornecedor,MapFasesFornecedores[#All],4,FALSE),FALSE))</calculatedColumnFormula>
    </tableColumn>
    <tableColumn id="10" name="Max" dataDxfId="148" totalsRowDxfId="1">
      <calculatedColumnFormula>IF(C6="",0)</calculatedColumnFormula>
    </tableColumn>
    <tableColumn id="11" name="Man Cosmetica Especial" dataDxfId="147" totalsRowDxfId="0">
      <calculatedColumnFormula>AND(Man_Cosmetica_Especial,VLOOKUP(EsforcoFases[[#This Row],[Id]],PercentuaisFases[],COLUMN(PercentuaisFases[[#Headers],[Man Cosmetica Especial]]),FALSE))</calculatedColumnFormula>
    </tableColumn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id="1" name="Produtividades" displayName="Produtividades" ref="B4:L40" totalsRowShown="0" headerRowDxfId="146" dataDxfId="144" headerRowBorderDxfId="145" tableBorderDxfId="143" totalsRowBorderDxfId="142" headerRowCellStyle="Normal 6" dataCellStyle="Normal 9">
  <autoFilter ref="B4:L40"/>
  <tableColumns count="11">
    <tableColumn id="1" name="Nome Sistema ou Tecnologia" dataDxfId="141" dataCellStyle="Normal 9"/>
    <tableColumn id="2" name="Produtividade Inclusão" dataDxfId="140" dataCellStyle="Normal 9"/>
    <tableColumn id="10" name="Produtividade Alteração" dataDxfId="139" dataCellStyle="Normal 9">
      <calculatedColumnFormula>Produtividades[[#This Row],[Produtividade Inclusão]]</calculatedColumnFormula>
    </tableColumn>
    <tableColumn id="11" name="Produtividade Exclusão" dataDxfId="138" dataCellStyle="Normal 9">
      <calculatedColumnFormula>Produtividades[[#This Row],[Produtividade Inclusão]]</calculatedColumnFormula>
    </tableColumn>
    <tableColumn id="8" name="Taxa horária" dataDxfId="137" dataCellStyle="Normal 9"/>
    <tableColumn id="6" name="Contrato" dataDxfId="136" dataCellStyle="Normal 9"/>
    <tableColumn id="7" name="Fornecedor" dataDxfId="135" dataCellStyle="Normal 9"/>
    <tableColumn id="3" name="Aba Itens configuração" dataDxfId="134" dataCellStyle="Normal 9"/>
    <tableColumn id="9" name="Aba Estimator" dataDxfId="133" dataCellStyle="Normal 9"/>
    <tableColumn id="4" name="Sistema/Tecnologia" dataDxfId="132" dataCellStyle="Normal 9"/>
    <tableColumn id="5" name="Fábrica Testes" dataDxfId="131" dataCellStyle="Normal 9"/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id="7" name="Motivos" displayName="Motivos" ref="J4:J16" totalsRowShown="0" headerRowDxfId="130" dataDxfId="129">
  <autoFilter ref="J4:J16"/>
  <sortState ref="J5:J16">
    <sortCondition ref="J6"/>
  </sortState>
  <tableColumns count="1">
    <tableColumn id="1" name="Motivo" dataDxfId="128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id="8" name="TiposContagem" displayName="TiposContagem" ref="I4:I6" totalsRowShown="0" headerRowDxfId="127" dataDxfId="125" headerRowBorderDxfId="126" tableBorderDxfId="124" totalsRowBorderDxfId="123" headerRowCellStyle="Normal 6">
  <autoFilter ref="I4:I6"/>
  <tableColumns count="1">
    <tableColumn id="1" name="Tipo Contagem" dataDxfId="122"/>
  </tableColumns>
  <tableStyleInfo name="TableStyleLight2" showFirstColumn="0" showLastColumn="0" showRowStripes="1" showColumnStripes="0"/>
</table>
</file>

<file path=xl/tables/table7.xml><?xml version="1.0" encoding="utf-8"?>
<table xmlns="http://schemas.openxmlformats.org/spreadsheetml/2006/main" id="11" name="Complexidades" displayName="Complexidades" ref="H4:H7" totalsRowShown="0" headerRowDxfId="121" dataDxfId="119" headerRowBorderDxfId="120" tableBorderDxfId="118" totalsRowBorderDxfId="117" headerRowCellStyle="Normal 6">
  <autoFilter ref="H4:H7"/>
  <tableColumns count="1">
    <tableColumn id="1" name="Complexidade" dataDxfId="116"/>
  </tableColumns>
  <tableStyleInfo name="TableStyleLight2" showFirstColumn="0" showLastColumn="0" showRowStripes="1" showColumnStripes="0"/>
</table>
</file>

<file path=xl/tables/table8.xml><?xml version="1.0" encoding="utf-8"?>
<table xmlns="http://schemas.openxmlformats.org/spreadsheetml/2006/main" id="12" name="TiposFuncao" displayName="TiposFuncao" ref="G4:G9" totalsRowShown="0" headerRowDxfId="115" dataDxfId="113" headerRowBorderDxfId="114" tableBorderDxfId="112" totalsRowBorderDxfId="111" headerRowCellStyle="Normal 6">
  <autoFilter ref="G4:G9"/>
  <tableColumns count="1">
    <tableColumn id="1" name="Tipo de Função (ALI/AIE/EE/SE/CE)" dataDxfId="110"/>
  </tableColumns>
  <tableStyleInfo name="TableStyleLight2" showFirstColumn="0" showLastColumn="0" showRowStripes="1" showColumnStripes="0"/>
</table>
</file>

<file path=xl/tables/table9.xml><?xml version="1.0" encoding="utf-8"?>
<table xmlns="http://schemas.openxmlformats.org/spreadsheetml/2006/main" id="13" name="TiposManutencao" displayName="TiposManutencao" ref="F4:F7" totalsRowShown="0" headerRowDxfId="109" dataDxfId="107" headerRowBorderDxfId="108" tableBorderDxfId="106" totalsRowBorderDxfId="105" headerRowCellStyle="Normal 6">
  <autoFilter ref="F4:F7"/>
  <tableColumns count="1">
    <tableColumn id="1" name="Tipo de Manutenção (I/A/E)" dataDxfId="104"/>
  </tableColumns>
  <tableStyleInfo name="TableStyleLight2" showFirstColumn="0" showLastColumn="0" showRowStripes="1" showColumnStripes="0"/>
</table>
</file>

<file path=xl/tables/table10.xml><?xml version="1.0" encoding="utf-8"?>
<table xmlns="http://schemas.openxmlformats.org/spreadsheetml/2006/main" id="14" name="Fornecedores" displayName="Fornecedores" ref="E4:E30" totalsRowShown="0" headerRowDxfId="103" headerRowBorderDxfId="102" tableBorderDxfId="101" totalsRowBorderDxfId="100">
  <autoFilter ref="E4:E30"/>
  <tableColumns count="1">
    <tableColumn id="1" name="Fornecedor" dataDxfId="99"/>
  </tableColumns>
  <tableStyleInfo name="TableStyleLight2" showFirstColumn="0" showLastColumn="0" showRowStripes="1" showColumnStripes="0"/>
</table>
</file>

<file path=xl/tables/table11.xml><?xml version="1.0" encoding="utf-8"?>
<table xmlns="http://schemas.openxmlformats.org/spreadsheetml/2006/main" id="15" name="Contratos" displayName="Contratos" ref="D4:D7" totalsRowShown="0" headerRowDxfId="98" headerRowBorderDxfId="97" tableBorderDxfId="96" totalsRowBorderDxfId="95">
  <autoFilter ref="D4:D7"/>
  <tableColumns count="1">
    <tableColumn id="1" name="Contrato" dataDxfId="94"/>
  </tableColumns>
  <tableStyleInfo name="TableStyleLight2" showFirstColumn="0" showLastColumn="0" showRowStripes="1" showColumnStripes="0"/>
</table>
</file>

<file path=xl/tables/table12.xml><?xml version="1.0" encoding="utf-8"?>
<table xmlns="http://schemas.openxmlformats.org/spreadsheetml/2006/main" id="17" name="Sistema_Tecnologia" displayName="Sistema_Tecnologia" ref="P4:P6" totalsRowShown="0" headerRowDxfId="93">
  <autoFilter ref="P4:P6"/>
  <tableColumns count="1">
    <tableColumn id="1" name="Sistema/Tecnologia"/>
  </tableColumns>
  <tableStyleInfo name="TableStyleLight2" showFirstColumn="0" showLastColumn="0" showRowStripes="1" showColumnStripes="0"/>
</table>
</file>

<file path=xl/tables/table13.xml><?xml version="1.0" encoding="utf-8"?>
<table xmlns="http://schemas.openxmlformats.org/spreadsheetml/2006/main" id="16" name="FatoresAjuste_Analogia_" displayName="FatoresAjuste_Analogia_" ref="Q1:R8" totalsRowShown="0" headerRowDxfId="92" dataDxfId="91">
  <autoFilter ref="Q1:R8"/>
  <tableColumns count="2">
    <tableColumn id="1" name="Analogia" dataDxfId="90"/>
    <tableColumn id="2" name="Fator de ajuste" dataDxfId="89"/>
  </tableColumns>
  <tableStyleInfo name="TableStyleLight2" showFirstColumn="0" showLastColumn="0" showRowStripes="1" showColumnStripes="0"/>
</table>
</file>

<file path=xl/tables/table14.xml><?xml version="1.0" encoding="utf-8"?>
<table xmlns="http://schemas.openxmlformats.org/spreadsheetml/2006/main" id="2" name="PercentuaisFases" displayName="PercentuaisFases" ref="A2:W21" totalsRowShown="0" headerRowDxfId="88" dataDxfId="86" headerRowBorderDxfId="87" tableBorderDxfId="85" totalsRowBorderDxfId="84" headerRowCellStyle="Normal 6">
  <autoFilter ref="A2:W21"/>
  <tableColumns count="23">
    <tableColumn id="4" name="Id" dataDxfId="83"/>
    <tableColumn id="8" name="Man Cosmetica Especial" dataDxfId="82"/>
    <tableColumn id="1" name="Fases do Ciclo de Vida / Artefatos 1" dataDxfId="81"/>
    <tableColumn id="2" name="Percentual 1" dataDxfId="80"/>
    <tableColumn id="6" name="Fábrica testes 1" dataDxfId="79"/>
    <tableColumn id="5" name="Fases do Ciclo de Vida / Artefatos 2" dataDxfId="78"/>
    <tableColumn id="3" name="Percentual 2" dataDxfId="77"/>
    <tableColumn id="7" name="Fábrica testes 2" dataDxfId="76"/>
    <tableColumn id="9" name="Fases do Ciclo de Vida / Artefatos 3" dataDxfId="75"/>
    <tableColumn id="10" name="Percentual 3" dataDxfId="74"/>
    <tableColumn id="11" name="Fábrica testes 3" dataDxfId="73"/>
    <tableColumn id="12" name="Fases do Ciclo de Vida / Artefatos 4" dataDxfId="72"/>
    <tableColumn id="13" name="Percentual 4" dataDxfId="71"/>
    <tableColumn id="14" name="Fábrica testes 4" dataDxfId="70"/>
    <tableColumn id="15" name="Fases do Ciclo de Vida / Artefatos 5" dataDxfId="69"/>
    <tableColumn id="16" name="Percentual 5" dataDxfId="68"/>
    <tableColumn id="17" name="Fábrica testes 5" dataDxfId="67"/>
    <tableColumn id="18" name="Fases do Ciclo de Vida / Artefatos 6" dataDxfId="66"/>
    <tableColumn id="19" name="Percentual 6" dataDxfId="65"/>
    <tableColumn id="20" name="Fábrica testes 6" dataDxfId="64"/>
    <tableColumn id="21" name="Fases do Ciclo de Vida / Artefatos 7" dataDxfId="63"/>
    <tableColumn id="22" name="Percentual 7" dataDxfId="62"/>
    <tableColumn id="23" name="Fábrica testes 7" dataDxfId="61"/>
  </tableColumns>
  <tableStyleInfo name="TableStyleLight2" showFirstColumn="0" showLastColumn="0" showRowStripes="1" showColumnStripes="0"/>
</table>
</file>

<file path=xl/tables/table15.xml><?xml version="1.0" encoding="utf-8"?>
<table xmlns="http://schemas.openxmlformats.org/spreadsheetml/2006/main" id="3" name="MapFasesFornecedores" displayName="MapFasesFornecedores" ref="Y2:AD28" totalsRowShown="0" headerRowDxfId="60" dataDxfId="59">
  <autoFilter ref="Y2:AD28"/>
  <tableColumns count="6">
    <tableColumn id="1" name="Fornecedor" dataDxfId="58">
      <calculatedColumnFormula>Parâmetros!E5</calculatedColumnFormula>
    </tableColumn>
    <tableColumn id="3" name="Descrição" dataDxfId="57"/>
    <tableColumn id="2" name="Percentual" dataDxfId="56"/>
    <tableColumn id="4" name="Fábrica testes" dataDxfId="55"/>
    <tableColumn id="5" name="Man Cosmetica Especial" dataDxfId="54"/>
    <tableColumn id="6" name="Variacao Gestao" dataDxfId="53"/>
  </tableColumns>
  <tableStyleInfo name="TableStyleLight2" showFirstColumn="0" showLastColumn="0" showRowStripes="1" showColumnStripes="0"/>
</table>
</file>

<file path=xl/tables/table16.xml><?xml version="1.0" encoding="utf-8"?>
<table xmlns="http://schemas.openxmlformats.org/spreadsheetml/2006/main" id="9" name="ItensNaoFuncionais" displayName="ItensNaoFuncionais" ref="A2:H15" totalsRowShown="0" headerRowDxfId="52" dataDxfId="50" headerRowBorderDxfId="51" tableBorderDxfId="49" totalsRowBorderDxfId="48">
  <autoFilter ref="A2:H15"/>
  <sortState ref="A3:H13">
    <sortCondition ref="A2:A13"/>
  </sortState>
  <tableColumns count="8">
    <tableColumn id="2" name="Itens 1" dataDxfId="47">
      <calculatedColumnFormula>IF(ItensNaoFuncionais[[#This Row],[Lista 1]]="","",IF(AND(FabricaTestes=TRUE,ItensNaoFuncionais[[#This Row],[Fabrica Testes 1]]=TRUE),"",ItensNaoFuncionais[[#This Row],[Lista 1]]))</calculatedColumnFormula>
    </tableColumn>
    <tableColumn id="1" name="Descrição obrigatoria item 1?" dataDxfId="46"/>
    <tableColumn id="6" name="Fabrica Testes 1" dataDxfId="45"/>
    <tableColumn id="4" name="Lista 1" dataDxfId="44">
      <calculatedColumnFormula>IF(ItensNaoFuncionais[[#This Row],[Itens 1]]="","",IF(AND(FabricaTestes=TRUE,ItensNaoFuncionais[[#This Row],[Fabrica Testes 1]]=TRUE),"",ItensNaoFuncionais[[#This Row],[Itens 1]]))</calculatedColumnFormula>
    </tableColumn>
    <tableColumn id="3" name="Itens 2" dataDxfId="43">
      <calculatedColumnFormula>IF(ItensNaoFuncionais[[#This Row],[Lista 2]]="","",IF(AND(FabricaTestes=TRUE,ItensNaoFuncionais[[#This Row],[Fabrica Testes 2]]=TRUE),"",ItensNaoFuncionais[[#This Row],[Lista 2]]))</calculatedColumnFormula>
    </tableColumn>
    <tableColumn id="5" name="Descrição obrigatoria item 2?" dataDxfId="42"/>
    <tableColumn id="7" name="Fabrica Testes 2" dataDxfId="41"/>
    <tableColumn id="8" name="Lista 2" dataDxfId="40"/>
  </tableColumns>
  <tableStyleInfo name="TableStyleLight2" showFirstColumn="0" showLastColumn="0" showRowStripes="1" showColumnStripes="0"/>
</table>
</file>

<file path=xl/tables/table17.xml><?xml version="1.0" encoding="utf-8"?>
<table xmlns="http://schemas.openxmlformats.org/spreadsheetml/2006/main" id="10" name="MapItensNFuncFornecedores" displayName="MapItensNFuncFornecedores" ref="K2:M28" totalsRowShown="0">
  <autoFilter ref="K2:M28"/>
  <tableColumns count="3">
    <tableColumn id="1" name="Fornecedor">
      <calculatedColumnFormula>Parâmetros!E5</calculatedColumnFormula>
    </tableColumn>
    <tableColumn id="2" name="Itens" dataDxfId="39">
      <calculatedColumnFormula>ItensNaoFuncionais[[#Headers],[Itens 1]]</calculatedColumnFormula>
    </tableColumn>
    <tableColumn id="3" name="Coluna obrigtório" dataDxfId="38">
      <calculatedColumnFormula>ItensNaoFuncionais[[#Headers],[Descrição obrigatoria item 1?]]</calculatedColumnFormula>
    </tableColumn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5" Type="http://schemas.openxmlformats.org/officeDocument/2006/relationships/comments" Target="../comments2.xml"/><Relationship Id="rId4" Type="http://schemas.openxmlformats.org/officeDocument/2006/relationships/table" Target="../tables/table4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4.bin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6.bin"/><Relationship Id="rId5" Type="http://schemas.openxmlformats.org/officeDocument/2006/relationships/comments" Target="../comments3.xml"/><Relationship Id="rId4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E16"/>
  <sheetViews>
    <sheetView showGridLines="0" showRowColHeaders="0" workbookViewId="0">
      <selection activeCell="D10" sqref="D10"/>
    </sheetView>
  </sheetViews>
  <sheetFormatPr defaultRowHeight="15" x14ac:dyDescent="0.25"/>
  <cols>
    <col min="1" max="1" width="22" customWidth="1"/>
    <col min="2" max="2" width="14.85546875" customWidth="1"/>
    <col min="3" max="3" width="55.5703125" customWidth="1"/>
    <col min="4" max="4" width="28.42578125" customWidth="1"/>
    <col min="5" max="5" width="22.28515625" customWidth="1"/>
  </cols>
  <sheetData>
    <row r="2" spans="1:5" x14ac:dyDescent="0.25">
      <c r="C2" s="144"/>
    </row>
    <row r="3" spans="1:5" ht="15.75" x14ac:dyDescent="0.25">
      <c r="C3" s="180" t="s">
        <v>245</v>
      </c>
    </row>
    <row r="6" spans="1:5" x14ac:dyDescent="0.25">
      <c r="A6" s="429" t="s">
        <v>360</v>
      </c>
      <c r="B6" s="429"/>
      <c r="C6" s="429"/>
      <c r="D6" s="429"/>
      <c r="E6" s="429"/>
    </row>
    <row r="7" spans="1:5" x14ac:dyDescent="0.25">
      <c r="A7" s="178" t="s">
        <v>350</v>
      </c>
      <c r="B7" s="178" t="s">
        <v>241</v>
      </c>
      <c r="C7" s="178" t="s">
        <v>230</v>
      </c>
      <c r="D7" s="178" t="s">
        <v>242</v>
      </c>
      <c r="E7" s="178" t="s">
        <v>243</v>
      </c>
    </row>
    <row r="8" spans="1:5" x14ac:dyDescent="0.25">
      <c r="A8" s="216">
        <v>1</v>
      </c>
      <c r="B8" s="177" t="s">
        <v>495</v>
      </c>
      <c r="C8" s="222" t="s">
        <v>496</v>
      </c>
      <c r="D8" s="222" t="s">
        <v>497</v>
      </c>
      <c r="E8" s="222"/>
    </row>
    <row r="9" spans="1:5" x14ac:dyDescent="0.25">
      <c r="A9" s="216"/>
      <c r="B9" s="177"/>
      <c r="C9" s="222"/>
      <c r="D9" s="222"/>
      <c r="E9" s="222"/>
    </row>
    <row r="10" spans="1:5" x14ac:dyDescent="0.25">
      <c r="A10" s="216"/>
      <c r="B10" s="177"/>
      <c r="C10" s="222"/>
      <c r="D10" s="222"/>
      <c r="E10" s="222"/>
    </row>
    <row r="11" spans="1:5" x14ac:dyDescent="0.25">
      <c r="A11" s="216"/>
      <c r="B11" s="177"/>
      <c r="C11" s="222"/>
      <c r="D11" s="222"/>
      <c r="E11" s="222"/>
    </row>
    <row r="14" spans="1:5" x14ac:dyDescent="0.25">
      <c r="A14" s="167"/>
    </row>
    <row r="15" spans="1:5" x14ac:dyDescent="0.25">
      <c r="A15" s="167"/>
    </row>
    <row r="16" spans="1:5" x14ac:dyDescent="0.25">
      <c r="A16" s="167" t="s">
        <v>244</v>
      </c>
    </row>
  </sheetData>
  <sheetProtection algorithmName="SHA-512" hashValue="RzGx+rL4wYLsaR6Wv+3FO1pagN4syEa2hj86q1orvRfpOwJpTvYv6hjUueRXlz1etA1z/P+sx/drsqyITxfgKA==" saltValue="O+cvmiG66sJ1fE5lVOnF8Q==" spinCount="100000" sheet="1" objects="1" scenarios="1"/>
  <mergeCells count="1">
    <mergeCell ref="A6:E6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50"/>
  </sheetPr>
  <dimension ref="B1:F44"/>
  <sheetViews>
    <sheetView showGridLines="0" showRowColHeaders="0" zoomScale="90" zoomScaleNormal="90" workbookViewId="0">
      <selection activeCell="C15" sqref="C15:D15"/>
    </sheetView>
  </sheetViews>
  <sheetFormatPr defaultRowHeight="15" x14ac:dyDescent="0.2"/>
  <cols>
    <col min="1" max="1" width="15.7109375" style="28" customWidth="1"/>
    <col min="2" max="2" width="42.42578125" style="28" customWidth="1"/>
    <col min="3" max="3" width="18" style="375" bestFit="1" customWidth="1"/>
    <col min="4" max="4" width="27.140625" style="375" customWidth="1"/>
    <col min="5" max="5" width="26.42578125" style="57" bestFit="1" customWidth="1"/>
    <col min="6" max="6" width="26.42578125" style="57" hidden="1" customWidth="1"/>
    <col min="7" max="7" width="9.140625" style="28" customWidth="1"/>
    <col min="8" max="16384" width="9.140625" style="28"/>
  </cols>
  <sheetData>
    <row r="1" spans="2:6" ht="35.1" customHeight="1" x14ac:dyDescent="0.2"/>
    <row r="2" spans="2:6" ht="35.1" customHeight="1" x14ac:dyDescent="0.2">
      <c r="B2" s="430" t="s">
        <v>25</v>
      </c>
      <c r="C2" s="430"/>
      <c r="D2" s="430"/>
      <c r="E2" s="15"/>
      <c r="F2" s="157"/>
    </row>
    <row r="3" spans="2:6" ht="35.1" customHeight="1" x14ac:dyDescent="0.2">
      <c r="F3" s="158" t="b">
        <f>VLOOKUP(Fornecedor,MapFasesFornecedores[#All],6,0)</f>
        <v>0</v>
      </c>
    </row>
    <row r="4" spans="2:6" ht="18" customHeight="1" x14ac:dyDescent="0.2">
      <c r="B4" s="53" t="s">
        <v>19</v>
      </c>
      <c r="C4" s="431" t="s">
        <v>494</v>
      </c>
      <c r="D4" s="432"/>
      <c r="E4" s="16"/>
      <c r="F4" s="159" t="s">
        <v>256</v>
      </c>
    </row>
    <row r="5" spans="2:6" ht="18" customHeight="1" x14ac:dyDescent="0.2">
      <c r="B5" s="59"/>
      <c r="C5" s="376"/>
      <c r="D5" s="376"/>
      <c r="E5" s="60"/>
      <c r="F5" s="160"/>
    </row>
    <row r="6" spans="2:6" ht="18" customHeight="1" x14ac:dyDescent="0.2">
      <c r="B6" s="52" t="s">
        <v>20</v>
      </c>
      <c r="C6" s="435">
        <v>21262</v>
      </c>
      <c r="D6" s="436"/>
      <c r="E6" s="61"/>
      <c r="F6" s="161"/>
    </row>
    <row r="7" spans="2:6" ht="18" customHeight="1" x14ac:dyDescent="0.2">
      <c r="B7" s="189" t="s">
        <v>280</v>
      </c>
      <c r="C7" s="435">
        <v>24622</v>
      </c>
      <c r="D7" s="436"/>
      <c r="E7" s="61"/>
      <c r="F7" s="161"/>
    </row>
    <row r="8" spans="2:6" ht="54" customHeight="1" x14ac:dyDescent="0.2">
      <c r="B8" s="52" t="s">
        <v>21</v>
      </c>
      <c r="C8" s="437" t="s">
        <v>499</v>
      </c>
      <c r="D8" s="438"/>
      <c r="E8" s="62"/>
      <c r="F8" s="162"/>
    </row>
    <row r="9" spans="2:6" ht="18" customHeight="1" x14ac:dyDescent="0.2">
      <c r="B9" s="132" t="s">
        <v>225</v>
      </c>
      <c r="C9" s="377" t="str">
        <f>IFERROR(VLOOKUP(Sistema,Produtividades[],COLUMN(Produtividades[[#Headers],[Sistema/Tecnologia]])-1,FALSE),"")</f>
        <v>Sistema</v>
      </c>
      <c r="D9" s="378" t="s">
        <v>283</v>
      </c>
      <c r="F9" s="158" t="s">
        <v>229</v>
      </c>
    </row>
    <row r="10" spans="2:6" ht="18" customHeight="1" x14ac:dyDescent="0.2">
      <c r="B10" s="63"/>
      <c r="C10" s="379"/>
      <c r="D10" s="379"/>
      <c r="E10" s="64"/>
      <c r="F10" s="163"/>
    </row>
    <row r="11" spans="2:6" x14ac:dyDescent="0.2">
      <c r="B11" s="53" t="s">
        <v>164</v>
      </c>
      <c r="C11" s="439" t="str">
        <f>IFERROR(VLOOKUP(Sistema,Produtividades[],COLUMN(Produtividades[[#Headers],[Contrato]])-1,FALSE),"")</f>
        <v>Uso comercial</v>
      </c>
      <c r="D11" s="440"/>
      <c r="F11" s="158"/>
    </row>
    <row r="12" spans="2:6" x14ac:dyDescent="0.2">
      <c r="F12" s="158"/>
    </row>
    <row r="13" spans="2:6" x14ac:dyDescent="0.2">
      <c r="B13" s="179" t="s">
        <v>271</v>
      </c>
      <c r="C13" s="439" t="s">
        <v>173</v>
      </c>
      <c r="D13" s="440"/>
      <c r="F13" s="158"/>
    </row>
    <row r="14" spans="2:6" x14ac:dyDescent="0.2">
      <c r="F14" s="158"/>
    </row>
    <row r="15" spans="2:6" x14ac:dyDescent="0.2">
      <c r="B15" s="53" t="s">
        <v>166</v>
      </c>
      <c r="C15" s="445" t="s">
        <v>187</v>
      </c>
      <c r="D15" s="446"/>
      <c r="E15" s="77"/>
      <c r="F15" s="158" t="s">
        <v>190</v>
      </c>
    </row>
    <row r="16" spans="2:6" x14ac:dyDescent="0.2">
      <c r="F16" s="158"/>
    </row>
    <row r="17" spans="2:6" x14ac:dyDescent="0.2">
      <c r="B17" s="53" t="s">
        <v>159</v>
      </c>
      <c r="C17" s="447" t="s">
        <v>156</v>
      </c>
      <c r="D17" s="448"/>
      <c r="F17" s="158" t="s">
        <v>257</v>
      </c>
    </row>
    <row r="18" spans="2:6" ht="14.25" x14ac:dyDescent="0.2">
      <c r="E18" s="66"/>
      <c r="F18" s="164"/>
    </row>
    <row r="19" spans="2:6" ht="18" customHeight="1" x14ac:dyDescent="0.2">
      <c r="B19" s="53" t="s">
        <v>44</v>
      </c>
      <c r="C19" s="439">
        <f>IFERROR(IF(Contrato=Contrato_UsoComercial,VLOOKUP(Sistema,Produtividades[],COLUMN(Produtividades[[#Headers],[Produtividade Inclusão]])-1,FALSE),IF(Contrato=Contrato_Apuramento,EsforcoFases[[#Totals],[Esforço em Horas (preenchido)]]/(Pontos_APF+Pontos_Analogia),0)),0)</f>
        <v>20.86</v>
      </c>
      <c r="D19" s="440"/>
      <c r="E19" s="20" t="s">
        <v>48</v>
      </c>
      <c r="F19" s="165"/>
    </row>
    <row r="20" spans="2:6" ht="18" customHeight="1" x14ac:dyDescent="0.2">
      <c r="B20" s="63"/>
      <c r="C20" s="379"/>
      <c r="D20" s="379"/>
      <c r="E20" s="64"/>
      <c r="F20" s="165"/>
    </row>
    <row r="21" spans="2:6" ht="18" customHeight="1" x14ac:dyDescent="0.2">
      <c r="B21" s="52"/>
      <c r="C21" s="368" t="s">
        <v>58</v>
      </c>
      <c r="D21" s="368" t="s">
        <v>50</v>
      </c>
      <c r="F21" s="165"/>
    </row>
    <row r="22" spans="2:6" ht="18" customHeight="1" x14ac:dyDescent="0.2">
      <c r="B22" s="52" t="s">
        <v>27</v>
      </c>
      <c r="C22" s="23">
        <f>PontosFuncao[[#Totals],[PF]]</f>
        <v>0</v>
      </c>
      <c r="D22" s="23">
        <f>IF(Pontos_APF=0,0,IF(Contrato="Uso comercial",IF(Fornecedor="Accenture - Torre II",'Fases Contratadas'!$Q$19,$D$24*Pontos_APF/(Pontos_APF+Pontos_Analogia)),$D$24*Pontos_APF/(Pontos_APF+Pontos_Analogia)))</f>
        <v>0</v>
      </c>
      <c r="E22" s="20" t="s">
        <v>46</v>
      </c>
      <c r="F22" s="165"/>
    </row>
    <row r="23" spans="2:6" ht="18" customHeight="1" x14ac:dyDescent="0.2">
      <c r="B23" s="52" t="s">
        <v>28</v>
      </c>
      <c r="C23" s="23">
        <f>Analogia[[#Totals],[Pontos]]</f>
        <v>0</v>
      </c>
      <c r="D23" s="23">
        <f>IF(Pontos_Analogia=0,0,IF(Contrato="Uso comercial",IF(Fornecedor="Accenture - Torre II",'Fases Contratadas'!$R$19,$D$24*Pontos_Analogia/(Pontos_APF+Pontos_Analogia)),$D$24*Pontos_Analogia/(Pontos_APF+Pontos_Analogia)))</f>
        <v>0</v>
      </c>
      <c r="E23" s="20" t="s">
        <v>47</v>
      </c>
      <c r="F23" s="5">
        <f>Analogia[[#Totals],[PF s/ Fator de Impacto]]</f>
        <v>0</v>
      </c>
    </row>
    <row r="24" spans="2:6" ht="18" customHeight="1" x14ac:dyDescent="0.2">
      <c r="B24" s="52" t="s">
        <v>72</v>
      </c>
      <c r="C24" s="380"/>
      <c r="D24" s="24">
        <f>ROUND(IF(RespostaContagem=Sim,MAX(EsforcoFases[[#Totals],[Esforço em Horas (calculado)]],EsforcoFases[[#Totals],[Esforço em Horas (preenchido)]]),0),2)</f>
        <v>0</v>
      </c>
      <c r="E24" s="20" t="s">
        <v>49</v>
      </c>
      <c r="F24" s="165"/>
    </row>
    <row r="25" spans="2:6" ht="18" customHeight="1" x14ac:dyDescent="0.2">
      <c r="B25" s="63"/>
      <c r="C25" s="379"/>
      <c r="D25" s="379"/>
    </row>
    <row r="26" spans="2:6" ht="18" customHeight="1" x14ac:dyDescent="0.2">
      <c r="B26" s="53" t="s">
        <v>78</v>
      </c>
      <c r="C26" s="441">
        <f>Horas_APF</f>
        <v>0</v>
      </c>
      <c r="D26" s="442"/>
      <c r="E26" s="65" t="s">
        <v>249</v>
      </c>
      <c r="F26" s="65"/>
    </row>
    <row r="27" spans="2:6" ht="18" customHeight="1" x14ac:dyDescent="0.2">
      <c r="B27" s="63"/>
      <c r="C27" s="379"/>
      <c r="D27" s="379"/>
    </row>
    <row r="28" spans="2:6" ht="18" customHeight="1" x14ac:dyDescent="0.2">
      <c r="B28" s="52"/>
      <c r="C28" s="443" t="s">
        <v>24</v>
      </c>
      <c r="D28" s="444"/>
      <c r="E28" s="19"/>
      <c r="F28" s="19"/>
    </row>
    <row r="29" spans="2:6" ht="18" customHeight="1" x14ac:dyDescent="0.2">
      <c r="B29" s="52" t="s">
        <v>29</v>
      </c>
      <c r="C29" s="439">
        <f ca="1">ROUND(IF(RespostaContagem=Sim,Horas_HH_Total,Horas_HH_Total+EsforcoFases[[#Totals],[Esforço em Horas (preenchido)]]),2)</f>
        <v>304</v>
      </c>
      <c r="D29" s="440"/>
      <c r="E29" s="20" t="s">
        <v>248</v>
      </c>
      <c r="F29" s="20"/>
    </row>
    <row r="30" spans="2:6" ht="18" customHeight="1" x14ac:dyDescent="0.2">
      <c r="B30" s="63"/>
      <c r="C30" s="379"/>
      <c r="D30" s="379"/>
      <c r="E30" s="64"/>
      <c r="F30" s="64"/>
    </row>
    <row r="31" spans="2:6" ht="18" customHeight="1" x14ac:dyDescent="0.2">
      <c r="B31" s="52"/>
      <c r="C31" s="369" t="s">
        <v>15</v>
      </c>
      <c r="D31" s="368" t="s">
        <v>24</v>
      </c>
      <c r="F31" s="230" t="s">
        <v>325</v>
      </c>
    </row>
    <row r="32" spans="2:6" ht="15" customHeight="1" x14ac:dyDescent="0.2">
      <c r="B32" s="52" t="s">
        <v>73</v>
      </c>
      <c r="C32" s="129" t="s">
        <v>167</v>
      </c>
      <c r="D32" s="23">
        <f ca="1">ROUND(IF(Contratacao_Gestao=Sim,(Horas_APF+Horas_Analogia+Horas_HH)*VLOOKUP(Gestao,PercentuaisFases[],VLOOKUP(Fornecedor,MapFasesFornecedores[#All],3,FALSE),FALSE),0),2)</f>
        <v>54.72</v>
      </c>
      <c r="F32" s="129" t="s">
        <v>326</v>
      </c>
    </row>
    <row r="33" spans="2:6" ht="18" customHeight="1" x14ac:dyDescent="0.2">
      <c r="B33" s="63"/>
      <c r="C33" s="379"/>
      <c r="D33" s="379"/>
      <c r="E33" s="58"/>
      <c r="F33" s="58"/>
    </row>
    <row r="34" spans="2:6" ht="18" customHeight="1" x14ac:dyDescent="0.2">
      <c r="B34" s="53" t="s">
        <v>74</v>
      </c>
      <c r="C34" s="433" t="e">
        <f ca="1">ROUND((Horas_APF+Horas_Analogia+Horas_HH+Horas_Gestao)*Flip,2)</f>
        <v>#VALUE!</v>
      </c>
      <c r="D34" s="434"/>
      <c r="E34" s="16"/>
      <c r="F34" s="16"/>
    </row>
    <row r="36" spans="2:6" x14ac:dyDescent="0.2">
      <c r="B36" s="53" t="s">
        <v>175</v>
      </c>
      <c r="C36" s="449">
        <f>VLOOKUP(Sistema,Produtividades[],COLUMN(Produtividades[[#Headers],[Taxa horária]])-1,FALSE)</f>
        <v>177.51</v>
      </c>
      <c r="D36" s="450"/>
    </row>
    <row r="38" spans="2:6" x14ac:dyDescent="0.2">
      <c r="B38" s="53" t="s">
        <v>179</v>
      </c>
      <c r="C38" s="449" t="e">
        <f ca="1">Horas_Total*Taxa_Horaria</f>
        <v>#VALUE!</v>
      </c>
      <c r="D38" s="450"/>
    </row>
    <row r="40" spans="2:6" x14ac:dyDescent="0.2">
      <c r="B40" s="53" t="s">
        <v>178</v>
      </c>
      <c r="C40" s="451"/>
      <c r="D40" s="452"/>
    </row>
    <row r="41" spans="2:6" x14ac:dyDescent="0.2">
      <c r="C41" s="381"/>
      <c r="D41" s="381"/>
    </row>
    <row r="42" spans="2:6" ht="45" customHeight="1" x14ac:dyDescent="0.2">
      <c r="B42" s="53" t="s">
        <v>273</v>
      </c>
      <c r="C42" s="455"/>
      <c r="D42" s="456"/>
    </row>
    <row r="44" spans="2:6" ht="15.75" x14ac:dyDescent="0.2">
      <c r="B44" s="53" t="s">
        <v>180</v>
      </c>
      <c r="C44" s="453" t="e">
        <f ca="1">Custo-Desconto</f>
        <v>#VALUE!</v>
      </c>
      <c r="D44" s="454"/>
    </row>
  </sheetData>
  <sheetProtection algorithmName="SHA-512" hashValue="wcE1DS8eUHhiWewlj1/3ehOR7MRT12VUTrWKpGoBuzVozh/AuxiFZVB9FhxfXpB+ZEi8xpgYplTVV7Uds68xcw==" saltValue="MCMwBtWoxqT4TPYPKuZBXA==" spinCount="100000" sheet="1" objects="1" scenarios="1"/>
  <mergeCells count="19">
    <mergeCell ref="C36:D36"/>
    <mergeCell ref="C38:D38"/>
    <mergeCell ref="C40:D40"/>
    <mergeCell ref="C44:D44"/>
    <mergeCell ref="C42:D42"/>
    <mergeCell ref="B2:D2"/>
    <mergeCell ref="C4:D4"/>
    <mergeCell ref="C34:D34"/>
    <mergeCell ref="C6:D6"/>
    <mergeCell ref="C8:D8"/>
    <mergeCell ref="C19:D19"/>
    <mergeCell ref="C29:D29"/>
    <mergeCell ref="C26:D26"/>
    <mergeCell ref="C28:D28"/>
    <mergeCell ref="C15:D15"/>
    <mergeCell ref="C11:D11"/>
    <mergeCell ref="C17:D17"/>
    <mergeCell ref="C13:D13"/>
    <mergeCell ref="C7:D7"/>
  </mergeCells>
  <phoneticPr fontId="0" type="noConversion"/>
  <dataValidations count="9">
    <dataValidation type="decimal" allowBlank="1" showInputMessage="1" showErrorMessage="1" sqref="C44:D44 C38 C36:D36">
      <formula1>0</formula1>
      <formula2>1000000000</formula2>
    </dataValidation>
    <dataValidation type="list" allowBlank="1" showInputMessage="1" showErrorMessage="1" sqref="C15:D15">
      <formula1>INDIRECT($F$15)</formula1>
    </dataValidation>
    <dataValidation type="list" allowBlank="1" showInputMessage="1" showErrorMessage="1" error="Tem que selecionar um valor da lista disponível" sqref="C32">
      <formula1>Sim_Nao</formula1>
    </dataValidation>
    <dataValidation type="decimal" allowBlank="1" showInputMessage="1" showErrorMessage="1" error="O valor do desconto não pode ser superior ao custo" sqref="C40:D40">
      <formula1>0</formula1>
      <formula2>C38</formula2>
    </dataValidation>
    <dataValidation type="list" allowBlank="1" showInputMessage="1" showErrorMessage="1" error="Tem que selecionar um valor da lista disponível" sqref="C17:D17">
      <formula1>INDIRECT($F$17)</formula1>
    </dataValidation>
    <dataValidation type="list" allowBlank="1" showInputMessage="1" showErrorMessage="1" error="Tem que selecionar um valor da lista disponível" sqref="D9">
      <formula1>INDIRECT($F$9)</formula1>
    </dataValidation>
    <dataValidation type="whole" errorStyle="warning" allowBlank="1" showErrorMessage="1" errorTitle="Formato do número da demanda" error="O formato do número da demanda parece estar incorreto." sqref="C6:C7 E6:F7 D6">
      <formula1>0</formula1>
      <formula2>99999</formula2>
    </dataValidation>
    <dataValidation type="list" allowBlank="1" showInputMessage="1" showErrorMessage="1" sqref="C4:D4">
      <formula1>INDIRECT($F$4)</formula1>
    </dataValidation>
    <dataValidation type="list" allowBlank="1" showInputMessage="1" showErrorMessage="1" sqref="F32">
      <formula1>"&gt; 700 h,&lt; 700 h"</formula1>
    </dataValidation>
  </dataValidations>
  <hyperlinks>
    <hyperlink ref="E22" location="'Pontos de Função'!A1" display="&gt;&gt; Identificar PF - IFPUG"/>
    <hyperlink ref="E23" location="Analogia!A1" display="&gt;&gt; Identificar PF - Analogia"/>
    <hyperlink ref="E29" location="'Itens Não Funcionais'!A1" display="&gt;&gt; Identificar Itens Não Funcionais"/>
    <hyperlink ref="E19" location="Produtividade!B2" display="&gt;&gt; Ver Produtividades "/>
    <hyperlink ref="E24" location="'Fases Contratadas'!B2" display="&gt;&gt; Fases Contratadas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="Tem que selecionar um valor da lista disponível">
          <x14:formula1>
            <xm:f>Parâmetros!$I$5:$I$6</xm:f>
          </x14:formula1>
          <xm:sqref>C17:D17</xm:sqref>
        </x14:dataValidation>
        <x14:dataValidation type="list" allowBlank="1" showInputMessage="1" showErrorMessage="1">
          <x14:formula1>
            <xm:f>Parâmetros!E5:E10</xm:f>
          </x14:formula1>
          <xm:sqref>C4:D4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B1:P31"/>
  <sheetViews>
    <sheetView showGridLines="0" showRowColHeaders="0" zoomScale="80" zoomScaleNormal="80" workbookViewId="0">
      <pane xSplit="1" ySplit="6" topLeftCell="B7" activePane="bottomRight" state="frozen"/>
      <selection activeCell="G19" sqref="G19"/>
      <selection pane="topRight" activeCell="G19" sqref="G19"/>
      <selection pane="bottomLeft" activeCell="G19" sqref="G19"/>
      <selection pane="bottomRight" activeCell="B2" sqref="B2:M2"/>
    </sheetView>
  </sheetViews>
  <sheetFormatPr defaultRowHeight="14.25" x14ac:dyDescent="0.2"/>
  <cols>
    <col min="1" max="1" width="15.7109375" style="28" customWidth="1"/>
    <col min="2" max="2" width="12.140625" style="28" customWidth="1"/>
    <col min="3" max="3" width="33.42578125" style="28" customWidth="1"/>
    <col min="4" max="4" width="27.140625" style="28" customWidth="1"/>
    <col min="5" max="5" width="22" style="28" customWidth="1"/>
    <col min="6" max="6" width="21.5703125" style="56" customWidth="1"/>
    <col min="7" max="8" width="18.42578125" style="56" customWidth="1"/>
    <col min="9" max="9" width="41.7109375" style="56" customWidth="1"/>
    <col min="10" max="10" width="17.28515625" style="28" customWidth="1"/>
    <col min="11" max="11" width="7.140625" style="28" customWidth="1"/>
    <col min="12" max="12" width="9.42578125" style="88" hidden="1" customWidth="1"/>
    <col min="13" max="13" width="62.7109375" style="28" customWidth="1"/>
    <col min="14" max="15" width="9.140625" style="28"/>
    <col min="16" max="16" width="9.85546875" style="28" hidden="1" customWidth="1"/>
    <col min="17" max="16384" width="9.140625" style="28"/>
  </cols>
  <sheetData>
    <row r="1" spans="2:16" ht="20.100000000000001" customHeight="1" x14ac:dyDescent="0.2">
      <c r="F1" s="55" t="str">
        <f>IF(TipoContagem=TipoContagemEstimada,"OCULTAR!","")</f>
        <v/>
      </c>
      <c r="G1" s="55" t="str">
        <f>IF(TipoContagem=TipoContagemEstimada,"OCULTAR!","")</f>
        <v/>
      </c>
      <c r="H1" s="55"/>
      <c r="I1" s="55"/>
    </row>
    <row r="2" spans="2:16" ht="20.100000000000001" customHeight="1" x14ac:dyDescent="0.2">
      <c r="B2" s="430" t="str">
        <f>IF(TipoContagem=TipoContagemDetalhada,"Pontos de Função - Contagem Detalhada Conforme IFPUG","Pontos de Função - Contagem Estimada Conforme NESMA")</f>
        <v>Pontos de Função - Contagem Detalhada Conforme IFPUG</v>
      </c>
      <c r="C2" s="430"/>
      <c r="D2" s="430"/>
      <c r="E2" s="430"/>
      <c r="F2" s="430"/>
      <c r="G2" s="430"/>
      <c r="H2" s="430"/>
      <c r="I2" s="430"/>
      <c r="J2" s="430"/>
      <c r="K2" s="430"/>
      <c r="L2" s="430"/>
      <c r="M2" s="430"/>
    </row>
    <row r="3" spans="2:16" s="31" customFormat="1" ht="20.100000000000001" customHeight="1" x14ac:dyDescent="0.2">
      <c r="B3" s="4"/>
      <c r="E3" s="4"/>
      <c r="F3" s="4"/>
      <c r="G3" s="4"/>
      <c r="H3" s="4"/>
      <c r="I3" s="4"/>
      <c r="J3" s="4"/>
      <c r="K3" s="4"/>
      <c r="L3" s="171"/>
      <c r="M3" s="21" t="s">
        <v>45</v>
      </c>
      <c r="P3" s="89"/>
    </row>
    <row r="4" spans="2:16" s="89" customFormat="1" ht="20.100000000000001" hidden="1" customHeight="1" x14ac:dyDescent="0.2">
      <c r="B4" s="171"/>
      <c r="C4" s="171" t="str">
        <f>Sistema</f>
        <v>Arbor</v>
      </c>
      <c r="D4" s="384" t="s">
        <v>451</v>
      </c>
      <c r="E4" s="171" t="s">
        <v>115</v>
      </c>
      <c r="F4" s="171" t="s">
        <v>477</v>
      </c>
      <c r="G4" s="171"/>
      <c r="H4" s="171"/>
      <c r="I4" s="171"/>
      <c r="J4" s="171"/>
      <c r="K4" s="171"/>
      <c r="L4" s="171"/>
      <c r="M4" s="385"/>
    </row>
    <row r="5" spans="2:16" s="89" customFormat="1" ht="20.100000000000001" hidden="1" customHeight="1" x14ac:dyDescent="0.2">
      <c r="B5" s="171"/>
      <c r="C5" s="171" t="s">
        <v>182</v>
      </c>
      <c r="D5" s="384">
        <f>VLOOKUP(C4,Produtividades[#All],2,0)</f>
        <v>20.86</v>
      </c>
      <c r="E5" s="384">
        <f>VLOOKUP(C4,Produtividades[#All],3,0)</f>
        <v>20.86</v>
      </c>
      <c r="F5" s="384">
        <f>VLOOKUP(C4,Produtividades[#All],4,0)</f>
        <v>20.86</v>
      </c>
      <c r="G5" s="171"/>
      <c r="H5" s="171"/>
      <c r="I5" s="171"/>
      <c r="J5" s="171"/>
      <c r="K5" s="171"/>
      <c r="L5" s="171"/>
      <c r="M5" s="385"/>
    </row>
    <row r="6" spans="2:16" ht="63.75" customHeight="1" x14ac:dyDescent="0.2">
      <c r="B6" s="44" t="s">
        <v>79</v>
      </c>
      <c r="C6" s="370" t="s">
        <v>1</v>
      </c>
      <c r="D6" s="370" t="s">
        <v>101</v>
      </c>
      <c r="E6" s="370" t="s">
        <v>151</v>
      </c>
      <c r="F6" s="370" t="s">
        <v>51</v>
      </c>
      <c r="G6" s="370" t="s">
        <v>52</v>
      </c>
      <c r="H6" s="370" t="s">
        <v>171</v>
      </c>
      <c r="I6" s="370" t="s">
        <v>172</v>
      </c>
      <c r="J6" s="370" t="s">
        <v>4</v>
      </c>
      <c r="K6" s="370" t="s">
        <v>5</v>
      </c>
      <c r="L6" s="371" t="s">
        <v>448</v>
      </c>
      <c r="M6" s="370" t="s">
        <v>77</v>
      </c>
      <c r="P6" s="88"/>
    </row>
    <row r="7" spans="2:16" s="271" customFormat="1" x14ac:dyDescent="0.2">
      <c r="B7" s="268"/>
      <c r="C7" s="269"/>
      <c r="D7" s="270"/>
      <c r="E7" s="270"/>
      <c r="F7" s="270"/>
      <c r="G7" s="270"/>
      <c r="H7" s="412"/>
      <c r="I7" s="412"/>
      <c r="J7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7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7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7" s="219"/>
      <c r="P7" s="272"/>
    </row>
    <row r="8" spans="2:16" s="271" customFormat="1" x14ac:dyDescent="0.2">
      <c r="B8" s="268"/>
      <c r="C8" s="269"/>
      <c r="D8" s="270"/>
      <c r="E8" s="270"/>
      <c r="F8" s="270"/>
      <c r="G8" s="270"/>
      <c r="H8" s="412"/>
      <c r="I8" s="412"/>
      <c r="J8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8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8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8" s="219"/>
      <c r="P8" s="272" t="s">
        <v>258</v>
      </c>
    </row>
    <row r="9" spans="2:16" s="271" customFormat="1" x14ac:dyDescent="0.2">
      <c r="B9" s="268"/>
      <c r="C9" s="269"/>
      <c r="D9" s="270"/>
      <c r="E9" s="270"/>
      <c r="F9" s="270"/>
      <c r="G9" s="270"/>
      <c r="H9" s="412"/>
      <c r="I9" s="412"/>
      <c r="J9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9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9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9" s="219"/>
      <c r="P9" s="272" t="s">
        <v>259</v>
      </c>
    </row>
    <row r="10" spans="2:16" s="271" customFormat="1" x14ac:dyDescent="0.2">
      <c r="B10" s="268"/>
      <c r="C10" s="269"/>
      <c r="D10" s="270"/>
      <c r="E10" s="270"/>
      <c r="F10" s="270"/>
      <c r="G10" s="270"/>
      <c r="H10" s="412"/>
      <c r="I10" s="412"/>
      <c r="J10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0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0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0" s="219"/>
      <c r="P10" s="272" t="s">
        <v>260</v>
      </c>
    </row>
    <row r="11" spans="2:16" s="271" customFormat="1" x14ac:dyDescent="0.2">
      <c r="B11" s="268"/>
      <c r="C11" s="269"/>
      <c r="D11" s="270"/>
      <c r="E11" s="270"/>
      <c r="F11" s="270"/>
      <c r="G11" s="270"/>
      <c r="H11" s="412"/>
      <c r="I11" s="412"/>
      <c r="J11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1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1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1" s="219"/>
      <c r="P11" s="272"/>
    </row>
    <row r="12" spans="2:16" s="271" customFormat="1" x14ac:dyDescent="0.2">
      <c r="B12" s="268"/>
      <c r="C12" s="269"/>
      <c r="D12" s="270"/>
      <c r="E12" s="270"/>
      <c r="F12" s="270"/>
      <c r="G12" s="270"/>
      <c r="H12" s="412"/>
      <c r="I12" s="412"/>
      <c r="J12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2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2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2" s="219"/>
      <c r="P12" s="272"/>
    </row>
    <row r="13" spans="2:16" s="271" customFormat="1" x14ac:dyDescent="0.2">
      <c r="B13" s="268"/>
      <c r="C13" s="269"/>
      <c r="D13" s="270"/>
      <c r="E13" s="270"/>
      <c r="F13" s="270"/>
      <c r="G13" s="270"/>
      <c r="H13" s="412"/>
      <c r="I13" s="412"/>
      <c r="J13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3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3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3" s="219"/>
    </row>
    <row r="14" spans="2:16" s="271" customFormat="1" x14ac:dyDescent="0.2">
      <c r="B14" s="268"/>
      <c r="C14" s="269"/>
      <c r="D14" s="270"/>
      <c r="E14" s="270"/>
      <c r="F14" s="270"/>
      <c r="G14" s="270"/>
      <c r="H14" s="412"/>
      <c r="I14" s="412"/>
      <c r="J14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4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4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4" s="219"/>
    </row>
    <row r="15" spans="2:16" s="271" customFormat="1" x14ac:dyDescent="0.2">
      <c r="B15" s="268"/>
      <c r="C15" s="269"/>
      <c r="D15" s="270"/>
      <c r="E15" s="270"/>
      <c r="F15" s="270"/>
      <c r="G15" s="270"/>
      <c r="H15" s="412"/>
      <c r="I15" s="412"/>
      <c r="J15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5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5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5" s="219"/>
    </row>
    <row r="16" spans="2:16" s="271" customFormat="1" x14ac:dyDescent="0.2">
      <c r="B16" s="268"/>
      <c r="C16" s="269"/>
      <c r="D16" s="270"/>
      <c r="E16" s="270"/>
      <c r="F16" s="270"/>
      <c r="G16" s="270"/>
      <c r="H16" s="412"/>
      <c r="I16" s="412"/>
      <c r="J16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6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6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6" s="219"/>
    </row>
    <row r="17" spans="2:13" s="271" customFormat="1" x14ac:dyDescent="0.2">
      <c r="B17" s="268"/>
      <c r="C17" s="269"/>
      <c r="D17" s="270"/>
      <c r="E17" s="270"/>
      <c r="F17" s="270"/>
      <c r="G17" s="270"/>
      <c r="H17" s="412"/>
      <c r="I17" s="412"/>
      <c r="J17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7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7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7" s="219"/>
    </row>
    <row r="18" spans="2:13" s="271" customFormat="1" x14ac:dyDescent="0.2">
      <c r="B18" s="268"/>
      <c r="C18" s="269"/>
      <c r="D18" s="270"/>
      <c r="E18" s="270"/>
      <c r="F18" s="270"/>
      <c r="G18" s="270"/>
      <c r="H18" s="412"/>
      <c r="I18" s="412"/>
      <c r="J18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8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8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8" s="219"/>
    </row>
    <row r="19" spans="2:13" s="271" customFormat="1" x14ac:dyDescent="0.2">
      <c r="B19" s="268"/>
      <c r="C19" s="269"/>
      <c r="D19" s="270"/>
      <c r="E19" s="270"/>
      <c r="F19" s="270"/>
      <c r="G19" s="270"/>
      <c r="H19" s="412"/>
      <c r="I19" s="412"/>
      <c r="J19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9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9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9" s="219"/>
    </row>
    <row r="20" spans="2:13" s="271" customFormat="1" x14ac:dyDescent="0.2">
      <c r="B20" s="268"/>
      <c r="C20" s="269"/>
      <c r="D20" s="270"/>
      <c r="E20" s="270"/>
      <c r="F20" s="270"/>
      <c r="G20" s="270"/>
      <c r="H20" s="412"/>
      <c r="I20" s="412"/>
      <c r="J20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0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0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0" s="219"/>
    </row>
    <row r="21" spans="2:13" s="271" customFormat="1" x14ac:dyDescent="0.2">
      <c r="B21" s="268"/>
      <c r="C21" s="269"/>
      <c r="D21" s="270"/>
      <c r="E21" s="270"/>
      <c r="F21" s="270"/>
      <c r="G21" s="270"/>
      <c r="H21" s="412"/>
      <c r="I21" s="412"/>
      <c r="J21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1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1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1" s="219"/>
    </row>
    <row r="22" spans="2:13" s="271" customFormat="1" x14ac:dyDescent="0.2">
      <c r="B22" s="268"/>
      <c r="C22" s="269"/>
      <c r="D22" s="270"/>
      <c r="E22" s="270"/>
      <c r="F22" s="270"/>
      <c r="G22" s="270"/>
      <c r="H22" s="412"/>
      <c r="I22" s="412"/>
      <c r="J22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2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2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2" s="219"/>
    </row>
    <row r="23" spans="2:13" s="271" customFormat="1" x14ac:dyDescent="0.2">
      <c r="B23" s="268"/>
      <c r="C23" s="269"/>
      <c r="D23" s="270"/>
      <c r="E23" s="270"/>
      <c r="F23" s="270"/>
      <c r="G23" s="270"/>
      <c r="H23" s="412"/>
      <c r="I23" s="412"/>
      <c r="J23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3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3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3" s="219"/>
    </row>
    <row r="24" spans="2:13" s="271" customFormat="1" x14ac:dyDescent="0.2">
      <c r="B24" s="268"/>
      <c r="C24" s="269"/>
      <c r="D24" s="270"/>
      <c r="E24" s="270"/>
      <c r="F24" s="270"/>
      <c r="G24" s="270"/>
      <c r="H24" s="412"/>
      <c r="I24" s="412"/>
      <c r="J24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4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4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4" s="219"/>
    </row>
    <row r="25" spans="2:13" s="271" customFormat="1" x14ac:dyDescent="0.2">
      <c r="B25" s="268"/>
      <c r="C25" s="269"/>
      <c r="D25" s="270"/>
      <c r="E25" s="270"/>
      <c r="F25" s="270"/>
      <c r="G25" s="270"/>
      <c r="H25" s="412"/>
      <c r="I25" s="412"/>
      <c r="J25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5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5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5" s="219"/>
    </row>
    <row r="26" spans="2:13" s="271" customFormat="1" x14ac:dyDescent="0.2">
      <c r="B26" s="268"/>
      <c r="C26" s="269"/>
      <c r="D26" s="270"/>
      <c r="E26" s="270"/>
      <c r="F26" s="270"/>
      <c r="G26" s="270"/>
      <c r="H26" s="412"/>
      <c r="I26" s="412"/>
      <c r="J26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6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6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6" s="219"/>
    </row>
    <row r="27" spans="2:13" x14ac:dyDescent="0.2">
      <c r="B27" s="224" t="s">
        <v>112</v>
      </c>
      <c r="C27" s="205"/>
      <c r="D27" s="205"/>
      <c r="E27" s="205"/>
      <c r="F27" s="273"/>
      <c r="G27" s="273"/>
      <c r="H27" s="273"/>
      <c r="I27" s="273"/>
      <c r="J27" s="205"/>
      <c r="K27" s="205">
        <f>SUBTOTAL(109,PontosFuncao[PF])</f>
        <v>0</v>
      </c>
      <c r="L27" s="359">
        <f>SUBTOTAL(109,PontosFuncao[Esforço])</f>
        <v>0</v>
      </c>
      <c r="M27" s="273"/>
    </row>
    <row r="30" spans="2:13" x14ac:dyDescent="0.2">
      <c r="D30" s="357"/>
    </row>
    <row r="31" spans="2:13" x14ac:dyDescent="0.2">
      <c r="D31" s="357"/>
    </row>
  </sheetData>
  <sheetProtection algorithmName="SHA-512" hashValue="u0FoJF4nbp5Th/pAdXV6z2vMif7USl7ZPF5ZkGJLO43QAhFrrOqR5rHcNXMqOb1keEXqRwSR8/9R91aVW1VDeA==" saltValue="8A2yzGa9c/5FpnQ+A99JsA==" spinCount="100000" sheet="1" objects="1" scenarios="1"/>
  <mergeCells count="1">
    <mergeCell ref="B2:M2"/>
  </mergeCells>
  <dataValidations count="6">
    <dataValidation type="list" allowBlank="1" showInputMessage="1" showErrorMessage="1" error="Tem que selecionar um valor da lista disponível" sqref="D7:D26">
      <formula1>INDIRECT($P$8)</formula1>
    </dataValidation>
    <dataValidation type="list" allowBlank="1" showInputMessage="1" showErrorMessage="1" error="Tem que selecionar um valor da lista disponível" sqref="E7:E26">
      <formula1>INDIRECT($P$9)</formula1>
    </dataValidation>
    <dataValidation type="whole" operator="greaterThanOrEqual" allowBlank="1" showDropDown="1" showInputMessage="1" showErrorMessage="1" errorTitle="Valores Válidos" error="Célula aceita apenas números inteiros." sqref="F7:F26">
      <formula1>0</formula1>
    </dataValidation>
    <dataValidation type="whole" operator="greaterThan" allowBlank="1" showDropDown="1" showInputMessage="1" showErrorMessage="1" errorTitle="Valores Válidos" error="Célula aceita apenas números inteiros." sqref="G7:G26">
      <formula1>0</formula1>
    </dataValidation>
    <dataValidation operator="greaterThan" allowBlank="1" showDropDown="1" showInputMessage="1" showErrorMessage="1" errorTitle="Valores Válidos" error="Célula aceita apenas números inteiros." sqref="H7:I26"/>
    <dataValidation allowBlank="1" showInputMessage="1" showErrorMessage="1" error="Tem que selecionar um valor da lista disponível" sqref="J7:J26"/>
  </dataValidations>
  <hyperlinks>
    <hyperlink ref="M3" location="Resumo!C15" display="&lt;&lt; Voltar para RESUMO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AdicionaLinhasPontosFuncao">
                <anchor moveWithCells="1" sizeWithCells="1">
                  <from>
                    <xdr:col>0</xdr:col>
                    <xdr:colOff>104775</xdr:colOff>
                    <xdr:row>5</xdr:row>
                    <xdr:rowOff>428625</xdr:rowOff>
                  </from>
                  <to>
                    <xdr:col>0</xdr:col>
                    <xdr:colOff>1028700</xdr:colOff>
                    <xdr:row>5</xdr:row>
                    <xdr:rowOff>714375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="Tem que selecionar um valor da lista disponível">
          <x14:formula1>
            <xm:f>Parâmetros!$F$5:$F$7</xm:f>
          </x14:formula1>
          <xm:sqref>D7:D26</xm:sqref>
        </x14:dataValidation>
        <x14:dataValidation type="list" allowBlank="1" showInputMessage="1" showErrorMessage="1" error="Tem que selecionar um valor da lista disponível">
          <x14:formula1>
            <xm:f>Parâmetros!$G$5:$G$9</xm:f>
          </x14:formula1>
          <xm:sqref>E7:E26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B1:S27"/>
  <sheetViews>
    <sheetView showGridLines="0" showRowColHeaders="0" zoomScale="80" zoomScaleNormal="80" workbookViewId="0">
      <pane xSplit="1" ySplit="6" topLeftCell="B7" activePane="bottomRight" state="frozen"/>
      <selection activeCell="G19" sqref="G19"/>
      <selection pane="topRight" activeCell="G19" sqref="G19"/>
      <selection pane="bottomLeft" activeCell="G19" sqref="G19"/>
      <selection pane="bottomRight" activeCell="B2" sqref="B2:P2"/>
    </sheetView>
  </sheetViews>
  <sheetFormatPr defaultRowHeight="14.25" x14ac:dyDescent="0.2"/>
  <cols>
    <col min="1" max="1" width="15.7109375" style="28" customWidth="1"/>
    <col min="2" max="2" width="12.140625" style="28" customWidth="1"/>
    <col min="3" max="3" width="25.85546875" style="28" customWidth="1"/>
    <col min="4" max="4" width="33.42578125" style="28" customWidth="1"/>
    <col min="5" max="5" width="27.140625" style="28" customWidth="1"/>
    <col min="6" max="6" width="22" style="28" customWidth="1"/>
    <col min="7" max="7" width="20.5703125" style="56" customWidth="1"/>
    <col min="8" max="9" width="18.42578125" style="56" customWidth="1"/>
    <col min="10" max="10" width="41.7109375" style="56" customWidth="1"/>
    <col min="11" max="11" width="17.28515625" style="28" customWidth="1"/>
    <col min="12" max="12" width="17.28515625" style="88" hidden="1" customWidth="1"/>
    <col min="13" max="13" width="12.140625" style="28" customWidth="1"/>
    <col min="14" max="15" width="12.140625" style="88" hidden="1" customWidth="1"/>
    <col min="16" max="16" width="62.7109375" style="28" customWidth="1"/>
    <col min="17" max="18" width="9.140625" style="28"/>
    <col min="19" max="19" width="9.85546875" style="28" hidden="1" customWidth="1"/>
    <col min="20" max="16384" width="9.140625" style="28"/>
  </cols>
  <sheetData>
    <row r="1" spans="2:19" ht="20.100000000000001" customHeight="1" x14ac:dyDescent="0.2">
      <c r="G1" s="55" t="str">
        <f>IF(TipoContagem=TipoContagemEstimada,"OCULTAR!","")</f>
        <v/>
      </c>
      <c r="H1" s="55" t="str">
        <f>IF(TipoContagem=TipoContagemEstimada,"OCULTAR!","")</f>
        <v/>
      </c>
      <c r="I1" s="55"/>
      <c r="J1" s="55"/>
    </row>
    <row r="2" spans="2:19" ht="20.100000000000001" customHeight="1" x14ac:dyDescent="0.2">
      <c r="B2" s="430" t="s">
        <v>71</v>
      </c>
      <c r="C2" s="430"/>
      <c r="D2" s="430"/>
      <c r="E2" s="430"/>
      <c r="F2" s="430"/>
      <c r="G2" s="430"/>
      <c r="H2" s="430"/>
      <c r="I2" s="430"/>
      <c r="J2" s="430"/>
      <c r="K2" s="430"/>
      <c r="L2" s="430"/>
      <c r="M2" s="430"/>
      <c r="N2" s="430"/>
      <c r="O2" s="430"/>
      <c r="P2" s="430"/>
    </row>
    <row r="3" spans="2:19" s="31" customFormat="1" ht="20.100000000000001" customHeight="1" x14ac:dyDescent="0.2">
      <c r="B3" s="457" t="s">
        <v>40</v>
      </c>
      <c r="C3" s="457"/>
      <c r="D3" s="457"/>
      <c r="E3" s="457"/>
      <c r="F3" s="457"/>
      <c r="G3" s="457"/>
      <c r="H3" s="457"/>
      <c r="I3" s="457"/>
      <c r="J3" s="457"/>
      <c r="K3" s="457"/>
      <c r="L3" s="457"/>
      <c r="M3" s="457"/>
      <c r="N3" s="382"/>
      <c r="O3" s="382"/>
      <c r="P3" s="21" t="s">
        <v>45</v>
      </c>
      <c r="S3" s="89"/>
    </row>
    <row r="4" spans="2:19" s="89" customFormat="1" ht="20.100000000000001" hidden="1" customHeight="1" x14ac:dyDescent="0.2">
      <c r="B4" s="382"/>
      <c r="C4" s="171" t="str">
        <f>Sistema</f>
        <v>Arbor</v>
      </c>
      <c r="D4" s="384" t="s">
        <v>451</v>
      </c>
      <c r="E4" s="171" t="s">
        <v>115</v>
      </c>
      <c r="F4" s="171" t="s">
        <v>477</v>
      </c>
      <c r="G4" s="382"/>
      <c r="H4" s="382"/>
      <c r="I4" s="382"/>
      <c r="J4" s="382"/>
      <c r="K4" s="382"/>
      <c r="L4" s="382"/>
      <c r="M4" s="382"/>
      <c r="N4" s="382"/>
      <c r="O4" s="382"/>
      <c r="P4" s="385"/>
    </row>
    <row r="5" spans="2:19" s="89" customFormat="1" ht="20.100000000000001" hidden="1" customHeight="1" x14ac:dyDescent="0.2">
      <c r="B5" s="383"/>
      <c r="C5" s="171" t="s">
        <v>182</v>
      </c>
      <c r="D5" s="384">
        <f>VLOOKUP(C4,Produtividades[#All],2,0)</f>
        <v>20.86</v>
      </c>
      <c r="E5" s="384">
        <f>VLOOKUP(C4,Produtividades[#All],3,0)</f>
        <v>20.86</v>
      </c>
      <c r="F5" s="384">
        <f>VLOOKUP(C4,Produtividades[#All],4,0)</f>
        <v>20.86</v>
      </c>
      <c r="G5" s="383"/>
      <c r="H5" s="383"/>
      <c r="I5" s="383"/>
      <c r="J5" s="383"/>
      <c r="K5" s="383"/>
      <c r="L5" s="383"/>
      <c r="M5" s="383"/>
      <c r="N5" s="382"/>
      <c r="O5" s="382"/>
      <c r="P5" s="385"/>
    </row>
    <row r="6" spans="2:19" ht="63.75" customHeight="1" x14ac:dyDescent="0.2">
      <c r="B6" s="44" t="s">
        <v>79</v>
      </c>
      <c r="C6" s="50" t="s">
        <v>6</v>
      </c>
      <c r="D6" s="370" t="s">
        <v>1</v>
      </c>
      <c r="E6" s="370" t="s">
        <v>101</v>
      </c>
      <c r="F6" s="370" t="s">
        <v>151</v>
      </c>
      <c r="G6" s="370" t="s">
        <v>51</v>
      </c>
      <c r="H6" s="370" t="s">
        <v>52</v>
      </c>
      <c r="I6" s="370" t="s">
        <v>171</v>
      </c>
      <c r="J6" s="370" t="s">
        <v>172</v>
      </c>
      <c r="K6" s="370" t="s">
        <v>4</v>
      </c>
      <c r="L6" s="371" t="s">
        <v>68</v>
      </c>
      <c r="M6" s="370" t="s">
        <v>58</v>
      </c>
      <c r="N6" s="371" t="s">
        <v>449</v>
      </c>
      <c r="O6" s="371" t="s">
        <v>450</v>
      </c>
      <c r="P6" s="370" t="s">
        <v>77</v>
      </c>
      <c r="S6" s="88"/>
    </row>
    <row r="7" spans="2:19" x14ac:dyDescent="0.2">
      <c r="B7" s="223"/>
      <c r="C7" s="269"/>
      <c r="D7" s="269"/>
      <c r="E7" s="270"/>
      <c r="F7" s="270"/>
      <c r="G7" s="270"/>
      <c r="H7" s="270"/>
      <c r="I7" s="412"/>
      <c r="J7" s="412"/>
      <c r="K7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7" s="358">
        <f>IF(Analogia[[#This Row],[Tipo de Função]]="",0,INDEX(Pesos_IFPUG,MATCH(Analogia[[#This Row],[Tipo de Função]],Pesos_IFPUG_Objetos,0),MATCH(Analogia[[#This Row],[Complexidade]],Pesos_IFPUG_Complexidade,0)))</f>
        <v>0</v>
      </c>
      <c r="M7" s="218">
        <f>ROUND(IF(Analogia[[#This Row],[Tipo de Função]]="",0,Analogia[[#This Row],[PF s/ Fator de Impacto]]*VLOOKUP(Analogia[[#This Row],[Analogia]],FatoresAjuste_Analogia_[],2,FALSE)),2)</f>
        <v>0</v>
      </c>
      <c r="N7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7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7" s="219"/>
      <c r="S7" s="88" t="s">
        <v>270</v>
      </c>
    </row>
    <row r="8" spans="2:19" x14ac:dyDescent="0.2">
      <c r="B8" s="223"/>
      <c r="C8" s="269"/>
      <c r="D8" s="269"/>
      <c r="E8" s="270"/>
      <c r="F8" s="270"/>
      <c r="G8" s="270"/>
      <c r="H8" s="270"/>
      <c r="I8" s="412"/>
      <c r="J8" s="412"/>
      <c r="K8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8" s="358">
        <f>IF(Analogia[[#This Row],[Tipo de Função]]="",0,INDEX(Pesos_IFPUG,MATCH(Analogia[[#This Row],[Tipo de Função]],Pesos_IFPUG_Objetos,0),MATCH(Analogia[[#This Row],[Complexidade]],Pesos_IFPUG_Complexidade,0)))</f>
        <v>0</v>
      </c>
      <c r="M8" s="218">
        <f>ROUND(IF(Analogia[[#This Row],[Tipo de Função]]="",0,Analogia[[#This Row],[PF s/ Fator de Impacto]]*VLOOKUP(Analogia[[#This Row],[Analogia]],FatoresAjuste_Analogia_[],2,FALSE)),2)</f>
        <v>0</v>
      </c>
      <c r="N8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8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8" s="219"/>
      <c r="S8" s="88" t="s">
        <v>258</v>
      </c>
    </row>
    <row r="9" spans="2:19" x14ac:dyDescent="0.2">
      <c r="B9" s="223"/>
      <c r="C9" s="269"/>
      <c r="D9" s="269"/>
      <c r="E9" s="270"/>
      <c r="F9" s="270"/>
      <c r="G9" s="270"/>
      <c r="H9" s="270"/>
      <c r="I9" s="412"/>
      <c r="J9" s="412"/>
      <c r="K9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9" s="358">
        <f>IF(Analogia[[#This Row],[Tipo de Função]]="",0,INDEX(Pesos_IFPUG,MATCH(Analogia[[#This Row],[Tipo de Função]],Pesos_IFPUG_Objetos,0),MATCH(Analogia[[#This Row],[Complexidade]],Pesos_IFPUG_Complexidade,0)))</f>
        <v>0</v>
      </c>
      <c r="M9" s="218">
        <f>ROUND(IF(Analogia[[#This Row],[Tipo de Função]]="",0,Analogia[[#This Row],[PF s/ Fator de Impacto]]*VLOOKUP(Analogia[[#This Row],[Analogia]],FatoresAjuste_Analogia_[],2,FALSE)),2)</f>
        <v>0</v>
      </c>
      <c r="N9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9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9" s="219"/>
      <c r="S9" s="88" t="s">
        <v>259</v>
      </c>
    </row>
    <row r="10" spans="2:19" x14ac:dyDescent="0.2">
      <c r="B10" s="223"/>
      <c r="C10" s="269"/>
      <c r="D10" s="269"/>
      <c r="E10" s="270"/>
      <c r="F10" s="270"/>
      <c r="G10" s="270"/>
      <c r="H10" s="270"/>
      <c r="I10" s="412"/>
      <c r="J10" s="412"/>
      <c r="K10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0" s="358">
        <f>IF(Analogia[[#This Row],[Tipo de Função]]="",0,INDEX(Pesos_IFPUG,MATCH(Analogia[[#This Row],[Tipo de Função]],Pesos_IFPUG_Objetos,0),MATCH(Analogia[[#This Row],[Complexidade]],Pesos_IFPUG_Complexidade,0)))</f>
        <v>0</v>
      </c>
      <c r="M10" s="218">
        <f>ROUND(IF(Analogia[[#This Row],[Tipo de Função]]="",0,Analogia[[#This Row],[PF s/ Fator de Impacto]]*VLOOKUP(Analogia[[#This Row],[Analogia]],FatoresAjuste_Analogia_[],2,FALSE)),2)</f>
        <v>0</v>
      </c>
      <c r="N10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0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0" s="219"/>
      <c r="S10" s="88" t="s">
        <v>260</v>
      </c>
    </row>
    <row r="11" spans="2:19" x14ac:dyDescent="0.2">
      <c r="B11" s="223"/>
      <c r="C11" s="269"/>
      <c r="D11" s="269"/>
      <c r="E11" s="270"/>
      <c r="F11" s="270"/>
      <c r="G11" s="270"/>
      <c r="H11" s="270"/>
      <c r="I11" s="412"/>
      <c r="J11" s="412"/>
      <c r="K11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1" s="358">
        <f>IF(Analogia[[#This Row],[Tipo de Função]]="",0,INDEX(Pesos_IFPUG,MATCH(Analogia[[#This Row],[Tipo de Função]],Pesos_IFPUG_Objetos,0),MATCH(Analogia[[#This Row],[Complexidade]],Pesos_IFPUG_Complexidade,0)))</f>
        <v>0</v>
      </c>
      <c r="M11" s="218">
        <f>ROUND(IF(Analogia[[#This Row],[Tipo de Função]]="",0,Analogia[[#This Row],[PF s/ Fator de Impacto]]*VLOOKUP(Analogia[[#This Row],[Analogia]],FatoresAjuste_Analogia_[],2,FALSE)),2)</f>
        <v>0</v>
      </c>
      <c r="N11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1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1" s="219"/>
      <c r="S11" s="88"/>
    </row>
    <row r="12" spans="2:19" x14ac:dyDescent="0.2">
      <c r="B12" s="223"/>
      <c r="C12" s="269"/>
      <c r="D12" s="269"/>
      <c r="E12" s="270"/>
      <c r="F12" s="270"/>
      <c r="G12" s="270"/>
      <c r="H12" s="270"/>
      <c r="I12" s="412"/>
      <c r="J12" s="412"/>
      <c r="K12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2" s="358">
        <f>IF(Analogia[[#This Row],[Tipo de Função]]="",0,INDEX(Pesos_IFPUG,MATCH(Analogia[[#This Row],[Tipo de Função]],Pesos_IFPUG_Objetos,0),MATCH(Analogia[[#This Row],[Complexidade]],Pesos_IFPUG_Complexidade,0)))</f>
        <v>0</v>
      </c>
      <c r="M12" s="218">
        <f>ROUND(IF(Analogia[[#This Row],[Tipo de Função]]="",0,Analogia[[#This Row],[PF s/ Fator de Impacto]]*VLOOKUP(Analogia[[#This Row],[Analogia]],FatoresAjuste_Analogia_[],2,FALSE)),2)</f>
        <v>0</v>
      </c>
      <c r="N12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2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2" s="219"/>
      <c r="S12" s="88"/>
    </row>
    <row r="13" spans="2:19" x14ac:dyDescent="0.2">
      <c r="B13" s="223"/>
      <c r="C13" s="269"/>
      <c r="D13" s="269"/>
      <c r="E13" s="270"/>
      <c r="F13" s="270"/>
      <c r="G13" s="270"/>
      <c r="H13" s="270"/>
      <c r="I13" s="412"/>
      <c r="J13" s="412"/>
      <c r="K13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3" s="358">
        <f>IF(Analogia[[#This Row],[Tipo de Função]]="",0,INDEX(Pesos_IFPUG,MATCH(Analogia[[#This Row],[Tipo de Função]],Pesos_IFPUG_Objetos,0),MATCH(Analogia[[#This Row],[Complexidade]],Pesos_IFPUG_Complexidade,0)))</f>
        <v>0</v>
      </c>
      <c r="M13" s="218">
        <f>ROUND(IF(Analogia[[#This Row],[Tipo de Função]]="",0,Analogia[[#This Row],[PF s/ Fator de Impacto]]*VLOOKUP(Analogia[[#This Row],[Analogia]],FatoresAjuste_Analogia_[],2,FALSE)),2)</f>
        <v>0</v>
      </c>
      <c r="N13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3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3" s="219"/>
    </row>
    <row r="14" spans="2:19" x14ac:dyDescent="0.2">
      <c r="B14" s="223"/>
      <c r="C14" s="269"/>
      <c r="D14" s="269"/>
      <c r="E14" s="270"/>
      <c r="F14" s="270"/>
      <c r="G14" s="270"/>
      <c r="H14" s="270"/>
      <c r="I14" s="412"/>
      <c r="J14" s="412"/>
      <c r="K14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4" s="358">
        <f>IF(Analogia[[#This Row],[Tipo de Função]]="",0,INDEX(Pesos_IFPUG,MATCH(Analogia[[#This Row],[Tipo de Função]],Pesos_IFPUG_Objetos,0),MATCH(Analogia[[#This Row],[Complexidade]],Pesos_IFPUG_Complexidade,0)))</f>
        <v>0</v>
      </c>
      <c r="M14" s="218">
        <f>ROUND(IF(Analogia[[#This Row],[Tipo de Função]]="",0,Analogia[[#This Row],[PF s/ Fator de Impacto]]*VLOOKUP(Analogia[[#This Row],[Analogia]],FatoresAjuste_Analogia_[],2,FALSE)),2)</f>
        <v>0</v>
      </c>
      <c r="N14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4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4" s="219"/>
    </row>
    <row r="15" spans="2:19" x14ac:dyDescent="0.2">
      <c r="B15" s="223"/>
      <c r="C15" s="269"/>
      <c r="D15" s="269"/>
      <c r="E15" s="270"/>
      <c r="F15" s="270"/>
      <c r="G15" s="270"/>
      <c r="H15" s="270"/>
      <c r="I15" s="412"/>
      <c r="J15" s="412"/>
      <c r="K15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5" s="358">
        <f>IF(Analogia[[#This Row],[Tipo de Função]]="",0,INDEX(Pesos_IFPUG,MATCH(Analogia[[#This Row],[Tipo de Função]],Pesos_IFPUG_Objetos,0),MATCH(Analogia[[#This Row],[Complexidade]],Pesos_IFPUG_Complexidade,0)))</f>
        <v>0</v>
      </c>
      <c r="M15" s="218">
        <f>ROUND(IF(Analogia[[#This Row],[Tipo de Função]]="",0,Analogia[[#This Row],[PF s/ Fator de Impacto]]*VLOOKUP(Analogia[[#This Row],[Analogia]],FatoresAjuste_Analogia_[],2,FALSE)),2)</f>
        <v>0</v>
      </c>
      <c r="N15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5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5" s="219"/>
    </row>
    <row r="16" spans="2:19" x14ac:dyDescent="0.2">
      <c r="B16" s="223"/>
      <c r="C16" s="269"/>
      <c r="D16" s="269"/>
      <c r="E16" s="270"/>
      <c r="F16" s="270"/>
      <c r="G16" s="270"/>
      <c r="H16" s="270"/>
      <c r="I16" s="412"/>
      <c r="J16" s="412"/>
      <c r="K16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6" s="358">
        <f>IF(Analogia[[#This Row],[Tipo de Função]]="",0,INDEX(Pesos_IFPUG,MATCH(Analogia[[#This Row],[Tipo de Função]],Pesos_IFPUG_Objetos,0),MATCH(Analogia[[#This Row],[Complexidade]],Pesos_IFPUG_Complexidade,0)))</f>
        <v>0</v>
      </c>
      <c r="M16" s="218">
        <f>ROUND(IF(Analogia[[#This Row],[Tipo de Função]]="",0,Analogia[[#This Row],[PF s/ Fator de Impacto]]*VLOOKUP(Analogia[[#This Row],[Analogia]],FatoresAjuste_Analogia_[],2,FALSE)),2)</f>
        <v>0</v>
      </c>
      <c r="N16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6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6" s="219"/>
    </row>
    <row r="17" spans="2:16" x14ac:dyDescent="0.2">
      <c r="B17" s="223"/>
      <c r="C17" s="269"/>
      <c r="D17" s="269"/>
      <c r="E17" s="270"/>
      <c r="F17" s="270"/>
      <c r="G17" s="270"/>
      <c r="H17" s="270"/>
      <c r="I17" s="412"/>
      <c r="J17" s="412"/>
      <c r="K17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7" s="358">
        <f>IF(Analogia[[#This Row],[Tipo de Função]]="",0,INDEX(Pesos_IFPUG,MATCH(Analogia[[#This Row],[Tipo de Função]],Pesos_IFPUG_Objetos,0),MATCH(Analogia[[#This Row],[Complexidade]],Pesos_IFPUG_Complexidade,0)))</f>
        <v>0</v>
      </c>
      <c r="M17" s="218">
        <f>ROUND(IF(Analogia[[#This Row],[Tipo de Função]]="",0,Analogia[[#This Row],[PF s/ Fator de Impacto]]*VLOOKUP(Analogia[[#This Row],[Analogia]],FatoresAjuste_Analogia_[],2,FALSE)),2)</f>
        <v>0</v>
      </c>
      <c r="N17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7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7" s="219"/>
    </row>
    <row r="18" spans="2:16" x14ac:dyDescent="0.2">
      <c r="B18" s="223"/>
      <c r="C18" s="269"/>
      <c r="D18" s="269"/>
      <c r="E18" s="270"/>
      <c r="F18" s="270"/>
      <c r="G18" s="270"/>
      <c r="H18" s="270"/>
      <c r="I18" s="412"/>
      <c r="J18" s="412"/>
      <c r="K18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8" s="358">
        <f>IF(Analogia[[#This Row],[Tipo de Função]]="",0,INDEX(Pesos_IFPUG,MATCH(Analogia[[#This Row],[Tipo de Função]],Pesos_IFPUG_Objetos,0),MATCH(Analogia[[#This Row],[Complexidade]],Pesos_IFPUG_Complexidade,0)))</f>
        <v>0</v>
      </c>
      <c r="M18" s="218">
        <f>ROUND(IF(Analogia[[#This Row],[Tipo de Função]]="",0,Analogia[[#This Row],[PF s/ Fator de Impacto]]*VLOOKUP(Analogia[[#This Row],[Analogia]],FatoresAjuste_Analogia_[],2,FALSE)),2)</f>
        <v>0</v>
      </c>
      <c r="N18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8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8" s="219"/>
    </row>
    <row r="19" spans="2:16" x14ac:dyDescent="0.2">
      <c r="B19" s="223"/>
      <c r="C19" s="269"/>
      <c r="D19" s="269"/>
      <c r="E19" s="270"/>
      <c r="F19" s="270"/>
      <c r="G19" s="270"/>
      <c r="H19" s="270"/>
      <c r="I19" s="412"/>
      <c r="J19" s="412"/>
      <c r="K19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9" s="358">
        <f>IF(Analogia[[#This Row],[Tipo de Função]]="",0,INDEX(Pesos_IFPUG,MATCH(Analogia[[#This Row],[Tipo de Função]],Pesos_IFPUG_Objetos,0),MATCH(Analogia[[#This Row],[Complexidade]],Pesos_IFPUG_Complexidade,0)))</f>
        <v>0</v>
      </c>
      <c r="M19" s="218">
        <f>ROUND(IF(Analogia[[#This Row],[Tipo de Função]]="",0,Analogia[[#This Row],[PF s/ Fator de Impacto]]*VLOOKUP(Analogia[[#This Row],[Analogia]],FatoresAjuste_Analogia_[],2,FALSE)),2)</f>
        <v>0</v>
      </c>
      <c r="N19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9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9" s="219"/>
    </row>
    <row r="20" spans="2:16" x14ac:dyDescent="0.2">
      <c r="B20" s="223"/>
      <c r="C20" s="269"/>
      <c r="D20" s="269"/>
      <c r="E20" s="270"/>
      <c r="F20" s="270"/>
      <c r="G20" s="270"/>
      <c r="H20" s="270"/>
      <c r="I20" s="412"/>
      <c r="J20" s="412"/>
      <c r="K20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0" s="358">
        <f>IF(Analogia[[#This Row],[Tipo de Função]]="",0,INDEX(Pesos_IFPUG,MATCH(Analogia[[#This Row],[Tipo de Função]],Pesos_IFPUG_Objetos,0),MATCH(Analogia[[#This Row],[Complexidade]],Pesos_IFPUG_Complexidade,0)))</f>
        <v>0</v>
      </c>
      <c r="M20" s="218">
        <f>ROUND(IF(Analogia[[#This Row],[Tipo de Função]]="",0,Analogia[[#This Row],[PF s/ Fator de Impacto]]*VLOOKUP(Analogia[[#This Row],[Analogia]],FatoresAjuste_Analogia_[],2,FALSE)),2)</f>
        <v>0</v>
      </c>
      <c r="N20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0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0" s="219"/>
    </row>
    <row r="21" spans="2:16" x14ac:dyDescent="0.2">
      <c r="B21" s="223"/>
      <c r="C21" s="269"/>
      <c r="D21" s="269"/>
      <c r="E21" s="270"/>
      <c r="F21" s="270"/>
      <c r="G21" s="270"/>
      <c r="H21" s="270"/>
      <c r="I21" s="412"/>
      <c r="J21" s="412"/>
      <c r="K21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1" s="358">
        <f>IF(Analogia[[#This Row],[Tipo de Função]]="",0,INDEX(Pesos_IFPUG,MATCH(Analogia[[#This Row],[Tipo de Função]],Pesos_IFPUG_Objetos,0),MATCH(Analogia[[#This Row],[Complexidade]],Pesos_IFPUG_Complexidade,0)))</f>
        <v>0</v>
      </c>
      <c r="M21" s="218">
        <f>ROUND(IF(Analogia[[#This Row],[Tipo de Função]]="",0,Analogia[[#This Row],[PF s/ Fator de Impacto]]*VLOOKUP(Analogia[[#This Row],[Analogia]],FatoresAjuste_Analogia_[],2,FALSE)),2)</f>
        <v>0</v>
      </c>
      <c r="N21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1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1" s="219"/>
    </row>
    <row r="22" spans="2:16" x14ac:dyDescent="0.2">
      <c r="B22" s="223"/>
      <c r="C22" s="269"/>
      <c r="D22" s="269"/>
      <c r="E22" s="270"/>
      <c r="F22" s="270"/>
      <c r="G22" s="270"/>
      <c r="H22" s="270"/>
      <c r="I22" s="412"/>
      <c r="J22" s="412"/>
      <c r="K22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2" s="358">
        <f>IF(Analogia[[#This Row],[Tipo de Função]]="",0,INDEX(Pesos_IFPUG,MATCH(Analogia[[#This Row],[Tipo de Função]],Pesos_IFPUG_Objetos,0),MATCH(Analogia[[#This Row],[Complexidade]],Pesos_IFPUG_Complexidade,0)))</f>
        <v>0</v>
      </c>
      <c r="M22" s="218">
        <f>ROUND(IF(Analogia[[#This Row],[Tipo de Função]]="",0,Analogia[[#This Row],[PF s/ Fator de Impacto]]*VLOOKUP(Analogia[[#This Row],[Analogia]],FatoresAjuste_Analogia_[],2,FALSE)),2)</f>
        <v>0</v>
      </c>
      <c r="N22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2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2" s="219"/>
    </row>
    <row r="23" spans="2:16" x14ac:dyDescent="0.2">
      <c r="B23" s="223"/>
      <c r="C23" s="269"/>
      <c r="D23" s="269"/>
      <c r="E23" s="270"/>
      <c r="F23" s="270"/>
      <c r="G23" s="270"/>
      <c r="H23" s="270"/>
      <c r="I23" s="412"/>
      <c r="J23" s="412"/>
      <c r="K23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3" s="358">
        <f>IF(Analogia[[#This Row],[Tipo de Função]]="",0,INDEX(Pesos_IFPUG,MATCH(Analogia[[#This Row],[Tipo de Função]],Pesos_IFPUG_Objetos,0),MATCH(Analogia[[#This Row],[Complexidade]],Pesos_IFPUG_Complexidade,0)))</f>
        <v>0</v>
      </c>
      <c r="M23" s="218">
        <f>ROUND(IF(Analogia[[#This Row],[Tipo de Função]]="",0,Analogia[[#This Row],[PF s/ Fator de Impacto]]*VLOOKUP(Analogia[[#This Row],[Analogia]],FatoresAjuste_Analogia_[],2,FALSE)),2)</f>
        <v>0</v>
      </c>
      <c r="N23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3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3" s="219"/>
    </row>
    <row r="24" spans="2:16" x14ac:dyDescent="0.2">
      <c r="B24" s="223"/>
      <c r="C24" s="269"/>
      <c r="D24" s="269"/>
      <c r="E24" s="270"/>
      <c r="F24" s="270"/>
      <c r="G24" s="270"/>
      <c r="H24" s="270"/>
      <c r="I24" s="412"/>
      <c r="J24" s="412"/>
      <c r="K24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4" s="358">
        <f>IF(Analogia[[#This Row],[Tipo de Função]]="",0,INDEX(Pesos_IFPUG,MATCH(Analogia[[#This Row],[Tipo de Função]],Pesos_IFPUG_Objetos,0),MATCH(Analogia[[#This Row],[Complexidade]],Pesos_IFPUG_Complexidade,0)))</f>
        <v>0</v>
      </c>
      <c r="M24" s="218">
        <f>ROUND(IF(Analogia[[#This Row],[Tipo de Função]]="",0,Analogia[[#This Row],[PF s/ Fator de Impacto]]*VLOOKUP(Analogia[[#This Row],[Analogia]],FatoresAjuste_Analogia_[],2,FALSE)),2)</f>
        <v>0</v>
      </c>
      <c r="N24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4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4" s="219"/>
    </row>
    <row r="25" spans="2:16" x14ac:dyDescent="0.2">
      <c r="B25" s="223"/>
      <c r="C25" s="269"/>
      <c r="D25" s="269"/>
      <c r="E25" s="270"/>
      <c r="F25" s="270"/>
      <c r="G25" s="270"/>
      <c r="H25" s="270"/>
      <c r="I25" s="412"/>
      <c r="J25" s="412"/>
      <c r="K25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5" s="358">
        <f>IF(Analogia[[#This Row],[Tipo de Função]]="",0,INDEX(Pesos_IFPUG,MATCH(Analogia[[#This Row],[Tipo de Função]],Pesos_IFPUG_Objetos,0),MATCH(Analogia[[#This Row],[Complexidade]],Pesos_IFPUG_Complexidade,0)))</f>
        <v>0</v>
      </c>
      <c r="M25" s="218">
        <f>ROUND(IF(Analogia[[#This Row],[Tipo de Função]]="",0,Analogia[[#This Row],[PF s/ Fator de Impacto]]*VLOOKUP(Analogia[[#This Row],[Analogia]],FatoresAjuste_Analogia_[],2,FALSE)),2)</f>
        <v>0</v>
      </c>
      <c r="N25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5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5" s="219"/>
    </row>
    <row r="26" spans="2:16" x14ac:dyDescent="0.2">
      <c r="B26" s="223"/>
      <c r="C26" s="269"/>
      <c r="D26" s="269"/>
      <c r="E26" s="270"/>
      <c r="F26" s="270"/>
      <c r="G26" s="270"/>
      <c r="H26" s="270"/>
      <c r="I26" s="412"/>
      <c r="J26" s="412"/>
      <c r="K26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6" s="358">
        <f>IF(Analogia[[#This Row],[Tipo de Função]]="",0,INDEX(Pesos_IFPUG,MATCH(Analogia[[#This Row],[Tipo de Função]],Pesos_IFPUG_Objetos,0),MATCH(Analogia[[#This Row],[Complexidade]],Pesos_IFPUG_Complexidade,0)))</f>
        <v>0</v>
      </c>
      <c r="M26" s="218">
        <f>ROUND(IF(Analogia[[#This Row],[Tipo de Função]]="",0,Analogia[[#This Row],[PF s/ Fator de Impacto]]*VLOOKUP(Analogia[[#This Row],[Analogia]],FatoresAjuste_Analogia_[],2,FALSE)),2)</f>
        <v>0</v>
      </c>
      <c r="N26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6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6" s="219"/>
    </row>
    <row r="27" spans="2:16" x14ac:dyDescent="0.2">
      <c r="B27" s="224" t="s">
        <v>112</v>
      </c>
      <c r="C27" s="205"/>
      <c r="D27" s="205"/>
      <c r="E27" s="205"/>
      <c r="F27" s="205"/>
      <c r="G27" s="205"/>
      <c r="H27" s="205"/>
      <c r="I27" s="273"/>
      <c r="J27" s="273"/>
      <c r="K27" s="205"/>
      <c r="L27" s="359">
        <f>SUBTOTAL(109,Analogia[PF s/ Fator de Impacto])</f>
        <v>0</v>
      </c>
      <c r="M27" s="205">
        <f>SUBTOTAL(109,Analogia[Pontos])</f>
        <v>0</v>
      </c>
      <c r="N27" s="359">
        <f>SUBTOTAL(109,Analogia[Esforço com Impacto])</f>
        <v>0</v>
      </c>
      <c r="O27" s="359">
        <f>SUBTOTAL(109,Analogia[Esforço sem Impacto])</f>
        <v>0</v>
      </c>
      <c r="P27" s="273"/>
    </row>
  </sheetData>
  <sheetProtection algorithmName="SHA-512" hashValue="zVqsS4z9wM/jxJ9koiC8t4cO/xUKFamQfwGCAkR09EatEizRA/VyPLyOzGf9F5MYfuK/yg7mZPhcNRNdWtrFvQ==" saltValue="S+B3TY0148stKviWvO+v1A==" spinCount="100000" sheet="1" objects="1" scenarios="1"/>
  <dataConsolidate/>
  <mergeCells count="2">
    <mergeCell ref="B2:P2"/>
    <mergeCell ref="B3:M3"/>
  </mergeCells>
  <dataValidations count="6">
    <dataValidation type="whole" operator="greaterThan" allowBlank="1" showDropDown="1" showInputMessage="1" showErrorMessage="1" errorTitle="Valores Válidos" error="Célula aceita apenas números inteiros." sqref="H7:H26">
      <formula1>0</formula1>
    </dataValidation>
    <dataValidation type="whole" operator="greaterThanOrEqual" allowBlank="1" showDropDown="1" showInputMessage="1" showErrorMessage="1" errorTitle="Valores Válidos" error="Célula aceita apenas números inteiros." sqref="G7:G26">
      <formula1>0</formula1>
    </dataValidation>
    <dataValidation operator="greaterThan" allowBlank="1" showDropDown="1" showInputMessage="1" showErrorMessage="1" errorTitle="Valores Válidos" error="Célula aceita apenas números inteiros." sqref="I7:J26"/>
    <dataValidation type="list" allowBlank="1" showInputMessage="1" showErrorMessage="1" error="Tem que selecionar um valor da lista disponível" sqref="C7:C26">
      <formula1>INDIRECT($S$7)</formula1>
    </dataValidation>
    <dataValidation type="list" allowBlank="1" showInputMessage="1" showErrorMessage="1" error="Tem que selecionar um valor da lista disponível" sqref="E7:E26">
      <formula1>INDIRECT($S$8)</formula1>
    </dataValidation>
    <dataValidation type="list" allowBlank="1" showInputMessage="1" showErrorMessage="1" error="Tem que selecionar um valor da lista disponível" sqref="F7:F26">
      <formula1>INDIRECT($S$9)</formula1>
    </dataValidation>
  </dataValidations>
  <hyperlinks>
    <hyperlink ref="P3" location="Resumo!C15" display="&lt;&lt; Voltar para RESUMO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AdicionaLinhasAnalogia">
                <anchor moveWithCells="1" sizeWithCells="1">
                  <from>
                    <xdr:col>0</xdr:col>
                    <xdr:colOff>104775</xdr:colOff>
                    <xdr:row>5</xdr:row>
                    <xdr:rowOff>428625</xdr:rowOff>
                  </from>
                  <to>
                    <xdr:col>0</xdr:col>
                    <xdr:colOff>1028700</xdr:colOff>
                    <xdr:row>5</xdr:row>
                    <xdr:rowOff>714375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="Tem que selecionar um valor da lista disponível">
          <x14:formula1>
            <xm:f>Parâmetros!$G$5:$G$9</xm:f>
          </x14:formula1>
          <xm:sqref>F7:F26</xm:sqref>
        </x14:dataValidation>
        <x14:dataValidation type="list" allowBlank="1" showInputMessage="1" showErrorMessage="1" error="Tem que selecionar um valor da lista disponível">
          <x14:formula1>
            <xm:f>Parâmetros!$F$5:$F$7</xm:f>
          </x14:formula1>
          <xm:sqref>E7:E26</xm:sqref>
        </x14:dataValidation>
        <x14:dataValidation type="list" allowBlank="1" showInputMessage="1" showErrorMessage="1">
          <x14:formula1>
            <xm:f>'Parâmetros PF'!$Q$2:$Q$7</xm:f>
          </x14:formula1>
          <xm:sqref>C7:C26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Y166"/>
  <sheetViews>
    <sheetView showGridLines="0" showRowColHeaders="0" zoomScale="90" zoomScaleNormal="90" workbookViewId="0">
      <selection activeCell="C2" sqref="C2:I2"/>
    </sheetView>
  </sheetViews>
  <sheetFormatPr defaultRowHeight="14.25" x14ac:dyDescent="0.2"/>
  <cols>
    <col min="1" max="1" width="19.28515625" style="34" customWidth="1"/>
    <col min="2" max="2" width="24.28515625" style="29" hidden="1" customWidth="1"/>
    <col min="3" max="3" width="29" style="28" customWidth="1"/>
    <col min="4" max="4" width="12.7109375" style="28" customWidth="1"/>
    <col min="5" max="5" width="14.42578125" style="28" bestFit="1" customWidth="1"/>
    <col min="6" max="6" width="8.7109375" style="28" bestFit="1" customWidth="1"/>
    <col min="7" max="7" width="11.28515625" style="34" customWidth="1"/>
    <col min="8" max="16" width="11.7109375" style="34" customWidth="1"/>
    <col min="17" max="17" width="7.140625" style="34" bestFit="1" customWidth="1"/>
    <col min="18" max="22" width="9.140625" style="34" hidden="1" customWidth="1"/>
    <col min="23" max="23" width="13.140625" style="34" hidden="1" customWidth="1"/>
    <col min="24" max="24" width="11.42578125" style="34" hidden="1" customWidth="1"/>
    <col min="25" max="25" width="12.5703125" style="34" hidden="1" customWidth="1"/>
    <col min="26" max="16384" width="9.140625" style="34"/>
  </cols>
  <sheetData>
    <row r="1" spans="2:25" s="28" customFormat="1" ht="35.1" customHeight="1" x14ac:dyDescent="0.2">
      <c r="B1" s="27" t="s">
        <v>76</v>
      </c>
    </row>
    <row r="2" spans="2:25" s="28" customFormat="1" ht="35.1" customHeight="1" x14ac:dyDescent="0.2">
      <c r="B2" s="29"/>
      <c r="C2" s="430" t="s">
        <v>98</v>
      </c>
      <c r="D2" s="430"/>
      <c r="E2" s="430"/>
      <c r="F2" s="430"/>
      <c r="G2" s="430"/>
      <c r="H2" s="430"/>
      <c r="I2" s="430"/>
    </row>
    <row r="3" spans="2:25" s="31" customFormat="1" ht="34.5" customHeight="1" x14ac:dyDescent="0.2">
      <c r="B3" s="30"/>
      <c r="C3" s="466"/>
      <c r="D3" s="466"/>
    </row>
    <row r="4" spans="2:25" s="31" customFormat="1" ht="34.5" customHeight="1" x14ac:dyDescent="0.2">
      <c r="B4" s="30"/>
      <c r="C4" s="13"/>
      <c r="D4" s="13"/>
    </row>
    <row r="5" spans="2:25" s="28" customFormat="1" ht="35.1" customHeight="1" x14ac:dyDescent="0.2">
      <c r="B5" s="29"/>
      <c r="C5" s="14" t="s">
        <v>99</v>
      </c>
      <c r="D5" s="467">
        <f>SUM(Q:Q)</f>
        <v>0</v>
      </c>
      <c r="E5" s="467"/>
      <c r="F5" s="25"/>
    </row>
    <row r="6" spans="2:25" s="28" customFormat="1" ht="15" x14ac:dyDescent="0.2">
      <c r="B6" s="29"/>
      <c r="C6" s="32"/>
      <c r="D6" s="33"/>
      <c r="E6" s="25"/>
      <c r="F6" s="25"/>
    </row>
    <row r="7" spans="2:25" s="28" customFormat="1" ht="15" x14ac:dyDescent="0.2">
      <c r="B7" s="29"/>
      <c r="C7" s="32"/>
      <c r="D7" s="33"/>
      <c r="E7" s="25"/>
      <c r="F7" s="25"/>
    </row>
    <row r="8" spans="2:25" x14ac:dyDescent="0.2">
      <c r="C8" s="458" t="s">
        <v>100</v>
      </c>
      <c r="D8" s="458" t="s">
        <v>101</v>
      </c>
      <c r="E8" s="458" t="s">
        <v>4</v>
      </c>
      <c r="F8" s="458" t="s">
        <v>102</v>
      </c>
      <c r="G8" s="458" t="s">
        <v>103</v>
      </c>
      <c r="H8" s="468" t="s">
        <v>104</v>
      </c>
      <c r="I8" s="468"/>
      <c r="J8" s="468"/>
      <c r="K8" s="468"/>
      <c r="L8" s="468"/>
      <c r="M8" s="468"/>
      <c r="N8" s="468"/>
      <c r="O8" s="468"/>
      <c r="P8" s="468"/>
      <c r="Q8" s="458" t="s">
        <v>105</v>
      </c>
    </row>
    <row r="9" spans="2:25" ht="25.5" x14ac:dyDescent="0.2">
      <c r="C9" s="459"/>
      <c r="D9" s="459"/>
      <c r="E9" s="459"/>
      <c r="F9" s="459"/>
      <c r="G9" s="459"/>
      <c r="H9" s="35" t="s">
        <v>106</v>
      </c>
      <c r="I9" s="35" t="s">
        <v>92</v>
      </c>
      <c r="J9" s="35" t="s">
        <v>107</v>
      </c>
      <c r="K9" s="35" t="s">
        <v>108</v>
      </c>
      <c r="L9" s="35" t="s">
        <v>109</v>
      </c>
      <c r="M9" s="35" t="s">
        <v>110</v>
      </c>
      <c r="N9" s="35" t="s">
        <v>111</v>
      </c>
      <c r="O9" s="35" t="s">
        <v>81</v>
      </c>
      <c r="P9" s="461" t="s">
        <v>112</v>
      </c>
      <c r="Q9" s="459"/>
      <c r="R9" s="36" t="s">
        <v>106</v>
      </c>
      <c r="S9" s="36" t="s">
        <v>92</v>
      </c>
      <c r="T9" s="36" t="s">
        <v>107</v>
      </c>
      <c r="U9" s="36" t="s">
        <v>108</v>
      </c>
      <c r="V9" s="36" t="s">
        <v>109</v>
      </c>
      <c r="W9" s="36" t="s">
        <v>110</v>
      </c>
      <c r="X9" s="36" t="s">
        <v>111</v>
      </c>
      <c r="Y9" s="36" t="s">
        <v>81</v>
      </c>
    </row>
    <row r="10" spans="2:25" x14ac:dyDescent="0.2">
      <c r="C10" s="460"/>
      <c r="D10" s="460"/>
      <c r="E10" s="460"/>
      <c r="F10" s="460"/>
      <c r="G10" s="460"/>
      <c r="H10" s="37" t="s">
        <v>113</v>
      </c>
      <c r="I10" s="37" t="s">
        <v>113</v>
      </c>
      <c r="J10" s="37" t="s">
        <v>113</v>
      </c>
      <c r="K10" s="37" t="s">
        <v>113</v>
      </c>
      <c r="L10" s="37" t="s">
        <v>113</v>
      </c>
      <c r="M10" s="37" t="s">
        <v>113</v>
      </c>
      <c r="N10" s="37" t="s">
        <v>113</v>
      </c>
      <c r="O10" s="37" t="s">
        <v>113</v>
      </c>
      <c r="P10" s="462"/>
      <c r="Q10" s="460"/>
    </row>
    <row r="11" spans="2:25" ht="15" x14ac:dyDescent="0.2">
      <c r="C11" s="463" t="s">
        <v>114</v>
      </c>
      <c r="D11" s="38" t="s">
        <v>115</v>
      </c>
      <c r="E11" s="38" t="s">
        <v>116</v>
      </c>
      <c r="F11" s="38" t="s">
        <v>116</v>
      </c>
      <c r="G11" s="39">
        <v>0</v>
      </c>
      <c r="H11" s="40">
        <f>IF($H$10="s",R11,0)</f>
        <v>2.7537599999999998</v>
      </c>
      <c r="I11" s="40">
        <f>IF($I$10="s",S11,0)</f>
        <v>2.4095400000000002</v>
      </c>
      <c r="J11" s="40">
        <f>IF($J$10="s",T11,0)</f>
        <v>7.7449499999999993</v>
      </c>
      <c r="K11" s="40">
        <f>IF($K$10="s",U11,0)</f>
        <v>0.51632999999999996</v>
      </c>
      <c r="L11" s="40">
        <f>IF($L$10="s",V11,0)</f>
        <v>0.25816499999999998</v>
      </c>
      <c r="M11" s="40">
        <f>IF($M$10="s",W11,0)</f>
        <v>0.94660499999999992</v>
      </c>
      <c r="N11" s="40">
        <f>IF($N$10="s",X11,0)</f>
        <v>1.1617424999999999</v>
      </c>
      <c r="O11" s="40">
        <f>IF($O$10="s",Y11,0)</f>
        <v>1.2047700000000001</v>
      </c>
      <c r="P11" s="40">
        <f>SUM(H11:O11)</f>
        <v>16.995862499999998</v>
      </c>
      <c r="Q11" s="41">
        <f>P11*G11</f>
        <v>0</v>
      </c>
      <c r="R11" s="42">
        <v>2.7537599999999998</v>
      </c>
      <c r="S11" s="42">
        <v>2.4095400000000002</v>
      </c>
      <c r="T11" s="42">
        <v>7.7449499999999993</v>
      </c>
      <c r="U11" s="42">
        <v>0.51632999999999996</v>
      </c>
      <c r="V11" s="42">
        <v>0.25816499999999998</v>
      </c>
      <c r="W11" s="42">
        <v>0.94660499999999992</v>
      </c>
      <c r="X11" s="42">
        <v>1.1617424999999999</v>
      </c>
      <c r="Y11" s="42">
        <v>1.2047700000000001</v>
      </c>
    </row>
    <row r="12" spans="2:25" ht="15" x14ac:dyDescent="0.2">
      <c r="C12" s="464"/>
      <c r="D12" s="38" t="s">
        <v>115</v>
      </c>
      <c r="E12" s="38" t="s">
        <v>116</v>
      </c>
      <c r="F12" s="38" t="s">
        <v>117</v>
      </c>
      <c r="G12" s="39">
        <v>0</v>
      </c>
      <c r="H12" s="40">
        <f t="shared" ref="H12:H75" si="0">IF($H$10="s",R12,0)</f>
        <v>2.0743999999999998</v>
      </c>
      <c r="I12" s="40">
        <f t="shared" ref="I12:I75" si="1">IF($I$10="s",S12,0)</f>
        <v>1.8151000000000002</v>
      </c>
      <c r="J12" s="40">
        <f t="shared" ref="J12:J75" si="2">IF($J$10="s",T12,0)</f>
        <v>5.8342499999999999</v>
      </c>
      <c r="K12" s="40">
        <f t="shared" ref="K12:K75" si="3">IF($K$10="s",U12,0)</f>
        <v>0.38894999999999996</v>
      </c>
      <c r="L12" s="40">
        <f t="shared" ref="L12:L75" si="4">IF($L$10="s",V12,0)</f>
        <v>0.19447499999999998</v>
      </c>
      <c r="M12" s="40">
        <f t="shared" ref="M12:M75" si="5">IF($M$10="s",W12,0)</f>
        <v>0.71307500000000001</v>
      </c>
      <c r="N12" s="40">
        <f t="shared" ref="N12:N75" si="6">IF($N$10="s",X12,0)</f>
        <v>0.87513750000000001</v>
      </c>
      <c r="O12" s="40">
        <f t="shared" ref="O12:O75" si="7">IF($O$10="s",Y12,0)</f>
        <v>0.90755000000000008</v>
      </c>
      <c r="P12" s="40">
        <f t="shared" ref="P12:P75" si="8">SUM(H12:O12)</f>
        <v>12.802937499999999</v>
      </c>
      <c r="Q12" s="41">
        <f t="shared" ref="Q12:Q75" si="9">P12*G12</f>
        <v>0</v>
      </c>
      <c r="R12" s="42">
        <v>2.0743999999999998</v>
      </c>
      <c r="S12" s="42">
        <v>1.8151000000000002</v>
      </c>
      <c r="T12" s="42">
        <v>5.8342499999999999</v>
      </c>
      <c r="U12" s="42">
        <v>0.38894999999999996</v>
      </c>
      <c r="V12" s="42">
        <v>0.19447499999999998</v>
      </c>
      <c r="W12" s="42">
        <v>0.71307500000000001</v>
      </c>
      <c r="X12" s="42">
        <v>0.87513750000000001</v>
      </c>
      <c r="Y12" s="42">
        <v>0.90755000000000008</v>
      </c>
    </row>
    <row r="13" spans="2:25" ht="15" x14ac:dyDescent="0.2">
      <c r="C13" s="464"/>
      <c r="D13" s="38" t="s">
        <v>115</v>
      </c>
      <c r="E13" s="38" t="s">
        <v>116</v>
      </c>
      <c r="F13" s="38" t="s">
        <v>118</v>
      </c>
      <c r="G13" s="39">
        <v>0</v>
      </c>
      <c r="H13" s="40">
        <f t="shared" si="0"/>
        <v>1.7063999999999999</v>
      </c>
      <c r="I13" s="40">
        <f t="shared" si="1"/>
        <v>1.4931000000000001</v>
      </c>
      <c r="J13" s="40">
        <f t="shared" si="2"/>
        <v>4.7992499999999998</v>
      </c>
      <c r="K13" s="40">
        <f t="shared" si="3"/>
        <v>0.31994999999999996</v>
      </c>
      <c r="L13" s="40">
        <f t="shared" si="4"/>
        <v>0.15997499999999998</v>
      </c>
      <c r="M13" s="40">
        <f t="shared" si="5"/>
        <v>0.58657499999999996</v>
      </c>
      <c r="N13" s="40">
        <f t="shared" si="6"/>
        <v>0.7198874999999999</v>
      </c>
      <c r="O13" s="40">
        <f t="shared" si="7"/>
        <v>0.74655000000000005</v>
      </c>
      <c r="P13" s="40">
        <f t="shared" si="8"/>
        <v>10.5316875</v>
      </c>
      <c r="Q13" s="41">
        <f t="shared" si="9"/>
        <v>0</v>
      </c>
      <c r="R13" s="42">
        <v>1.7063999999999999</v>
      </c>
      <c r="S13" s="42">
        <v>1.4931000000000001</v>
      </c>
      <c r="T13" s="42">
        <v>4.7992499999999998</v>
      </c>
      <c r="U13" s="42">
        <v>0.31994999999999996</v>
      </c>
      <c r="V13" s="42">
        <v>0.15997499999999998</v>
      </c>
      <c r="W13" s="42">
        <v>0.58657499999999996</v>
      </c>
      <c r="X13" s="42">
        <v>0.7198874999999999</v>
      </c>
      <c r="Y13" s="42">
        <v>0.74655000000000005</v>
      </c>
    </row>
    <row r="14" spans="2:25" ht="15" x14ac:dyDescent="0.2">
      <c r="C14" s="464"/>
      <c r="D14" s="38" t="s">
        <v>115</v>
      </c>
      <c r="E14" s="38" t="s">
        <v>119</v>
      </c>
      <c r="F14" s="38" t="s">
        <v>116</v>
      </c>
      <c r="G14" s="39">
        <v>0</v>
      </c>
      <c r="H14" s="40">
        <f t="shared" si="0"/>
        <v>4.2448000000000006</v>
      </c>
      <c r="I14" s="40">
        <f t="shared" si="1"/>
        <v>3.7142000000000004</v>
      </c>
      <c r="J14" s="40">
        <f t="shared" si="2"/>
        <v>11.938500000000001</v>
      </c>
      <c r="K14" s="40">
        <f t="shared" si="3"/>
        <v>0.79590000000000005</v>
      </c>
      <c r="L14" s="40">
        <f t="shared" si="4"/>
        <v>0.39795000000000003</v>
      </c>
      <c r="M14" s="40">
        <f t="shared" si="5"/>
        <v>1.4591500000000002</v>
      </c>
      <c r="N14" s="40">
        <f t="shared" si="6"/>
        <v>1.7907750000000002</v>
      </c>
      <c r="O14" s="40">
        <f t="shared" si="7"/>
        <v>1.8571000000000002</v>
      </c>
      <c r="P14" s="40">
        <f t="shared" si="8"/>
        <v>26.198375000000002</v>
      </c>
      <c r="Q14" s="41">
        <f t="shared" si="9"/>
        <v>0</v>
      </c>
      <c r="R14" s="42">
        <v>4.2448000000000006</v>
      </c>
      <c r="S14" s="42">
        <v>3.7142000000000004</v>
      </c>
      <c r="T14" s="42">
        <v>11.938500000000001</v>
      </c>
      <c r="U14" s="42">
        <v>0.79590000000000005</v>
      </c>
      <c r="V14" s="42">
        <v>0.39795000000000003</v>
      </c>
      <c r="W14" s="42">
        <v>1.4591500000000002</v>
      </c>
      <c r="X14" s="42">
        <v>1.7907750000000002</v>
      </c>
      <c r="Y14" s="42">
        <v>1.8571000000000002</v>
      </c>
    </row>
    <row r="15" spans="2:25" ht="15" x14ac:dyDescent="0.2">
      <c r="C15" s="464"/>
      <c r="D15" s="38" t="s">
        <v>115</v>
      </c>
      <c r="E15" s="38" t="s">
        <v>119</v>
      </c>
      <c r="F15" s="38" t="s">
        <v>117</v>
      </c>
      <c r="G15" s="39">
        <v>0</v>
      </c>
      <c r="H15" s="40">
        <f t="shared" si="0"/>
        <v>3.1974399999999994</v>
      </c>
      <c r="I15" s="40">
        <f t="shared" si="1"/>
        <v>2.7977599999999994</v>
      </c>
      <c r="J15" s="40">
        <f t="shared" si="2"/>
        <v>8.9927999999999972</v>
      </c>
      <c r="K15" s="40">
        <f t="shared" si="3"/>
        <v>0.59951999999999983</v>
      </c>
      <c r="L15" s="40">
        <f t="shared" si="4"/>
        <v>0.29975999999999992</v>
      </c>
      <c r="M15" s="40">
        <f t="shared" si="5"/>
        <v>1.0991199999999997</v>
      </c>
      <c r="N15" s="40">
        <f t="shared" si="6"/>
        <v>1.3489199999999995</v>
      </c>
      <c r="O15" s="40">
        <f t="shared" si="7"/>
        <v>1.3988799999999997</v>
      </c>
      <c r="P15" s="40">
        <f t="shared" si="8"/>
        <v>19.734199999999994</v>
      </c>
      <c r="Q15" s="41">
        <f t="shared" si="9"/>
        <v>0</v>
      </c>
      <c r="R15" s="42">
        <v>3.1974399999999994</v>
      </c>
      <c r="S15" s="42">
        <v>2.7977599999999994</v>
      </c>
      <c r="T15" s="42">
        <v>8.9927999999999972</v>
      </c>
      <c r="U15" s="42">
        <v>0.59951999999999983</v>
      </c>
      <c r="V15" s="42">
        <v>0.29975999999999992</v>
      </c>
      <c r="W15" s="42">
        <v>1.0991199999999997</v>
      </c>
      <c r="X15" s="42">
        <v>1.3489199999999995</v>
      </c>
      <c r="Y15" s="42">
        <v>1.3988799999999997</v>
      </c>
    </row>
    <row r="16" spans="2:25" ht="15" x14ac:dyDescent="0.2">
      <c r="C16" s="464"/>
      <c r="D16" s="38" t="s">
        <v>115</v>
      </c>
      <c r="E16" s="38" t="s">
        <v>119</v>
      </c>
      <c r="F16" s="38" t="s">
        <v>118</v>
      </c>
      <c r="G16" s="39">
        <v>0</v>
      </c>
      <c r="H16" s="40">
        <f t="shared" si="0"/>
        <v>2.7697600000000002</v>
      </c>
      <c r="I16" s="40">
        <f t="shared" si="1"/>
        <v>2.42354</v>
      </c>
      <c r="J16" s="40">
        <f t="shared" si="2"/>
        <v>7.7899500000000002</v>
      </c>
      <c r="K16" s="40">
        <f t="shared" si="3"/>
        <v>0.51932999999999996</v>
      </c>
      <c r="L16" s="40">
        <f t="shared" si="4"/>
        <v>0.25966499999999998</v>
      </c>
      <c r="M16" s="40">
        <f t="shared" si="5"/>
        <v>0.95210499999999998</v>
      </c>
      <c r="N16" s="40">
        <f t="shared" si="6"/>
        <v>1.1684924999999999</v>
      </c>
      <c r="O16" s="40">
        <f t="shared" si="7"/>
        <v>1.21177</v>
      </c>
      <c r="P16" s="40">
        <f t="shared" si="8"/>
        <v>17.0946125</v>
      </c>
      <c r="Q16" s="41">
        <f t="shared" si="9"/>
        <v>0</v>
      </c>
      <c r="R16" s="42">
        <v>2.7697600000000002</v>
      </c>
      <c r="S16" s="42">
        <v>2.42354</v>
      </c>
      <c r="T16" s="42">
        <v>7.7899500000000002</v>
      </c>
      <c r="U16" s="42">
        <v>0.51932999999999996</v>
      </c>
      <c r="V16" s="42">
        <v>0.25966499999999998</v>
      </c>
      <c r="W16" s="42">
        <v>0.95210499999999998</v>
      </c>
      <c r="X16" s="42">
        <v>1.1684924999999999</v>
      </c>
      <c r="Y16" s="42">
        <v>1.21177</v>
      </c>
    </row>
    <row r="17" spans="3:25" ht="15" x14ac:dyDescent="0.2">
      <c r="C17" s="464"/>
      <c r="D17" s="38" t="s">
        <v>115</v>
      </c>
      <c r="E17" s="38" t="s">
        <v>118</v>
      </c>
      <c r="F17" s="38" t="s">
        <v>116</v>
      </c>
      <c r="G17" s="39">
        <v>0</v>
      </c>
      <c r="H17" s="40">
        <f t="shared" si="0"/>
        <v>6.2318400000000009</v>
      </c>
      <c r="I17" s="40">
        <f t="shared" si="1"/>
        <v>5.4528600000000012</v>
      </c>
      <c r="J17" s="40">
        <f t="shared" si="2"/>
        <v>17.527050000000003</v>
      </c>
      <c r="K17" s="40">
        <f t="shared" si="3"/>
        <v>1.1684700000000001</v>
      </c>
      <c r="L17" s="40">
        <f t="shared" si="4"/>
        <v>0.58423500000000006</v>
      </c>
      <c r="M17" s="40">
        <f t="shared" si="5"/>
        <v>2.1421950000000005</v>
      </c>
      <c r="N17" s="40">
        <f t="shared" si="6"/>
        <v>2.6290575000000005</v>
      </c>
      <c r="O17" s="40">
        <f t="shared" si="7"/>
        <v>2.7264300000000006</v>
      </c>
      <c r="P17" s="40">
        <f t="shared" si="8"/>
        <v>38.462137500000004</v>
      </c>
      <c r="Q17" s="41">
        <f t="shared" si="9"/>
        <v>0</v>
      </c>
      <c r="R17" s="42">
        <v>6.2318400000000009</v>
      </c>
      <c r="S17" s="42">
        <v>5.4528600000000012</v>
      </c>
      <c r="T17" s="42">
        <v>17.527050000000003</v>
      </c>
      <c r="U17" s="42">
        <v>1.1684700000000001</v>
      </c>
      <c r="V17" s="42">
        <v>0.58423500000000006</v>
      </c>
      <c r="W17" s="42">
        <v>2.1421950000000005</v>
      </c>
      <c r="X17" s="42">
        <v>2.6290575000000005</v>
      </c>
      <c r="Y17" s="42">
        <v>2.7264300000000006</v>
      </c>
    </row>
    <row r="18" spans="3:25" ht="15" x14ac:dyDescent="0.2">
      <c r="C18" s="464"/>
      <c r="D18" s="38" t="s">
        <v>115</v>
      </c>
      <c r="E18" s="38" t="s">
        <v>118</v>
      </c>
      <c r="F18" s="38" t="s">
        <v>117</v>
      </c>
      <c r="G18" s="39">
        <v>0</v>
      </c>
      <c r="H18" s="40">
        <f t="shared" si="0"/>
        <v>5.1684800000000006</v>
      </c>
      <c r="I18" s="40">
        <f t="shared" si="1"/>
        <v>4.5224200000000012</v>
      </c>
      <c r="J18" s="40">
        <f t="shared" si="2"/>
        <v>14.536350000000002</v>
      </c>
      <c r="K18" s="40">
        <f t="shared" si="3"/>
        <v>0.96909000000000012</v>
      </c>
      <c r="L18" s="40">
        <f t="shared" si="4"/>
        <v>0.48454500000000006</v>
      </c>
      <c r="M18" s="40">
        <f t="shared" si="5"/>
        <v>1.7766650000000002</v>
      </c>
      <c r="N18" s="40">
        <f t="shared" si="6"/>
        <v>2.1804525000000003</v>
      </c>
      <c r="O18" s="40">
        <f t="shared" si="7"/>
        <v>2.2612100000000006</v>
      </c>
      <c r="P18" s="40">
        <f t="shared" si="8"/>
        <v>31.899212500000012</v>
      </c>
      <c r="Q18" s="41">
        <f t="shared" si="9"/>
        <v>0</v>
      </c>
      <c r="R18" s="42">
        <v>5.1684800000000006</v>
      </c>
      <c r="S18" s="42">
        <v>4.5224200000000012</v>
      </c>
      <c r="T18" s="42">
        <v>14.536350000000002</v>
      </c>
      <c r="U18" s="42">
        <v>0.96909000000000012</v>
      </c>
      <c r="V18" s="42">
        <v>0.48454500000000006</v>
      </c>
      <c r="W18" s="42">
        <v>1.7766650000000002</v>
      </c>
      <c r="X18" s="42">
        <v>2.1804525000000003</v>
      </c>
      <c r="Y18" s="42">
        <v>2.2612100000000006</v>
      </c>
    </row>
    <row r="19" spans="3:25" ht="15" x14ac:dyDescent="0.2">
      <c r="C19" s="464"/>
      <c r="D19" s="38" t="s">
        <v>115</v>
      </c>
      <c r="E19" s="38" t="s">
        <v>118</v>
      </c>
      <c r="F19" s="38" t="s">
        <v>118</v>
      </c>
      <c r="G19" s="39">
        <v>0</v>
      </c>
      <c r="H19" s="40">
        <f t="shared" si="0"/>
        <v>4.3131200000000005</v>
      </c>
      <c r="I19" s="40">
        <f t="shared" si="1"/>
        <v>3.7739800000000003</v>
      </c>
      <c r="J19" s="40">
        <f t="shared" si="2"/>
        <v>12.130650000000001</v>
      </c>
      <c r="K19" s="40">
        <f t="shared" si="3"/>
        <v>0.80871000000000004</v>
      </c>
      <c r="L19" s="40">
        <f t="shared" si="4"/>
        <v>0.40435500000000002</v>
      </c>
      <c r="M19" s="40">
        <f t="shared" si="5"/>
        <v>1.4826350000000001</v>
      </c>
      <c r="N19" s="40">
        <f t="shared" si="6"/>
        <v>1.8195975</v>
      </c>
      <c r="O19" s="40">
        <f t="shared" si="7"/>
        <v>1.8869900000000002</v>
      </c>
      <c r="P19" s="40">
        <f t="shared" si="8"/>
        <v>26.620037500000006</v>
      </c>
      <c r="Q19" s="41">
        <f t="shared" si="9"/>
        <v>0</v>
      </c>
      <c r="R19" s="42">
        <v>4.3131200000000005</v>
      </c>
      <c r="S19" s="42">
        <v>3.7739800000000003</v>
      </c>
      <c r="T19" s="42">
        <v>12.130650000000001</v>
      </c>
      <c r="U19" s="42">
        <v>0.80871000000000004</v>
      </c>
      <c r="V19" s="42">
        <v>0.40435500000000002</v>
      </c>
      <c r="W19" s="42">
        <v>1.4826350000000001</v>
      </c>
      <c r="X19" s="42">
        <v>1.8195975</v>
      </c>
      <c r="Y19" s="42">
        <v>1.8869900000000002</v>
      </c>
    </row>
    <row r="20" spans="3:25" ht="15" x14ac:dyDescent="0.2">
      <c r="C20" s="464"/>
      <c r="D20" s="38" t="s">
        <v>120</v>
      </c>
      <c r="E20" s="38" t="s">
        <v>116</v>
      </c>
      <c r="F20" s="38" t="s">
        <v>116</v>
      </c>
      <c r="G20" s="39">
        <v>0</v>
      </c>
      <c r="H20" s="40">
        <f t="shared" si="0"/>
        <v>5.2718400000000001</v>
      </c>
      <c r="I20" s="40">
        <f t="shared" si="1"/>
        <v>4.6128600000000004</v>
      </c>
      <c r="J20" s="40">
        <f t="shared" si="2"/>
        <v>14.82705</v>
      </c>
      <c r="K20" s="40">
        <f t="shared" si="3"/>
        <v>0.98846999999999996</v>
      </c>
      <c r="L20" s="40">
        <f t="shared" si="4"/>
        <v>0.49423499999999998</v>
      </c>
      <c r="M20" s="40">
        <f t="shared" si="5"/>
        <v>1.812195</v>
      </c>
      <c r="N20" s="40">
        <f t="shared" si="6"/>
        <v>2.2240574999999998</v>
      </c>
      <c r="O20" s="40">
        <f t="shared" si="7"/>
        <v>2.3064300000000002</v>
      </c>
      <c r="P20" s="40">
        <f t="shared" si="8"/>
        <v>32.5371375</v>
      </c>
      <c r="Q20" s="41">
        <f t="shared" si="9"/>
        <v>0</v>
      </c>
      <c r="R20" s="42">
        <v>5.2718400000000001</v>
      </c>
      <c r="S20" s="42">
        <v>4.6128600000000004</v>
      </c>
      <c r="T20" s="42">
        <v>14.82705</v>
      </c>
      <c r="U20" s="42">
        <v>0.98846999999999996</v>
      </c>
      <c r="V20" s="42">
        <v>0.49423499999999998</v>
      </c>
      <c r="W20" s="42">
        <v>1.812195</v>
      </c>
      <c r="X20" s="42">
        <v>2.2240574999999998</v>
      </c>
      <c r="Y20" s="42">
        <v>2.3064300000000002</v>
      </c>
    </row>
    <row r="21" spans="3:25" ht="15" x14ac:dyDescent="0.2">
      <c r="C21" s="464"/>
      <c r="D21" s="38" t="s">
        <v>120</v>
      </c>
      <c r="E21" s="38" t="s">
        <v>116</v>
      </c>
      <c r="F21" s="38" t="s">
        <v>117</v>
      </c>
      <c r="G21" s="39">
        <v>0</v>
      </c>
      <c r="H21" s="40">
        <f t="shared" si="0"/>
        <v>4.2084800000000007</v>
      </c>
      <c r="I21" s="40">
        <f t="shared" si="1"/>
        <v>3.6824200000000009</v>
      </c>
      <c r="J21" s="40">
        <f t="shared" si="2"/>
        <v>11.836350000000003</v>
      </c>
      <c r="K21" s="40">
        <f t="shared" si="3"/>
        <v>0.78909000000000007</v>
      </c>
      <c r="L21" s="40">
        <f t="shared" si="4"/>
        <v>0.39454500000000003</v>
      </c>
      <c r="M21" s="40">
        <f t="shared" si="5"/>
        <v>1.4466650000000003</v>
      </c>
      <c r="N21" s="40">
        <f t="shared" si="6"/>
        <v>1.7754525000000003</v>
      </c>
      <c r="O21" s="40">
        <f t="shared" si="7"/>
        <v>1.8412100000000005</v>
      </c>
      <c r="P21" s="40">
        <f t="shared" si="8"/>
        <v>25.974212500000007</v>
      </c>
      <c r="Q21" s="41">
        <f t="shared" si="9"/>
        <v>0</v>
      </c>
      <c r="R21" s="42">
        <v>4.2084800000000007</v>
      </c>
      <c r="S21" s="42">
        <v>3.6824200000000009</v>
      </c>
      <c r="T21" s="42">
        <v>11.836350000000003</v>
      </c>
      <c r="U21" s="42">
        <v>0.78909000000000007</v>
      </c>
      <c r="V21" s="42">
        <v>0.39454500000000003</v>
      </c>
      <c r="W21" s="42">
        <v>1.4466650000000003</v>
      </c>
      <c r="X21" s="42">
        <v>1.7754525000000003</v>
      </c>
      <c r="Y21" s="42">
        <v>1.8412100000000005</v>
      </c>
    </row>
    <row r="22" spans="3:25" ht="15" x14ac:dyDescent="0.2">
      <c r="C22" s="464"/>
      <c r="D22" s="38" t="s">
        <v>120</v>
      </c>
      <c r="E22" s="38" t="s">
        <v>116</v>
      </c>
      <c r="F22" s="38" t="s">
        <v>118</v>
      </c>
      <c r="G22" s="39">
        <v>0</v>
      </c>
      <c r="H22" s="40">
        <f t="shared" si="0"/>
        <v>3.3531200000000001</v>
      </c>
      <c r="I22" s="40">
        <f t="shared" si="1"/>
        <v>2.9339800000000005</v>
      </c>
      <c r="J22" s="40">
        <f t="shared" si="2"/>
        <v>9.43065</v>
      </c>
      <c r="K22" s="40">
        <f t="shared" si="3"/>
        <v>0.62870999999999999</v>
      </c>
      <c r="L22" s="40">
        <f t="shared" si="4"/>
        <v>0.314355</v>
      </c>
      <c r="M22" s="40">
        <f t="shared" si="5"/>
        <v>1.1526350000000001</v>
      </c>
      <c r="N22" s="40">
        <f t="shared" si="6"/>
        <v>1.4145975</v>
      </c>
      <c r="O22" s="40">
        <f t="shared" si="7"/>
        <v>1.4669900000000002</v>
      </c>
      <c r="P22" s="40">
        <f t="shared" si="8"/>
        <v>20.695037499999998</v>
      </c>
      <c r="Q22" s="41">
        <f t="shared" si="9"/>
        <v>0</v>
      </c>
      <c r="R22" s="42">
        <v>3.3531200000000001</v>
      </c>
      <c r="S22" s="42">
        <v>2.9339800000000005</v>
      </c>
      <c r="T22" s="42">
        <v>9.43065</v>
      </c>
      <c r="U22" s="42">
        <v>0.62870999999999999</v>
      </c>
      <c r="V22" s="42">
        <v>0.314355</v>
      </c>
      <c r="W22" s="42">
        <v>1.1526350000000001</v>
      </c>
      <c r="X22" s="42">
        <v>1.4145975</v>
      </c>
      <c r="Y22" s="42">
        <v>1.4669900000000002</v>
      </c>
    </row>
    <row r="23" spans="3:25" ht="15" x14ac:dyDescent="0.2">
      <c r="C23" s="464"/>
      <c r="D23" s="38" t="s">
        <v>120</v>
      </c>
      <c r="E23" s="38" t="s">
        <v>119</v>
      </c>
      <c r="F23" s="38" t="s">
        <v>116</v>
      </c>
      <c r="G23" s="39">
        <v>0</v>
      </c>
      <c r="H23" s="40">
        <f t="shared" si="0"/>
        <v>8.1855999999999991</v>
      </c>
      <c r="I23" s="40">
        <f t="shared" si="1"/>
        <v>7.1623999999999999</v>
      </c>
      <c r="J23" s="40">
        <f t="shared" si="2"/>
        <v>23.021999999999998</v>
      </c>
      <c r="K23" s="40">
        <f t="shared" si="3"/>
        <v>1.5347999999999999</v>
      </c>
      <c r="L23" s="40">
        <f t="shared" si="4"/>
        <v>0.76739999999999997</v>
      </c>
      <c r="M23" s="40">
        <f t="shared" si="5"/>
        <v>2.8137999999999996</v>
      </c>
      <c r="N23" s="40">
        <f t="shared" si="6"/>
        <v>3.4532999999999996</v>
      </c>
      <c r="O23" s="40">
        <f t="shared" si="7"/>
        <v>3.5811999999999999</v>
      </c>
      <c r="P23" s="40">
        <f t="shared" si="8"/>
        <v>50.520499999999998</v>
      </c>
      <c r="Q23" s="41">
        <f t="shared" si="9"/>
        <v>0</v>
      </c>
      <c r="R23" s="42">
        <v>8.1855999999999991</v>
      </c>
      <c r="S23" s="42">
        <v>7.1623999999999999</v>
      </c>
      <c r="T23" s="42">
        <v>23.021999999999998</v>
      </c>
      <c r="U23" s="42">
        <v>1.5347999999999999</v>
      </c>
      <c r="V23" s="42">
        <v>0.76739999999999997</v>
      </c>
      <c r="W23" s="42">
        <v>2.8137999999999996</v>
      </c>
      <c r="X23" s="42">
        <v>3.4532999999999996</v>
      </c>
      <c r="Y23" s="42">
        <v>3.5811999999999999</v>
      </c>
    </row>
    <row r="24" spans="3:25" ht="15" x14ac:dyDescent="0.2">
      <c r="C24" s="464"/>
      <c r="D24" s="38" t="s">
        <v>120</v>
      </c>
      <c r="E24" s="38" t="s">
        <v>119</v>
      </c>
      <c r="F24" s="38" t="s">
        <v>117</v>
      </c>
      <c r="G24" s="39">
        <v>0</v>
      </c>
      <c r="H24" s="40">
        <f t="shared" si="0"/>
        <v>6.602879999999999</v>
      </c>
      <c r="I24" s="40">
        <f t="shared" si="1"/>
        <v>5.77752</v>
      </c>
      <c r="J24" s="40">
        <f t="shared" si="2"/>
        <v>18.570599999999999</v>
      </c>
      <c r="K24" s="40">
        <f t="shared" si="3"/>
        <v>1.2380399999999998</v>
      </c>
      <c r="L24" s="40">
        <f t="shared" si="4"/>
        <v>0.6190199999999999</v>
      </c>
      <c r="M24" s="40">
        <f t="shared" si="5"/>
        <v>2.2697399999999996</v>
      </c>
      <c r="N24" s="40">
        <f t="shared" si="6"/>
        <v>2.7855899999999996</v>
      </c>
      <c r="O24" s="40">
        <f t="shared" si="7"/>
        <v>2.88876</v>
      </c>
      <c r="P24" s="40">
        <f t="shared" si="8"/>
        <v>40.752149999999993</v>
      </c>
      <c r="Q24" s="41">
        <f t="shared" si="9"/>
        <v>0</v>
      </c>
      <c r="R24" s="42">
        <v>6.602879999999999</v>
      </c>
      <c r="S24" s="42">
        <v>5.77752</v>
      </c>
      <c r="T24" s="42">
        <v>18.570599999999999</v>
      </c>
      <c r="U24" s="42">
        <v>1.2380399999999998</v>
      </c>
      <c r="V24" s="42">
        <v>0.6190199999999999</v>
      </c>
      <c r="W24" s="42">
        <v>2.2697399999999996</v>
      </c>
      <c r="X24" s="42">
        <v>2.7855899999999996</v>
      </c>
      <c r="Y24" s="42">
        <v>2.88876</v>
      </c>
    </row>
    <row r="25" spans="3:25" ht="15" x14ac:dyDescent="0.2">
      <c r="C25" s="464"/>
      <c r="D25" s="38" t="s">
        <v>120</v>
      </c>
      <c r="E25" s="38" t="s">
        <v>119</v>
      </c>
      <c r="F25" s="38" t="s">
        <v>118</v>
      </c>
      <c r="G25" s="39">
        <v>0</v>
      </c>
      <c r="H25" s="40">
        <f t="shared" si="0"/>
        <v>5.3795200000000003</v>
      </c>
      <c r="I25" s="40">
        <f t="shared" si="1"/>
        <v>4.7070800000000004</v>
      </c>
      <c r="J25" s="40">
        <f t="shared" si="2"/>
        <v>15.129900000000001</v>
      </c>
      <c r="K25" s="40">
        <f t="shared" si="3"/>
        <v>1.0086599999999999</v>
      </c>
      <c r="L25" s="40">
        <f t="shared" si="4"/>
        <v>0.50432999999999995</v>
      </c>
      <c r="M25" s="40">
        <f t="shared" si="5"/>
        <v>1.84921</v>
      </c>
      <c r="N25" s="40">
        <f t="shared" si="6"/>
        <v>2.269485</v>
      </c>
      <c r="O25" s="40">
        <f t="shared" si="7"/>
        <v>2.3535400000000002</v>
      </c>
      <c r="P25" s="40">
        <f t="shared" si="8"/>
        <v>33.201725000000003</v>
      </c>
      <c r="Q25" s="41">
        <f t="shared" si="9"/>
        <v>0</v>
      </c>
      <c r="R25" s="42">
        <v>5.3795200000000003</v>
      </c>
      <c r="S25" s="42">
        <v>4.7070800000000004</v>
      </c>
      <c r="T25" s="42">
        <v>15.129900000000001</v>
      </c>
      <c r="U25" s="42">
        <v>1.0086599999999999</v>
      </c>
      <c r="V25" s="42">
        <v>0.50432999999999995</v>
      </c>
      <c r="W25" s="42">
        <v>1.84921</v>
      </c>
      <c r="X25" s="42">
        <v>2.269485</v>
      </c>
      <c r="Y25" s="42">
        <v>2.3535400000000002</v>
      </c>
    </row>
    <row r="26" spans="3:25" ht="15" x14ac:dyDescent="0.2">
      <c r="C26" s="464"/>
      <c r="D26" s="38" t="s">
        <v>120</v>
      </c>
      <c r="E26" s="38" t="s">
        <v>118</v>
      </c>
      <c r="F26" s="38" t="s">
        <v>116</v>
      </c>
      <c r="G26" s="39">
        <v>0</v>
      </c>
      <c r="H26" s="40">
        <f t="shared" si="0"/>
        <v>12.219360000000002</v>
      </c>
      <c r="I26" s="40">
        <f t="shared" si="1"/>
        <v>10.691940000000002</v>
      </c>
      <c r="J26" s="40">
        <f t="shared" si="2"/>
        <v>34.366950000000003</v>
      </c>
      <c r="K26" s="40">
        <f t="shared" si="3"/>
        <v>2.2911300000000003</v>
      </c>
      <c r="L26" s="40">
        <f t="shared" si="4"/>
        <v>1.1455650000000002</v>
      </c>
      <c r="M26" s="40">
        <f t="shared" si="5"/>
        <v>4.2004050000000008</v>
      </c>
      <c r="N26" s="40">
        <f t="shared" si="6"/>
        <v>5.1550425000000004</v>
      </c>
      <c r="O26" s="40">
        <f t="shared" si="7"/>
        <v>5.3459700000000012</v>
      </c>
      <c r="P26" s="40">
        <f t="shared" si="8"/>
        <v>75.416362499999991</v>
      </c>
      <c r="Q26" s="41">
        <f t="shared" si="9"/>
        <v>0</v>
      </c>
      <c r="R26" s="42">
        <v>12.219360000000002</v>
      </c>
      <c r="S26" s="42">
        <v>10.691940000000002</v>
      </c>
      <c r="T26" s="42">
        <v>34.366950000000003</v>
      </c>
      <c r="U26" s="42">
        <v>2.2911300000000003</v>
      </c>
      <c r="V26" s="42">
        <v>1.1455650000000002</v>
      </c>
      <c r="W26" s="42">
        <v>4.2004050000000008</v>
      </c>
      <c r="X26" s="42">
        <v>5.1550425000000004</v>
      </c>
      <c r="Y26" s="42">
        <v>5.3459700000000012</v>
      </c>
    </row>
    <row r="27" spans="3:25" ht="15" x14ac:dyDescent="0.2">
      <c r="C27" s="464"/>
      <c r="D27" s="38" t="s">
        <v>120</v>
      </c>
      <c r="E27" s="38" t="s">
        <v>118</v>
      </c>
      <c r="F27" s="38" t="s">
        <v>117</v>
      </c>
      <c r="G27" s="39">
        <v>0</v>
      </c>
      <c r="H27" s="40">
        <f t="shared" si="0"/>
        <v>9.8569600000000008</v>
      </c>
      <c r="I27" s="40">
        <f t="shared" si="1"/>
        <v>8.6248400000000025</v>
      </c>
      <c r="J27" s="40">
        <f t="shared" si="2"/>
        <v>27.722700000000003</v>
      </c>
      <c r="K27" s="40">
        <f t="shared" si="3"/>
        <v>1.8481800000000002</v>
      </c>
      <c r="L27" s="40">
        <f t="shared" si="4"/>
        <v>0.92409000000000008</v>
      </c>
      <c r="M27" s="40">
        <f t="shared" si="5"/>
        <v>3.3883300000000003</v>
      </c>
      <c r="N27" s="40">
        <f t="shared" si="6"/>
        <v>4.1584050000000001</v>
      </c>
      <c r="O27" s="40">
        <f t="shared" si="7"/>
        <v>4.3124200000000013</v>
      </c>
      <c r="P27" s="40">
        <f t="shared" si="8"/>
        <v>60.835925000000017</v>
      </c>
      <c r="Q27" s="41">
        <f t="shared" si="9"/>
        <v>0</v>
      </c>
      <c r="R27" s="42">
        <v>9.8569600000000008</v>
      </c>
      <c r="S27" s="42">
        <v>8.6248400000000025</v>
      </c>
      <c r="T27" s="42">
        <v>27.722700000000003</v>
      </c>
      <c r="U27" s="42">
        <v>1.8481800000000002</v>
      </c>
      <c r="V27" s="42">
        <v>0.92409000000000008</v>
      </c>
      <c r="W27" s="42">
        <v>3.3883300000000003</v>
      </c>
      <c r="X27" s="42">
        <v>4.1584050000000001</v>
      </c>
      <c r="Y27" s="42">
        <v>4.3124200000000013</v>
      </c>
    </row>
    <row r="28" spans="3:25" ht="15" x14ac:dyDescent="0.2">
      <c r="C28" s="465"/>
      <c r="D28" s="38" t="s">
        <v>120</v>
      </c>
      <c r="E28" s="38" t="s">
        <v>118</v>
      </c>
      <c r="F28" s="38" t="s">
        <v>118</v>
      </c>
      <c r="G28" s="39">
        <v>0</v>
      </c>
      <c r="H28" s="40">
        <f t="shared" si="0"/>
        <v>8.5419200000000011</v>
      </c>
      <c r="I28" s="40">
        <f t="shared" si="1"/>
        <v>7.4741800000000014</v>
      </c>
      <c r="J28" s="40">
        <f t="shared" si="2"/>
        <v>24.024150000000002</v>
      </c>
      <c r="K28" s="40">
        <f t="shared" si="3"/>
        <v>1.6016100000000002</v>
      </c>
      <c r="L28" s="40">
        <f t="shared" si="4"/>
        <v>0.8008050000000001</v>
      </c>
      <c r="M28" s="40">
        <f t="shared" si="5"/>
        <v>2.9362850000000003</v>
      </c>
      <c r="N28" s="40">
        <f t="shared" si="6"/>
        <v>3.6036225000000002</v>
      </c>
      <c r="O28" s="40">
        <f t="shared" si="7"/>
        <v>3.7370900000000007</v>
      </c>
      <c r="P28" s="40">
        <f t="shared" si="8"/>
        <v>52.719662499999998</v>
      </c>
      <c r="Q28" s="41">
        <f t="shared" si="9"/>
        <v>0</v>
      </c>
      <c r="R28" s="42">
        <v>8.5419200000000011</v>
      </c>
      <c r="S28" s="42">
        <v>7.4741800000000014</v>
      </c>
      <c r="T28" s="42">
        <v>24.024150000000002</v>
      </c>
      <c r="U28" s="42">
        <v>1.6016100000000002</v>
      </c>
      <c r="V28" s="42">
        <v>0.8008050000000001</v>
      </c>
      <c r="W28" s="42">
        <v>2.9362850000000003</v>
      </c>
      <c r="X28" s="42">
        <v>3.6036225000000002</v>
      </c>
      <c r="Y28" s="42">
        <v>3.7370900000000007</v>
      </c>
    </row>
    <row r="29" spans="3:25" ht="15" x14ac:dyDescent="0.2">
      <c r="C29" s="38" t="s">
        <v>121</v>
      </c>
      <c r="D29" s="38" t="s">
        <v>115</v>
      </c>
      <c r="E29" s="38" t="s">
        <v>116</v>
      </c>
      <c r="F29" s="38" t="s">
        <v>116</v>
      </c>
      <c r="G29" s="39">
        <v>0</v>
      </c>
      <c r="H29" s="40">
        <f t="shared" si="0"/>
        <v>3.6411200000000004</v>
      </c>
      <c r="I29" s="40">
        <f t="shared" si="1"/>
        <v>3.1859800000000007</v>
      </c>
      <c r="J29" s="40">
        <f t="shared" si="2"/>
        <v>10.24065</v>
      </c>
      <c r="K29" s="40">
        <f t="shared" si="3"/>
        <v>0.68271000000000004</v>
      </c>
      <c r="L29" s="40">
        <f t="shared" si="4"/>
        <v>0.34135500000000002</v>
      </c>
      <c r="M29" s="40">
        <f t="shared" si="5"/>
        <v>1.2516350000000001</v>
      </c>
      <c r="N29" s="40">
        <f t="shared" si="6"/>
        <v>1.5360975000000001</v>
      </c>
      <c r="O29" s="40">
        <f t="shared" si="7"/>
        <v>1.5929900000000004</v>
      </c>
      <c r="P29" s="40">
        <f t="shared" si="8"/>
        <v>22.472537500000005</v>
      </c>
      <c r="Q29" s="41">
        <f t="shared" si="9"/>
        <v>0</v>
      </c>
      <c r="R29" s="42">
        <v>3.6411200000000004</v>
      </c>
      <c r="S29" s="42">
        <v>3.1859800000000007</v>
      </c>
      <c r="T29" s="42">
        <v>10.24065</v>
      </c>
      <c r="U29" s="42">
        <v>0.68271000000000004</v>
      </c>
      <c r="V29" s="42">
        <v>0.34135500000000002</v>
      </c>
      <c r="W29" s="42">
        <v>1.2516350000000001</v>
      </c>
      <c r="X29" s="42">
        <v>1.5360975000000001</v>
      </c>
      <c r="Y29" s="42">
        <v>1.5929900000000004</v>
      </c>
    </row>
    <row r="30" spans="3:25" ht="15" x14ac:dyDescent="0.2">
      <c r="C30" s="38" t="s">
        <v>121</v>
      </c>
      <c r="D30" s="38" t="s">
        <v>115</v>
      </c>
      <c r="E30" s="38" t="s">
        <v>116</v>
      </c>
      <c r="F30" s="38" t="s">
        <v>117</v>
      </c>
      <c r="G30" s="39">
        <v>0</v>
      </c>
      <c r="H30" s="40">
        <f t="shared" si="0"/>
        <v>2.0743999999999998</v>
      </c>
      <c r="I30" s="40">
        <f t="shared" si="1"/>
        <v>1.8151000000000002</v>
      </c>
      <c r="J30" s="40">
        <f t="shared" si="2"/>
        <v>5.8342499999999999</v>
      </c>
      <c r="K30" s="40">
        <f t="shared" si="3"/>
        <v>0.38894999999999996</v>
      </c>
      <c r="L30" s="40">
        <f t="shared" si="4"/>
        <v>0.19447499999999998</v>
      </c>
      <c r="M30" s="40">
        <f t="shared" si="5"/>
        <v>0.71307500000000001</v>
      </c>
      <c r="N30" s="40">
        <f t="shared" si="6"/>
        <v>0.87513750000000001</v>
      </c>
      <c r="O30" s="40">
        <f t="shared" si="7"/>
        <v>0.90755000000000008</v>
      </c>
      <c r="P30" s="40">
        <f t="shared" si="8"/>
        <v>12.802937499999999</v>
      </c>
      <c r="Q30" s="41">
        <f t="shared" si="9"/>
        <v>0</v>
      </c>
      <c r="R30" s="42">
        <v>2.0743999999999998</v>
      </c>
      <c r="S30" s="42">
        <v>1.8151000000000002</v>
      </c>
      <c r="T30" s="42">
        <v>5.8342499999999999</v>
      </c>
      <c r="U30" s="42">
        <v>0.38894999999999996</v>
      </c>
      <c r="V30" s="42">
        <v>0.19447499999999998</v>
      </c>
      <c r="W30" s="42">
        <v>0.71307500000000001</v>
      </c>
      <c r="X30" s="42">
        <v>0.87513750000000001</v>
      </c>
      <c r="Y30" s="42">
        <v>0.90755000000000008</v>
      </c>
    </row>
    <row r="31" spans="3:25" ht="15" x14ac:dyDescent="0.2">
      <c r="C31" s="38" t="s">
        <v>121</v>
      </c>
      <c r="D31" s="38" t="s">
        <v>115</v>
      </c>
      <c r="E31" s="38" t="s">
        <v>116</v>
      </c>
      <c r="F31" s="38" t="s">
        <v>118</v>
      </c>
      <c r="G31" s="39">
        <v>0</v>
      </c>
      <c r="H31" s="40">
        <f t="shared" si="0"/>
        <v>1.7063999999999999</v>
      </c>
      <c r="I31" s="40">
        <f t="shared" si="1"/>
        <v>1.4931000000000001</v>
      </c>
      <c r="J31" s="40">
        <f t="shared" si="2"/>
        <v>4.7992499999999998</v>
      </c>
      <c r="K31" s="40">
        <f t="shared" si="3"/>
        <v>0.31994999999999996</v>
      </c>
      <c r="L31" s="40">
        <f t="shared" si="4"/>
        <v>0.15997499999999998</v>
      </c>
      <c r="M31" s="40">
        <f t="shared" si="5"/>
        <v>0.58657499999999996</v>
      </c>
      <c r="N31" s="40">
        <f t="shared" si="6"/>
        <v>0.7198874999999999</v>
      </c>
      <c r="O31" s="40">
        <f t="shared" si="7"/>
        <v>0.74655000000000005</v>
      </c>
      <c r="P31" s="40">
        <f t="shared" si="8"/>
        <v>10.5316875</v>
      </c>
      <c r="Q31" s="41">
        <f t="shared" si="9"/>
        <v>0</v>
      </c>
      <c r="R31" s="42">
        <v>1.7063999999999999</v>
      </c>
      <c r="S31" s="42">
        <v>1.4931000000000001</v>
      </c>
      <c r="T31" s="42">
        <v>4.7992499999999998</v>
      </c>
      <c r="U31" s="42">
        <v>0.31994999999999996</v>
      </c>
      <c r="V31" s="42">
        <v>0.15997499999999998</v>
      </c>
      <c r="W31" s="42">
        <v>0.58657499999999996</v>
      </c>
      <c r="X31" s="42">
        <v>0.7198874999999999</v>
      </c>
      <c r="Y31" s="42">
        <v>0.74655000000000005</v>
      </c>
    </row>
    <row r="32" spans="3:25" ht="15" x14ac:dyDescent="0.2">
      <c r="C32" s="38" t="s">
        <v>121</v>
      </c>
      <c r="D32" s="38" t="s">
        <v>115</v>
      </c>
      <c r="E32" s="38" t="s">
        <v>119</v>
      </c>
      <c r="F32" s="38" t="s">
        <v>116</v>
      </c>
      <c r="G32" s="39">
        <v>0</v>
      </c>
      <c r="H32" s="40">
        <f t="shared" si="0"/>
        <v>5.4158399999999993</v>
      </c>
      <c r="I32" s="40">
        <f t="shared" si="1"/>
        <v>4.7388599999999999</v>
      </c>
      <c r="J32" s="40">
        <f t="shared" si="2"/>
        <v>15.232049999999999</v>
      </c>
      <c r="K32" s="40">
        <f t="shared" si="3"/>
        <v>1.0154699999999999</v>
      </c>
      <c r="L32" s="40">
        <f t="shared" si="4"/>
        <v>0.50773499999999994</v>
      </c>
      <c r="M32" s="40">
        <f t="shared" si="5"/>
        <v>1.8616949999999999</v>
      </c>
      <c r="N32" s="40">
        <f t="shared" si="6"/>
        <v>2.2848074999999999</v>
      </c>
      <c r="O32" s="40">
        <f t="shared" si="7"/>
        <v>2.3694299999999999</v>
      </c>
      <c r="P32" s="40">
        <f t="shared" si="8"/>
        <v>33.425887500000002</v>
      </c>
      <c r="Q32" s="41">
        <f t="shared" si="9"/>
        <v>0</v>
      </c>
      <c r="R32" s="42">
        <v>5.4158399999999993</v>
      </c>
      <c r="S32" s="42">
        <v>4.7388599999999999</v>
      </c>
      <c r="T32" s="42">
        <v>15.232049999999999</v>
      </c>
      <c r="U32" s="42">
        <v>1.0154699999999999</v>
      </c>
      <c r="V32" s="42">
        <v>0.50773499999999994</v>
      </c>
      <c r="W32" s="42">
        <v>1.8616949999999999</v>
      </c>
      <c r="X32" s="42">
        <v>2.2848074999999999</v>
      </c>
      <c r="Y32" s="42">
        <v>2.3694299999999999</v>
      </c>
    </row>
    <row r="33" spans="3:25" ht="15" x14ac:dyDescent="0.2">
      <c r="C33" s="38" t="s">
        <v>121</v>
      </c>
      <c r="D33" s="38" t="s">
        <v>115</v>
      </c>
      <c r="E33" s="38" t="s">
        <v>119</v>
      </c>
      <c r="F33" s="38" t="s">
        <v>117</v>
      </c>
      <c r="G33" s="39">
        <v>0</v>
      </c>
      <c r="H33" s="40">
        <f t="shared" si="0"/>
        <v>3.1974399999999994</v>
      </c>
      <c r="I33" s="40">
        <f t="shared" si="1"/>
        <v>2.7977599999999994</v>
      </c>
      <c r="J33" s="40">
        <f t="shared" si="2"/>
        <v>8.9927999999999972</v>
      </c>
      <c r="K33" s="40">
        <f t="shared" si="3"/>
        <v>0.59951999999999983</v>
      </c>
      <c r="L33" s="40">
        <f t="shared" si="4"/>
        <v>0.29975999999999992</v>
      </c>
      <c r="M33" s="40">
        <f t="shared" si="5"/>
        <v>1.0991199999999997</v>
      </c>
      <c r="N33" s="40">
        <f t="shared" si="6"/>
        <v>1.3489199999999995</v>
      </c>
      <c r="O33" s="40">
        <f t="shared" si="7"/>
        <v>1.3988799999999997</v>
      </c>
      <c r="P33" s="40">
        <f t="shared" si="8"/>
        <v>19.734199999999994</v>
      </c>
      <c r="Q33" s="41">
        <f t="shared" si="9"/>
        <v>0</v>
      </c>
      <c r="R33" s="42">
        <v>3.1974399999999994</v>
      </c>
      <c r="S33" s="42">
        <v>2.7977599999999994</v>
      </c>
      <c r="T33" s="42">
        <v>8.9927999999999972</v>
      </c>
      <c r="U33" s="42">
        <v>0.59951999999999983</v>
      </c>
      <c r="V33" s="42">
        <v>0.29975999999999992</v>
      </c>
      <c r="W33" s="42">
        <v>1.0991199999999997</v>
      </c>
      <c r="X33" s="42">
        <v>1.3489199999999995</v>
      </c>
      <c r="Y33" s="42">
        <v>1.3988799999999997</v>
      </c>
    </row>
    <row r="34" spans="3:25" ht="15" x14ac:dyDescent="0.2">
      <c r="C34" s="38" t="s">
        <v>121</v>
      </c>
      <c r="D34" s="38" t="s">
        <v>115</v>
      </c>
      <c r="E34" s="38" t="s">
        <v>119</v>
      </c>
      <c r="F34" s="38" t="s">
        <v>118</v>
      </c>
      <c r="G34" s="39">
        <v>0</v>
      </c>
      <c r="H34" s="40">
        <f t="shared" si="0"/>
        <v>2.7697600000000002</v>
      </c>
      <c r="I34" s="40">
        <f t="shared" si="1"/>
        <v>2.42354</v>
      </c>
      <c r="J34" s="40">
        <f t="shared" si="2"/>
        <v>7.7899500000000002</v>
      </c>
      <c r="K34" s="40">
        <f t="shared" si="3"/>
        <v>0.51932999999999996</v>
      </c>
      <c r="L34" s="40">
        <f t="shared" si="4"/>
        <v>0.25966499999999998</v>
      </c>
      <c r="M34" s="40">
        <f t="shared" si="5"/>
        <v>0.95210499999999998</v>
      </c>
      <c r="N34" s="40">
        <f t="shared" si="6"/>
        <v>1.1684924999999999</v>
      </c>
      <c r="O34" s="40">
        <f t="shared" si="7"/>
        <v>1.21177</v>
      </c>
      <c r="P34" s="40">
        <f t="shared" si="8"/>
        <v>17.0946125</v>
      </c>
      <c r="Q34" s="41">
        <f t="shared" si="9"/>
        <v>0</v>
      </c>
      <c r="R34" s="42">
        <v>2.7697600000000002</v>
      </c>
      <c r="S34" s="42">
        <v>2.42354</v>
      </c>
      <c r="T34" s="42">
        <v>7.7899500000000002</v>
      </c>
      <c r="U34" s="42">
        <v>0.51932999999999996</v>
      </c>
      <c r="V34" s="42">
        <v>0.25966499999999998</v>
      </c>
      <c r="W34" s="42">
        <v>0.95210499999999998</v>
      </c>
      <c r="X34" s="42">
        <v>1.1684924999999999</v>
      </c>
      <c r="Y34" s="42">
        <v>1.21177</v>
      </c>
    </row>
    <row r="35" spans="3:25" ht="15" x14ac:dyDescent="0.2">
      <c r="C35" s="38" t="s">
        <v>121</v>
      </c>
      <c r="D35" s="38" t="s">
        <v>115</v>
      </c>
      <c r="E35" s="38" t="s">
        <v>118</v>
      </c>
      <c r="F35" s="38" t="s">
        <v>116</v>
      </c>
      <c r="G35" s="39">
        <v>0</v>
      </c>
      <c r="H35" s="40">
        <f t="shared" si="0"/>
        <v>7.9905600000000003</v>
      </c>
      <c r="I35" s="40">
        <f t="shared" si="1"/>
        <v>6.991740000000001</v>
      </c>
      <c r="J35" s="40">
        <f t="shared" si="2"/>
        <v>22.473450000000003</v>
      </c>
      <c r="K35" s="40">
        <f t="shared" si="3"/>
        <v>1.49823</v>
      </c>
      <c r="L35" s="40">
        <f t="shared" si="4"/>
        <v>0.74911499999999998</v>
      </c>
      <c r="M35" s="40">
        <f t="shared" si="5"/>
        <v>2.7467550000000003</v>
      </c>
      <c r="N35" s="40">
        <f t="shared" si="6"/>
        <v>3.3710175000000002</v>
      </c>
      <c r="O35" s="40">
        <f t="shared" si="7"/>
        <v>3.4958700000000005</v>
      </c>
      <c r="P35" s="40">
        <f t="shared" si="8"/>
        <v>49.316737500000016</v>
      </c>
      <c r="Q35" s="41">
        <f t="shared" si="9"/>
        <v>0</v>
      </c>
      <c r="R35" s="42">
        <v>7.9905600000000003</v>
      </c>
      <c r="S35" s="42">
        <v>6.991740000000001</v>
      </c>
      <c r="T35" s="42">
        <v>22.473450000000003</v>
      </c>
      <c r="U35" s="42">
        <v>1.49823</v>
      </c>
      <c r="V35" s="42">
        <v>0.74911499999999998</v>
      </c>
      <c r="W35" s="42">
        <v>2.7467550000000003</v>
      </c>
      <c r="X35" s="42">
        <v>3.3710175000000002</v>
      </c>
      <c r="Y35" s="42">
        <v>3.4958700000000005</v>
      </c>
    </row>
    <row r="36" spans="3:25" ht="15" x14ac:dyDescent="0.2">
      <c r="C36" s="38" t="s">
        <v>121</v>
      </c>
      <c r="D36" s="38" t="s">
        <v>115</v>
      </c>
      <c r="E36" s="38" t="s">
        <v>118</v>
      </c>
      <c r="F36" s="38" t="s">
        <v>117</v>
      </c>
      <c r="G36" s="39">
        <v>0</v>
      </c>
      <c r="H36" s="40">
        <f t="shared" si="0"/>
        <v>5.1684800000000006</v>
      </c>
      <c r="I36" s="40">
        <f t="shared" si="1"/>
        <v>4.5224200000000012</v>
      </c>
      <c r="J36" s="40">
        <f t="shared" si="2"/>
        <v>14.536350000000002</v>
      </c>
      <c r="K36" s="40">
        <f t="shared" si="3"/>
        <v>0.96909000000000012</v>
      </c>
      <c r="L36" s="40">
        <f t="shared" si="4"/>
        <v>0.48454500000000006</v>
      </c>
      <c r="M36" s="40">
        <f t="shared" si="5"/>
        <v>1.7766650000000002</v>
      </c>
      <c r="N36" s="40">
        <f t="shared" si="6"/>
        <v>2.1804525000000003</v>
      </c>
      <c r="O36" s="40">
        <f t="shared" si="7"/>
        <v>2.2612100000000006</v>
      </c>
      <c r="P36" s="40">
        <f t="shared" si="8"/>
        <v>31.899212500000012</v>
      </c>
      <c r="Q36" s="41">
        <f t="shared" si="9"/>
        <v>0</v>
      </c>
      <c r="R36" s="42">
        <v>5.1684800000000006</v>
      </c>
      <c r="S36" s="42">
        <v>4.5224200000000012</v>
      </c>
      <c r="T36" s="42">
        <v>14.536350000000002</v>
      </c>
      <c r="U36" s="42">
        <v>0.96909000000000012</v>
      </c>
      <c r="V36" s="42">
        <v>0.48454500000000006</v>
      </c>
      <c r="W36" s="42">
        <v>1.7766650000000002</v>
      </c>
      <c r="X36" s="42">
        <v>2.1804525000000003</v>
      </c>
      <c r="Y36" s="42">
        <v>2.2612100000000006</v>
      </c>
    </row>
    <row r="37" spans="3:25" ht="15" x14ac:dyDescent="0.2">
      <c r="C37" s="38" t="s">
        <v>121</v>
      </c>
      <c r="D37" s="38" t="s">
        <v>115</v>
      </c>
      <c r="E37" s="38" t="s">
        <v>118</v>
      </c>
      <c r="F37" s="38" t="s">
        <v>118</v>
      </c>
      <c r="G37" s="39">
        <v>0</v>
      </c>
      <c r="H37" s="40">
        <f t="shared" si="0"/>
        <v>4.3131200000000005</v>
      </c>
      <c r="I37" s="40">
        <f t="shared" si="1"/>
        <v>3.7739800000000003</v>
      </c>
      <c r="J37" s="40">
        <f t="shared" si="2"/>
        <v>12.130650000000001</v>
      </c>
      <c r="K37" s="40">
        <f t="shared" si="3"/>
        <v>0.80871000000000004</v>
      </c>
      <c r="L37" s="40">
        <f t="shared" si="4"/>
        <v>0.40435500000000002</v>
      </c>
      <c r="M37" s="40">
        <f t="shared" si="5"/>
        <v>1.4826350000000001</v>
      </c>
      <c r="N37" s="40">
        <f t="shared" si="6"/>
        <v>1.8195975</v>
      </c>
      <c r="O37" s="40">
        <f t="shared" si="7"/>
        <v>1.8869900000000002</v>
      </c>
      <c r="P37" s="40">
        <f t="shared" si="8"/>
        <v>26.620037500000006</v>
      </c>
      <c r="Q37" s="41">
        <f t="shared" si="9"/>
        <v>0</v>
      </c>
      <c r="R37" s="42">
        <v>4.3131200000000005</v>
      </c>
      <c r="S37" s="42">
        <v>3.7739800000000003</v>
      </c>
      <c r="T37" s="42">
        <v>12.130650000000001</v>
      </c>
      <c r="U37" s="42">
        <v>0.80871000000000004</v>
      </c>
      <c r="V37" s="42">
        <v>0.40435500000000002</v>
      </c>
      <c r="W37" s="42">
        <v>1.4826350000000001</v>
      </c>
      <c r="X37" s="42">
        <v>1.8195975</v>
      </c>
      <c r="Y37" s="42">
        <v>1.8869900000000002</v>
      </c>
    </row>
    <row r="38" spans="3:25" ht="15" x14ac:dyDescent="0.2">
      <c r="C38" s="38" t="s">
        <v>121</v>
      </c>
      <c r="D38" s="38" t="s">
        <v>120</v>
      </c>
      <c r="E38" s="38" t="s">
        <v>116</v>
      </c>
      <c r="F38" s="38" t="s">
        <v>116</v>
      </c>
      <c r="G38" s="39">
        <v>0</v>
      </c>
      <c r="H38" s="40">
        <f t="shared" si="0"/>
        <v>6.8705600000000002</v>
      </c>
      <c r="I38" s="40">
        <f t="shared" si="1"/>
        <v>6.0117400000000005</v>
      </c>
      <c r="J38" s="40">
        <f t="shared" si="2"/>
        <v>19.323450000000001</v>
      </c>
      <c r="K38" s="40">
        <f t="shared" si="3"/>
        <v>1.28823</v>
      </c>
      <c r="L38" s="40">
        <f t="shared" si="4"/>
        <v>0.64411499999999999</v>
      </c>
      <c r="M38" s="40">
        <f t="shared" si="5"/>
        <v>2.361755</v>
      </c>
      <c r="N38" s="40">
        <f t="shared" si="6"/>
        <v>2.8985175000000001</v>
      </c>
      <c r="O38" s="40">
        <f t="shared" si="7"/>
        <v>3.0058700000000003</v>
      </c>
      <c r="P38" s="40">
        <f t="shared" si="8"/>
        <v>42.404237500000001</v>
      </c>
      <c r="Q38" s="41">
        <f t="shared" si="9"/>
        <v>0</v>
      </c>
      <c r="R38" s="42">
        <v>6.8705600000000002</v>
      </c>
      <c r="S38" s="42">
        <v>6.0117400000000005</v>
      </c>
      <c r="T38" s="42">
        <v>19.323450000000001</v>
      </c>
      <c r="U38" s="42">
        <v>1.28823</v>
      </c>
      <c r="V38" s="42">
        <v>0.64411499999999999</v>
      </c>
      <c r="W38" s="42">
        <v>2.361755</v>
      </c>
      <c r="X38" s="42">
        <v>2.8985175000000001</v>
      </c>
      <c r="Y38" s="42">
        <v>3.0058700000000003</v>
      </c>
    </row>
    <row r="39" spans="3:25" ht="15" x14ac:dyDescent="0.2">
      <c r="C39" s="38" t="s">
        <v>121</v>
      </c>
      <c r="D39" s="38" t="s">
        <v>120</v>
      </c>
      <c r="E39" s="38" t="s">
        <v>116</v>
      </c>
      <c r="F39" s="38" t="s">
        <v>117</v>
      </c>
      <c r="G39" s="39">
        <v>0</v>
      </c>
      <c r="H39" s="40">
        <f t="shared" si="0"/>
        <v>4.2084800000000007</v>
      </c>
      <c r="I39" s="40">
        <f t="shared" si="1"/>
        <v>3.6824200000000009</v>
      </c>
      <c r="J39" s="40">
        <f t="shared" si="2"/>
        <v>11.836350000000003</v>
      </c>
      <c r="K39" s="40">
        <f t="shared" si="3"/>
        <v>0.78909000000000007</v>
      </c>
      <c r="L39" s="40">
        <f t="shared" si="4"/>
        <v>0.39454500000000003</v>
      </c>
      <c r="M39" s="40">
        <f t="shared" si="5"/>
        <v>1.4466650000000003</v>
      </c>
      <c r="N39" s="40">
        <f t="shared" si="6"/>
        <v>1.7754525000000003</v>
      </c>
      <c r="O39" s="40">
        <f t="shared" si="7"/>
        <v>1.8412100000000005</v>
      </c>
      <c r="P39" s="40">
        <f t="shared" si="8"/>
        <v>25.974212500000007</v>
      </c>
      <c r="Q39" s="41">
        <f t="shared" si="9"/>
        <v>0</v>
      </c>
      <c r="R39" s="42">
        <v>4.2084800000000007</v>
      </c>
      <c r="S39" s="42">
        <v>3.6824200000000009</v>
      </c>
      <c r="T39" s="42">
        <v>11.836350000000003</v>
      </c>
      <c r="U39" s="42">
        <v>0.78909000000000007</v>
      </c>
      <c r="V39" s="42">
        <v>0.39454500000000003</v>
      </c>
      <c r="W39" s="42">
        <v>1.4466650000000003</v>
      </c>
      <c r="X39" s="42">
        <v>1.7754525000000003</v>
      </c>
      <c r="Y39" s="42">
        <v>1.8412100000000005</v>
      </c>
    </row>
    <row r="40" spans="3:25" ht="15" x14ac:dyDescent="0.2">
      <c r="C40" s="38" t="s">
        <v>121</v>
      </c>
      <c r="D40" s="38" t="s">
        <v>120</v>
      </c>
      <c r="E40" s="38" t="s">
        <v>116</v>
      </c>
      <c r="F40" s="38" t="s">
        <v>118</v>
      </c>
      <c r="G40" s="39">
        <v>0</v>
      </c>
      <c r="H40" s="40">
        <f t="shared" si="0"/>
        <v>3.3531200000000001</v>
      </c>
      <c r="I40" s="40">
        <f t="shared" si="1"/>
        <v>2.9339800000000005</v>
      </c>
      <c r="J40" s="40">
        <f t="shared" si="2"/>
        <v>9.43065</v>
      </c>
      <c r="K40" s="40">
        <f t="shared" si="3"/>
        <v>0.62870999999999999</v>
      </c>
      <c r="L40" s="40">
        <f t="shared" si="4"/>
        <v>0.314355</v>
      </c>
      <c r="M40" s="40">
        <f t="shared" si="5"/>
        <v>1.1526350000000001</v>
      </c>
      <c r="N40" s="40">
        <f t="shared" si="6"/>
        <v>1.4145975</v>
      </c>
      <c r="O40" s="40">
        <f t="shared" si="7"/>
        <v>1.4669900000000002</v>
      </c>
      <c r="P40" s="40">
        <f t="shared" si="8"/>
        <v>20.695037499999998</v>
      </c>
      <c r="Q40" s="41">
        <f t="shared" si="9"/>
        <v>0</v>
      </c>
      <c r="R40" s="42">
        <v>3.3531200000000001</v>
      </c>
      <c r="S40" s="42">
        <v>2.9339800000000005</v>
      </c>
      <c r="T40" s="42">
        <v>9.43065</v>
      </c>
      <c r="U40" s="42">
        <v>0.62870999999999999</v>
      </c>
      <c r="V40" s="42">
        <v>0.314355</v>
      </c>
      <c r="W40" s="42">
        <v>1.1526350000000001</v>
      </c>
      <c r="X40" s="42">
        <v>1.4145975</v>
      </c>
      <c r="Y40" s="42">
        <v>1.4669900000000002</v>
      </c>
    </row>
    <row r="41" spans="3:25" ht="15" x14ac:dyDescent="0.2">
      <c r="C41" s="38" t="s">
        <v>121</v>
      </c>
      <c r="D41" s="38" t="s">
        <v>120</v>
      </c>
      <c r="E41" s="38" t="s">
        <v>119</v>
      </c>
      <c r="F41" s="38" t="s">
        <v>116</v>
      </c>
      <c r="G41" s="39">
        <v>0</v>
      </c>
      <c r="H41" s="40">
        <f t="shared" si="0"/>
        <v>10.831679999999999</v>
      </c>
      <c r="I41" s="40">
        <f t="shared" si="1"/>
        <v>9.4777199999999997</v>
      </c>
      <c r="J41" s="40">
        <f t="shared" si="2"/>
        <v>30.464099999999998</v>
      </c>
      <c r="K41" s="40">
        <f t="shared" si="3"/>
        <v>2.0309399999999997</v>
      </c>
      <c r="L41" s="40">
        <f t="shared" si="4"/>
        <v>1.0154699999999999</v>
      </c>
      <c r="M41" s="40">
        <f t="shared" si="5"/>
        <v>3.7233899999999998</v>
      </c>
      <c r="N41" s="40">
        <f t="shared" si="6"/>
        <v>4.5696149999999998</v>
      </c>
      <c r="O41" s="40">
        <f t="shared" si="7"/>
        <v>4.7388599999999999</v>
      </c>
      <c r="P41" s="40">
        <f t="shared" si="8"/>
        <v>66.851775000000004</v>
      </c>
      <c r="Q41" s="41">
        <f t="shared" si="9"/>
        <v>0</v>
      </c>
      <c r="R41" s="42">
        <v>10.831679999999999</v>
      </c>
      <c r="S41" s="42">
        <v>9.4777199999999997</v>
      </c>
      <c r="T41" s="42">
        <v>30.464099999999998</v>
      </c>
      <c r="U41" s="42">
        <v>2.0309399999999997</v>
      </c>
      <c r="V41" s="42">
        <v>1.0154699999999999</v>
      </c>
      <c r="W41" s="42">
        <v>3.7233899999999998</v>
      </c>
      <c r="X41" s="42">
        <v>4.5696149999999998</v>
      </c>
      <c r="Y41" s="42">
        <v>4.7388599999999999</v>
      </c>
    </row>
    <row r="42" spans="3:25" ht="15" x14ac:dyDescent="0.2">
      <c r="C42" s="38" t="s">
        <v>121</v>
      </c>
      <c r="D42" s="38" t="s">
        <v>120</v>
      </c>
      <c r="E42" s="38" t="s">
        <v>119</v>
      </c>
      <c r="F42" s="38" t="s">
        <v>117</v>
      </c>
      <c r="G42" s="39">
        <v>0</v>
      </c>
      <c r="H42" s="40">
        <f t="shared" si="0"/>
        <v>6.602879999999999</v>
      </c>
      <c r="I42" s="40">
        <f t="shared" si="1"/>
        <v>5.77752</v>
      </c>
      <c r="J42" s="40">
        <f t="shared" si="2"/>
        <v>18.570599999999999</v>
      </c>
      <c r="K42" s="40">
        <f t="shared" si="3"/>
        <v>1.2380399999999998</v>
      </c>
      <c r="L42" s="40">
        <f t="shared" si="4"/>
        <v>0.6190199999999999</v>
      </c>
      <c r="M42" s="40">
        <f t="shared" si="5"/>
        <v>2.2697399999999996</v>
      </c>
      <c r="N42" s="40">
        <f t="shared" si="6"/>
        <v>2.7855899999999996</v>
      </c>
      <c r="O42" s="40">
        <f t="shared" si="7"/>
        <v>2.88876</v>
      </c>
      <c r="P42" s="40">
        <f t="shared" si="8"/>
        <v>40.752149999999993</v>
      </c>
      <c r="Q42" s="41">
        <f t="shared" si="9"/>
        <v>0</v>
      </c>
      <c r="R42" s="42">
        <v>6.602879999999999</v>
      </c>
      <c r="S42" s="42">
        <v>5.77752</v>
      </c>
      <c r="T42" s="42">
        <v>18.570599999999999</v>
      </c>
      <c r="U42" s="42">
        <v>1.2380399999999998</v>
      </c>
      <c r="V42" s="42">
        <v>0.6190199999999999</v>
      </c>
      <c r="W42" s="42">
        <v>2.2697399999999996</v>
      </c>
      <c r="X42" s="42">
        <v>2.7855899999999996</v>
      </c>
      <c r="Y42" s="42">
        <v>2.88876</v>
      </c>
    </row>
    <row r="43" spans="3:25" ht="15" x14ac:dyDescent="0.2">
      <c r="C43" s="38" t="s">
        <v>121</v>
      </c>
      <c r="D43" s="38" t="s">
        <v>120</v>
      </c>
      <c r="E43" s="38" t="s">
        <v>119</v>
      </c>
      <c r="F43" s="38" t="s">
        <v>118</v>
      </c>
      <c r="G43" s="39">
        <v>0</v>
      </c>
      <c r="H43" s="40">
        <f t="shared" si="0"/>
        <v>5.3795200000000003</v>
      </c>
      <c r="I43" s="40">
        <f t="shared" si="1"/>
        <v>4.7070800000000004</v>
      </c>
      <c r="J43" s="40">
        <f t="shared" si="2"/>
        <v>15.129900000000001</v>
      </c>
      <c r="K43" s="40">
        <f t="shared" si="3"/>
        <v>1.0086599999999999</v>
      </c>
      <c r="L43" s="40">
        <f t="shared" si="4"/>
        <v>0.50432999999999995</v>
      </c>
      <c r="M43" s="40">
        <f t="shared" si="5"/>
        <v>1.84921</v>
      </c>
      <c r="N43" s="40">
        <f t="shared" si="6"/>
        <v>2.269485</v>
      </c>
      <c r="O43" s="40">
        <f t="shared" si="7"/>
        <v>2.3535400000000002</v>
      </c>
      <c r="P43" s="40">
        <f t="shared" si="8"/>
        <v>33.201725000000003</v>
      </c>
      <c r="Q43" s="41">
        <f t="shared" si="9"/>
        <v>0</v>
      </c>
      <c r="R43" s="42">
        <v>5.3795200000000003</v>
      </c>
      <c r="S43" s="42">
        <v>4.7070800000000004</v>
      </c>
      <c r="T43" s="42">
        <v>15.129900000000001</v>
      </c>
      <c r="U43" s="42">
        <v>1.0086599999999999</v>
      </c>
      <c r="V43" s="42">
        <v>0.50432999999999995</v>
      </c>
      <c r="W43" s="42">
        <v>1.84921</v>
      </c>
      <c r="X43" s="42">
        <v>2.269485</v>
      </c>
      <c r="Y43" s="42">
        <v>2.3535400000000002</v>
      </c>
    </row>
    <row r="44" spans="3:25" ht="15" x14ac:dyDescent="0.2">
      <c r="C44" s="38" t="s">
        <v>121</v>
      </c>
      <c r="D44" s="38" t="s">
        <v>120</v>
      </c>
      <c r="E44" s="38" t="s">
        <v>118</v>
      </c>
      <c r="F44" s="38" t="s">
        <v>116</v>
      </c>
      <c r="G44" s="39">
        <v>0</v>
      </c>
      <c r="H44" s="40">
        <f t="shared" si="0"/>
        <v>15.896800000000002</v>
      </c>
      <c r="I44" s="40">
        <f t="shared" si="1"/>
        <v>13.909700000000004</v>
      </c>
      <c r="J44" s="40">
        <f t="shared" si="2"/>
        <v>44.709750000000007</v>
      </c>
      <c r="K44" s="40">
        <f t="shared" si="3"/>
        <v>2.9806500000000002</v>
      </c>
      <c r="L44" s="40">
        <f t="shared" si="4"/>
        <v>1.4903250000000001</v>
      </c>
      <c r="M44" s="40">
        <f t="shared" si="5"/>
        <v>5.464525000000001</v>
      </c>
      <c r="N44" s="40">
        <f t="shared" si="6"/>
        <v>6.7064625000000007</v>
      </c>
      <c r="O44" s="40">
        <f t="shared" si="7"/>
        <v>6.9548500000000022</v>
      </c>
      <c r="P44" s="40">
        <f t="shared" si="8"/>
        <v>98.113062500000012</v>
      </c>
      <c r="Q44" s="41">
        <f t="shared" si="9"/>
        <v>0</v>
      </c>
      <c r="R44" s="42">
        <v>15.896800000000002</v>
      </c>
      <c r="S44" s="42">
        <v>13.909700000000004</v>
      </c>
      <c r="T44" s="42">
        <v>44.709750000000007</v>
      </c>
      <c r="U44" s="42">
        <v>2.9806500000000002</v>
      </c>
      <c r="V44" s="42">
        <v>1.4903250000000001</v>
      </c>
      <c r="W44" s="42">
        <v>5.464525000000001</v>
      </c>
      <c r="X44" s="42">
        <v>6.7064625000000007</v>
      </c>
      <c r="Y44" s="42">
        <v>6.9548500000000022</v>
      </c>
    </row>
    <row r="45" spans="3:25" ht="15" x14ac:dyDescent="0.2">
      <c r="C45" s="38" t="s">
        <v>121</v>
      </c>
      <c r="D45" s="38" t="s">
        <v>120</v>
      </c>
      <c r="E45" s="38" t="s">
        <v>118</v>
      </c>
      <c r="F45" s="38" t="s">
        <v>117</v>
      </c>
      <c r="G45" s="39">
        <v>0</v>
      </c>
      <c r="H45" s="40">
        <f t="shared" si="0"/>
        <v>9.8569600000000008</v>
      </c>
      <c r="I45" s="40">
        <f t="shared" si="1"/>
        <v>8.6248400000000025</v>
      </c>
      <c r="J45" s="40">
        <f t="shared" si="2"/>
        <v>27.722700000000003</v>
      </c>
      <c r="K45" s="40">
        <f t="shared" si="3"/>
        <v>1.8481800000000002</v>
      </c>
      <c r="L45" s="40">
        <f t="shared" si="4"/>
        <v>0.92409000000000008</v>
      </c>
      <c r="M45" s="40">
        <f t="shared" si="5"/>
        <v>3.3883300000000003</v>
      </c>
      <c r="N45" s="40">
        <f t="shared" si="6"/>
        <v>4.1584050000000001</v>
      </c>
      <c r="O45" s="40">
        <f t="shared" si="7"/>
        <v>4.3124200000000013</v>
      </c>
      <c r="P45" s="40">
        <f t="shared" si="8"/>
        <v>60.835925000000017</v>
      </c>
      <c r="Q45" s="41">
        <f t="shared" si="9"/>
        <v>0</v>
      </c>
      <c r="R45" s="42">
        <v>9.8569600000000008</v>
      </c>
      <c r="S45" s="42">
        <v>8.6248400000000025</v>
      </c>
      <c r="T45" s="42">
        <v>27.722700000000003</v>
      </c>
      <c r="U45" s="42">
        <v>1.8481800000000002</v>
      </c>
      <c r="V45" s="42">
        <v>0.92409000000000008</v>
      </c>
      <c r="W45" s="42">
        <v>3.3883300000000003</v>
      </c>
      <c r="X45" s="42">
        <v>4.1584050000000001</v>
      </c>
      <c r="Y45" s="42">
        <v>4.3124200000000013</v>
      </c>
    </row>
    <row r="46" spans="3:25" ht="15" x14ac:dyDescent="0.2">
      <c r="C46" s="38" t="s">
        <v>121</v>
      </c>
      <c r="D46" s="38" t="s">
        <v>120</v>
      </c>
      <c r="E46" s="38" t="s">
        <v>118</v>
      </c>
      <c r="F46" s="38" t="s">
        <v>118</v>
      </c>
      <c r="G46" s="39">
        <v>0</v>
      </c>
      <c r="H46" s="40">
        <f t="shared" si="0"/>
        <v>8.5419200000000011</v>
      </c>
      <c r="I46" s="40">
        <f t="shared" si="1"/>
        <v>7.4741800000000014</v>
      </c>
      <c r="J46" s="40">
        <f t="shared" si="2"/>
        <v>24.024150000000002</v>
      </c>
      <c r="K46" s="40">
        <f t="shared" si="3"/>
        <v>1.6016100000000002</v>
      </c>
      <c r="L46" s="40">
        <f t="shared" si="4"/>
        <v>0.8008050000000001</v>
      </c>
      <c r="M46" s="40">
        <f t="shared" si="5"/>
        <v>2.9362850000000003</v>
      </c>
      <c r="N46" s="40">
        <f t="shared" si="6"/>
        <v>3.6036225000000002</v>
      </c>
      <c r="O46" s="40">
        <f t="shared" si="7"/>
        <v>3.7370900000000007</v>
      </c>
      <c r="P46" s="40">
        <f t="shared" si="8"/>
        <v>52.719662499999998</v>
      </c>
      <c r="Q46" s="41">
        <f t="shared" si="9"/>
        <v>0</v>
      </c>
      <c r="R46" s="42">
        <v>8.5419200000000011</v>
      </c>
      <c r="S46" s="42">
        <v>7.4741800000000014</v>
      </c>
      <c r="T46" s="42">
        <v>24.024150000000002</v>
      </c>
      <c r="U46" s="42">
        <v>1.6016100000000002</v>
      </c>
      <c r="V46" s="42">
        <v>0.8008050000000001</v>
      </c>
      <c r="W46" s="42">
        <v>2.9362850000000003</v>
      </c>
      <c r="X46" s="42">
        <v>3.6036225000000002</v>
      </c>
      <c r="Y46" s="42">
        <v>3.7370900000000007</v>
      </c>
    </row>
    <row r="47" spans="3:25" ht="15" x14ac:dyDescent="0.2">
      <c r="C47" s="38" t="s">
        <v>122</v>
      </c>
      <c r="D47" s="38" t="s">
        <v>115</v>
      </c>
      <c r="E47" s="38" t="s">
        <v>116</v>
      </c>
      <c r="F47" s="38" t="s">
        <v>116</v>
      </c>
      <c r="G47" s="39">
        <v>0</v>
      </c>
      <c r="H47" s="40">
        <f t="shared" si="0"/>
        <v>3.1814399999999994</v>
      </c>
      <c r="I47" s="40">
        <f t="shared" si="1"/>
        <v>2.78376</v>
      </c>
      <c r="J47" s="40">
        <f t="shared" si="2"/>
        <v>8.9477999999999991</v>
      </c>
      <c r="K47" s="40">
        <f t="shared" si="3"/>
        <v>0.59651999999999983</v>
      </c>
      <c r="L47" s="40">
        <f t="shared" si="4"/>
        <v>0.29825999999999991</v>
      </c>
      <c r="M47" s="40">
        <f t="shared" si="5"/>
        <v>1.0936199999999998</v>
      </c>
      <c r="N47" s="40">
        <f t="shared" si="6"/>
        <v>1.3421699999999999</v>
      </c>
      <c r="O47" s="40">
        <f t="shared" si="7"/>
        <v>1.39188</v>
      </c>
      <c r="P47" s="40">
        <f t="shared" si="8"/>
        <v>19.635449999999999</v>
      </c>
      <c r="Q47" s="41">
        <f t="shared" si="9"/>
        <v>0</v>
      </c>
      <c r="R47" s="42">
        <v>3.1814399999999994</v>
      </c>
      <c r="S47" s="42">
        <v>2.78376</v>
      </c>
      <c r="T47" s="42">
        <v>8.9477999999999991</v>
      </c>
      <c r="U47" s="42">
        <v>0.59651999999999983</v>
      </c>
      <c r="V47" s="42">
        <v>0.29825999999999991</v>
      </c>
      <c r="W47" s="42">
        <v>1.0936199999999998</v>
      </c>
      <c r="X47" s="42">
        <v>1.3421699999999999</v>
      </c>
      <c r="Y47" s="42">
        <v>1.39188</v>
      </c>
    </row>
    <row r="48" spans="3:25" ht="15" x14ac:dyDescent="0.2">
      <c r="C48" s="38" t="s">
        <v>122</v>
      </c>
      <c r="D48" s="38" t="s">
        <v>115</v>
      </c>
      <c r="E48" s="38" t="s">
        <v>116</v>
      </c>
      <c r="F48" s="38" t="s">
        <v>117</v>
      </c>
      <c r="G48" s="39">
        <v>0</v>
      </c>
      <c r="H48" s="40">
        <f t="shared" si="0"/>
        <v>2.0743999999999998</v>
      </c>
      <c r="I48" s="40">
        <f t="shared" si="1"/>
        <v>1.8151000000000002</v>
      </c>
      <c r="J48" s="40">
        <f t="shared" si="2"/>
        <v>5.8342499999999999</v>
      </c>
      <c r="K48" s="40">
        <f t="shared" si="3"/>
        <v>0.38894999999999996</v>
      </c>
      <c r="L48" s="40">
        <f t="shared" si="4"/>
        <v>0.19447499999999998</v>
      </c>
      <c r="M48" s="40">
        <f t="shared" si="5"/>
        <v>0.71307500000000001</v>
      </c>
      <c r="N48" s="40">
        <f t="shared" si="6"/>
        <v>0.87513750000000001</v>
      </c>
      <c r="O48" s="40">
        <f t="shared" si="7"/>
        <v>0.90755000000000008</v>
      </c>
      <c r="P48" s="40">
        <f t="shared" si="8"/>
        <v>12.802937499999999</v>
      </c>
      <c r="Q48" s="41">
        <f t="shared" si="9"/>
        <v>0</v>
      </c>
      <c r="R48" s="42">
        <v>2.0743999999999998</v>
      </c>
      <c r="S48" s="42">
        <v>1.8151000000000002</v>
      </c>
      <c r="T48" s="42">
        <v>5.8342499999999999</v>
      </c>
      <c r="U48" s="42">
        <v>0.38894999999999996</v>
      </c>
      <c r="V48" s="42">
        <v>0.19447499999999998</v>
      </c>
      <c r="W48" s="42">
        <v>0.71307500000000001</v>
      </c>
      <c r="X48" s="42">
        <v>0.87513750000000001</v>
      </c>
      <c r="Y48" s="42">
        <v>0.90755000000000008</v>
      </c>
    </row>
    <row r="49" spans="3:25" ht="15" x14ac:dyDescent="0.2">
      <c r="C49" s="38" t="s">
        <v>122</v>
      </c>
      <c r="D49" s="38" t="s">
        <v>115</v>
      </c>
      <c r="E49" s="38" t="s">
        <v>116</v>
      </c>
      <c r="F49" s="38" t="s">
        <v>118</v>
      </c>
      <c r="G49" s="39">
        <v>0</v>
      </c>
      <c r="H49" s="40">
        <f t="shared" si="0"/>
        <v>1.7063999999999999</v>
      </c>
      <c r="I49" s="40">
        <f t="shared" si="1"/>
        <v>1.4931000000000001</v>
      </c>
      <c r="J49" s="40">
        <f t="shared" si="2"/>
        <v>4.7992499999999998</v>
      </c>
      <c r="K49" s="40">
        <f t="shared" si="3"/>
        <v>0.31994999999999996</v>
      </c>
      <c r="L49" s="40">
        <f t="shared" si="4"/>
        <v>0.15997499999999998</v>
      </c>
      <c r="M49" s="40">
        <f t="shared" si="5"/>
        <v>0.58657499999999996</v>
      </c>
      <c r="N49" s="40">
        <f t="shared" si="6"/>
        <v>0.7198874999999999</v>
      </c>
      <c r="O49" s="40">
        <f t="shared" si="7"/>
        <v>0.74655000000000005</v>
      </c>
      <c r="P49" s="40">
        <f t="shared" si="8"/>
        <v>10.5316875</v>
      </c>
      <c r="Q49" s="41">
        <f t="shared" si="9"/>
        <v>0</v>
      </c>
      <c r="R49" s="42">
        <v>1.7063999999999999</v>
      </c>
      <c r="S49" s="42">
        <v>1.4931000000000001</v>
      </c>
      <c r="T49" s="42">
        <v>4.7992499999999998</v>
      </c>
      <c r="U49" s="42">
        <v>0.31994999999999996</v>
      </c>
      <c r="V49" s="42">
        <v>0.15997499999999998</v>
      </c>
      <c r="W49" s="42">
        <v>0.58657499999999996</v>
      </c>
      <c r="X49" s="42">
        <v>0.7198874999999999</v>
      </c>
      <c r="Y49" s="42">
        <v>0.74655000000000005</v>
      </c>
    </row>
    <row r="50" spans="3:25" ht="15" x14ac:dyDescent="0.2">
      <c r="C50" s="38" t="s">
        <v>122</v>
      </c>
      <c r="D50" s="38" t="s">
        <v>115</v>
      </c>
      <c r="E50" s="38" t="s">
        <v>119</v>
      </c>
      <c r="F50" s="38" t="s">
        <v>116</v>
      </c>
      <c r="G50" s="39">
        <v>0</v>
      </c>
      <c r="H50" s="40">
        <f t="shared" si="0"/>
        <v>4.5444800000000001</v>
      </c>
      <c r="I50" s="40">
        <f t="shared" si="1"/>
        <v>3.9764200000000001</v>
      </c>
      <c r="J50" s="40">
        <f t="shared" si="2"/>
        <v>12.78135</v>
      </c>
      <c r="K50" s="40">
        <f t="shared" si="3"/>
        <v>0.8520899999999999</v>
      </c>
      <c r="L50" s="40">
        <f t="shared" si="4"/>
        <v>0.42604499999999995</v>
      </c>
      <c r="M50" s="40">
        <f t="shared" si="5"/>
        <v>1.562165</v>
      </c>
      <c r="N50" s="40">
        <f t="shared" si="6"/>
        <v>1.9172024999999999</v>
      </c>
      <c r="O50" s="40">
        <f t="shared" si="7"/>
        <v>1.98821</v>
      </c>
      <c r="P50" s="40">
        <f t="shared" si="8"/>
        <v>28.047962499999997</v>
      </c>
      <c r="Q50" s="41">
        <f t="shared" si="9"/>
        <v>0</v>
      </c>
      <c r="R50" s="42">
        <v>4.5444800000000001</v>
      </c>
      <c r="S50" s="42">
        <v>3.9764200000000001</v>
      </c>
      <c r="T50" s="42">
        <v>12.78135</v>
      </c>
      <c r="U50" s="42">
        <v>0.8520899999999999</v>
      </c>
      <c r="V50" s="42">
        <v>0.42604499999999995</v>
      </c>
      <c r="W50" s="42">
        <v>1.562165</v>
      </c>
      <c r="X50" s="42">
        <v>1.9172024999999999</v>
      </c>
      <c r="Y50" s="42">
        <v>1.98821</v>
      </c>
    </row>
    <row r="51" spans="3:25" ht="15" x14ac:dyDescent="0.2">
      <c r="C51" s="38" t="s">
        <v>122</v>
      </c>
      <c r="D51" s="38" t="s">
        <v>115</v>
      </c>
      <c r="E51" s="38" t="s">
        <v>119</v>
      </c>
      <c r="F51" s="38" t="s">
        <v>117</v>
      </c>
      <c r="G51" s="39">
        <v>0</v>
      </c>
      <c r="H51" s="40">
        <f t="shared" si="0"/>
        <v>3.1974399999999994</v>
      </c>
      <c r="I51" s="40">
        <f t="shared" si="1"/>
        <v>2.7977599999999994</v>
      </c>
      <c r="J51" s="40">
        <f t="shared" si="2"/>
        <v>8.9927999999999972</v>
      </c>
      <c r="K51" s="40">
        <f t="shared" si="3"/>
        <v>0.59951999999999983</v>
      </c>
      <c r="L51" s="40">
        <f t="shared" si="4"/>
        <v>0.29975999999999992</v>
      </c>
      <c r="M51" s="40">
        <f t="shared" si="5"/>
        <v>1.0991199999999997</v>
      </c>
      <c r="N51" s="40">
        <f t="shared" si="6"/>
        <v>1.3489199999999995</v>
      </c>
      <c r="O51" s="40">
        <f t="shared" si="7"/>
        <v>1.3988799999999997</v>
      </c>
      <c r="P51" s="40">
        <f t="shared" si="8"/>
        <v>19.734199999999994</v>
      </c>
      <c r="Q51" s="41">
        <f t="shared" si="9"/>
        <v>0</v>
      </c>
      <c r="R51" s="42">
        <v>3.1974399999999994</v>
      </c>
      <c r="S51" s="42">
        <v>2.7977599999999994</v>
      </c>
      <c r="T51" s="42">
        <v>8.9927999999999972</v>
      </c>
      <c r="U51" s="42">
        <v>0.59951999999999983</v>
      </c>
      <c r="V51" s="42">
        <v>0.29975999999999992</v>
      </c>
      <c r="W51" s="42">
        <v>1.0991199999999997</v>
      </c>
      <c r="X51" s="42">
        <v>1.3489199999999995</v>
      </c>
      <c r="Y51" s="42">
        <v>1.3988799999999997</v>
      </c>
    </row>
    <row r="52" spans="3:25" ht="15" x14ac:dyDescent="0.2">
      <c r="C52" s="38" t="s">
        <v>122</v>
      </c>
      <c r="D52" s="38" t="s">
        <v>115</v>
      </c>
      <c r="E52" s="38" t="s">
        <v>119</v>
      </c>
      <c r="F52" s="38" t="s">
        <v>118</v>
      </c>
      <c r="G52" s="39">
        <v>0</v>
      </c>
      <c r="H52" s="40">
        <f t="shared" si="0"/>
        <v>2.7697600000000002</v>
      </c>
      <c r="I52" s="40">
        <f t="shared" si="1"/>
        <v>2.42354</v>
      </c>
      <c r="J52" s="40">
        <f t="shared" si="2"/>
        <v>7.7899500000000002</v>
      </c>
      <c r="K52" s="40">
        <f t="shared" si="3"/>
        <v>0.51932999999999996</v>
      </c>
      <c r="L52" s="40">
        <f t="shared" si="4"/>
        <v>0.25966499999999998</v>
      </c>
      <c r="M52" s="40">
        <f t="shared" si="5"/>
        <v>0.95210499999999998</v>
      </c>
      <c r="N52" s="40">
        <f t="shared" si="6"/>
        <v>1.1684924999999999</v>
      </c>
      <c r="O52" s="40">
        <f t="shared" si="7"/>
        <v>1.21177</v>
      </c>
      <c r="P52" s="40">
        <f t="shared" si="8"/>
        <v>17.0946125</v>
      </c>
      <c r="Q52" s="41">
        <f t="shared" si="9"/>
        <v>0</v>
      </c>
      <c r="R52" s="42">
        <v>2.7697600000000002</v>
      </c>
      <c r="S52" s="42">
        <v>2.42354</v>
      </c>
      <c r="T52" s="42">
        <v>7.7899500000000002</v>
      </c>
      <c r="U52" s="42">
        <v>0.51932999999999996</v>
      </c>
      <c r="V52" s="42">
        <v>0.25966499999999998</v>
      </c>
      <c r="W52" s="42">
        <v>0.95210499999999998</v>
      </c>
      <c r="X52" s="42">
        <v>1.1684924999999999</v>
      </c>
      <c r="Y52" s="42">
        <v>1.21177</v>
      </c>
    </row>
    <row r="53" spans="3:25" ht="15" x14ac:dyDescent="0.2">
      <c r="C53" s="38" t="s">
        <v>122</v>
      </c>
      <c r="D53" s="38" t="s">
        <v>115</v>
      </c>
      <c r="E53" s="38" t="s">
        <v>118</v>
      </c>
      <c r="F53" s="38" t="s">
        <v>116</v>
      </c>
      <c r="G53" s="39">
        <v>0</v>
      </c>
      <c r="H53" s="40">
        <f t="shared" si="0"/>
        <v>7.1191999999999993</v>
      </c>
      <c r="I53" s="40">
        <f t="shared" si="1"/>
        <v>6.2293000000000003</v>
      </c>
      <c r="J53" s="40">
        <f t="shared" si="2"/>
        <v>20.022749999999998</v>
      </c>
      <c r="K53" s="40">
        <f t="shared" si="3"/>
        <v>1.3348499999999999</v>
      </c>
      <c r="L53" s="40">
        <f t="shared" si="4"/>
        <v>0.66742499999999993</v>
      </c>
      <c r="M53" s="40">
        <f t="shared" si="5"/>
        <v>2.447225</v>
      </c>
      <c r="N53" s="40">
        <f t="shared" si="6"/>
        <v>3.0034124999999996</v>
      </c>
      <c r="O53" s="40">
        <f t="shared" si="7"/>
        <v>3.1146500000000001</v>
      </c>
      <c r="P53" s="40">
        <f t="shared" si="8"/>
        <v>43.938812499999997</v>
      </c>
      <c r="Q53" s="41">
        <f t="shared" si="9"/>
        <v>0</v>
      </c>
      <c r="R53" s="42">
        <v>7.1191999999999993</v>
      </c>
      <c r="S53" s="42">
        <v>6.2293000000000003</v>
      </c>
      <c r="T53" s="42">
        <v>20.022749999999998</v>
      </c>
      <c r="U53" s="42">
        <v>1.3348499999999999</v>
      </c>
      <c r="V53" s="42">
        <v>0.66742499999999993</v>
      </c>
      <c r="W53" s="42">
        <v>2.447225</v>
      </c>
      <c r="X53" s="42">
        <v>3.0034124999999996</v>
      </c>
      <c r="Y53" s="42">
        <v>3.1146500000000001</v>
      </c>
    </row>
    <row r="54" spans="3:25" ht="15" x14ac:dyDescent="0.2">
      <c r="C54" s="38" t="s">
        <v>122</v>
      </c>
      <c r="D54" s="38" t="s">
        <v>115</v>
      </c>
      <c r="E54" s="38" t="s">
        <v>118</v>
      </c>
      <c r="F54" s="38" t="s">
        <v>117</v>
      </c>
      <c r="G54" s="39">
        <v>0</v>
      </c>
      <c r="H54" s="40">
        <f t="shared" si="0"/>
        <v>5.1684800000000006</v>
      </c>
      <c r="I54" s="40">
        <f t="shared" si="1"/>
        <v>4.5224200000000012</v>
      </c>
      <c r="J54" s="40">
        <f t="shared" si="2"/>
        <v>14.536350000000002</v>
      </c>
      <c r="K54" s="40">
        <f t="shared" si="3"/>
        <v>0.96909000000000012</v>
      </c>
      <c r="L54" s="40">
        <f t="shared" si="4"/>
        <v>0.48454500000000006</v>
      </c>
      <c r="M54" s="40">
        <f t="shared" si="5"/>
        <v>1.7766650000000002</v>
      </c>
      <c r="N54" s="40">
        <f t="shared" si="6"/>
        <v>2.1804525000000003</v>
      </c>
      <c r="O54" s="40">
        <f t="shared" si="7"/>
        <v>2.2612100000000006</v>
      </c>
      <c r="P54" s="40">
        <f t="shared" si="8"/>
        <v>31.899212500000012</v>
      </c>
      <c r="Q54" s="41">
        <f t="shared" si="9"/>
        <v>0</v>
      </c>
      <c r="R54" s="42">
        <v>5.1684800000000006</v>
      </c>
      <c r="S54" s="42">
        <v>4.5224200000000012</v>
      </c>
      <c r="T54" s="42">
        <v>14.536350000000002</v>
      </c>
      <c r="U54" s="42">
        <v>0.96909000000000012</v>
      </c>
      <c r="V54" s="42">
        <v>0.48454500000000006</v>
      </c>
      <c r="W54" s="42">
        <v>1.7766650000000002</v>
      </c>
      <c r="X54" s="42">
        <v>2.1804525000000003</v>
      </c>
      <c r="Y54" s="42">
        <v>2.2612100000000006</v>
      </c>
    </row>
    <row r="55" spans="3:25" ht="15" x14ac:dyDescent="0.2">
      <c r="C55" s="38" t="s">
        <v>122</v>
      </c>
      <c r="D55" s="38" t="s">
        <v>115</v>
      </c>
      <c r="E55" s="38" t="s">
        <v>118</v>
      </c>
      <c r="F55" s="38" t="s">
        <v>118</v>
      </c>
      <c r="G55" s="39">
        <v>0</v>
      </c>
      <c r="H55" s="40">
        <f t="shared" si="0"/>
        <v>4.3131200000000005</v>
      </c>
      <c r="I55" s="40">
        <f t="shared" si="1"/>
        <v>3.7739800000000003</v>
      </c>
      <c r="J55" s="40">
        <f t="shared" si="2"/>
        <v>12.130650000000001</v>
      </c>
      <c r="K55" s="40">
        <f t="shared" si="3"/>
        <v>0.80871000000000004</v>
      </c>
      <c r="L55" s="40">
        <f t="shared" si="4"/>
        <v>0.40435500000000002</v>
      </c>
      <c r="M55" s="40">
        <f t="shared" si="5"/>
        <v>1.4826350000000001</v>
      </c>
      <c r="N55" s="40">
        <f t="shared" si="6"/>
        <v>1.8195975</v>
      </c>
      <c r="O55" s="40">
        <f t="shared" si="7"/>
        <v>1.8869900000000002</v>
      </c>
      <c r="P55" s="40">
        <f t="shared" si="8"/>
        <v>26.620037500000006</v>
      </c>
      <c r="Q55" s="41">
        <f t="shared" si="9"/>
        <v>0</v>
      </c>
      <c r="R55" s="42">
        <v>4.3131200000000005</v>
      </c>
      <c r="S55" s="42">
        <v>3.7739800000000003</v>
      </c>
      <c r="T55" s="42">
        <v>12.130650000000001</v>
      </c>
      <c r="U55" s="42">
        <v>0.80871000000000004</v>
      </c>
      <c r="V55" s="42">
        <v>0.40435500000000002</v>
      </c>
      <c r="W55" s="42">
        <v>1.4826350000000001</v>
      </c>
      <c r="X55" s="42">
        <v>1.8195975</v>
      </c>
      <c r="Y55" s="42">
        <v>1.8869900000000002</v>
      </c>
    </row>
    <row r="56" spans="3:25" ht="15" x14ac:dyDescent="0.2">
      <c r="C56" s="38" t="s">
        <v>122</v>
      </c>
      <c r="D56" s="38" t="s">
        <v>120</v>
      </c>
      <c r="E56" s="38" t="s">
        <v>116</v>
      </c>
      <c r="F56" s="38" t="s">
        <v>116</v>
      </c>
      <c r="G56" s="39">
        <v>0</v>
      </c>
      <c r="H56" s="40">
        <f t="shared" si="0"/>
        <v>5.999200000000001</v>
      </c>
      <c r="I56" s="40">
        <f t="shared" si="1"/>
        <v>5.2493000000000007</v>
      </c>
      <c r="J56" s="40">
        <f t="shared" si="2"/>
        <v>16.872750000000003</v>
      </c>
      <c r="K56" s="40">
        <f t="shared" si="3"/>
        <v>1.1248500000000001</v>
      </c>
      <c r="L56" s="40">
        <f t="shared" si="4"/>
        <v>0.56242500000000006</v>
      </c>
      <c r="M56" s="40">
        <f t="shared" si="5"/>
        <v>2.0622250000000002</v>
      </c>
      <c r="N56" s="40">
        <f t="shared" si="6"/>
        <v>2.5309125000000003</v>
      </c>
      <c r="O56" s="40">
        <f t="shared" si="7"/>
        <v>2.6246500000000004</v>
      </c>
      <c r="P56" s="40">
        <f t="shared" si="8"/>
        <v>37.02631250000001</v>
      </c>
      <c r="Q56" s="41">
        <f t="shared" si="9"/>
        <v>0</v>
      </c>
      <c r="R56" s="42">
        <v>5.999200000000001</v>
      </c>
      <c r="S56" s="42">
        <v>5.2493000000000007</v>
      </c>
      <c r="T56" s="42">
        <v>16.872750000000003</v>
      </c>
      <c r="U56" s="42">
        <v>1.1248500000000001</v>
      </c>
      <c r="V56" s="42">
        <v>0.56242500000000006</v>
      </c>
      <c r="W56" s="42">
        <v>2.0622250000000002</v>
      </c>
      <c r="X56" s="42">
        <v>2.5309125000000003</v>
      </c>
      <c r="Y56" s="42">
        <v>2.6246500000000004</v>
      </c>
    </row>
    <row r="57" spans="3:25" ht="15" x14ac:dyDescent="0.2">
      <c r="C57" s="38" t="s">
        <v>122</v>
      </c>
      <c r="D57" s="38" t="s">
        <v>120</v>
      </c>
      <c r="E57" s="38" t="s">
        <v>116</v>
      </c>
      <c r="F57" s="38" t="s">
        <v>117</v>
      </c>
      <c r="G57" s="39">
        <v>0</v>
      </c>
      <c r="H57" s="40">
        <f t="shared" si="0"/>
        <v>4.2084800000000007</v>
      </c>
      <c r="I57" s="40">
        <f t="shared" si="1"/>
        <v>3.6824200000000009</v>
      </c>
      <c r="J57" s="40">
        <f t="shared" si="2"/>
        <v>11.836350000000003</v>
      </c>
      <c r="K57" s="40">
        <f t="shared" si="3"/>
        <v>0.78909000000000007</v>
      </c>
      <c r="L57" s="40">
        <f t="shared" si="4"/>
        <v>0.39454500000000003</v>
      </c>
      <c r="M57" s="40">
        <f t="shared" si="5"/>
        <v>1.4466650000000003</v>
      </c>
      <c r="N57" s="40">
        <f t="shared" si="6"/>
        <v>1.7754525000000003</v>
      </c>
      <c r="O57" s="40">
        <f t="shared" si="7"/>
        <v>1.8412100000000005</v>
      </c>
      <c r="P57" s="40">
        <f t="shared" si="8"/>
        <v>25.974212500000007</v>
      </c>
      <c r="Q57" s="41">
        <f t="shared" si="9"/>
        <v>0</v>
      </c>
      <c r="R57" s="42">
        <v>4.2084800000000007</v>
      </c>
      <c r="S57" s="42">
        <v>3.6824200000000009</v>
      </c>
      <c r="T57" s="42">
        <v>11.836350000000003</v>
      </c>
      <c r="U57" s="42">
        <v>0.78909000000000007</v>
      </c>
      <c r="V57" s="42">
        <v>0.39454500000000003</v>
      </c>
      <c r="W57" s="42">
        <v>1.4466650000000003</v>
      </c>
      <c r="X57" s="42">
        <v>1.7754525000000003</v>
      </c>
      <c r="Y57" s="42">
        <v>1.8412100000000005</v>
      </c>
    </row>
    <row r="58" spans="3:25" ht="15" x14ac:dyDescent="0.2">
      <c r="C58" s="38" t="s">
        <v>122</v>
      </c>
      <c r="D58" s="38" t="s">
        <v>120</v>
      </c>
      <c r="E58" s="38" t="s">
        <v>116</v>
      </c>
      <c r="F58" s="38" t="s">
        <v>118</v>
      </c>
      <c r="G58" s="39">
        <v>0</v>
      </c>
      <c r="H58" s="40">
        <f t="shared" si="0"/>
        <v>3.3531200000000001</v>
      </c>
      <c r="I58" s="40">
        <f t="shared" si="1"/>
        <v>2.9339800000000005</v>
      </c>
      <c r="J58" s="40">
        <f t="shared" si="2"/>
        <v>9.43065</v>
      </c>
      <c r="K58" s="40">
        <f t="shared" si="3"/>
        <v>0.62870999999999999</v>
      </c>
      <c r="L58" s="40">
        <f t="shared" si="4"/>
        <v>0.314355</v>
      </c>
      <c r="M58" s="40">
        <f t="shared" si="5"/>
        <v>1.1526350000000001</v>
      </c>
      <c r="N58" s="40">
        <f t="shared" si="6"/>
        <v>1.4145975</v>
      </c>
      <c r="O58" s="40">
        <f t="shared" si="7"/>
        <v>1.4669900000000002</v>
      </c>
      <c r="P58" s="40">
        <f t="shared" si="8"/>
        <v>20.695037499999998</v>
      </c>
      <c r="Q58" s="41">
        <f t="shared" si="9"/>
        <v>0</v>
      </c>
      <c r="R58" s="42">
        <v>3.3531200000000001</v>
      </c>
      <c r="S58" s="42">
        <v>2.9339800000000005</v>
      </c>
      <c r="T58" s="42">
        <v>9.43065</v>
      </c>
      <c r="U58" s="42">
        <v>0.62870999999999999</v>
      </c>
      <c r="V58" s="42">
        <v>0.314355</v>
      </c>
      <c r="W58" s="42">
        <v>1.1526350000000001</v>
      </c>
      <c r="X58" s="42">
        <v>1.4145975</v>
      </c>
      <c r="Y58" s="42">
        <v>1.4669900000000002</v>
      </c>
    </row>
    <row r="59" spans="3:25" ht="15" x14ac:dyDescent="0.2">
      <c r="C59" s="38" t="s">
        <v>122</v>
      </c>
      <c r="D59" s="38" t="s">
        <v>120</v>
      </c>
      <c r="E59" s="38" t="s">
        <v>119</v>
      </c>
      <c r="F59" s="38" t="s">
        <v>116</v>
      </c>
      <c r="G59" s="39">
        <v>0</v>
      </c>
      <c r="H59" s="40">
        <f t="shared" si="0"/>
        <v>9.6766400000000008</v>
      </c>
      <c r="I59" s="40">
        <f t="shared" si="1"/>
        <v>8.46706</v>
      </c>
      <c r="J59" s="40">
        <f t="shared" si="2"/>
        <v>27.21555</v>
      </c>
      <c r="K59" s="40">
        <f t="shared" si="3"/>
        <v>1.8143699999999998</v>
      </c>
      <c r="L59" s="40">
        <f t="shared" si="4"/>
        <v>0.90718499999999991</v>
      </c>
      <c r="M59" s="40">
        <f t="shared" si="5"/>
        <v>3.3263449999999999</v>
      </c>
      <c r="N59" s="40">
        <f t="shared" si="6"/>
        <v>4.0823324999999997</v>
      </c>
      <c r="O59" s="40">
        <f t="shared" si="7"/>
        <v>4.23353</v>
      </c>
      <c r="P59" s="40">
        <f t="shared" si="8"/>
        <v>59.723012500000003</v>
      </c>
      <c r="Q59" s="41">
        <f t="shared" si="9"/>
        <v>0</v>
      </c>
      <c r="R59" s="42">
        <v>9.6766400000000008</v>
      </c>
      <c r="S59" s="42">
        <v>8.46706</v>
      </c>
      <c r="T59" s="42">
        <v>27.21555</v>
      </c>
      <c r="U59" s="42">
        <v>1.8143699999999998</v>
      </c>
      <c r="V59" s="42">
        <v>0.90718499999999991</v>
      </c>
      <c r="W59" s="42">
        <v>3.3263449999999999</v>
      </c>
      <c r="X59" s="42">
        <v>4.0823324999999997</v>
      </c>
      <c r="Y59" s="42">
        <v>4.23353</v>
      </c>
    </row>
    <row r="60" spans="3:25" ht="15" x14ac:dyDescent="0.2">
      <c r="C60" s="38" t="s">
        <v>122</v>
      </c>
      <c r="D60" s="38" t="s">
        <v>120</v>
      </c>
      <c r="E60" s="38" t="s">
        <v>119</v>
      </c>
      <c r="F60" s="38" t="s">
        <v>117</v>
      </c>
      <c r="G60" s="39">
        <v>0</v>
      </c>
      <c r="H60" s="40">
        <f t="shared" si="0"/>
        <v>6.602879999999999</v>
      </c>
      <c r="I60" s="40">
        <f t="shared" si="1"/>
        <v>5.77752</v>
      </c>
      <c r="J60" s="40">
        <f t="shared" si="2"/>
        <v>18.570599999999999</v>
      </c>
      <c r="K60" s="40">
        <f t="shared" si="3"/>
        <v>1.2380399999999998</v>
      </c>
      <c r="L60" s="40">
        <f t="shared" si="4"/>
        <v>0.6190199999999999</v>
      </c>
      <c r="M60" s="40">
        <f t="shared" si="5"/>
        <v>2.2697399999999996</v>
      </c>
      <c r="N60" s="40">
        <f t="shared" si="6"/>
        <v>2.7855899999999996</v>
      </c>
      <c r="O60" s="40">
        <f t="shared" si="7"/>
        <v>2.88876</v>
      </c>
      <c r="P60" s="40">
        <f t="shared" si="8"/>
        <v>40.752149999999993</v>
      </c>
      <c r="Q60" s="41">
        <f t="shared" si="9"/>
        <v>0</v>
      </c>
      <c r="R60" s="42">
        <v>6.602879999999999</v>
      </c>
      <c r="S60" s="42">
        <v>5.77752</v>
      </c>
      <c r="T60" s="42">
        <v>18.570599999999999</v>
      </c>
      <c r="U60" s="42">
        <v>1.2380399999999998</v>
      </c>
      <c r="V60" s="42">
        <v>0.6190199999999999</v>
      </c>
      <c r="W60" s="42">
        <v>2.2697399999999996</v>
      </c>
      <c r="X60" s="42">
        <v>2.7855899999999996</v>
      </c>
      <c r="Y60" s="42">
        <v>2.88876</v>
      </c>
    </row>
    <row r="61" spans="3:25" ht="15" x14ac:dyDescent="0.2">
      <c r="C61" s="38" t="s">
        <v>122</v>
      </c>
      <c r="D61" s="38" t="s">
        <v>120</v>
      </c>
      <c r="E61" s="38" t="s">
        <v>119</v>
      </c>
      <c r="F61" s="38" t="s">
        <v>118</v>
      </c>
      <c r="G61" s="39">
        <v>0</v>
      </c>
      <c r="H61" s="40">
        <f t="shared" si="0"/>
        <v>5.3795200000000003</v>
      </c>
      <c r="I61" s="40">
        <f t="shared" si="1"/>
        <v>4.7070800000000004</v>
      </c>
      <c r="J61" s="40">
        <f t="shared" si="2"/>
        <v>15.129900000000001</v>
      </c>
      <c r="K61" s="40">
        <f t="shared" si="3"/>
        <v>1.0086599999999999</v>
      </c>
      <c r="L61" s="40">
        <f t="shared" si="4"/>
        <v>0.50432999999999995</v>
      </c>
      <c r="M61" s="40">
        <f t="shared" si="5"/>
        <v>1.84921</v>
      </c>
      <c r="N61" s="40">
        <f t="shared" si="6"/>
        <v>2.269485</v>
      </c>
      <c r="O61" s="40">
        <f t="shared" si="7"/>
        <v>2.3535400000000002</v>
      </c>
      <c r="P61" s="40">
        <f t="shared" si="8"/>
        <v>33.201725000000003</v>
      </c>
      <c r="Q61" s="41">
        <f t="shared" si="9"/>
        <v>0</v>
      </c>
      <c r="R61" s="42">
        <v>5.3795200000000003</v>
      </c>
      <c r="S61" s="42">
        <v>4.7070800000000004</v>
      </c>
      <c r="T61" s="42">
        <v>15.129900000000001</v>
      </c>
      <c r="U61" s="42">
        <v>1.0086599999999999</v>
      </c>
      <c r="V61" s="42">
        <v>0.50432999999999995</v>
      </c>
      <c r="W61" s="42">
        <v>1.84921</v>
      </c>
      <c r="X61" s="42">
        <v>2.269485</v>
      </c>
      <c r="Y61" s="42">
        <v>2.3535400000000002</v>
      </c>
    </row>
    <row r="62" spans="3:25" ht="15" x14ac:dyDescent="0.2">
      <c r="C62" s="38" t="s">
        <v>122</v>
      </c>
      <c r="D62" s="38" t="s">
        <v>120</v>
      </c>
      <c r="E62" s="38" t="s">
        <v>118</v>
      </c>
      <c r="F62" s="38" t="s">
        <v>116</v>
      </c>
      <c r="G62" s="39">
        <v>0</v>
      </c>
      <c r="H62" s="40">
        <f t="shared" si="0"/>
        <v>13.978080000000002</v>
      </c>
      <c r="I62" s="40">
        <f t="shared" si="1"/>
        <v>12.230820000000003</v>
      </c>
      <c r="J62" s="40">
        <f t="shared" si="2"/>
        <v>39.313350000000007</v>
      </c>
      <c r="K62" s="40">
        <f t="shared" si="3"/>
        <v>2.6208900000000002</v>
      </c>
      <c r="L62" s="40">
        <f t="shared" si="4"/>
        <v>1.3104450000000001</v>
      </c>
      <c r="M62" s="40">
        <f t="shared" si="5"/>
        <v>4.804965000000001</v>
      </c>
      <c r="N62" s="40">
        <f t="shared" si="6"/>
        <v>5.897002500000001</v>
      </c>
      <c r="O62" s="40">
        <f t="shared" si="7"/>
        <v>6.1154100000000016</v>
      </c>
      <c r="P62" s="40">
        <f t="shared" si="8"/>
        <v>86.27096250000001</v>
      </c>
      <c r="Q62" s="41">
        <f t="shared" si="9"/>
        <v>0</v>
      </c>
      <c r="R62" s="42">
        <v>13.978080000000002</v>
      </c>
      <c r="S62" s="42">
        <v>12.230820000000003</v>
      </c>
      <c r="T62" s="42">
        <v>39.313350000000007</v>
      </c>
      <c r="U62" s="42">
        <v>2.6208900000000002</v>
      </c>
      <c r="V62" s="42">
        <v>1.3104450000000001</v>
      </c>
      <c r="W62" s="42">
        <v>4.804965000000001</v>
      </c>
      <c r="X62" s="42">
        <v>5.897002500000001</v>
      </c>
      <c r="Y62" s="42">
        <v>6.1154100000000016</v>
      </c>
    </row>
    <row r="63" spans="3:25" ht="15" x14ac:dyDescent="0.2">
      <c r="C63" s="38" t="s">
        <v>122</v>
      </c>
      <c r="D63" s="38" t="s">
        <v>120</v>
      </c>
      <c r="E63" s="38" t="s">
        <v>118</v>
      </c>
      <c r="F63" s="38" t="s">
        <v>117</v>
      </c>
      <c r="G63" s="39">
        <v>0</v>
      </c>
      <c r="H63" s="40">
        <f t="shared" si="0"/>
        <v>9.8569600000000008</v>
      </c>
      <c r="I63" s="40">
        <f t="shared" si="1"/>
        <v>8.6248400000000025</v>
      </c>
      <c r="J63" s="40">
        <f t="shared" si="2"/>
        <v>27.722700000000003</v>
      </c>
      <c r="K63" s="40">
        <f t="shared" si="3"/>
        <v>1.8481800000000002</v>
      </c>
      <c r="L63" s="40">
        <f t="shared" si="4"/>
        <v>0.92409000000000008</v>
      </c>
      <c r="M63" s="40">
        <f t="shared" si="5"/>
        <v>3.3883300000000003</v>
      </c>
      <c r="N63" s="40">
        <f t="shared" si="6"/>
        <v>4.1584050000000001</v>
      </c>
      <c r="O63" s="40">
        <f t="shared" si="7"/>
        <v>4.3124200000000013</v>
      </c>
      <c r="P63" s="40">
        <f t="shared" si="8"/>
        <v>60.835925000000017</v>
      </c>
      <c r="Q63" s="41">
        <f t="shared" si="9"/>
        <v>0</v>
      </c>
      <c r="R63" s="42">
        <v>9.8569600000000008</v>
      </c>
      <c r="S63" s="42">
        <v>8.6248400000000025</v>
      </c>
      <c r="T63" s="42">
        <v>27.722700000000003</v>
      </c>
      <c r="U63" s="42">
        <v>1.8481800000000002</v>
      </c>
      <c r="V63" s="42">
        <v>0.92409000000000008</v>
      </c>
      <c r="W63" s="42">
        <v>3.3883300000000003</v>
      </c>
      <c r="X63" s="42">
        <v>4.1584050000000001</v>
      </c>
      <c r="Y63" s="42">
        <v>4.3124200000000013</v>
      </c>
    </row>
    <row r="64" spans="3:25" ht="15" x14ac:dyDescent="0.2">
      <c r="C64" s="38" t="s">
        <v>122</v>
      </c>
      <c r="D64" s="38" t="s">
        <v>120</v>
      </c>
      <c r="E64" s="38" t="s">
        <v>118</v>
      </c>
      <c r="F64" s="38" t="s">
        <v>118</v>
      </c>
      <c r="G64" s="39">
        <v>0</v>
      </c>
      <c r="H64" s="40">
        <f t="shared" si="0"/>
        <v>8.5419200000000011</v>
      </c>
      <c r="I64" s="40">
        <f t="shared" si="1"/>
        <v>7.4741800000000014</v>
      </c>
      <c r="J64" s="40">
        <f t="shared" si="2"/>
        <v>24.024150000000002</v>
      </c>
      <c r="K64" s="40">
        <f t="shared" si="3"/>
        <v>1.6016100000000002</v>
      </c>
      <c r="L64" s="40">
        <f t="shared" si="4"/>
        <v>0.8008050000000001</v>
      </c>
      <c r="M64" s="40">
        <f t="shared" si="5"/>
        <v>2.9362850000000003</v>
      </c>
      <c r="N64" s="40">
        <f t="shared" si="6"/>
        <v>3.6036225000000002</v>
      </c>
      <c r="O64" s="40">
        <f t="shared" si="7"/>
        <v>3.7370900000000007</v>
      </c>
      <c r="P64" s="40">
        <f t="shared" si="8"/>
        <v>52.719662499999998</v>
      </c>
      <c r="Q64" s="41">
        <f t="shared" si="9"/>
        <v>0</v>
      </c>
      <c r="R64" s="42">
        <v>8.5419200000000011</v>
      </c>
      <c r="S64" s="42">
        <v>7.4741800000000014</v>
      </c>
      <c r="T64" s="42">
        <v>24.024150000000002</v>
      </c>
      <c r="U64" s="42">
        <v>1.6016100000000002</v>
      </c>
      <c r="V64" s="42">
        <v>0.8008050000000001</v>
      </c>
      <c r="W64" s="42">
        <v>2.9362850000000003</v>
      </c>
      <c r="X64" s="42">
        <v>3.6036225000000002</v>
      </c>
      <c r="Y64" s="42">
        <v>3.7370900000000007</v>
      </c>
    </row>
    <row r="65" spans="3:25" ht="15" x14ac:dyDescent="0.2">
      <c r="C65" s="38" t="s">
        <v>123</v>
      </c>
      <c r="D65" s="38" t="s">
        <v>115</v>
      </c>
      <c r="E65" s="38" t="s">
        <v>116</v>
      </c>
      <c r="F65" s="38" t="s">
        <v>96</v>
      </c>
      <c r="G65" s="39">
        <v>0</v>
      </c>
      <c r="H65" s="40">
        <f t="shared" si="0"/>
        <v>7.9542399999999995</v>
      </c>
      <c r="I65" s="40">
        <f t="shared" si="1"/>
        <v>6.9599600000000006</v>
      </c>
      <c r="J65" s="40">
        <f t="shared" si="2"/>
        <v>22.371300000000002</v>
      </c>
      <c r="K65" s="40">
        <f t="shared" si="3"/>
        <v>1.49142</v>
      </c>
      <c r="L65" s="40">
        <f t="shared" si="4"/>
        <v>0.74570999999999998</v>
      </c>
      <c r="M65" s="40">
        <f t="shared" si="5"/>
        <v>2.73427</v>
      </c>
      <c r="N65" s="40">
        <f t="shared" si="6"/>
        <v>3.3556950000000003</v>
      </c>
      <c r="O65" s="40">
        <f t="shared" si="7"/>
        <v>3.4799800000000003</v>
      </c>
      <c r="P65" s="40">
        <f t="shared" si="8"/>
        <v>49.092574999999997</v>
      </c>
      <c r="Q65" s="41">
        <f t="shared" si="9"/>
        <v>0</v>
      </c>
      <c r="R65" s="42">
        <v>7.9542399999999995</v>
      </c>
      <c r="S65" s="42">
        <v>6.9599600000000006</v>
      </c>
      <c r="T65" s="42">
        <v>22.371300000000002</v>
      </c>
      <c r="U65" s="42">
        <v>1.49142</v>
      </c>
      <c r="V65" s="42">
        <v>0.74570999999999998</v>
      </c>
      <c r="W65" s="42">
        <v>2.73427</v>
      </c>
      <c r="X65" s="42">
        <v>3.3556950000000003</v>
      </c>
      <c r="Y65" s="42">
        <v>3.4799800000000003</v>
      </c>
    </row>
    <row r="66" spans="3:25" ht="15" x14ac:dyDescent="0.2">
      <c r="C66" s="38" t="s">
        <v>123</v>
      </c>
      <c r="D66" s="38" t="s">
        <v>115</v>
      </c>
      <c r="E66" s="38" t="s">
        <v>119</v>
      </c>
      <c r="F66" s="38" t="s">
        <v>96</v>
      </c>
      <c r="G66" s="39">
        <v>0</v>
      </c>
      <c r="H66" s="40">
        <f t="shared" si="0"/>
        <v>32.052639999999997</v>
      </c>
      <c r="I66" s="40">
        <f t="shared" si="1"/>
        <v>28.046060000000001</v>
      </c>
      <c r="J66" s="40">
        <f t="shared" si="2"/>
        <v>90.148049999999998</v>
      </c>
      <c r="K66" s="40">
        <f t="shared" si="3"/>
        <v>6.0098699999999994</v>
      </c>
      <c r="L66" s="40">
        <f t="shared" si="4"/>
        <v>3.0049349999999997</v>
      </c>
      <c r="M66" s="40">
        <f t="shared" si="5"/>
        <v>11.018094999999999</v>
      </c>
      <c r="N66" s="40">
        <f t="shared" si="6"/>
        <v>13.522207499999999</v>
      </c>
      <c r="O66" s="40">
        <f t="shared" si="7"/>
        <v>14.02303</v>
      </c>
      <c r="P66" s="40">
        <f t="shared" si="8"/>
        <v>197.82488749999999</v>
      </c>
      <c r="Q66" s="41">
        <f t="shared" si="9"/>
        <v>0</v>
      </c>
      <c r="R66" s="42">
        <v>32.052639999999997</v>
      </c>
      <c r="S66" s="42">
        <v>28.046060000000001</v>
      </c>
      <c r="T66" s="42">
        <v>90.148049999999998</v>
      </c>
      <c r="U66" s="42">
        <v>6.0098699999999994</v>
      </c>
      <c r="V66" s="42">
        <v>3.0049349999999997</v>
      </c>
      <c r="W66" s="42">
        <v>11.018094999999999</v>
      </c>
      <c r="X66" s="42">
        <v>13.522207499999999</v>
      </c>
      <c r="Y66" s="42">
        <v>14.02303</v>
      </c>
    </row>
    <row r="67" spans="3:25" ht="15" x14ac:dyDescent="0.2">
      <c r="C67" s="38" t="s">
        <v>123</v>
      </c>
      <c r="D67" s="38" t="s">
        <v>115</v>
      </c>
      <c r="E67" s="38" t="s">
        <v>118</v>
      </c>
      <c r="F67" s="38" t="s">
        <v>96</v>
      </c>
      <c r="G67" s="39">
        <v>0</v>
      </c>
      <c r="H67" s="40">
        <f t="shared" si="0"/>
        <v>43.400640000000003</v>
      </c>
      <c r="I67" s="40">
        <f t="shared" si="1"/>
        <v>37.975560000000009</v>
      </c>
      <c r="J67" s="40">
        <f t="shared" si="2"/>
        <v>122.06430000000002</v>
      </c>
      <c r="K67" s="40">
        <f t="shared" si="3"/>
        <v>8.1376200000000001</v>
      </c>
      <c r="L67" s="40">
        <f t="shared" si="4"/>
        <v>4.06881</v>
      </c>
      <c r="M67" s="40">
        <f t="shared" si="5"/>
        <v>14.918970000000002</v>
      </c>
      <c r="N67" s="40">
        <f t="shared" si="6"/>
        <v>18.309645000000003</v>
      </c>
      <c r="O67" s="40">
        <f t="shared" si="7"/>
        <v>18.987780000000004</v>
      </c>
      <c r="P67" s="40">
        <f t="shared" si="8"/>
        <v>267.86332500000003</v>
      </c>
      <c r="Q67" s="41">
        <f t="shared" si="9"/>
        <v>0</v>
      </c>
      <c r="R67" s="42">
        <v>43.400640000000003</v>
      </c>
      <c r="S67" s="42">
        <v>37.975560000000009</v>
      </c>
      <c r="T67" s="42">
        <v>122.06430000000002</v>
      </c>
      <c r="U67" s="42">
        <v>8.1376200000000001</v>
      </c>
      <c r="V67" s="42">
        <v>4.06881</v>
      </c>
      <c r="W67" s="42">
        <v>14.918970000000002</v>
      </c>
      <c r="X67" s="42">
        <v>18.309645000000003</v>
      </c>
      <c r="Y67" s="42">
        <v>18.987780000000004</v>
      </c>
    </row>
    <row r="68" spans="3:25" ht="15" x14ac:dyDescent="0.2">
      <c r="C68" s="38" t="s">
        <v>123</v>
      </c>
      <c r="D68" s="38" t="s">
        <v>120</v>
      </c>
      <c r="E68" s="38" t="s">
        <v>116</v>
      </c>
      <c r="F68" s="38" t="s">
        <v>96</v>
      </c>
      <c r="G68" s="39">
        <v>0</v>
      </c>
      <c r="H68" s="40">
        <f t="shared" si="0"/>
        <v>14.097439999999999</v>
      </c>
      <c r="I68" s="40">
        <f t="shared" si="1"/>
        <v>12.33526</v>
      </c>
      <c r="J68" s="40">
        <f t="shared" si="2"/>
        <v>39.649049999999995</v>
      </c>
      <c r="K68" s="40">
        <f t="shared" si="3"/>
        <v>2.6432699999999998</v>
      </c>
      <c r="L68" s="40">
        <f t="shared" si="4"/>
        <v>1.3216349999999999</v>
      </c>
      <c r="M68" s="40">
        <f t="shared" si="5"/>
        <v>4.8459949999999994</v>
      </c>
      <c r="N68" s="40">
        <f t="shared" si="6"/>
        <v>5.947357499999999</v>
      </c>
      <c r="O68" s="40">
        <f t="shared" si="7"/>
        <v>6.1676299999999999</v>
      </c>
      <c r="P68" s="40">
        <f t="shared" si="8"/>
        <v>87.007637500000001</v>
      </c>
      <c r="Q68" s="41">
        <f t="shared" si="9"/>
        <v>0</v>
      </c>
      <c r="R68" s="42">
        <v>14.097439999999999</v>
      </c>
      <c r="S68" s="42">
        <v>12.33526</v>
      </c>
      <c r="T68" s="42">
        <v>39.649049999999995</v>
      </c>
      <c r="U68" s="42">
        <v>2.6432699999999998</v>
      </c>
      <c r="V68" s="42">
        <v>1.3216349999999999</v>
      </c>
      <c r="W68" s="42">
        <v>4.8459949999999994</v>
      </c>
      <c r="X68" s="42">
        <v>5.947357499999999</v>
      </c>
      <c r="Y68" s="42">
        <v>6.1676299999999999</v>
      </c>
    </row>
    <row r="69" spans="3:25" ht="15" x14ac:dyDescent="0.2">
      <c r="C69" s="38" t="s">
        <v>123</v>
      </c>
      <c r="D69" s="38" t="s">
        <v>120</v>
      </c>
      <c r="E69" s="38" t="s">
        <v>119</v>
      </c>
      <c r="F69" s="38" t="s">
        <v>96</v>
      </c>
      <c r="G69" s="39">
        <v>0</v>
      </c>
      <c r="H69" s="40">
        <f t="shared" si="0"/>
        <v>25.269439999999996</v>
      </c>
      <c r="I69" s="40">
        <f t="shared" si="1"/>
        <v>22.110759999999999</v>
      </c>
      <c r="J69" s="40">
        <f t="shared" si="2"/>
        <v>71.070299999999989</v>
      </c>
      <c r="K69" s="40">
        <f t="shared" si="3"/>
        <v>4.7380199999999988</v>
      </c>
      <c r="L69" s="40">
        <f t="shared" si="4"/>
        <v>2.3690099999999994</v>
      </c>
      <c r="M69" s="40">
        <f t="shared" si="5"/>
        <v>8.6863699999999984</v>
      </c>
      <c r="N69" s="40">
        <f t="shared" si="6"/>
        <v>10.660544999999997</v>
      </c>
      <c r="O69" s="40">
        <f t="shared" si="7"/>
        <v>11.05538</v>
      </c>
      <c r="P69" s="40">
        <f t="shared" si="8"/>
        <v>155.95982499999997</v>
      </c>
      <c r="Q69" s="41">
        <f t="shared" si="9"/>
        <v>0</v>
      </c>
      <c r="R69" s="42">
        <v>25.269439999999996</v>
      </c>
      <c r="S69" s="42">
        <v>22.110759999999999</v>
      </c>
      <c r="T69" s="42">
        <v>71.070299999999989</v>
      </c>
      <c r="U69" s="42">
        <v>4.7380199999999988</v>
      </c>
      <c r="V69" s="42">
        <v>2.3690099999999994</v>
      </c>
      <c r="W69" s="42">
        <v>8.6863699999999984</v>
      </c>
      <c r="X69" s="42">
        <v>10.660544999999997</v>
      </c>
      <c r="Y69" s="42">
        <v>11.05538</v>
      </c>
    </row>
    <row r="70" spans="3:25" ht="15" x14ac:dyDescent="0.2">
      <c r="C70" s="38" t="s">
        <v>123</v>
      </c>
      <c r="D70" s="38" t="s">
        <v>120</v>
      </c>
      <c r="E70" s="38" t="s">
        <v>118</v>
      </c>
      <c r="F70" s="38" t="s">
        <v>96</v>
      </c>
      <c r="G70" s="39">
        <v>0</v>
      </c>
      <c r="H70" s="40">
        <f t="shared" si="0"/>
        <v>36.63344</v>
      </c>
      <c r="I70" s="40">
        <f t="shared" si="1"/>
        <v>32.054260000000006</v>
      </c>
      <c r="J70" s="40">
        <f t="shared" si="2"/>
        <v>103.03155000000001</v>
      </c>
      <c r="K70" s="40">
        <f t="shared" si="3"/>
        <v>6.8687699999999996</v>
      </c>
      <c r="L70" s="40">
        <f t="shared" si="4"/>
        <v>3.4343849999999998</v>
      </c>
      <c r="M70" s="40">
        <f t="shared" si="5"/>
        <v>12.592745000000001</v>
      </c>
      <c r="N70" s="40">
        <f t="shared" si="6"/>
        <v>15.4547325</v>
      </c>
      <c r="O70" s="40">
        <f t="shared" si="7"/>
        <v>16.027130000000003</v>
      </c>
      <c r="P70" s="40">
        <f t="shared" si="8"/>
        <v>226.09701250000003</v>
      </c>
      <c r="Q70" s="41">
        <f t="shared" si="9"/>
        <v>0</v>
      </c>
      <c r="R70" s="42">
        <v>36.63344</v>
      </c>
      <c r="S70" s="42">
        <v>32.054260000000006</v>
      </c>
      <c r="T70" s="42">
        <v>103.03155000000001</v>
      </c>
      <c r="U70" s="42">
        <v>6.8687699999999996</v>
      </c>
      <c r="V70" s="42">
        <v>3.4343849999999998</v>
      </c>
      <c r="W70" s="42">
        <v>12.592745000000001</v>
      </c>
      <c r="X70" s="42">
        <v>15.4547325</v>
      </c>
      <c r="Y70" s="42">
        <v>16.027130000000003</v>
      </c>
    </row>
    <row r="71" spans="3:25" ht="15" x14ac:dyDescent="0.2">
      <c r="C71" s="38" t="s">
        <v>124</v>
      </c>
      <c r="D71" s="38" t="s">
        <v>115</v>
      </c>
      <c r="E71" s="38" t="s">
        <v>116</v>
      </c>
      <c r="F71" s="38" t="s">
        <v>96</v>
      </c>
      <c r="G71" s="39">
        <v>0</v>
      </c>
      <c r="H71" s="40">
        <f t="shared" si="0"/>
        <v>8.8255999999999997</v>
      </c>
      <c r="I71" s="40">
        <f t="shared" si="1"/>
        <v>7.7224000000000004</v>
      </c>
      <c r="J71" s="40">
        <f t="shared" si="2"/>
        <v>24.821999999999999</v>
      </c>
      <c r="K71" s="40">
        <f t="shared" si="3"/>
        <v>1.6547999999999998</v>
      </c>
      <c r="L71" s="40">
        <f t="shared" si="4"/>
        <v>0.82739999999999991</v>
      </c>
      <c r="M71" s="40">
        <f t="shared" si="5"/>
        <v>3.0337999999999998</v>
      </c>
      <c r="N71" s="40">
        <f t="shared" si="6"/>
        <v>3.7232999999999996</v>
      </c>
      <c r="O71" s="40">
        <f t="shared" si="7"/>
        <v>3.8612000000000002</v>
      </c>
      <c r="P71" s="40">
        <f t="shared" si="8"/>
        <v>54.470500000000001</v>
      </c>
      <c r="Q71" s="41">
        <f t="shared" si="9"/>
        <v>0</v>
      </c>
      <c r="R71" s="42">
        <v>8.8255999999999997</v>
      </c>
      <c r="S71" s="42">
        <v>7.7224000000000004</v>
      </c>
      <c r="T71" s="42">
        <v>24.821999999999999</v>
      </c>
      <c r="U71" s="42">
        <v>1.6547999999999998</v>
      </c>
      <c r="V71" s="42">
        <v>0.82739999999999991</v>
      </c>
      <c r="W71" s="42">
        <v>3.0337999999999998</v>
      </c>
      <c r="X71" s="42">
        <v>3.7232999999999996</v>
      </c>
      <c r="Y71" s="42">
        <v>3.8612000000000002</v>
      </c>
    </row>
    <row r="72" spans="3:25" ht="15" x14ac:dyDescent="0.2">
      <c r="C72" s="38" t="s">
        <v>124</v>
      </c>
      <c r="D72" s="38" t="s">
        <v>115</v>
      </c>
      <c r="E72" s="38" t="s">
        <v>119</v>
      </c>
      <c r="F72" s="38" t="s">
        <v>96</v>
      </c>
      <c r="G72" s="39">
        <v>0</v>
      </c>
      <c r="H72" s="40">
        <f t="shared" si="0"/>
        <v>33.067999999999998</v>
      </c>
      <c r="I72" s="40">
        <f t="shared" si="1"/>
        <v>28.9345</v>
      </c>
      <c r="J72" s="40">
        <f t="shared" si="2"/>
        <v>93.003749999999997</v>
      </c>
      <c r="K72" s="40">
        <f t="shared" si="3"/>
        <v>6.2002499999999996</v>
      </c>
      <c r="L72" s="40">
        <f t="shared" si="4"/>
        <v>3.1001249999999998</v>
      </c>
      <c r="M72" s="40">
        <f t="shared" si="5"/>
        <v>11.367125</v>
      </c>
      <c r="N72" s="40">
        <f t="shared" si="6"/>
        <v>13.950562499999998</v>
      </c>
      <c r="O72" s="40">
        <f t="shared" si="7"/>
        <v>14.46725</v>
      </c>
      <c r="P72" s="40">
        <f t="shared" si="8"/>
        <v>204.09156249999998</v>
      </c>
      <c r="Q72" s="41">
        <f t="shared" si="9"/>
        <v>0</v>
      </c>
      <c r="R72" s="42">
        <v>33.067999999999998</v>
      </c>
      <c r="S72" s="42">
        <v>28.9345</v>
      </c>
      <c r="T72" s="42">
        <v>93.003749999999997</v>
      </c>
      <c r="U72" s="42">
        <v>6.2002499999999996</v>
      </c>
      <c r="V72" s="42">
        <v>3.1001249999999998</v>
      </c>
      <c r="W72" s="42">
        <v>11.367125</v>
      </c>
      <c r="X72" s="42">
        <v>13.950562499999998</v>
      </c>
      <c r="Y72" s="42">
        <v>14.46725</v>
      </c>
    </row>
    <row r="73" spans="3:25" ht="15" x14ac:dyDescent="0.2">
      <c r="C73" s="38" t="s">
        <v>124</v>
      </c>
      <c r="D73" s="38" t="s">
        <v>115</v>
      </c>
      <c r="E73" s="38" t="s">
        <v>118</v>
      </c>
      <c r="F73" s="38" t="s">
        <v>96</v>
      </c>
      <c r="G73" s="39">
        <v>0</v>
      </c>
      <c r="H73" s="40">
        <f t="shared" si="0"/>
        <v>44.272000000000006</v>
      </c>
      <c r="I73" s="40">
        <f t="shared" si="1"/>
        <v>38.738000000000007</v>
      </c>
      <c r="J73" s="40">
        <f t="shared" si="2"/>
        <v>124.51500000000003</v>
      </c>
      <c r="K73" s="40">
        <f t="shared" si="3"/>
        <v>8.3010000000000019</v>
      </c>
      <c r="L73" s="40">
        <f t="shared" si="4"/>
        <v>4.150500000000001</v>
      </c>
      <c r="M73" s="40">
        <f t="shared" si="5"/>
        <v>15.218500000000002</v>
      </c>
      <c r="N73" s="40">
        <f t="shared" si="6"/>
        <v>18.677250000000004</v>
      </c>
      <c r="O73" s="40">
        <f t="shared" si="7"/>
        <v>19.369000000000003</v>
      </c>
      <c r="P73" s="40">
        <f t="shared" si="8"/>
        <v>273.24125000000004</v>
      </c>
      <c r="Q73" s="41">
        <f t="shared" si="9"/>
        <v>0</v>
      </c>
      <c r="R73" s="42">
        <v>44.272000000000006</v>
      </c>
      <c r="S73" s="42">
        <v>38.738000000000007</v>
      </c>
      <c r="T73" s="42">
        <v>124.51500000000003</v>
      </c>
      <c r="U73" s="42">
        <v>8.3010000000000019</v>
      </c>
      <c r="V73" s="42">
        <v>4.150500000000001</v>
      </c>
      <c r="W73" s="42">
        <v>15.218500000000002</v>
      </c>
      <c r="X73" s="42">
        <v>18.677250000000004</v>
      </c>
      <c r="Y73" s="42">
        <v>19.369000000000003</v>
      </c>
    </row>
    <row r="74" spans="3:25" ht="15" x14ac:dyDescent="0.2">
      <c r="C74" s="38" t="s">
        <v>124</v>
      </c>
      <c r="D74" s="38" t="s">
        <v>120</v>
      </c>
      <c r="E74" s="38" t="s">
        <v>116</v>
      </c>
      <c r="F74" s="38" t="s">
        <v>96</v>
      </c>
      <c r="G74" s="39">
        <v>0</v>
      </c>
      <c r="H74" s="40">
        <f t="shared" si="0"/>
        <v>16.144159999999999</v>
      </c>
      <c r="I74" s="40">
        <f t="shared" si="1"/>
        <v>14.126140000000001</v>
      </c>
      <c r="J74" s="40">
        <f t="shared" si="2"/>
        <v>45.405450000000002</v>
      </c>
      <c r="K74" s="40">
        <f t="shared" si="3"/>
        <v>3.0270299999999999</v>
      </c>
      <c r="L74" s="40">
        <f t="shared" si="4"/>
        <v>1.5135149999999999</v>
      </c>
      <c r="M74" s="40">
        <f t="shared" si="5"/>
        <v>5.5495549999999998</v>
      </c>
      <c r="N74" s="40">
        <f t="shared" si="6"/>
        <v>6.8108174999999997</v>
      </c>
      <c r="O74" s="40">
        <f t="shared" si="7"/>
        <v>7.0630700000000006</v>
      </c>
      <c r="P74" s="40">
        <f t="shared" si="8"/>
        <v>99.639737499999981</v>
      </c>
      <c r="Q74" s="41">
        <f t="shared" si="9"/>
        <v>0</v>
      </c>
      <c r="R74" s="42">
        <v>16.144159999999999</v>
      </c>
      <c r="S74" s="42">
        <v>14.126140000000001</v>
      </c>
      <c r="T74" s="42">
        <v>45.405450000000002</v>
      </c>
      <c r="U74" s="42">
        <v>3.0270299999999999</v>
      </c>
      <c r="V74" s="42">
        <v>1.5135149999999999</v>
      </c>
      <c r="W74" s="42">
        <v>5.5495549999999998</v>
      </c>
      <c r="X74" s="42">
        <v>6.8108174999999997</v>
      </c>
      <c r="Y74" s="42">
        <v>7.0630700000000006</v>
      </c>
    </row>
    <row r="75" spans="3:25" ht="15" x14ac:dyDescent="0.2">
      <c r="C75" s="38" t="s">
        <v>124</v>
      </c>
      <c r="D75" s="38" t="s">
        <v>120</v>
      </c>
      <c r="E75" s="38" t="s">
        <v>119</v>
      </c>
      <c r="F75" s="38" t="s">
        <v>96</v>
      </c>
      <c r="G75" s="39">
        <v>0</v>
      </c>
      <c r="H75" s="40">
        <f t="shared" si="0"/>
        <v>26.936480000000007</v>
      </c>
      <c r="I75" s="40">
        <f t="shared" si="1"/>
        <v>23.569420000000008</v>
      </c>
      <c r="J75" s="40">
        <f t="shared" si="2"/>
        <v>75.758850000000024</v>
      </c>
      <c r="K75" s="40">
        <f t="shared" si="3"/>
        <v>5.0505900000000006</v>
      </c>
      <c r="L75" s="40">
        <f t="shared" si="4"/>
        <v>2.5252950000000003</v>
      </c>
      <c r="M75" s="40">
        <f t="shared" si="5"/>
        <v>9.2594150000000024</v>
      </c>
      <c r="N75" s="40">
        <f t="shared" si="6"/>
        <v>11.363827500000003</v>
      </c>
      <c r="O75" s="40">
        <f t="shared" si="7"/>
        <v>11.784710000000004</v>
      </c>
      <c r="P75" s="40">
        <f t="shared" si="8"/>
        <v>166.24858750000004</v>
      </c>
      <c r="Q75" s="41">
        <f t="shared" si="9"/>
        <v>0</v>
      </c>
      <c r="R75" s="42">
        <v>26.936480000000007</v>
      </c>
      <c r="S75" s="42">
        <v>23.569420000000008</v>
      </c>
      <c r="T75" s="42">
        <v>75.758850000000024</v>
      </c>
      <c r="U75" s="42">
        <v>5.0505900000000006</v>
      </c>
      <c r="V75" s="42">
        <v>2.5252950000000003</v>
      </c>
      <c r="W75" s="42">
        <v>9.2594150000000024</v>
      </c>
      <c r="X75" s="42">
        <v>11.363827500000003</v>
      </c>
      <c r="Y75" s="42">
        <v>11.784710000000004</v>
      </c>
    </row>
    <row r="76" spans="3:25" ht="15" x14ac:dyDescent="0.2">
      <c r="C76" s="38" t="s">
        <v>124</v>
      </c>
      <c r="D76" s="38" t="s">
        <v>120</v>
      </c>
      <c r="E76" s="38" t="s">
        <v>118</v>
      </c>
      <c r="F76" s="38" t="s">
        <v>96</v>
      </c>
      <c r="G76" s="39">
        <v>0</v>
      </c>
      <c r="H76" s="40">
        <f t="shared" ref="H76:H139" si="10">IF($H$10="s",R76,0)</f>
        <v>38.284480000000002</v>
      </c>
      <c r="I76" s="40">
        <f t="shared" ref="I76:I139" si="11">IF($I$10="s",S76,0)</f>
        <v>33.498920000000005</v>
      </c>
      <c r="J76" s="40">
        <f t="shared" ref="J76:J139" si="12">IF($J$10="s",T76,0)</f>
        <v>107.6751</v>
      </c>
      <c r="K76" s="40">
        <f t="shared" ref="K76:K139" si="13">IF($K$10="s",U76,0)</f>
        <v>7.1783399999999995</v>
      </c>
      <c r="L76" s="40">
        <f t="shared" ref="L76:L139" si="14">IF($L$10="s",V76,0)</f>
        <v>3.5891699999999997</v>
      </c>
      <c r="M76" s="40">
        <f t="shared" ref="M76:M139" si="15">IF($M$10="s",W76,0)</f>
        <v>13.16029</v>
      </c>
      <c r="N76" s="40">
        <f t="shared" ref="N76:N139" si="16">IF($N$10="s",X76,0)</f>
        <v>16.151264999999999</v>
      </c>
      <c r="O76" s="40">
        <f t="shared" ref="O76:O139" si="17">IF($O$10="s",Y76,0)</f>
        <v>16.749460000000003</v>
      </c>
      <c r="P76" s="40">
        <f t="shared" ref="P76:P139" si="18">SUM(H76:O76)</f>
        <v>236.287025</v>
      </c>
      <c r="Q76" s="41">
        <f t="shared" ref="Q76:Q139" si="19">P76*G76</f>
        <v>0</v>
      </c>
      <c r="R76" s="42">
        <v>38.284480000000002</v>
      </c>
      <c r="S76" s="42">
        <v>33.498920000000005</v>
      </c>
      <c r="T76" s="42">
        <v>107.6751</v>
      </c>
      <c r="U76" s="42">
        <v>7.1783399999999995</v>
      </c>
      <c r="V76" s="42">
        <v>3.5891699999999997</v>
      </c>
      <c r="W76" s="42">
        <v>13.16029</v>
      </c>
      <c r="X76" s="42">
        <v>16.151264999999999</v>
      </c>
      <c r="Y76" s="42">
        <v>16.749460000000003</v>
      </c>
    </row>
    <row r="77" spans="3:25" ht="15" x14ac:dyDescent="0.2">
      <c r="C77" s="38" t="s">
        <v>125</v>
      </c>
      <c r="D77" s="38" t="s">
        <v>115</v>
      </c>
      <c r="E77" s="38" t="s">
        <v>116</v>
      </c>
      <c r="F77" s="38" t="s">
        <v>96</v>
      </c>
      <c r="G77" s="39">
        <v>0</v>
      </c>
      <c r="H77" s="40">
        <f t="shared" si="10"/>
        <v>2.7537599999999998</v>
      </c>
      <c r="I77" s="40">
        <f t="shared" si="11"/>
        <v>2.4095400000000002</v>
      </c>
      <c r="J77" s="40">
        <f t="shared" si="12"/>
        <v>7.7449499999999993</v>
      </c>
      <c r="K77" s="40">
        <f t="shared" si="13"/>
        <v>0.51632999999999996</v>
      </c>
      <c r="L77" s="40">
        <f t="shared" si="14"/>
        <v>0.25816499999999998</v>
      </c>
      <c r="M77" s="40">
        <f t="shared" si="15"/>
        <v>0.94660499999999992</v>
      </c>
      <c r="N77" s="40">
        <f t="shared" si="16"/>
        <v>1.1617424999999999</v>
      </c>
      <c r="O77" s="40">
        <f t="shared" si="17"/>
        <v>1.2047700000000001</v>
      </c>
      <c r="P77" s="40">
        <f t="shared" si="18"/>
        <v>16.995862499999998</v>
      </c>
      <c r="Q77" s="41">
        <f t="shared" si="19"/>
        <v>0</v>
      </c>
      <c r="R77" s="42">
        <v>2.7537599999999998</v>
      </c>
      <c r="S77" s="42">
        <v>2.4095400000000002</v>
      </c>
      <c r="T77" s="42">
        <v>7.7449499999999993</v>
      </c>
      <c r="U77" s="42">
        <v>0.51632999999999996</v>
      </c>
      <c r="V77" s="42">
        <v>0.25816499999999998</v>
      </c>
      <c r="W77" s="42">
        <v>0.94660499999999992</v>
      </c>
      <c r="X77" s="42">
        <v>1.1617424999999999</v>
      </c>
      <c r="Y77" s="42">
        <v>1.2047700000000001</v>
      </c>
    </row>
    <row r="78" spans="3:25" ht="15" x14ac:dyDescent="0.2">
      <c r="C78" s="38" t="s">
        <v>125</v>
      </c>
      <c r="D78" s="38" t="s">
        <v>115</v>
      </c>
      <c r="E78" s="38" t="s">
        <v>119</v>
      </c>
      <c r="F78" s="38" t="s">
        <v>96</v>
      </c>
      <c r="G78" s="39">
        <v>0</v>
      </c>
      <c r="H78" s="40">
        <f t="shared" si="10"/>
        <v>3.9771199999999998</v>
      </c>
      <c r="I78" s="40">
        <f t="shared" si="11"/>
        <v>3.4799800000000003</v>
      </c>
      <c r="J78" s="40">
        <f t="shared" si="12"/>
        <v>11.185650000000001</v>
      </c>
      <c r="K78" s="40">
        <f t="shared" si="13"/>
        <v>0.74570999999999998</v>
      </c>
      <c r="L78" s="40">
        <f t="shared" si="14"/>
        <v>0.37285499999999999</v>
      </c>
      <c r="M78" s="40">
        <f t="shared" si="15"/>
        <v>1.367135</v>
      </c>
      <c r="N78" s="40">
        <f t="shared" si="16"/>
        <v>1.6778475000000002</v>
      </c>
      <c r="O78" s="40">
        <f t="shared" si="17"/>
        <v>1.7399900000000001</v>
      </c>
      <c r="P78" s="40">
        <f t="shared" si="18"/>
        <v>24.546287499999998</v>
      </c>
      <c r="Q78" s="41">
        <f t="shared" si="19"/>
        <v>0</v>
      </c>
      <c r="R78" s="42">
        <v>3.9771199999999998</v>
      </c>
      <c r="S78" s="42">
        <v>3.4799800000000003</v>
      </c>
      <c r="T78" s="42">
        <v>11.185650000000001</v>
      </c>
      <c r="U78" s="42">
        <v>0.74570999999999998</v>
      </c>
      <c r="V78" s="42">
        <v>0.37285499999999999</v>
      </c>
      <c r="W78" s="42">
        <v>1.367135</v>
      </c>
      <c r="X78" s="42">
        <v>1.6778475000000002</v>
      </c>
      <c r="Y78" s="42">
        <v>1.7399900000000001</v>
      </c>
    </row>
    <row r="79" spans="3:25" ht="15" x14ac:dyDescent="0.2">
      <c r="C79" s="38" t="s">
        <v>125</v>
      </c>
      <c r="D79" s="38" t="s">
        <v>115</v>
      </c>
      <c r="E79" s="38" t="s">
        <v>118</v>
      </c>
      <c r="F79" s="38" t="s">
        <v>96</v>
      </c>
      <c r="G79" s="39">
        <v>0</v>
      </c>
      <c r="H79" s="40">
        <f t="shared" si="10"/>
        <v>5.6281600000000003</v>
      </c>
      <c r="I79" s="40">
        <f t="shared" si="11"/>
        <v>4.924640000000001</v>
      </c>
      <c r="J79" s="40">
        <f t="shared" si="12"/>
        <v>15.829200000000002</v>
      </c>
      <c r="K79" s="40">
        <f t="shared" si="13"/>
        <v>1.05528</v>
      </c>
      <c r="L79" s="40">
        <f t="shared" si="14"/>
        <v>0.52764</v>
      </c>
      <c r="M79" s="40">
        <f t="shared" si="15"/>
        <v>1.9346800000000002</v>
      </c>
      <c r="N79" s="40">
        <f t="shared" si="16"/>
        <v>2.3743800000000004</v>
      </c>
      <c r="O79" s="40">
        <f t="shared" si="17"/>
        <v>2.4623200000000005</v>
      </c>
      <c r="P79" s="40">
        <f t="shared" si="18"/>
        <v>34.736300000000007</v>
      </c>
      <c r="Q79" s="41">
        <f t="shared" si="19"/>
        <v>0</v>
      </c>
      <c r="R79" s="42">
        <v>5.6281600000000003</v>
      </c>
      <c r="S79" s="42">
        <v>4.924640000000001</v>
      </c>
      <c r="T79" s="42">
        <v>15.829200000000002</v>
      </c>
      <c r="U79" s="42">
        <v>1.05528</v>
      </c>
      <c r="V79" s="42">
        <v>0.52764</v>
      </c>
      <c r="W79" s="42">
        <v>1.9346800000000002</v>
      </c>
      <c r="X79" s="42">
        <v>2.3743800000000004</v>
      </c>
      <c r="Y79" s="42">
        <v>2.4623200000000005</v>
      </c>
    </row>
    <row r="80" spans="3:25" ht="15" x14ac:dyDescent="0.2">
      <c r="C80" s="38" t="s">
        <v>125</v>
      </c>
      <c r="D80" s="38" t="s">
        <v>120</v>
      </c>
      <c r="E80" s="38" t="s">
        <v>116</v>
      </c>
      <c r="F80" s="38" t="s">
        <v>96</v>
      </c>
      <c r="G80" s="39">
        <v>0</v>
      </c>
      <c r="H80" s="40">
        <f t="shared" si="10"/>
        <v>5.2718400000000001</v>
      </c>
      <c r="I80" s="40">
        <f t="shared" si="11"/>
        <v>4.6128600000000004</v>
      </c>
      <c r="J80" s="40">
        <f t="shared" si="12"/>
        <v>14.82705</v>
      </c>
      <c r="K80" s="40">
        <f t="shared" si="13"/>
        <v>0.98846999999999996</v>
      </c>
      <c r="L80" s="40">
        <f t="shared" si="14"/>
        <v>0.49423499999999998</v>
      </c>
      <c r="M80" s="40">
        <f t="shared" si="15"/>
        <v>1.812195</v>
      </c>
      <c r="N80" s="40">
        <f t="shared" si="16"/>
        <v>2.2240574999999998</v>
      </c>
      <c r="O80" s="40">
        <f t="shared" si="17"/>
        <v>2.3064300000000002</v>
      </c>
      <c r="P80" s="40">
        <f t="shared" si="18"/>
        <v>32.5371375</v>
      </c>
      <c r="Q80" s="41">
        <f t="shared" si="19"/>
        <v>0</v>
      </c>
      <c r="R80" s="42">
        <v>5.2718400000000001</v>
      </c>
      <c r="S80" s="42">
        <v>4.6128600000000004</v>
      </c>
      <c r="T80" s="42">
        <v>14.82705</v>
      </c>
      <c r="U80" s="42">
        <v>0.98846999999999996</v>
      </c>
      <c r="V80" s="42">
        <v>0.49423499999999998</v>
      </c>
      <c r="W80" s="42">
        <v>1.812195</v>
      </c>
      <c r="X80" s="42">
        <v>2.2240574999999998</v>
      </c>
      <c r="Y80" s="42">
        <v>2.3064300000000002</v>
      </c>
    </row>
    <row r="81" spans="3:25" ht="15" x14ac:dyDescent="0.2">
      <c r="C81" s="38" t="s">
        <v>125</v>
      </c>
      <c r="D81" s="38" t="s">
        <v>120</v>
      </c>
      <c r="E81" s="38" t="s">
        <v>119</v>
      </c>
      <c r="F81" s="38" t="s">
        <v>96</v>
      </c>
      <c r="G81" s="39">
        <v>0</v>
      </c>
      <c r="H81" s="40">
        <f t="shared" si="10"/>
        <v>7.5819200000000011</v>
      </c>
      <c r="I81" s="40">
        <f t="shared" si="11"/>
        <v>6.6341800000000015</v>
      </c>
      <c r="J81" s="40">
        <f t="shared" si="12"/>
        <v>21.324150000000003</v>
      </c>
      <c r="K81" s="40">
        <f t="shared" si="13"/>
        <v>1.4216100000000003</v>
      </c>
      <c r="L81" s="40">
        <f t="shared" si="14"/>
        <v>0.71080500000000013</v>
      </c>
      <c r="M81" s="40">
        <f t="shared" si="15"/>
        <v>2.6062850000000006</v>
      </c>
      <c r="N81" s="40">
        <f t="shared" si="16"/>
        <v>3.1986225000000004</v>
      </c>
      <c r="O81" s="40">
        <f t="shared" si="17"/>
        <v>3.3170900000000008</v>
      </c>
      <c r="P81" s="40">
        <f t="shared" si="18"/>
        <v>46.794662500000008</v>
      </c>
      <c r="Q81" s="41">
        <f t="shared" si="19"/>
        <v>0</v>
      </c>
      <c r="R81" s="42">
        <v>7.5819200000000011</v>
      </c>
      <c r="S81" s="42">
        <v>6.6341800000000015</v>
      </c>
      <c r="T81" s="42">
        <v>21.324150000000003</v>
      </c>
      <c r="U81" s="42">
        <v>1.4216100000000003</v>
      </c>
      <c r="V81" s="42">
        <v>0.71080500000000013</v>
      </c>
      <c r="W81" s="42">
        <v>2.6062850000000006</v>
      </c>
      <c r="X81" s="42">
        <v>3.1986225000000004</v>
      </c>
      <c r="Y81" s="42">
        <v>3.3170900000000008</v>
      </c>
    </row>
    <row r="82" spans="3:25" ht="15" x14ac:dyDescent="0.2">
      <c r="C82" s="38" t="s">
        <v>125</v>
      </c>
      <c r="D82" s="38" t="s">
        <v>120</v>
      </c>
      <c r="E82" s="38" t="s">
        <v>118</v>
      </c>
      <c r="F82" s="38" t="s">
        <v>96</v>
      </c>
      <c r="G82" s="39">
        <v>0</v>
      </c>
      <c r="H82" s="40">
        <f t="shared" si="10"/>
        <v>11.364000000000001</v>
      </c>
      <c r="I82" s="40">
        <f t="shared" si="11"/>
        <v>9.943500000000002</v>
      </c>
      <c r="J82" s="40">
        <f t="shared" si="12"/>
        <v>31.961250000000003</v>
      </c>
      <c r="K82" s="40">
        <f t="shared" si="13"/>
        <v>2.1307499999999999</v>
      </c>
      <c r="L82" s="40">
        <f t="shared" si="14"/>
        <v>1.065375</v>
      </c>
      <c r="M82" s="40">
        <f t="shared" si="15"/>
        <v>3.9063750000000002</v>
      </c>
      <c r="N82" s="40">
        <f t="shared" si="16"/>
        <v>4.7941875000000005</v>
      </c>
      <c r="O82" s="40">
        <f t="shared" si="17"/>
        <v>4.971750000000001</v>
      </c>
      <c r="P82" s="40">
        <f t="shared" si="18"/>
        <v>70.13718750000001</v>
      </c>
      <c r="Q82" s="41">
        <f t="shared" si="19"/>
        <v>0</v>
      </c>
      <c r="R82" s="42">
        <v>11.364000000000001</v>
      </c>
      <c r="S82" s="42">
        <v>9.943500000000002</v>
      </c>
      <c r="T82" s="42">
        <v>31.961250000000003</v>
      </c>
      <c r="U82" s="42">
        <v>2.1307499999999999</v>
      </c>
      <c r="V82" s="42">
        <v>1.065375</v>
      </c>
      <c r="W82" s="42">
        <v>3.9063750000000002</v>
      </c>
      <c r="X82" s="42">
        <v>4.7941875000000005</v>
      </c>
      <c r="Y82" s="42">
        <v>4.971750000000001</v>
      </c>
    </row>
    <row r="83" spans="3:25" ht="15" x14ac:dyDescent="0.2">
      <c r="C83" s="38" t="s">
        <v>126</v>
      </c>
      <c r="D83" s="38" t="s">
        <v>115</v>
      </c>
      <c r="E83" s="38" t="s">
        <v>116</v>
      </c>
      <c r="F83" s="38" t="s">
        <v>96</v>
      </c>
      <c r="G83" s="39">
        <v>0</v>
      </c>
      <c r="H83" s="40">
        <f t="shared" si="10"/>
        <v>3.07376</v>
      </c>
      <c r="I83" s="40">
        <f t="shared" si="11"/>
        <v>2.68954</v>
      </c>
      <c r="J83" s="40">
        <f t="shared" si="12"/>
        <v>8.6449499999999997</v>
      </c>
      <c r="K83" s="40">
        <f t="shared" si="13"/>
        <v>0.5763299999999999</v>
      </c>
      <c r="L83" s="40">
        <f t="shared" si="14"/>
        <v>0.28816499999999995</v>
      </c>
      <c r="M83" s="40">
        <f t="shared" si="15"/>
        <v>1.056605</v>
      </c>
      <c r="N83" s="40">
        <f t="shared" si="16"/>
        <v>1.2967424999999999</v>
      </c>
      <c r="O83" s="40">
        <f t="shared" si="17"/>
        <v>1.34477</v>
      </c>
      <c r="P83" s="40">
        <f t="shared" si="18"/>
        <v>18.970862499999999</v>
      </c>
      <c r="Q83" s="41">
        <f t="shared" si="19"/>
        <v>0</v>
      </c>
      <c r="R83" s="42">
        <v>3.07376</v>
      </c>
      <c r="S83" s="42">
        <v>2.68954</v>
      </c>
      <c r="T83" s="42">
        <v>8.6449499999999997</v>
      </c>
      <c r="U83" s="42">
        <v>0.5763299999999999</v>
      </c>
      <c r="V83" s="42">
        <v>0.28816499999999995</v>
      </c>
      <c r="W83" s="42">
        <v>1.056605</v>
      </c>
      <c r="X83" s="42">
        <v>1.2967424999999999</v>
      </c>
      <c r="Y83" s="42">
        <v>1.34477</v>
      </c>
    </row>
    <row r="84" spans="3:25" ht="15" x14ac:dyDescent="0.2">
      <c r="C84" s="38" t="s">
        <v>126</v>
      </c>
      <c r="D84" s="38" t="s">
        <v>115</v>
      </c>
      <c r="E84" s="38" t="s">
        <v>119</v>
      </c>
      <c r="F84" s="38" t="s">
        <v>96</v>
      </c>
      <c r="G84" s="39">
        <v>0</v>
      </c>
      <c r="H84" s="40">
        <f t="shared" si="10"/>
        <v>6.2318400000000009</v>
      </c>
      <c r="I84" s="40">
        <f t="shared" si="11"/>
        <v>5.4528600000000012</v>
      </c>
      <c r="J84" s="40">
        <f t="shared" si="12"/>
        <v>17.527050000000003</v>
      </c>
      <c r="K84" s="40">
        <f t="shared" si="13"/>
        <v>1.1684700000000001</v>
      </c>
      <c r="L84" s="40">
        <f t="shared" si="14"/>
        <v>0.58423500000000006</v>
      </c>
      <c r="M84" s="40">
        <f t="shared" si="15"/>
        <v>2.1421950000000005</v>
      </c>
      <c r="N84" s="40">
        <f t="shared" si="16"/>
        <v>2.6290575000000005</v>
      </c>
      <c r="O84" s="40">
        <f t="shared" si="17"/>
        <v>2.7264300000000006</v>
      </c>
      <c r="P84" s="40">
        <f t="shared" si="18"/>
        <v>38.462137500000004</v>
      </c>
      <c r="Q84" s="41">
        <f t="shared" si="19"/>
        <v>0</v>
      </c>
      <c r="R84" s="42">
        <v>6.2318400000000009</v>
      </c>
      <c r="S84" s="42">
        <v>5.4528600000000012</v>
      </c>
      <c r="T84" s="42">
        <v>17.527050000000003</v>
      </c>
      <c r="U84" s="42">
        <v>1.1684700000000001</v>
      </c>
      <c r="V84" s="42">
        <v>0.58423500000000006</v>
      </c>
      <c r="W84" s="42">
        <v>2.1421950000000005</v>
      </c>
      <c r="X84" s="42">
        <v>2.6290575000000005</v>
      </c>
      <c r="Y84" s="42">
        <v>2.7264300000000006</v>
      </c>
    </row>
    <row r="85" spans="3:25" ht="15" x14ac:dyDescent="0.2">
      <c r="C85" s="38" t="s">
        <v>126</v>
      </c>
      <c r="D85" s="38" t="s">
        <v>115</v>
      </c>
      <c r="E85" s="38" t="s">
        <v>118</v>
      </c>
      <c r="F85" s="38" t="s">
        <v>96</v>
      </c>
      <c r="G85" s="39">
        <v>0</v>
      </c>
      <c r="H85" s="40">
        <f t="shared" si="10"/>
        <v>11.899360000000001</v>
      </c>
      <c r="I85" s="40">
        <f t="shared" si="11"/>
        <v>10.411940000000003</v>
      </c>
      <c r="J85" s="40">
        <f t="shared" si="12"/>
        <v>33.466950000000004</v>
      </c>
      <c r="K85" s="40">
        <f t="shared" si="13"/>
        <v>2.2311300000000003</v>
      </c>
      <c r="L85" s="40">
        <f t="shared" si="14"/>
        <v>1.1155650000000001</v>
      </c>
      <c r="M85" s="40">
        <f t="shared" si="15"/>
        <v>4.0904050000000005</v>
      </c>
      <c r="N85" s="40">
        <f t="shared" si="16"/>
        <v>5.0200425000000006</v>
      </c>
      <c r="O85" s="40">
        <f t="shared" si="17"/>
        <v>5.2059700000000015</v>
      </c>
      <c r="P85" s="40">
        <f t="shared" si="18"/>
        <v>73.441362500000025</v>
      </c>
      <c r="Q85" s="41">
        <f t="shared" si="19"/>
        <v>0</v>
      </c>
      <c r="R85" s="42">
        <v>11.899360000000001</v>
      </c>
      <c r="S85" s="42">
        <v>10.411940000000003</v>
      </c>
      <c r="T85" s="42">
        <v>33.466950000000004</v>
      </c>
      <c r="U85" s="42">
        <v>2.2311300000000003</v>
      </c>
      <c r="V85" s="42">
        <v>1.1155650000000001</v>
      </c>
      <c r="W85" s="42">
        <v>4.0904050000000005</v>
      </c>
      <c r="X85" s="42">
        <v>5.0200425000000006</v>
      </c>
      <c r="Y85" s="42">
        <v>5.2059700000000015</v>
      </c>
    </row>
    <row r="86" spans="3:25" ht="15" x14ac:dyDescent="0.2">
      <c r="C86" s="38" t="s">
        <v>126</v>
      </c>
      <c r="D86" s="38" t="s">
        <v>120</v>
      </c>
      <c r="E86" s="38" t="s">
        <v>116</v>
      </c>
      <c r="F86" s="38" t="s">
        <v>96</v>
      </c>
      <c r="G86" s="39">
        <v>0</v>
      </c>
      <c r="H86" s="40">
        <f t="shared" si="10"/>
        <v>6.767199999999999</v>
      </c>
      <c r="I86" s="40">
        <f t="shared" si="11"/>
        <v>5.9212999999999996</v>
      </c>
      <c r="J86" s="40">
        <f t="shared" si="12"/>
        <v>19.032749999999997</v>
      </c>
      <c r="K86" s="40">
        <f t="shared" si="13"/>
        <v>1.2688499999999998</v>
      </c>
      <c r="L86" s="40">
        <f t="shared" si="14"/>
        <v>0.63442499999999991</v>
      </c>
      <c r="M86" s="40">
        <f t="shared" si="15"/>
        <v>2.3262249999999995</v>
      </c>
      <c r="N86" s="40">
        <f t="shared" si="16"/>
        <v>2.8549124999999993</v>
      </c>
      <c r="O86" s="40">
        <f t="shared" si="17"/>
        <v>2.9606499999999998</v>
      </c>
      <c r="P86" s="40">
        <f t="shared" si="18"/>
        <v>41.766312499999991</v>
      </c>
      <c r="Q86" s="41">
        <f t="shared" si="19"/>
        <v>0</v>
      </c>
      <c r="R86" s="42">
        <v>6.767199999999999</v>
      </c>
      <c r="S86" s="42">
        <v>5.9212999999999996</v>
      </c>
      <c r="T86" s="42">
        <v>19.032749999999997</v>
      </c>
      <c r="U86" s="42">
        <v>1.2688499999999998</v>
      </c>
      <c r="V86" s="42">
        <v>0.63442499999999991</v>
      </c>
      <c r="W86" s="42">
        <v>2.3262249999999995</v>
      </c>
      <c r="X86" s="42">
        <v>2.8549124999999993</v>
      </c>
      <c r="Y86" s="42">
        <v>2.9606499999999998</v>
      </c>
    </row>
    <row r="87" spans="3:25" ht="15" x14ac:dyDescent="0.2">
      <c r="C87" s="38" t="s">
        <v>126</v>
      </c>
      <c r="D87" s="38" t="s">
        <v>120</v>
      </c>
      <c r="E87" s="38" t="s">
        <v>119</v>
      </c>
      <c r="F87" s="38" t="s">
        <v>96</v>
      </c>
      <c r="G87" s="39">
        <v>0</v>
      </c>
      <c r="H87" s="40">
        <f t="shared" si="10"/>
        <v>8.8255999999999997</v>
      </c>
      <c r="I87" s="40">
        <f t="shared" si="11"/>
        <v>7.7224000000000004</v>
      </c>
      <c r="J87" s="40">
        <f t="shared" si="12"/>
        <v>24.821999999999999</v>
      </c>
      <c r="K87" s="40">
        <f t="shared" si="13"/>
        <v>1.6547999999999998</v>
      </c>
      <c r="L87" s="40">
        <f t="shared" si="14"/>
        <v>0.82739999999999991</v>
      </c>
      <c r="M87" s="40">
        <f t="shared" si="15"/>
        <v>3.0337999999999998</v>
      </c>
      <c r="N87" s="40">
        <f t="shared" si="16"/>
        <v>3.7232999999999996</v>
      </c>
      <c r="O87" s="40">
        <f t="shared" si="17"/>
        <v>3.8612000000000002</v>
      </c>
      <c r="P87" s="40">
        <f t="shared" si="18"/>
        <v>54.470500000000001</v>
      </c>
      <c r="Q87" s="41">
        <f t="shared" si="19"/>
        <v>0</v>
      </c>
      <c r="R87" s="42">
        <v>8.8255999999999997</v>
      </c>
      <c r="S87" s="42">
        <v>7.7224000000000004</v>
      </c>
      <c r="T87" s="42">
        <v>24.821999999999999</v>
      </c>
      <c r="U87" s="42">
        <v>1.6547999999999998</v>
      </c>
      <c r="V87" s="42">
        <v>0.82739999999999991</v>
      </c>
      <c r="W87" s="42">
        <v>3.0337999999999998</v>
      </c>
      <c r="X87" s="42">
        <v>3.7232999999999996</v>
      </c>
      <c r="Y87" s="42">
        <v>3.8612000000000002</v>
      </c>
    </row>
    <row r="88" spans="3:25" ht="15" x14ac:dyDescent="0.2">
      <c r="C88" s="38" t="s">
        <v>126</v>
      </c>
      <c r="D88" s="38" t="s">
        <v>120</v>
      </c>
      <c r="E88" s="38" t="s">
        <v>118</v>
      </c>
      <c r="F88" s="38" t="s">
        <v>96</v>
      </c>
      <c r="G88" s="39">
        <v>0</v>
      </c>
      <c r="H88" s="40">
        <f t="shared" si="10"/>
        <v>15.272800000000002</v>
      </c>
      <c r="I88" s="40">
        <f t="shared" si="11"/>
        <v>13.363700000000003</v>
      </c>
      <c r="J88" s="40">
        <f t="shared" si="12"/>
        <v>42.954750000000004</v>
      </c>
      <c r="K88" s="40">
        <f t="shared" si="13"/>
        <v>2.8636500000000003</v>
      </c>
      <c r="L88" s="40">
        <f t="shared" si="14"/>
        <v>1.4318250000000001</v>
      </c>
      <c r="M88" s="40">
        <f t="shared" si="15"/>
        <v>5.2500250000000008</v>
      </c>
      <c r="N88" s="40">
        <f t="shared" si="16"/>
        <v>6.4432125000000005</v>
      </c>
      <c r="O88" s="40">
        <f t="shared" si="17"/>
        <v>6.6818500000000016</v>
      </c>
      <c r="P88" s="40">
        <f t="shared" si="18"/>
        <v>94.261812500000005</v>
      </c>
      <c r="Q88" s="41">
        <f t="shared" si="19"/>
        <v>0</v>
      </c>
      <c r="R88" s="42">
        <v>15.272800000000002</v>
      </c>
      <c r="S88" s="42">
        <v>13.363700000000003</v>
      </c>
      <c r="T88" s="42">
        <v>42.954750000000004</v>
      </c>
      <c r="U88" s="42">
        <v>2.8636500000000003</v>
      </c>
      <c r="V88" s="42">
        <v>1.4318250000000001</v>
      </c>
      <c r="W88" s="42">
        <v>5.2500250000000008</v>
      </c>
      <c r="X88" s="42">
        <v>6.4432125000000005</v>
      </c>
      <c r="Y88" s="42">
        <v>6.6818500000000016</v>
      </c>
    </row>
    <row r="89" spans="3:25" ht="15" x14ac:dyDescent="0.2">
      <c r="C89" s="38" t="s">
        <v>127</v>
      </c>
      <c r="D89" s="38" t="s">
        <v>115</v>
      </c>
      <c r="E89" s="38" t="s">
        <v>116</v>
      </c>
      <c r="F89" s="38" t="s">
        <v>96</v>
      </c>
      <c r="G89" s="39">
        <v>0</v>
      </c>
      <c r="H89" s="40">
        <f t="shared" si="10"/>
        <v>7.9382399999999995</v>
      </c>
      <c r="I89" s="40">
        <f t="shared" si="11"/>
        <v>6.9459600000000004</v>
      </c>
      <c r="J89" s="40">
        <f t="shared" si="12"/>
        <v>22.3263</v>
      </c>
      <c r="K89" s="40">
        <f t="shared" si="13"/>
        <v>1.4884199999999999</v>
      </c>
      <c r="L89" s="40">
        <f t="shared" si="14"/>
        <v>0.74420999999999993</v>
      </c>
      <c r="M89" s="40">
        <f t="shared" si="15"/>
        <v>2.7287699999999999</v>
      </c>
      <c r="N89" s="40">
        <f t="shared" si="16"/>
        <v>3.3489450000000001</v>
      </c>
      <c r="O89" s="40">
        <f t="shared" si="17"/>
        <v>3.4729800000000002</v>
      </c>
      <c r="P89" s="40">
        <f t="shared" si="18"/>
        <v>48.993824999999994</v>
      </c>
      <c r="Q89" s="41">
        <f t="shared" si="19"/>
        <v>0</v>
      </c>
      <c r="R89" s="42">
        <v>7.9382399999999995</v>
      </c>
      <c r="S89" s="42">
        <v>6.9459600000000004</v>
      </c>
      <c r="T89" s="42">
        <v>22.3263</v>
      </c>
      <c r="U89" s="42">
        <v>1.4884199999999999</v>
      </c>
      <c r="V89" s="42">
        <v>0.74420999999999993</v>
      </c>
      <c r="W89" s="42">
        <v>2.7287699999999999</v>
      </c>
      <c r="X89" s="42">
        <v>3.3489450000000001</v>
      </c>
      <c r="Y89" s="42">
        <v>3.4729800000000002</v>
      </c>
    </row>
    <row r="90" spans="3:25" ht="15" x14ac:dyDescent="0.2">
      <c r="C90" s="38" t="s">
        <v>127</v>
      </c>
      <c r="D90" s="38" t="s">
        <v>115</v>
      </c>
      <c r="E90" s="38" t="s">
        <v>119</v>
      </c>
      <c r="F90" s="38" t="s">
        <v>96</v>
      </c>
      <c r="G90" s="39">
        <v>0</v>
      </c>
      <c r="H90" s="40">
        <f t="shared" si="10"/>
        <v>14.154080000000002</v>
      </c>
      <c r="I90" s="40">
        <f t="shared" si="11"/>
        <v>12.384820000000003</v>
      </c>
      <c r="J90" s="40">
        <f t="shared" si="12"/>
        <v>39.808350000000004</v>
      </c>
      <c r="K90" s="40">
        <f t="shared" si="13"/>
        <v>2.6538900000000001</v>
      </c>
      <c r="L90" s="40">
        <f t="shared" si="14"/>
        <v>1.326945</v>
      </c>
      <c r="M90" s="40">
        <f t="shared" si="15"/>
        <v>4.8654650000000004</v>
      </c>
      <c r="N90" s="40">
        <f t="shared" si="16"/>
        <v>5.9712525000000003</v>
      </c>
      <c r="O90" s="40">
        <f t="shared" si="17"/>
        <v>6.1924100000000015</v>
      </c>
      <c r="P90" s="40">
        <f t="shared" si="18"/>
        <v>87.357212500000003</v>
      </c>
      <c r="Q90" s="41">
        <f t="shared" si="19"/>
        <v>0</v>
      </c>
      <c r="R90" s="42">
        <v>14.154080000000002</v>
      </c>
      <c r="S90" s="42">
        <v>12.384820000000003</v>
      </c>
      <c r="T90" s="42">
        <v>39.808350000000004</v>
      </c>
      <c r="U90" s="42">
        <v>2.6538900000000001</v>
      </c>
      <c r="V90" s="42">
        <v>1.326945</v>
      </c>
      <c r="W90" s="42">
        <v>4.8654650000000004</v>
      </c>
      <c r="X90" s="42">
        <v>5.9712525000000003</v>
      </c>
      <c r="Y90" s="42">
        <v>6.1924100000000015</v>
      </c>
    </row>
    <row r="91" spans="3:25" ht="15" x14ac:dyDescent="0.2">
      <c r="C91" s="38" t="s">
        <v>127</v>
      </c>
      <c r="D91" s="38" t="s">
        <v>115</v>
      </c>
      <c r="E91" s="38" t="s">
        <v>118</v>
      </c>
      <c r="F91" s="38" t="s">
        <v>96</v>
      </c>
      <c r="G91" s="39">
        <v>0</v>
      </c>
      <c r="H91" s="40">
        <f t="shared" si="10"/>
        <v>21.788320000000002</v>
      </c>
      <c r="I91" s="40">
        <f t="shared" si="11"/>
        <v>19.064780000000006</v>
      </c>
      <c r="J91" s="40">
        <f t="shared" si="12"/>
        <v>61.279650000000011</v>
      </c>
      <c r="K91" s="40">
        <f t="shared" si="13"/>
        <v>4.0853100000000007</v>
      </c>
      <c r="L91" s="40">
        <f t="shared" si="14"/>
        <v>2.0426550000000003</v>
      </c>
      <c r="M91" s="40">
        <f t="shared" si="15"/>
        <v>7.4897350000000014</v>
      </c>
      <c r="N91" s="40">
        <f t="shared" si="16"/>
        <v>9.1919475000000013</v>
      </c>
      <c r="O91" s="40">
        <f t="shared" si="17"/>
        <v>9.532390000000003</v>
      </c>
      <c r="P91" s="40">
        <f t="shared" si="18"/>
        <v>134.47478750000002</v>
      </c>
      <c r="Q91" s="41">
        <f t="shared" si="19"/>
        <v>0</v>
      </c>
      <c r="R91" s="42">
        <v>21.788320000000002</v>
      </c>
      <c r="S91" s="42">
        <v>19.064780000000006</v>
      </c>
      <c r="T91" s="42">
        <v>61.279650000000011</v>
      </c>
      <c r="U91" s="42">
        <v>4.0853100000000007</v>
      </c>
      <c r="V91" s="42">
        <v>2.0426550000000003</v>
      </c>
      <c r="W91" s="42">
        <v>7.4897350000000014</v>
      </c>
      <c r="X91" s="42">
        <v>9.1919475000000013</v>
      </c>
      <c r="Y91" s="42">
        <v>9.532390000000003</v>
      </c>
    </row>
    <row r="92" spans="3:25" ht="15" x14ac:dyDescent="0.2">
      <c r="C92" s="38" t="s">
        <v>127</v>
      </c>
      <c r="D92" s="38" t="s">
        <v>120</v>
      </c>
      <c r="E92" s="38" t="s">
        <v>116</v>
      </c>
      <c r="F92" s="38" t="s">
        <v>96</v>
      </c>
      <c r="G92" s="39">
        <v>0</v>
      </c>
      <c r="H92" s="40">
        <f t="shared" si="10"/>
        <v>9.1456</v>
      </c>
      <c r="I92" s="40">
        <f t="shared" si="11"/>
        <v>8.0023999999999997</v>
      </c>
      <c r="J92" s="40">
        <f t="shared" si="12"/>
        <v>25.721999999999998</v>
      </c>
      <c r="K92" s="40">
        <f t="shared" si="13"/>
        <v>1.7147999999999999</v>
      </c>
      <c r="L92" s="40">
        <f t="shared" si="14"/>
        <v>0.85739999999999994</v>
      </c>
      <c r="M92" s="40">
        <f t="shared" si="15"/>
        <v>3.1437999999999997</v>
      </c>
      <c r="N92" s="40">
        <f t="shared" si="16"/>
        <v>3.8582999999999994</v>
      </c>
      <c r="O92" s="40">
        <f t="shared" si="17"/>
        <v>4.0011999999999999</v>
      </c>
      <c r="P92" s="40">
        <f t="shared" si="18"/>
        <v>56.445499999999988</v>
      </c>
      <c r="Q92" s="41">
        <f t="shared" si="19"/>
        <v>0</v>
      </c>
      <c r="R92" s="42">
        <v>9.1456</v>
      </c>
      <c r="S92" s="42">
        <v>8.0023999999999997</v>
      </c>
      <c r="T92" s="42">
        <v>25.721999999999998</v>
      </c>
      <c r="U92" s="42">
        <v>1.7147999999999999</v>
      </c>
      <c r="V92" s="42">
        <v>0.85739999999999994</v>
      </c>
      <c r="W92" s="42">
        <v>3.1437999999999997</v>
      </c>
      <c r="X92" s="42">
        <v>3.8582999999999994</v>
      </c>
      <c r="Y92" s="42">
        <v>4.0011999999999999</v>
      </c>
    </row>
    <row r="93" spans="3:25" ht="15" x14ac:dyDescent="0.2">
      <c r="C93" s="38" t="s">
        <v>127</v>
      </c>
      <c r="D93" s="38" t="s">
        <v>120</v>
      </c>
      <c r="E93" s="38" t="s">
        <v>119</v>
      </c>
      <c r="F93" s="38" t="s">
        <v>96</v>
      </c>
      <c r="G93" s="39">
        <v>0</v>
      </c>
      <c r="H93" s="40">
        <f t="shared" si="10"/>
        <v>15.965120000000002</v>
      </c>
      <c r="I93" s="40">
        <f t="shared" si="11"/>
        <v>13.969480000000003</v>
      </c>
      <c r="J93" s="40">
        <f t="shared" si="12"/>
        <v>44.901900000000005</v>
      </c>
      <c r="K93" s="40">
        <f t="shared" si="13"/>
        <v>2.9934600000000002</v>
      </c>
      <c r="L93" s="40">
        <f t="shared" si="14"/>
        <v>1.4967300000000001</v>
      </c>
      <c r="M93" s="40">
        <f t="shared" si="15"/>
        <v>5.4880100000000009</v>
      </c>
      <c r="N93" s="40">
        <f t="shared" si="16"/>
        <v>6.7352850000000002</v>
      </c>
      <c r="O93" s="40">
        <f t="shared" si="17"/>
        <v>6.9847400000000013</v>
      </c>
      <c r="P93" s="40">
        <f t="shared" si="18"/>
        <v>98.534725000000009</v>
      </c>
      <c r="Q93" s="41">
        <f t="shared" si="19"/>
        <v>0</v>
      </c>
      <c r="R93" s="42">
        <v>15.965120000000002</v>
      </c>
      <c r="S93" s="42">
        <v>13.969480000000003</v>
      </c>
      <c r="T93" s="42">
        <v>44.901900000000005</v>
      </c>
      <c r="U93" s="42">
        <v>2.9934600000000002</v>
      </c>
      <c r="V93" s="42">
        <v>1.4967300000000001</v>
      </c>
      <c r="W93" s="42">
        <v>5.4880100000000009</v>
      </c>
      <c r="X93" s="42">
        <v>6.7352850000000002</v>
      </c>
      <c r="Y93" s="42">
        <v>6.9847400000000013</v>
      </c>
    </row>
    <row r="94" spans="3:25" ht="15" x14ac:dyDescent="0.2">
      <c r="C94" s="38" t="s">
        <v>127</v>
      </c>
      <c r="D94" s="38" t="s">
        <v>120</v>
      </c>
      <c r="E94" s="38" t="s">
        <v>118</v>
      </c>
      <c r="F94" s="38" t="s">
        <v>96</v>
      </c>
      <c r="G94" s="39">
        <v>0</v>
      </c>
      <c r="H94" s="40">
        <f t="shared" si="10"/>
        <v>24.347040000000003</v>
      </c>
      <c r="I94" s="40">
        <f t="shared" si="11"/>
        <v>21.303660000000004</v>
      </c>
      <c r="J94" s="40">
        <f t="shared" si="12"/>
        <v>68.476050000000001</v>
      </c>
      <c r="K94" s="40">
        <f t="shared" si="13"/>
        <v>4.5650700000000004</v>
      </c>
      <c r="L94" s="40">
        <f t="shared" si="14"/>
        <v>2.2825350000000002</v>
      </c>
      <c r="M94" s="40">
        <f t="shared" si="15"/>
        <v>8.369295000000001</v>
      </c>
      <c r="N94" s="40">
        <f t="shared" si="16"/>
        <v>10.2714075</v>
      </c>
      <c r="O94" s="40">
        <f t="shared" si="17"/>
        <v>10.651830000000002</v>
      </c>
      <c r="P94" s="40">
        <f t="shared" si="18"/>
        <v>150.26688750000002</v>
      </c>
      <c r="Q94" s="41">
        <f t="shared" si="19"/>
        <v>0</v>
      </c>
      <c r="R94" s="42">
        <v>24.347040000000003</v>
      </c>
      <c r="S94" s="42">
        <v>21.303660000000004</v>
      </c>
      <c r="T94" s="42">
        <v>68.476050000000001</v>
      </c>
      <c r="U94" s="42">
        <v>4.5650700000000004</v>
      </c>
      <c r="V94" s="42">
        <v>2.2825350000000002</v>
      </c>
      <c r="W94" s="42">
        <v>8.369295000000001</v>
      </c>
      <c r="X94" s="42">
        <v>10.2714075</v>
      </c>
      <c r="Y94" s="42">
        <v>10.651830000000002</v>
      </c>
    </row>
    <row r="95" spans="3:25" ht="15" x14ac:dyDescent="0.2">
      <c r="C95" s="38" t="s">
        <v>128</v>
      </c>
      <c r="D95" s="38" t="s">
        <v>115</v>
      </c>
      <c r="E95" s="38" t="s">
        <v>116</v>
      </c>
      <c r="F95" s="38" t="s">
        <v>96</v>
      </c>
      <c r="G95" s="39">
        <v>0</v>
      </c>
      <c r="H95" s="40">
        <f t="shared" si="10"/>
        <v>11.899360000000001</v>
      </c>
      <c r="I95" s="40">
        <f t="shared" si="11"/>
        <v>10.411940000000003</v>
      </c>
      <c r="J95" s="40">
        <f t="shared" si="12"/>
        <v>33.466950000000004</v>
      </c>
      <c r="K95" s="40">
        <f t="shared" si="13"/>
        <v>2.2311300000000003</v>
      </c>
      <c r="L95" s="40">
        <f t="shared" si="14"/>
        <v>1.1155650000000001</v>
      </c>
      <c r="M95" s="40">
        <f t="shared" si="15"/>
        <v>4.0904050000000005</v>
      </c>
      <c r="N95" s="40">
        <f t="shared" si="16"/>
        <v>5.0200425000000006</v>
      </c>
      <c r="O95" s="40">
        <f t="shared" si="17"/>
        <v>5.2059700000000015</v>
      </c>
      <c r="P95" s="40">
        <f t="shared" si="18"/>
        <v>73.441362500000025</v>
      </c>
      <c r="Q95" s="41">
        <f t="shared" si="19"/>
        <v>0</v>
      </c>
      <c r="R95" s="42">
        <v>11.899360000000001</v>
      </c>
      <c r="S95" s="42">
        <v>10.411940000000003</v>
      </c>
      <c r="T95" s="42">
        <v>33.466950000000004</v>
      </c>
      <c r="U95" s="42">
        <v>2.2311300000000003</v>
      </c>
      <c r="V95" s="42">
        <v>1.1155650000000001</v>
      </c>
      <c r="W95" s="42">
        <v>4.0904050000000005</v>
      </c>
      <c r="X95" s="42">
        <v>5.0200425000000006</v>
      </c>
      <c r="Y95" s="42">
        <v>5.2059700000000015</v>
      </c>
    </row>
    <row r="96" spans="3:25" ht="15" x14ac:dyDescent="0.2">
      <c r="C96" s="38" t="s">
        <v>128</v>
      </c>
      <c r="D96" s="38" t="s">
        <v>115</v>
      </c>
      <c r="E96" s="38" t="s">
        <v>119</v>
      </c>
      <c r="F96" s="38" t="s">
        <v>96</v>
      </c>
      <c r="G96" s="39">
        <v>0</v>
      </c>
      <c r="H96" s="40">
        <f t="shared" si="10"/>
        <v>20.489280000000001</v>
      </c>
      <c r="I96" s="40">
        <f t="shared" si="11"/>
        <v>17.92812</v>
      </c>
      <c r="J96" s="40">
        <f t="shared" si="12"/>
        <v>57.626100000000001</v>
      </c>
      <c r="K96" s="40">
        <f t="shared" si="13"/>
        <v>3.8417399999999997</v>
      </c>
      <c r="L96" s="40">
        <f t="shared" si="14"/>
        <v>1.9208699999999999</v>
      </c>
      <c r="M96" s="40">
        <f t="shared" si="15"/>
        <v>7.0431900000000001</v>
      </c>
      <c r="N96" s="40">
        <f t="shared" si="16"/>
        <v>8.6439149999999998</v>
      </c>
      <c r="O96" s="40">
        <f t="shared" si="17"/>
        <v>8.9640599999999999</v>
      </c>
      <c r="P96" s="40">
        <f t="shared" si="18"/>
        <v>126.457275</v>
      </c>
      <c r="Q96" s="41">
        <f t="shared" si="19"/>
        <v>0</v>
      </c>
      <c r="R96" s="42">
        <v>20.489280000000001</v>
      </c>
      <c r="S96" s="42">
        <v>17.92812</v>
      </c>
      <c r="T96" s="42">
        <v>57.626100000000001</v>
      </c>
      <c r="U96" s="42">
        <v>3.8417399999999997</v>
      </c>
      <c r="V96" s="42">
        <v>1.9208699999999999</v>
      </c>
      <c r="W96" s="42">
        <v>7.0431900000000001</v>
      </c>
      <c r="X96" s="42">
        <v>8.6439149999999998</v>
      </c>
      <c r="Y96" s="42">
        <v>8.9640599999999999</v>
      </c>
    </row>
    <row r="97" spans="3:25" ht="15" x14ac:dyDescent="0.2">
      <c r="C97" s="38" t="s">
        <v>128</v>
      </c>
      <c r="D97" s="38" t="s">
        <v>115</v>
      </c>
      <c r="E97" s="38" t="s">
        <v>118</v>
      </c>
      <c r="F97" s="38" t="s">
        <v>96</v>
      </c>
      <c r="G97" s="39">
        <v>0</v>
      </c>
      <c r="H97" s="40">
        <f t="shared" si="10"/>
        <v>35.446400000000004</v>
      </c>
      <c r="I97" s="40">
        <f t="shared" si="11"/>
        <v>31.015600000000006</v>
      </c>
      <c r="J97" s="40">
        <f t="shared" si="12"/>
        <v>99.693000000000012</v>
      </c>
      <c r="K97" s="40">
        <f t="shared" si="13"/>
        <v>6.6462000000000003</v>
      </c>
      <c r="L97" s="40">
        <f t="shared" si="14"/>
        <v>3.3231000000000002</v>
      </c>
      <c r="M97" s="40">
        <f t="shared" si="15"/>
        <v>12.184700000000001</v>
      </c>
      <c r="N97" s="40">
        <f t="shared" si="16"/>
        <v>14.953950000000001</v>
      </c>
      <c r="O97" s="40">
        <f t="shared" si="17"/>
        <v>15.507800000000003</v>
      </c>
      <c r="P97" s="40">
        <f t="shared" si="18"/>
        <v>218.77075000000002</v>
      </c>
      <c r="Q97" s="41">
        <f t="shared" si="19"/>
        <v>0</v>
      </c>
      <c r="R97" s="42">
        <v>35.446400000000004</v>
      </c>
      <c r="S97" s="42">
        <v>31.015600000000006</v>
      </c>
      <c r="T97" s="42">
        <v>99.693000000000012</v>
      </c>
      <c r="U97" s="42">
        <v>6.6462000000000003</v>
      </c>
      <c r="V97" s="42">
        <v>3.3231000000000002</v>
      </c>
      <c r="W97" s="42">
        <v>12.184700000000001</v>
      </c>
      <c r="X97" s="42">
        <v>14.953950000000001</v>
      </c>
      <c r="Y97" s="42">
        <v>15.507800000000003</v>
      </c>
    </row>
    <row r="98" spans="3:25" ht="15" x14ac:dyDescent="0.2">
      <c r="C98" s="38" t="s">
        <v>128</v>
      </c>
      <c r="D98" s="38" t="s">
        <v>120</v>
      </c>
      <c r="E98" s="38" t="s">
        <v>116</v>
      </c>
      <c r="F98" s="38" t="s">
        <v>96</v>
      </c>
      <c r="G98" s="39">
        <v>0</v>
      </c>
      <c r="H98" s="40">
        <f t="shared" si="10"/>
        <v>12.539360000000002</v>
      </c>
      <c r="I98" s="40">
        <f t="shared" si="11"/>
        <v>10.971940000000002</v>
      </c>
      <c r="J98" s="40">
        <f t="shared" si="12"/>
        <v>35.266950000000008</v>
      </c>
      <c r="K98" s="40">
        <f t="shared" si="13"/>
        <v>2.3511300000000004</v>
      </c>
      <c r="L98" s="40">
        <f t="shared" si="14"/>
        <v>1.1755650000000002</v>
      </c>
      <c r="M98" s="40">
        <f t="shared" si="15"/>
        <v>4.3104050000000003</v>
      </c>
      <c r="N98" s="40">
        <f t="shared" si="16"/>
        <v>5.2900425000000011</v>
      </c>
      <c r="O98" s="40">
        <f t="shared" si="17"/>
        <v>5.4859700000000009</v>
      </c>
      <c r="P98" s="40">
        <f t="shared" si="18"/>
        <v>77.3913625</v>
      </c>
      <c r="Q98" s="41">
        <f t="shared" si="19"/>
        <v>0</v>
      </c>
      <c r="R98" s="42">
        <v>12.539360000000002</v>
      </c>
      <c r="S98" s="42">
        <v>10.971940000000002</v>
      </c>
      <c r="T98" s="42">
        <v>35.266950000000008</v>
      </c>
      <c r="U98" s="42">
        <v>2.3511300000000004</v>
      </c>
      <c r="V98" s="42">
        <v>1.1755650000000002</v>
      </c>
      <c r="W98" s="42">
        <v>4.3104050000000003</v>
      </c>
      <c r="X98" s="42">
        <v>5.2900425000000011</v>
      </c>
      <c r="Y98" s="42">
        <v>5.4859700000000009</v>
      </c>
    </row>
    <row r="99" spans="3:25" ht="15" x14ac:dyDescent="0.2">
      <c r="C99" s="38" t="s">
        <v>128</v>
      </c>
      <c r="D99" s="38" t="s">
        <v>120</v>
      </c>
      <c r="E99" s="38" t="s">
        <v>119</v>
      </c>
      <c r="F99" s="38" t="s">
        <v>96</v>
      </c>
      <c r="G99" s="39">
        <v>0</v>
      </c>
      <c r="H99" s="40">
        <f t="shared" si="10"/>
        <v>20.489280000000001</v>
      </c>
      <c r="I99" s="40">
        <f t="shared" si="11"/>
        <v>17.92812</v>
      </c>
      <c r="J99" s="40">
        <f t="shared" si="12"/>
        <v>57.626100000000001</v>
      </c>
      <c r="K99" s="40">
        <f t="shared" si="13"/>
        <v>3.8417399999999997</v>
      </c>
      <c r="L99" s="40">
        <f t="shared" si="14"/>
        <v>1.9208699999999999</v>
      </c>
      <c r="M99" s="40">
        <f t="shared" si="15"/>
        <v>7.0431900000000001</v>
      </c>
      <c r="N99" s="40">
        <f t="shared" si="16"/>
        <v>8.6439149999999998</v>
      </c>
      <c r="O99" s="40">
        <f t="shared" si="17"/>
        <v>8.9640599999999999</v>
      </c>
      <c r="P99" s="40">
        <f t="shared" si="18"/>
        <v>126.457275</v>
      </c>
      <c r="Q99" s="41">
        <f t="shared" si="19"/>
        <v>0</v>
      </c>
      <c r="R99" s="42">
        <v>20.489280000000001</v>
      </c>
      <c r="S99" s="42">
        <v>17.92812</v>
      </c>
      <c r="T99" s="42">
        <v>57.626100000000001</v>
      </c>
      <c r="U99" s="42">
        <v>3.8417399999999997</v>
      </c>
      <c r="V99" s="42">
        <v>1.9208699999999999</v>
      </c>
      <c r="W99" s="42">
        <v>7.0431900000000001</v>
      </c>
      <c r="X99" s="42">
        <v>8.6439149999999998</v>
      </c>
      <c r="Y99" s="42">
        <v>8.9640599999999999</v>
      </c>
    </row>
    <row r="100" spans="3:25" ht="15" x14ac:dyDescent="0.2">
      <c r="C100" s="38" t="s">
        <v>128</v>
      </c>
      <c r="D100" s="38" t="s">
        <v>120</v>
      </c>
      <c r="E100" s="38" t="s">
        <v>118</v>
      </c>
      <c r="F100" s="38" t="s">
        <v>96</v>
      </c>
      <c r="G100" s="39">
        <v>0</v>
      </c>
      <c r="H100" s="40">
        <f t="shared" si="10"/>
        <v>23.547040000000003</v>
      </c>
      <c r="I100" s="40">
        <f t="shared" si="11"/>
        <v>20.603660000000005</v>
      </c>
      <c r="J100" s="40">
        <f t="shared" si="12"/>
        <v>66.226050000000001</v>
      </c>
      <c r="K100" s="40">
        <f t="shared" si="13"/>
        <v>4.4150700000000001</v>
      </c>
      <c r="L100" s="40">
        <f t="shared" si="14"/>
        <v>2.207535</v>
      </c>
      <c r="M100" s="40">
        <f t="shared" si="15"/>
        <v>8.0942950000000007</v>
      </c>
      <c r="N100" s="40">
        <f t="shared" si="16"/>
        <v>9.9339075000000001</v>
      </c>
      <c r="O100" s="40">
        <f t="shared" si="17"/>
        <v>10.301830000000002</v>
      </c>
      <c r="P100" s="40">
        <f t="shared" si="18"/>
        <v>145.3293875</v>
      </c>
      <c r="Q100" s="41">
        <f t="shared" si="19"/>
        <v>0</v>
      </c>
      <c r="R100" s="42">
        <v>23.547040000000003</v>
      </c>
      <c r="S100" s="42">
        <v>20.603660000000005</v>
      </c>
      <c r="T100" s="42">
        <v>66.226050000000001</v>
      </c>
      <c r="U100" s="42">
        <v>4.4150700000000001</v>
      </c>
      <c r="V100" s="42">
        <v>2.207535</v>
      </c>
      <c r="W100" s="42">
        <v>8.0942950000000007</v>
      </c>
      <c r="X100" s="42">
        <v>9.9339075000000001</v>
      </c>
      <c r="Y100" s="42">
        <v>10.301830000000002</v>
      </c>
    </row>
    <row r="101" spans="3:25" ht="15" x14ac:dyDescent="0.2">
      <c r="C101" s="38" t="s">
        <v>129</v>
      </c>
      <c r="D101" s="38" t="s">
        <v>115</v>
      </c>
      <c r="E101" s="38" t="s">
        <v>116</v>
      </c>
      <c r="F101" s="38" t="s">
        <v>96</v>
      </c>
      <c r="G101" s="39">
        <v>0</v>
      </c>
      <c r="H101" s="40">
        <f t="shared" si="10"/>
        <v>5.1001600000000007</v>
      </c>
      <c r="I101" s="40">
        <f t="shared" si="11"/>
        <v>4.4626400000000013</v>
      </c>
      <c r="J101" s="40">
        <f t="shared" si="12"/>
        <v>14.344200000000003</v>
      </c>
      <c r="K101" s="40">
        <f t="shared" si="13"/>
        <v>0.95628000000000013</v>
      </c>
      <c r="L101" s="40">
        <f t="shared" si="14"/>
        <v>0.47814000000000006</v>
      </c>
      <c r="M101" s="40">
        <f t="shared" si="15"/>
        <v>1.7531800000000002</v>
      </c>
      <c r="N101" s="40">
        <f t="shared" si="16"/>
        <v>2.1516300000000004</v>
      </c>
      <c r="O101" s="40">
        <f t="shared" si="17"/>
        <v>2.2313200000000006</v>
      </c>
      <c r="P101" s="40">
        <f t="shared" si="18"/>
        <v>31.477550000000004</v>
      </c>
      <c r="Q101" s="41">
        <f t="shared" si="19"/>
        <v>0</v>
      </c>
      <c r="R101" s="42">
        <v>5.1001600000000007</v>
      </c>
      <c r="S101" s="42">
        <v>4.4626400000000013</v>
      </c>
      <c r="T101" s="42">
        <v>14.344200000000003</v>
      </c>
      <c r="U101" s="42">
        <v>0.95628000000000013</v>
      </c>
      <c r="V101" s="42">
        <v>0.47814000000000006</v>
      </c>
      <c r="W101" s="42">
        <v>1.7531800000000002</v>
      </c>
      <c r="X101" s="42">
        <v>2.1516300000000004</v>
      </c>
      <c r="Y101" s="42">
        <v>2.2313200000000006</v>
      </c>
    </row>
    <row r="102" spans="3:25" ht="15" x14ac:dyDescent="0.2">
      <c r="C102" s="38" t="s">
        <v>129</v>
      </c>
      <c r="D102" s="38" t="s">
        <v>115</v>
      </c>
      <c r="E102" s="38" t="s">
        <v>119</v>
      </c>
      <c r="F102" s="38" t="s">
        <v>96</v>
      </c>
      <c r="G102" s="39">
        <v>0</v>
      </c>
      <c r="H102" s="40">
        <f t="shared" si="10"/>
        <v>10.332640000000001</v>
      </c>
      <c r="I102" s="40">
        <f t="shared" si="11"/>
        <v>9.0410600000000017</v>
      </c>
      <c r="J102" s="40">
        <f t="shared" si="12"/>
        <v>29.060550000000003</v>
      </c>
      <c r="K102" s="40">
        <f t="shared" si="13"/>
        <v>1.9373700000000003</v>
      </c>
      <c r="L102" s="40">
        <f t="shared" si="14"/>
        <v>0.96868500000000013</v>
      </c>
      <c r="M102" s="40">
        <f t="shared" si="15"/>
        <v>3.5518450000000006</v>
      </c>
      <c r="N102" s="40">
        <f t="shared" si="16"/>
        <v>4.3590825000000004</v>
      </c>
      <c r="O102" s="40">
        <f t="shared" si="17"/>
        <v>4.5205300000000008</v>
      </c>
      <c r="P102" s="40">
        <f t="shared" si="18"/>
        <v>63.771762500000008</v>
      </c>
      <c r="Q102" s="41">
        <f t="shared" si="19"/>
        <v>0</v>
      </c>
      <c r="R102" s="42">
        <v>10.332640000000001</v>
      </c>
      <c r="S102" s="42">
        <v>9.0410600000000017</v>
      </c>
      <c r="T102" s="42">
        <v>29.060550000000003</v>
      </c>
      <c r="U102" s="42">
        <v>1.9373700000000003</v>
      </c>
      <c r="V102" s="42">
        <v>0.96868500000000013</v>
      </c>
      <c r="W102" s="42">
        <v>3.5518450000000006</v>
      </c>
      <c r="X102" s="42">
        <v>4.3590825000000004</v>
      </c>
      <c r="Y102" s="42">
        <v>4.5205300000000008</v>
      </c>
    </row>
    <row r="103" spans="3:25" ht="15" x14ac:dyDescent="0.2">
      <c r="C103" s="38" t="s">
        <v>129</v>
      </c>
      <c r="D103" s="38" t="s">
        <v>115</v>
      </c>
      <c r="E103" s="38" t="s">
        <v>118</v>
      </c>
      <c r="F103" s="38" t="s">
        <v>96</v>
      </c>
      <c r="G103" s="39">
        <v>0</v>
      </c>
      <c r="H103" s="40">
        <f t="shared" si="10"/>
        <v>13.3904</v>
      </c>
      <c r="I103" s="40">
        <f t="shared" si="11"/>
        <v>11.716600000000001</v>
      </c>
      <c r="J103" s="40">
        <f t="shared" si="12"/>
        <v>37.660499999999999</v>
      </c>
      <c r="K103" s="40">
        <f t="shared" si="13"/>
        <v>2.5106999999999999</v>
      </c>
      <c r="L103" s="40">
        <f t="shared" si="14"/>
        <v>1.25535</v>
      </c>
      <c r="M103" s="40">
        <f t="shared" si="15"/>
        <v>4.6029499999999999</v>
      </c>
      <c r="N103" s="40">
        <f t="shared" si="16"/>
        <v>5.6490749999999998</v>
      </c>
      <c r="O103" s="40">
        <f t="shared" si="17"/>
        <v>5.8583000000000007</v>
      </c>
      <c r="P103" s="40">
        <f t="shared" si="18"/>
        <v>82.64387499999998</v>
      </c>
      <c r="Q103" s="41">
        <f t="shared" si="19"/>
        <v>0</v>
      </c>
      <c r="R103" s="42">
        <v>13.3904</v>
      </c>
      <c r="S103" s="42">
        <v>11.716600000000001</v>
      </c>
      <c r="T103" s="42">
        <v>37.660499999999999</v>
      </c>
      <c r="U103" s="42">
        <v>2.5106999999999999</v>
      </c>
      <c r="V103" s="42">
        <v>1.25535</v>
      </c>
      <c r="W103" s="42">
        <v>4.6029499999999999</v>
      </c>
      <c r="X103" s="42">
        <v>5.6490749999999998</v>
      </c>
      <c r="Y103" s="42">
        <v>5.8583000000000007</v>
      </c>
    </row>
    <row r="104" spans="3:25" ht="15" x14ac:dyDescent="0.2">
      <c r="C104" s="38" t="s">
        <v>129</v>
      </c>
      <c r="D104" s="38" t="s">
        <v>120</v>
      </c>
      <c r="E104" s="38" t="s">
        <v>116</v>
      </c>
      <c r="F104" s="38" t="s">
        <v>96</v>
      </c>
      <c r="G104" s="39">
        <v>0</v>
      </c>
      <c r="H104" s="40">
        <f t="shared" si="10"/>
        <v>10.012640000000001</v>
      </c>
      <c r="I104" s="40">
        <f t="shared" si="11"/>
        <v>8.7610600000000005</v>
      </c>
      <c r="J104" s="40">
        <f t="shared" si="12"/>
        <v>28.160550000000001</v>
      </c>
      <c r="K104" s="40">
        <f t="shared" si="13"/>
        <v>1.87737</v>
      </c>
      <c r="L104" s="40">
        <f t="shared" si="14"/>
        <v>0.93868499999999999</v>
      </c>
      <c r="M104" s="40">
        <f t="shared" si="15"/>
        <v>3.4418450000000003</v>
      </c>
      <c r="N104" s="40">
        <f t="shared" si="16"/>
        <v>4.2240824999999997</v>
      </c>
      <c r="O104" s="40">
        <f t="shared" si="17"/>
        <v>4.3805300000000003</v>
      </c>
      <c r="P104" s="40">
        <f t="shared" si="18"/>
        <v>61.796762500000007</v>
      </c>
      <c r="Q104" s="41">
        <f t="shared" si="19"/>
        <v>0</v>
      </c>
      <c r="R104" s="42">
        <v>10.012640000000001</v>
      </c>
      <c r="S104" s="42">
        <v>8.7610600000000005</v>
      </c>
      <c r="T104" s="42">
        <v>28.160550000000001</v>
      </c>
      <c r="U104" s="42">
        <v>1.87737</v>
      </c>
      <c r="V104" s="42">
        <v>0.93868499999999999</v>
      </c>
      <c r="W104" s="42">
        <v>3.4418450000000003</v>
      </c>
      <c r="X104" s="42">
        <v>4.2240824999999997</v>
      </c>
      <c r="Y104" s="42">
        <v>4.3805300000000003</v>
      </c>
    </row>
    <row r="105" spans="3:25" ht="15" x14ac:dyDescent="0.2">
      <c r="C105" s="38" t="s">
        <v>129</v>
      </c>
      <c r="D105" s="38" t="s">
        <v>120</v>
      </c>
      <c r="E105" s="38" t="s">
        <v>119</v>
      </c>
      <c r="F105" s="38" t="s">
        <v>96</v>
      </c>
      <c r="G105" s="39">
        <v>0</v>
      </c>
      <c r="H105" s="40">
        <f t="shared" si="10"/>
        <v>18.986560000000001</v>
      </c>
      <c r="I105" s="40">
        <f t="shared" si="11"/>
        <v>16.613240000000001</v>
      </c>
      <c r="J105" s="40">
        <f t="shared" si="12"/>
        <v>53.399700000000003</v>
      </c>
      <c r="K105" s="40">
        <f t="shared" si="13"/>
        <v>3.5599799999999999</v>
      </c>
      <c r="L105" s="40">
        <f t="shared" si="14"/>
        <v>1.77999</v>
      </c>
      <c r="M105" s="40">
        <f t="shared" si="15"/>
        <v>6.5266299999999999</v>
      </c>
      <c r="N105" s="40">
        <f t="shared" si="16"/>
        <v>8.0099549999999997</v>
      </c>
      <c r="O105" s="40">
        <f t="shared" si="17"/>
        <v>8.3066200000000006</v>
      </c>
      <c r="P105" s="40">
        <f t="shared" si="18"/>
        <v>117.182675</v>
      </c>
      <c r="Q105" s="41">
        <f t="shared" si="19"/>
        <v>0</v>
      </c>
      <c r="R105" s="42">
        <v>18.986560000000001</v>
      </c>
      <c r="S105" s="42">
        <v>16.613240000000001</v>
      </c>
      <c r="T105" s="42">
        <v>53.399700000000003</v>
      </c>
      <c r="U105" s="42">
        <v>3.5599799999999999</v>
      </c>
      <c r="V105" s="42">
        <v>1.77999</v>
      </c>
      <c r="W105" s="42">
        <v>6.5266299999999999</v>
      </c>
      <c r="X105" s="42">
        <v>8.0099549999999997</v>
      </c>
      <c r="Y105" s="42">
        <v>8.3066200000000006</v>
      </c>
    </row>
    <row r="106" spans="3:25" ht="15" x14ac:dyDescent="0.2">
      <c r="C106" s="38" t="s">
        <v>129</v>
      </c>
      <c r="D106" s="38" t="s">
        <v>120</v>
      </c>
      <c r="E106" s="38" t="s">
        <v>118</v>
      </c>
      <c r="F106" s="38" t="s">
        <v>96</v>
      </c>
      <c r="G106" s="39">
        <v>0</v>
      </c>
      <c r="H106" s="40">
        <f t="shared" si="10"/>
        <v>23</v>
      </c>
      <c r="I106" s="40">
        <f t="shared" si="11"/>
        <v>20.125000000000004</v>
      </c>
      <c r="J106" s="40">
        <f t="shared" si="12"/>
        <v>64.6875</v>
      </c>
      <c r="K106" s="40">
        <f t="shared" si="13"/>
        <v>4.3125</v>
      </c>
      <c r="L106" s="40">
        <f t="shared" si="14"/>
        <v>2.15625</v>
      </c>
      <c r="M106" s="40">
        <f t="shared" si="15"/>
        <v>7.90625</v>
      </c>
      <c r="N106" s="40">
        <f t="shared" si="16"/>
        <v>9.703125</v>
      </c>
      <c r="O106" s="40">
        <f t="shared" si="17"/>
        <v>10.062500000000002</v>
      </c>
      <c r="P106" s="40">
        <f t="shared" si="18"/>
        <v>141.953125</v>
      </c>
      <c r="Q106" s="41">
        <f t="shared" si="19"/>
        <v>0</v>
      </c>
      <c r="R106" s="42">
        <v>23</v>
      </c>
      <c r="S106" s="42">
        <v>20.125000000000004</v>
      </c>
      <c r="T106" s="42">
        <v>64.6875</v>
      </c>
      <c r="U106" s="42">
        <v>4.3125</v>
      </c>
      <c r="V106" s="42">
        <v>2.15625</v>
      </c>
      <c r="W106" s="42">
        <v>7.90625</v>
      </c>
      <c r="X106" s="42">
        <v>9.703125</v>
      </c>
      <c r="Y106" s="42">
        <v>10.062500000000002</v>
      </c>
    </row>
    <row r="107" spans="3:25" ht="15" x14ac:dyDescent="0.2">
      <c r="C107" s="38" t="s">
        <v>130</v>
      </c>
      <c r="D107" s="38" t="s">
        <v>115</v>
      </c>
      <c r="E107" s="38" t="s">
        <v>116</v>
      </c>
      <c r="F107" s="38" t="s">
        <v>96</v>
      </c>
      <c r="G107" s="39">
        <v>0</v>
      </c>
      <c r="H107" s="40">
        <f t="shared" si="10"/>
        <v>5.1001600000000007</v>
      </c>
      <c r="I107" s="40">
        <f t="shared" si="11"/>
        <v>4.4626400000000013</v>
      </c>
      <c r="J107" s="40">
        <f t="shared" si="12"/>
        <v>14.344200000000003</v>
      </c>
      <c r="K107" s="40">
        <f t="shared" si="13"/>
        <v>0.95628000000000013</v>
      </c>
      <c r="L107" s="40">
        <f t="shared" si="14"/>
        <v>0.47814000000000006</v>
      </c>
      <c r="M107" s="40">
        <f t="shared" si="15"/>
        <v>1.7531800000000002</v>
      </c>
      <c r="N107" s="40">
        <f t="shared" si="16"/>
        <v>2.1516300000000004</v>
      </c>
      <c r="O107" s="40">
        <f t="shared" si="17"/>
        <v>2.2313200000000006</v>
      </c>
      <c r="P107" s="40">
        <f t="shared" si="18"/>
        <v>31.477550000000004</v>
      </c>
      <c r="Q107" s="41">
        <f t="shared" si="19"/>
        <v>0</v>
      </c>
      <c r="R107" s="42">
        <v>5.1001600000000007</v>
      </c>
      <c r="S107" s="42">
        <v>4.4626400000000013</v>
      </c>
      <c r="T107" s="42">
        <v>14.344200000000003</v>
      </c>
      <c r="U107" s="42">
        <v>0.95628000000000013</v>
      </c>
      <c r="V107" s="42">
        <v>0.47814000000000006</v>
      </c>
      <c r="W107" s="42">
        <v>1.7531800000000002</v>
      </c>
      <c r="X107" s="42">
        <v>2.1516300000000004</v>
      </c>
      <c r="Y107" s="42">
        <v>2.2313200000000006</v>
      </c>
    </row>
    <row r="108" spans="3:25" ht="15" x14ac:dyDescent="0.2">
      <c r="C108" s="38" t="s">
        <v>130</v>
      </c>
      <c r="D108" s="38" t="s">
        <v>115</v>
      </c>
      <c r="E108" s="38" t="s">
        <v>119</v>
      </c>
      <c r="F108" s="38" t="s">
        <v>96</v>
      </c>
      <c r="G108" s="39">
        <v>0</v>
      </c>
      <c r="H108" s="40">
        <f t="shared" si="10"/>
        <v>10.332640000000001</v>
      </c>
      <c r="I108" s="40">
        <f t="shared" si="11"/>
        <v>9.0410600000000017</v>
      </c>
      <c r="J108" s="40">
        <f t="shared" si="12"/>
        <v>29.060550000000003</v>
      </c>
      <c r="K108" s="40">
        <f t="shared" si="13"/>
        <v>1.9373700000000003</v>
      </c>
      <c r="L108" s="40">
        <f t="shared" si="14"/>
        <v>0.96868500000000013</v>
      </c>
      <c r="M108" s="40">
        <f t="shared" si="15"/>
        <v>3.5518450000000006</v>
      </c>
      <c r="N108" s="40">
        <f t="shared" si="16"/>
        <v>4.3590825000000004</v>
      </c>
      <c r="O108" s="40">
        <f t="shared" si="17"/>
        <v>4.5205300000000008</v>
      </c>
      <c r="P108" s="40">
        <f t="shared" si="18"/>
        <v>63.771762500000008</v>
      </c>
      <c r="Q108" s="41">
        <f t="shared" si="19"/>
        <v>0</v>
      </c>
      <c r="R108" s="42">
        <v>10.332640000000001</v>
      </c>
      <c r="S108" s="42">
        <v>9.0410600000000017</v>
      </c>
      <c r="T108" s="42">
        <v>29.060550000000003</v>
      </c>
      <c r="U108" s="42">
        <v>1.9373700000000003</v>
      </c>
      <c r="V108" s="42">
        <v>0.96868500000000013</v>
      </c>
      <c r="W108" s="42">
        <v>3.5518450000000006</v>
      </c>
      <c r="X108" s="42">
        <v>4.3590825000000004</v>
      </c>
      <c r="Y108" s="42">
        <v>4.5205300000000008</v>
      </c>
    </row>
    <row r="109" spans="3:25" ht="15" x14ac:dyDescent="0.2">
      <c r="C109" s="38" t="s">
        <v>130</v>
      </c>
      <c r="D109" s="38" t="s">
        <v>115</v>
      </c>
      <c r="E109" s="38" t="s">
        <v>118</v>
      </c>
      <c r="F109" s="38" t="s">
        <v>96</v>
      </c>
      <c r="G109" s="39">
        <v>0</v>
      </c>
      <c r="H109" s="40">
        <f t="shared" si="10"/>
        <v>13.3904</v>
      </c>
      <c r="I109" s="40">
        <f t="shared" si="11"/>
        <v>11.716600000000001</v>
      </c>
      <c r="J109" s="40">
        <f t="shared" si="12"/>
        <v>37.660499999999999</v>
      </c>
      <c r="K109" s="40">
        <f t="shared" si="13"/>
        <v>2.5106999999999999</v>
      </c>
      <c r="L109" s="40">
        <f t="shared" si="14"/>
        <v>1.25535</v>
      </c>
      <c r="M109" s="40">
        <f t="shared" si="15"/>
        <v>4.6029499999999999</v>
      </c>
      <c r="N109" s="40">
        <f t="shared" si="16"/>
        <v>5.6490749999999998</v>
      </c>
      <c r="O109" s="40">
        <f t="shared" si="17"/>
        <v>5.8583000000000007</v>
      </c>
      <c r="P109" s="40">
        <f t="shared" si="18"/>
        <v>82.64387499999998</v>
      </c>
      <c r="Q109" s="41">
        <f t="shared" si="19"/>
        <v>0</v>
      </c>
      <c r="R109" s="42">
        <v>13.3904</v>
      </c>
      <c r="S109" s="42">
        <v>11.716600000000001</v>
      </c>
      <c r="T109" s="42">
        <v>37.660499999999999</v>
      </c>
      <c r="U109" s="42">
        <v>2.5106999999999999</v>
      </c>
      <c r="V109" s="42">
        <v>1.25535</v>
      </c>
      <c r="W109" s="42">
        <v>4.6029499999999999</v>
      </c>
      <c r="X109" s="42">
        <v>5.6490749999999998</v>
      </c>
      <c r="Y109" s="42">
        <v>5.8583000000000007</v>
      </c>
    </row>
    <row r="110" spans="3:25" ht="15" x14ac:dyDescent="0.2">
      <c r="C110" s="38" t="s">
        <v>130</v>
      </c>
      <c r="D110" s="38" t="s">
        <v>120</v>
      </c>
      <c r="E110" s="38" t="s">
        <v>116</v>
      </c>
      <c r="F110" s="38" t="s">
        <v>96</v>
      </c>
      <c r="G110" s="39">
        <v>0</v>
      </c>
      <c r="H110" s="40">
        <f t="shared" si="10"/>
        <v>10.012640000000001</v>
      </c>
      <c r="I110" s="40">
        <f t="shared" si="11"/>
        <v>8.7610600000000005</v>
      </c>
      <c r="J110" s="40">
        <f t="shared" si="12"/>
        <v>28.160550000000001</v>
      </c>
      <c r="K110" s="40">
        <f t="shared" si="13"/>
        <v>1.87737</v>
      </c>
      <c r="L110" s="40">
        <f t="shared" si="14"/>
        <v>0.93868499999999999</v>
      </c>
      <c r="M110" s="40">
        <f t="shared" si="15"/>
        <v>3.4418450000000003</v>
      </c>
      <c r="N110" s="40">
        <f t="shared" si="16"/>
        <v>4.2240824999999997</v>
      </c>
      <c r="O110" s="40">
        <f t="shared" si="17"/>
        <v>4.3805300000000003</v>
      </c>
      <c r="P110" s="40">
        <f t="shared" si="18"/>
        <v>61.796762500000007</v>
      </c>
      <c r="Q110" s="41">
        <f t="shared" si="19"/>
        <v>0</v>
      </c>
      <c r="R110" s="42">
        <v>10.012640000000001</v>
      </c>
      <c r="S110" s="42">
        <v>8.7610600000000005</v>
      </c>
      <c r="T110" s="42">
        <v>28.160550000000001</v>
      </c>
      <c r="U110" s="42">
        <v>1.87737</v>
      </c>
      <c r="V110" s="42">
        <v>0.93868499999999999</v>
      </c>
      <c r="W110" s="42">
        <v>3.4418450000000003</v>
      </c>
      <c r="X110" s="42">
        <v>4.2240824999999997</v>
      </c>
      <c r="Y110" s="42">
        <v>4.3805300000000003</v>
      </c>
    </row>
    <row r="111" spans="3:25" ht="15" x14ac:dyDescent="0.2">
      <c r="C111" s="38" t="s">
        <v>130</v>
      </c>
      <c r="D111" s="38" t="s">
        <v>120</v>
      </c>
      <c r="E111" s="38" t="s">
        <v>119</v>
      </c>
      <c r="F111" s="38" t="s">
        <v>96</v>
      </c>
      <c r="G111" s="39">
        <v>0</v>
      </c>
      <c r="H111" s="40">
        <f t="shared" si="10"/>
        <v>18.986560000000001</v>
      </c>
      <c r="I111" s="40">
        <f t="shared" si="11"/>
        <v>16.613240000000001</v>
      </c>
      <c r="J111" s="40">
        <f t="shared" si="12"/>
        <v>53.399700000000003</v>
      </c>
      <c r="K111" s="40">
        <f t="shared" si="13"/>
        <v>3.5599799999999999</v>
      </c>
      <c r="L111" s="40">
        <f t="shared" si="14"/>
        <v>1.77999</v>
      </c>
      <c r="M111" s="40">
        <f t="shared" si="15"/>
        <v>6.5266299999999999</v>
      </c>
      <c r="N111" s="40">
        <f t="shared" si="16"/>
        <v>8.0099549999999997</v>
      </c>
      <c r="O111" s="40">
        <f t="shared" si="17"/>
        <v>8.3066200000000006</v>
      </c>
      <c r="P111" s="40">
        <f t="shared" si="18"/>
        <v>117.182675</v>
      </c>
      <c r="Q111" s="41">
        <f t="shared" si="19"/>
        <v>0</v>
      </c>
      <c r="R111" s="42">
        <v>18.986560000000001</v>
      </c>
      <c r="S111" s="42">
        <v>16.613240000000001</v>
      </c>
      <c r="T111" s="42">
        <v>53.399700000000003</v>
      </c>
      <c r="U111" s="42">
        <v>3.5599799999999999</v>
      </c>
      <c r="V111" s="42">
        <v>1.77999</v>
      </c>
      <c r="W111" s="42">
        <v>6.5266299999999999</v>
      </c>
      <c r="X111" s="42">
        <v>8.0099549999999997</v>
      </c>
      <c r="Y111" s="42">
        <v>8.3066200000000006</v>
      </c>
    </row>
    <row r="112" spans="3:25" ht="15" x14ac:dyDescent="0.2">
      <c r="C112" s="38" t="s">
        <v>130</v>
      </c>
      <c r="D112" s="38" t="s">
        <v>120</v>
      </c>
      <c r="E112" s="38" t="s">
        <v>118</v>
      </c>
      <c r="F112" s="38" t="s">
        <v>96</v>
      </c>
      <c r="G112" s="39">
        <v>0</v>
      </c>
      <c r="H112" s="40">
        <f t="shared" si="10"/>
        <v>23</v>
      </c>
      <c r="I112" s="40">
        <f t="shared" si="11"/>
        <v>20.125000000000004</v>
      </c>
      <c r="J112" s="40">
        <f t="shared" si="12"/>
        <v>64.6875</v>
      </c>
      <c r="K112" s="40">
        <f t="shared" si="13"/>
        <v>4.3125</v>
      </c>
      <c r="L112" s="40">
        <f t="shared" si="14"/>
        <v>2.15625</v>
      </c>
      <c r="M112" s="40">
        <f t="shared" si="15"/>
        <v>7.90625</v>
      </c>
      <c r="N112" s="40">
        <f t="shared" si="16"/>
        <v>9.703125</v>
      </c>
      <c r="O112" s="40">
        <f t="shared" si="17"/>
        <v>10.062500000000002</v>
      </c>
      <c r="P112" s="40">
        <f t="shared" si="18"/>
        <v>141.953125</v>
      </c>
      <c r="Q112" s="41">
        <f t="shared" si="19"/>
        <v>0</v>
      </c>
      <c r="R112" s="42">
        <v>23</v>
      </c>
      <c r="S112" s="42">
        <v>20.125000000000004</v>
      </c>
      <c r="T112" s="42">
        <v>64.6875</v>
      </c>
      <c r="U112" s="42">
        <v>4.3125</v>
      </c>
      <c r="V112" s="42">
        <v>2.15625</v>
      </c>
      <c r="W112" s="42">
        <v>7.90625</v>
      </c>
      <c r="X112" s="42">
        <v>9.703125</v>
      </c>
      <c r="Y112" s="42">
        <v>10.062500000000002</v>
      </c>
    </row>
    <row r="113" spans="3:25" ht="15" x14ac:dyDescent="0.2">
      <c r="C113" s="38" t="s">
        <v>131</v>
      </c>
      <c r="D113" s="38" t="s">
        <v>115</v>
      </c>
      <c r="E113" s="38" t="s">
        <v>116</v>
      </c>
      <c r="F113" s="38" t="s">
        <v>96</v>
      </c>
      <c r="G113" s="39">
        <v>0</v>
      </c>
      <c r="H113" s="40">
        <f t="shared" si="10"/>
        <v>7.63856</v>
      </c>
      <c r="I113" s="40">
        <f t="shared" si="11"/>
        <v>6.6837400000000002</v>
      </c>
      <c r="J113" s="40">
        <f t="shared" si="12"/>
        <v>21.483450000000001</v>
      </c>
      <c r="K113" s="40">
        <f t="shared" si="13"/>
        <v>1.4322299999999999</v>
      </c>
      <c r="L113" s="40">
        <f t="shared" si="14"/>
        <v>0.71611499999999995</v>
      </c>
      <c r="M113" s="40">
        <f t="shared" si="15"/>
        <v>2.6257549999999998</v>
      </c>
      <c r="N113" s="40">
        <f t="shared" si="16"/>
        <v>3.2225174999999999</v>
      </c>
      <c r="O113" s="40">
        <f t="shared" si="17"/>
        <v>3.3418700000000001</v>
      </c>
      <c r="P113" s="40">
        <f t="shared" si="18"/>
        <v>47.144237500000003</v>
      </c>
      <c r="Q113" s="41">
        <f t="shared" si="19"/>
        <v>0</v>
      </c>
      <c r="R113" s="42">
        <v>7.63856</v>
      </c>
      <c r="S113" s="42">
        <v>6.6837400000000002</v>
      </c>
      <c r="T113" s="42">
        <v>21.483450000000001</v>
      </c>
      <c r="U113" s="42">
        <v>1.4322299999999999</v>
      </c>
      <c r="V113" s="42">
        <v>0.71611499999999995</v>
      </c>
      <c r="W113" s="42">
        <v>2.6257549999999998</v>
      </c>
      <c r="X113" s="42">
        <v>3.2225174999999999</v>
      </c>
      <c r="Y113" s="42">
        <v>3.3418700000000001</v>
      </c>
    </row>
    <row r="114" spans="3:25" ht="15" x14ac:dyDescent="0.2">
      <c r="C114" s="38" t="s">
        <v>131</v>
      </c>
      <c r="D114" s="38" t="s">
        <v>115</v>
      </c>
      <c r="E114" s="38" t="s">
        <v>119</v>
      </c>
      <c r="F114" s="38" t="s">
        <v>96</v>
      </c>
      <c r="G114" s="39">
        <v>0</v>
      </c>
      <c r="H114" s="40">
        <f t="shared" si="10"/>
        <v>15.37744</v>
      </c>
      <c r="I114" s="40">
        <f t="shared" si="11"/>
        <v>13.455260000000001</v>
      </c>
      <c r="J114" s="40">
        <f t="shared" si="12"/>
        <v>43.249049999999997</v>
      </c>
      <c r="K114" s="40">
        <f t="shared" si="13"/>
        <v>2.8832699999999996</v>
      </c>
      <c r="L114" s="40">
        <f t="shared" si="14"/>
        <v>1.4416349999999998</v>
      </c>
      <c r="M114" s="40">
        <f t="shared" si="15"/>
        <v>5.2859949999999998</v>
      </c>
      <c r="N114" s="40">
        <f t="shared" si="16"/>
        <v>6.487357499999999</v>
      </c>
      <c r="O114" s="40">
        <f t="shared" si="17"/>
        <v>6.7276300000000004</v>
      </c>
      <c r="P114" s="40">
        <f t="shared" si="18"/>
        <v>94.907637500000007</v>
      </c>
      <c r="Q114" s="41">
        <f t="shared" si="19"/>
        <v>0</v>
      </c>
      <c r="R114" s="42">
        <v>15.37744</v>
      </c>
      <c r="S114" s="42">
        <v>13.455260000000001</v>
      </c>
      <c r="T114" s="42">
        <v>43.249049999999997</v>
      </c>
      <c r="U114" s="42">
        <v>2.8832699999999996</v>
      </c>
      <c r="V114" s="42">
        <v>1.4416349999999998</v>
      </c>
      <c r="W114" s="42">
        <v>5.2859949999999998</v>
      </c>
      <c r="X114" s="42">
        <v>6.487357499999999</v>
      </c>
      <c r="Y114" s="42">
        <v>6.7276300000000004</v>
      </c>
    </row>
    <row r="115" spans="3:25" ht="15" x14ac:dyDescent="0.2">
      <c r="C115" s="38" t="s">
        <v>131</v>
      </c>
      <c r="D115" s="38" t="s">
        <v>115</v>
      </c>
      <c r="E115" s="38" t="s">
        <v>118</v>
      </c>
      <c r="F115" s="38" t="s">
        <v>96</v>
      </c>
      <c r="G115" s="39">
        <v>0</v>
      </c>
      <c r="H115" s="40">
        <f t="shared" si="10"/>
        <v>24.667040000000004</v>
      </c>
      <c r="I115" s="40">
        <f t="shared" si="11"/>
        <v>21.583660000000002</v>
      </c>
      <c r="J115" s="40">
        <f t="shared" si="12"/>
        <v>69.376050000000006</v>
      </c>
      <c r="K115" s="40">
        <f t="shared" si="13"/>
        <v>4.62507</v>
      </c>
      <c r="L115" s="40">
        <f t="shared" si="14"/>
        <v>2.312535</v>
      </c>
      <c r="M115" s="40">
        <f t="shared" si="15"/>
        <v>8.4792950000000005</v>
      </c>
      <c r="N115" s="40">
        <f t="shared" si="16"/>
        <v>10.4064075</v>
      </c>
      <c r="O115" s="40">
        <f t="shared" si="17"/>
        <v>10.791830000000001</v>
      </c>
      <c r="P115" s="40">
        <f t="shared" si="18"/>
        <v>152.24188750000002</v>
      </c>
      <c r="Q115" s="41">
        <f t="shared" si="19"/>
        <v>0</v>
      </c>
      <c r="R115" s="42">
        <v>24.667040000000004</v>
      </c>
      <c r="S115" s="42">
        <v>21.583660000000002</v>
      </c>
      <c r="T115" s="42">
        <v>69.376050000000006</v>
      </c>
      <c r="U115" s="42">
        <v>4.62507</v>
      </c>
      <c r="V115" s="42">
        <v>2.312535</v>
      </c>
      <c r="W115" s="42">
        <v>8.4792950000000005</v>
      </c>
      <c r="X115" s="42">
        <v>10.4064075</v>
      </c>
      <c r="Y115" s="42">
        <v>10.791830000000001</v>
      </c>
    </row>
    <row r="116" spans="3:25" ht="15" x14ac:dyDescent="0.2">
      <c r="C116" s="38" t="s">
        <v>131</v>
      </c>
      <c r="D116" s="38" t="s">
        <v>120</v>
      </c>
      <c r="E116" s="38" t="s">
        <v>116</v>
      </c>
      <c r="F116" s="38" t="s">
        <v>96</v>
      </c>
      <c r="G116" s="39">
        <v>0</v>
      </c>
      <c r="H116" s="40">
        <f t="shared" si="10"/>
        <v>10.812640000000002</v>
      </c>
      <c r="I116" s="40">
        <f t="shared" si="11"/>
        <v>9.4610600000000016</v>
      </c>
      <c r="J116" s="40">
        <f t="shared" si="12"/>
        <v>30.410550000000004</v>
      </c>
      <c r="K116" s="40">
        <f t="shared" si="13"/>
        <v>2.0273700000000003</v>
      </c>
      <c r="L116" s="40">
        <f t="shared" si="14"/>
        <v>1.0136850000000002</v>
      </c>
      <c r="M116" s="40">
        <f t="shared" si="15"/>
        <v>3.7168450000000006</v>
      </c>
      <c r="N116" s="40">
        <f t="shared" si="16"/>
        <v>4.5615825000000001</v>
      </c>
      <c r="O116" s="40">
        <f t="shared" si="17"/>
        <v>4.7305300000000008</v>
      </c>
      <c r="P116" s="40">
        <f t="shared" si="18"/>
        <v>66.7342625</v>
      </c>
      <c r="Q116" s="41">
        <f t="shared" si="19"/>
        <v>0</v>
      </c>
      <c r="R116" s="42">
        <v>10.812640000000002</v>
      </c>
      <c r="S116" s="42">
        <v>9.4610600000000016</v>
      </c>
      <c r="T116" s="42">
        <v>30.410550000000004</v>
      </c>
      <c r="U116" s="42">
        <v>2.0273700000000003</v>
      </c>
      <c r="V116" s="42">
        <v>1.0136850000000002</v>
      </c>
      <c r="W116" s="42">
        <v>3.7168450000000006</v>
      </c>
      <c r="X116" s="42">
        <v>4.5615825000000001</v>
      </c>
      <c r="Y116" s="42">
        <v>4.7305300000000008</v>
      </c>
    </row>
    <row r="117" spans="3:25" ht="15" x14ac:dyDescent="0.2">
      <c r="C117" s="38" t="s">
        <v>131</v>
      </c>
      <c r="D117" s="38" t="s">
        <v>120</v>
      </c>
      <c r="E117" s="38" t="s">
        <v>119</v>
      </c>
      <c r="F117" s="38" t="s">
        <v>96</v>
      </c>
      <c r="G117" s="39">
        <v>0</v>
      </c>
      <c r="H117" s="40">
        <f t="shared" si="10"/>
        <v>25.080000000000002</v>
      </c>
      <c r="I117" s="40">
        <f t="shared" si="11"/>
        <v>21.945000000000004</v>
      </c>
      <c r="J117" s="40">
        <f t="shared" si="12"/>
        <v>70.537500000000009</v>
      </c>
      <c r="K117" s="40">
        <f t="shared" si="13"/>
        <v>4.7024999999999997</v>
      </c>
      <c r="L117" s="40">
        <f t="shared" si="14"/>
        <v>2.3512499999999998</v>
      </c>
      <c r="M117" s="40">
        <f t="shared" si="15"/>
        <v>8.6212499999999999</v>
      </c>
      <c r="N117" s="40">
        <f t="shared" si="16"/>
        <v>10.580625000000001</v>
      </c>
      <c r="O117" s="40">
        <f t="shared" si="17"/>
        <v>10.972500000000002</v>
      </c>
      <c r="P117" s="40">
        <f t="shared" si="18"/>
        <v>154.79062500000001</v>
      </c>
      <c r="Q117" s="41">
        <f t="shared" si="19"/>
        <v>0</v>
      </c>
      <c r="R117" s="42">
        <v>25.080000000000002</v>
      </c>
      <c r="S117" s="42">
        <v>21.945000000000004</v>
      </c>
      <c r="T117" s="42">
        <v>70.537500000000009</v>
      </c>
      <c r="U117" s="42">
        <v>4.7024999999999997</v>
      </c>
      <c r="V117" s="42">
        <v>2.3512499999999998</v>
      </c>
      <c r="W117" s="42">
        <v>8.6212499999999999</v>
      </c>
      <c r="X117" s="42">
        <v>10.580625000000001</v>
      </c>
      <c r="Y117" s="42">
        <v>10.972500000000002</v>
      </c>
    </row>
    <row r="118" spans="3:25" ht="15" x14ac:dyDescent="0.2">
      <c r="C118" s="38" t="s">
        <v>131</v>
      </c>
      <c r="D118" s="38" t="s">
        <v>120</v>
      </c>
      <c r="E118" s="38" t="s">
        <v>118</v>
      </c>
      <c r="F118" s="38" t="s">
        <v>96</v>
      </c>
      <c r="G118" s="39">
        <v>0</v>
      </c>
      <c r="H118" s="40">
        <f t="shared" si="10"/>
        <v>51.712480000000006</v>
      </c>
      <c r="I118" s="40">
        <f t="shared" si="11"/>
        <v>45.24842000000001</v>
      </c>
      <c r="J118" s="40">
        <f t="shared" si="12"/>
        <v>145.44135000000003</v>
      </c>
      <c r="K118" s="40">
        <f t="shared" si="13"/>
        <v>9.6960899999999999</v>
      </c>
      <c r="L118" s="40">
        <f t="shared" si="14"/>
        <v>4.8480449999999999</v>
      </c>
      <c r="M118" s="40">
        <f t="shared" si="15"/>
        <v>17.776165000000002</v>
      </c>
      <c r="N118" s="40">
        <f t="shared" si="16"/>
        <v>21.816202500000003</v>
      </c>
      <c r="O118" s="40">
        <f t="shared" si="17"/>
        <v>22.624210000000005</v>
      </c>
      <c r="P118" s="40">
        <f t="shared" si="18"/>
        <v>319.16296249999999</v>
      </c>
      <c r="Q118" s="41">
        <f t="shared" si="19"/>
        <v>0</v>
      </c>
      <c r="R118" s="42">
        <v>51.712480000000006</v>
      </c>
      <c r="S118" s="42">
        <v>45.24842000000001</v>
      </c>
      <c r="T118" s="42">
        <v>145.44135000000003</v>
      </c>
      <c r="U118" s="42">
        <v>9.6960899999999999</v>
      </c>
      <c r="V118" s="42">
        <v>4.8480449999999999</v>
      </c>
      <c r="W118" s="42">
        <v>17.776165000000002</v>
      </c>
      <c r="X118" s="42">
        <v>21.816202500000003</v>
      </c>
      <c r="Y118" s="42">
        <v>22.624210000000005</v>
      </c>
    </row>
    <row r="119" spans="3:25" ht="15" x14ac:dyDescent="0.2">
      <c r="C119" s="38" t="s">
        <v>132</v>
      </c>
      <c r="D119" s="38" t="s">
        <v>115</v>
      </c>
      <c r="E119" s="38" t="s">
        <v>116</v>
      </c>
      <c r="F119" s="38" t="s">
        <v>96</v>
      </c>
      <c r="G119" s="39">
        <v>0</v>
      </c>
      <c r="H119" s="40">
        <f t="shared" si="10"/>
        <v>7.9542399999999995</v>
      </c>
      <c r="I119" s="40">
        <f t="shared" si="11"/>
        <v>6.9599600000000006</v>
      </c>
      <c r="J119" s="40">
        <f t="shared" si="12"/>
        <v>22.371300000000002</v>
      </c>
      <c r="K119" s="40">
        <f t="shared" si="13"/>
        <v>1.49142</v>
      </c>
      <c r="L119" s="40">
        <f t="shared" si="14"/>
        <v>0.74570999999999998</v>
      </c>
      <c r="M119" s="40">
        <f t="shared" si="15"/>
        <v>2.73427</v>
      </c>
      <c r="N119" s="40">
        <f t="shared" si="16"/>
        <v>3.3556950000000003</v>
      </c>
      <c r="O119" s="40">
        <f t="shared" si="17"/>
        <v>3.4799800000000003</v>
      </c>
      <c r="P119" s="40">
        <f t="shared" si="18"/>
        <v>49.092574999999997</v>
      </c>
      <c r="Q119" s="41">
        <f t="shared" si="19"/>
        <v>0</v>
      </c>
      <c r="R119" s="42">
        <v>7.9542399999999995</v>
      </c>
      <c r="S119" s="42">
        <v>6.9599600000000006</v>
      </c>
      <c r="T119" s="42">
        <v>22.371300000000002</v>
      </c>
      <c r="U119" s="42">
        <v>1.49142</v>
      </c>
      <c r="V119" s="42">
        <v>0.74570999999999998</v>
      </c>
      <c r="W119" s="42">
        <v>2.73427</v>
      </c>
      <c r="X119" s="42">
        <v>3.3556950000000003</v>
      </c>
      <c r="Y119" s="42">
        <v>3.4799800000000003</v>
      </c>
    </row>
    <row r="120" spans="3:25" ht="15" x14ac:dyDescent="0.2">
      <c r="C120" s="38" t="s">
        <v>132</v>
      </c>
      <c r="D120" s="38" t="s">
        <v>115</v>
      </c>
      <c r="E120" s="38" t="s">
        <v>119</v>
      </c>
      <c r="F120" s="38" t="s">
        <v>96</v>
      </c>
      <c r="G120" s="39">
        <v>0</v>
      </c>
      <c r="H120" s="40">
        <f t="shared" si="10"/>
        <v>25.214079999999999</v>
      </c>
      <c r="I120" s="40">
        <f t="shared" si="11"/>
        <v>22.06232</v>
      </c>
      <c r="J120" s="40">
        <f t="shared" si="12"/>
        <v>70.914599999999993</v>
      </c>
      <c r="K120" s="40">
        <f t="shared" si="13"/>
        <v>4.7276400000000001</v>
      </c>
      <c r="L120" s="40">
        <f t="shared" si="14"/>
        <v>2.36382</v>
      </c>
      <c r="M120" s="40">
        <f t="shared" si="15"/>
        <v>8.6673399999999994</v>
      </c>
      <c r="N120" s="40">
        <f t="shared" si="16"/>
        <v>10.637189999999999</v>
      </c>
      <c r="O120" s="40">
        <f t="shared" si="17"/>
        <v>11.03116</v>
      </c>
      <c r="P120" s="40">
        <f t="shared" si="18"/>
        <v>155.61814999999999</v>
      </c>
      <c r="Q120" s="41">
        <f t="shared" si="19"/>
        <v>0</v>
      </c>
      <c r="R120" s="42">
        <v>25.214079999999999</v>
      </c>
      <c r="S120" s="42">
        <v>22.06232</v>
      </c>
      <c r="T120" s="42">
        <v>70.914599999999993</v>
      </c>
      <c r="U120" s="42">
        <v>4.7276400000000001</v>
      </c>
      <c r="V120" s="42">
        <v>2.36382</v>
      </c>
      <c r="W120" s="42">
        <v>8.6673399999999994</v>
      </c>
      <c r="X120" s="42">
        <v>10.637189999999999</v>
      </c>
      <c r="Y120" s="42">
        <v>11.03116</v>
      </c>
    </row>
    <row r="121" spans="3:25" ht="15" x14ac:dyDescent="0.2">
      <c r="C121" s="38" t="s">
        <v>132</v>
      </c>
      <c r="D121" s="38" t="s">
        <v>115</v>
      </c>
      <c r="E121" s="38" t="s">
        <v>118</v>
      </c>
      <c r="F121" s="38" t="s">
        <v>96</v>
      </c>
      <c r="G121" s="39">
        <v>0</v>
      </c>
      <c r="H121" s="40">
        <f t="shared" si="10"/>
        <v>62.11392</v>
      </c>
      <c r="I121" s="40">
        <f t="shared" si="11"/>
        <v>54.349680000000006</v>
      </c>
      <c r="J121" s="40">
        <f t="shared" si="12"/>
        <v>174.69540000000001</v>
      </c>
      <c r="K121" s="40">
        <f t="shared" si="13"/>
        <v>11.64636</v>
      </c>
      <c r="L121" s="40">
        <f t="shared" si="14"/>
        <v>5.8231799999999998</v>
      </c>
      <c r="M121" s="40">
        <f t="shared" si="15"/>
        <v>21.351659999999999</v>
      </c>
      <c r="N121" s="40">
        <f t="shared" si="16"/>
        <v>26.20431</v>
      </c>
      <c r="O121" s="40">
        <f t="shared" si="17"/>
        <v>27.174840000000003</v>
      </c>
      <c r="P121" s="40">
        <f t="shared" si="18"/>
        <v>383.35935000000001</v>
      </c>
      <c r="Q121" s="41">
        <f t="shared" si="19"/>
        <v>0</v>
      </c>
      <c r="R121" s="42">
        <v>62.11392</v>
      </c>
      <c r="S121" s="42">
        <v>54.349680000000006</v>
      </c>
      <c r="T121" s="42">
        <v>174.69540000000001</v>
      </c>
      <c r="U121" s="42">
        <v>11.64636</v>
      </c>
      <c r="V121" s="42">
        <v>5.8231799999999998</v>
      </c>
      <c r="W121" s="42">
        <v>21.351659999999999</v>
      </c>
      <c r="X121" s="42">
        <v>26.20431</v>
      </c>
      <c r="Y121" s="42">
        <v>27.174840000000003</v>
      </c>
    </row>
    <row r="122" spans="3:25" ht="15" x14ac:dyDescent="0.2">
      <c r="C122" s="38" t="s">
        <v>132</v>
      </c>
      <c r="D122" s="38" t="s">
        <v>120</v>
      </c>
      <c r="E122" s="38" t="s">
        <v>116</v>
      </c>
      <c r="F122" s="38" t="s">
        <v>96</v>
      </c>
      <c r="G122" s="39">
        <v>0</v>
      </c>
      <c r="H122" s="40">
        <f t="shared" si="10"/>
        <v>15.592800000000002</v>
      </c>
      <c r="I122" s="40">
        <f t="shared" si="11"/>
        <v>13.643700000000003</v>
      </c>
      <c r="J122" s="40">
        <f t="shared" si="12"/>
        <v>43.85475000000001</v>
      </c>
      <c r="K122" s="40">
        <f t="shared" si="13"/>
        <v>2.9236500000000003</v>
      </c>
      <c r="L122" s="40">
        <f t="shared" si="14"/>
        <v>1.4618250000000002</v>
      </c>
      <c r="M122" s="40">
        <f t="shared" si="15"/>
        <v>5.3600250000000011</v>
      </c>
      <c r="N122" s="40">
        <f t="shared" si="16"/>
        <v>6.5782125000000011</v>
      </c>
      <c r="O122" s="40">
        <f t="shared" si="17"/>
        <v>6.8218500000000013</v>
      </c>
      <c r="P122" s="40">
        <f t="shared" si="18"/>
        <v>96.236812500000028</v>
      </c>
      <c r="Q122" s="41">
        <f t="shared" si="19"/>
        <v>0</v>
      </c>
      <c r="R122" s="42">
        <v>15.592800000000002</v>
      </c>
      <c r="S122" s="42">
        <v>13.643700000000003</v>
      </c>
      <c r="T122" s="42">
        <v>43.85475000000001</v>
      </c>
      <c r="U122" s="42">
        <v>2.9236500000000003</v>
      </c>
      <c r="V122" s="42">
        <v>1.4618250000000002</v>
      </c>
      <c r="W122" s="42">
        <v>5.3600250000000011</v>
      </c>
      <c r="X122" s="42">
        <v>6.5782125000000011</v>
      </c>
      <c r="Y122" s="42">
        <v>6.8218500000000013</v>
      </c>
    </row>
    <row r="123" spans="3:25" ht="15" x14ac:dyDescent="0.2">
      <c r="C123" s="38" t="s">
        <v>132</v>
      </c>
      <c r="D123" s="38" t="s">
        <v>120</v>
      </c>
      <c r="E123" s="38" t="s">
        <v>119</v>
      </c>
      <c r="F123" s="38" t="s">
        <v>96</v>
      </c>
      <c r="G123" s="39">
        <v>0</v>
      </c>
      <c r="H123" s="40">
        <f t="shared" si="10"/>
        <v>33.87968</v>
      </c>
      <c r="I123" s="40">
        <f t="shared" si="11"/>
        <v>29.644720000000007</v>
      </c>
      <c r="J123" s="40">
        <f t="shared" si="12"/>
        <v>95.286600000000007</v>
      </c>
      <c r="K123" s="40">
        <f t="shared" si="13"/>
        <v>6.3524400000000005</v>
      </c>
      <c r="L123" s="40">
        <f t="shared" si="14"/>
        <v>3.1762200000000003</v>
      </c>
      <c r="M123" s="40">
        <f t="shared" si="15"/>
        <v>11.646140000000001</v>
      </c>
      <c r="N123" s="40">
        <f t="shared" si="16"/>
        <v>14.292990000000001</v>
      </c>
      <c r="O123" s="40">
        <f t="shared" si="17"/>
        <v>14.822360000000003</v>
      </c>
      <c r="P123" s="40">
        <f t="shared" si="18"/>
        <v>209.10115000000002</v>
      </c>
      <c r="Q123" s="41">
        <f t="shared" si="19"/>
        <v>0</v>
      </c>
      <c r="R123" s="42">
        <v>33.87968</v>
      </c>
      <c r="S123" s="42">
        <v>29.644720000000007</v>
      </c>
      <c r="T123" s="42">
        <v>95.286600000000007</v>
      </c>
      <c r="U123" s="42">
        <v>6.3524400000000005</v>
      </c>
      <c r="V123" s="42">
        <v>3.1762200000000003</v>
      </c>
      <c r="W123" s="42">
        <v>11.646140000000001</v>
      </c>
      <c r="X123" s="42">
        <v>14.292990000000001</v>
      </c>
      <c r="Y123" s="42">
        <v>14.822360000000003</v>
      </c>
    </row>
    <row r="124" spans="3:25" ht="15" x14ac:dyDescent="0.2">
      <c r="C124" s="38" t="s">
        <v>132</v>
      </c>
      <c r="D124" s="38" t="s">
        <v>120</v>
      </c>
      <c r="E124" s="38" t="s">
        <v>118</v>
      </c>
      <c r="F124" s="38" t="s">
        <v>96</v>
      </c>
      <c r="G124" s="39">
        <v>0</v>
      </c>
      <c r="H124" s="40">
        <f t="shared" si="10"/>
        <v>79.338719999999995</v>
      </c>
      <c r="I124" s="40">
        <f t="shared" si="11"/>
        <v>69.421379999999999</v>
      </c>
      <c r="J124" s="40">
        <f t="shared" si="12"/>
        <v>223.14014999999998</v>
      </c>
      <c r="K124" s="40">
        <f t="shared" si="13"/>
        <v>14.876009999999999</v>
      </c>
      <c r="L124" s="40">
        <f t="shared" si="14"/>
        <v>7.4380049999999995</v>
      </c>
      <c r="M124" s="40">
        <f t="shared" si="15"/>
        <v>27.272684999999999</v>
      </c>
      <c r="N124" s="40">
        <f t="shared" si="16"/>
        <v>33.471022499999997</v>
      </c>
      <c r="O124" s="40">
        <f t="shared" si="17"/>
        <v>34.71069</v>
      </c>
      <c r="P124" s="40">
        <f t="shared" si="18"/>
        <v>489.66866249999998</v>
      </c>
      <c r="Q124" s="41">
        <f t="shared" si="19"/>
        <v>0</v>
      </c>
      <c r="R124" s="42">
        <v>79.338719999999995</v>
      </c>
      <c r="S124" s="42">
        <v>69.421379999999999</v>
      </c>
      <c r="T124" s="42">
        <v>223.14014999999998</v>
      </c>
      <c r="U124" s="42">
        <v>14.876009999999999</v>
      </c>
      <c r="V124" s="42">
        <v>7.4380049999999995</v>
      </c>
      <c r="W124" s="42">
        <v>27.272684999999999</v>
      </c>
      <c r="X124" s="42">
        <v>33.471022499999997</v>
      </c>
      <c r="Y124" s="42">
        <v>34.71069</v>
      </c>
    </row>
    <row r="125" spans="3:25" ht="15" x14ac:dyDescent="0.2">
      <c r="C125" s="38" t="s">
        <v>133</v>
      </c>
      <c r="D125" s="38" t="s">
        <v>115</v>
      </c>
      <c r="E125" s="38" t="s">
        <v>116</v>
      </c>
      <c r="F125" s="38" t="s">
        <v>96</v>
      </c>
      <c r="G125" s="39">
        <v>0</v>
      </c>
      <c r="H125" s="40">
        <f t="shared" si="10"/>
        <v>5.2718400000000001</v>
      </c>
      <c r="I125" s="40">
        <f t="shared" si="11"/>
        <v>4.6128600000000004</v>
      </c>
      <c r="J125" s="40">
        <f t="shared" si="12"/>
        <v>14.82705</v>
      </c>
      <c r="K125" s="40">
        <f t="shared" si="13"/>
        <v>0.98846999999999996</v>
      </c>
      <c r="L125" s="40">
        <f t="shared" si="14"/>
        <v>0.49423499999999998</v>
      </c>
      <c r="M125" s="40">
        <f t="shared" si="15"/>
        <v>1.812195</v>
      </c>
      <c r="N125" s="40">
        <f t="shared" si="16"/>
        <v>2.2240574999999998</v>
      </c>
      <c r="O125" s="40">
        <f t="shared" si="17"/>
        <v>2.3064300000000002</v>
      </c>
      <c r="P125" s="40">
        <f t="shared" si="18"/>
        <v>32.5371375</v>
      </c>
      <c r="Q125" s="41">
        <f t="shared" si="19"/>
        <v>0</v>
      </c>
      <c r="R125" s="42">
        <v>5.2718400000000001</v>
      </c>
      <c r="S125" s="42">
        <v>4.6128600000000004</v>
      </c>
      <c r="T125" s="42">
        <v>14.82705</v>
      </c>
      <c r="U125" s="42">
        <v>0.98846999999999996</v>
      </c>
      <c r="V125" s="42">
        <v>0.49423499999999998</v>
      </c>
      <c r="W125" s="42">
        <v>1.812195</v>
      </c>
      <c r="X125" s="42">
        <v>2.2240574999999998</v>
      </c>
      <c r="Y125" s="42">
        <v>2.3064300000000002</v>
      </c>
    </row>
    <row r="126" spans="3:25" ht="15" x14ac:dyDescent="0.2">
      <c r="C126" s="38" t="s">
        <v>133</v>
      </c>
      <c r="D126" s="38" t="s">
        <v>115</v>
      </c>
      <c r="E126" s="38" t="s">
        <v>119</v>
      </c>
      <c r="F126" s="38" t="s">
        <v>96</v>
      </c>
      <c r="G126" s="39">
        <v>0</v>
      </c>
      <c r="H126" s="40">
        <f t="shared" si="10"/>
        <v>7.1585600000000005</v>
      </c>
      <c r="I126" s="40">
        <f t="shared" si="11"/>
        <v>6.2637400000000003</v>
      </c>
      <c r="J126" s="40">
        <f t="shared" si="12"/>
        <v>20.13345</v>
      </c>
      <c r="K126" s="40">
        <f t="shared" si="13"/>
        <v>1.34223</v>
      </c>
      <c r="L126" s="40">
        <f t="shared" si="14"/>
        <v>0.67111500000000002</v>
      </c>
      <c r="M126" s="40">
        <f t="shared" si="15"/>
        <v>2.4607549999999998</v>
      </c>
      <c r="N126" s="40">
        <f t="shared" si="16"/>
        <v>3.0200174999999998</v>
      </c>
      <c r="O126" s="40">
        <f t="shared" si="17"/>
        <v>3.1318700000000002</v>
      </c>
      <c r="P126" s="40">
        <f t="shared" si="18"/>
        <v>44.181737500000004</v>
      </c>
      <c r="Q126" s="41">
        <f t="shared" si="19"/>
        <v>0</v>
      </c>
      <c r="R126" s="42">
        <v>7.1585600000000005</v>
      </c>
      <c r="S126" s="42">
        <v>6.2637400000000003</v>
      </c>
      <c r="T126" s="42">
        <v>20.13345</v>
      </c>
      <c r="U126" s="42">
        <v>1.34223</v>
      </c>
      <c r="V126" s="42">
        <v>0.67111500000000002</v>
      </c>
      <c r="W126" s="42">
        <v>2.4607549999999998</v>
      </c>
      <c r="X126" s="42">
        <v>3.0200174999999998</v>
      </c>
      <c r="Y126" s="42">
        <v>3.1318700000000002</v>
      </c>
    </row>
    <row r="127" spans="3:25" ht="15" x14ac:dyDescent="0.2">
      <c r="C127" s="38" t="s">
        <v>133</v>
      </c>
      <c r="D127" s="38" t="s">
        <v>115</v>
      </c>
      <c r="E127" s="38" t="s">
        <v>118</v>
      </c>
      <c r="F127" s="38" t="s">
        <v>96</v>
      </c>
      <c r="G127" s="39">
        <v>0</v>
      </c>
      <c r="H127" s="40">
        <f t="shared" si="10"/>
        <v>8.8255999999999997</v>
      </c>
      <c r="I127" s="40">
        <f t="shared" si="11"/>
        <v>7.7224000000000004</v>
      </c>
      <c r="J127" s="40">
        <f t="shared" si="12"/>
        <v>24.821999999999999</v>
      </c>
      <c r="K127" s="40">
        <f t="shared" si="13"/>
        <v>1.6547999999999998</v>
      </c>
      <c r="L127" s="40">
        <f t="shared" si="14"/>
        <v>0.82739999999999991</v>
      </c>
      <c r="M127" s="40">
        <f t="shared" si="15"/>
        <v>3.0337999999999998</v>
      </c>
      <c r="N127" s="40">
        <f t="shared" si="16"/>
        <v>3.7232999999999996</v>
      </c>
      <c r="O127" s="40">
        <f t="shared" si="17"/>
        <v>3.8612000000000002</v>
      </c>
      <c r="P127" s="40">
        <f t="shared" si="18"/>
        <v>54.470500000000001</v>
      </c>
      <c r="Q127" s="41">
        <f t="shared" si="19"/>
        <v>0</v>
      </c>
      <c r="R127" s="42">
        <v>8.8255999999999997</v>
      </c>
      <c r="S127" s="42">
        <v>7.7224000000000004</v>
      </c>
      <c r="T127" s="42">
        <v>24.821999999999999</v>
      </c>
      <c r="U127" s="42">
        <v>1.6547999999999998</v>
      </c>
      <c r="V127" s="42">
        <v>0.82739999999999991</v>
      </c>
      <c r="W127" s="42">
        <v>3.0337999999999998</v>
      </c>
      <c r="X127" s="42">
        <v>3.7232999999999996</v>
      </c>
      <c r="Y127" s="42">
        <v>3.8612000000000002</v>
      </c>
    </row>
    <row r="128" spans="3:25" ht="15" x14ac:dyDescent="0.2">
      <c r="C128" s="38" t="s">
        <v>133</v>
      </c>
      <c r="D128" s="38" t="s">
        <v>120</v>
      </c>
      <c r="E128" s="38" t="s">
        <v>116</v>
      </c>
      <c r="F128" s="38" t="s">
        <v>96</v>
      </c>
      <c r="G128" s="39">
        <v>0</v>
      </c>
      <c r="H128" s="40">
        <f t="shared" si="10"/>
        <v>6.767199999999999</v>
      </c>
      <c r="I128" s="40">
        <f t="shared" si="11"/>
        <v>5.9212999999999996</v>
      </c>
      <c r="J128" s="40">
        <f t="shared" si="12"/>
        <v>19.032749999999997</v>
      </c>
      <c r="K128" s="40">
        <f t="shared" si="13"/>
        <v>1.2688499999999998</v>
      </c>
      <c r="L128" s="40">
        <f t="shared" si="14"/>
        <v>0.63442499999999991</v>
      </c>
      <c r="M128" s="40">
        <f t="shared" si="15"/>
        <v>2.3262249999999995</v>
      </c>
      <c r="N128" s="40">
        <f t="shared" si="16"/>
        <v>2.8549124999999993</v>
      </c>
      <c r="O128" s="40">
        <f t="shared" si="17"/>
        <v>2.9606499999999998</v>
      </c>
      <c r="P128" s="40">
        <f t="shared" si="18"/>
        <v>41.766312499999991</v>
      </c>
      <c r="Q128" s="41">
        <f t="shared" si="19"/>
        <v>0</v>
      </c>
      <c r="R128" s="42">
        <v>6.767199999999999</v>
      </c>
      <c r="S128" s="42">
        <v>5.9212999999999996</v>
      </c>
      <c r="T128" s="42">
        <v>19.032749999999997</v>
      </c>
      <c r="U128" s="42">
        <v>1.2688499999999998</v>
      </c>
      <c r="V128" s="42">
        <v>0.63442499999999991</v>
      </c>
      <c r="W128" s="42">
        <v>2.3262249999999995</v>
      </c>
      <c r="X128" s="42">
        <v>2.8549124999999993</v>
      </c>
      <c r="Y128" s="42">
        <v>2.9606499999999998</v>
      </c>
    </row>
    <row r="129" spans="3:25" ht="15" x14ac:dyDescent="0.2">
      <c r="C129" s="38" t="s">
        <v>133</v>
      </c>
      <c r="D129" s="38" t="s">
        <v>120</v>
      </c>
      <c r="E129" s="38" t="s">
        <v>119</v>
      </c>
      <c r="F129" s="38" t="s">
        <v>96</v>
      </c>
      <c r="G129" s="39">
        <v>0</v>
      </c>
      <c r="H129" s="40">
        <f t="shared" si="10"/>
        <v>12.219360000000002</v>
      </c>
      <c r="I129" s="40">
        <f t="shared" si="11"/>
        <v>10.691940000000002</v>
      </c>
      <c r="J129" s="40">
        <f t="shared" si="12"/>
        <v>34.366950000000003</v>
      </c>
      <c r="K129" s="40">
        <f t="shared" si="13"/>
        <v>2.2911300000000003</v>
      </c>
      <c r="L129" s="40">
        <f t="shared" si="14"/>
        <v>1.1455650000000002</v>
      </c>
      <c r="M129" s="40">
        <f t="shared" si="15"/>
        <v>4.2004050000000008</v>
      </c>
      <c r="N129" s="40">
        <f t="shared" si="16"/>
        <v>5.1550425000000004</v>
      </c>
      <c r="O129" s="40">
        <f t="shared" si="17"/>
        <v>5.3459700000000012</v>
      </c>
      <c r="P129" s="40">
        <f t="shared" si="18"/>
        <v>75.416362499999991</v>
      </c>
      <c r="Q129" s="41">
        <f t="shared" si="19"/>
        <v>0</v>
      </c>
      <c r="R129" s="42">
        <v>12.219360000000002</v>
      </c>
      <c r="S129" s="42">
        <v>10.691940000000002</v>
      </c>
      <c r="T129" s="42">
        <v>34.366950000000003</v>
      </c>
      <c r="U129" s="42">
        <v>2.2911300000000003</v>
      </c>
      <c r="V129" s="42">
        <v>1.1455650000000002</v>
      </c>
      <c r="W129" s="42">
        <v>4.2004050000000008</v>
      </c>
      <c r="X129" s="42">
        <v>5.1550425000000004</v>
      </c>
      <c r="Y129" s="42">
        <v>5.3459700000000012</v>
      </c>
    </row>
    <row r="130" spans="3:25" ht="15" x14ac:dyDescent="0.2">
      <c r="C130" s="38" t="s">
        <v>133</v>
      </c>
      <c r="D130" s="38" t="s">
        <v>120</v>
      </c>
      <c r="E130" s="38" t="s">
        <v>118</v>
      </c>
      <c r="F130" s="38" t="s">
        <v>96</v>
      </c>
      <c r="G130" s="39">
        <v>0</v>
      </c>
      <c r="H130" s="40">
        <f t="shared" si="10"/>
        <v>22.36</v>
      </c>
      <c r="I130" s="40">
        <f t="shared" si="11"/>
        <v>19.565000000000001</v>
      </c>
      <c r="J130" s="40">
        <f t="shared" si="12"/>
        <v>62.887500000000003</v>
      </c>
      <c r="K130" s="40">
        <f t="shared" si="13"/>
        <v>4.1924999999999999</v>
      </c>
      <c r="L130" s="40">
        <f t="shared" si="14"/>
        <v>2.0962499999999999</v>
      </c>
      <c r="M130" s="40">
        <f t="shared" si="15"/>
        <v>7.6862500000000002</v>
      </c>
      <c r="N130" s="40">
        <f t="shared" si="16"/>
        <v>9.4331250000000004</v>
      </c>
      <c r="O130" s="40">
        <f t="shared" si="17"/>
        <v>9.7825000000000006</v>
      </c>
      <c r="P130" s="40">
        <f t="shared" si="18"/>
        <v>138.00312499999998</v>
      </c>
      <c r="Q130" s="41">
        <f t="shared" si="19"/>
        <v>0</v>
      </c>
      <c r="R130" s="42">
        <v>22.36</v>
      </c>
      <c r="S130" s="42">
        <v>19.565000000000001</v>
      </c>
      <c r="T130" s="42">
        <v>62.887500000000003</v>
      </c>
      <c r="U130" s="42">
        <v>4.1924999999999999</v>
      </c>
      <c r="V130" s="42">
        <v>2.0962499999999999</v>
      </c>
      <c r="W130" s="42">
        <v>7.6862500000000002</v>
      </c>
      <c r="X130" s="42">
        <v>9.4331250000000004</v>
      </c>
      <c r="Y130" s="42">
        <v>9.7825000000000006</v>
      </c>
    </row>
    <row r="131" spans="3:25" ht="15" x14ac:dyDescent="0.2">
      <c r="C131" s="38" t="s">
        <v>134</v>
      </c>
      <c r="D131" s="38" t="s">
        <v>115</v>
      </c>
      <c r="E131" s="38" t="s">
        <v>116</v>
      </c>
      <c r="F131" s="38" t="s">
        <v>96</v>
      </c>
      <c r="G131" s="39">
        <v>0</v>
      </c>
      <c r="H131" s="40">
        <f t="shared" si="10"/>
        <v>7.9542399999999995</v>
      </c>
      <c r="I131" s="40">
        <f t="shared" si="11"/>
        <v>6.9599600000000006</v>
      </c>
      <c r="J131" s="40">
        <f t="shared" si="12"/>
        <v>22.371300000000002</v>
      </c>
      <c r="K131" s="40">
        <f t="shared" si="13"/>
        <v>1.49142</v>
      </c>
      <c r="L131" s="40">
        <f t="shared" si="14"/>
        <v>0.74570999999999998</v>
      </c>
      <c r="M131" s="40">
        <f t="shared" si="15"/>
        <v>2.73427</v>
      </c>
      <c r="N131" s="40">
        <f t="shared" si="16"/>
        <v>3.3556950000000003</v>
      </c>
      <c r="O131" s="40">
        <f t="shared" si="17"/>
        <v>3.4799800000000003</v>
      </c>
      <c r="P131" s="40">
        <f t="shared" si="18"/>
        <v>49.092574999999997</v>
      </c>
      <c r="Q131" s="41">
        <f t="shared" si="19"/>
        <v>0</v>
      </c>
      <c r="R131" s="42">
        <v>7.9542399999999995</v>
      </c>
      <c r="S131" s="42">
        <v>6.9599600000000006</v>
      </c>
      <c r="T131" s="42">
        <v>22.371300000000002</v>
      </c>
      <c r="U131" s="42">
        <v>1.49142</v>
      </c>
      <c r="V131" s="42">
        <v>0.74570999999999998</v>
      </c>
      <c r="W131" s="42">
        <v>2.73427</v>
      </c>
      <c r="X131" s="42">
        <v>3.3556950000000003</v>
      </c>
      <c r="Y131" s="42">
        <v>3.4799800000000003</v>
      </c>
    </row>
    <row r="132" spans="3:25" ht="15" x14ac:dyDescent="0.2">
      <c r="C132" s="38" t="s">
        <v>134</v>
      </c>
      <c r="D132" s="38" t="s">
        <v>115</v>
      </c>
      <c r="E132" s="38" t="s">
        <v>119</v>
      </c>
      <c r="F132" s="38" t="s">
        <v>96</v>
      </c>
      <c r="G132" s="39">
        <v>0</v>
      </c>
      <c r="H132" s="40">
        <f t="shared" si="10"/>
        <v>32.052639999999997</v>
      </c>
      <c r="I132" s="40">
        <f t="shared" si="11"/>
        <v>28.046060000000001</v>
      </c>
      <c r="J132" s="40">
        <f t="shared" si="12"/>
        <v>90.148049999999998</v>
      </c>
      <c r="K132" s="40">
        <f t="shared" si="13"/>
        <v>6.0098699999999994</v>
      </c>
      <c r="L132" s="40">
        <f t="shared" si="14"/>
        <v>3.0049349999999997</v>
      </c>
      <c r="M132" s="40">
        <f t="shared" si="15"/>
        <v>11.018094999999999</v>
      </c>
      <c r="N132" s="40">
        <f t="shared" si="16"/>
        <v>13.522207499999999</v>
      </c>
      <c r="O132" s="40">
        <f t="shared" si="17"/>
        <v>14.02303</v>
      </c>
      <c r="P132" s="40">
        <f t="shared" si="18"/>
        <v>197.82488749999999</v>
      </c>
      <c r="Q132" s="41">
        <f t="shared" si="19"/>
        <v>0</v>
      </c>
      <c r="R132" s="42">
        <v>32.052639999999997</v>
      </c>
      <c r="S132" s="42">
        <v>28.046060000000001</v>
      </c>
      <c r="T132" s="42">
        <v>90.148049999999998</v>
      </c>
      <c r="U132" s="42">
        <v>6.0098699999999994</v>
      </c>
      <c r="V132" s="42">
        <v>3.0049349999999997</v>
      </c>
      <c r="W132" s="42">
        <v>11.018094999999999</v>
      </c>
      <c r="X132" s="42">
        <v>13.522207499999999</v>
      </c>
      <c r="Y132" s="42">
        <v>14.02303</v>
      </c>
    </row>
    <row r="133" spans="3:25" ht="15" x14ac:dyDescent="0.2">
      <c r="C133" s="38" t="s">
        <v>134</v>
      </c>
      <c r="D133" s="38" t="s">
        <v>115</v>
      </c>
      <c r="E133" s="38" t="s">
        <v>118</v>
      </c>
      <c r="F133" s="38" t="s">
        <v>96</v>
      </c>
      <c r="G133" s="39">
        <v>0</v>
      </c>
      <c r="H133" s="40">
        <f t="shared" si="10"/>
        <v>43.400640000000003</v>
      </c>
      <c r="I133" s="40">
        <f t="shared" si="11"/>
        <v>37.975560000000009</v>
      </c>
      <c r="J133" s="40">
        <f t="shared" si="12"/>
        <v>122.06430000000002</v>
      </c>
      <c r="K133" s="40">
        <f t="shared" si="13"/>
        <v>8.1376200000000001</v>
      </c>
      <c r="L133" s="40">
        <f t="shared" si="14"/>
        <v>4.06881</v>
      </c>
      <c r="M133" s="40">
        <f t="shared" si="15"/>
        <v>14.918970000000002</v>
      </c>
      <c r="N133" s="40">
        <f t="shared" si="16"/>
        <v>18.309645000000003</v>
      </c>
      <c r="O133" s="40">
        <f t="shared" si="17"/>
        <v>18.987780000000004</v>
      </c>
      <c r="P133" s="40">
        <f t="shared" si="18"/>
        <v>267.86332500000003</v>
      </c>
      <c r="Q133" s="41">
        <f t="shared" si="19"/>
        <v>0</v>
      </c>
      <c r="R133" s="42">
        <v>43.400640000000003</v>
      </c>
      <c r="S133" s="42">
        <v>37.975560000000009</v>
      </c>
      <c r="T133" s="42">
        <v>122.06430000000002</v>
      </c>
      <c r="U133" s="42">
        <v>8.1376200000000001</v>
      </c>
      <c r="V133" s="42">
        <v>4.06881</v>
      </c>
      <c r="W133" s="42">
        <v>14.918970000000002</v>
      </c>
      <c r="X133" s="42">
        <v>18.309645000000003</v>
      </c>
      <c r="Y133" s="42">
        <v>18.987780000000004</v>
      </c>
    </row>
    <row r="134" spans="3:25" ht="15" x14ac:dyDescent="0.2">
      <c r="C134" s="38" t="s">
        <v>134</v>
      </c>
      <c r="D134" s="38" t="s">
        <v>120</v>
      </c>
      <c r="E134" s="38" t="s">
        <v>116</v>
      </c>
      <c r="F134" s="38" t="s">
        <v>96</v>
      </c>
      <c r="G134" s="39">
        <v>0</v>
      </c>
      <c r="H134" s="40">
        <f t="shared" si="10"/>
        <v>14.097439999999999</v>
      </c>
      <c r="I134" s="40">
        <f t="shared" si="11"/>
        <v>12.33526</v>
      </c>
      <c r="J134" s="40">
        <f t="shared" si="12"/>
        <v>39.649049999999995</v>
      </c>
      <c r="K134" s="40">
        <f t="shared" si="13"/>
        <v>2.6432699999999998</v>
      </c>
      <c r="L134" s="40">
        <f t="shared" si="14"/>
        <v>1.3216349999999999</v>
      </c>
      <c r="M134" s="40">
        <f t="shared" si="15"/>
        <v>4.8459949999999994</v>
      </c>
      <c r="N134" s="40">
        <f t="shared" si="16"/>
        <v>5.947357499999999</v>
      </c>
      <c r="O134" s="40">
        <f t="shared" si="17"/>
        <v>6.1676299999999999</v>
      </c>
      <c r="P134" s="40">
        <f t="shared" si="18"/>
        <v>87.007637500000001</v>
      </c>
      <c r="Q134" s="41">
        <f t="shared" si="19"/>
        <v>0</v>
      </c>
      <c r="R134" s="42">
        <v>14.097439999999999</v>
      </c>
      <c r="S134" s="42">
        <v>12.33526</v>
      </c>
      <c r="T134" s="42">
        <v>39.649049999999995</v>
      </c>
      <c r="U134" s="42">
        <v>2.6432699999999998</v>
      </c>
      <c r="V134" s="42">
        <v>1.3216349999999999</v>
      </c>
      <c r="W134" s="42">
        <v>4.8459949999999994</v>
      </c>
      <c r="X134" s="42">
        <v>5.947357499999999</v>
      </c>
      <c r="Y134" s="42">
        <v>6.1676299999999999</v>
      </c>
    </row>
    <row r="135" spans="3:25" ht="15" x14ac:dyDescent="0.2">
      <c r="C135" s="38" t="s">
        <v>134</v>
      </c>
      <c r="D135" s="38" t="s">
        <v>120</v>
      </c>
      <c r="E135" s="38" t="s">
        <v>119</v>
      </c>
      <c r="F135" s="38" t="s">
        <v>96</v>
      </c>
      <c r="G135" s="39">
        <v>0</v>
      </c>
      <c r="H135" s="40">
        <f t="shared" si="10"/>
        <v>25.269439999999996</v>
      </c>
      <c r="I135" s="40">
        <f t="shared" si="11"/>
        <v>22.110759999999999</v>
      </c>
      <c r="J135" s="40">
        <f t="shared" si="12"/>
        <v>71.070299999999989</v>
      </c>
      <c r="K135" s="40">
        <f t="shared" si="13"/>
        <v>4.7380199999999988</v>
      </c>
      <c r="L135" s="40">
        <f t="shared" si="14"/>
        <v>2.3690099999999994</v>
      </c>
      <c r="M135" s="40">
        <f t="shared" si="15"/>
        <v>8.6863699999999984</v>
      </c>
      <c r="N135" s="40">
        <f t="shared" si="16"/>
        <v>10.660544999999997</v>
      </c>
      <c r="O135" s="40">
        <f t="shared" si="17"/>
        <v>11.05538</v>
      </c>
      <c r="P135" s="40">
        <f t="shared" si="18"/>
        <v>155.95982499999997</v>
      </c>
      <c r="Q135" s="41">
        <f t="shared" si="19"/>
        <v>0</v>
      </c>
      <c r="R135" s="42">
        <v>25.269439999999996</v>
      </c>
      <c r="S135" s="42">
        <v>22.110759999999999</v>
      </c>
      <c r="T135" s="42">
        <v>71.070299999999989</v>
      </c>
      <c r="U135" s="42">
        <v>4.7380199999999988</v>
      </c>
      <c r="V135" s="42">
        <v>2.3690099999999994</v>
      </c>
      <c r="W135" s="42">
        <v>8.6863699999999984</v>
      </c>
      <c r="X135" s="42">
        <v>10.660544999999997</v>
      </c>
      <c r="Y135" s="42">
        <v>11.05538</v>
      </c>
    </row>
    <row r="136" spans="3:25" ht="15" x14ac:dyDescent="0.2">
      <c r="C136" s="38" t="s">
        <v>134</v>
      </c>
      <c r="D136" s="38" t="s">
        <v>120</v>
      </c>
      <c r="E136" s="38" t="s">
        <v>118</v>
      </c>
      <c r="F136" s="38" t="s">
        <v>96</v>
      </c>
      <c r="G136" s="39">
        <v>0</v>
      </c>
      <c r="H136" s="40">
        <f t="shared" si="10"/>
        <v>36.63344</v>
      </c>
      <c r="I136" s="40">
        <f t="shared" si="11"/>
        <v>32.054260000000006</v>
      </c>
      <c r="J136" s="40">
        <f t="shared" si="12"/>
        <v>103.03155000000001</v>
      </c>
      <c r="K136" s="40">
        <f t="shared" si="13"/>
        <v>6.8687699999999996</v>
      </c>
      <c r="L136" s="40">
        <f t="shared" si="14"/>
        <v>3.4343849999999998</v>
      </c>
      <c r="M136" s="40">
        <f t="shared" si="15"/>
        <v>12.592745000000001</v>
      </c>
      <c r="N136" s="40">
        <f t="shared" si="16"/>
        <v>15.4547325</v>
      </c>
      <c r="O136" s="40">
        <f t="shared" si="17"/>
        <v>16.027130000000003</v>
      </c>
      <c r="P136" s="40">
        <f t="shared" si="18"/>
        <v>226.09701250000003</v>
      </c>
      <c r="Q136" s="41">
        <f t="shared" si="19"/>
        <v>0</v>
      </c>
      <c r="R136" s="42">
        <v>36.63344</v>
      </c>
      <c r="S136" s="42">
        <v>32.054260000000006</v>
      </c>
      <c r="T136" s="42">
        <v>103.03155000000001</v>
      </c>
      <c r="U136" s="42">
        <v>6.8687699999999996</v>
      </c>
      <c r="V136" s="42">
        <v>3.4343849999999998</v>
      </c>
      <c r="W136" s="42">
        <v>12.592745000000001</v>
      </c>
      <c r="X136" s="42">
        <v>15.4547325</v>
      </c>
      <c r="Y136" s="42">
        <v>16.027130000000003</v>
      </c>
    </row>
    <row r="137" spans="3:25" ht="15" x14ac:dyDescent="0.2">
      <c r="C137" s="38" t="s">
        <v>135</v>
      </c>
      <c r="D137" s="38" t="s">
        <v>115</v>
      </c>
      <c r="E137" s="38" t="s">
        <v>116</v>
      </c>
      <c r="F137" s="38" t="s">
        <v>96</v>
      </c>
      <c r="G137" s="39">
        <v>0</v>
      </c>
      <c r="H137" s="40">
        <f t="shared" si="10"/>
        <v>7.9542399999999995</v>
      </c>
      <c r="I137" s="40">
        <f t="shared" si="11"/>
        <v>6.9599600000000006</v>
      </c>
      <c r="J137" s="40">
        <f t="shared" si="12"/>
        <v>22.371300000000002</v>
      </c>
      <c r="K137" s="40">
        <f t="shared" si="13"/>
        <v>1.49142</v>
      </c>
      <c r="L137" s="40">
        <f t="shared" si="14"/>
        <v>0.74570999999999998</v>
      </c>
      <c r="M137" s="40">
        <f t="shared" si="15"/>
        <v>2.73427</v>
      </c>
      <c r="N137" s="40">
        <f t="shared" si="16"/>
        <v>3.3556950000000003</v>
      </c>
      <c r="O137" s="40">
        <f t="shared" si="17"/>
        <v>3.4799800000000003</v>
      </c>
      <c r="P137" s="40">
        <f t="shared" si="18"/>
        <v>49.092574999999997</v>
      </c>
      <c r="Q137" s="41">
        <f t="shared" si="19"/>
        <v>0</v>
      </c>
      <c r="R137" s="42">
        <v>7.9542399999999995</v>
      </c>
      <c r="S137" s="42">
        <v>6.9599600000000006</v>
      </c>
      <c r="T137" s="42">
        <v>22.371300000000002</v>
      </c>
      <c r="U137" s="42">
        <v>1.49142</v>
      </c>
      <c r="V137" s="42">
        <v>0.74570999999999998</v>
      </c>
      <c r="W137" s="42">
        <v>2.73427</v>
      </c>
      <c r="X137" s="42">
        <v>3.3556950000000003</v>
      </c>
      <c r="Y137" s="42">
        <v>3.4799800000000003</v>
      </c>
    </row>
    <row r="138" spans="3:25" ht="15" x14ac:dyDescent="0.2">
      <c r="C138" s="38" t="s">
        <v>135</v>
      </c>
      <c r="D138" s="38" t="s">
        <v>115</v>
      </c>
      <c r="E138" s="38" t="s">
        <v>119</v>
      </c>
      <c r="F138" s="38" t="s">
        <v>96</v>
      </c>
      <c r="G138" s="39">
        <v>0</v>
      </c>
      <c r="H138" s="40">
        <f t="shared" si="10"/>
        <v>10.265599999999999</v>
      </c>
      <c r="I138" s="40">
        <f t="shared" si="11"/>
        <v>8.9824000000000002</v>
      </c>
      <c r="J138" s="40">
        <f t="shared" si="12"/>
        <v>28.872</v>
      </c>
      <c r="K138" s="40">
        <f t="shared" si="13"/>
        <v>1.9247999999999998</v>
      </c>
      <c r="L138" s="40">
        <f t="shared" si="14"/>
        <v>0.96239999999999992</v>
      </c>
      <c r="M138" s="40">
        <f t="shared" si="15"/>
        <v>3.5287999999999999</v>
      </c>
      <c r="N138" s="40">
        <f t="shared" si="16"/>
        <v>4.3308</v>
      </c>
      <c r="O138" s="40">
        <f t="shared" si="17"/>
        <v>4.4912000000000001</v>
      </c>
      <c r="P138" s="40">
        <f t="shared" si="18"/>
        <v>63.357999999999997</v>
      </c>
      <c r="Q138" s="41">
        <f t="shared" si="19"/>
        <v>0</v>
      </c>
      <c r="R138" s="42">
        <v>10.265599999999999</v>
      </c>
      <c r="S138" s="42">
        <v>8.9824000000000002</v>
      </c>
      <c r="T138" s="42">
        <v>28.872</v>
      </c>
      <c r="U138" s="42">
        <v>1.9247999999999998</v>
      </c>
      <c r="V138" s="42">
        <v>0.96239999999999992</v>
      </c>
      <c r="W138" s="42">
        <v>3.5287999999999999</v>
      </c>
      <c r="X138" s="42">
        <v>4.3308</v>
      </c>
      <c r="Y138" s="42">
        <v>4.4912000000000001</v>
      </c>
    </row>
    <row r="139" spans="3:25" ht="15" x14ac:dyDescent="0.2">
      <c r="C139" s="38" t="s">
        <v>135</v>
      </c>
      <c r="D139" s="38" t="s">
        <v>115</v>
      </c>
      <c r="E139" s="38" t="s">
        <v>118</v>
      </c>
      <c r="F139" s="38" t="s">
        <v>96</v>
      </c>
      <c r="G139" s="39">
        <v>0</v>
      </c>
      <c r="H139" s="40">
        <f t="shared" si="10"/>
        <v>18.219840000000001</v>
      </c>
      <c r="I139" s="40">
        <f t="shared" si="11"/>
        <v>15.942360000000001</v>
      </c>
      <c r="J139" s="40">
        <f t="shared" si="12"/>
        <v>51.243299999999998</v>
      </c>
      <c r="K139" s="40">
        <f t="shared" si="13"/>
        <v>3.4162199999999996</v>
      </c>
      <c r="L139" s="40">
        <f t="shared" si="14"/>
        <v>1.7081099999999998</v>
      </c>
      <c r="M139" s="40">
        <f t="shared" si="15"/>
        <v>6.2630699999999999</v>
      </c>
      <c r="N139" s="40">
        <f t="shared" si="16"/>
        <v>7.686494999999999</v>
      </c>
      <c r="O139" s="40">
        <f t="shared" si="17"/>
        <v>7.9711800000000004</v>
      </c>
      <c r="P139" s="40">
        <f t="shared" si="18"/>
        <v>112.45057499999999</v>
      </c>
      <c r="Q139" s="41">
        <f t="shared" si="19"/>
        <v>0</v>
      </c>
      <c r="R139" s="42">
        <v>18.219840000000001</v>
      </c>
      <c r="S139" s="42">
        <v>15.942360000000001</v>
      </c>
      <c r="T139" s="42">
        <v>51.243299999999998</v>
      </c>
      <c r="U139" s="42">
        <v>3.4162199999999996</v>
      </c>
      <c r="V139" s="42">
        <v>1.7081099999999998</v>
      </c>
      <c r="W139" s="42">
        <v>6.2630699999999999</v>
      </c>
      <c r="X139" s="42">
        <v>7.686494999999999</v>
      </c>
      <c r="Y139" s="42">
        <v>7.9711800000000004</v>
      </c>
    </row>
    <row r="140" spans="3:25" ht="15" x14ac:dyDescent="0.2">
      <c r="C140" s="38" t="s">
        <v>135</v>
      </c>
      <c r="D140" s="38" t="s">
        <v>120</v>
      </c>
      <c r="E140" s="38" t="s">
        <v>116</v>
      </c>
      <c r="F140" s="38" t="s">
        <v>96</v>
      </c>
      <c r="G140" s="39">
        <v>0</v>
      </c>
      <c r="H140" s="40">
        <f t="shared" ref="H140:H166" si="20">IF($H$10="s",R140,0)</f>
        <v>12.699360000000002</v>
      </c>
      <c r="I140" s="40">
        <f t="shared" ref="I140:I166" si="21">IF($I$10="s",S140,0)</f>
        <v>11.111940000000002</v>
      </c>
      <c r="J140" s="40">
        <f t="shared" ref="J140:J166" si="22">IF($J$10="s",T140,0)</f>
        <v>35.716950000000004</v>
      </c>
      <c r="K140" s="40">
        <f t="shared" ref="K140:K166" si="23">IF($K$10="s",U140,0)</f>
        <v>2.3811300000000002</v>
      </c>
      <c r="L140" s="40">
        <f t="shared" ref="L140:L166" si="24">IF($L$10="s",V140,0)</f>
        <v>1.1905650000000001</v>
      </c>
      <c r="M140" s="40">
        <f t="shared" ref="M140:M166" si="25">IF($M$10="s",W140,0)</f>
        <v>4.3654050000000009</v>
      </c>
      <c r="N140" s="40">
        <f t="shared" ref="N140:N166" si="26">IF($N$10="s",X140,0)</f>
        <v>5.3575425000000001</v>
      </c>
      <c r="O140" s="40">
        <f t="shared" ref="O140:O166" si="27">IF($O$10="s",Y140,0)</f>
        <v>5.5559700000000012</v>
      </c>
      <c r="P140" s="40">
        <f t="shared" ref="P140:P166" si="28">SUM(H140:O140)</f>
        <v>78.378862499999997</v>
      </c>
      <c r="Q140" s="41">
        <f t="shared" ref="Q140:Q166" si="29">P140*G140</f>
        <v>0</v>
      </c>
      <c r="R140" s="42">
        <v>12.699360000000002</v>
      </c>
      <c r="S140" s="42">
        <v>11.111940000000002</v>
      </c>
      <c r="T140" s="42">
        <v>35.716950000000004</v>
      </c>
      <c r="U140" s="42">
        <v>2.3811300000000002</v>
      </c>
      <c r="V140" s="42">
        <v>1.1905650000000001</v>
      </c>
      <c r="W140" s="42">
        <v>4.3654050000000009</v>
      </c>
      <c r="X140" s="42">
        <v>5.3575425000000001</v>
      </c>
      <c r="Y140" s="42">
        <v>5.5559700000000012</v>
      </c>
    </row>
    <row r="141" spans="3:25" ht="15" x14ac:dyDescent="0.2">
      <c r="C141" s="38" t="s">
        <v>135</v>
      </c>
      <c r="D141" s="38" t="s">
        <v>120</v>
      </c>
      <c r="E141" s="38" t="s">
        <v>119</v>
      </c>
      <c r="F141" s="38" t="s">
        <v>96</v>
      </c>
      <c r="G141" s="39">
        <v>0</v>
      </c>
      <c r="H141" s="40">
        <f t="shared" si="20"/>
        <v>14.830399999999999</v>
      </c>
      <c r="I141" s="40">
        <f t="shared" si="21"/>
        <v>12.976600000000001</v>
      </c>
      <c r="J141" s="40">
        <f t="shared" si="22"/>
        <v>41.710500000000003</v>
      </c>
      <c r="K141" s="40">
        <f t="shared" si="23"/>
        <v>2.7806999999999999</v>
      </c>
      <c r="L141" s="40">
        <f t="shared" si="24"/>
        <v>1.39035</v>
      </c>
      <c r="M141" s="40">
        <f t="shared" si="25"/>
        <v>5.09795</v>
      </c>
      <c r="N141" s="40">
        <f t="shared" si="26"/>
        <v>6.2565750000000007</v>
      </c>
      <c r="O141" s="40">
        <f t="shared" si="27"/>
        <v>6.4883000000000006</v>
      </c>
      <c r="P141" s="40">
        <f t="shared" si="28"/>
        <v>91.531374999999997</v>
      </c>
      <c r="Q141" s="41">
        <f t="shared" si="29"/>
        <v>0</v>
      </c>
      <c r="R141" s="42">
        <v>14.830399999999999</v>
      </c>
      <c r="S141" s="42">
        <v>12.976600000000001</v>
      </c>
      <c r="T141" s="42">
        <v>41.710500000000003</v>
      </c>
      <c r="U141" s="42">
        <v>2.7806999999999999</v>
      </c>
      <c r="V141" s="42">
        <v>1.39035</v>
      </c>
      <c r="W141" s="42">
        <v>5.09795</v>
      </c>
      <c r="X141" s="42">
        <v>6.2565750000000007</v>
      </c>
      <c r="Y141" s="42">
        <v>6.4883000000000006</v>
      </c>
    </row>
    <row r="142" spans="3:25" ht="15" x14ac:dyDescent="0.2">
      <c r="C142" s="38" t="s">
        <v>135</v>
      </c>
      <c r="D142" s="38" t="s">
        <v>120</v>
      </c>
      <c r="E142" s="38" t="s">
        <v>118</v>
      </c>
      <c r="F142" s="38" t="s">
        <v>96</v>
      </c>
      <c r="G142" s="39">
        <v>0</v>
      </c>
      <c r="H142" s="40">
        <f t="shared" si="20"/>
        <v>25.080000000000002</v>
      </c>
      <c r="I142" s="40">
        <f t="shared" si="21"/>
        <v>21.945000000000004</v>
      </c>
      <c r="J142" s="40">
        <f t="shared" si="22"/>
        <v>70.537500000000009</v>
      </c>
      <c r="K142" s="40">
        <f t="shared" si="23"/>
        <v>4.7024999999999997</v>
      </c>
      <c r="L142" s="40">
        <f t="shared" si="24"/>
        <v>2.3512499999999998</v>
      </c>
      <c r="M142" s="40">
        <f t="shared" si="25"/>
        <v>8.6212499999999999</v>
      </c>
      <c r="N142" s="40">
        <f t="shared" si="26"/>
        <v>10.580625000000001</v>
      </c>
      <c r="O142" s="40">
        <f t="shared" si="27"/>
        <v>10.972500000000002</v>
      </c>
      <c r="P142" s="40">
        <f t="shared" si="28"/>
        <v>154.79062500000001</v>
      </c>
      <c r="Q142" s="41">
        <f t="shared" si="29"/>
        <v>0</v>
      </c>
      <c r="R142" s="42">
        <v>25.080000000000002</v>
      </c>
      <c r="S142" s="42">
        <v>21.945000000000004</v>
      </c>
      <c r="T142" s="42">
        <v>70.537500000000009</v>
      </c>
      <c r="U142" s="42">
        <v>4.7024999999999997</v>
      </c>
      <c r="V142" s="42">
        <v>2.3512499999999998</v>
      </c>
      <c r="W142" s="42">
        <v>8.6212499999999999</v>
      </c>
      <c r="X142" s="42">
        <v>10.580625000000001</v>
      </c>
      <c r="Y142" s="42">
        <v>10.972500000000002</v>
      </c>
    </row>
    <row r="143" spans="3:25" ht="15" x14ac:dyDescent="0.2">
      <c r="C143" s="38" t="s">
        <v>136</v>
      </c>
      <c r="D143" s="38" t="s">
        <v>115</v>
      </c>
      <c r="E143" s="38" t="s">
        <v>116</v>
      </c>
      <c r="F143" s="38" t="s">
        <v>96</v>
      </c>
      <c r="G143" s="39">
        <v>0</v>
      </c>
      <c r="H143" s="40">
        <f t="shared" si="20"/>
        <v>2.7537599999999998</v>
      </c>
      <c r="I143" s="40">
        <f t="shared" si="21"/>
        <v>2.4095400000000002</v>
      </c>
      <c r="J143" s="40">
        <f t="shared" si="22"/>
        <v>7.7449499999999993</v>
      </c>
      <c r="K143" s="40">
        <f t="shared" si="23"/>
        <v>0.51632999999999996</v>
      </c>
      <c r="L143" s="40">
        <f t="shared" si="24"/>
        <v>0.25816499999999998</v>
      </c>
      <c r="M143" s="40">
        <f t="shared" si="25"/>
        <v>0.94660499999999992</v>
      </c>
      <c r="N143" s="40">
        <f t="shared" si="26"/>
        <v>1.1617424999999999</v>
      </c>
      <c r="O143" s="40">
        <f t="shared" si="27"/>
        <v>1.2047700000000001</v>
      </c>
      <c r="P143" s="40">
        <f t="shared" si="28"/>
        <v>16.995862499999998</v>
      </c>
      <c r="Q143" s="41">
        <f t="shared" si="29"/>
        <v>0</v>
      </c>
      <c r="R143" s="42">
        <v>2.7537599999999998</v>
      </c>
      <c r="S143" s="42">
        <v>2.4095400000000002</v>
      </c>
      <c r="T143" s="42">
        <v>7.7449499999999993</v>
      </c>
      <c r="U143" s="42">
        <v>0.51632999999999996</v>
      </c>
      <c r="V143" s="42">
        <v>0.25816499999999998</v>
      </c>
      <c r="W143" s="42">
        <v>0.94660499999999992</v>
      </c>
      <c r="X143" s="42">
        <v>1.1617424999999999</v>
      </c>
      <c r="Y143" s="42">
        <v>1.2047700000000001</v>
      </c>
    </row>
    <row r="144" spans="3:25" ht="15" x14ac:dyDescent="0.2">
      <c r="C144" s="38" t="s">
        <v>136</v>
      </c>
      <c r="D144" s="38" t="s">
        <v>115</v>
      </c>
      <c r="E144" s="38" t="s">
        <v>119</v>
      </c>
      <c r="F144" s="38" t="s">
        <v>96</v>
      </c>
      <c r="G144" s="39">
        <v>0</v>
      </c>
      <c r="H144" s="40">
        <f t="shared" si="20"/>
        <v>4.2448000000000006</v>
      </c>
      <c r="I144" s="40">
        <f t="shared" si="21"/>
        <v>3.7142000000000004</v>
      </c>
      <c r="J144" s="40">
        <f t="shared" si="22"/>
        <v>11.938500000000001</v>
      </c>
      <c r="K144" s="40">
        <f t="shared" si="23"/>
        <v>0.79590000000000005</v>
      </c>
      <c r="L144" s="40">
        <f t="shared" si="24"/>
        <v>0.39795000000000003</v>
      </c>
      <c r="M144" s="40">
        <f t="shared" si="25"/>
        <v>1.4591500000000002</v>
      </c>
      <c r="N144" s="40">
        <f t="shared" si="26"/>
        <v>1.7907750000000002</v>
      </c>
      <c r="O144" s="40">
        <f t="shared" si="27"/>
        <v>1.8571000000000002</v>
      </c>
      <c r="P144" s="40">
        <f t="shared" si="28"/>
        <v>26.198375000000002</v>
      </c>
      <c r="Q144" s="41">
        <f t="shared" si="29"/>
        <v>0</v>
      </c>
      <c r="R144" s="42">
        <v>4.2448000000000006</v>
      </c>
      <c r="S144" s="42">
        <v>3.7142000000000004</v>
      </c>
      <c r="T144" s="42">
        <v>11.938500000000001</v>
      </c>
      <c r="U144" s="42">
        <v>0.79590000000000005</v>
      </c>
      <c r="V144" s="42">
        <v>0.39795000000000003</v>
      </c>
      <c r="W144" s="42">
        <v>1.4591500000000002</v>
      </c>
      <c r="X144" s="42">
        <v>1.7907750000000002</v>
      </c>
      <c r="Y144" s="42">
        <v>1.8571000000000002</v>
      </c>
    </row>
    <row r="145" spans="3:25" ht="15" x14ac:dyDescent="0.2">
      <c r="C145" s="38" t="s">
        <v>136</v>
      </c>
      <c r="D145" s="38" t="s">
        <v>115</v>
      </c>
      <c r="E145" s="38" t="s">
        <v>118</v>
      </c>
      <c r="F145" s="38" t="s">
        <v>96</v>
      </c>
      <c r="G145" s="39">
        <v>0</v>
      </c>
      <c r="H145" s="40">
        <f t="shared" si="20"/>
        <v>6.2318400000000009</v>
      </c>
      <c r="I145" s="40">
        <f t="shared" si="21"/>
        <v>5.4528600000000012</v>
      </c>
      <c r="J145" s="40">
        <f t="shared" si="22"/>
        <v>17.527050000000003</v>
      </c>
      <c r="K145" s="40">
        <f t="shared" si="23"/>
        <v>1.1684700000000001</v>
      </c>
      <c r="L145" s="40">
        <f t="shared" si="24"/>
        <v>0.58423500000000006</v>
      </c>
      <c r="M145" s="40">
        <f t="shared" si="25"/>
        <v>2.1421950000000005</v>
      </c>
      <c r="N145" s="40">
        <f t="shared" si="26"/>
        <v>2.6290575000000005</v>
      </c>
      <c r="O145" s="40">
        <f t="shared" si="27"/>
        <v>2.7264300000000006</v>
      </c>
      <c r="P145" s="40">
        <f t="shared" si="28"/>
        <v>38.462137500000004</v>
      </c>
      <c r="Q145" s="41">
        <f t="shared" si="29"/>
        <v>0</v>
      </c>
      <c r="R145" s="42">
        <v>6.2318400000000009</v>
      </c>
      <c r="S145" s="42">
        <v>5.4528600000000012</v>
      </c>
      <c r="T145" s="42">
        <v>17.527050000000003</v>
      </c>
      <c r="U145" s="42">
        <v>1.1684700000000001</v>
      </c>
      <c r="V145" s="42">
        <v>0.58423500000000006</v>
      </c>
      <c r="W145" s="42">
        <v>2.1421950000000005</v>
      </c>
      <c r="X145" s="42">
        <v>2.6290575000000005</v>
      </c>
      <c r="Y145" s="42">
        <v>2.7264300000000006</v>
      </c>
    </row>
    <row r="146" spans="3:25" ht="15" x14ac:dyDescent="0.2">
      <c r="C146" s="38" t="s">
        <v>136</v>
      </c>
      <c r="D146" s="38" t="s">
        <v>120</v>
      </c>
      <c r="E146" s="38" t="s">
        <v>116</v>
      </c>
      <c r="F146" s="38" t="s">
        <v>96</v>
      </c>
      <c r="G146" s="39">
        <v>0</v>
      </c>
      <c r="H146" s="40">
        <f t="shared" si="20"/>
        <v>5.2718400000000001</v>
      </c>
      <c r="I146" s="40">
        <f t="shared" si="21"/>
        <v>4.6128600000000004</v>
      </c>
      <c r="J146" s="40">
        <f t="shared" si="22"/>
        <v>14.82705</v>
      </c>
      <c r="K146" s="40">
        <f t="shared" si="23"/>
        <v>0.98846999999999996</v>
      </c>
      <c r="L146" s="40">
        <f t="shared" si="24"/>
        <v>0.49423499999999998</v>
      </c>
      <c r="M146" s="40">
        <f t="shared" si="25"/>
        <v>1.812195</v>
      </c>
      <c r="N146" s="40">
        <f t="shared" si="26"/>
        <v>2.2240574999999998</v>
      </c>
      <c r="O146" s="40">
        <f t="shared" si="27"/>
        <v>2.3064300000000002</v>
      </c>
      <c r="P146" s="40">
        <f t="shared" si="28"/>
        <v>32.5371375</v>
      </c>
      <c r="Q146" s="41">
        <f t="shared" si="29"/>
        <v>0</v>
      </c>
      <c r="R146" s="42">
        <v>5.2718400000000001</v>
      </c>
      <c r="S146" s="42">
        <v>4.6128600000000004</v>
      </c>
      <c r="T146" s="42">
        <v>14.82705</v>
      </c>
      <c r="U146" s="42">
        <v>0.98846999999999996</v>
      </c>
      <c r="V146" s="42">
        <v>0.49423499999999998</v>
      </c>
      <c r="W146" s="42">
        <v>1.812195</v>
      </c>
      <c r="X146" s="42">
        <v>2.2240574999999998</v>
      </c>
      <c r="Y146" s="42">
        <v>2.3064300000000002</v>
      </c>
    </row>
    <row r="147" spans="3:25" ht="15" x14ac:dyDescent="0.2">
      <c r="C147" s="38" t="s">
        <v>136</v>
      </c>
      <c r="D147" s="38" t="s">
        <v>120</v>
      </c>
      <c r="E147" s="38" t="s">
        <v>119</v>
      </c>
      <c r="F147" s="38" t="s">
        <v>96</v>
      </c>
      <c r="G147" s="39">
        <v>0</v>
      </c>
      <c r="H147" s="40">
        <f t="shared" si="20"/>
        <v>8.1855999999999991</v>
      </c>
      <c r="I147" s="40">
        <f t="shared" si="21"/>
        <v>7.1623999999999999</v>
      </c>
      <c r="J147" s="40">
        <f t="shared" si="22"/>
        <v>23.021999999999998</v>
      </c>
      <c r="K147" s="40">
        <f t="shared" si="23"/>
        <v>1.5347999999999999</v>
      </c>
      <c r="L147" s="40">
        <f t="shared" si="24"/>
        <v>0.76739999999999997</v>
      </c>
      <c r="M147" s="40">
        <f t="shared" si="25"/>
        <v>2.8137999999999996</v>
      </c>
      <c r="N147" s="40">
        <f t="shared" si="26"/>
        <v>3.4532999999999996</v>
      </c>
      <c r="O147" s="40">
        <f t="shared" si="27"/>
        <v>3.5811999999999999</v>
      </c>
      <c r="P147" s="40">
        <f t="shared" si="28"/>
        <v>50.520499999999998</v>
      </c>
      <c r="Q147" s="41">
        <f t="shared" si="29"/>
        <v>0</v>
      </c>
      <c r="R147" s="42">
        <v>8.1855999999999991</v>
      </c>
      <c r="S147" s="42">
        <v>7.1623999999999999</v>
      </c>
      <c r="T147" s="42">
        <v>23.021999999999998</v>
      </c>
      <c r="U147" s="42">
        <v>1.5347999999999999</v>
      </c>
      <c r="V147" s="42">
        <v>0.76739999999999997</v>
      </c>
      <c r="W147" s="42">
        <v>2.8137999999999996</v>
      </c>
      <c r="X147" s="42">
        <v>3.4532999999999996</v>
      </c>
      <c r="Y147" s="42">
        <v>3.5811999999999999</v>
      </c>
    </row>
    <row r="148" spans="3:25" ht="15" x14ac:dyDescent="0.2">
      <c r="C148" s="38" t="s">
        <v>136</v>
      </c>
      <c r="D148" s="38" t="s">
        <v>120</v>
      </c>
      <c r="E148" s="38" t="s">
        <v>118</v>
      </c>
      <c r="F148" s="38" t="s">
        <v>96</v>
      </c>
      <c r="G148" s="39">
        <v>0</v>
      </c>
      <c r="H148" s="40">
        <f t="shared" si="20"/>
        <v>12.219360000000002</v>
      </c>
      <c r="I148" s="40">
        <f t="shared" si="21"/>
        <v>10.691940000000002</v>
      </c>
      <c r="J148" s="40">
        <f t="shared" si="22"/>
        <v>34.366950000000003</v>
      </c>
      <c r="K148" s="40">
        <f t="shared" si="23"/>
        <v>2.2911300000000003</v>
      </c>
      <c r="L148" s="40">
        <f t="shared" si="24"/>
        <v>1.1455650000000002</v>
      </c>
      <c r="M148" s="40">
        <f t="shared" si="25"/>
        <v>4.2004050000000008</v>
      </c>
      <c r="N148" s="40">
        <f t="shared" si="26"/>
        <v>5.1550425000000004</v>
      </c>
      <c r="O148" s="40">
        <f t="shared" si="27"/>
        <v>5.3459700000000012</v>
      </c>
      <c r="P148" s="40">
        <f t="shared" si="28"/>
        <v>75.416362499999991</v>
      </c>
      <c r="Q148" s="41">
        <f t="shared" si="29"/>
        <v>0</v>
      </c>
      <c r="R148" s="42">
        <v>12.219360000000002</v>
      </c>
      <c r="S148" s="42">
        <v>10.691940000000002</v>
      </c>
      <c r="T148" s="42">
        <v>34.366950000000003</v>
      </c>
      <c r="U148" s="42">
        <v>2.2911300000000003</v>
      </c>
      <c r="V148" s="42">
        <v>1.1455650000000002</v>
      </c>
      <c r="W148" s="42">
        <v>4.2004050000000008</v>
      </c>
      <c r="X148" s="42">
        <v>5.1550425000000004</v>
      </c>
      <c r="Y148" s="42">
        <v>5.3459700000000012</v>
      </c>
    </row>
    <row r="149" spans="3:25" ht="15" x14ac:dyDescent="0.2">
      <c r="C149" s="38" t="s">
        <v>137</v>
      </c>
      <c r="D149" s="38" t="s">
        <v>115</v>
      </c>
      <c r="E149" s="38" t="s">
        <v>116</v>
      </c>
      <c r="F149" s="38" t="s">
        <v>96</v>
      </c>
      <c r="G149" s="39">
        <v>0</v>
      </c>
      <c r="H149" s="40">
        <f t="shared" si="20"/>
        <v>8.5637376000000014</v>
      </c>
      <c r="I149" s="40">
        <f t="shared" si="21"/>
        <v>7.493270400000001</v>
      </c>
      <c r="J149" s="40">
        <f t="shared" si="22"/>
        <v>24.085512000000001</v>
      </c>
      <c r="K149" s="40">
        <f t="shared" si="23"/>
        <v>1.6057008000000002</v>
      </c>
      <c r="L149" s="40">
        <f t="shared" si="24"/>
        <v>0.80285040000000008</v>
      </c>
      <c r="M149" s="40">
        <f t="shared" si="25"/>
        <v>2.9437848000000004</v>
      </c>
      <c r="N149" s="40">
        <f t="shared" si="26"/>
        <v>3.6128268000000001</v>
      </c>
      <c r="O149" s="40">
        <f t="shared" si="27"/>
        <v>3.7466352000000005</v>
      </c>
      <c r="P149" s="40">
        <f t="shared" si="28"/>
        <v>52.854318000000006</v>
      </c>
      <c r="Q149" s="41">
        <f t="shared" si="29"/>
        <v>0</v>
      </c>
      <c r="R149" s="42">
        <v>8.5637376000000014</v>
      </c>
      <c r="S149" s="42">
        <v>7.493270400000001</v>
      </c>
      <c r="T149" s="42">
        <v>24.085512000000001</v>
      </c>
      <c r="U149" s="42">
        <v>1.6057008000000002</v>
      </c>
      <c r="V149" s="42">
        <v>0.80285040000000008</v>
      </c>
      <c r="W149" s="42">
        <v>2.9437848000000004</v>
      </c>
      <c r="X149" s="42">
        <v>3.6128268000000001</v>
      </c>
      <c r="Y149" s="42">
        <v>3.7466352000000005</v>
      </c>
    </row>
    <row r="150" spans="3:25" ht="15" x14ac:dyDescent="0.2">
      <c r="C150" s="38" t="s">
        <v>137</v>
      </c>
      <c r="D150" s="38" t="s">
        <v>115</v>
      </c>
      <c r="E150" s="38" t="s">
        <v>119</v>
      </c>
      <c r="F150" s="38" t="s">
        <v>96</v>
      </c>
      <c r="G150" s="39">
        <v>0</v>
      </c>
      <c r="H150" s="40">
        <f t="shared" si="20"/>
        <v>21.265343999999999</v>
      </c>
      <c r="I150" s="40">
        <f t="shared" si="21"/>
        <v>18.607176000000003</v>
      </c>
      <c r="J150" s="40">
        <f t="shared" si="22"/>
        <v>59.808779999999999</v>
      </c>
      <c r="K150" s="40">
        <f t="shared" si="23"/>
        <v>3.9872519999999998</v>
      </c>
      <c r="L150" s="40">
        <f t="shared" si="24"/>
        <v>1.9936259999999999</v>
      </c>
      <c r="M150" s="40">
        <f t="shared" si="25"/>
        <v>7.3099619999999996</v>
      </c>
      <c r="N150" s="40">
        <f t="shared" si="26"/>
        <v>8.9713169999999991</v>
      </c>
      <c r="O150" s="40">
        <f t="shared" si="27"/>
        <v>9.3035880000000013</v>
      </c>
      <c r="P150" s="40">
        <f t="shared" si="28"/>
        <v>131.24704499999999</v>
      </c>
      <c r="Q150" s="41">
        <f t="shared" si="29"/>
        <v>0</v>
      </c>
      <c r="R150" s="42">
        <v>21.265343999999999</v>
      </c>
      <c r="S150" s="42">
        <v>18.607176000000003</v>
      </c>
      <c r="T150" s="42">
        <v>59.808779999999999</v>
      </c>
      <c r="U150" s="42">
        <v>3.9872519999999998</v>
      </c>
      <c r="V150" s="42">
        <v>1.9936259999999999</v>
      </c>
      <c r="W150" s="42">
        <v>7.3099619999999996</v>
      </c>
      <c r="X150" s="42">
        <v>8.9713169999999991</v>
      </c>
      <c r="Y150" s="42">
        <v>9.3035880000000013</v>
      </c>
    </row>
    <row r="151" spans="3:25" ht="15" x14ac:dyDescent="0.2">
      <c r="C151" s="38" t="s">
        <v>137</v>
      </c>
      <c r="D151" s="38" t="s">
        <v>115</v>
      </c>
      <c r="E151" s="38" t="s">
        <v>118</v>
      </c>
      <c r="F151" s="38" t="s">
        <v>96</v>
      </c>
      <c r="G151" s="39">
        <v>0</v>
      </c>
      <c r="H151" s="40">
        <f t="shared" si="20"/>
        <v>30.657791999999997</v>
      </c>
      <c r="I151" s="40">
        <f t="shared" si="21"/>
        <v>26.825567999999997</v>
      </c>
      <c r="J151" s="40">
        <f t="shared" si="22"/>
        <v>86.225039999999993</v>
      </c>
      <c r="K151" s="40">
        <f t="shared" si="23"/>
        <v>5.7483359999999992</v>
      </c>
      <c r="L151" s="40">
        <f t="shared" si="24"/>
        <v>2.8741679999999996</v>
      </c>
      <c r="M151" s="40">
        <f t="shared" si="25"/>
        <v>10.538615999999998</v>
      </c>
      <c r="N151" s="40">
        <f t="shared" si="26"/>
        <v>12.933755999999999</v>
      </c>
      <c r="O151" s="40">
        <f t="shared" si="27"/>
        <v>13.412783999999998</v>
      </c>
      <c r="P151" s="40">
        <f t="shared" si="28"/>
        <v>189.21605999999994</v>
      </c>
      <c r="Q151" s="41">
        <f t="shared" si="29"/>
        <v>0</v>
      </c>
      <c r="R151" s="42">
        <v>30.657791999999997</v>
      </c>
      <c r="S151" s="42">
        <v>26.825567999999997</v>
      </c>
      <c r="T151" s="42">
        <v>86.225039999999993</v>
      </c>
      <c r="U151" s="42">
        <v>5.7483359999999992</v>
      </c>
      <c r="V151" s="42">
        <v>2.8741679999999996</v>
      </c>
      <c r="W151" s="42">
        <v>10.538615999999998</v>
      </c>
      <c r="X151" s="42">
        <v>12.933755999999999</v>
      </c>
      <c r="Y151" s="42">
        <v>13.412783999999998</v>
      </c>
    </row>
    <row r="152" spans="3:25" ht="15" x14ac:dyDescent="0.2">
      <c r="C152" s="38" t="s">
        <v>137</v>
      </c>
      <c r="D152" s="38" t="s">
        <v>120</v>
      </c>
      <c r="E152" s="38" t="s">
        <v>116</v>
      </c>
      <c r="F152" s="38" t="s">
        <v>96</v>
      </c>
      <c r="G152" s="39">
        <v>0</v>
      </c>
      <c r="H152" s="40">
        <f t="shared" si="20"/>
        <v>12.378316800000002</v>
      </c>
      <c r="I152" s="40">
        <f t="shared" si="21"/>
        <v>10.831027200000003</v>
      </c>
      <c r="J152" s="40">
        <f t="shared" si="22"/>
        <v>34.814016000000009</v>
      </c>
      <c r="K152" s="40">
        <f t="shared" si="23"/>
        <v>2.3209344000000005</v>
      </c>
      <c r="L152" s="40">
        <f t="shared" si="24"/>
        <v>1.1604672000000003</v>
      </c>
      <c r="M152" s="40">
        <f t="shared" si="25"/>
        <v>4.2550464000000012</v>
      </c>
      <c r="N152" s="40">
        <f t="shared" si="26"/>
        <v>5.2221024000000016</v>
      </c>
      <c r="O152" s="40">
        <f t="shared" si="27"/>
        <v>5.4155136000000015</v>
      </c>
      <c r="P152" s="40">
        <f t="shared" si="28"/>
        <v>76.397424000000001</v>
      </c>
      <c r="Q152" s="41">
        <f t="shared" si="29"/>
        <v>0</v>
      </c>
      <c r="R152" s="42">
        <v>12.378316800000002</v>
      </c>
      <c r="S152" s="42">
        <v>10.831027200000003</v>
      </c>
      <c r="T152" s="42">
        <v>34.814016000000009</v>
      </c>
      <c r="U152" s="42">
        <v>2.3209344000000005</v>
      </c>
      <c r="V152" s="42">
        <v>1.1604672000000003</v>
      </c>
      <c r="W152" s="42">
        <v>4.2550464000000012</v>
      </c>
      <c r="X152" s="42">
        <v>5.2221024000000016</v>
      </c>
      <c r="Y152" s="42">
        <v>5.4155136000000015</v>
      </c>
    </row>
    <row r="153" spans="3:25" ht="15" x14ac:dyDescent="0.2">
      <c r="C153" s="38" t="s">
        <v>137</v>
      </c>
      <c r="D153" s="38" t="s">
        <v>120</v>
      </c>
      <c r="E153" s="38" t="s">
        <v>119</v>
      </c>
      <c r="F153" s="38" t="s">
        <v>96</v>
      </c>
      <c r="G153" s="39">
        <v>0</v>
      </c>
      <c r="H153" s="40">
        <f t="shared" si="20"/>
        <v>28.894502400000007</v>
      </c>
      <c r="I153" s="40">
        <f t="shared" si="21"/>
        <v>25.282689600000008</v>
      </c>
      <c r="J153" s="40">
        <f t="shared" si="22"/>
        <v>81.265788000000015</v>
      </c>
      <c r="K153" s="40">
        <f t="shared" si="23"/>
        <v>5.4177192000000005</v>
      </c>
      <c r="L153" s="40">
        <f t="shared" si="24"/>
        <v>2.7088596000000003</v>
      </c>
      <c r="M153" s="40">
        <f t="shared" si="25"/>
        <v>9.9324852000000021</v>
      </c>
      <c r="N153" s="40">
        <f t="shared" si="26"/>
        <v>12.189868200000001</v>
      </c>
      <c r="O153" s="40">
        <f t="shared" si="27"/>
        <v>12.641344800000004</v>
      </c>
      <c r="P153" s="40">
        <f t="shared" si="28"/>
        <v>178.33325700000006</v>
      </c>
      <c r="Q153" s="41">
        <f t="shared" si="29"/>
        <v>0</v>
      </c>
      <c r="R153" s="42">
        <v>28.894502400000007</v>
      </c>
      <c r="S153" s="42">
        <v>25.282689600000008</v>
      </c>
      <c r="T153" s="42">
        <v>81.265788000000015</v>
      </c>
      <c r="U153" s="42">
        <v>5.4177192000000005</v>
      </c>
      <c r="V153" s="42">
        <v>2.7088596000000003</v>
      </c>
      <c r="W153" s="42">
        <v>9.9324852000000021</v>
      </c>
      <c r="X153" s="42">
        <v>12.189868200000001</v>
      </c>
      <c r="Y153" s="42">
        <v>12.641344800000004</v>
      </c>
    </row>
    <row r="154" spans="3:25" ht="15" x14ac:dyDescent="0.2">
      <c r="C154" s="38" t="s">
        <v>137</v>
      </c>
      <c r="D154" s="38" t="s">
        <v>120</v>
      </c>
      <c r="E154" s="38" t="s">
        <v>118</v>
      </c>
      <c r="F154" s="38" t="s">
        <v>96</v>
      </c>
      <c r="G154" s="39">
        <v>0</v>
      </c>
      <c r="H154" s="40">
        <f t="shared" si="20"/>
        <v>38.898240000000001</v>
      </c>
      <c r="I154" s="40">
        <f t="shared" si="21"/>
        <v>34.035960000000003</v>
      </c>
      <c r="J154" s="40">
        <f t="shared" si="22"/>
        <v>109.40130000000001</v>
      </c>
      <c r="K154" s="40">
        <f t="shared" si="23"/>
        <v>7.2934200000000002</v>
      </c>
      <c r="L154" s="40">
        <f t="shared" si="24"/>
        <v>3.6467100000000001</v>
      </c>
      <c r="M154" s="40">
        <f t="shared" si="25"/>
        <v>13.371270000000001</v>
      </c>
      <c r="N154" s="40">
        <f t="shared" si="26"/>
        <v>16.410195000000002</v>
      </c>
      <c r="O154" s="40">
        <f t="shared" si="27"/>
        <v>17.017980000000001</v>
      </c>
      <c r="P154" s="40">
        <f t="shared" si="28"/>
        <v>240.07507500000006</v>
      </c>
      <c r="Q154" s="41">
        <f t="shared" si="29"/>
        <v>0</v>
      </c>
      <c r="R154" s="42">
        <v>38.898240000000001</v>
      </c>
      <c r="S154" s="42">
        <v>34.035960000000003</v>
      </c>
      <c r="T154" s="42">
        <v>109.40130000000001</v>
      </c>
      <c r="U154" s="42">
        <v>7.2934200000000002</v>
      </c>
      <c r="V154" s="42">
        <v>3.6467100000000001</v>
      </c>
      <c r="W154" s="42">
        <v>13.371270000000001</v>
      </c>
      <c r="X154" s="42">
        <v>16.410195000000002</v>
      </c>
      <c r="Y154" s="42">
        <v>17.017980000000001</v>
      </c>
    </row>
    <row r="155" spans="3:25" ht="15" x14ac:dyDescent="0.2">
      <c r="C155" s="38" t="s">
        <v>138</v>
      </c>
      <c r="D155" s="38" t="s">
        <v>115</v>
      </c>
      <c r="E155" s="38" t="s">
        <v>116</v>
      </c>
      <c r="F155" s="38" t="s">
        <v>96</v>
      </c>
      <c r="G155" s="39">
        <v>0</v>
      </c>
      <c r="H155" s="40">
        <f t="shared" si="20"/>
        <v>19.502054400000002</v>
      </c>
      <c r="I155" s="40">
        <f t="shared" si="21"/>
        <v>17.064297600000003</v>
      </c>
      <c r="J155" s="40">
        <f t="shared" si="22"/>
        <v>54.849528000000007</v>
      </c>
      <c r="K155" s="40">
        <f t="shared" si="23"/>
        <v>3.6566352000000002</v>
      </c>
      <c r="L155" s="40">
        <f t="shared" si="24"/>
        <v>1.8283176000000001</v>
      </c>
      <c r="M155" s="40">
        <f t="shared" si="25"/>
        <v>6.7038312000000007</v>
      </c>
      <c r="N155" s="40">
        <f t="shared" si="26"/>
        <v>8.2274292000000013</v>
      </c>
      <c r="O155" s="40">
        <f t="shared" si="27"/>
        <v>8.5321488000000016</v>
      </c>
      <c r="P155" s="40">
        <f t="shared" si="28"/>
        <v>120.36424200000002</v>
      </c>
      <c r="Q155" s="41">
        <f t="shared" si="29"/>
        <v>0</v>
      </c>
      <c r="R155" s="42">
        <v>19.502054400000002</v>
      </c>
      <c r="S155" s="42">
        <v>17.064297600000003</v>
      </c>
      <c r="T155" s="42">
        <v>54.849528000000007</v>
      </c>
      <c r="U155" s="42">
        <v>3.6566352000000002</v>
      </c>
      <c r="V155" s="42">
        <v>1.8283176000000001</v>
      </c>
      <c r="W155" s="42">
        <v>6.7038312000000007</v>
      </c>
      <c r="X155" s="42">
        <v>8.2274292000000013</v>
      </c>
      <c r="Y155" s="42">
        <v>8.5321488000000016</v>
      </c>
    </row>
    <row r="156" spans="3:25" ht="15" x14ac:dyDescent="0.2">
      <c r="C156" s="38" t="s">
        <v>138</v>
      </c>
      <c r="D156" s="38" t="s">
        <v>115</v>
      </c>
      <c r="E156" s="38" t="s">
        <v>119</v>
      </c>
      <c r="F156" s="38" t="s">
        <v>96</v>
      </c>
      <c r="G156" s="39">
        <v>0</v>
      </c>
      <c r="H156" s="40">
        <f t="shared" si="20"/>
        <v>36.558950400000001</v>
      </c>
      <c r="I156" s="40">
        <f t="shared" si="21"/>
        <v>31.989081600000002</v>
      </c>
      <c r="J156" s="40">
        <f t="shared" si="22"/>
        <v>102.822048</v>
      </c>
      <c r="K156" s="40">
        <f t="shared" si="23"/>
        <v>6.8548031999999992</v>
      </c>
      <c r="L156" s="40">
        <f t="shared" si="24"/>
        <v>3.4274015999999996</v>
      </c>
      <c r="M156" s="40">
        <f t="shared" si="25"/>
        <v>12.5671392</v>
      </c>
      <c r="N156" s="40">
        <f t="shared" si="26"/>
        <v>15.423307199999998</v>
      </c>
      <c r="O156" s="40">
        <f t="shared" si="27"/>
        <v>15.994540800000001</v>
      </c>
      <c r="P156" s="40">
        <f t="shared" si="28"/>
        <v>225.63727200000002</v>
      </c>
      <c r="Q156" s="41">
        <f t="shared" si="29"/>
        <v>0</v>
      </c>
      <c r="R156" s="42">
        <v>36.558950400000001</v>
      </c>
      <c r="S156" s="42">
        <v>31.989081600000002</v>
      </c>
      <c r="T156" s="42">
        <v>102.822048</v>
      </c>
      <c r="U156" s="42">
        <v>6.8548031999999992</v>
      </c>
      <c r="V156" s="42">
        <v>3.4274015999999996</v>
      </c>
      <c r="W156" s="42">
        <v>12.5671392</v>
      </c>
      <c r="X156" s="42">
        <v>15.423307199999998</v>
      </c>
      <c r="Y156" s="42">
        <v>15.994540800000001</v>
      </c>
    </row>
    <row r="157" spans="3:25" ht="15" x14ac:dyDescent="0.2">
      <c r="C157" s="38" t="s">
        <v>138</v>
      </c>
      <c r="D157" s="38" t="s">
        <v>115</v>
      </c>
      <c r="E157" s="38" t="s">
        <v>118</v>
      </c>
      <c r="F157" s="38" t="s">
        <v>96</v>
      </c>
      <c r="G157" s="39">
        <v>0</v>
      </c>
      <c r="H157" s="40">
        <f t="shared" si="20"/>
        <v>53.615846399999995</v>
      </c>
      <c r="I157" s="40">
        <f t="shared" si="21"/>
        <v>46.913865599999994</v>
      </c>
      <c r="J157" s="40">
        <f t="shared" si="22"/>
        <v>150.79456799999997</v>
      </c>
      <c r="K157" s="40">
        <f t="shared" si="23"/>
        <v>10.052971199999998</v>
      </c>
      <c r="L157" s="40">
        <f t="shared" si="24"/>
        <v>5.0264855999999991</v>
      </c>
      <c r="M157" s="40">
        <f t="shared" si="25"/>
        <v>18.430447199999996</v>
      </c>
      <c r="N157" s="40">
        <f t="shared" si="26"/>
        <v>22.619185199999993</v>
      </c>
      <c r="O157" s="40">
        <f t="shared" si="27"/>
        <v>23.456932799999997</v>
      </c>
      <c r="P157" s="40">
        <f t="shared" si="28"/>
        <v>330.91030199999994</v>
      </c>
      <c r="Q157" s="41">
        <f t="shared" si="29"/>
        <v>0</v>
      </c>
      <c r="R157" s="42">
        <v>53.615846399999995</v>
      </c>
      <c r="S157" s="42">
        <v>46.913865599999994</v>
      </c>
      <c r="T157" s="42">
        <v>150.79456799999997</v>
      </c>
      <c r="U157" s="42">
        <v>10.052971199999998</v>
      </c>
      <c r="V157" s="42">
        <v>5.0264855999999991</v>
      </c>
      <c r="W157" s="42">
        <v>18.430447199999996</v>
      </c>
      <c r="X157" s="42">
        <v>22.619185199999993</v>
      </c>
      <c r="Y157" s="42">
        <v>23.456932799999997</v>
      </c>
    </row>
    <row r="158" spans="3:25" ht="15" x14ac:dyDescent="0.2">
      <c r="C158" s="38" t="s">
        <v>138</v>
      </c>
      <c r="D158" s="38" t="s">
        <v>120</v>
      </c>
      <c r="E158" s="38" t="s">
        <v>116</v>
      </c>
      <c r="F158" s="38" t="s">
        <v>96</v>
      </c>
      <c r="G158" s="39">
        <v>0</v>
      </c>
      <c r="H158" s="40">
        <f t="shared" si="20"/>
        <v>26.825568000000001</v>
      </c>
      <c r="I158" s="40">
        <f t="shared" si="21"/>
        <v>23.472372</v>
      </c>
      <c r="J158" s="40">
        <f t="shared" si="22"/>
        <v>75.446910000000003</v>
      </c>
      <c r="K158" s="40">
        <f t="shared" si="23"/>
        <v>5.0297939999999999</v>
      </c>
      <c r="L158" s="40">
        <f t="shared" si="24"/>
        <v>2.5148969999999999</v>
      </c>
      <c r="M158" s="40">
        <f t="shared" si="25"/>
        <v>9.2212889999999987</v>
      </c>
      <c r="N158" s="40">
        <f t="shared" si="26"/>
        <v>11.3170365</v>
      </c>
      <c r="O158" s="40">
        <f t="shared" si="27"/>
        <v>11.736186</v>
      </c>
      <c r="P158" s="40">
        <f t="shared" si="28"/>
        <v>165.5640525</v>
      </c>
      <c r="Q158" s="41">
        <f t="shared" si="29"/>
        <v>0</v>
      </c>
      <c r="R158" s="42">
        <v>26.825568000000001</v>
      </c>
      <c r="S158" s="42">
        <v>23.472372</v>
      </c>
      <c r="T158" s="42">
        <v>75.446910000000003</v>
      </c>
      <c r="U158" s="42">
        <v>5.0297939999999999</v>
      </c>
      <c r="V158" s="42">
        <v>2.5148969999999999</v>
      </c>
      <c r="W158" s="42">
        <v>9.2212889999999987</v>
      </c>
      <c r="X158" s="42">
        <v>11.3170365</v>
      </c>
      <c r="Y158" s="42">
        <v>11.736186</v>
      </c>
    </row>
    <row r="159" spans="3:25" ht="15" x14ac:dyDescent="0.2">
      <c r="C159" s="38" t="s">
        <v>138</v>
      </c>
      <c r="D159" s="38" t="s">
        <v>120</v>
      </c>
      <c r="E159" s="38" t="s">
        <v>119</v>
      </c>
      <c r="F159" s="38" t="s">
        <v>96</v>
      </c>
      <c r="G159" s="39">
        <v>0</v>
      </c>
      <c r="H159" s="40">
        <f t="shared" si="20"/>
        <v>37.458240000000004</v>
      </c>
      <c r="I159" s="40">
        <f t="shared" si="21"/>
        <v>32.775960000000005</v>
      </c>
      <c r="J159" s="40">
        <f t="shared" si="22"/>
        <v>105.35130000000001</v>
      </c>
      <c r="K159" s="40">
        <f t="shared" si="23"/>
        <v>7.0234199999999998</v>
      </c>
      <c r="L159" s="40">
        <f t="shared" si="24"/>
        <v>3.5117099999999999</v>
      </c>
      <c r="M159" s="40">
        <f t="shared" si="25"/>
        <v>12.87627</v>
      </c>
      <c r="N159" s="40">
        <f t="shared" si="26"/>
        <v>15.802695</v>
      </c>
      <c r="O159" s="40">
        <f t="shared" si="27"/>
        <v>16.387980000000002</v>
      </c>
      <c r="P159" s="40">
        <f t="shared" si="28"/>
        <v>231.18757500000001</v>
      </c>
      <c r="Q159" s="41">
        <f t="shared" si="29"/>
        <v>0</v>
      </c>
      <c r="R159" s="42">
        <v>37.458240000000004</v>
      </c>
      <c r="S159" s="42">
        <v>32.775960000000005</v>
      </c>
      <c r="T159" s="42">
        <v>105.35130000000001</v>
      </c>
      <c r="U159" s="42">
        <v>7.0234199999999998</v>
      </c>
      <c r="V159" s="42">
        <v>3.5117099999999999</v>
      </c>
      <c r="W159" s="42">
        <v>12.87627</v>
      </c>
      <c r="X159" s="42">
        <v>15.802695</v>
      </c>
      <c r="Y159" s="42">
        <v>16.387980000000002</v>
      </c>
    </row>
    <row r="160" spans="3:25" ht="15" x14ac:dyDescent="0.2">
      <c r="C160" s="38" t="s">
        <v>138</v>
      </c>
      <c r="D160" s="38" t="s">
        <v>120</v>
      </c>
      <c r="E160" s="38" t="s">
        <v>118</v>
      </c>
      <c r="F160" s="38" t="s">
        <v>96</v>
      </c>
      <c r="G160" s="39">
        <v>0</v>
      </c>
      <c r="H160" s="40">
        <f t="shared" si="20"/>
        <v>47.209267200000006</v>
      </c>
      <c r="I160" s="40">
        <f t="shared" si="21"/>
        <v>41.308108800000007</v>
      </c>
      <c r="J160" s="40">
        <f t="shared" si="22"/>
        <v>132.77606400000002</v>
      </c>
      <c r="K160" s="40">
        <f t="shared" si="23"/>
        <v>8.8517375999999999</v>
      </c>
      <c r="L160" s="40">
        <f t="shared" si="24"/>
        <v>4.4258687999999999</v>
      </c>
      <c r="M160" s="40">
        <f t="shared" si="25"/>
        <v>16.2281856</v>
      </c>
      <c r="N160" s="40">
        <f t="shared" si="26"/>
        <v>19.916409600000001</v>
      </c>
      <c r="O160" s="40">
        <f t="shared" si="27"/>
        <v>20.654054400000003</v>
      </c>
      <c r="P160" s="40">
        <f t="shared" si="28"/>
        <v>291.36969600000003</v>
      </c>
      <c r="Q160" s="41">
        <f t="shared" si="29"/>
        <v>0</v>
      </c>
      <c r="R160" s="42">
        <v>47.209267200000006</v>
      </c>
      <c r="S160" s="42">
        <v>41.308108800000007</v>
      </c>
      <c r="T160" s="42">
        <v>132.77606400000002</v>
      </c>
      <c r="U160" s="42">
        <v>8.8517375999999999</v>
      </c>
      <c r="V160" s="42">
        <v>4.4258687999999999</v>
      </c>
      <c r="W160" s="42">
        <v>16.2281856</v>
      </c>
      <c r="X160" s="42">
        <v>19.916409600000001</v>
      </c>
      <c r="Y160" s="42">
        <v>20.654054400000003</v>
      </c>
    </row>
    <row r="161" spans="3:25" ht="15" x14ac:dyDescent="0.2">
      <c r="C161" s="38" t="s">
        <v>139</v>
      </c>
      <c r="D161" s="38" t="s">
        <v>115</v>
      </c>
      <c r="E161" s="38" t="s">
        <v>116</v>
      </c>
      <c r="F161" s="38" t="s">
        <v>96</v>
      </c>
      <c r="G161" s="39">
        <v>0</v>
      </c>
      <c r="H161" s="40">
        <f t="shared" si="20"/>
        <v>8.2757375999999994</v>
      </c>
      <c r="I161" s="40">
        <f t="shared" si="21"/>
        <v>7.2412704000000003</v>
      </c>
      <c r="J161" s="40">
        <f t="shared" si="22"/>
        <v>23.275511999999999</v>
      </c>
      <c r="K161" s="40">
        <f t="shared" si="23"/>
        <v>1.5517007999999999</v>
      </c>
      <c r="L161" s="40">
        <f t="shared" si="24"/>
        <v>0.77585039999999994</v>
      </c>
      <c r="M161" s="40">
        <f t="shared" si="25"/>
        <v>2.8447847999999998</v>
      </c>
      <c r="N161" s="40">
        <f t="shared" si="26"/>
        <v>3.4913268</v>
      </c>
      <c r="O161" s="40">
        <f t="shared" si="27"/>
        <v>3.6206352000000002</v>
      </c>
      <c r="P161" s="40">
        <f t="shared" si="28"/>
        <v>51.076818000000003</v>
      </c>
      <c r="Q161" s="41">
        <f t="shared" si="29"/>
        <v>0</v>
      </c>
      <c r="R161" s="42">
        <v>8.2757375999999994</v>
      </c>
      <c r="S161" s="42">
        <v>7.2412704000000003</v>
      </c>
      <c r="T161" s="42">
        <v>23.275511999999999</v>
      </c>
      <c r="U161" s="42">
        <v>1.5517007999999999</v>
      </c>
      <c r="V161" s="42">
        <v>0.77585039999999994</v>
      </c>
      <c r="W161" s="42">
        <v>2.8447847999999998</v>
      </c>
      <c r="X161" s="42">
        <v>3.4913268</v>
      </c>
      <c r="Y161" s="42">
        <v>3.6206352000000002</v>
      </c>
    </row>
    <row r="162" spans="3:25" ht="15" x14ac:dyDescent="0.2">
      <c r="C162" s="38" t="s">
        <v>139</v>
      </c>
      <c r="D162" s="38" t="s">
        <v>115</v>
      </c>
      <c r="E162" s="38" t="s">
        <v>119</v>
      </c>
      <c r="F162" s="38" t="s">
        <v>96</v>
      </c>
      <c r="G162" s="39">
        <v>0</v>
      </c>
      <c r="H162" s="40">
        <f t="shared" si="20"/>
        <v>14.752895999999998</v>
      </c>
      <c r="I162" s="40">
        <f t="shared" si="21"/>
        <v>12.908783999999999</v>
      </c>
      <c r="J162" s="40">
        <f t="shared" si="22"/>
        <v>41.492519999999999</v>
      </c>
      <c r="K162" s="40">
        <f t="shared" si="23"/>
        <v>2.7661679999999995</v>
      </c>
      <c r="L162" s="40">
        <f t="shared" si="24"/>
        <v>1.3830839999999998</v>
      </c>
      <c r="M162" s="40">
        <f t="shared" si="25"/>
        <v>5.0713079999999993</v>
      </c>
      <c r="N162" s="40">
        <f t="shared" si="26"/>
        <v>6.223878</v>
      </c>
      <c r="O162" s="40">
        <f t="shared" si="27"/>
        <v>6.4543919999999995</v>
      </c>
      <c r="P162" s="40">
        <f t="shared" si="28"/>
        <v>91.053029999999993</v>
      </c>
      <c r="Q162" s="41">
        <f t="shared" si="29"/>
        <v>0</v>
      </c>
      <c r="R162" s="42">
        <v>14.752895999999998</v>
      </c>
      <c r="S162" s="42">
        <v>12.908783999999999</v>
      </c>
      <c r="T162" s="42">
        <v>41.492519999999999</v>
      </c>
      <c r="U162" s="42">
        <v>2.7661679999999995</v>
      </c>
      <c r="V162" s="42">
        <v>1.3830839999999998</v>
      </c>
      <c r="W162" s="42">
        <v>5.0713079999999993</v>
      </c>
      <c r="X162" s="42">
        <v>6.223878</v>
      </c>
      <c r="Y162" s="42">
        <v>6.4543919999999995</v>
      </c>
    </row>
    <row r="163" spans="3:25" ht="15" x14ac:dyDescent="0.2">
      <c r="C163" s="38" t="s">
        <v>139</v>
      </c>
      <c r="D163" s="38" t="s">
        <v>115</v>
      </c>
      <c r="E163" s="38" t="s">
        <v>118</v>
      </c>
      <c r="F163" s="38" t="s">
        <v>96</v>
      </c>
      <c r="G163" s="39">
        <v>0</v>
      </c>
      <c r="H163" s="40">
        <f t="shared" si="20"/>
        <v>27.777791999999994</v>
      </c>
      <c r="I163" s="40">
        <f t="shared" si="21"/>
        <v>24.305567999999997</v>
      </c>
      <c r="J163" s="40">
        <f t="shared" si="22"/>
        <v>78.125039999999984</v>
      </c>
      <c r="K163" s="40">
        <f t="shared" si="23"/>
        <v>5.2083359999999992</v>
      </c>
      <c r="L163" s="40">
        <f t="shared" si="24"/>
        <v>2.6041679999999996</v>
      </c>
      <c r="M163" s="40">
        <f t="shared" si="25"/>
        <v>9.5486159999999991</v>
      </c>
      <c r="N163" s="40">
        <f t="shared" si="26"/>
        <v>11.718755999999997</v>
      </c>
      <c r="O163" s="40">
        <f t="shared" si="27"/>
        <v>12.152783999999999</v>
      </c>
      <c r="P163" s="40">
        <f t="shared" si="28"/>
        <v>171.44105999999996</v>
      </c>
      <c r="Q163" s="41">
        <f t="shared" si="29"/>
        <v>0</v>
      </c>
      <c r="R163" s="42">
        <v>27.777791999999994</v>
      </c>
      <c r="S163" s="42">
        <v>24.305567999999997</v>
      </c>
      <c r="T163" s="42">
        <v>78.125039999999984</v>
      </c>
      <c r="U163" s="42">
        <v>5.2083359999999992</v>
      </c>
      <c r="V163" s="42">
        <v>2.6041679999999996</v>
      </c>
      <c r="W163" s="42">
        <v>9.5486159999999991</v>
      </c>
      <c r="X163" s="42">
        <v>11.718755999999997</v>
      </c>
      <c r="Y163" s="42">
        <v>12.152783999999999</v>
      </c>
    </row>
    <row r="164" spans="3:25" ht="15" x14ac:dyDescent="0.2">
      <c r="C164" s="38" t="s">
        <v>139</v>
      </c>
      <c r="D164" s="38" t="s">
        <v>120</v>
      </c>
      <c r="E164" s="38" t="s">
        <v>116</v>
      </c>
      <c r="F164" s="38" t="s">
        <v>96</v>
      </c>
      <c r="G164" s="39">
        <v>0</v>
      </c>
      <c r="H164" s="40">
        <f t="shared" si="20"/>
        <v>17.7034752</v>
      </c>
      <c r="I164" s="40">
        <f t="shared" si="21"/>
        <v>15.490540800000002</v>
      </c>
      <c r="J164" s="40">
        <f t="shared" si="22"/>
        <v>49.791024</v>
      </c>
      <c r="K164" s="40">
        <f t="shared" si="23"/>
        <v>3.3194016</v>
      </c>
      <c r="L164" s="40">
        <f t="shared" si="24"/>
        <v>1.6597008</v>
      </c>
      <c r="M164" s="40">
        <f t="shared" si="25"/>
        <v>6.0855696000000004</v>
      </c>
      <c r="N164" s="40">
        <f t="shared" si="26"/>
        <v>7.4686535999999997</v>
      </c>
      <c r="O164" s="40">
        <f t="shared" si="27"/>
        <v>7.7452704000000008</v>
      </c>
      <c r="P164" s="40">
        <f t="shared" si="28"/>
        <v>109.26363599999999</v>
      </c>
      <c r="Q164" s="41">
        <f t="shared" si="29"/>
        <v>0</v>
      </c>
      <c r="R164" s="42">
        <v>17.7034752</v>
      </c>
      <c r="S164" s="42">
        <v>15.490540800000002</v>
      </c>
      <c r="T164" s="42">
        <v>49.791024</v>
      </c>
      <c r="U164" s="42">
        <v>3.3194016</v>
      </c>
      <c r="V164" s="42">
        <v>1.6597008</v>
      </c>
      <c r="W164" s="42">
        <v>6.0855696000000004</v>
      </c>
      <c r="X164" s="42">
        <v>7.4686535999999997</v>
      </c>
      <c r="Y164" s="42">
        <v>7.7452704000000008</v>
      </c>
    </row>
    <row r="165" spans="3:25" ht="15" x14ac:dyDescent="0.2">
      <c r="C165" s="38" t="s">
        <v>139</v>
      </c>
      <c r="D165" s="38" t="s">
        <v>120</v>
      </c>
      <c r="E165" s="38" t="s">
        <v>119</v>
      </c>
      <c r="F165" s="38" t="s">
        <v>96</v>
      </c>
      <c r="G165" s="39">
        <v>0</v>
      </c>
      <c r="H165" s="40">
        <f t="shared" si="20"/>
        <v>26.555212800000003</v>
      </c>
      <c r="I165" s="40">
        <f t="shared" si="21"/>
        <v>23.235811200000004</v>
      </c>
      <c r="J165" s="40">
        <f t="shared" si="22"/>
        <v>74.686536000000018</v>
      </c>
      <c r="K165" s="40">
        <f t="shared" si="23"/>
        <v>4.9791024000000004</v>
      </c>
      <c r="L165" s="40">
        <f t="shared" si="24"/>
        <v>2.4895512000000002</v>
      </c>
      <c r="M165" s="40">
        <f t="shared" si="25"/>
        <v>9.128354400000001</v>
      </c>
      <c r="N165" s="40">
        <f t="shared" si="26"/>
        <v>11.202980400000003</v>
      </c>
      <c r="O165" s="40">
        <f t="shared" si="27"/>
        <v>11.617905600000002</v>
      </c>
      <c r="P165" s="40">
        <f t="shared" si="28"/>
        <v>163.89545400000003</v>
      </c>
      <c r="Q165" s="41">
        <f t="shared" si="29"/>
        <v>0</v>
      </c>
      <c r="R165" s="42">
        <v>26.555212800000003</v>
      </c>
      <c r="S165" s="42">
        <v>23.235811200000004</v>
      </c>
      <c r="T165" s="42">
        <v>74.686536000000018</v>
      </c>
      <c r="U165" s="42">
        <v>4.9791024000000004</v>
      </c>
      <c r="V165" s="42">
        <v>2.4895512000000002</v>
      </c>
      <c r="W165" s="42">
        <v>9.128354400000001</v>
      </c>
      <c r="X165" s="42">
        <v>11.202980400000003</v>
      </c>
      <c r="Y165" s="42">
        <v>11.617905600000002</v>
      </c>
    </row>
    <row r="166" spans="3:25" ht="15" x14ac:dyDescent="0.2">
      <c r="C166" s="38" t="s">
        <v>139</v>
      </c>
      <c r="D166" s="38" t="s">
        <v>120</v>
      </c>
      <c r="E166" s="38" t="s">
        <v>118</v>
      </c>
      <c r="F166" s="38" t="s">
        <v>96</v>
      </c>
      <c r="G166" s="39">
        <v>0</v>
      </c>
      <c r="H166" s="40">
        <f t="shared" si="20"/>
        <v>40.156108800000005</v>
      </c>
      <c r="I166" s="40">
        <f t="shared" si="21"/>
        <v>35.136595200000002</v>
      </c>
      <c r="J166" s="40">
        <f t="shared" si="22"/>
        <v>112.93905600000001</v>
      </c>
      <c r="K166" s="40">
        <f t="shared" si="23"/>
        <v>7.5292703999999997</v>
      </c>
      <c r="L166" s="40">
        <f t="shared" si="24"/>
        <v>3.7646351999999998</v>
      </c>
      <c r="M166" s="40">
        <f t="shared" si="25"/>
        <v>13.8036624</v>
      </c>
      <c r="N166" s="40">
        <f t="shared" si="26"/>
        <v>16.9408584</v>
      </c>
      <c r="O166" s="40">
        <f t="shared" si="27"/>
        <v>17.568297600000001</v>
      </c>
      <c r="P166" s="40">
        <f t="shared" si="28"/>
        <v>247.83848399999999</v>
      </c>
      <c r="Q166" s="41">
        <f t="shared" si="29"/>
        <v>0</v>
      </c>
      <c r="R166" s="42">
        <v>40.156108800000005</v>
      </c>
      <c r="S166" s="42">
        <v>35.136595200000002</v>
      </c>
      <c r="T166" s="42">
        <v>112.93905600000001</v>
      </c>
      <c r="U166" s="42">
        <v>7.5292703999999997</v>
      </c>
      <c r="V166" s="42">
        <v>3.7646351999999998</v>
      </c>
      <c r="W166" s="42">
        <v>13.8036624</v>
      </c>
      <c r="X166" s="42">
        <v>16.9408584</v>
      </c>
      <c r="Y166" s="42">
        <v>17.568297600000001</v>
      </c>
    </row>
  </sheetData>
  <sheetProtection algorithmName="SHA-512" hashValue="xAErd5ryE2r2D81xJtSSKmJ6NjnI78P/1wvw9b4YFOu5Z5Ua7k6HtTqQlnAfbTkpLa/lJOkD3nY1LkGBuPPsVw==" saltValue="ligcWn7QEMKHZ0/l2VbqWQ==" spinCount="100000" sheet="1" objects="1" scenarios="1"/>
  <mergeCells count="12">
    <mergeCell ref="Q8:Q10"/>
    <mergeCell ref="P9:P10"/>
    <mergeCell ref="C11:C28"/>
    <mergeCell ref="C2:I2"/>
    <mergeCell ref="C3:D3"/>
    <mergeCell ref="D5:E5"/>
    <mergeCell ref="C8:C10"/>
    <mergeCell ref="D8:D10"/>
    <mergeCell ref="E8:E10"/>
    <mergeCell ref="F8:F10"/>
    <mergeCell ref="G8:G10"/>
    <mergeCell ref="H8:P8"/>
  </mergeCells>
  <dataValidations count="1">
    <dataValidation type="decimal" allowBlank="1" showInputMessage="1" showErrorMessage="1" errorTitle="Somente números." error="Deve ser informada a quantidade de horas." sqref="D11:D28">
      <formula1>0</formula1>
      <formula2>1000000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B1:T39"/>
  <sheetViews>
    <sheetView showGridLines="0" showRowColHeaders="0" zoomScale="80" zoomScaleNormal="80" workbookViewId="0">
      <selection activeCell="C2" sqref="C2:J2"/>
    </sheetView>
  </sheetViews>
  <sheetFormatPr defaultRowHeight="14.25" x14ac:dyDescent="0.2"/>
  <cols>
    <col min="1" max="1" width="19.28515625" style="34" customWidth="1"/>
    <col min="2" max="2" width="24.28515625" style="29" hidden="1" customWidth="1"/>
    <col min="3" max="3" width="18.85546875" style="28" customWidth="1"/>
    <col min="4" max="4" width="36.5703125" style="88" hidden="1" customWidth="1"/>
    <col min="5" max="5" width="36.5703125" style="28" customWidth="1"/>
    <col min="6" max="6" width="15.140625" style="28" customWidth="1"/>
    <col min="7" max="7" width="16.85546875" style="28" customWidth="1"/>
    <col min="8" max="8" width="18.28515625" style="28" customWidth="1"/>
    <col min="9" max="9" width="16.28515625" style="34" customWidth="1"/>
    <col min="10" max="10" width="20.85546875" style="34" customWidth="1"/>
    <col min="11" max="11" width="14" style="34" customWidth="1"/>
    <col min="12" max="12" width="15.85546875" style="34" customWidth="1"/>
    <col min="13" max="13" width="11.7109375" style="34" customWidth="1"/>
    <col min="14" max="14" width="13.85546875" style="34" hidden="1" customWidth="1"/>
    <col min="15" max="15" width="12.5703125" style="34" hidden="1" customWidth="1"/>
    <col min="16" max="16" width="18.85546875" style="34" hidden="1" customWidth="1"/>
    <col min="17" max="17" width="11.85546875" style="34" hidden="1" customWidth="1"/>
    <col min="18" max="18" width="12.85546875" style="34" hidden="1" customWidth="1"/>
    <col min="19" max="19" width="14.140625" style="34" hidden="1" customWidth="1"/>
    <col min="20" max="20" width="12" style="34" hidden="1" customWidth="1"/>
    <col min="21" max="16384" width="9.140625" style="34"/>
  </cols>
  <sheetData>
    <row r="1" spans="2:20" s="28" customFormat="1" ht="35.1" customHeight="1" x14ac:dyDescent="0.2">
      <c r="B1" s="27" t="s">
        <v>76</v>
      </c>
      <c r="D1" s="88"/>
    </row>
    <row r="2" spans="2:20" s="28" customFormat="1" ht="35.1" customHeight="1" x14ac:dyDescent="0.2">
      <c r="B2" s="29"/>
      <c r="C2" s="430" t="s">
        <v>410</v>
      </c>
      <c r="D2" s="430"/>
      <c r="E2" s="430"/>
      <c r="F2" s="430"/>
      <c r="G2" s="430"/>
      <c r="H2" s="430"/>
      <c r="I2" s="430"/>
      <c r="J2" s="430"/>
    </row>
    <row r="3" spans="2:20" s="31" customFormat="1" ht="34.5" customHeight="1" x14ac:dyDescent="0.2">
      <c r="B3" s="30"/>
      <c r="C3" s="466"/>
      <c r="D3" s="466"/>
      <c r="E3" s="275"/>
    </row>
    <row r="4" spans="2:20" s="31" customFormat="1" ht="34.5" customHeight="1" x14ac:dyDescent="0.2">
      <c r="B4" s="30"/>
      <c r="C4" s="299"/>
      <c r="D4" s="292" t="s">
        <v>313</v>
      </c>
      <c r="E4" s="286" t="s">
        <v>313</v>
      </c>
      <c r="F4" s="28"/>
      <c r="G4" s="28"/>
    </row>
    <row r="5" spans="2:20" s="28" customFormat="1" ht="35.1" customHeight="1" x14ac:dyDescent="0.2">
      <c r="B5" s="29"/>
      <c r="C5" s="14" t="s">
        <v>99</v>
      </c>
      <c r="D5" s="293">
        <v>0</v>
      </c>
      <c r="E5" s="300">
        <f>M38</f>
        <v>0</v>
      </c>
    </row>
    <row r="6" spans="2:20" s="28" customFormat="1" ht="15" x14ac:dyDescent="0.2">
      <c r="B6" s="29"/>
      <c r="C6" s="32"/>
      <c r="D6" s="294"/>
      <c r="E6" s="33"/>
      <c r="F6" s="74"/>
      <c r="G6" s="74"/>
      <c r="H6" s="74"/>
    </row>
    <row r="7" spans="2:20" s="28" customFormat="1" ht="15" x14ac:dyDescent="0.2">
      <c r="B7" s="29"/>
      <c r="C7" s="32"/>
      <c r="D7" s="294"/>
      <c r="E7" s="33"/>
      <c r="F7" s="74"/>
      <c r="G7" s="74"/>
      <c r="H7" s="74"/>
    </row>
    <row r="8" spans="2:20" ht="14.25" customHeight="1" x14ac:dyDescent="0.2">
      <c r="C8" s="458" t="s">
        <v>227</v>
      </c>
      <c r="D8" s="473" t="s">
        <v>1</v>
      </c>
      <c r="E8" s="458" t="s">
        <v>1</v>
      </c>
      <c r="F8" s="458" t="s">
        <v>101</v>
      </c>
      <c r="G8" s="458" t="s">
        <v>151</v>
      </c>
      <c r="H8" s="458" t="s">
        <v>391</v>
      </c>
      <c r="I8" s="470" t="s">
        <v>104</v>
      </c>
      <c r="J8" s="471"/>
      <c r="K8" s="471"/>
      <c r="L8" s="472"/>
      <c r="M8" s="458" t="s">
        <v>105</v>
      </c>
    </row>
    <row r="9" spans="2:20" ht="37.5" customHeight="1" x14ac:dyDescent="0.2">
      <c r="C9" s="459"/>
      <c r="D9" s="474"/>
      <c r="E9" s="459"/>
      <c r="F9" s="459"/>
      <c r="G9" s="459"/>
      <c r="H9" s="459"/>
      <c r="I9" s="301" t="s">
        <v>83</v>
      </c>
      <c r="J9" s="301" t="s">
        <v>383</v>
      </c>
      <c r="K9" s="301" t="s">
        <v>384</v>
      </c>
      <c r="L9" s="301" t="s">
        <v>10</v>
      </c>
      <c r="M9" s="459"/>
      <c r="N9" s="36" t="s">
        <v>375</v>
      </c>
      <c r="O9" s="36" t="s">
        <v>83</v>
      </c>
      <c r="P9" s="36" t="s">
        <v>383</v>
      </c>
      <c r="Q9" s="36" t="s">
        <v>384</v>
      </c>
      <c r="R9" s="36" t="s">
        <v>10</v>
      </c>
      <c r="S9" s="36" t="s">
        <v>376</v>
      </c>
      <c r="T9" s="36" t="s">
        <v>377</v>
      </c>
    </row>
    <row r="10" spans="2:20" x14ac:dyDescent="0.2">
      <c r="C10" s="460"/>
      <c r="D10" s="475"/>
      <c r="E10" s="460"/>
      <c r="F10" s="460"/>
      <c r="G10" s="460"/>
      <c r="H10" s="460"/>
      <c r="I10" s="278" t="s">
        <v>173</v>
      </c>
      <c r="J10" s="278" t="s">
        <v>173</v>
      </c>
      <c r="K10" s="278" t="s">
        <v>173</v>
      </c>
      <c r="L10" s="278" t="s">
        <v>173</v>
      </c>
      <c r="M10" s="460"/>
    </row>
    <row r="11" spans="2:20" ht="15" customHeight="1" x14ac:dyDescent="0.2">
      <c r="C11" s="469" t="s">
        <v>313</v>
      </c>
      <c r="D11" s="295"/>
      <c r="E11" s="302"/>
      <c r="F11" s="303"/>
      <c r="G11" s="303"/>
      <c r="H11" s="303"/>
      <c r="I11" s="285">
        <f>IF($I$10="Não",0,
IF($I$10="Sim",
IF(H11="1 a 2 campos",$O$11,
IF(H11="3 a 4 campos",$O$12,
IF(H11="5 a 6 campos",$O$13,
IF(H11="7 a 8 campos",$O$14,
IF(H11="9 a 10 campos",$O$15,0)))))))</f>
        <v>0</v>
      </c>
      <c r="J11" s="285">
        <f>IF($J$10="Não",0,
IF($J$10="Sim",
IF(H11="1 a 2 campos",$P$11,
IF(H11="3 a 4 campos",$P$12,
IF(H11="5 a 6 campos",$P$13,
IF(H11="7 a 8 campos",$P$14,
IF(H11="9 a 10 campos",$P$15,0)))))))</f>
        <v>0</v>
      </c>
      <c r="K11" s="285">
        <f>IF($K$10="Não",0,
IF($K$10="Sim",
IF(H11="1 a 2 campos",$Q$11,
IF(H11="3 a 4 campos",$Q$12,
IF(H11="5 a 6 campos",$Q$13,
IF(H11="7 a 8 campos",$Q$14,
IF(H11="9 a 10 campos",$Q$15,0)))))))</f>
        <v>0</v>
      </c>
      <c r="L11" s="285">
        <f>IF($L$10="Não",0,
IF($L$10="Sim",
IF(H11="1 a 2 campos",$R$11,
IF(H11="3 a 4 campos",$R$12,
IF(H11="5 a 6 campos",$R$13,
IF(H11="7 a 8 campos",$R$14,
IF(H11="9 a 10 campos",$R$15,0)))))))</f>
        <v>0</v>
      </c>
      <c r="M11" s="285">
        <f>SUM(I11:L11)</f>
        <v>0</v>
      </c>
      <c r="N11" s="42" t="s">
        <v>378</v>
      </c>
      <c r="O11" s="42">
        <v>1</v>
      </c>
      <c r="P11" s="42">
        <v>0.54</v>
      </c>
      <c r="Q11" s="42">
        <v>10.5</v>
      </c>
      <c r="R11" s="42">
        <v>2</v>
      </c>
      <c r="S11" s="42">
        <v>13.5</v>
      </c>
      <c r="T11" s="42">
        <v>13.04</v>
      </c>
    </row>
    <row r="12" spans="2:20" ht="15" x14ac:dyDescent="0.2">
      <c r="C12" s="469"/>
      <c r="D12" s="295"/>
      <c r="E12" s="302"/>
      <c r="F12" s="303"/>
      <c r="G12" s="303"/>
      <c r="H12" s="303"/>
      <c r="I12" s="285">
        <f t="shared" ref="I12:I37" si="0">IF($I$10="Não",0,
IF($I$10="Sim",
IF(H12="1 a 2 campos",$O$11,
IF(H12="3 a 4 campos",$O$12,
IF(H12="5 a 6 campos",$O$13,
IF(H12="7 a 8 campos",$O$14,
IF(H12="9 a 10 campos",$O$15,0)))))))</f>
        <v>0</v>
      </c>
      <c r="J12" s="285">
        <f t="shared" ref="J12:J37" si="1">IF($J$10="Não",0,
IF($J$10="Sim",
IF(H12="1 a 2 campos",$P$11,
IF(H12="3 a 4 campos",$P$12,
IF(H12="5 a 6 campos",$P$13,
IF(H12="7 a 8 campos",$P$14,
IF(H12="9 a 10 campos",$P$15,0)))))))</f>
        <v>0</v>
      </c>
      <c r="K12" s="285">
        <f t="shared" ref="K12:K37" si="2">IF($K$10="Não",0,
IF($K$10="Sim",
IF(H12="1 a 2 campos",$Q$11,
IF(H12="3 a 4 campos",$Q$12,
IF(H12="5 a 6 campos",$Q$13,
IF(H12="7 a 8 campos",$Q$14,
IF(H12="9 a 10 campos",$Q$15,0)))))))</f>
        <v>0</v>
      </c>
      <c r="L12" s="285">
        <f t="shared" ref="L12:L37" si="3">IF($L$10="Não",0,
IF($L$10="Sim",
IF(H12="1 a 2 campos",$R$11,
IF(H12="3 a 4 campos",$R$12,
IF(H12="5 a 6 campos",$R$13,
IF(H12="7 a 8 campos",$R$14,
IF(H12="9 a 10 campos",$R$15,0)))))))</f>
        <v>0</v>
      </c>
      <c r="M12" s="285">
        <f t="shared" ref="M12:M37" si="4">SUM(I12:L12)</f>
        <v>0</v>
      </c>
      <c r="N12" s="42" t="s">
        <v>379</v>
      </c>
      <c r="O12" s="42">
        <v>1</v>
      </c>
      <c r="P12" s="42">
        <v>0.64</v>
      </c>
      <c r="Q12" s="42">
        <v>13</v>
      </c>
      <c r="R12" s="42">
        <v>2</v>
      </c>
      <c r="S12" s="42">
        <v>16</v>
      </c>
      <c r="T12" s="42">
        <v>15.64</v>
      </c>
    </row>
    <row r="13" spans="2:20" ht="15" x14ac:dyDescent="0.2">
      <c r="C13" s="469"/>
      <c r="D13" s="295"/>
      <c r="E13" s="302"/>
      <c r="F13" s="303"/>
      <c r="G13" s="303"/>
      <c r="H13" s="303"/>
      <c r="I13" s="285">
        <f t="shared" si="0"/>
        <v>0</v>
      </c>
      <c r="J13" s="285">
        <f t="shared" si="1"/>
        <v>0</v>
      </c>
      <c r="K13" s="285">
        <f t="shared" si="2"/>
        <v>0</v>
      </c>
      <c r="L13" s="285">
        <f t="shared" si="3"/>
        <v>0</v>
      </c>
      <c r="M13" s="285">
        <f t="shared" si="4"/>
        <v>0</v>
      </c>
      <c r="N13" s="42" t="s">
        <v>380</v>
      </c>
      <c r="O13" s="42">
        <v>2</v>
      </c>
      <c r="P13" s="42">
        <v>0.74</v>
      </c>
      <c r="Q13" s="42">
        <v>14.5</v>
      </c>
      <c r="R13" s="42">
        <v>2</v>
      </c>
      <c r="S13" s="42">
        <v>18.5</v>
      </c>
      <c r="T13" s="42">
        <v>17.240000000000002</v>
      </c>
    </row>
    <row r="14" spans="2:20" ht="15" x14ac:dyDescent="0.2">
      <c r="C14" s="469"/>
      <c r="D14" s="295"/>
      <c r="E14" s="302"/>
      <c r="F14" s="303"/>
      <c r="G14" s="303"/>
      <c r="H14" s="303"/>
      <c r="I14" s="285">
        <f t="shared" si="0"/>
        <v>0</v>
      </c>
      <c r="J14" s="285">
        <f t="shared" si="1"/>
        <v>0</v>
      </c>
      <c r="K14" s="285">
        <f t="shared" si="2"/>
        <v>0</v>
      </c>
      <c r="L14" s="285">
        <f t="shared" si="3"/>
        <v>0</v>
      </c>
      <c r="M14" s="285">
        <f t="shared" si="4"/>
        <v>0</v>
      </c>
      <c r="N14" s="42" t="s">
        <v>381</v>
      </c>
      <c r="O14" s="42">
        <v>2</v>
      </c>
      <c r="P14" s="42">
        <v>0.84</v>
      </c>
      <c r="Q14" s="42">
        <v>17</v>
      </c>
      <c r="R14" s="42">
        <v>2</v>
      </c>
      <c r="S14" s="42">
        <v>21</v>
      </c>
      <c r="T14" s="42">
        <v>19.84</v>
      </c>
    </row>
    <row r="15" spans="2:20" ht="15" x14ac:dyDescent="0.2">
      <c r="C15" s="469"/>
      <c r="D15" s="295"/>
      <c r="E15" s="302"/>
      <c r="F15" s="303"/>
      <c r="G15" s="303"/>
      <c r="H15" s="303"/>
      <c r="I15" s="285">
        <f t="shared" si="0"/>
        <v>0</v>
      </c>
      <c r="J15" s="285">
        <f t="shared" si="1"/>
        <v>0</v>
      </c>
      <c r="K15" s="285">
        <f t="shared" si="2"/>
        <v>0</v>
      </c>
      <c r="L15" s="285">
        <f t="shared" si="3"/>
        <v>0</v>
      </c>
      <c r="M15" s="285">
        <f t="shared" si="4"/>
        <v>0</v>
      </c>
      <c r="N15" s="42" t="s">
        <v>382</v>
      </c>
      <c r="O15" s="42">
        <v>2</v>
      </c>
      <c r="P15" s="42">
        <v>0.94000000000000006</v>
      </c>
      <c r="Q15" s="42">
        <v>19.5</v>
      </c>
      <c r="R15" s="42">
        <v>2</v>
      </c>
      <c r="S15" s="42">
        <v>23.5</v>
      </c>
      <c r="T15" s="42">
        <v>22.44</v>
      </c>
    </row>
    <row r="16" spans="2:20" ht="15" x14ac:dyDescent="0.2">
      <c r="C16" s="469"/>
      <c r="D16" s="295"/>
      <c r="E16" s="302"/>
      <c r="F16" s="303"/>
      <c r="G16" s="303"/>
      <c r="H16" s="303"/>
      <c r="I16" s="285">
        <f t="shared" si="0"/>
        <v>0</v>
      </c>
      <c r="J16" s="285">
        <f t="shared" si="1"/>
        <v>0</v>
      </c>
      <c r="K16" s="285">
        <f t="shared" si="2"/>
        <v>0</v>
      </c>
      <c r="L16" s="285">
        <f t="shared" si="3"/>
        <v>0</v>
      </c>
      <c r="M16" s="285">
        <f t="shared" si="4"/>
        <v>0</v>
      </c>
      <c r="N16" s="282"/>
      <c r="O16" s="282"/>
      <c r="P16" s="282"/>
      <c r="Q16" s="282"/>
      <c r="R16" s="282"/>
      <c r="S16" s="282"/>
      <c r="T16" s="282"/>
    </row>
    <row r="17" spans="3:20" ht="15" x14ac:dyDescent="0.2">
      <c r="C17" s="469"/>
      <c r="D17" s="295"/>
      <c r="E17" s="302"/>
      <c r="F17" s="303"/>
      <c r="G17" s="303"/>
      <c r="H17" s="303"/>
      <c r="I17" s="285">
        <f t="shared" si="0"/>
        <v>0</v>
      </c>
      <c r="J17" s="285">
        <f t="shared" si="1"/>
        <v>0</v>
      </c>
      <c r="K17" s="285">
        <f t="shared" si="2"/>
        <v>0</v>
      </c>
      <c r="L17" s="285">
        <f t="shared" si="3"/>
        <v>0</v>
      </c>
      <c r="M17" s="285">
        <f t="shared" si="4"/>
        <v>0</v>
      </c>
      <c r="N17" s="282"/>
      <c r="O17" s="282"/>
      <c r="P17" s="282"/>
      <c r="Q17" s="282"/>
      <c r="R17" s="282"/>
      <c r="S17" s="282"/>
      <c r="T17" s="282"/>
    </row>
    <row r="18" spans="3:20" ht="15" x14ac:dyDescent="0.2">
      <c r="C18" s="469"/>
      <c r="D18" s="295"/>
      <c r="E18" s="302"/>
      <c r="F18" s="303"/>
      <c r="G18" s="303"/>
      <c r="H18" s="303"/>
      <c r="I18" s="285">
        <f t="shared" ref="I18:I34" si="5">IF($I$10="Não",0,
IF($I$10="Sim",
IF(H18="1 a 2 campos",$O$11,
IF(H18="3 a 4 campos",$O$12,
IF(H18="5 a 6 campos",$O$13,
IF(H18="7 a 8 campos",$O$14,
IF(H18="9 a 10 campos",$O$15,0)))))))</f>
        <v>0</v>
      </c>
      <c r="J18" s="285">
        <f t="shared" ref="J18:J34" si="6">IF($J$10="Não",0,
IF($J$10="Sim",
IF(H18="1 a 2 campos",$P$11,
IF(H18="3 a 4 campos",$P$12,
IF(H18="5 a 6 campos",$P$13,
IF(H18="7 a 8 campos",$P$14,
IF(H18="9 a 10 campos",$P$15,0)))))))</f>
        <v>0</v>
      </c>
      <c r="K18" s="285">
        <f t="shared" ref="K18:K34" si="7">IF($K$10="Não",0,
IF($K$10="Sim",
IF(H18="1 a 2 campos",$Q$11,
IF(H18="3 a 4 campos",$Q$12,
IF(H18="5 a 6 campos",$Q$13,
IF(H18="7 a 8 campos",$Q$14,
IF(H18="9 a 10 campos",$Q$15,0)))))))</f>
        <v>0</v>
      </c>
      <c r="L18" s="285">
        <f t="shared" ref="L18:L34" si="8">IF($L$10="Não",0,
IF($L$10="Sim",
IF(H18="1 a 2 campos",$R$11,
IF(H18="3 a 4 campos",$R$12,
IF(H18="5 a 6 campos",$R$13,
IF(H18="7 a 8 campos",$R$14,
IF(H18="9 a 10 campos",$R$15,0)))))))</f>
        <v>0</v>
      </c>
      <c r="M18" s="285">
        <f t="shared" ref="M18:M34" si="9">SUM(I18:L18)</f>
        <v>0</v>
      </c>
      <c r="N18" s="282"/>
      <c r="O18" s="282"/>
      <c r="P18" s="282"/>
      <c r="Q18" s="282"/>
      <c r="R18" s="282"/>
      <c r="S18" s="282"/>
      <c r="T18" s="282"/>
    </row>
    <row r="19" spans="3:20" ht="15" x14ac:dyDescent="0.2">
      <c r="C19" s="469"/>
      <c r="D19" s="295"/>
      <c r="E19" s="302"/>
      <c r="F19" s="303"/>
      <c r="G19" s="303"/>
      <c r="H19" s="303"/>
      <c r="I19" s="285">
        <f t="shared" si="5"/>
        <v>0</v>
      </c>
      <c r="J19" s="285">
        <f t="shared" si="6"/>
        <v>0</v>
      </c>
      <c r="K19" s="285">
        <f t="shared" si="7"/>
        <v>0</v>
      </c>
      <c r="L19" s="285">
        <f t="shared" si="8"/>
        <v>0</v>
      </c>
      <c r="M19" s="285">
        <f t="shared" si="9"/>
        <v>0</v>
      </c>
      <c r="N19" s="282"/>
      <c r="O19" s="282"/>
      <c r="P19" s="282"/>
      <c r="Q19" s="282"/>
      <c r="R19" s="282"/>
      <c r="S19" s="282"/>
      <c r="T19" s="282"/>
    </row>
    <row r="20" spans="3:20" ht="15" x14ac:dyDescent="0.2">
      <c r="C20" s="469"/>
      <c r="D20" s="295"/>
      <c r="E20" s="302"/>
      <c r="F20" s="303"/>
      <c r="G20" s="303"/>
      <c r="H20" s="303"/>
      <c r="I20" s="285">
        <f t="shared" si="5"/>
        <v>0</v>
      </c>
      <c r="J20" s="285">
        <f t="shared" si="6"/>
        <v>0</v>
      </c>
      <c r="K20" s="285">
        <f t="shared" si="7"/>
        <v>0</v>
      </c>
      <c r="L20" s="285">
        <f t="shared" si="8"/>
        <v>0</v>
      </c>
      <c r="M20" s="285">
        <f t="shared" si="9"/>
        <v>0</v>
      </c>
      <c r="N20" s="282"/>
      <c r="O20" s="282"/>
      <c r="P20" s="282"/>
      <c r="Q20" s="282"/>
      <c r="R20" s="282"/>
      <c r="S20" s="282"/>
      <c r="T20" s="282"/>
    </row>
    <row r="21" spans="3:20" ht="15" x14ac:dyDescent="0.2">
      <c r="C21" s="469"/>
      <c r="D21" s="295"/>
      <c r="E21" s="302"/>
      <c r="F21" s="303"/>
      <c r="G21" s="303"/>
      <c r="H21" s="303"/>
      <c r="I21" s="285">
        <f t="shared" si="5"/>
        <v>0</v>
      </c>
      <c r="J21" s="285">
        <f t="shared" si="6"/>
        <v>0</v>
      </c>
      <c r="K21" s="285">
        <f t="shared" si="7"/>
        <v>0</v>
      </c>
      <c r="L21" s="285">
        <f t="shared" si="8"/>
        <v>0</v>
      </c>
      <c r="M21" s="285">
        <f t="shared" si="9"/>
        <v>0</v>
      </c>
      <c r="N21" s="282"/>
      <c r="O21" s="282"/>
      <c r="P21" s="282"/>
      <c r="Q21" s="282"/>
      <c r="R21" s="282"/>
      <c r="S21" s="282"/>
      <c r="T21" s="282"/>
    </row>
    <row r="22" spans="3:20" ht="15" x14ac:dyDescent="0.2">
      <c r="C22" s="469"/>
      <c r="D22" s="295"/>
      <c r="E22" s="302"/>
      <c r="F22" s="303"/>
      <c r="G22" s="303"/>
      <c r="H22" s="303"/>
      <c r="I22" s="285">
        <f t="shared" si="5"/>
        <v>0</v>
      </c>
      <c r="J22" s="285">
        <f t="shared" si="6"/>
        <v>0</v>
      </c>
      <c r="K22" s="285">
        <f t="shared" si="7"/>
        <v>0</v>
      </c>
      <c r="L22" s="285">
        <f t="shared" si="8"/>
        <v>0</v>
      </c>
      <c r="M22" s="285">
        <f t="shared" si="9"/>
        <v>0</v>
      </c>
      <c r="N22" s="282"/>
      <c r="O22" s="282"/>
      <c r="P22" s="282"/>
      <c r="Q22" s="282"/>
      <c r="R22" s="282"/>
      <c r="S22" s="282"/>
      <c r="T22" s="282"/>
    </row>
    <row r="23" spans="3:20" ht="15" x14ac:dyDescent="0.2">
      <c r="C23" s="469"/>
      <c r="D23" s="295"/>
      <c r="E23" s="302"/>
      <c r="F23" s="303"/>
      <c r="G23" s="303"/>
      <c r="H23" s="303"/>
      <c r="I23" s="285">
        <f t="shared" si="5"/>
        <v>0</v>
      </c>
      <c r="J23" s="285">
        <f t="shared" si="6"/>
        <v>0</v>
      </c>
      <c r="K23" s="285">
        <f t="shared" si="7"/>
        <v>0</v>
      </c>
      <c r="L23" s="285">
        <f t="shared" si="8"/>
        <v>0</v>
      </c>
      <c r="M23" s="285">
        <f t="shared" si="9"/>
        <v>0</v>
      </c>
      <c r="N23" s="282"/>
      <c r="O23" s="282"/>
      <c r="P23" s="282"/>
      <c r="Q23" s="282"/>
      <c r="R23" s="282"/>
      <c r="S23" s="282"/>
      <c r="T23" s="282"/>
    </row>
    <row r="24" spans="3:20" ht="15" x14ac:dyDescent="0.2">
      <c r="C24" s="469"/>
      <c r="D24" s="295"/>
      <c r="E24" s="302"/>
      <c r="F24" s="303"/>
      <c r="G24" s="303"/>
      <c r="H24" s="303"/>
      <c r="I24" s="285">
        <f t="shared" si="5"/>
        <v>0</v>
      </c>
      <c r="J24" s="285">
        <f t="shared" si="6"/>
        <v>0</v>
      </c>
      <c r="K24" s="285">
        <f t="shared" si="7"/>
        <v>0</v>
      </c>
      <c r="L24" s="285">
        <f t="shared" si="8"/>
        <v>0</v>
      </c>
      <c r="M24" s="285">
        <f t="shared" si="9"/>
        <v>0</v>
      </c>
      <c r="N24" s="282"/>
      <c r="O24" s="282"/>
      <c r="P24" s="282"/>
      <c r="Q24" s="282"/>
      <c r="R24" s="282"/>
      <c r="S24" s="282"/>
      <c r="T24" s="282"/>
    </row>
    <row r="25" spans="3:20" ht="15" x14ac:dyDescent="0.2">
      <c r="C25" s="469"/>
      <c r="D25" s="295"/>
      <c r="E25" s="302"/>
      <c r="F25" s="303"/>
      <c r="G25" s="303"/>
      <c r="H25" s="303"/>
      <c r="I25" s="285">
        <f t="shared" si="5"/>
        <v>0</v>
      </c>
      <c r="J25" s="285">
        <f t="shared" si="6"/>
        <v>0</v>
      </c>
      <c r="K25" s="285">
        <f t="shared" si="7"/>
        <v>0</v>
      </c>
      <c r="L25" s="285">
        <f t="shared" si="8"/>
        <v>0</v>
      </c>
      <c r="M25" s="285">
        <f t="shared" si="9"/>
        <v>0</v>
      </c>
      <c r="N25" s="282"/>
      <c r="O25" s="282"/>
      <c r="P25" s="282"/>
      <c r="Q25" s="282"/>
      <c r="R25" s="282"/>
      <c r="S25" s="282"/>
      <c r="T25" s="282"/>
    </row>
    <row r="26" spans="3:20" ht="15" x14ac:dyDescent="0.2">
      <c r="C26" s="469"/>
      <c r="D26" s="295"/>
      <c r="E26" s="302"/>
      <c r="F26" s="303"/>
      <c r="G26" s="303"/>
      <c r="H26" s="303"/>
      <c r="I26" s="285">
        <f t="shared" si="5"/>
        <v>0</v>
      </c>
      <c r="J26" s="285">
        <f t="shared" si="6"/>
        <v>0</v>
      </c>
      <c r="K26" s="285">
        <f t="shared" si="7"/>
        <v>0</v>
      </c>
      <c r="L26" s="285">
        <f t="shared" si="8"/>
        <v>0</v>
      </c>
      <c r="M26" s="285">
        <f t="shared" si="9"/>
        <v>0</v>
      </c>
      <c r="N26" s="282"/>
      <c r="O26" s="282"/>
      <c r="P26" s="282"/>
      <c r="Q26" s="282"/>
      <c r="R26" s="282"/>
      <c r="S26" s="282"/>
      <c r="T26" s="282"/>
    </row>
    <row r="27" spans="3:20" ht="15" x14ac:dyDescent="0.2">
      <c r="C27" s="469"/>
      <c r="D27" s="295"/>
      <c r="E27" s="302"/>
      <c r="F27" s="303"/>
      <c r="G27" s="303"/>
      <c r="H27" s="303"/>
      <c r="I27" s="285">
        <f t="shared" si="5"/>
        <v>0</v>
      </c>
      <c r="J27" s="285">
        <f t="shared" si="6"/>
        <v>0</v>
      </c>
      <c r="K27" s="285">
        <f t="shared" si="7"/>
        <v>0</v>
      </c>
      <c r="L27" s="285">
        <f t="shared" si="8"/>
        <v>0</v>
      </c>
      <c r="M27" s="285">
        <f t="shared" si="9"/>
        <v>0</v>
      </c>
      <c r="N27" s="282"/>
      <c r="O27" s="282"/>
      <c r="P27" s="282"/>
      <c r="Q27" s="282"/>
      <c r="R27" s="282"/>
      <c r="S27" s="282"/>
      <c r="T27" s="282"/>
    </row>
    <row r="28" spans="3:20" ht="15" x14ac:dyDescent="0.2">
      <c r="C28" s="469"/>
      <c r="D28" s="295"/>
      <c r="E28" s="302"/>
      <c r="F28" s="303"/>
      <c r="G28" s="303"/>
      <c r="H28" s="303"/>
      <c r="I28" s="285">
        <f t="shared" si="5"/>
        <v>0</v>
      </c>
      <c r="J28" s="285">
        <f t="shared" si="6"/>
        <v>0</v>
      </c>
      <c r="K28" s="285">
        <f t="shared" si="7"/>
        <v>0</v>
      </c>
      <c r="L28" s="285">
        <f t="shared" si="8"/>
        <v>0</v>
      </c>
      <c r="M28" s="285">
        <f t="shared" si="9"/>
        <v>0</v>
      </c>
      <c r="N28" s="282"/>
      <c r="O28" s="282"/>
      <c r="P28" s="282"/>
      <c r="Q28" s="282"/>
      <c r="R28" s="282"/>
      <c r="S28" s="282"/>
      <c r="T28" s="282"/>
    </row>
    <row r="29" spans="3:20" ht="15" x14ac:dyDescent="0.2">
      <c r="C29" s="469"/>
      <c r="D29" s="295"/>
      <c r="E29" s="302"/>
      <c r="F29" s="303"/>
      <c r="G29" s="303"/>
      <c r="H29" s="303"/>
      <c r="I29" s="285">
        <f t="shared" si="5"/>
        <v>0</v>
      </c>
      <c r="J29" s="285">
        <f t="shared" si="6"/>
        <v>0</v>
      </c>
      <c r="K29" s="285">
        <f t="shared" si="7"/>
        <v>0</v>
      </c>
      <c r="L29" s="285">
        <f t="shared" si="8"/>
        <v>0</v>
      </c>
      <c r="M29" s="285">
        <f t="shared" si="9"/>
        <v>0</v>
      </c>
      <c r="N29" s="282"/>
      <c r="O29" s="282"/>
      <c r="P29" s="282"/>
      <c r="Q29" s="282"/>
      <c r="R29" s="282"/>
      <c r="S29" s="282"/>
      <c r="T29" s="282"/>
    </row>
    <row r="30" spans="3:20" ht="15" x14ac:dyDescent="0.2">
      <c r="C30" s="469"/>
      <c r="D30" s="295"/>
      <c r="E30" s="302"/>
      <c r="F30" s="303"/>
      <c r="G30" s="303"/>
      <c r="H30" s="303"/>
      <c r="I30" s="285">
        <f t="shared" si="5"/>
        <v>0</v>
      </c>
      <c r="J30" s="285">
        <f t="shared" si="6"/>
        <v>0</v>
      </c>
      <c r="K30" s="285">
        <f t="shared" si="7"/>
        <v>0</v>
      </c>
      <c r="L30" s="285">
        <f t="shared" si="8"/>
        <v>0</v>
      </c>
      <c r="M30" s="285">
        <f t="shared" si="9"/>
        <v>0</v>
      </c>
      <c r="N30" s="282"/>
      <c r="O30" s="282"/>
      <c r="P30" s="282"/>
      <c r="Q30" s="282"/>
      <c r="R30" s="282"/>
      <c r="S30" s="282"/>
      <c r="T30" s="282"/>
    </row>
    <row r="31" spans="3:20" ht="15" x14ac:dyDescent="0.2">
      <c r="C31" s="469"/>
      <c r="D31" s="295"/>
      <c r="E31" s="302"/>
      <c r="F31" s="303"/>
      <c r="G31" s="303"/>
      <c r="H31" s="303"/>
      <c r="I31" s="285">
        <f t="shared" si="5"/>
        <v>0</v>
      </c>
      <c r="J31" s="285">
        <f t="shared" si="6"/>
        <v>0</v>
      </c>
      <c r="K31" s="285">
        <f t="shared" si="7"/>
        <v>0</v>
      </c>
      <c r="L31" s="285">
        <f t="shared" si="8"/>
        <v>0</v>
      </c>
      <c r="M31" s="285">
        <f t="shared" si="9"/>
        <v>0</v>
      </c>
      <c r="N31" s="282"/>
      <c r="O31" s="282"/>
      <c r="P31" s="282"/>
      <c r="Q31" s="282"/>
      <c r="R31" s="282"/>
      <c r="S31" s="282"/>
      <c r="T31" s="282"/>
    </row>
    <row r="32" spans="3:20" ht="15" x14ac:dyDescent="0.2">
      <c r="C32" s="469"/>
      <c r="D32" s="295"/>
      <c r="E32" s="302"/>
      <c r="F32" s="303"/>
      <c r="G32" s="303"/>
      <c r="H32" s="303"/>
      <c r="I32" s="285">
        <f t="shared" si="5"/>
        <v>0</v>
      </c>
      <c r="J32" s="285">
        <f t="shared" si="6"/>
        <v>0</v>
      </c>
      <c r="K32" s="285">
        <f t="shared" si="7"/>
        <v>0</v>
      </c>
      <c r="L32" s="285">
        <f t="shared" si="8"/>
        <v>0</v>
      </c>
      <c r="M32" s="285">
        <f t="shared" si="9"/>
        <v>0</v>
      </c>
      <c r="N32" s="282"/>
      <c r="O32" s="282"/>
      <c r="P32" s="282"/>
      <c r="Q32" s="282"/>
      <c r="R32" s="282"/>
      <c r="S32" s="282"/>
      <c r="T32" s="282"/>
    </row>
    <row r="33" spans="2:20" ht="15" x14ac:dyDescent="0.2">
      <c r="C33" s="469"/>
      <c r="D33" s="295"/>
      <c r="E33" s="302"/>
      <c r="F33" s="303"/>
      <c r="G33" s="303"/>
      <c r="H33" s="303"/>
      <c r="I33" s="285">
        <f t="shared" si="5"/>
        <v>0</v>
      </c>
      <c r="J33" s="285">
        <f t="shared" si="6"/>
        <v>0</v>
      </c>
      <c r="K33" s="285">
        <f t="shared" si="7"/>
        <v>0</v>
      </c>
      <c r="L33" s="285">
        <f t="shared" si="8"/>
        <v>0</v>
      </c>
      <c r="M33" s="285">
        <f t="shared" si="9"/>
        <v>0</v>
      </c>
      <c r="N33" s="282"/>
      <c r="O33" s="282"/>
      <c r="P33" s="282"/>
      <c r="Q33" s="282"/>
      <c r="R33" s="282"/>
      <c r="S33" s="282"/>
      <c r="T33" s="282"/>
    </row>
    <row r="34" spans="2:20" ht="15" x14ac:dyDescent="0.2">
      <c r="C34" s="469"/>
      <c r="D34" s="295"/>
      <c r="E34" s="302"/>
      <c r="F34" s="303"/>
      <c r="G34" s="303"/>
      <c r="H34" s="303"/>
      <c r="I34" s="285">
        <f t="shared" si="5"/>
        <v>0</v>
      </c>
      <c r="J34" s="285">
        <f t="shared" si="6"/>
        <v>0</v>
      </c>
      <c r="K34" s="285">
        <f t="shared" si="7"/>
        <v>0</v>
      </c>
      <c r="L34" s="285">
        <f t="shared" si="8"/>
        <v>0</v>
      </c>
      <c r="M34" s="285">
        <f t="shared" si="9"/>
        <v>0</v>
      </c>
      <c r="N34" s="282"/>
      <c r="O34" s="282"/>
      <c r="P34" s="282"/>
      <c r="Q34" s="282"/>
      <c r="R34" s="282"/>
      <c r="S34" s="282"/>
      <c r="T34" s="282"/>
    </row>
    <row r="35" spans="2:20" ht="15" x14ac:dyDescent="0.2">
      <c r="C35" s="469"/>
      <c r="D35" s="295"/>
      <c r="E35" s="302"/>
      <c r="F35" s="303"/>
      <c r="G35" s="303"/>
      <c r="H35" s="303"/>
      <c r="I35" s="285">
        <f t="shared" si="0"/>
        <v>0</v>
      </c>
      <c r="J35" s="285">
        <f t="shared" si="1"/>
        <v>0</v>
      </c>
      <c r="K35" s="285">
        <f t="shared" si="2"/>
        <v>0</v>
      </c>
      <c r="L35" s="285">
        <f t="shared" si="3"/>
        <v>0</v>
      </c>
      <c r="M35" s="285">
        <f t="shared" si="4"/>
        <v>0</v>
      </c>
      <c r="N35" s="282"/>
      <c r="O35" s="282"/>
      <c r="P35" s="282"/>
      <c r="Q35" s="282"/>
      <c r="R35" s="282"/>
      <c r="S35" s="282"/>
      <c r="T35" s="282"/>
    </row>
    <row r="36" spans="2:20" ht="15" x14ac:dyDescent="0.2">
      <c r="C36" s="469"/>
      <c r="D36" s="295"/>
      <c r="E36" s="302"/>
      <c r="F36" s="303"/>
      <c r="G36" s="303"/>
      <c r="H36" s="303"/>
      <c r="I36" s="285">
        <f t="shared" si="0"/>
        <v>0</v>
      </c>
      <c r="J36" s="285">
        <f t="shared" si="1"/>
        <v>0</v>
      </c>
      <c r="K36" s="285">
        <f t="shared" si="2"/>
        <v>0</v>
      </c>
      <c r="L36" s="285">
        <f t="shared" si="3"/>
        <v>0</v>
      </c>
      <c r="M36" s="285">
        <f t="shared" si="4"/>
        <v>0</v>
      </c>
      <c r="N36" s="282"/>
      <c r="O36" s="282"/>
      <c r="P36" s="282"/>
      <c r="Q36" s="282"/>
      <c r="R36" s="282"/>
      <c r="S36" s="282"/>
      <c r="T36" s="282"/>
    </row>
    <row r="37" spans="2:20" ht="15" x14ac:dyDescent="0.2">
      <c r="C37" s="469"/>
      <c r="D37" s="295"/>
      <c r="E37" s="302"/>
      <c r="F37" s="303"/>
      <c r="G37" s="303"/>
      <c r="H37" s="303"/>
      <c r="I37" s="285">
        <f t="shared" si="0"/>
        <v>0</v>
      </c>
      <c r="J37" s="285">
        <f t="shared" si="1"/>
        <v>0</v>
      </c>
      <c r="K37" s="285">
        <f t="shared" si="2"/>
        <v>0</v>
      </c>
      <c r="L37" s="285">
        <f t="shared" si="3"/>
        <v>0</v>
      </c>
      <c r="M37" s="285">
        <f t="shared" si="4"/>
        <v>0</v>
      </c>
      <c r="N37" s="282"/>
      <c r="O37" s="282"/>
      <c r="P37" s="282"/>
      <c r="Q37" s="282"/>
      <c r="R37" s="282"/>
      <c r="S37" s="282"/>
      <c r="T37" s="282"/>
    </row>
    <row r="38" spans="2:20" ht="15" x14ac:dyDescent="0.2">
      <c r="B38" s="279"/>
      <c r="D38" s="296"/>
      <c r="E38" s="283"/>
      <c r="F38" s="283"/>
      <c r="G38" s="283"/>
      <c r="H38" s="283"/>
      <c r="I38" s="283"/>
      <c r="J38" s="283"/>
      <c r="K38" s="283"/>
      <c r="L38" s="286" t="s">
        <v>112</v>
      </c>
      <c r="M38" s="286">
        <f>SUM(M11:M37)</f>
        <v>0</v>
      </c>
      <c r="N38" s="282"/>
      <c r="O38" s="282"/>
      <c r="P38" s="282"/>
      <c r="Q38" s="282"/>
      <c r="R38" s="282"/>
      <c r="S38" s="282"/>
      <c r="T38" s="282"/>
    </row>
    <row r="39" spans="2:20" ht="15" x14ac:dyDescent="0.2">
      <c r="B39" s="279"/>
      <c r="D39" s="297"/>
      <c r="E39" s="284"/>
      <c r="F39" s="284"/>
      <c r="G39" s="284"/>
      <c r="H39" s="284"/>
      <c r="I39" s="284"/>
      <c r="J39" s="284"/>
      <c r="K39" s="284"/>
      <c r="L39" s="284"/>
      <c r="M39" s="284"/>
      <c r="N39" s="282"/>
      <c r="O39" s="282"/>
      <c r="P39" s="282"/>
      <c r="Q39" s="282"/>
      <c r="R39" s="282"/>
      <c r="S39" s="282"/>
      <c r="T39" s="282"/>
    </row>
  </sheetData>
  <sheetProtection algorithmName="SHA-512" hashValue="zpAfek7kp3sJKNMjqMGvIdP9sGs1K3s0rn+stBJKCN8YBja6NJaE6SvXYbI/OXgByTMgCk9fDOGNE65YLa7Rpg==" saltValue="u6KjtSaN70qWJPf3x0NoYQ==" spinCount="100000" sheet="1" objects="1" scenarios="1"/>
  <mergeCells count="11">
    <mergeCell ref="C11:C37"/>
    <mergeCell ref="E8:E10"/>
    <mergeCell ref="M8:M10"/>
    <mergeCell ref="I8:L8"/>
    <mergeCell ref="C2:J2"/>
    <mergeCell ref="C3:D3"/>
    <mergeCell ref="C8:C10"/>
    <mergeCell ref="D8:D10"/>
    <mergeCell ref="F8:F10"/>
    <mergeCell ref="G8:G10"/>
    <mergeCell ref="H8:H10"/>
  </mergeCells>
  <dataValidations count="8">
    <dataValidation type="list" allowBlank="1" showInputMessage="1" showErrorMessage="1" sqref="J10">
      <formula1>IF($I$10=Sim,Nao,Sim_Nao)</formula1>
    </dataValidation>
    <dataValidation type="decimal" allowBlank="1" showInputMessage="1" showErrorMessage="1" errorTitle="Somente números." error="Deve ser informada a quantidade de horas." sqref="D11:D37">
      <formula1>0</formula1>
      <formula2>1000000</formula2>
    </dataValidation>
    <dataValidation type="list" allowBlank="1" showInputMessage="1" showErrorMessage="1" sqref="F11:F37">
      <formula1>"I,A,E"</formula1>
    </dataValidation>
    <dataValidation type="list" allowBlank="1" showInputMessage="1" showErrorMessage="1" sqref="G11:G37">
      <formula1>"SE,CE,EE,ALI,AIE"</formula1>
    </dataValidation>
    <dataValidation type="list" allowBlank="1" showInputMessage="1" showErrorMessage="1" sqref="H11:H37">
      <formula1>$N$11:$N$15</formula1>
    </dataValidation>
    <dataValidation allowBlank="1" showInputMessage="1" showErrorMessage="1" errorTitle="Somente números." error="Deve ser informada a quantidade de horas." sqref="E11:E37"/>
    <dataValidation type="list" allowBlank="1" showInputMessage="1" showErrorMessage="1" sqref="K10:L10">
      <formula1>"Sim,Não"</formula1>
    </dataValidation>
    <dataValidation type="list" allowBlank="1" showInputMessage="1" showErrorMessage="1" sqref="I10">
      <formula1>IF($J$10=Sim,Nao,Sim_Nao)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B1:T37"/>
  <sheetViews>
    <sheetView showGridLines="0" showRowColHeaders="0" zoomScale="80" zoomScaleNormal="80" workbookViewId="0">
      <selection activeCell="C2" sqref="C2:J2"/>
    </sheetView>
  </sheetViews>
  <sheetFormatPr defaultRowHeight="14.25" x14ac:dyDescent="0.2"/>
  <cols>
    <col min="1" max="1" width="19.28515625" style="34" customWidth="1"/>
    <col min="2" max="2" width="24.28515625" style="29" hidden="1" customWidth="1"/>
    <col min="3" max="3" width="18.85546875" style="28" customWidth="1"/>
    <col min="4" max="4" width="36.5703125" style="88" hidden="1" customWidth="1"/>
    <col min="5" max="5" width="36.5703125" style="28" customWidth="1"/>
    <col min="6" max="6" width="15.140625" style="28" customWidth="1"/>
    <col min="7" max="7" width="16.85546875" style="28" customWidth="1"/>
    <col min="8" max="8" width="18.28515625" style="28" customWidth="1"/>
    <col min="9" max="9" width="16.28515625" style="34" customWidth="1"/>
    <col min="10" max="10" width="20.85546875" style="34" customWidth="1"/>
    <col min="11" max="11" width="13.85546875" style="34" customWidth="1"/>
    <col min="12" max="12" width="14.140625" style="34" customWidth="1"/>
    <col min="13" max="13" width="11.7109375" style="34" customWidth="1"/>
    <col min="14" max="14" width="13.85546875" style="34" hidden="1" customWidth="1"/>
    <col min="15" max="15" width="12.5703125" style="34" hidden="1" customWidth="1"/>
    <col min="16" max="16" width="18.85546875" style="34" hidden="1" customWidth="1"/>
    <col min="17" max="17" width="11.85546875" style="34" hidden="1" customWidth="1"/>
    <col min="18" max="18" width="12.85546875" style="34" hidden="1" customWidth="1"/>
    <col min="19" max="19" width="14.140625" style="34" hidden="1" customWidth="1"/>
    <col min="20" max="20" width="12" style="34" hidden="1" customWidth="1"/>
    <col min="21" max="16384" width="9.140625" style="34"/>
  </cols>
  <sheetData>
    <row r="1" spans="2:20" s="28" customFormat="1" ht="35.1" customHeight="1" x14ac:dyDescent="0.2">
      <c r="B1" s="27" t="s">
        <v>76</v>
      </c>
      <c r="D1" s="88"/>
    </row>
    <row r="2" spans="2:20" s="28" customFormat="1" ht="35.1" customHeight="1" x14ac:dyDescent="0.2">
      <c r="B2" s="29"/>
      <c r="C2" s="430" t="s">
        <v>411</v>
      </c>
      <c r="D2" s="430"/>
      <c r="E2" s="430"/>
      <c r="F2" s="430"/>
      <c r="G2" s="430"/>
      <c r="H2" s="430"/>
      <c r="I2" s="430"/>
      <c r="J2" s="430"/>
    </row>
    <row r="3" spans="2:20" s="31" customFormat="1" ht="34.5" customHeight="1" x14ac:dyDescent="0.2">
      <c r="B3" s="30"/>
      <c r="C3" s="466"/>
      <c r="D3" s="466"/>
      <c r="E3" s="299"/>
    </row>
    <row r="4" spans="2:20" s="31" customFormat="1" ht="34.5" customHeight="1" x14ac:dyDescent="0.2">
      <c r="B4" s="30"/>
      <c r="C4" s="299"/>
      <c r="D4" s="292" t="s">
        <v>313</v>
      </c>
      <c r="E4" s="286" t="s">
        <v>312</v>
      </c>
    </row>
    <row r="5" spans="2:20" s="28" customFormat="1" ht="35.1" customHeight="1" x14ac:dyDescent="0.2">
      <c r="B5" s="29"/>
      <c r="C5" s="14" t="s">
        <v>99</v>
      </c>
      <c r="D5" s="293">
        <v>0</v>
      </c>
      <c r="E5" s="300">
        <f>M37</f>
        <v>0</v>
      </c>
      <c r="F5" s="31"/>
      <c r="G5" s="31"/>
    </row>
    <row r="6" spans="2:20" s="28" customFormat="1" ht="15" x14ac:dyDescent="0.2">
      <c r="B6" s="29"/>
      <c r="C6" s="32"/>
      <c r="D6" s="294"/>
      <c r="E6" s="33"/>
      <c r="F6" s="74"/>
      <c r="G6" s="74"/>
      <c r="H6" s="74"/>
    </row>
    <row r="7" spans="2:20" s="31" customFormat="1" ht="15" x14ac:dyDescent="0.2">
      <c r="B7" s="97"/>
      <c r="C7" s="280"/>
      <c r="D7" s="298"/>
      <c r="E7" s="281"/>
      <c r="F7" s="281"/>
      <c r="G7" s="281"/>
      <c r="H7" s="281"/>
      <c r="I7" s="287"/>
      <c r="J7" s="287"/>
      <c r="K7" s="287"/>
      <c r="L7" s="287"/>
      <c r="M7" s="287"/>
      <c r="N7" s="282"/>
      <c r="O7" s="282"/>
      <c r="P7" s="282"/>
      <c r="Q7" s="282"/>
      <c r="R7" s="282"/>
      <c r="S7" s="282"/>
      <c r="T7" s="282"/>
    </row>
    <row r="8" spans="2:20" s="31" customFormat="1" ht="14.25" customHeight="1" x14ac:dyDescent="0.2">
      <c r="B8" s="97"/>
      <c r="C8" s="458" t="s">
        <v>227</v>
      </c>
      <c r="D8" s="473" t="s">
        <v>1</v>
      </c>
      <c r="E8" s="458" t="s">
        <v>1</v>
      </c>
      <c r="F8" s="458" t="s">
        <v>101</v>
      </c>
      <c r="G8" s="458" t="s">
        <v>151</v>
      </c>
      <c r="H8" s="458" t="s">
        <v>391</v>
      </c>
      <c r="I8" s="470" t="s">
        <v>104</v>
      </c>
      <c r="J8" s="471"/>
      <c r="K8" s="471"/>
      <c r="L8" s="472"/>
      <c r="M8" s="458" t="s">
        <v>105</v>
      </c>
      <c r="N8" s="34"/>
      <c r="O8" s="34"/>
      <c r="P8" s="34"/>
      <c r="Q8" s="34"/>
      <c r="R8" s="34"/>
      <c r="S8" s="34"/>
      <c r="T8" s="34"/>
    </row>
    <row r="9" spans="2:20" s="31" customFormat="1" ht="38.25" customHeight="1" x14ac:dyDescent="0.2">
      <c r="B9" s="97"/>
      <c r="C9" s="459"/>
      <c r="D9" s="474"/>
      <c r="E9" s="459"/>
      <c r="F9" s="459"/>
      <c r="G9" s="459"/>
      <c r="H9" s="459"/>
      <c r="I9" s="301" t="s">
        <v>83</v>
      </c>
      <c r="J9" s="301" t="s">
        <v>383</v>
      </c>
      <c r="K9" s="301" t="s">
        <v>384</v>
      </c>
      <c r="L9" s="301" t="s">
        <v>10</v>
      </c>
      <c r="M9" s="459"/>
      <c r="N9" s="36" t="s">
        <v>375</v>
      </c>
      <c r="O9" s="36" t="s">
        <v>83</v>
      </c>
      <c r="P9" s="36" t="s">
        <v>383</v>
      </c>
      <c r="Q9" s="36" t="s">
        <v>384</v>
      </c>
      <c r="R9" s="36" t="s">
        <v>10</v>
      </c>
      <c r="S9" s="36" t="s">
        <v>376</v>
      </c>
      <c r="T9" s="36" t="s">
        <v>377</v>
      </c>
    </row>
    <row r="10" spans="2:20" s="31" customFormat="1" x14ac:dyDescent="0.2">
      <c r="B10" s="97"/>
      <c r="C10" s="460"/>
      <c r="D10" s="475"/>
      <c r="E10" s="460"/>
      <c r="F10" s="460"/>
      <c r="G10" s="460"/>
      <c r="H10" s="460"/>
      <c r="I10" s="278" t="s">
        <v>173</v>
      </c>
      <c r="J10" s="278" t="s">
        <v>173</v>
      </c>
      <c r="K10" s="278" t="s">
        <v>173</v>
      </c>
      <c r="L10" s="278" t="s">
        <v>173</v>
      </c>
      <c r="M10" s="460"/>
      <c r="N10" s="34"/>
      <c r="O10" s="34"/>
      <c r="P10" s="34"/>
      <c r="Q10" s="34"/>
      <c r="R10" s="34"/>
      <c r="S10" s="34"/>
      <c r="T10" s="34"/>
    </row>
    <row r="11" spans="2:20" ht="15" x14ac:dyDescent="0.2">
      <c r="C11" s="476" t="s">
        <v>312</v>
      </c>
      <c r="D11" s="295"/>
      <c r="E11" s="302"/>
      <c r="F11" s="303"/>
      <c r="G11" s="303"/>
      <c r="H11" s="303"/>
      <c r="I11" s="285">
        <f>IF($I$10="Não",0,
IF($I$10="Sim",
IF(H11="1 a 2 campos",$O$11,
IF(H11="3 a 4 campos",$O$12,
IF(H11="5 a 6 campos",$O$13,
IF(H11="7 a 8 campos",$O$14,
IF(H11="9 a 10 campos",$O$15,0)))))))</f>
        <v>0</v>
      </c>
      <c r="J11" s="285">
        <f>IF($J$10="Não",0,
IF($J$10="Sim",
IF(H11="1 a 2 campos",$P$11,
IF(H11="3 a 4 campos",$P$12,
IF(H11="5 a 6 campos",$P$13,
IF(H11="7 a 8 campos",$P$14,
IF(H11="9 a 10 campos",$P$15,0)))))))</f>
        <v>0</v>
      </c>
      <c r="K11" s="285">
        <f>IF($K$10="Não",0,
IF($K$10="Sim",
IF(H11="1 a 2 campos",$Q$11,
IF(H11="3 a 4 campos",$Q$12,
IF(H11="5 a 6 campos",$Q$13,
IF(H11="7 a 8 campos",$Q$14,
IF(H11="9 a 10 campos",$Q$15,0)))))))</f>
        <v>0</v>
      </c>
      <c r="L11" s="285">
        <f>IF($L$10="Não",0,
IF($L$10="Sim",
IF(H11="1 a 2 campos",$R$11,
IF(H11="3 a 4 campos",$R$12,
IF(H11="5 a 6 campos",$R$13,
IF(H11="7 a 8 campos",$R$14,
IF(H11="9 a 10 campos",$R$15,0)))))))</f>
        <v>0</v>
      </c>
      <c r="M11" s="288">
        <f>SUM(I11:L11)</f>
        <v>0</v>
      </c>
      <c r="N11" s="42" t="s">
        <v>378</v>
      </c>
      <c r="O11" s="42">
        <v>1</v>
      </c>
      <c r="P11" s="42">
        <v>0.38</v>
      </c>
      <c r="Q11" s="42">
        <v>6.5</v>
      </c>
      <c r="R11" s="42">
        <v>2</v>
      </c>
      <c r="S11" s="42">
        <v>9.5</v>
      </c>
      <c r="T11" s="42">
        <v>8.879999999999999</v>
      </c>
    </row>
    <row r="12" spans="2:20" ht="15" x14ac:dyDescent="0.2">
      <c r="C12" s="476"/>
      <c r="D12" s="295"/>
      <c r="E12" s="302"/>
      <c r="F12" s="303"/>
      <c r="G12" s="303"/>
      <c r="H12" s="303"/>
      <c r="I12" s="285">
        <f t="shared" ref="I12:I36" si="0">IF($I$10="Não",0,
IF($I$10="Sim",
IF(H12="1 a 2 campos",$O$11,
IF(H12="3 a 4 campos",$O$12,
IF(H12="5 a 6 campos",$O$13,
IF(H12="7 a 8 campos",$O$14,
IF(H12="9 a 10 campos",$O$15,0)))))))</f>
        <v>0</v>
      </c>
      <c r="J12" s="285">
        <f t="shared" ref="J12:J36" si="1">IF($J$10="Não",0,
IF($J$10="Sim",
IF(H12="1 a 2 campos",$P$11,
IF(H12="3 a 4 campos",$P$12,
IF(H12="5 a 6 campos",$P$13,
IF(H12="7 a 8 campos",$P$14,
IF(H12="9 a 10 campos",$P$15,0)))))))</f>
        <v>0</v>
      </c>
      <c r="K12" s="285">
        <f t="shared" ref="K12:K36" si="2">IF($K$10="Não",0,
IF($K$10="Sim",
IF(H12="1 a 2 campos",$Q$11,
IF(H12="3 a 4 campos",$Q$12,
IF(H12="5 a 6 campos",$Q$13,
IF(H12="7 a 8 campos",$Q$14,
IF(H12="9 a 10 campos",$Q$15,0)))))))</f>
        <v>0</v>
      </c>
      <c r="L12" s="285">
        <f t="shared" ref="L12:L36" si="3">IF($L$10="Não",0,
IF($L$10="Sim",
IF(H12="1 a 2 campos",$R$11,
IF(H12="3 a 4 campos",$R$12,
IF(H12="5 a 6 campos",$R$13,
IF(H12="7 a 8 campos",$R$14,
IF(H12="9 a 10 campos",$R$15,0)))))))</f>
        <v>0</v>
      </c>
      <c r="M12" s="288">
        <f t="shared" ref="M12:M15" si="4">SUM(I12:L12)</f>
        <v>0</v>
      </c>
      <c r="N12" s="42" t="s">
        <v>379</v>
      </c>
      <c r="O12" s="42">
        <v>1</v>
      </c>
      <c r="P12" s="42">
        <v>0.46</v>
      </c>
      <c r="Q12" s="42">
        <v>8.5</v>
      </c>
      <c r="R12" s="42">
        <v>2</v>
      </c>
      <c r="S12" s="42">
        <v>11.5</v>
      </c>
      <c r="T12" s="42">
        <v>10.96</v>
      </c>
    </row>
    <row r="13" spans="2:20" ht="15" x14ac:dyDescent="0.2">
      <c r="C13" s="476"/>
      <c r="D13" s="295"/>
      <c r="E13" s="302"/>
      <c r="F13" s="303"/>
      <c r="G13" s="303"/>
      <c r="H13" s="303"/>
      <c r="I13" s="285">
        <f t="shared" si="0"/>
        <v>0</v>
      </c>
      <c r="J13" s="285">
        <f t="shared" si="1"/>
        <v>0</v>
      </c>
      <c r="K13" s="285">
        <f t="shared" si="2"/>
        <v>0</v>
      </c>
      <c r="L13" s="285">
        <f t="shared" si="3"/>
        <v>0</v>
      </c>
      <c r="M13" s="288">
        <f t="shared" si="4"/>
        <v>0</v>
      </c>
      <c r="N13" s="42" t="s">
        <v>380</v>
      </c>
      <c r="O13" s="42">
        <v>2</v>
      </c>
      <c r="P13" s="42">
        <v>0.54</v>
      </c>
      <c r="Q13" s="42">
        <v>9.5</v>
      </c>
      <c r="R13" s="42">
        <v>2</v>
      </c>
      <c r="S13" s="42">
        <v>13.5</v>
      </c>
      <c r="T13" s="42">
        <v>12.04</v>
      </c>
    </row>
    <row r="14" spans="2:20" ht="15" x14ac:dyDescent="0.2">
      <c r="C14" s="476"/>
      <c r="D14" s="295"/>
      <c r="E14" s="302"/>
      <c r="F14" s="303"/>
      <c r="G14" s="303"/>
      <c r="H14" s="303"/>
      <c r="I14" s="285">
        <f t="shared" si="0"/>
        <v>0</v>
      </c>
      <c r="J14" s="285">
        <f t="shared" si="1"/>
        <v>0</v>
      </c>
      <c r="K14" s="285">
        <f t="shared" si="2"/>
        <v>0</v>
      </c>
      <c r="L14" s="285">
        <f t="shared" si="3"/>
        <v>0</v>
      </c>
      <c r="M14" s="288">
        <f t="shared" si="4"/>
        <v>0</v>
      </c>
      <c r="N14" s="42" t="s">
        <v>381</v>
      </c>
      <c r="O14" s="42">
        <v>2</v>
      </c>
      <c r="P14" s="42">
        <v>0.62</v>
      </c>
      <c r="Q14" s="42">
        <v>11.5</v>
      </c>
      <c r="R14" s="42">
        <v>2</v>
      </c>
      <c r="S14" s="42">
        <v>15.5</v>
      </c>
      <c r="T14" s="42">
        <v>14.12</v>
      </c>
    </row>
    <row r="15" spans="2:20" ht="15" x14ac:dyDescent="0.2">
      <c r="C15" s="476"/>
      <c r="D15" s="295"/>
      <c r="E15" s="302"/>
      <c r="F15" s="303"/>
      <c r="G15" s="303"/>
      <c r="H15" s="303"/>
      <c r="I15" s="285">
        <f t="shared" si="0"/>
        <v>0</v>
      </c>
      <c r="J15" s="285">
        <f t="shared" si="1"/>
        <v>0</v>
      </c>
      <c r="K15" s="285">
        <f t="shared" si="2"/>
        <v>0</v>
      </c>
      <c r="L15" s="285">
        <f t="shared" si="3"/>
        <v>0</v>
      </c>
      <c r="M15" s="288">
        <f t="shared" si="4"/>
        <v>0</v>
      </c>
      <c r="N15" s="42" t="s">
        <v>382</v>
      </c>
      <c r="O15" s="42">
        <v>2</v>
      </c>
      <c r="P15" s="42">
        <v>0.70000000000000007</v>
      </c>
      <c r="Q15" s="42">
        <v>13.5</v>
      </c>
      <c r="R15" s="42">
        <v>2</v>
      </c>
      <c r="S15" s="42">
        <v>17.5</v>
      </c>
      <c r="T15" s="42">
        <v>16.2</v>
      </c>
    </row>
    <row r="16" spans="2:20" x14ac:dyDescent="0.2">
      <c r="C16" s="476"/>
      <c r="D16" s="295"/>
      <c r="E16" s="302"/>
      <c r="F16" s="303"/>
      <c r="G16" s="303"/>
      <c r="H16" s="303"/>
      <c r="I16" s="285">
        <f t="shared" si="0"/>
        <v>0</v>
      </c>
      <c r="J16" s="285">
        <f t="shared" si="1"/>
        <v>0</v>
      </c>
      <c r="K16" s="285">
        <f t="shared" si="2"/>
        <v>0</v>
      </c>
      <c r="L16" s="285">
        <f t="shared" si="3"/>
        <v>0</v>
      </c>
      <c r="M16" s="288">
        <f t="shared" ref="M16:M19" si="5">SUM(I16:L16)</f>
        <v>0</v>
      </c>
    </row>
    <row r="17" spans="3:13" x14ac:dyDescent="0.2">
      <c r="C17" s="476"/>
      <c r="D17" s="295"/>
      <c r="E17" s="302"/>
      <c r="F17" s="303"/>
      <c r="G17" s="303"/>
      <c r="H17" s="303"/>
      <c r="I17" s="285">
        <f t="shared" si="0"/>
        <v>0</v>
      </c>
      <c r="J17" s="285">
        <f t="shared" si="1"/>
        <v>0</v>
      </c>
      <c r="K17" s="285">
        <f t="shared" si="2"/>
        <v>0</v>
      </c>
      <c r="L17" s="285">
        <f t="shared" si="3"/>
        <v>0</v>
      </c>
      <c r="M17" s="288">
        <f t="shared" si="5"/>
        <v>0</v>
      </c>
    </row>
    <row r="18" spans="3:13" x14ac:dyDescent="0.2">
      <c r="C18" s="476"/>
      <c r="D18" s="295"/>
      <c r="E18" s="302"/>
      <c r="F18" s="303"/>
      <c r="G18" s="303"/>
      <c r="H18" s="303"/>
      <c r="I18" s="285">
        <f t="shared" si="0"/>
        <v>0</v>
      </c>
      <c r="J18" s="285">
        <f t="shared" si="1"/>
        <v>0</v>
      </c>
      <c r="K18" s="285">
        <f t="shared" si="2"/>
        <v>0</v>
      </c>
      <c r="L18" s="285">
        <f t="shared" si="3"/>
        <v>0</v>
      </c>
      <c r="M18" s="288">
        <f t="shared" si="5"/>
        <v>0</v>
      </c>
    </row>
    <row r="19" spans="3:13" x14ac:dyDescent="0.2">
      <c r="C19" s="476"/>
      <c r="D19" s="295"/>
      <c r="E19" s="302"/>
      <c r="F19" s="303"/>
      <c r="G19" s="303"/>
      <c r="H19" s="303"/>
      <c r="I19" s="285">
        <f t="shared" si="0"/>
        <v>0</v>
      </c>
      <c r="J19" s="285">
        <f t="shared" si="1"/>
        <v>0</v>
      </c>
      <c r="K19" s="285">
        <f t="shared" si="2"/>
        <v>0</v>
      </c>
      <c r="L19" s="285">
        <f t="shared" si="3"/>
        <v>0</v>
      </c>
      <c r="M19" s="288">
        <f t="shared" si="5"/>
        <v>0</v>
      </c>
    </row>
    <row r="20" spans="3:13" x14ac:dyDescent="0.2">
      <c r="C20" s="476"/>
      <c r="D20" s="295"/>
      <c r="E20" s="302"/>
      <c r="F20" s="303"/>
      <c r="G20" s="303"/>
      <c r="H20" s="303"/>
      <c r="I20" s="285">
        <f t="shared" si="0"/>
        <v>0</v>
      </c>
      <c r="J20" s="285">
        <f t="shared" si="1"/>
        <v>0</v>
      </c>
      <c r="K20" s="285">
        <f t="shared" si="2"/>
        <v>0</v>
      </c>
      <c r="L20" s="285">
        <f t="shared" si="3"/>
        <v>0</v>
      </c>
      <c r="M20" s="288">
        <f t="shared" ref="M20:M36" si="6">SUM(I20:L20)</f>
        <v>0</v>
      </c>
    </row>
    <row r="21" spans="3:13" x14ac:dyDescent="0.2">
      <c r="C21" s="476"/>
      <c r="D21" s="295"/>
      <c r="E21" s="302"/>
      <c r="F21" s="303"/>
      <c r="G21" s="303"/>
      <c r="H21" s="303"/>
      <c r="I21" s="285">
        <f t="shared" si="0"/>
        <v>0</v>
      </c>
      <c r="J21" s="285">
        <f t="shared" si="1"/>
        <v>0</v>
      </c>
      <c r="K21" s="285">
        <f t="shared" si="2"/>
        <v>0</v>
      </c>
      <c r="L21" s="285">
        <f t="shared" si="3"/>
        <v>0</v>
      </c>
      <c r="M21" s="288">
        <f t="shared" si="6"/>
        <v>0</v>
      </c>
    </row>
    <row r="22" spans="3:13" x14ac:dyDescent="0.2">
      <c r="C22" s="476"/>
      <c r="D22" s="295"/>
      <c r="E22" s="302"/>
      <c r="F22" s="303"/>
      <c r="G22" s="303"/>
      <c r="H22" s="303"/>
      <c r="I22" s="285">
        <f t="shared" si="0"/>
        <v>0</v>
      </c>
      <c r="J22" s="285">
        <f t="shared" si="1"/>
        <v>0</v>
      </c>
      <c r="K22" s="285">
        <f t="shared" si="2"/>
        <v>0</v>
      </c>
      <c r="L22" s="285">
        <f t="shared" si="3"/>
        <v>0</v>
      </c>
      <c r="M22" s="288">
        <f t="shared" si="6"/>
        <v>0</v>
      </c>
    </row>
    <row r="23" spans="3:13" x14ac:dyDescent="0.2">
      <c r="C23" s="476"/>
      <c r="D23" s="295"/>
      <c r="E23" s="302"/>
      <c r="F23" s="303"/>
      <c r="G23" s="303"/>
      <c r="H23" s="303"/>
      <c r="I23" s="285">
        <f t="shared" si="0"/>
        <v>0</v>
      </c>
      <c r="J23" s="285">
        <f t="shared" si="1"/>
        <v>0</v>
      </c>
      <c r="K23" s="285">
        <f t="shared" si="2"/>
        <v>0</v>
      </c>
      <c r="L23" s="285">
        <f t="shared" si="3"/>
        <v>0</v>
      </c>
      <c r="M23" s="288">
        <f t="shared" si="6"/>
        <v>0</v>
      </c>
    </row>
    <row r="24" spans="3:13" x14ac:dyDescent="0.2">
      <c r="C24" s="476"/>
      <c r="D24" s="295"/>
      <c r="E24" s="302"/>
      <c r="F24" s="303"/>
      <c r="G24" s="303"/>
      <c r="H24" s="303"/>
      <c r="I24" s="285">
        <f t="shared" si="0"/>
        <v>0</v>
      </c>
      <c r="J24" s="285">
        <f t="shared" si="1"/>
        <v>0</v>
      </c>
      <c r="K24" s="285">
        <f t="shared" si="2"/>
        <v>0</v>
      </c>
      <c r="L24" s="285">
        <f t="shared" si="3"/>
        <v>0</v>
      </c>
      <c r="M24" s="288">
        <f t="shared" si="6"/>
        <v>0</v>
      </c>
    </row>
    <row r="25" spans="3:13" x14ac:dyDescent="0.2">
      <c r="C25" s="476"/>
      <c r="D25" s="295"/>
      <c r="E25" s="302"/>
      <c r="F25" s="303"/>
      <c r="G25" s="303"/>
      <c r="H25" s="303"/>
      <c r="I25" s="285">
        <f t="shared" si="0"/>
        <v>0</v>
      </c>
      <c r="J25" s="285">
        <f t="shared" si="1"/>
        <v>0</v>
      </c>
      <c r="K25" s="285">
        <f t="shared" si="2"/>
        <v>0</v>
      </c>
      <c r="L25" s="285">
        <f t="shared" si="3"/>
        <v>0</v>
      </c>
      <c r="M25" s="288">
        <f t="shared" si="6"/>
        <v>0</v>
      </c>
    </row>
    <row r="26" spans="3:13" x14ac:dyDescent="0.2">
      <c r="C26" s="476"/>
      <c r="D26" s="295"/>
      <c r="E26" s="302"/>
      <c r="F26" s="303"/>
      <c r="G26" s="303"/>
      <c r="H26" s="303"/>
      <c r="I26" s="285">
        <f t="shared" si="0"/>
        <v>0</v>
      </c>
      <c r="J26" s="285">
        <f t="shared" si="1"/>
        <v>0</v>
      </c>
      <c r="K26" s="285">
        <f t="shared" si="2"/>
        <v>0</v>
      </c>
      <c r="L26" s="285">
        <f t="shared" si="3"/>
        <v>0</v>
      </c>
      <c r="M26" s="288">
        <f t="shared" si="6"/>
        <v>0</v>
      </c>
    </row>
    <row r="27" spans="3:13" x14ac:dyDescent="0.2">
      <c r="C27" s="476"/>
      <c r="D27" s="295"/>
      <c r="E27" s="302"/>
      <c r="F27" s="303"/>
      <c r="G27" s="303"/>
      <c r="H27" s="303"/>
      <c r="I27" s="285">
        <f t="shared" si="0"/>
        <v>0</v>
      </c>
      <c r="J27" s="285">
        <f t="shared" si="1"/>
        <v>0</v>
      </c>
      <c r="K27" s="285">
        <f t="shared" si="2"/>
        <v>0</v>
      </c>
      <c r="L27" s="285">
        <f t="shared" si="3"/>
        <v>0</v>
      </c>
      <c r="M27" s="288">
        <f t="shared" si="6"/>
        <v>0</v>
      </c>
    </row>
    <row r="28" spans="3:13" x14ac:dyDescent="0.2">
      <c r="C28" s="476"/>
      <c r="D28" s="295"/>
      <c r="E28" s="302"/>
      <c r="F28" s="303"/>
      <c r="G28" s="303"/>
      <c r="H28" s="303"/>
      <c r="I28" s="285">
        <f t="shared" si="0"/>
        <v>0</v>
      </c>
      <c r="J28" s="285">
        <f t="shared" si="1"/>
        <v>0</v>
      </c>
      <c r="K28" s="285">
        <f t="shared" si="2"/>
        <v>0</v>
      </c>
      <c r="L28" s="285">
        <f t="shared" si="3"/>
        <v>0</v>
      </c>
      <c r="M28" s="288">
        <f t="shared" si="6"/>
        <v>0</v>
      </c>
    </row>
    <row r="29" spans="3:13" x14ac:dyDescent="0.2">
      <c r="C29" s="476"/>
      <c r="D29" s="295"/>
      <c r="E29" s="302"/>
      <c r="F29" s="303"/>
      <c r="G29" s="303"/>
      <c r="H29" s="303"/>
      <c r="I29" s="285">
        <f t="shared" si="0"/>
        <v>0</v>
      </c>
      <c r="J29" s="285">
        <f t="shared" si="1"/>
        <v>0</v>
      </c>
      <c r="K29" s="285">
        <f t="shared" si="2"/>
        <v>0</v>
      </c>
      <c r="L29" s="285">
        <f t="shared" si="3"/>
        <v>0</v>
      </c>
      <c r="M29" s="288">
        <f t="shared" si="6"/>
        <v>0</v>
      </c>
    </row>
    <row r="30" spans="3:13" x14ac:dyDescent="0.2">
      <c r="C30" s="476"/>
      <c r="D30" s="295"/>
      <c r="E30" s="302"/>
      <c r="F30" s="303"/>
      <c r="G30" s="303"/>
      <c r="H30" s="303"/>
      <c r="I30" s="285">
        <f t="shared" si="0"/>
        <v>0</v>
      </c>
      <c r="J30" s="285">
        <f t="shared" si="1"/>
        <v>0</v>
      </c>
      <c r="K30" s="285">
        <f t="shared" si="2"/>
        <v>0</v>
      </c>
      <c r="L30" s="285">
        <f t="shared" si="3"/>
        <v>0</v>
      </c>
      <c r="M30" s="288">
        <f t="shared" si="6"/>
        <v>0</v>
      </c>
    </row>
    <row r="31" spans="3:13" x14ac:dyDescent="0.2">
      <c r="C31" s="476"/>
      <c r="D31" s="295"/>
      <c r="E31" s="302"/>
      <c r="F31" s="303"/>
      <c r="G31" s="303"/>
      <c r="H31" s="303"/>
      <c r="I31" s="285">
        <f t="shared" si="0"/>
        <v>0</v>
      </c>
      <c r="J31" s="285">
        <f t="shared" si="1"/>
        <v>0</v>
      </c>
      <c r="K31" s="285">
        <f t="shared" si="2"/>
        <v>0</v>
      </c>
      <c r="L31" s="285">
        <f t="shared" si="3"/>
        <v>0</v>
      </c>
      <c r="M31" s="288">
        <f t="shared" si="6"/>
        <v>0</v>
      </c>
    </row>
    <row r="32" spans="3:13" x14ac:dyDescent="0.2">
      <c r="C32" s="476"/>
      <c r="D32" s="295"/>
      <c r="E32" s="302"/>
      <c r="F32" s="303"/>
      <c r="G32" s="303"/>
      <c r="H32" s="303"/>
      <c r="I32" s="285">
        <f t="shared" si="0"/>
        <v>0</v>
      </c>
      <c r="J32" s="285">
        <f t="shared" si="1"/>
        <v>0</v>
      </c>
      <c r="K32" s="285">
        <f t="shared" si="2"/>
        <v>0</v>
      </c>
      <c r="L32" s="285">
        <f t="shared" si="3"/>
        <v>0</v>
      </c>
      <c r="M32" s="288">
        <f t="shared" si="6"/>
        <v>0</v>
      </c>
    </row>
    <row r="33" spans="3:13" x14ac:dyDescent="0.2">
      <c r="C33" s="476"/>
      <c r="D33" s="295"/>
      <c r="E33" s="302"/>
      <c r="F33" s="303"/>
      <c r="G33" s="303"/>
      <c r="H33" s="303"/>
      <c r="I33" s="285">
        <f t="shared" si="0"/>
        <v>0</v>
      </c>
      <c r="J33" s="285">
        <f t="shared" si="1"/>
        <v>0</v>
      </c>
      <c r="K33" s="285">
        <f t="shared" si="2"/>
        <v>0</v>
      </c>
      <c r="L33" s="285">
        <f t="shared" si="3"/>
        <v>0</v>
      </c>
      <c r="M33" s="288">
        <f t="shared" si="6"/>
        <v>0</v>
      </c>
    </row>
    <row r="34" spans="3:13" x14ac:dyDescent="0.2">
      <c r="C34" s="476"/>
      <c r="D34" s="295"/>
      <c r="E34" s="302"/>
      <c r="F34" s="303"/>
      <c r="G34" s="303"/>
      <c r="H34" s="303"/>
      <c r="I34" s="285">
        <f t="shared" si="0"/>
        <v>0</v>
      </c>
      <c r="J34" s="285">
        <f t="shared" si="1"/>
        <v>0</v>
      </c>
      <c r="K34" s="285">
        <f t="shared" si="2"/>
        <v>0</v>
      </c>
      <c r="L34" s="285">
        <f t="shared" si="3"/>
        <v>0</v>
      </c>
      <c r="M34" s="288">
        <f t="shared" si="6"/>
        <v>0</v>
      </c>
    </row>
    <row r="35" spans="3:13" x14ac:dyDescent="0.2">
      <c r="C35" s="476"/>
      <c r="D35" s="295"/>
      <c r="E35" s="302"/>
      <c r="F35" s="303"/>
      <c r="G35" s="303"/>
      <c r="H35" s="303"/>
      <c r="I35" s="285">
        <f t="shared" si="0"/>
        <v>0</v>
      </c>
      <c r="J35" s="285">
        <f t="shared" si="1"/>
        <v>0</v>
      </c>
      <c r="K35" s="285">
        <f t="shared" si="2"/>
        <v>0</v>
      </c>
      <c r="L35" s="285">
        <f t="shared" si="3"/>
        <v>0</v>
      </c>
      <c r="M35" s="288">
        <f t="shared" si="6"/>
        <v>0</v>
      </c>
    </row>
    <row r="36" spans="3:13" x14ac:dyDescent="0.2">
      <c r="C36" s="476"/>
      <c r="D36" s="295"/>
      <c r="E36" s="302"/>
      <c r="F36" s="303"/>
      <c r="G36" s="303"/>
      <c r="H36" s="303"/>
      <c r="I36" s="285">
        <f t="shared" si="0"/>
        <v>0</v>
      </c>
      <c r="J36" s="285">
        <f t="shared" si="1"/>
        <v>0</v>
      </c>
      <c r="K36" s="285">
        <f t="shared" si="2"/>
        <v>0</v>
      </c>
      <c r="L36" s="285">
        <f t="shared" si="3"/>
        <v>0</v>
      </c>
      <c r="M36" s="288">
        <f t="shared" si="6"/>
        <v>0</v>
      </c>
    </row>
    <row r="37" spans="3:13" ht="15" x14ac:dyDescent="0.2">
      <c r="L37" s="286" t="s">
        <v>112</v>
      </c>
      <c r="M37" s="286">
        <f>SUM(M11:M36)</f>
        <v>0</v>
      </c>
    </row>
  </sheetData>
  <sheetProtection algorithmName="SHA-512" hashValue="h8l7ovT2A/aJ3H0rkiyEHZ/YpPm7UI03yG0r1N2bF/+kaKt0FFH8JR6c1PW3nJBnnugrIns00vWnVCihGoEtXg==" saltValue="BPkmwzW5EPbneuewQj9/ug==" spinCount="100000" sheet="1" objects="1" scenarios="1"/>
  <mergeCells count="11">
    <mergeCell ref="C2:J2"/>
    <mergeCell ref="C3:D3"/>
    <mergeCell ref="M8:M10"/>
    <mergeCell ref="C11:C36"/>
    <mergeCell ref="C8:C10"/>
    <mergeCell ref="D8:D10"/>
    <mergeCell ref="E8:E10"/>
    <mergeCell ref="F8:F10"/>
    <mergeCell ref="G8:G10"/>
    <mergeCell ref="H8:H10"/>
    <mergeCell ref="I8:L8"/>
  </mergeCells>
  <dataValidations count="8">
    <dataValidation type="list" allowBlank="1" showInputMessage="1" showErrorMessage="1" sqref="I10">
      <formula1>IF($J$10=Sim,Nao,Sim_Nao)</formula1>
    </dataValidation>
    <dataValidation type="list" allowBlank="1" showInputMessage="1" showErrorMessage="1" sqref="H11:H36">
      <formula1>$N$11:$N$15</formula1>
    </dataValidation>
    <dataValidation type="list" allowBlank="1" showInputMessage="1" showErrorMessage="1" sqref="G11:G36">
      <formula1>"SE,CE,EE,ALI,AIE"</formula1>
    </dataValidation>
    <dataValidation type="list" allowBlank="1" showInputMessage="1" showErrorMessage="1" sqref="F11:F36">
      <formula1>"I,A,E"</formula1>
    </dataValidation>
    <dataValidation type="list" allowBlank="1" showInputMessage="1" showErrorMessage="1" sqref="J10">
      <formula1>IF($I$10=Sim,Nao,Sim_Nao)</formula1>
    </dataValidation>
    <dataValidation type="list" allowBlank="1" showInputMessage="1" showErrorMessage="1" sqref="K10:L10">
      <formula1>"Sim,Não"</formula1>
    </dataValidation>
    <dataValidation type="decimal" allowBlank="1" showInputMessage="1" showErrorMessage="1" errorTitle="Somente números." error="Deve ser informada a quantidade de horas." sqref="D7:E7 D11:D36">
      <formula1>0</formula1>
      <formula2>1000000</formula2>
    </dataValidation>
    <dataValidation allowBlank="1" showInputMessage="1" showErrorMessage="1" errorTitle="Somente números." error="Deve ser informada a quantidade de horas." sqref="E11:E36"/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O51"/>
  <sheetViews>
    <sheetView showGridLines="0" zoomScale="80" zoomScaleNormal="80" workbookViewId="0">
      <pane xSplit="1" ySplit="10" topLeftCell="B11" activePane="bottomRight" state="frozen"/>
      <selection pane="topRight" activeCell="B1" sqref="B1"/>
      <selection pane="bottomLeft" activeCell="A9" sqref="A9"/>
      <selection pane="bottomRight" activeCell="B9" sqref="B9:B10"/>
    </sheetView>
  </sheetViews>
  <sheetFormatPr defaultRowHeight="14.25" x14ac:dyDescent="0.2"/>
  <cols>
    <col min="1" max="1" width="15.7109375" style="28" customWidth="1"/>
    <col min="2" max="2" width="17.5703125" style="28" customWidth="1"/>
    <col min="3" max="3" width="33.42578125" style="28" customWidth="1"/>
    <col min="4" max="4" width="27.140625" style="28" customWidth="1"/>
    <col min="5" max="5" width="22" style="28" customWidth="1"/>
    <col min="6" max="6" width="21.5703125" style="56" customWidth="1"/>
    <col min="7" max="9" width="18.42578125" style="56" customWidth="1"/>
    <col min="10" max="10" width="17.28515625" style="28" customWidth="1"/>
    <col min="11" max="11" width="7.140625" style="28" customWidth="1"/>
    <col min="12" max="12" width="22.140625" style="28" bestFit="1" customWidth="1"/>
    <col min="13" max="13" width="14.5703125" style="28" customWidth="1"/>
    <col min="14" max="14" width="42.42578125" style="88" hidden="1" customWidth="1"/>
    <col min="15" max="15" width="22.140625" style="28" customWidth="1"/>
    <col min="16" max="16" width="14.5703125" style="28" customWidth="1"/>
    <col min="17" max="17" width="37.42578125" style="88" hidden="1" customWidth="1"/>
    <col min="18" max="18" width="21" style="28" customWidth="1"/>
    <col min="19" max="19" width="19.5703125" style="28" customWidth="1"/>
    <col min="20" max="20" width="8.7109375" style="28" customWidth="1"/>
    <col min="21" max="21" width="65" style="88" hidden="1" customWidth="1"/>
    <col min="22" max="22" width="67.140625" style="88" hidden="1" customWidth="1"/>
    <col min="23" max="27" width="21.7109375" style="28" customWidth="1"/>
    <col min="28" max="28" width="65" style="28" hidden="1" customWidth="1"/>
    <col min="29" max="29" width="43" style="28" hidden="1" customWidth="1"/>
    <col min="30" max="30" width="21.7109375" style="28" hidden="1" customWidth="1"/>
    <col min="31" max="31" width="30.85546875" style="28" hidden="1" customWidth="1"/>
    <col min="32" max="38" width="21.7109375" style="28" hidden="1" customWidth="1"/>
    <col min="39" max="39" width="9.140625" style="28" hidden="1" customWidth="1"/>
    <col min="40" max="40" width="9.85546875" style="28" hidden="1" customWidth="1"/>
    <col min="41" max="41" width="9.140625" style="28" hidden="1" customWidth="1"/>
    <col min="42" max="42" width="0" style="28" hidden="1" customWidth="1"/>
    <col min="43" max="16384" width="9.140625" style="28"/>
  </cols>
  <sheetData>
    <row r="1" spans="1:40" ht="20.100000000000001" customHeight="1" x14ac:dyDescent="0.2">
      <c r="F1" s="55" t="str">
        <f>IF(TipoContagem=TipoContagemEstimada,"OCULTAR!","")</f>
        <v/>
      </c>
      <c r="G1" s="55" t="str">
        <f>IF(TipoContagem=TipoContagemEstimada,"OCULTAR!","")</f>
        <v/>
      </c>
      <c r="H1" s="55"/>
      <c r="I1" s="55"/>
    </row>
    <row r="2" spans="1:40" ht="51.75" customHeight="1" x14ac:dyDescent="0.2">
      <c r="B2" s="430" t="s">
        <v>433</v>
      </c>
      <c r="C2" s="430"/>
      <c r="D2" s="430"/>
      <c r="E2" s="430"/>
      <c r="F2" s="430"/>
      <c r="G2" s="430"/>
      <c r="H2" s="430"/>
      <c r="I2" s="430"/>
      <c r="J2" s="430"/>
      <c r="K2" s="430"/>
      <c r="L2" s="430"/>
    </row>
    <row r="3" spans="1:40" s="31" customFormat="1" ht="20.100000000000001" customHeight="1" x14ac:dyDescent="0.2">
      <c r="B3" s="4"/>
      <c r="C3" s="4"/>
      <c r="D3" s="4"/>
      <c r="E3" s="4"/>
      <c r="F3" s="4"/>
      <c r="G3" s="4"/>
      <c r="H3" s="4"/>
      <c r="I3" s="4"/>
      <c r="J3" s="4"/>
      <c r="K3" s="4"/>
      <c r="L3" s="21" t="s">
        <v>45</v>
      </c>
      <c r="N3" s="89"/>
      <c r="Q3" s="89"/>
      <c r="U3" s="89"/>
      <c r="V3" s="89"/>
      <c r="AN3" s="89"/>
    </row>
    <row r="4" spans="1:40" s="31" customFormat="1" ht="20.100000000000001" customHeight="1" x14ac:dyDescent="0.2">
      <c r="B4" s="4"/>
      <c r="C4" s="4"/>
      <c r="D4" s="4"/>
      <c r="E4" s="4"/>
      <c r="F4" s="4"/>
      <c r="G4" s="4"/>
      <c r="H4" s="4"/>
      <c r="I4" s="4"/>
      <c r="J4" s="4"/>
      <c r="K4" s="4"/>
      <c r="L4" s="21"/>
      <c r="N4" s="89"/>
      <c r="Q4" s="89"/>
      <c r="U4" s="89"/>
      <c r="V4" s="89"/>
      <c r="AN4" s="89"/>
    </row>
    <row r="5" spans="1:40" s="31" customFormat="1" ht="15" customHeight="1" x14ac:dyDescent="0.2">
      <c r="B5" s="4"/>
      <c r="C5" s="4"/>
      <c r="D5" s="4"/>
      <c r="E5" s="4"/>
      <c r="F5" s="4"/>
      <c r="G5" s="4"/>
      <c r="H5" s="4"/>
      <c r="I5" s="4"/>
      <c r="J5" s="4"/>
      <c r="K5" s="4"/>
      <c r="L5" s="21"/>
      <c r="N5" s="89"/>
      <c r="Q5" s="89"/>
      <c r="U5" s="89"/>
      <c r="V5" s="89"/>
      <c r="AN5" s="89"/>
    </row>
    <row r="6" spans="1:40" s="31" customFormat="1" ht="25.5" customHeight="1" x14ac:dyDescent="0.2">
      <c r="B6" s="305"/>
      <c r="C6" s="286" t="s">
        <v>313</v>
      </c>
      <c r="D6" s="4"/>
      <c r="E6" s="4"/>
      <c r="F6" s="4"/>
      <c r="G6" s="4"/>
      <c r="H6" s="4"/>
      <c r="I6" s="4"/>
      <c r="J6" s="4"/>
      <c r="K6" s="4"/>
      <c r="L6" s="21"/>
      <c r="N6" s="89"/>
      <c r="Q6" s="89"/>
      <c r="U6" s="89"/>
      <c r="V6" s="89"/>
      <c r="AN6" s="89"/>
    </row>
    <row r="7" spans="1:40" s="31" customFormat="1" ht="27" customHeight="1" thickBot="1" x14ac:dyDescent="0.25">
      <c r="B7" s="14" t="s">
        <v>99</v>
      </c>
      <c r="C7" s="306">
        <f>AA51</f>
        <v>0</v>
      </c>
      <c r="D7" s="4"/>
      <c r="E7" s="4"/>
      <c r="F7" s="4"/>
      <c r="G7" s="4"/>
      <c r="H7" s="4"/>
      <c r="I7" s="4"/>
      <c r="J7" s="4"/>
      <c r="K7" s="4"/>
      <c r="L7" s="21"/>
      <c r="N7" s="89"/>
      <c r="Q7" s="89"/>
      <c r="U7" s="89"/>
      <c r="V7" s="89"/>
      <c r="AN7" s="89"/>
    </row>
    <row r="8" spans="1:40" s="31" customFormat="1" ht="20.100000000000001" customHeight="1" x14ac:dyDescent="0.2">
      <c r="B8" s="4"/>
      <c r="C8" s="4"/>
      <c r="D8" s="4"/>
      <c r="E8" s="4"/>
      <c r="F8" s="4"/>
      <c r="G8" s="4"/>
      <c r="H8" s="4"/>
      <c r="I8" s="4"/>
      <c r="J8" s="4"/>
      <c r="K8" s="4"/>
      <c r="L8" s="482" t="s">
        <v>412</v>
      </c>
      <c r="M8" s="483"/>
      <c r="N8" s="323"/>
      <c r="O8" s="482" t="s">
        <v>413</v>
      </c>
      <c r="P8" s="483"/>
      <c r="Q8" s="323"/>
      <c r="R8" s="484" t="s">
        <v>414</v>
      </c>
      <c r="S8" s="485"/>
      <c r="T8" s="486"/>
      <c r="U8" s="333"/>
      <c r="V8" s="336"/>
      <c r="W8" s="479" t="s">
        <v>104</v>
      </c>
      <c r="X8" s="480"/>
      <c r="Y8" s="480"/>
      <c r="Z8" s="481"/>
      <c r="AA8" s="477" t="s">
        <v>105</v>
      </c>
      <c r="AB8" s="319"/>
      <c r="AC8" s="324"/>
      <c r="AD8" s="324"/>
      <c r="AE8" s="324"/>
      <c r="AF8" s="324"/>
      <c r="AG8" s="324"/>
      <c r="AH8" s="324"/>
      <c r="AI8" s="324"/>
      <c r="AJ8" s="324"/>
      <c r="AK8" s="324"/>
      <c r="AL8" s="324"/>
      <c r="AN8" s="89"/>
    </row>
    <row r="9" spans="1:40" ht="54" customHeight="1" x14ac:dyDescent="0.2">
      <c r="A9" s="494"/>
      <c r="B9" s="492" t="s">
        <v>79</v>
      </c>
      <c r="C9" s="491" t="s">
        <v>1</v>
      </c>
      <c r="D9" s="491" t="s">
        <v>101</v>
      </c>
      <c r="E9" s="491" t="s">
        <v>151</v>
      </c>
      <c r="F9" s="491" t="s">
        <v>51</v>
      </c>
      <c r="G9" s="491" t="s">
        <v>52</v>
      </c>
      <c r="H9" s="491" t="s">
        <v>171</v>
      </c>
      <c r="I9" s="491" t="s">
        <v>172</v>
      </c>
      <c r="J9" s="489" t="s">
        <v>415</v>
      </c>
      <c r="K9" s="487" t="s">
        <v>5</v>
      </c>
      <c r="L9" s="495" t="s">
        <v>441</v>
      </c>
      <c r="M9" s="497"/>
      <c r="N9" s="331" t="s">
        <v>424</v>
      </c>
      <c r="O9" s="495" t="s">
        <v>442</v>
      </c>
      <c r="P9" s="497"/>
      <c r="Q9" s="331" t="s">
        <v>423</v>
      </c>
      <c r="R9" s="495" t="s">
        <v>443</v>
      </c>
      <c r="S9" s="496"/>
      <c r="T9" s="497"/>
      <c r="U9" s="327" t="s">
        <v>425</v>
      </c>
      <c r="V9" s="320" t="s">
        <v>426</v>
      </c>
      <c r="W9" s="338" t="s">
        <v>83</v>
      </c>
      <c r="X9" s="308" t="s">
        <v>383</v>
      </c>
      <c r="Y9" s="308" t="s">
        <v>384</v>
      </c>
      <c r="Z9" s="339" t="s">
        <v>10</v>
      </c>
      <c r="AA9" s="478"/>
      <c r="AB9" s="319" t="s">
        <v>420</v>
      </c>
      <c r="AC9" s="325" t="s">
        <v>375</v>
      </c>
      <c r="AD9" s="325" t="s">
        <v>387</v>
      </c>
      <c r="AE9" s="325" t="s">
        <v>399</v>
      </c>
      <c r="AF9" s="325" t="s">
        <v>4</v>
      </c>
      <c r="AG9" s="325" t="s">
        <v>416</v>
      </c>
      <c r="AH9" s="325" t="s">
        <v>417</v>
      </c>
      <c r="AI9" s="325" t="s">
        <v>418</v>
      </c>
      <c r="AJ9" s="325" t="s">
        <v>419</v>
      </c>
      <c r="AK9" s="325" t="s">
        <v>376</v>
      </c>
      <c r="AL9" s="326" t="s">
        <v>377</v>
      </c>
      <c r="AN9" s="88"/>
    </row>
    <row r="10" spans="1:40" x14ac:dyDescent="0.2">
      <c r="A10" s="494"/>
      <c r="B10" s="493"/>
      <c r="C10" s="490"/>
      <c r="D10" s="490"/>
      <c r="E10" s="490"/>
      <c r="F10" s="490"/>
      <c r="G10" s="490"/>
      <c r="H10" s="490"/>
      <c r="I10" s="490"/>
      <c r="J10" s="490"/>
      <c r="K10" s="488"/>
      <c r="L10" s="498"/>
      <c r="M10" s="500"/>
      <c r="N10" s="332"/>
      <c r="O10" s="498"/>
      <c r="P10" s="500"/>
      <c r="Q10" s="332"/>
      <c r="R10" s="498"/>
      <c r="S10" s="499"/>
      <c r="T10" s="500"/>
      <c r="U10" s="328"/>
      <c r="V10" s="337"/>
      <c r="W10" s="340" t="s">
        <v>173</v>
      </c>
      <c r="X10" s="340" t="s">
        <v>173</v>
      </c>
      <c r="Y10" s="340" t="s">
        <v>173</v>
      </c>
      <c r="Z10" s="340" t="s">
        <v>173</v>
      </c>
      <c r="AA10" s="478"/>
      <c r="AB10" s="331"/>
      <c r="AC10" s="310"/>
      <c r="AD10" s="310"/>
      <c r="AE10" s="310"/>
      <c r="AF10" s="310"/>
      <c r="AG10" s="310"/>
      <c r="AH10" s="310"/>
      <c r="AI10" s="310"/>
      <c r="AJ10" s="310"/>
      <c r="AK10" s="310"/>
      <c r="AL10" s="311"/>
      <c r="AN10" s="88"/>
    </row>
    <row r="11" spans="1:40" s="271" customFormat="1" x14ac:dyDescent="0.2">
      <c r="B11" s="366"/>
      <c r="C11" s="334"/>
      <c r="D11" s="335"/>
      <c r="E11" s="335"/>
      <c r="F11" s="335"/>
      <c r="G11" s="335"/>
      <c r="H11" s="335"/>
      <c r="I11" s="335"/>
      <c r="J11" s="309" t="str">
        <f ca="1">IFERROR(IF(TipoContagem=TipoContagemEstimada,
    IF('Enriquecimento - SOA com ETX'!$E11="","",VLOOKUP('Enriquecimento - SOA com ETX'!$E11,Complexidade_Estimada,2,FALSE)),
    IF('Enriquecimento - SOA com ETX'!$E11="","",INDEX(INDIRECT("Complexidade_"&amp;'Enriquecimento - SOA com ETX'!$E11),MATCH('Enriquecimento - SOA com ETX'!$F11,INDIRECT("Complexidade_"&amp;'Enriquecimento - SOA com ETX'!$E11&amp;"_Arq"),1),MATCH('Enriquecimento - SOA com ETX'!$G11,INDIRECT("Complexidade_"&amp;'Enriquecimento - SOA com ETX'!$E11&amp;"_Ite",1))))),"")</f>
        <v/>
      </c>
      <c r="K11" s="309">
        <f>IFERROR(IF('Enriquecimento - SOA com ETX'!$E11="",0,INDEX(Pesos_IFPUG,MATCH('Enriquecimento - SOA com ETX'!$E11,Pesos_IFPUG_Objetos,0),MATCH('Enriquecimento - SOA com ETX'!$J11,Pesos_IFPUG_Complexidade,0))),"")</f>
        <v>0</v>
      </c>
      <c r="L11" s="501"/>
      <c r="M11" s="502"/>
      <c r="N11" s="346" t="str">
        <f t="shared" ref="N11:N28" si="0">IF(L11="","",$AC$12&amp;L11)</f>
        <v/>
      </c>
      <c r="O11" s="501"/>
      <c r="P11" s="502"/>
      <c r="Q11" s="346" t="str">
        <f t="shared" ref="Q11:Q27" si="1">IF(O11="","",$AC$15&amp;O11)</f>
        <v/>
      </c>
      <c r="R11" s="501"/>
      <c r="S11" s="503"/>
      <c r="T11" s="502"/>
      <c r="U11" s="346" t="str">
        <f>IF(R11="","",$AC$18&amp;R11)</f>
        <v/>
      </c>
      <c r="V11" s="347" t="str">
        <f>N11&amp;Q11&amp;U11</f>
        <v/>
      </c>
      <c r="W11" s="363">
        <f>IF($W$10="Não",0,IF(V11="",0,VLOOKUP(V11,$AB$9:$AJ$26,6,0)))</f>
        <v>0</v>
      </c>
      <c r="X11" s="363">
        <f>IF($X$10="Não",0,IF(V11="",0,VLOOKUP(V11,$AB$9:$AJ$26,7,0)))</f>
        <v>0</v>
      </c>
      <c r="Y11" s="363">
        <f>IF($Y$10="Não",0,IF(V11="",0,VLOOKUP(V11,$AB$9:$AJ$26,8,0)))</f>
        <v>0</v>
      </c>
      <c r="Z11" s="363">
        <f>IF($Z$10="Não",0,IF(V11="",0,VLOOKUP(V11,$AB$9:$AJ$26,9,0)))</f>
        <v>0</v>
      </c>
      <c r="AA11" s="363">
        <f>SUM(W11:Z11)</f>
        <v>0</v>
      </c>
      <c r="AB11" s="329"/>
      <c r="AC11" s="310"/>
      <c r="AD11" s="310"/>
      <c r="AE11" s="310"/>
      <c r="AF11" s="310"/>
      <c r="AG11" s="310"/>
      <c r="AH11" s="310"/>
      <c r="AI11" s="310"/>
      <c r="AJ11" s="310"/>
      <c r="AK11" s="310"/>
      <c r="AL11" s="311"/>
      <c r="AN11" s="272"/>
    </row>
    <row r="12" spans="1:40" s="271" customFormat="1" x14ac:dyDescent="0.2">
      <c r="B12" s="366"/>
      <c r="C12" s="334"/>
      <c r="D12" s="335"/>
      <c r="E12" s="335"/>
      <c r="F12" s="335"/>
      <c r="G12" s="335"/>
      <c r="H12" s="335"/>
      <c r="I12" s="335"/>
      <c r="J12" s="309" t="str">
        <f ca="1">IFERROR(IF(TipoContagem=TipoContagemEstimada,
    IF('Enriquecimento - SOA com ETX'!$E12="","",VLOOKUP('Enriquecimento - SOA com ETX'!$E12,Complexidade_Estimada,2,FALSE)),
    IF('Enriquecimento - SOA com ETX'!$E12="","",INDEX(INDIRECT("Complexidade_"&amp;'Enriquecimento - SOA com ETX'!$E12),MATCH('Enriquecimento - SOA com ETX'!$F12,INDIRECT("Complexidade_"&amp;'Enriquecimento - SOA com ETX'!$E12&amp;"_Arq"),1),MATCH('Enriquecimento - SOA com ETX'!$G12,INDIRECT("Complexidade_"&amp;'Enriquecimento - SOA com ETX'!$E12&amp;"_Ite",1))))),"")</f>
        <v/>
      </c>
      <c r="K12" s="309">
        <f>IFERROR(IF('Enriquecimento - SOA com ETX'!$E12="",0,INDEX(Pesos_IFPUG,MATCH('Enriquecimento - SOA com ETX'!$E12,Pesos_IFPUG_Objetos,0),MATCH('Enriquecimento - SOA com ETX'!$J12,Pesos_IFPUG_Complexidade,0))),"")</f>
        <v>0</v>
      </c>
      <c r="L12" s="501"/>
      <c r="M12" s="502"/>
      <c r="N12" s="346" t="str">
        <f t="shared" si="0"/>
        <v/>
      </c>
      <c r="O12" s="501"/>
      <c r="P12" s="502"/>
      <c r="Q12" s="346" t="str">
        <f t="shared" si="1"/>
        <v/>
      </c>
      <c r="R12" s="501"/>
      <c r="S12" s="503"/>
      <c r="T12" s="502"/>
      <c r="U12" s="346" t="str">
        <f t="shared" ref="U12:U50" si="2">IF(R12="","",$AC$18&amp;R12)</f>
        <v/>
      </c>
      <c r="V12" s="347" t="str">
        <f t="shared" ref="V12:V50" si="3">N12&amp;Q12&amp;U12</f>
        <v/>
      </c>
      <c r="W12" s="363">
        <f t="shared" ref="W12:W50" si="4">IF($W$10="Não",0,IF(V12="",0,VLOOKUP(V12,$AB$9:$AJ$26,6,0)))</f>
        <v>0</v>
      </c>
      <c r="X12" s="363">
        <f t="shared" ref="X12:X50" si="5">IF($X$10="Não",0,IF(V12="",0,VLOOKUP(V12,$AB$9:$AJ$26,7,0)))</f>
        <v>0</v>
      </c>
      <c r="Y12" s="363">
        <f t="shared" ref="Y12:Y50" si="6">IF($Y$10="Não",0,IF(V12="",0,VLOOKUP(V12,$AB$9:$AJ$26,8,0)))</f>
        <v>0</v>
      </c>
      <c r="Z12" s="363">
        <f t="shared" ref="Z12:Z50" si="7">IF($Z$10="Não",0,IF(V12="",0,VLOOKUP(V12,$AB$9:$AJ$26,9,0)))</f>
        <v>0</v>
      </c>
      <c r="AA12" s="363">
        <f t="shared" ref="AA12:AA50" si="8">SUM(W12:Z12)</f>
        <v>0</v>
      </c>
      <c r="AB12" s="341" t="str">
        <f t="shared" ref="AB12:AB17" si="9">AC12&amp;AF12&amp;" - "&amp;AD12</f>
        <v>CriarInterfaceSimples - 1 a 19 campos</v>
      </c>
      <c r="AC12" s="310" t="s">
        <v>388</v>
      </c>
      <c r="AD12" s="310" t="s">
        <v>395</v>
      </c>
      <c r="AE12" s="310" t="s">
        <v>96</v>
      </c>
      <c r="AF12" s="310" t="s">
        <v>392</v>
      </c>
      <c r="AG12" s="310">
        <v>12</v>
      </c>
      <c r="AH12" s="310">
        <v>4</v>
      </c>
      <c r="AI12" s="310">
        <v>78</v>
      </c>
      <c r="AJ12" s="310">
        <v>8</v>
      </c>
      <c r="AK12" s="310">
        <f>AG12+AI12+AJ12</f>
        <v>98</v>
      </c>
      <c r="AL12" s="311">
        <f>AH12+AI12+AJ12</f>
        <v>90</v>
      </c>
      <c r="AN12" s="272" t="s">
        <v>258</v>
      </c>
    </row>
    <row r="13" spans="1:40" s="271" customFormat="1" x14ac:dyDescent="0.2">
      <c r="B13" s="366"/>
      <c r="C13" s="334"/>
      <c r="D13" s="335"/>
      <c r="E13" s="335"/>
      <c r="F13" s="335"/>
      <c r="G13" s="335"/>
      <c r="H13" s="335"/>
      <c r="I13" s="335"/>
      <c r="J13" s="309" t="str">
        <f ca="1">IFERROR(IF(TipoContagem=TipoContagemEstimada,
    IF('Enriquecimento - SOA com ETX'!$E13="","",VLOOKUP('Enriquecimento - SOA com ETX'!$E13,Complexidade_Estimada,2,FALSE)),
    IF('Enriquecimento - SOA com ETX'!$E13="","",INDEX(INDIRECT("Complexidade_"&amp;'Enriquecimento - SOA com ETX'!$E13),MATCH('Enriquecimento - SOA com ETX'!$F13,INDIRECT("Complexidade_"&amp;'Enriquecimento - SOA com ETX'!$E13&amp;"_Arq"),1),MATCH('Enriquecimento - SOA com ETX'!$G13,INDIRECT("Complexidade_"&amp;'Enriquecimento - SOA com ETX'!$E13&amp;"_Ite",1))))),"")</f>
        <v/>
      </c>
      <c r="K13" s="309">
        <f>IFERROR(IF('Enriquecimento - SOA com ETX'!$E13="",0,INDEX(Pesos_IFPUG,MATCH('Enriquecimento - SOA com ETX'!$E13,Pesos_IFPUG_Objetos,0),MATCH('Enriquecimento - SOA com ETX'!$J13,Pesos_IFPUG_Complexidade,0))),"")</f>
        <v>0</v>
      </c>
      <c r="L13" s="501"/>
      <c r="M13" s="502"/>
      <c r="N13" s="346" t="str">
        <f t="shared" si="0"/>
        <v/>
      </c>
      <c r="O13" s="501"/>
      <c r="P13" s="502"/>
      <c r="Q13" s="346" t="str">
        <f t="shared" si="1"/>
        <v/>
      </c>
      <c r="R13" s="501"/>
      <c r="S13" s="503"/>
      <c r="T13" s="502"/>
      <c r="U13" s="346" t="str">
        <f t="shared" si="2"/>
        <v/>
      </c>
      <c r="V13" s="347" t="str">
        <f t="shared" si="3"/>
        <v/>
      </c>
      <c r="W13" s="363">
        <f t="shared" si="4"/>
        <v>0</v>
      </c>
      <c r="X13" s="363">
        <f t="shared" si="5"/>
        <v>0</v>
      </c>
      <c r="Y13" s="363">
        <f t="shared" si="6"/>
        <v>0</v>
      </c>
      <c r="Z13" s="363">
        <f t="shared" si="7"/>
        <v>0</v>
      </c>
      <c r="AA13" s="363">
        <f t="shared" si="8"/>
        <v>0</v>
      </c>
      <c r="AB13" s="341" t="str">
        <f t="shared" si="9"/>
        <v>CriarInterfaceMedia - 20 a 49 campos</v>
      </c>
      <c r="AC13" s="310" t="s">
        <v>388</v>
      </c>
      <c r="AD13" s="310" t="s">
        <v>397</v>
      </c>
      <c r="AE13" s="310" t="s">
        <v>96</v>
      </c>
      <c r="AF13" s="310" t="s">
        <v>119</v>
      </c>
      <c r="AG13" s="310">
        <v>14</v>
      </c>
      <c r="AH13" s="310">
        <v>4</v>
      </c>
      <c r="AI13" s="310">
        <v>94</v>
      </c>
      <c r="AJ13" s="310">
        <v>8</v>
      </c>
      <c r="AK13" s="310">
        <f t="shared" ref="AK13:AK26" si="10">AG13+AI13+AJ13</f>
        <v>116</v>
      </c>
      <c r="AL13" s="311">
        <f t="shared" ref="AL13:AL26" si="11">AH13+AI13+AJ13</f>
        <v>106</v>
      </c>
      <c r="AN13" s="272" t="s">
        <v>259</v>
      </c>
    </row>
    <row r="14" spans="1:40" s="271" customFormat="1" x14ac:dyDescent="0.2">
      <c r="B14" s="366"/>
      <c r="C14" s="334"/>
      <c r="D14" s="335"/>
      <c r="E14" s="335"/>
      <c r="F14" s="335"/>
      <c r="G14" s="335"/>
      <c r="H14" s="335"/>
      <c r="I14" s="335"/>
      <c r="J14" s="309" t="str">
        <f ca="1">IFERROR(IF(TipoContagem=TipoContagemEstimada,
    IF('Enriquecimento - SOA com ETX'!$E14="","",VLOOKUP('Enriquecimento - SOA com ETX'!$E14,Complexidade_Estimada,2,FALSE)),
    IF('Enriquecimento - SOA com ETX'!$E14="","",INDEX(INDIRECT("Complexidade_"&amp;'Enriquecimento - SOA com ETX'!$E14),MATCH('Enriquecimento - SOA com ETX'!$F14,INDIRECT("Complexidade_"&amp;'Enriquecimento - SOA com ETX'!$E14&amp;"_Arq"),1),MATCH('Enriquecimento - SOA com ETX'!$G14,INDIRECT("Complexidade_"&amp;'Enriquecimento - SOA com ETX'!$E14&amp;"_Ite",1))))),"")</f>
        <v/>
      </c>
      <c r="K14" s="309">
        <f>IFERROR(IF('Enriquecimento - SOA com ETX'!$E14="",0,INDEX(Pesos_IFPUG,MATCH('Enriquecimento - SOA com ETX'!$E14,Pesos_IFPUG_Objetos,0),MATCH('Enriquecimento - SOA com ETX'!$J14,Pesos_IFPUG_Complexidade,0))),"")</f>
        <v>0</v>
      </c>
      <c r="L14" s="501"/>
      <c r="M14" s="502"/>
      <c r="N14" s="346" t="str">
        <f t="shared" si="0"/>
        <v/>
      </c>
      <c r="O14" s="501"/>
      <c r="P14" s="502"/>
      <c r="Q14" s="346" t="str">
        <f t="shared" si="1"/>
        <v/>
      </c>
      <c r="R14" s="501"/>
      <c r="S14" s="503"/>
      <c r="T14" s="502"/>
      <c r="U14" s="346" t="str">
        <f t="shared" si="2"/>
        <v/>
      </c>
      <c r="V14" s="347" t="str">
        <f t="shared" si="3"/>
        <v/>
      </c>
      <c r="W14" s="363">
        <f t="shared" si="4"/>
        <v>0</v>
      </c>
      <c r="X14" s="363">
        <f t="shared" si="5"/>
        <v>0</v>
      </c>
      <c r="Y14" s="363">
        <f t="shared" si="6"/>
        <v>0</v>
      </c>
      <c r="Z14" s="363">
        <f t="shared" si="7"/>
        <v>0</v>
      </c>
      <c r="AA14" s="363">
        <f t="shared" si="8"/>
        <v>0</v>
      </c>
      <c r="AB14" s="341" t="str">
        <f t="shared" si="9"/>
        <v>CriarInterfaceComplexa - Acima de 50 campos</v>
      </c>
      <c r="AC14" s="310" t="s">
        <v>388</v>
      </c>
      <c r="AD14" s="310" t="s">
        <v>398</v>
      </c>
      <c r="AE14" s="310" t="s">
        <v>96</v>
      </c>
      <c r="AF14" s="310" t="s">
        <v>393</v>
      </c>
      <c r="AG14" s="310">
        <v>16</v>
      </c>
      <c r="AH14" s="310">
        <v>4</v>
      </c>
      <c r="AI14" s="310">
        <v>104</v>
      </c>
      <c r="AJ14" s="310">
        <v>8</v>
      </c>
      <c r="AK14" s="310">
        <f t="shared" si="10"/>
        <v>128</v>
      </c>
      <c r="AL14" s="311">
        <f t="shared" si="11"/>
        <v>116</v>
      </c>
      <c r="AN14" s="272" t="s">
        <v>260</v>
      </c>
    </row>
    <row r="15" spans="1:40" s="271" customFormat="1" x14ac:dyDescent="0.2">
      <c r="B15" s="366"/>
      <c r="C15" s="334"/>
      <c r="D15" s="335"/>
      <c r="E15" s="335"/>
      <c r="F15" s="335"/>
      <c r="G15" s="335"/>
      <c r="H15" s="335"/>
      <c r="I15" s="335"/>
      <c r="J15" s="309" t="str">
        <f ca="1">IFERROR(IF(TipoContagem=TipoContagemEstimada,
    IF('Enriquecimento - SOA com ETX'!$E15="","",VLOOKUP('Enriquecimento - SOA com ETX'!$E15,Complexidade_Estimada,2,FALSE)),
    IF('Enriquecimento - SOA com ETX'!$E15="","",INDEX(INDIRECT("Complexidade_"&amp;'Enriquecimento - SOA com ETX'!$E15),MATCH('Enriquecimento - SOA com ETX'!$F15,INDIRECT("Complexidade_"&amp;'Enriquecimento - SOA com ETX'!$E15&amp;"_Arq"),1),MATCH('Enriquecimento - SOA com ETX'!$G15,INDIRECT("Complexidade_"&amp;'Enriquecimento - SOA com ETX'!$E15&amp;"_Ite",1))))),"")</f>
        <v/>
      </c>
      <c r="K15" s="309">
        <f>IFERROR(IF('Enriquecimento - SOA com ETX'!$E15="",0,INDEX(Pesos_IFPUG,MATCH('Enriquecimento - SOA com ETX'!$E15,Pesos_IFPUG_Objetos,0),MATCH('Enriquecimento - SOA com ETX'!$J15,Pesos_IFPUG_Complexidade,0))),"")</f>
        <v>0</v>
      </c>
      <c r="L15" s="501"/>
      <c r="M15" s="502"/>
      <c r="N15" s="346" t="str">
        <f t="shared" si="0"/>
        <v/>
      </c>
      <c r="O15" s="501"/>
      <c r="P15" s="502"/>
      <c r="Q15" s="346" t="str">
        <f t="shared" si="1"/>
        <v/>
      </c>
      <c r="R15" s="501"/>
      <c r="S15" s="503"/>
      <c r="T15" s="502"/>
      <c r="U15" s="346" t="str">
        <f t="shared" si="2"/>
        <v/>
      </c>
      <c r="V15" s="347" t="str">
        <f t="shared" si="3"/>
        <v/>
      </c>
      <c r="W15" s="363">
        <f t="shared" si="4"/>
        <v>0</v>
      </c>
      <c r="X15" s="363">
        <f t="shared" si="5"/>
        <v>0</v>
      </c>
      <c r="Y15" s="363">
        <f t="shared" si="6"/>
        <v>0</v>
      </c>
      <c r="Z15" s="363">
        <f t="shared" si="7"/>
        <v>0</v>
      </c>
      <c r="AA15" s="363">
        <f t="shared" si="8"/>
        <v>0</v>
      </c>
      <c r="AB15" s="341" t="str">
        <f t="shared" si="9"/>
        <v>CriarSourceTargetSimples - 1 a 19 campos</v>
      </c>
      <c r="AC15" s="310" t="s">
        <v>389</v>
      </c>
      <c r="AD15" s="310" t="s">
        <v>395</v>
      </c>
      <c r="AE15" s="310" t="s">
        <v>96</v>
      </c>
      <c r="AF15" s="310" t="s">
        <v>392</v>
      </c>
      <c r="AG15" s="310">
        <v>10</v>
      </c>
      <c r="AH15" s="310">
        <v>3</v>
      </c>
      <c r="AI15" s="310">
        <v>64</v>
      </c>
      <c r="AJ15" s="310">
        <v>6</v>
      </c>
      <c r="AK15" s="310">
        <f t="shared" si="10"/>
        <v>80</v>
      </c>
      <c r="AL15" s="311">
        <f t="shared" si="11"/>
        <v>73</v>
      </c>
      <c r="AN15" s="272"/>
    </row>
    <row r="16" spans="1:40" s="271" customFormat="1" x14ac:dyDescent="0.2">
      <c r="B16" s="366"/>
      <c r="C16" s="334"/>
      <c r="D16" s="335"/>
      <c r="E16" s="335"/>
      <c r="F16" s="335"/>
      <c r="G16" s="335"/>
      <c r="H16" s="335"/>
      <c r="I16" s="335"/>
      <c r="J16" s="309" t="str">
        <f ca="1">IFERROR(IF(TipoContagem=TipoContagemEstimada,
    IF('Enriquecimento - SOA com ETX'!$E16="","",VLOOKUP('Enriquecimento - SOA com ETX'!$E16,Complexidade_Estimada,2,FALSE)),
    IF('Enriquecimento - SOA com ETX'!$E16="","",INDEX(INDIRECT("Complexidade_"&amp;'Enriquecimento - SOA com ETX'!$E16),MATCH('Enriquecimento - SOA com ETX'!$F16,INDIRECT("Complexidade_"&amp;'Enriquecimento - SOA com ETX'!$E16&amp;"_Arq"),1),MATCH('Enriquecimento - SOA com ETX'!$G16,INDIRECT("Complexidade_"&amp;'Enriquecimento - SOA com ETX'!$E16&amp;"_Ite",1))))),"")</f>
        <v/>
      </c>
      <c r="K16" s="309">
        <f>IFERROR(IF('Enriquecimento - SOA com ETX'!$E16="",0,INDEX(Pesos_IFPUG,MATCH('Enriquecimento - SOA com ETX'!$E16,Pesos_IFPUG_Objetos,0),MATCH('Enriquecimento - SOA com ETX'!$J16,Pesos_IFPUG_Complexidade,0))),"")</f>
        <v>0</v>
      </c>
      <c r="L16" s="501"/>
      <c r="M16" s="502"/>
      <c r="N16" s="346" t="str">
        <f t="shared" si="0"/>
        <v/>
      </c>
      <c r="O16" s="501"/>
      <c r="P16" s="502"/>
      <c r="Q16" s="346" t="str">
        <f t="shared" si="1"/>
        <v/>
      </c>
      <c r="R16" s="501"/>
      <c r="S16" s="503"/>
      <c r="T16" s="502"/>
      <c r="U16" s="346" t="str">
        <f t="shared" si="2"/>
        <v/>
      </c>
      <c r="V16" s="347" t="str">
        <f t="shared" si="3"/>
        <v/>
      </c>
      <c r="W16" s="363">
        <f t="shared" si="4"/>
        <v>0</v>
      </c>
      <c r="X16" s="363">
        <f t="shared" si="5"/>
        <v>0</v>
      </c>
      <c r="Y16" s="363">
        <f t="shared" si="6"/>
        <v>0</v>
      </c>
      <c r="Z16" s="363">
        <f t="shared" si="7"/>
        <v>0</v>
      </c>
      <c r="AA16" s="363">
        <f t="shared" si="8"/>
        <v>0</v>
      </c>
      <c r="AB16" s="341" t="str">
        <f t="shared" si="9"/>
        <v>CriarSourceTargetMedia - 20 a 49 campos</v>
      </c>
      <c r="AC16" s="310" t="s">
        <v>389</v>
      </c>
      <c r="AD16" s="310" t="s">
        <v>397</v>
      </c>
      <c r="AE16" s="310" t="s">
        <v>96</v>
      </c>
      <c r="AF16" s="310" t="s">
        <v>119</v>
      </c>
      <c r="AG16" s="310">
        <v>12</v>
      </c>
      <c r="AH16" s="310">
        <v>3</v>
      </c>
      <c r="AI16" s="310">
        <v>80</v>
      </c>
      <c r="AJ16" s="310">
        <v>6</v>
      </c>
      <c r="AK16" s="310">
        <f t="shared" si="10"/>
        <v>98</v>
      </c>
      <c r="AL16" s="311">
        <f t="shared" si="11"/>
        <v>89</v>
      </c>
      <c r="AN16" s="272"/>
    </row>
    <row r="17" spans="2:38" s="271" customFormat="1" x14ac:dyDescent="0.2">
      <c r="B17" s="366"/>
      <c r="C17" s="334"/>
      <c r="D17" s="335"/>
      <c r="E17" s="335"/>
      <c r="F17" s="335"/>
      <c r="G17" s="335"/>
      <c r="H17" s="335"/>
      <c r="I17" s="335"/>
      <c r="J17" s="309" t="str">
        <f ca="1">IFERROR(IF(TipoContagem=TipoContagemEstimada,
    IF('Enriquecimento - SOA com ETX'!$E17="","",VLOOKUP('Enriquecimento - SOA com ETX'!$E17,Complexidade_Estimada,2,FALSE)),
    IF('Enriquecimento - SOA com ETX'!$E17="","",INDEX(INDIRECT("Complexidade_"&amp;'Enriquecimento - SOA com ETX'!$E17),MATCH('Enriquecimento - SOA com ETX'!$F17,INDIRECT("Complexidade_"&amp;'Enriquecimento - SOA com ETX'!$E17&amp;"_Arq"),1),MATCH('Enriquecimento - SOA com ETX'!$G17,INDIRECT("Complexidade_"&amp;'Enriquecimento - SOA com ETX'!$E17&amp;"_Ite",1))))),"")</f>
        <v/>
      </c>
      <c r="K17" s="309">
        <f>IFERROR(IF('Enriquecimento - SOA com ETX'!$E17="",0,INDEX(Pesos_IFPUG,MATCH('Enriquecimento - SOA com ETX'!$E17,Pesos_IFPUG_Objetos,0),MATCH('Enriquecimento - SOA com ETX'!$J17,Pesos_IFPUG_Complexidade,0))),"")</f>
        <v>0</v>
      </c>
      <c r="L17" s="501"/>
      <c r="M17" s="502"/>
      <c r="N17" s="346" t="str">
        <f t="shared" si="0"/>
        <v/>
      </c>
      <c r="O17" s="501"/>
      <c r="P17" s="502"/>
      <c r="Q17" s="346" t="str">
        <f t="shared" si="1"/>
        <v/>
      </c>
      <c r="R17" s="501"/>
      <c r="S17" s="503"/>
      <c r="T17" s="502"/>
      <c r="U17" s="346" t="str">
        <f t="shared" si="2"/>
        <v/>
      </c>
      <c r="V17" s="347" t="str">
        <f t="shared" si="3"/>
        <v/>
      </c>
      <c r="W17" s="363">
        <f t="shared" si="4"/>
        <v>0</v>
      </c>
      <c r="X17" s="363">
        <f t="shared" si="5"/>
        <v>0</v>
      </c>
      <c r="Y17" s="363">
        <f t="shared" si="6"/>
        <v>0</v>
      </c>
      <c r="Z17" s="363">
        <f t="shared" si="7"/>
        <v>0</v>
      </c>
      <c r="AA17" s="363">
        <f t="shared" si="8"/>
        <v>0</v>
      </c>
      <c r="AB17" s="341" t="str">
        <f t="shared" si="9"/>
        <v>CriarSourceTargetComplexa - Acima de 50 campos</v>
      </c>
      <c r="AC17" s="310" t="s">
        <v>389</v>
      </c>
      <c r="AD17" s="310" t="s">
        <v>398</v>
      </c>
      <c r="AE17" s="310" t="s">
        <v>96</v>
      </c>
      <c r="AF17" s="310" t="s">
        <v>393</v>
      </c>
      <c r="AG17" s="310">
        <v>14</v>
      </c>
      <c r="AH17" s="310">
        <v>3</v>
      </c>
      <c r="AI17" s="310">
        <v>92</v>
      </c>
      <c r="AJ17" s="310">
        <v>6</v>
      </c>
      <c r="AK17" s="310">
        <f t="shared" si="10"/>
        <v>112</v>
      </c>
      <c r="AL17" s="311">
        <f t="shared" si="11"/>
        <v>101</v>
      </c>
    </row>
    <row r="18" spans="2:38" s="271" customFormat="1" x14ac:dyDescent="0.2">
      <c r="B18" s="366"/>
      <c r="C18" s="334"/>
      <c r="D18" s="335"/>
      <c r="E18" s="335"/>
      <c r="F18" s="335"/>
      <c r="G18" s="335"/>
      <c r="H18" s="335"/>
      <c r="I18" s="335"/>
      <c r="J18" s="309" t="str">
        <f ca="1">IFERROR(IF(TipoContagem=TipoContagemEstimada,
    IF('Enriquecimento - SOA com ETX'!$E18="","",VLOOKUP('Enriquecimento - SOA com ETX'!$E18,Complexidade_Estimada,2,FALSE)),
    IF('Enriquecimento - SOA com ETX'!$E18="","",INDEX(INDIRECT("Complexidade_"&amp;'Enriquecimento - SOA com ETX'!$E18),MATCH('Enriquecimento - SOA com ETX'!$F18,INDIRECT("Complexidade_"&amp;'Enriquecimento - SOA com ETX'!$E18&amp;"_Arq"),1),MATCH('Enriquecimento - SOA com ETX'!$G18,INDIRECT("Complexidade_"&amp;'Enriquecimento - SOA com ETX'!$E18&amp;"_Ite",1))))),"")</f>
        <v/>
      </c>
      <c r="K18" s="309">
        <f>IFERROR(IF('Enriquecimento - SOA com ETX'!$E18="",0,INDEX(Pesos_IFPUG,MATCH('Enriquecimento - SOA com ETX'!$E18,Pesos_IFPUG_Objetos,0),MATCH('Enriquecimento - SOA com ETX'!$J18,Pesos_IFPUG_Complexidade,0))),"")</f>
        <v>0</v>
      </c>
      <c r="L18" s="501"/>
      <c r="M18" s="502"/>
      <c r="N18" s="346" t="str">
        <f t="shared" si="0"/>
        <v/>
      </c>
      <c r="O18" s="501"/>
      <c r="P18" s="502"/>
      <c r="Q18" s="346" t="str">
        <f t="shared" si="1"/>
        <v/>
      </c>
      <c r="R18" s="501"/>
      <c r="S18" s="503"/>
      <c r="T18" s="502"/>
      <c r="U18" s="346" t="str">
        <f t="shared" si="2"/>
        <v/>
      </c>
      <c r="V18" s="347" t="str">
        <f t="shared" si="3"/>
        <v/>
      </c>
      <c r="W18" s="363">
        <f t="shared" si="4"/>
        <v>0</v>
      </c>
      <c r="X18" s="363">
        <f t="shared" si="5"/>
        <v>0</v>
      </c>
      <c r="Y18" s="363">
        <f t="shared" si="6"/>
        <v>0</v>
      </c>
      <c r="Z18" s="363">
        <f t="shared" si="7"/>
        <v>0</v>
      </c>
      <c r="AA18" s="363">
        <f t="shared" si="8"/>
        <v>0</v>
      </c>
      <c r="AB18" s="341" t="str">
        <f>AC18&amp;AF18&amp;" - "&amp;AD18&amp;" - "&amp;AE18</f>
        <v>AlterarMapeamentoSimples(-) - 1 a 15 campos - 1 a 5 campos</v>
      </c>
      <c r="AC18" s="310" t="s">
        <v>390</v>
      </c>
      <c r="AD18" s="310" t="s">
        <v>394</v>
      </c>
      <c r="AE18" s="310" t="s">
        <v>402</v>
      </c>
      <c r="AF18" s="310" t="s">
        <v>435</v>
      </c>
      <c r="AG18" s="310">
        <v>2</v>
      </c>
      <c r="AH18" s="310">
        <v>2</v>
      </c>
      <c r="AI18" s="310">
        <v>40</v>
      </c>
      <c r="AJ18" s="310">
        <v>4</v>
      </c>
      <c r="AK18" s="310">
        <f t="shared" si="10"/>
        <v>46</v>
      </c>
      <c r="AL18" s="311">
        <f t="shared" si="11"/>
        <v>46</v>
      </c>
    </row>
    <row r="19" spans="2:38" s="271" customFormat="1" x14ac:dyDescent="0.2">
      <c r="B19" s="366"/>
      <c r="C19" s="334"/>
      <c r="D19" s="335"/>
      <c r="E19" s="335"/>
      <c r="F19" s="335"/>
      <c r="G19" s="335"/>
      <c r="H19" s="335"/>
      <c r="I19" s="335"/>
      <c r="J19" s="309" t="str">
        <f ca="1">IFERROR(IF(TipoContagem=TipoContagemEstimada,
    IF('Enriquecimento - SOA com ETX'!$E19="","",VLOOKUP('Enriquecimento - SOA com ETX'!$E19,Complexidade_Estimada,2,FALSE)),
    IF('Enriquecimento - SOA com ETX'!$E19="","",INDEX(INDIRECT("Complexidade_"&amp;'Enriquecimento - SOA com ETX'!$E19),MATCH('Enriquecimento - SOA com ETX'!$F19,INDIRECT("Complexidade_"&amp;'Enriquecimento - SOA com ETX'!$E19&amp;"_Arq"),1),MATCH('Enriquecimento - SOA com ETX'!$G19,INDIRECT("Complexidade_"&amp;'Enriquecimento - SOA com ETX'!$E19&amp;"_Ite",1))))),"")</f>
        <v/>
      </c>
      <c r="K19" s="309">
        <f>IFERROR(IF('Enriquecimento - SOA com ETX'!$E19="",0,INDEX(Pesos_IFPUG,MATCH('Enriquecimento - SOA com ETX'!$E19,Pesos_IFPUG_Objetos,0),MATCH('Enriquecimento - SOA com ETX'!$J19,Pesos_IFPUG_Complexidade,0))),"")</f>
        <v>0</v>
      </c>
      <c r="L19" s="501"/>
      <c r="M19" s="502"/>
      <c r="N19" s="346" t="str">
        <f t="shared" si="0"/>
        <v/>
      </c>
      <c r="O19" s="501"/>
      <c r="P19" s="502"/>
      <c r="Q19" s="346" t="str">
        <f t="shared" si="1"/>
        <v/>
      </c>
      <c r="R19" s="501"/>
      <c r="S19" s="503"/>
      <c r="T19" s="502"/>
      <c r="U19" s="346" t="str">
        <f t="shared" si="2"/>
        <v/>
      </c>
      <c r="V19" s="347" t="str">
        <f t="shared" si="3"/>
        <v/>
      </c>
      <c r="W19" s="363">
        <f t="shared" si="4"/>
        <v>0</v>
      </c>
      <c r="X19" s="363">
        <f t="shared" si="5"/>
        <v>0</v>
      </c>
      <c r="Y19" s="363">
        <f t="shared" si="6"/>
        <v>0</v>
      </c>
      <c r="Z19" s="363">
        <f t="shared" si="7"/>
        <v>0</v>
      </c>
      <c r="AA19" s="363">
        <f t="shared" si="8"/>
        <v>0</v>
      </c>
      <c r="AB19" s="341" t="str">
        <f t="shared" ref="AB19:AB26" si="12">AC19&amp;AF19&amp;" - "&amp;AD19&amp;" - "&amp;AE19</f>
        <v>AlterarMapeamentoSimples - 1 a 15 campos - 6 a 10 campos</v>
      </c>
      <c r="AC19" s="310" t="s">
        <v>390</v>
      </c>
      <c r="AD19" s="310" t="s">
        <v>394</v>
      </c>
      <c r="AE19" s="310" t="s">
        <v>407</v>
      </c>
      <c r="AF19" s="310" t="s">
        <v>392</v>
      </c>
      <c r="AG19" s="310">
        <v>4</v>
      </c>
      <c r="AH19" s="310">
        <v>2</v>
      </c>
      <c r="AI19" s="310">
        <v>64</v>
      </c>
      <c r="AJ19" s="310">
        <v>4</v>
      </c>
      <c r="AK19" s="310">
        <f t="shared" si="10"/>
        <v>72</v>
      </c>
      <c r="AL19" s="311">
        <f t="shared" si="11"/>
        <v>70</v>
      </c>
    </row>
    <row r="20" spans="2:38" s="271" customFormat="1" x14ac:dyDescent="0.2">
      <c r="B20" s="366"/>
      <c r="C20" s="334"/>
      <c r="D20" s="335"/>
      <c r="E20" s="335"/>
      <c r="F20" s="335"/>
      <c r="G20" s="335"/>
      <c r="H20" s="335"/>
      <c r="I20" s="335"/>
      <c r="J20" s="309" t="str">
        <f ca="1">IFERROR(IF(TipoContagem=TipoContagemEstimada,
    IF('Enriquecimento - SOA com ETX'!$E20="","",VLOOKUP('Enriquecimento - SOA com ETX'!$E20,Complexidade_Estimada,2,FALSE)),
    IF('Enriquecimento - SOA com ETX'!$E20="","",INDEX(INDIRECT("Complexidade_"&amp;'Enriquecimento - SOA com ETX'!$E20),MATCH('Enriquecimento - SOA com ETX'!$F20,INDIRECT("Complexidade_"&amp;'Enriquecimento - SOA com ETX'!$E20&amp;"_Arq"),1),MATCH('Enriquecimento - SOA com ETX'!$G20,INDIRECT("Complexidade_"&amp;'Enriquecimento - SOA com ETX'!$E20&amp;"_Ite",1))))),"")</f>
        <v/>
      </c>
      <c r="K20" s="309">
        <f>IFERROR(IF('Enriquecimento - SOA com ETX'!$E20="",0,INDEX(Pesos_IFPUG,MATCH('Enriquecimento - SOA com ETX'!$E20,Pesos_IFPUG_Objetos,0),MATCH('Enriquecimento - SOA com ETX'!$J20,Pesos_IFPUG_Complexidade,0))),"")</f>
        <v>0</v>
      </c>
      <c r="L20" s="501"/>
      <c r="M20" s="502"/>
      <c r="N20" s="346" t="str">
        <f t="shared" si="0"/>
        <v/>
      </c>
      <c r="O20" s="501"/>
      <c r="P20" s="502"/>
      <c r="Q20" s="346" t="str">
        <f t="shared" si="1"/>
        <v/>
      </c>
      <c r="R20" s="501"/>
      <c r="S20" s="503"/>
      <c r="T20" s="502"/>
      <c r="U20" s="346" t="str">
        <f t="shared" si="2"/>
        <v/>
      </c>
      <c r="V20" s="347" t="str">
        <f t="shared" si="3"/>
        <v/>
      </c>
      <c r="W20" s="363">
        <f t="shared" si="4"/>
        <v>0</v>
      </c>
      <c r="X20" s="363">
        <f t="shared" si="5"/>
        <v>0</v>
      </c>
      <c r="Y20" s="363">
        <f t="shared" si="6"/>
        <v>0</v>
      </c>
      <c r="Z20" s="363">
        <f t="shared" si="7"/>
        <v>0</v>
      </c>
      <c r="AA20" s="363">
        <f t="shared" si="8"/>
        <v>0</v>
      </c>
      <c r="AB20" s="341" t="str">
        <f t="shared" si="12"/>
        <v>AlterarMapeamentoSimples(+) - 1 a 15 campos - 11 a 19 campos</v>
      </c>
      <c r="AC20" s="310" t="s">
        <v>390</v>
      </c>
      <c r="AD20" s="310" t="s">
        <v>394</v>
      </c>
      <c r="AE20" s="310" t="s">
        <v>403</v>
      </c>
      <c r="AF20" s="310" t="s">
        <v>436</v>
      </c>
      <c r="AG20" s="310">
        <v>6</v>
      </c>
      <c r="AH20" s="310">
        <v>2</v>
      </c>
      <c r="AI20" s="310">
        <v>78</v>
      </c>
      <c r="AJ20" s="310">
        <v>4</v>
      </c>
      <c r="AK20" s="310">
        <f t="shared" si="10"/>
        <v>88</v>
      </c>
      <c r="AL20" s="311">
        <f t="shared" si="11"/>
        <v>84</v>
      </c>
    </row>
    <row r="21" spans="2:38" s="271" customFormat="1" x14ac:dyDescent="0.2">
      <c r="B21" s="366"/>
      <c r="C21" s="334"/>
      <c r="D21" s="335"/>
      <c r="E21" s="335"/>
      <c r="F21" s="335"/>
      <c r="G21" s="335"/>
      <c r="H21" s="335"/>
      <c r="I21" s="335"/>
      <c r="J21" s="309" t="str">
        <f ca="1">IFERROR(IF(TipoContagem=TipoContagemEstimada,
    IF('Enriquecimento - SOA com ETX'!$E21="","",VLOOKUP('Enriquecimento - SOA com ETX'!$E21,Complexidade_Estimada,2,FALSE)),
    IF('Enriquecimento - SOA com ETX'!$E21="","",INDEX(INDIRECT("Complexidade_"&amp;'Enriquecimento - SOA com ETX'!$E21),MATCH('Enriquecimento - SOA com ETX'!$F21,INDIRECT("Complexidade_"&amp;'Enriquecimento - SOA com ETX'!$E21&amp;"_Arq"),1),MATCH('Enriquecimento - SOA com ETX'!$G21,INDIRECT("Complexidade_"&amp;'Enriquecimento - SOA com ETX'!$E21&amp;"_Ite",1))))),"")</f>
        <v/>
      </c>
      <c r="K21" s="309">
        <f>IFERROR(IF('Enriquecimento - SOA com ETX'!$E21="",0,INDEX(Pesos_IFPUG,MATCH('Enriquecimento - SOA com ETX'!$E21,Pesos_IFPUG_Objetos,0),MATCH('Enriquecimento - SOA com ETX'!$J21,Pesos_IFPUG_Complexidade,0))),"")</f>
        <v>0</v>
      </c>
      <c r="L21" s="501"/>
      <c r="M21" s="502"/>
      <c r="N21" s="346" t="str">
        <f t="shared" si="0"/>
        <v/>
      </c>
      <c r="O21" s="501"/>
      <c r="P21" s="502"/>
      <c r="Q21" s="346" t="str">
        <f t="shared" si="1"/>
        <v/>
      </c>
      <c r="R21" s="501"/>
      <c r="S21" s="503"/>
      <c r="T21" s="502"/>
      <c r="U21" s="346" t="str">
        <f t="shared" si="2"/>
        <v/>
      </c>
      <c r="V21" s="347" t="str">
        <f t="shared" si="3"/>
        <v/>
      </c>
      <c r="W21" s="363">
        <f t="shared" si="4"/>
        <v>0</v>
      </c>
      <c r="X21" s="363">
        <f t="shared" si="5"/>
        <v>0</v>
      </c>
      <c r="Y21" s="363">
        <f t="shared" si="6"/>
        <v>0</v>
      </c>
      <c r="Z21" s="363">
        <f t="shared" si="7"/>
        <v>0</v>
      </c>
      <c r="AA21" s="363">
        <f t="shared" si="8"/>
        <v>0</v>
      </c>
      <c r="AB21" s="341" t="str">
        <f t="shared" si="12"/>
        <v>AlterarMapeamentoMedia(-) - 16 a 49 campos - 1 a 10 campos</v>
      </c>
      <c r="AC21" s="310" t="s">
        <v>390</v>
      </c>
      <c r="AD21" s="310" t="s">
        <v>396</v>
      </c>
      <c r="AE21" s="310" t="s">
        <v>400</v>
      </c>
      <c r="AF21" s="310" t="s">
        <v>437</v>
      </c>
      <c r="AG21" s="310">
        <v>4</v>
      </c>
      <c r="AH21" s="310">
        <v>2</v>
      </c>
      <c r="AI21" s="310">
        <v>64</v>
      </c>
      <c r="AJ21" s="310">
        <v>4</v>
      </c>
      <c r="AK21" s="310">
        <f t="shared" si="10"/>
        <v>72</v>
      </c>
      <c r="AL21" s="311">
        <f t="shared" si="11"/>
        <v>70</v>
      </c>
    </row>
    <row r="22" spans="2:38" s="271" customFormat="1" x14ac:dyDescent="0.2">
      <c r="B22" s="366"/>
      <c r="C22" s="334"/>
      <c r="D22" s="335"/>
      <c r="E22" s="335"/>
      <c r="F22" s="335"/>
      <c r="G22" s="335"/>
      <c r="H22" s="335"/>
      <c r="I22" s="335"/>
      <c r="J22" s="309" t="str">
        <f ca="1">IFERROR(IF(TipoContagem=TipoContagemEstimada,
    IF('Enriquecimento - SOA com ETX'!$E22="","",VLOOKUP('Enriquecimento - SOA com ETX'!$E22,Complexidade_Estimada,2,FALSE)),
    IF('Enriquecimento - SOA com ETX'!$E22="","",INDEX(INDIRECT("Complexidade_"&amp;'Enriquecimento - SOA com ETX'!$E22),MATCH('Enriquecimento - SOA com ETX'!$F22,INDIRECT("Complexidade_"&amp;'Enriquecimento - SOA com ETX'!$E22&amp;"_Arq"),1),MATCH('Enriquecimento - SOA com ETX'!$G22,INDIRECT("Complexidade_"&amp;'Enriquecimento - SOA com ETX'!$E22&amp;"_Ite",1))))),"")</f>
        <v/>
      </c>
      <c r="K22" s="309">
        <f>IFERROR(IF('Enriquecimento - SOA com ETX'!$E22="",0,INDEX(Pesos_IFPUG,MATCH('Enriquecimento - SOA com ETX'!$E22,Pesos_IFPUG_Objetos,0),MATCH('Enriquecimento - SOA com ETX'!$J22,Pesos_IFPUG_Complexidade,0))),"")</f>
        <v>0</v>
      </c>
      <c r="L22" s="501"/>
      <c r="M22" s="502"/>
      <c r="N22" s="346" t="str">
        <f t="shared" si="0"/>
        <v/>
      </c>
      <c r="O22" s="501"/>
      <c r="P22" s="502"/>
      <c r="Q22" s="346" t="str">
        <f t="shared" si="1"/>
        <v/>
      </c>
      <c r="R22" s="501"/>
      <c r="S22" s="503"/>
      <c r="T22" s="502"/>
      <c r="U22" s="346" t="str">
        <f t="shared" si="2"/>
        <v/>
      </c>
      <c r="V22" s="347" t="str">
        <f t="shared" si="3"/>
        <v/>
      </c>
      <c r="W22" s="363">
        <f t="shared" si="4"/>
        <v>0</v>
      </c>
      <c r="X22" s="363">
        <f t="shared" si="5"/>
        <v>0</v>
      </c>
      <c r="Y22" s="363">
        <f t="shared" si="6"/>
        <v>0</v>
      </c>
      <c r="Z22" s="363">
        <f t="shared" si="7"/>
        <v>0</v>
      </c>
      <c r="AA22" s="363">
        <f t="shared" si="8"/>
        <v>0</v>
      </c>
      <c r="AB22" s="341" t="str">
        <f t="shared" si="12"/>
        <v>AlterarMapeamentoMedia - 16 a 49 campos - 11 a 30 campos</v>
      </c>
      <c r="AC22" s="310" t="s">
        <v>390</v>
      </c>
      <c r="AD22" s="310" t="s">
        <v>396</v>
      </c>
      <c r="AE22" s="310" t="s">
        <v>404</v>
      </c>
      <c r="AF22" s="310" t="s">
        <v>119</v>
      </c>
      <c r="AG22" s="310">
        <v>6</v>
      </c>
      <c r="AH22" s="310">
        <v>2</v>
      </c>
      <c r="AI22" s="310">
        <v>78</v>
      </c>
      <c r="AJ22" s="310">
        <v>4</v>
      </c>
      <c r="AK22" s="310">
        <f t="shared" si="10"/>
        <v>88</v>
      </c>
      <c r="AL22" s="311">
        <f t="shared" si="11"/>
        <v>84</v>
      </c>
    </row>
    <row r="23" spans="2:38" s="271" customFormat="1" x14ac:dyDescent="0.2">
      <c r="B23" s="366"/>
      <c r="C23" s="334"/>
      <c r="D23" s="335"/>
      <c r="E23" s="335"/>
      <c r="F23" s="335"/>
      <c r="G23" s="335"/>
      <c r="H23" s="335"/>
      <c r="I23" s="335"/>
      <c r="J23" s="309" t="str">
        <f ca="1">IFERROR(IF(TipoContagem=TipoContagemEstimada,
    IF('Enriquecimento - SOA com ETX'!$E23="","",VLOOKUP('Enriquecimento - SOA com ETX'!$E23,Complexidade_Estimada,2,FALSE)),
    IF('Enriquecimento - SOA com ETX'!$E23="","",INDEX(INDIRECT("Complexidade_"&amp;'Enriquecimento - SOA com ETX'!$E23),MATCH('Enriquecimento - SOA com ETX'!$F23,INDIRECT("Complexidade_"&amp;'Enriquecimento - SOA com ETX'!$E23&amp;"_Arq"),1),MATCH('Enriquecimento - SOA com ETX'!$G23,INDIRECT("Complexidade_"&amp;'Enriquecimento - SOA com ETX'!$E23&amp;"_Ite",1))))),"")</f>
        <v/>
      </c>
      <c r="K23" s="309">
        <f>IFERROR(IF('Enriquecimento - SOA com ETX'!$E23="",0,INDEX(Pesos_IFPUG,MATCH('Enriquecimento - SOA com ETX'!$E23,Pesos_IFPUG_Objetos,0),MATCH('Enriquecimento - SOA com ETX'!$J23,Pesos_IFPUG_Complexidade,0))),"")</f>
        <v>0</v>
      </c>
      <c r="L23" s="501"/>
      <c r="M23" s="502"/>
      <c r="N23" s="346" t="str">
        <f t="shared" si="0"/>
        <v/>
      </c>
      <c r="O23" s="501"/>
      <c r="P23" s="502"/>
      <c r="Q23" s="346" t="str">
        <f t="shared" si="1"/>
        <v/>
      </c>
      <c r="R23" s="501"/>
      <c r="S23" s="503"/>
      <c r="T23" s="502"/>
      <c r="U23" s="346" t="str">
        <f t="shared" si="2"/>
        <v/>
      </c>
      <c r="V23" s="347" t="str">
        <f t="shared" si="3"/>
        <v/>
      </c>
      <c r="W23" s="363">
        <f t="shared" si="4"/>
        <v>0</v>
      </c>
      <c r="X23" s="363">
        <f t="shared" si="5"/>
        <v>0</v>
      </c>
      <c r="Y23" s="363">
        <f t="shared" si="6"/>
        <v>0</v>
      </c>
      <c r="Z23" s="363">
        <f t="shared" si="7"/>
        <v>0</v>
      </c>
      <c r="AA23" s="363">
        <f t="shared" si="8"/>
        <v>0</v>
      </c>
      <c r="AB23" s="341" t="str">
        <f t="shared" si="12"/>
        <v>AlterarMapeamentoMedia(+) - 16 a 49 campos - 31 a 49 campos</v>
      </c>
      <c r="AC23" s="310" t="s">
        <v>390</v>
      </c>
      <c r="AD23" s="310" t="s">
        <v>396</v>
      </c>
      <c r="AE23" s="310" t="s">
        <v>405</v>
      </c>
      <c r="AF23" s="310" t="s">
        <v>438</v>
      </c>
      <c r="AG23" s="310">
        <v>8</v>
      </c>
      <c r="AH23" s="310">
        <v>2</v>
      </c>
      <c r="AI23" s="310">
        <v>86</v>
      </c>
      <c r="AJ23" s="310">
        <v>4</v>
      </c>
      <c r="AK23" s="310">
        <f t="shared" si="10"/>
        <v>98</v>
      </c>
      <c r="AL23" s="311">
        <f t="shared" si="11"/>
        <v>92</v>
      </c>
    </row>
    <row r="24" spans="2:38" s="271" customFormat="1" x14ac:dyDescent="0.2">
      <c r="B24" s="366"/>
      <c r="C24" s="334"/>
      <c r="D24" s="335"/>
      <c r="E24" s="335"/>
      <c r="F24" s="335"/>
      <c r="G24" s="335"/>
      <c r="H24" s="335"/>
      <c r="I24" s="335"/>
      <c r="J24" s="309" t="str">
        <f ca="1">IFERROR(IF(TipoContagem=TipoContagemEstimada,
    IF('Enriquecimento - SOA com ETX'!$E24="","",VLOOKUP('Enriquecimento - SOA com ETX'!$E24,Complexidade_Estimada,2,FALSE)),
    IF('Enriquecimento - SOA com ETX'!$E24="","",INDEX(INDIRECT("Complexidade_"&amp;'Enriquecimento - SOA com ETX'!$E24),MATCH('Enriquecimento - SOA com ETX'!$F24,INDIRECT("Complexidade_"&amp;'Enriquecimento - SOA com ETX'!$E24&amp;"_Arq"),1),MATCH('Enriquecimento - SOA com ETX'!$G24,INDIRECT("Complexidade_"&amp;'Enriquecimento - SOA com ETX'!$E24&amp;"_Ite",1))))),"")</f>
        <v/>
      </c>
      <c r="K24" s="309">
        <f>IFERROR(IF('Enriquecimento - SOA com ETX'!$E24="",0,INDEX(Pesos_IFPUG,MATCH('Enriquecimento - SOA com ETX'!$E24,Pesos_IFPUG_Objetos,0),MATCH('Enriquecimento - SOA com ETX'!$J24,Pesos_IFPUG_Complexidade,0))),"")</f>
        <v>0</v>
      </c>
      <c r="L24" s="501"/>
      <c r="M24" s="502"/>
      <c r="N24" s="346" t="str">
        <f t="shared" si="0"/>
        <v/>
      </c>
      <c r="O24" s="501"/>
      <c r="P24" s="502"/>
      <c r="Q24" s="346" t="str">
        <f t="shared" si="1"/>
        <v/>
      </c>
      <c r="R24" s="501"/>
      <c r="S24" s="503"/>
      <c r="T24" s="502"/>
      <c r="U24" s="346" t="str">
        <f t="shared" si="2"/>
        <v/>
      </c>
      <c r="V24" s="347" t="str">
        <f t="shared" si="3"/>
        <v/>
      </c>
      <c r="W24" s="363">
        <f t="shared" si="4"/>
        <v>0</v>
      </c>
      <c r="X24" s="363">
        <f t="shared" si="5"/>
        <v>0</v>
      </c>
      <c r="Y24" s="363">
        <f t="shared" si="6"/>
        <v>0</v>
      </c>
      <c r="Z24" s="363">
        <f t="shared" si="7"/>
        <v>0</v>
      </c>
      <c r="AA24" s="363">
        <f t="shared" si="8"/>
        <v>0</v>
      </c>
      <c r="AB24" s="341" t="str">
        <f t="shared" si="12"/>
        <v>AlterarMapeamentoComplexa(-) - Acima de 50 campos - 1 a 30 campos</v>
      </c>
      <c r="AC24" s="310" t="s">
        <v>390</v>
      </c>
      <c r="AD24" s="310" t="s">
        <v>398</v>
      </c>
      <c r="AE24" s="310" t="s">
        <v>401</v>
      </c>
      <c r="AF24" s="310" t="s">
        <v>439</v>
      </c>
      <c r="AG24" s="310">
        <v>6</v>
      </c>
      <c r="AH24" s="310">
        <v>2</v>
      </c>
      <c r="AI24" s="310">
        <v>78</v>
      </c>
      <c r="AJ24" s="310">
        <v>4</v>
      </c>
      <c r="AK24" s="310">
        <f t="shared" si="10"/>
        <v>88</v>
      </c>
      <c r="AL24" s="311">
        <f t="shared" si="11"/>
        <v>84</v>
      </c>
    </row>
    <row r="25" spans="2:38" s="271" customFormat="1" x14ac:dyDescent="0.2">
      <c r="B25" s="366"/>
      <c r="C25" s="334"/>
      <c r="D25" s="335"/>
      <c r="E25" s="335"/>
      <c r="F25" s="335"/>
      <c r="G25" s="335"/>
      <c r="H25" s="335"/>
      <c r="I25" s="335"/>
      <c r="J25" s="309" t="str">
        <f ca="1">IFERROR(IF(TipoContagem=TipoContagemEstimada,
    IF('Enriquecimento - SOA com ETX'!$E25="","",VLOOKUP('Enriquecimento - SOA com ETX'!$E25,Complexidade_Estimada,2,FALSE)),
    IF('Enriquecimento - SOA com ETX'!$E25="","",INDEX(INDIRECT("Complexidade_"&amp;'Enriquecimento - SOA com ETX'!$E25),MATCH('Enriquecimento - SOA com ETX'!$F25,INDIRECT("Complexidade_"&amp;'Enriquecimento - SOA com ETX'!$E25&amp;"_Arq"),1),MATCH('Enriquecimento - SOA com ETX'!$G25,INDIRECT("Complexidade_"&amp;'Enriquecimento - SOA com ETX'!$E25&amp;"_Ite",1))))),"")</f>
        <v/>
      </c>
      <c r="K25" s="309">
        <f>IFERROR(IF('Enriquecimento - SOA com ETX'!$E25="",0,INDEX(Pesos_IFPUG,MATCH('Enriquecimento - SOA com ETX'!$E25,Pesos_IFPUG_Objetos,0),MATCH('Enriquecimento - SOA com ETX'!$J25,Pesos_IFPUG_Complexidade,0))),"")</f>
        <v>0</v>
      </c>
      <c r="L25" s="501"/>
      <c r="M25" s="502"/>
      <c r="N25" s="346" t="str">
        <f t="shared" si="0"/>
        <v/>
      </c>
      <c r="O25" s="501"/>
      <c r="P25" s="502"/>
      <c r="Q25" s="346" t="str">
        <f t="shared" si="1"/>
        <v/>
      </c>
      <c r="R25" s="501"/>
      <c r="S25" s="503"/>
      <c r="T25" s="502"/>
      <c r="U25" s="346" t="str">
        <f t="shared" si="2"/>
        <v/>
      </c>
      <c r="V25" s="347" t="str">
        <f t="shared" si="3"/>
        <v/>
      </c>
      <c r="W25" s="363">
        <f t="shared" si="4"/>
        <v>0</v>
      </c>
      <c r="X25" s="363">
        <f t="shared" si="5"/>
        <v>0</v>
      </c>
      <c r="Y25" s="363">
        <f t="shared" si="6"/>
        <v>0</v>
      </c>
      <c r="Z25" s="363">
        <f t="shared" si="7"/>
        <v>0</v>
      </c>
      <c r="AA25" s="363">
        <f t="shared" si="8"/>
        <v>0</v>
      </c>
      <c r="AB25" s="341" t="str">
        <f t="shared" si="12"/>
        <v>AlterarMapeamentoComplexa - Acima de 50 campos - 31 a 50 campos</v>
      </c>
      <c r="AC25" s="310" t="s">
        <v>390</v>
      </c>
      <c r="AD25" s="310" t="s">
        <v>398</v>
      </c>
      <c r="AE25" s="310" t="s">
        <v>406</v>
      </c>
      <c r="AF25" s="310" t="s">
        <v>393</v>
      </c>
      <c r="AG25" s="310">
        <v>8</v>
      </c>
      <c r="AH25" s="310">
        <v>2</v>
      </c>
      <c r="AI25" s="310">
        <v>86</v>
      </c>
      <c r="AJ25" s="310">
        <v>4</v>
      </c>
      <c r="AK25" s="310">
        <f t="shared" si="10"/>
        <v>98</v>
      </c>
      <c r="AL25" s="311">
        <f t="shared" si="11"/>
        <v>92</v>
      </c>
    </row>
    <row r="26" spans="2:38" s="271" customFormat="1" x14ac:dyDescent="0.2">
      <c r="B26" s="366"/>
      <c r="C26" s="334"/>
      <c r="D26" s="335"/>
      <c r="E26" s="335"/>
      <c r="F26" s="335"/>
      <c r="G26" s="335"/>
      <c r="H26" s="335"/>
      <c r="I26" s="335"/>
      <c r="J26" s="309" t="str">
        <f ca="1">IFERROR(IF(TipoContagem=TipoContagemEstimada,
    IF('Enriquecimento - SOA com ETX'!$E26="","",VLOOKUP('Enriquecimento - SOA com ETX'!$E26,Complexidade_Estimada,2,FALSE)),
    IF('Enriquecimento - SOA com ETX'!$E26="","",INDEX(INDIRECT("Complexidade_"&amp;'Enriquecimento - SOA com ETX'!$E26),MATCH('Enriquecimento - SOA com ETX'!$F26,INDIRECT("Complexidade_"&amp;'Enriquecimento - SOA com ETX'!$E26&amp;"_Arq"),1),MATCH('Enriquecimento - SOA com ETX'!$G26,INDIRECT("Complexidade_"&amp;'Enriquecimento - SOA com ETX'!$E26&amp;"_Ite",1))))),"")</f>
        <v/>
      </c>
      <c r="K26" s="309">
        <f>IFERROR(IF('Enriquecimento - SOA com ETX'!$E26="",0,INDEX(Pesos_IFPUG,MATCH('Enriquecimento - SOA com ETX'!$E26,Pesos_IFPUG_Objetos,0),MATCH('Enriquecimento - SOA com ETX'!$J26,Pesos_IFPUG_Complexidade,0))),"")</f>
        <v>0</v>
      </c>
      <c r="L26" s="501"/>
      <c r="M26" s="502"/>
      <c r="N26" s="346" t="str">
        <f t="shared" si="0"/>
        <v/>
      </c>
      <c r="O26" s="501"/>
      <c r="P26" s="502"/>
      <c r="Q26" s="346" t="str">
        <f t="shared" si="1"/>
        <v/>
      </c>
      <c r="R26" s="501"/>
      <c r="S26" s="503"/>
      <c r="T26" s="502"/>
      <c r="U26" s="346" t="str">
        <f t="shared" si="2"/>
        <v/>
      </c>
      <c r="V26" s="347" t="str">
        <f t="shared" si="3"/>
        <v/>
      </c>
      <c r="W26" s="363">
        <f t="shared" si="4"/>
        <v>0</v>
      </c>
      <c r="X26" s="363">
        <f t="shared" si="5"/>
        <v>0</v>
      </c>
      <c r="Y26" s="363">
        <f t="shared" si="6"/>
        <v>0</v>
      </c>
      <c r="Z26" s="363">
        <f t="shared" si="7"/>
        <v>0</v>
      </c>
      <c r="AA26" s="363">
        <f t="shared" si="8"/>
        <v>0</v>
      </c>
      <c r="AB26" s="341" t="str">
        <f t="shared" si="12"/>
        <v>AlterarMapeamentoComplexa(+) - Acima de 50 campos - Acima de 50</v>
      </c>
      <c r="AC26" s="310" t="s">
        <v>390</v>
      </c>
      <c r="AD26" s="310" t="s">
        <v>398</v>
      </c>
      <c r="AE26" s="310" t="s">
        <v>408</v>
      </c>
      <c r="AF26" s="310" t="s">
        <v>440</v>
      </c>
      <c r="AG26" s="310">
        <v>14</v>
      </c>
      <c r="AH26" s="310">
        <v>2</v>
      </c>
      <c r="AI26" s="310">
        <v>96</v>
      </c>
      <c r="AJ26" s="310">
        <v>8</v>
      </c>
      <c r="AK26" s="310">
        <f t="shared" si="10"/>
        <v>118</v>
      </c>
      <c r="AL26" s="311">
        <f t="shared" si="11"/>
        <v>106</v>
      </c>
    </row>
    <row r="27" spans="2:38" s="271" customFormat="1" x14ac:dyDescent="0.2">
      <c r="B27" s="366"/>
      <c r="C27" s="334"/>
      <c r="D27" s="335"/>
      <c r="E27" s="335"/>
      <c r="F27" s="335"/>
      <c r="G27" s="335"/>
      <c r="H27" s="335"/>
      <c r="I27" s="335"/>
      <c r="J27" s="309" t="str">
        <f ca="1">IFERROR(IF(TipoContagem=TipoContagemEstimada,
    IF('Enriquecimento - SOA com ETX'!$E27="","",VLOOKUP('Enriquecimento - SOA com ETX'!$E27,Complexidade_Estimada,2,FALSE)),
    IF('Enriquecimento - SOA com ETX'!$E27="","",INDEX(INDIRECT("Complexidade_"&amp;'Enriquecimento - SOA com ETX'!$E27),MATCH('Enriquecimento - SOA com ETX'!$F27,INDIRECT("Complexidade_"&amp;'Enriquecimento - SOA com ETX'!$E27&amp;"_Arq"),1),MATCH('Enriquecimento - SOA com ETX'!$G27,INDIRECT("Complexidade_"&amp;'Enriquecimento - SOA com ETX'!$E27&amp;"_Ite",1))))),"")</f>
        <v/>
      </c>
      <c r="K27" s="309">
        <f>IFERROR(IF('Enriquecimento - SOA com ETX'!$E27="",0,INDEX(Pesos_IFPUG,MATCH('Enriquecimento - SOA com ETX'!$E27,Pesos_IFPUG_Objetos,0),MATCH('Enriquecimento - SOA com ETX'!$J27,Pesos_IFPUG_Complexidade,0))),"")</f>
        <v>0</v>
      </c>
      <c r="L27" s="501"/>
      <c r="M27" s="502"/>
      <c r="N27" s="346" t="str">
        <f t="shared" si="0"/>
        <v/>
      </c>
      <c r="O27" s="501"/>
      <c r="P27" s="502"/>
      <c r="Q27" s="346" t="str">
        <f t="shared" si="1"/>
        <v/>
      </c>
      <c r="R27" s="501"/>
      <c r="S27" s="503"/>
      <c r="T27" s="502"/>
      <c r="U27" s="346" t="str">
        <f t="shared" si="2"/>
        <v/>
      </c>
      <c r="V27" s="347" t="str">
        <f t="shared" si="3"/>
        <v/>
      </c>
      <c r="W27" s="363">
        <f t="shared" si="4"/>
        <v>0</v>
      </c>
      <c r="X27" s="363">
        <f t="shared" si="5"/>
        <v>0</v>
      </c>
      <c r="Y27" s="363">
        <f t="shared" si="6"/>
        <v>0</v>
      </c>
      <c r="Z27" s="363">
        <f t="shared" si="7"/>
        <v>0</v>
      </c>
      <c r="AA27" s="363">
        <f t="shared" si="8"/>
        <v>0</v>
      </c>
      <c r="AB27" s="341"/>
      <c r="AC27" s="315"/>
      <c r="AD27" s="315"/>
      <c r="AE27" s="315"/>
      <c r="AF27" s="315"/>
      <c r="AG27" s="315"/>
      <c r="AH27" s="315"/>
      <c r="AI27" s="315"/>
      <c r="AJ27" s="315"/>
      <c r="AK27" s="315"/>
      <c r="AL27" s="316"/>
    </row>
    <row r="28" spans="2:38" s="271" customFormat="1" x14ac:dyDescent="0.2">
      <c r="B28" s="366"/>
      <c r="C28" s="334"/>
      <c r="D28" s="335"/>
      <c r="E28" s="335"/>
      <c r="F28" s="335"/>
      <c r="G28" s="335"/>
      <c r="H28" s="335"/>
      <c r="I28" s="335"/>
      <c r="J28" s="309" t="str">
        <f ca="1">IFERROR(IF(TipoContagem=TipoContagemEstimada,
    IF('Enriquecimento - SOA com ETX'!$E28="","",VLOOKUP('Enriquecimento - SOA com ETX'!$E28,Complexidade_Estimada,2,FALSE)),
    IF('Enriquecimento - SOA com ETX'!$E28="","",INDEX(INDIRECT("Complexidade_"&amp;'Enriquecimento - SOA com ETX'!$E28),MATCH('Enriquecimento - SOA com ETX'!$F28,INDIRECT("Complexidade_"&amp;'Enriquecimento - SOA com ETX'!$E28&amp;"_Arq"),1),MATCH('Enriquecimento - SOA com ETX'!$G28,INDIRECT("Complexidade_"&amp;'Enriquecimento - SOA com ETX'!$E28&amp;"_Ite",1))))),"")</f>
        <v/>
      </c>
      <c r="K28" s="309">
        <f>IFERROR(IF('Enriquecimento - SOA com ETX'!$E28="",0,INDEX(Pesos_IFPUG,MATCH('Enriquecimento - SOA com ETX'!$E28,Pesos_IFPUG_Objetos,0),MATCH('Enriquecimento - SOA com ETX'!$J28,Pesos_IFPUG_Complexidade,0))),"")</f>
        <v>0</v>
      </c>
      <c r="L28" s="501"/>
      <c r="M28" s="502"/>
      <c r="N28" s="346" t="str">
        <f t="shared" si="0"/>
        <v/>
      </c>
      <c r="O28" s="501"/>
      <c r="P28" s="502"/>
      <c r="Q28" s="346" t="str">
        <f t="shared" ref="Q28:Q38" si="13">IF(O28="","",$AC$15&amp;O28)</f>
        <v/>
      </c>
      <c r="R28" s="501"/>
      <c r="S28" s="503"/>
      <c r="T28" s="502"/>
      <c r="U28" s="346" t="str">
        <f t="shared" si="2"/>
        <v/>
      </c>
      <c r="V28" s="347" t="str">
        <f t="shared" si="3"/>
        <v/>
      </c>
      <c r="W28" s="363">
        <f t="shared" si="4"/>
        <v>0</v>
      </c>
      <c r="X28" s="363">
        <f t="shared" si="5"/>
        <v>0</v>
      </c>
      <c r="Y28" s="363">
        <f t="shared" si="6"/>
        <v>0</v>
      </c>
      <c r="Z28" s="363">
        <f t="shared" si="7"/>
        <v>0</v>
      </c>
      <c r="AA28" s="363">
        <f t="shared" si="8"/>
        <v>0</v>
      </c>
      <c r="AB28" s="341"/>
      <c r="AC28" s="315"/>
      <c r="AD28" s="315"/>
      <c r="AE28" s="315"/>
      <c r="AF28" s="315"/>
      <c r="AG28" s="315"/>
      <c r="AH28" s="315"/>
      <c r="AI28" s="315"/>
      <c r="AJ28" s="315"/>
      <c r="AK28" s="315"/>
      <c r="AL28" s="316"/>
    </row>
    <row r="29" spans="2:38" s="271" customFormat="1" x14ac:dyDescent="0.2">
      <c r="B29" s="366"/>
      <c r="C29" s="334"/>
      <c r="D29" s="335"/>
      <c r="E29" s="335"/>
      <c r="F29" s="335"/>
      <c r="G29" s="335"/>
      <c r="H29" s="335"/>
      <c r="I29" s="335"/>
      <c r="J29" s="309" t="str">
        <f ca="1">IFERROR(IF(TipoContagem=TipoContagemEstimada,
    IF('Enriquecimento - SOA com ETX'!$E29="","",VLOOKUP('Enriquecimento - SOA com ETX'!$E29,Complexidade_Estimada,2,FALSE)),
    IF('Enriquecimento - SOA com ETX'!$E29="","",INDEX(INDIRECT("Complexidade_"&amp;'Enriquecimento - SOA com ETX'!$E29),MATCH('Enriquecimento - SOA com ETX'!$F29,INDIRECT("Complexidade_"&amp;'Enriquecimento - SOA com ETX'!$E29&amp;"_Arq"),1),MATCH('Enriquecimento - SOA com ETX'!$G29,INDIRECT("Complexidade_"&amp;'Enriquecimento - SOA com ETX'!$E29&amp;"_Ite",1))))),"")</f>
        <v/>
      </c>
      <c r="K29" s="309">
        <f>IFERROR(IF('Enriquecimento - SOA com ETX'!$E29="",0,INDEX(Pesos_IFPUG,MATCH('Enriquecimento - SOA com ETX'!$E29,Pesos_IFPUG_Objetos,0),MATCH('Enriquecimento - SOA com ETX'!$J29,Pesos_IFPUG_Complexidade,0))),"")</f>
        <v>0</v>
      </c>
      <c r="L29" s="501"/>
      <c r="M29" s="502"/>
      <c r="N29" s="346" t="str">
        <f t="shared" ref="N29:N40" si="14">IF(L29="","",$AC$12&amp;L29)</f>
        <v/>
      </c>
      <c r="O29" s="501"/>
      <c r="P29" s="502"/>
      <c r="Q29" s="346" t="str">
        <f t="shared" si="13"/>
        <v/>
      </c>
      <c r="R29" s="501"/>
      <c r="S29" s="503"/>
      <c r="T29" s="502"/>
      <c r="U29" s="346" t="str">
        <f t="shared" si="2"/>
        <v/>
      </c>
      <c r="V29" s="347" t="str">
        <f t="shared" si="3"/>
        <v/>
      </c>
      <c r="W29" s="363">
        <f t="shared" si="4"/>
        <v>0</v>
      </c>
      <c r="X29" s="363">
        <f t="shared" si="5"/>
        <v>0</v>
      </c>
      <c r="Y29" s="363">
        <f t="shared" si="6"/>
        <v>0</v>
      </c>
      <c r="Z29" s="363">
        <f t="shared" si="7"/>
        <v>0</v>
      </c>
      <c r="AA29" s="363">
        <f t="shared" si="8"/>
        <v>0</v>
      </c>
      <c r="AB29" s="329"/>
      <c r="AC29" s="315"/>
      <c r="AD29" s="315"/>
      <c r="AE29" s="315"/>
      <c r="AF29" s="315"/>
      <c r="AG29" s="315"/>
      <c r="AH29" s="315"/>
      <c r="AI29" s="315"/>
      <c r="AJ29" s="315"/>
      <c r="AK29" s="315"/>
      <c r="AL29" s="316"/>
    </row>
    <row r="30" spans="2:38" s="271" customFormat="1" x14ac:dyDescent="0.2">
      <c r="B30" s="366"/>
      <c r="C30" s="334"/>
      <c r="D30" s="335"/>
      <c r="E30" s="335"/>
      <c r="F30" s="335"/>
      <c r="G30" s="335"/>
      <c r="H30" s="335"/>
      <c r="I30" s="335"/>
      <c r="J30" s="309" t="str">
        <f ca="1">IFERROR(IF(TipoContagem=TipoContagemEstimada,
    IF('Enriquecimento - SOA com ETX'!$E30="","",VLOOKUP('Enriquecimento - SOA com ETX'!$E30,Complexidade_Estimada,2,FALSE)),
    IF('Enriquecimento - SOA com ETX'!$E30="","",INDEX(INDIRECT("Complexidade_"&amp;'Enriquecimento - SOA com ETX'!$E30),MATCH('Enriquecimento - SOA com ETX'!$F30,INDIRECT("Complexidade_"&amp;'Enriquecimento - SOA com ETX'!$E30&amp;"_Arq"),1),MATCH('Enriquecimento - SOA com ETX'!$G30,INDIRECT("Complexidade_"&amp;'Enriquecimento - SOA com ETX'!$E30&amp;"_Ite",1))))),"")</f>
        <v/>
      </c>
      <c r="K30" s="309">
        <f>IFERROR(IF('Enriquecimento - SOA com ETX'!$E30="",0,INDEX(Pesos_IFPUG,MATCH('Enriquecimento - SOA com ETX'!$E30,Pesos_IFPUG_Objetos,0),MATCH('Enriquecimento - SOA com ETX'!$J30,Pesos_IFPUG_Complexidade,0))),"")</f>
        <v>0</v>
      </c>
      <c r="L30" s="501"/>
      <c r="M30" s="502"/>
      <c r="N30" s="346" t="str">
        <f t="shared" si="14"/>
        <v/>
      </c>
      <c r="O30" s="501"/>
      <c r="P30" s="502"/>
      <c r="Q30" s="346" t="str">
        <f t="shared" si="13"/>
        <v/>
      </c>
      <c r="R30" s="501"/>
      <c r="S30" s="503"/>
      <c r="T30" s="502"/>
      <c r="U30" s="346" t="str">
        <f t="shared" si="2"/>
        <v/>
      </c>
      <c r="V30" s="347" t="str">
        <f t="shared" si="3"/>
        <v/>
      </c>
      <c r="W30" s="363">
        <f t="shared" si="4"/>
        <v>0</v>
      </c>
      <c r="X30" s="363">
        <f t="shared" si="5"/>
        <v>0</v>
      </c>
      <c r="Y30" s="363">
        <f t="shared" si="6"/>
        <v>0</v>
      </c>
      <c r="Z30" s="363">
        <f t="shared" si="7"/>
        <v>0</v>
      </c>
      <c r="AA30" s="363">
        <f t="shared" si="8"/>
        <v>0</v>
      </c>
      <c r="AB30" s="341"/>
      <c r="AC30" s="315"/>
      <c r="AD30" s="315"/>
      <c r="AE30" s="315"/>
      <c r="AF30" s="315"/>
      <c r="AG30" s="315"/>
      <c r="AH30" s="315"/>
      <c r="AI30" s="315"/>
      <c r="AJ30" s="315"/>
      <c r="AK30" s="315"/>
      <c r="AL30" s="316"/>
    </row>
    <row r="31" spans="2:38" x14ac:dyDescent="0.2">
      <c r="B31" s="366"/>
      <c r="C31" s="334"/>
      <c r="D31" s="335"/>
      <c r="E31" s="335"/>
      <c r="F31" s="335"/>
      <c r="G31" s="335"/>
      <c r="H31" s="335"/>
      <c r="I31" s="335"/>
      <c r="J31" s="309" t="str">
        <f ca="1">IFERROR(IF(TipoContagem=TipoContagemEstimada,
    IF('Enriquecimento - SOA com ETX'!$E31="","",VLOOKUP('Enriquecimento - SOA com ETX'!$E31,Complexidade_Estimada,2,FALSE)),
    IF('Enriquecimento - SOA com ETX'!$E31="","",INDEX(INDIRECT("Complexidade_"&amp;'Enriquecimento - SOA com ETX'!$E31),MATCH('Enriquecimento - SOA com ETX'!$F31,INDIRECT("Complexidade_"&amp;'Enriquecimento - SOA com ETX'!$E31&amp;"_Arq"),1),MATCH('Enriquecimento - SOA com ETX'!$G31,INDIRECT("Complexidade_"&amp;'Enriquecimento - SOA com ETX'!$E31&amp;"_Ite",1))))),"")</f>
        <v/>
      </c>
      <c r="K31" s="309">
        <f>IFERROR(IF('Enriquecimento - SOA com ETX'!$E31="",0,INDEX(Pesos_IFPUG,MATCH('Enriquecimento - SOA com ETX'!$E31,Pesos_IFPUG_Objetos,0),MATCH('Enriquecimento - SOA com ETX'!$J31,Pesos_IFPUG_Complexidade,0))),"")</f>
        <v>0</v>
      </c>
      <c r="L31" s="501"/>
      <c r="M31" s="502"/>
      <c r="N31" s="346" t="str">
        <f t="shared" si="14"/>
        <v/>
      </c>
      <c r="O31" s="501"/>
      <c r="P31" s="502"/>
      <c r="Q31" s="346" t="str">
        <f t="shared" si="13"/>
        <v/>
      </c>
      <c r="R31" s="501"/>
      <c r="S31" s="503"/>
      <c r="T31" s="502"/>
      <c r="U31" s="346" t="str">
        <f t="shared" si="2"/>
        <v/>
      </c>
      <c r="V31" s="347" t="str">
        <f t="shared" si="3"/>
        <v/>
      </c>
      <c r="W31" s="363">
        <f t="shared" si="4"/>
        <v>0</v>
      </c>
      <c r="X31" s="363">
        <f t="shared" si="5"/>
        <v>0</v>
      </c>
      <c r="Y31" s="363">
        <f t="shared" si="6"/>
        <v>0</v>
      </c>
      <c r="Z31" s="363">
        <f t="shared" si="7"/>
        <v>0</v>
      </c>
      <c r="AA31" s="363">
        <f t="shared" si="8"/>
        <v>0</v>
      </c>
      <c r="AB31" s="329"/>
      <c r="AC31" s="322" t="s">
        <v>421</v>
      </c>
      <c r="AD31" s="322" t="s">
        <v>4</v>
      </c>
      <c r="AE31" s="322" t="s">
        <v>387</v>
      </c>
      <c r="AF31" s="322" t="s">
        <v>422</v>
      </c>
      <c r="AG31" s="315"/>
      <c r="AH31" s="315"/>
      <c r="AI31" s="315"/>
      <c r="AJ31" s="315"/>
      <c r="AK31" s="315"/>
      <c r="AL31" s="316"/>
    </row>
    <row r="32" spans="2:38" x14ac:dyDescent="0.2">
      <c r="B32" s="366"/>
      <c r="C32" s="334"/>
      <c r="D32" s="335"/>
      <c r="E32" s="335"/>
      <c r="F32" s="335"/>
      <c r="G32" s="335"/>
      <c r="H32" s="335"/>
      <c r="I32" s="335"/>
      <c r="J32" s="309" t="str">
        <f ca="1">IFERROR(IF(TipoContagem=TipoContagemEstimada,
    IF('Enriquecimento - SOA com ETX'!$E32="","",VLOOKUP('Enriquecimento - SOA com ETX'!$E32,Complexidade_Estimada,2,FALSE)),
    IF('Enriquecimento - SOA com ETX'!$E32="","",INDEX(INDIRECT("Complexidade_"&amp;'Enriquecimento - SOA com ETX'!$E32),MATCH('Enriquecimento - SOA com ETX'!$F32,INDIRECT("Complexidade_"&amp;'Enriquecimento - SOA com ETX'!$E32&amp;"_Arq"),1),MATCH('Enriquecimento - SOA com ETX'!$G32,INDIRECT("Complexidade_"&amp;'Enriquecimento - SOA com ETX'!$E32&amp;"_Ite",1))))),"")</f>
        <v/>
      </c>
      <c r="K32" s="309">
        <f>IFERROR(IF('Enriquecimento - SOA com ETX'!$E32="",0,INDEX(Pesos_IFPUG,MATCH('Enriquecimento - SOA com ETX'!$E32,Pesos_IFPUG_Objetos,0),MATCH('Enriquecimento - SOA com ETX'!$J32,Pesos_IFPUG_Complexidade,0))),"")</f>
        <v>0</v>
      </c>
      <c r="L32" s="501"/>
      <c r="M32" s="502"/>
      <c r="N32" s="346" t="str">
        <f t="shared" si="14"/>
        <v/>
      </c>
      <c r="O32" s="501"/>
      <c r="P32" s="502"/>
      <c r="Q32" s="346" t="str">
        <f t="shared" si="13"/>
        <v/>
      </c>
      <c r="R32" s="501"/>
      <c r="S32" s="503"/>
      <c r="T32" s="502"/>
      <c r="U32" s="346" t="str">
        <f t="shared" si="2"/>
        <v/>
      </c>
      <c r="V32" s="347" t="str">
        <f t="shared" si="3"/>
        <v/>
      </c>
      <c r="W32" s="363">
        <f t="shared" si="4"/>
        <v>0</v>
      </c>
      <c r="X32" s="363">
        <f t="shared" si="5"/>
        <v>0</v>
      </c>
      <c r="Y32" s="363">
        <f t="shared" si="6"/>
        <v>0</v>
      </c>
      <c r="Z32" s="363">
        <f t="shared" si="7"/>
        <v>0</v>
      </c>
      <c r="AA32" s="363">
        <f t="shared" si="8"/>
        <v>0</v>
      </c>
      <c r="AB32" s="341" t="s">
        <v>434</v>
      </c>
      <c r="AC32" s="321" t="str">
        <f>AD32&amp;" - "&amp;AE32</f>
        <v>Simples - 1 a 19 campos</v>
      </c>
      <c r="AD32" s="321" t="s">
        <v>392</v>
      </c>
      <c r="AE32" s="321" t="s">
        <v>395</v>
      </c>
      <c r="AF32" s="28" t="s">
        <v>96</v>
      </c>
      <c r="AG32" s="315"/>
      <c r="AH32" s="315"/>
      <c r="AI32" s="315"/>
      <c r="AJ32" s="315"/>
      <c r="AK32" s="315"/>
      <c r="AL32" s="316"/>
    </row>
    <row r="33" spans="2:38" x14ac:dyDescent="0.2">
      <c r="B33" s="366"/>
      <c r="C33" s="334"/>
      <c r="D33" s="335"/>
      <c r="E33" s="335"/>
      <c r="F33" s="335"/>
      <c r="G33" s="335"/>
      <c r="H33" s="335"/>
      <c r="I33" s="335"/>
      <c r="J33" s="309" t="str">
        <f ca="1">IFERROR(IF(TipoContagem=TipoContagemEstimada,
    IF('Enriquecimento - SOA com ETX'!$E33="","",VLOOKUP('Enriquecimento - SOA com ETX'!$E33,Complexidade_Estimada,2,FALSE)),
    IF('Enriquecimento - SOA com ETX'!$E33="","",INDEX(INDIRECT("Complexidade_"&amp;'Enriquecimento - SOA com ETX'!$E33),MATCH('Enriquecimento - SOA com ETX'!$F33,INDIRECT("Complexidade_"&amp;'Enriquecimento - SOA com ETX'!$E33&amp;"_Arq"),1),MATCH('Enriquecimento - SOA com ETX'!$G33,INDIRECT("Complexidade_"&amp;'Enriquecimento - SOA com ETX'!$E33&amp;"_Ite",1))))),"")</f>
        <v/>
      </c>
      <c r="K33" s="309">
        <f>IFERROR(IF('Enriquecimento - SOA com ETX'!$E33="",0,INDEX(Pesos_IFPUG,MATCH('Enriquecimento - SOA com ETX'!$E33,Pesos_IFPUG_Objetos,0),MATCH('Enriquecimento - SOA com ETX'!$J33,Pesos_IFPUG_Complexidade,0))),"")</f>
        <v>0</v>
      </c>
      <c r="L33" s="501"/>
      <c r="M33" s="502"/>
      <c r="N33" s="346" t="str">
        <f t="shared" si="14"/>
        <v/>
      </c>
      <c r="O33" s="501"/>
      <c r="P33" s="502"/>
      <c r="Q33" s="346" t="str">
        <f t="shared" si="13"/>
        <v/>
      </c>
      <c r="R33" s="501"/>
      <c r="S33" s="503"/>
      <c r="T33" s="502"/>
      <c r="U33" s="346" t="str">
        <f t="shared" si="2"/>
        <v/>
      </c>
      <c r="V33" s="347" t="str">
        <f t="shared" si="3"/>
        <v/>
      </c>
      <c r="W33" s="363">
        <f t="shared" si="4"/>
        <v>0</v>
      </c>
      <c r="X33" s="363">
        <f t="shared" si="5"/>
        <v>0</v>
      </c>
      <c r="Y33" s="363">
        <f t="shared" si="6"/>
        <v>0</v>
      </c>
      <c r="Z33" s="363">
        <f t="shared" si="7"/>
        <v>0</v>
      </c>
      <c r="AA33" s="363">
        <f t="shared" si="8"/>
        <v>0</v>
      </c>
      <c r="AB33" s="329"/>
      <c r="AC33" s="321" t="str">
        <f>AD33&amp;" - "&amp;AE33</f>
        <v>Media - 20 a 49 campos</v>
      </c>
      <c r="AD33" s="321" t="s">
        <v>119</v>
      </c>
      <c r="AE33" s="321" t="s">
        <v>397</v>
      </c>
      <c r="AF33" s="28" t="s">
        <v>96</v>
      </c>
      <c r="AG33" s="315"/>
      <c r="AH33" s="315"/>
      <c r="AI33" s="315"/>
      <c r="AJ33" s="315"/>
      <c r="AK33" s="315"/>
      <c r="AL33" s="316"/>
    </row>
    <row r="34" spans="2:38" x14ac:dyDescent="0.2">
      <c r="B34" s="366"/>
      <c r="C34" s="334"/>
      <c r="D34" s="335"/>
      <c r="E34" s="335"/>
      <c r="F34" s="335"/>
      <c r="G34" s="335"/>
      <c r="H34" s="335"/>
      <c r="I34" s="335"/>
      <c r="J34" s="309" t="str">
        <f ca="1">IFERROR(IF(TipoContagem=TipoContagemEstimada,
    IF('Enriquecimento - SOA com ETX'!$E34="","",VLOOKUP('Enriquecimento - SOA com ETX'!$E34,Complexidade_Estimada,2,FALSE)),
    IF('Enriquecimento - SOA com ETX'!$E34="","",INDEX(INDIRECT("Complexidade_"&amp;'Enriquecimento - SOA com ETX'!$E34),MATCH('Enriquecimento - SOA com ETX'!$F34,INDIRECT("Complexidade_"&amp;'Enriquecimento - SOA com ETX'!$E34&amp;"_Arq"),1),MATCH('Enriquecimento - SOA com ETX'!$G34,INDIRECT("Complexidade_"&amp;'Enriquecimento - SOA com ETX'!$E34&amp;"_Ite",1))))),"")</f>
        <v/>
      </c>
      <c r="K34" s="309">
        <f>IFERROR(IF('Enriquecimento - SOA com ETX'!$E34="",0,INDEX(Pesos_IFPUG,MATCH('Enriquecimento - SOA com ETX'!$E34,Pesos_IFPUG_Objetos,0),MATCH('Enriquecimento - SOA com ETX'!$J34,Pesos_IFPUG_Complexidade,0))),"")</f>
        <v>0</v>
      </c>
      <c r="L34" s="501"/>
      <c r="M34" s="502"/>
      <c r="N34" s="346" t="str">
        <f t="shared" si="14"/>
        <v/>
      </c>
      <c r="O34" s="501"/>
      <c r="P34" s="502"/>
      <c r="Q34" s="346" t="str">
        <f t="shared" si="13"/>
        <v/>
      </c>
      <c r="R34" s="501"/>
      <c r="S34" s="503"/>
      <c r="T34" s="502"/>
      <c r="U34" s="346" t="str">
        <f t="shared" si="2"/>
        <v/>
      </c>
      <c r="V34" s="347" t="str">
        <f t="shared" si="3"/>
        <v/>
      </c>
      <c r="W34" s="363">
        <f t="shared" si="4"/>
        <v>0</v>
      </c>
      <c r="X34" s="363">
        <f t="shared" si="5"/>
        <v>0</v>
      </c>
      <c r="Y34" s="363">
        <f t="shared" si="6"/>
        <v>0</v>
      </c>
      <c r="Z34" s="363">
        <f t="shared" si="7"/>
        <v>0</v>
      </c>
      <c r="AA34" s="363">
        <f t="shared" si="8"/>
        <v>0</v>
      </c>
      <c r="AB34" s="341"/>
      <c r="AC34" s="321" t="str">
        <f>AD34&amp;" - "&amp;AE34</f>
        <v>Complexa - Acima de 50 campos</v>
      </c>
      <c r="AD34" s="321" t="s">
        <v>393</v>
      </c>
      <c r="AE34" s="321" t="s">
        <v>398</v>
      </c>
      <c r="AF34" s="28" t="s">
        <v>96</v>
      </c>
      <c r="AG34" s="315"/>
      <c r="AH34" s="315"/>
      <c r="AI34" s="315"/>
      <c r="AJ34" s="315"/>
      <c r="AK34" s="315"/>
      <c r="AL34" s="316"/>
    </row>
    <row r="35" spans="2:38" x14ac:dyDescent="0.2">
      <c r="B35" s="366"/>
      <c r="C35" s="334"/>
      <c r="D35" s="335"/>
      <c r="E35" s="335"/>
      <c r="F35" s="335"/>
      <c r="G35" s="335"/>
      <c r="H35" s="335"/>
      <c r="I35" s="335"/>
      <c r="J35" s="309" t="str">
        <f ca="1">IFERROR(IF(TipoContagem=TipoContagemEstimada,
    IF('Enriquecimento - SOA com ETX'!$E35="","",VLOOKUP('Enriquecimento - SOA com ETX'!$E35,Complexidade_Estimada,2,FALSE)),
    IF('Enriquecimento - SOA com ETX'!$E35="","",INDEX(INDIRECT("Complexidade_"&amp;'Enriquecimento - SOA com ETX'!$E35),MATCH('Enriquecimento - SOA com ETX'!$F35,INDIRECT("Complexidade_"&amp;'Enriquecimento - SOA com ETX'!$E35&amp;"_Arq"),1),MATCH('Enriquecimento - SOA com ETX'!$G35,INDIRECT("Complexidade_"&amp;'Enriquecimento - SOA com ETX'!$E35&amp;"_Ite",1))))),"")</f>
        <v/>
      </c>
      <c r="K35" s="309">
        <f>IFERROR(IF('Enriquecimento - SOA com ETX'!$E35="",0,INDEX(Pesos_IFPUG,MATCH('Enriquecimento - SOA com ETX'!$E35,Pesos_IFPUG_Objetos,0),MATCH('Enriquecimento - SOA com ETX'!$J35,Pesos_IFPUG_Complexidade,0))),"")</f>
        <v>0</v>
      </c>
      <c r="L35" s="501"/>
      <c r="M35" s="502"/>
      <c r="N35" s="346" t="str">
        <f t="shared" si="14"/>
        <v/>
      </c>
      <c r="O35" s="501"/>
      <c r="P35" s="502"/>
      <c r="Q35" s="346" t="str">
        <f t="shared" si="13"/>
        <v/>
      </c>
      <c r="R35" s="501"/>
      <c r="S35" s="503"/>
      <c r="T35" s="502"/>
      <c r="U35" s="346" t="str">
        <f t="shared" si="2"/>
        <v/>
      </c>
      <c r="V35" s="347" t="str">
        <f t="shared" si="3"/>
        <v/>
      </c>
      <c r="W35" s="363">
        <f t="shared" si="4"/>
        <v>0</v>
      </c>
      <c r="X35" s="363">
        <f t="shared" si="5"/>
        <v>0</v>
      </c>
      <c r="Y35" s="363">
        <f t="shared" si="6"/>
        <v>0</v>
      </c>
      <c r="Z35" s="363">
        <f t="shared" si="7"/>
        <v>0</v>
      </c>
      <c r="AA35" s="363">
        <f t="shared" si="8"/>
        <v>0</v>
      </c>
      <c r="AB35" s="329"/>
      <c r="AC35" s="315"/>
      <c r="AD35" s="315"/>
      <c r="AE35" s="315"/>
      <c r="AF35" s="315"/>
      <c r="AG35" s="315"/>
      <c r="AH35" s="315"/>
      <c r="AI35" s="315"/>
      <c r="AJ35" s="315"/>
      <c r="AK35" s="315"/>
      <c r="AL35" s="316"/>
    </row>
    <row r="36" spans="2:38" x14ac:dyDescent="0.2">
      <c r="B36" s="366"/>
      <c r="C36" s="334"/>
      <c r="D36" s="335"/>
      <c r="E36" s="335"/>
      <c r="F36" s="335"/>
      <c r="G36" s="335"/>
      <c r="H36" s="335"/>
      <c r="I36" s="335"/>
      <c r="J36" s="309" t="str">
        <f ca="1">IFERROR(IF(TipoContagem=TipoContagemEstimada,
    IF('Enriquecimento - SOA com ETX'!$E36="","",VLOOKUP('Enriquecimento - SOA com ETX'!$E36,Complexidade_Estimada,2,FALSE)),
    IF('Enriquecimento - SOA com ETX'!$E36="","",INDEX(INDIRECT("Complexidade_"&amp;'Enriquecimento - SOA com ETX'!$E36),MATCH('Enriquecimento - SOA com ETX'!$F36,INDIRECT("Complexidade_"&amp;'Enriquecimento - SOA com ETX'!$E36&amp;"_Arq"),1),MATCH('Enriquecimento - SOA com ETX'!$G36,INDIRECT("Complexidade_"&amp;'Enriquecimento - SOA com ETX'!$E36&amp;"_Ite",1))))),"")</f>
        <v/>
      </c>
      <c r="K36" s="309">
        <f>IFERROR(IF('Enriquecimento - SOA com ETX'!$E36="",0,INDEX(Pesos_IFPUG,MATCH('Enriquecimento - SOA com ETX'!$E36,Pesos_IFPUG_Objetos,0),MATCH('Enriquecimento - SOA com ETX'!$J36,Pesos_IFPUG_Complexidade,0))),"")</f>
        <v>0</v>
      </c>
      <c r="L36" s="501"/>
      <c r="M36" s="502"/>
      <c r="N36" s="346" t="str">
        <f t="shared" si="14"/>
        <v/>
      </c>
      <c r="O36" s="501"/>
      <c r="P36" s="502"/>
      <c r="Q36" s="346" t="str">
        <f t="shared" si="13"/>
        <v/>
      </c>
      <c r="R36" s="501"/>
      <c r="S36" s="503"/>
      <c r="T36" s="502"/>
      <c r="U36" s="346" t="str">
        <f t="shared" si="2"/>
        <v/>
      </c>
      <c r="V36" s="347" t="str">
        <f t="shared" si="3"/>
        <v/>
      </c>
      <c r="W36" s="363">
        <f t="shared" si="4"/>
        <v>0</v>
      </c>
      <c r="X36" s="363">
        <f t="shared" si="5"/>
        <v>0</v>
      </c>
      <c r="Y36" s="363">
        <f t="shared" si="6"/>
        <v>0</v>
      </c>
      <c r="Z36" s="363">
        <f t="shared" si="7"/>
        <v>0</v>
      </c>
      <c r="AA36" s="363">
        <f t="shared" si="8"/>
        <v>0</v>
      </c>
      <c r="AB36" s="341"/>
      <c r="AC36" s="322" t="s">
        <v>414</v>
      </c>
      <c r="AD36" s="322" t="s">
        <v>4</v>
      </c>
      <c r="AE36" s="322" t="s">
        <v>387</v>
      </c>
      <c r="AF36" s="322" t="s">
        <v>422</v>
      </c>
      <c r="AG36" s="315"/>
      <c r="AH36" s="315"/>
      <c r="AI36" s="315"/>
      <c r="AJ36" s="315"/>
      <c r="AK36" s="315"/>
      <c r="AL36" s="316"/>
    </row>
    <row r="37" spans="2:38" x14ac:dyDescent="0.2">
      <c r="B37" s="366"/>
      <c r="C37" s="334"/>
      <c r="D37" s="335"/>
      <c r="E37" s="335"/>
      <c r="F37" s="335"/>
      <c r="G37" s="335"/>
      <c r="H37" s="335"/>
      <c r="I37" s="335"/>
      <c r="J37" s="309" t="str">
        <f ca="1">IFERROR(IF(TipoContagem=TipoContagemEstimada,
    IF('Enriquecimento - SOA com ETX'!$E37="","",VLOOKUP('Enriquecimento - SOA com ETX'!$E37,Complexidade_Estimada,2,FALSE)),
    IF('Enriquecimento - SOA com ETX'!$E37="","",INDEX(INDIRECT("Complexidade_"&amp;'Enriquecimento - SOA com ETX'!$E37),MATCH('Enriquecimento - SOA com ETX'!$F37,INDIRECT("Complexidade_"&amp;'Enriquecimento - SOA com ETX'!$E37&amp;"_Arq"),1),MATCH('Enriquecimento - SOA com ETX'!$G37,INDIRECT("Complexidade_"&amp;'Enriquecimento - SOA com ETX'!$E37&amp;"_Ite",1))))),"")</f>
        <v/>
      </c>
      <c r="K37" s="309">
        <f>IFERROR(IF('Enriquecimento - SOA com ETX'!$E37="",0,INDEX(Pesos_IFPUG,MATCH('Enriquecimento - SOA com ETX'!$E37,Pesos_IFPUG_Objetos,0),MATCH('Enriquecimento - SOA com ETX'!$J37,Pesos_IFPUG_Complexidade,0))),"")</f>
        <v>0</v>
      </c>
      <c r="L37" s="501"/>
      <c r="M37" s="502"/>
      <c r="N37" s="346" t="str">
        <f t="shared" si="14"/>
        <v/>
      </c>
      <c r="O37" s="501"/>
      <c r="P37" s="502"/>
      <c r="Q37" s="346" t="str">
        <f t="shared" si="13"/>
        <v/>
      </c>
      <c r="R37" s="501"/>
      <c r="S37" s="503"/>
      <c r="T37" s="502"/>
      <c r="U37" s="346" t="str">
        <f t="shared" si="2"/>
        <v/>
      </c>
      <c r="V37" s="347" t="str">
        <f t="shared" si="3"/>
        <v/>
      </c>
      <c r="W37" s="363">
        <f t="shared" si="4"/>
        <v>0</v>
      </c>
      <c r="X37" s="363">
        <f t="shared" si="5"/>
        <v>0</v>
      </c>
      <c r="Y37" s="363">
        <f t="shared" si="6"/>
        <v>0</v>
      </c>
      <c r="Z37" s="363">
        <f t="shared" si="7"/>
        <v>0</v>
      </c>
      <c r="AA37" s="363">
        <f t="shared" si="8"/>
        <v>0</v>
      </c>
      <c r="AB37" s="329"/>
      <c r="AC37" s="315" t="str">
        <f>AD37&amp;" - "&amp;AE37&amp;" - "&amp;AF37</f>
        <v>Simples(-) - 1 a 15 campos - 1 a 5 campos</v>
      </c>
      <c r="AD37" s="315" t="s">
        <v>435</v>
      </c>
      <c r="AE37" s="321" t="s">
        <v>394</v>
      </c>
      <c r="AF37" s="315" t="s">
        <v>402</v>
      </c>
      <c r="AG37" s="315"/>
      <c r="AH37" s="315"/>
      <c r="AI37" s="315"/>
      <c r="AJ37" s="315"/>
      <c r="AK37" s="315"/>
      <c r="AL37" s="316"/>
    </row>
    <row r="38" spans="2:38" x14ac:dyDescent="0.2">
      <c r="B38" s="366"/>
      <c r="C38" s="334"/>
      <c r="D38" s="335"/>
      <c r="E38" s="335"/>
      <c r="F38" s="335"/>
      <c r="G38" s="335"/>
      <c r="H38" s="335"/>
      <c r="I38" s="335"/>
      <c r="J38" s="309" t="str">
        <f ca="1">IFERROR(IF(TipoContagem=TipoContagemEstimada,
    IF('Enriquecimento - SOA com ETX'!$E38="","",VLOOKUP('Enriquecimento - SOA com ETX'!$E38,Complexidade_Estimada,2,FALSE)),
    IF('Enriquecimento - SOA com ETX'!$E38="","",INDEX(INDIRECT("Complexidade_"&amp;'Enriquecimento - SOA com ETX'!$E38),MATCH('Enriquecimento - SOA com ETX'!$F38,INDIRECT("Complexidade_"&amp;'Enriquecimento - SOA com ETX'!$E38&amp;"_Arq"),1),MATCH('Enriquecimento - SOA com ETX'!$G38,INDIRECT("Complexidade_"&amp;'Enriquecimento - SOA com ETX'!$E38&amp;"_Ite",1))))),"")</f>
        <v/>
      </c>
      <c r="K38" s="309">
        <f>IFERROR(IF('Enriquecimento - SOA com ETX'!$E38="",0,INDEX(Pesos_IFPUG,MATCH('Enriquecimento - SOA com ETX'!$E38,Pesos_IFPUG_Objetos,0),MATCH('Enriquecimento - SOA com ETX'!$J38,Pesos_IFPUG_Complexidade,0))),"")</f>
        <v>0</v>
      </c>
      <c r="L38" s="501"/>
      <c r="M38" s="502"/>
      <c r="N38" s="346" t="str">
        <f t="shared" si="14"/>
        <v/>
      </c>
      <c r="O38" s="501"/>
      <c r="P38" s="502"/>
      <c r="Q38" s="346" t="str">
        <f t="shared" si="13"/>
        <v/>
      </c>
      <c r="R38" s="501"/>
      <c r="S38" s="503"/>
      <c r="T38" s="502"/>
      <c r="U38" s="346" t="str">
        <f t="shared" si="2"/>
        <v/>
      </c>
      <c r="V38" s="347" t="str">
        <f t="shared" si="3"/>
        <v/>
      </c>
      <c r="W38" s="363">
        <f t="shared" si="4"/>
        <v>0</v>
      </c>
      <c r="X38" s="363">
        <f t="shared" si="5"/>
        <v>0</v>
      </c>
      <c r="Y38" s="363">
        <f t="shared" si="6"/>
        <v>0</v>
      </c>
      <c r="Z38" s="363">
        <f t="shared" si="7"/>
        <v>0</v>
      </c>
      <c r="AA38" s="363">
        <f t="shared" si="8"/>
        <v>0</v>
      </c>
      <c r="AB38" s="341"/>
      <c r="AC38" s="315" t="str">
        <f t="shared" ref="AC38:AC45" si="15">AD38&amp;" - "&amp;AE38&amp;" - "&amp;AF38</f>
        <v>Simples - 1 a 15 campos - 6 a 10 campos</v>
      </c>
      <c r="AD38" s="315" t="s">
        <v>392</v>
      </c>
      <c r="AE38" s="321" t="s">
        <v>394</v>
      </c>
      <c r="AF38" s="315" t="s">
        <v>407</v>
      </c>
      <c r="AG38" s="315"/>
      <c r="AH38" s="315"/>
      <c r="AI38" s="315"/>
      <c r="AJ38" s="315"/>
      <c r="AK38" s="315"/>
      <c r="AL38" s="316"/>
    </row>
    <row r="39" spans="2:38" x14ac:dyDescent="0.2">
      <c r="B39" s="366"/>
      <c r="C39" s="334"/>
      <c r="D39" s="335"/>
      <c r="E39" s="335"/>
      <c r="F39" s="335"/>
      <c r="G39" s="335"/>
      <c r="H39" s="335"/>
      <c r="I39" s="335"/>
      <c r="J39" s="309" t="str">
        <f ca="1">IFERROR(IF(TipoContagem=TipoContagemEstimada,
    IF('Enriquecimento - SOA com ETX'!$E39="","",VLOOKUP('Enriquecimento - SOA com ETX'!$E39,Complexidade_Estimada,2,FALSE)),
    IF('Enriquecimento - SOA com ETX'!$E39="","",INDEX(INDIRECT("Complexidade_"&amp;'Enriquecimento - SOA com ETX'!$E39),MATCH('Enriquecimento - SOA com ETX'!$F39,INDIRECT("Complexidade_"&amp;'Enriquecimento - SOA com ETX'!$E39&amp;"_Arq"),1),MATCH('Enriquecimento - SOA com ETX'!$G39,INDIRECT("Complexidade_"&amp;'Enriquecimento - SOA com ETX'!$E39&amp;"_Ite",1))))),"")</f>
        <v/>
      </c>
      <c r="K39" s="309">
        <f>IFERROR(IF('Enriquecimento - SOA com ETX'!$E39="",0,INDEX(Pesos_IFPUG,MATCH('Enriquecimento - SOA com ETX'!$E39,Pesos_IFPUG_Objetos,0),MATCH('Enriquecimento - SOA com ETX'!$J39,Pesos_IFPUG_Complexidade,0))),"")</f>
        <v>0</v>
      </c>
      <c r="L39" s="501"/>
      <c r="M39" s="502"/>
      <c r="N39" s="346" t="str">
        <f t="shared" si="14"/>
        <v/>
      </c>
      <c r="O39" s="501"/>
      <c r="P39" s="502"/>
      <c r="Q39" s="346" t="str">
        <f t="shared" ref="Q39:Q50" si="16">IF(O39="","",$AC$15&amp;O39)</f>
        <v/>
      </c>
      <c r="R39" s="501"/>
      <c r="S39" s="503"/>
      <c r="T39" s="502"/>
      <c r="U39" s="346" t="str">
        <f t="shared" si="2"/>
        <v/>
      </c>
      <c r="V39" s="347" t="str">
        <f t="shared" si="3"/>
        <v/>
      </c>
      <c r="W39" s="363">
        <f t="shared" si="4"/>
        <v>0</v>
      </c>
      <c r="X39" s="363">
        <f t="shared" si="5"/>
        <v>0</v>
      </c>
      <c r="Y39" s="363">
        <f t="shared" si="6"/>
        <v>0</v>
      </c>
      <c r="Z39" s="363">
        <f t="shared" si="7"/>
        <v>0</v>
      </c>
      <c r="AA39" s="363">
        <f t="shared" si="8"/>
        <v>0</v>
      </c>
      <c r="AB39" s="329"/>
      <c r="AC39" s="315" t="str">
        <f t="shared" si="15"/>
        <v>Simples(+) - 1 a 15 campos - 11 a 19 campos</v>
      </c>
      <c r="AD39" s="321" t="s">
        <v>436</v>
      </c>
      <c r="AE39" s="321" t="s">
        <v>394</v>
      </c>
      <c r="AF39" s="321" t="s">
        <v>403</v>
      </c>
      <c r="AG39" s="315"/>
      <c r="AH39" s="315"/>
      <c r="AI39" s="315"/>
      <c r="AJ39" s="315"/>
      <c r="AK39" s="315"/>
      <c r="AL39" s="316"/>
    </row>
    <row r="40" spans="2:38" x14ac:dyDescent="0.2">
      <c r="B40" s="366"/>
      <c r="C40" s="334"/>
      <c r="D40" s="335"/>
      <c r="E40" s="335"/>
      <c r="F40" s="335"/>
      <c r="G40" s="335"/>
      <c r="H40" s="335"/>
      <c r="I40" s="335"/>
      <c r="J40" s="309" t="str">
        <f ca="1">IFERROR(IF(TipoContagem=TipoContagemEstimada,
    IF('Enriquecimento - SOA com ETX'!$E40="","",VLOOKUP('Enriquecimento - SOA com ETX'!$E40,Complexidade_Estimada,2,FALSE)),
    IF('Enriquecimento - SOA com ETX'!$E40="","",INDEX(INDIRECT("Complexidade_"&amp;'Enriquecimento - SOA com ETX'!$E40),MATCH('Enriquecimento - SOA com ETX'!$F40,INDIRECT("Complexidade_"&amp;'Enriquecimento - SOA com ETX'!$E40&amp;"_Arq"),1),MATCH('Enriquecimento - SOA com ETX'!$G40,INDIRECT("Complexidade_"&amp;'Enriquecimento - SOA com ETX'!$E40&amp;"_Ite",1))))),"")</f>
        <v/>
      </c>
      <c r="K40" s="309">
        <f>IFERROR(IF('Enriquecimento - SOA com ETX'!$E40="",0,INDEX(Pesos_IFPUG,MATCH('Enriquecimento - SOA com ETX'!$E40,Pesos_IFPUG_Objetos,0),MATCH('Enriquecimento - SOA com ETX'!$J40,Pesos_IFPUG_Complexidade,0))),"")</f>
        <v>0</v>
      </c>
      <c r="L40" s="501"/>
      <c r="M40" s="502"/>
      <c r="N40" s="346" t="str">
        <f t="shared" si="14"/>
        <v/>
      </c>
      <c r="O40" s="501"/>
      <c r="P40" s="502"/>
      <c r="Q40" s="346" t="str">
        <f t="shared" si="16"/>
        <v/>
      </c>
      <c r="R40" s="501"/>
      <c r="S40" s="503"/>
      <c r="T40" s="502"/>
      <c r="U40" s="346" t="str">
        <f t="shared" si="2"/>
        <v/>
      </c>
      <c r="V40" s="347" t="str">
        <f t="shared" si="3"/>
        <v/>
      </c>
      <c r="W40" s="363">
        <f t="shared" si="4"/>
        <v>0</v>
      </c>
      <c r="X40" s="363">
        <f t="shared" si="5"/>
        <v>0</v>
      </c>
      <c r="Y40" s="363">
        <f t="shared" si="6"/>
        <v>0</v>
      </c>
      <c r="Z40" s="363">
        <f t="shared" si="7"/>
        <v>0</v>
      </c>
      <c r="AA40" s="363">
        <f t="shared" si="8"/>
        <v>0</v>
      </c>
      <c r="AB40" s="341"/>
      <c r="AC40" s="315" t="str">
        <f t="shared" si="15"/>
        <v>Media(-) - 16 a 49 campos - 1 a 10 campos</v>
      </c>
      <c r="AD40" s="321" t="s">
        <v>437</v>
      </c>
      <c r="AE40" s="362" t="s">
        <v>396</v>
      </c>
      <c r="AF40" s="321" t="s">
        <v>400</v>
      </c>
      <c r="AG40" s="315"/>
      <c r="AH40" s="315"/>
      <c r="AI40" s="315"/>
      <c r="AJ40" s="315"/>
      <c r="AK40" s="315"/>
      <c r="AL40" s="316"/>
    </row>
    <row r="41" spans="2:38" x14ac:dyDescent="0.2">
      <c r="B41" s="366"/>
      <c r="C41" s="334"/>
      <c r="D41" s="335"/>
      <c r="E41" s="335"/>
      <c r="F41" s="335"/>
      <c r="G41" s="335"/>
      <c r="H41" s="335"/>
      <c r="I41" s="335"/>
      <c r="J41" s="309" t="str">
        <f ca="1">IFERROR(IF(TipoContagem=TipoContagemEstimada,
    IF('Enriquecimento - SOA com ETX'!$E41="","",VLOOKUP('Enriquecimento - SOA com ETX'!$E41,Complexidade_Estimada,2,FALSE)),
    IF('Enriquecimento - SOA com ETX'!$E41="","",INDEX(INDIRECT("Complexidade_"&amp;'Enriquecimento - SOA com ETX'!$E41),MATCH('Enriquecimento - SOA com ETX'!$F41,INDIRECT("Complexidade_"&amp;'Enriquecimento - SOA com ETX'!$E41&amp;"_Arq"),1),MATCH('Enriquecimento - SOA com ETX'!$G41,INDIRECT("Complexidade_"&amp;'Enriquecimento - SOA com ETX'!$E41&amp;"_Ite",1))))),"")</f>
        <v/>
      </c>
      <c r="K41" s="309">
        <f>IFERROR(IF('Enriquecimento - SOA com ETX'!$E41="",0,INDEX(Pesos_IFPUG,MATCH('Enriquecimento - SOA com ETX'!$E41,Pesos_IFPUG_Objetos,0),MATCH('Enriquecimento - SOA com ETX'!$J41,Pesos_IFPUG_Complexidade,0))),"")</f>
        <v>0</v>
      </c>
      <c r="L41" s="501"/>
      <c r="M41" s="502"/>
      <c r="N41" s="346" t="str">
        <f t="shared" ref="N41:N50" si="17">IF(L41="","",$AC$12&amp;L41)</f>
        <v/>
      </c>
      <c r="O41" s="501"/>
      <c r="P41" s="502"/>
      <c r="Q41" s="346" t="str">
        <f t="shared" si="16"/>
        <v/>
      </c>
      <c r="R41" s="501"/>
      <c r="S41" s="503"/>
      <c r="T41" s="502"/>
      <c r="U41" s="346" t="str">
        <f t="shared" si="2"/>
        <v/>
      </c>
      <c r="V41" s="347" t="str">
        <f t="shared" si="3"/>
        <v/>
      </c>
      <c r="W41" s="363">
        <f t="shared" si="4"/>
        <v>0</v>
      </c>
      <c r="X41" s="363">
        <f t="shared" si="5"/>
        <v>0</v>
      </c>
      <c r="Y41" s="363">
        <f t="shared" si="6"/>
        <v>0</v>
      </c>
      <c r="Z41" s="363">
        <f t="shared" si="7"/>
        <v>0</v>
      </c>
      <c r="AA41" s="363">
        <f t="shared" si="8"/>
        <v>0</v>
      </c>
      <c r="AB41" s="329"/>
      <c r="AC41" s="315" t="str">
        <f t="shared" si="15"/>
        <v>Media - 16 a 49 campos - 11 a 30 campos</v>
      </c>
      <c r="AD41" s="321" t="s">
        <v>119</v>
      </c>
      <c r="AE41" s="321" t="s">
        <v>396</v>
      </c>
      <c r="AF41" s="321" t="s">
        <v>404</v>
      </c>
      <c r="AG41" s="315"/>
      <c r="AH41" s="315"/>
      <c r="AI41" s="315"/>
      <c r="AJ41" s="315"/>
      <c r="AK41" s="315"/>
      <c r="AL41" s="316"/>
    </row>
    <row r="42" spans="2:38" x14ac:dyDescent="0.2">
      <c r="B42" s="366"/>
      <c r="C42" s="334"/>
      <c r="D42" s="335"/>
      <c r="E42" s="335"/>
      <c r="F42" s="335"/>
      <c r="G42" s="335"/>
      <c r="H42" s="335"/>
      <c r="I42" s="335"/>
      <c r="J42" s="309" t="str">
        <f ca="1">IFERROR(IF(TipoContagem=TipoContagemEstimada,
    IF('Enriquecimento - SOA com ETX'!$E42="","",VLOOKUP('Enriquecimento - SOA com ETX'!$E42,Complexidade_Estimada,2,FALSE)),
    IF('Enriquecimento - SOA com ETX'!$E42="","",INDEX(INDIRECT("Complexidade_"&amp;'Enriquecimento - SOA com ETX'!$E42),MATCH('Enriquecimento - SOA com ETX'!$F42,INDIRECT("Complexidade_"&amp;'Enriquecimento - SOA com ETX'!$E42&amp;"_Arq"),1),MATCH('Enriquecimento - SOA com ETX'!$G42,INDIRECT("Complexidade_"&amp;'Enriquecimento - SOA com ETX'!$E42&amp;"_Ite",1))))),"")</f>
        <v/>
      </c>
      <c r="K42" s="309">
        <f>IFERROR(IF('Enriquecimento - SOA com ETX'!$E42="",0,INDEX(Pesos_IFPUG,MATCH('Enriquecimento - SOA com ETX'!$E42,Pesos_IFPUG_Objetos,0),MATCH('Enriquecimento - SOA com ETX'!$J42,Pesos_IFPUG_Complexidade,0))),"")</f>
        <v>0</v>
      </c>
      <c r="L42" s="501"/>
      <c r="M42" s="502"/>
      <c r="N42" s="346" t="str">
        <f t="shared" si="17"/>
        <v/>
      </c>
      <c r="O42" s="501"/>
      <c r="P42" s="502"/>
      <c r="Q42" s="346" t="str">
        <f t="shared" si="16"/>
        <v/>
      </c>
      <c r="R42" s="501"/>
      <c r="S42" s="503"/>
      <c r="T42" s="502"/>
      <c r="U42" s="346" t="str">
        <f t="shared" si="2"/>
        <v/>
      </c>
      <c r="V42" s="347" t="str">
        <f t="shared" si="3"/>
        <v/>
      </c>
      <c r="W42" s="363">
        <f t="shared" si="4"/>
        <v>0</v>
      </c>
      <c r="X42" s="363">
        <f t="shared" si="5"/>
        <v>0</v>
      </c>
      <c r="Y42" s="363">
        <f t="shared" si="6"/>
        <v>0</v>
      </c>
      <c r="Z42" s="363">
        <f t="shared" si="7"/>
        <v>0</v>
      </c>
      <c r="AA42" s="363">
        <f t="shared" si="8"/>
        <v>0</v>
      </c>
      <c r="AB42" s="341"/>
      <c r="AC42" s="315" t="str">
        <f t="shared" si="15"/>
        <v>Media(+) - 16 a 49 campos - 31 a 49 campos</v>
      </c>
      <c r="AD42" s="321" t="s">
        <v>438</v>
      </c>
      <c r="AE42" s="321" t="s">
        <v>396</v>
      </c>
      <c r="AF42" s="321" t="s">
        <v>405</v>
      </c>
      <c r="AG42" s="315"/>
      <c r="AH42" s="315"/>
      <c r="AI42" s="315"/>
      <c r="AJ42" s="315"/>
      <c r="AK42" s="315"/>
      <c r="AL42" s="316"/>
    </row>
    <row r="43" spans="2:38" x14ac:dyDescent="0.2">
      <c r="B43" s="366"/>
      <c r="C43" s="334"/>
      <c r="D43" s="335"/>
      <c r="E43" s="335"/>
      <c r="F43" s="335"/>
      <c r="G43" s="335"/>
      <c r="H43" s="335"/>
      <c r="I43" s="335"/>
      <c r="J43" s="309" t="str">
        <f ca="1">IFERROR(IF(TipoContagem=TipoContagemEstimada,
    IF('Enriquecimento - SOA com ETX'!$E43="","",VLOOKUP('Enriquecimento - SOA com ETX'!$E43,Complexidade_Estimada,2,FALSE)),
    IF('Enriquecimento - SOA com ETX'!$E43="","",INDEX(INDIRECT("Complexidade_"&amp;'Enriquecimento - SOA com ETX'!$E43),MATCH('Enriquecimento - SOA com ETX'!$F43,INDIRECT("Complexidade_"&amp;'Enriquecimento - SOA com ETX'!$E43&amp;"_Arq"),1),MATCH('Enriquecimento - SOA com ETX'!$G43,INDIRECT("Complexidade_"&amp;'Enriquecimento - SOA com ETX'!$E43&amp;"_Ite",1))))),"")</f>
        <v/>
      </c>
      <c r="K43" s="309">
        <f>IFERROR(IF('Enriquecimento - SOA com ETX'!$E43="",0,INDEX(Pesos_IFPUG,MATCH('Enriquecimento - SOA com ETX'!$E43,Pesos_IFPUG_Objetos,0),MATCH('Enriquecimento - SOA com ETX'!$J43,Pesos_IFPUG_Complexidade,0))),"")</f>
        <v>0</v>
      </c>
      <c r="L43" s="501"/>
      <c r="M43" s="502"/>
      <c r="N43" s="346" t="str">
        <f t="shared" si="17"/>
        <v/>
      </c>
      <c r="O43" s="501"/>
      <c r="P43" s="502"/>
      <c r="Q43" s="346" t="str">
        <f t="shared" si="16"/>
        <v/>
      </c>
      <c r="R43" s="501"/>
      <c r="S43" s="503"/>
      <c r="T43" s="502"/>
      <c r="U43" s="346" t="str">
        <f t="shared" si="2"/>
        <v/>
      </c>
      <c r="V43" s="347" t="str">
        <f t="shared" si="3"/>
        <v/>
      </c>
      <c r="W43" s="363">
        <f t="shared" si="4"/>
        <v>0</v>
      </c>
      <c r="X43" s="363">
        <f t="shared" si="5"/>
        <v>0</v>
      </c>
      <c r="Y43" s="363">
        <f t="shared" si="6"/>
        <v>0</v>
      </c>
      <c r="Z43" s="363">
        <f t="shared" si="7"/>
        <v>0</v>
      </c>
      <c r="AA43" s="363">
        <f t="shared" si="8"/>
        <v>0</v>
      </c>
      <c r="AB43" s="329"/>
      <c r="AC43" s="315" t="str">
        <f t="shared" si="15"/>
        <v>Complexa(-) - Acima de 50 campos - 1 a 30 campos</v>
      </c>
      <c r="AD43" s="321" t="s">
        <v>439</v>
      </c>
      <c r="AE43" s="362" t="s">
        <v>398</v>
      </c>
      <c r="AF43" s="321" t="s">
        <v>401</v>
      </c>
      <c r="AG43" s="315"/>
      <c r="AH43" s="315"/>
      <c r="AI43" s="315"/>
      <c r="AJ43" s="315"/>
      <c r="AK43" s="315"/>
      <c r="AL43" s="316"/>
    </row>
    <row r="44" spans="2:38" x14ac:dyDescent="0.2">
      <c r="B44" s="366"/>
      <c r="C44" s="334"/>
      <c r="D44" s="335"/>
      <c r="E44" s="335"/>
      <c r="F44" s="335"/>
      <c r="G44" s="335"/>
      <c r="H44" s="335"/>
      <c r="I44" s="335"/>
      <c r="J44" s="309" t="str">
        <f ca="1">IFERROR(IF(TipoContagem=TipoContagemEstimada,
    IF('Enriquecimento - SOA com ETX'!$E44="","",VLOOKUP('Enriquecimento - SOA com ETX'!$E44,Complexidade_Estimada,2,FALSE)),
    IF('Enriquecimento - SOA com ETX'!$E44="","",INDEX(INDIRECT("Complexidade_"&amp;'Enriquecimento - SOA com ETX'!$E44),MATCH('Enriquecimento - SOA com ETX'!$F44,INDIRECT("Complexidade_"&amp;'Enriquecimento - SOA com ETX'!$E44&amp;"_Arq"),1),MATCH('Enriquecimento - SOA com ETX'!$G44,INDIRECT("Complexidade_"&amp;'Enriquecimento - SOA com ETX'!$E44&amp;"_Ite",1))))),"")</f>
        <v/>
      </c>
      <c r="K44" s="309">
        <f>IFERROR(IF('Enriquecimento - SOA com ETX'!$E44="",0,INDEX(Pesos_IFPUG,MATCH('Enriquecimento - SOA com ETX'!$E44,Pesos_IFPUG_Objetos,0),MATCH('Enriquecimento - SOA com ETX'!$J44,Pesos_IFPUG_Complexidade,0))),"")</f>
        <v>0</v>
      </c>
      <c r="L44" s="501"/>
      <c r="M44" s="502"/>
      <c r="N44" s="346" t="str">
        <f t="shared" si="17"/>
        <v/>
      </c>
      <c r="O44" s="501"/>
      <c r="P44" s="502"/>
      <c r="Q44" s="346" t="str">
        <f t="shared" si="16"/>
        <v/>
      </c>
      <c r="R44" s="501"/>
      <c r="S44" s="503"/>
      <c r="T44" s="502"/>
      <c r="U44" s="346" t="str">
        <f t="shared" si="2"/>
        <v/>
      </c>
      <c r="V44" s="347" t="str">
        <f t="shared" si="3"/>
        <v/>
      </c>
      <c r="W44" s="363">
        <f t="shared" si="4"/>
        <v>0</v>
      </c>
      <c r="X44" s="363">
        <f t="shared" si="5"/>
        <v>0</v>
      </c>
      <c r="Y44" s="363">
        <f t="shared" si="6"/>
        <v>0</v>
      </c>
      <c r="Z44" s="363">
        <f t="shared" si="7"/>
        <v>0</v>
      </c>
      <c r="AA44" s="363">
        <f t="shared" si="8"/>
        <v>0</v>
      </c>
      <c r="AB44" s="341"/>
      <c r="AC44" s="315" t="str">
        <f t="shared" si="15"/>
        <v>Complexa - Acima de 50 campos - 31 a 50 campos</v>
      </c>
      <c r="AD44" s="321" t="s">
        <v>393</v>
      </c>
      <c r="AE44" s="321" t="s">
        <v>398</v>
      </c>
      <c r="AF44" s="321" t="s">
        <v>406</v>
      </c>
      <c r="AG44" s="315"/>
      <c r="AH44" s="315"/>
      <c r="AI44" s="315"/>
      <c r="AJ44" s="315"/>
      <c r="AK44" s="315"/>
      <c r="AL44" s="316"/>
    </row>
    <row r="45" spans="2:38" x14ac:dyDescent="0.2">
      <c r="B45" s="366"/>
      <c r="C45" s="334"/>
      <c r="D45" s="335"/>
      <c r="E45" s="335"/>
      <c r="F45" s="335"/>
      <c r="G45" s="335"/>
      <c r="H45" s="335"/>
      <c r="I45" s="335"/>
      <c r="J45" s="309" t="str">
        <f ca="1">IFERROR(IF(TipoContagem=TipoContagemEstimada,
    IF('Enriquecimento - SOA com ETX'!$E45="","",VLOOKUP('Enriquecimento - SOA com ETX'!$E45,Complexidade_Estimada,2,FALSE)),
    IF('Enriquecimento - SOA com ETX'!$E45="","",INDEX(INDIRECT("Complexidade_"&amp;'Enriquecimento - SOA com ETX'!$E45),MATCH('Enriquecimento - SOA com ETX'!$F45,INDIRECT("Complexidade_"&amp;'Enriquecimento - SOA com ETX'!$E45&amp;"_Arq"),1),MATCH('Enriquecimento - SOA com ETX'!$G45,INDIRECT("Complexidade_"&amp;'Enriquecimento - SOA com ETX'!$E45&amp;"_Ite",1))))),"")</f>
        <v/>
      </c>
      <c r="K45" s="309">
        <f>IFERROR(IF('Enriquecimento - SOA com ETX'!$E45="",0,INDEX(Pesos_IFPUG,MATCH('Enriquecimento - SOA com ETX'!$E45,Pesos_IFPUG_Objetos,0),MATCH('Enriquecimento - SOA com ETX'!$J45,Pesos_IFPUG_Complexidade,0))),"")</f>
        <v>0</v>
      </c>
      <c r="L45" s="501"/>
      <c r="M45" s="502"/>
      <c r="N45" s="346" t="str">
        <f t="shared" si="17"/>
        <v/>
      </c>
      <c r="O45" s="501"/>
      <c r="P45" s="502"/>
      <c r="Q45" s="346" t="str">
        <f t="shared" si="16"/>
        <v/>
      </c>
      <c r="R45" s="501"/>
      <c r="S45" s="503"/>
      <c r="T45" s="502"/>
      <c r="U45" s="346" t="str">
        <f t="shared" si="2"/>
        <v/>
      </c>
      <c r="V45" s="347" t="str">
        <f t="shared" si="3"/>
        <v/>
      </c>
      <c r="W45" s="363">
        <f t="shared" si="4"/>
        <v>0</v>
      </c>
      <c r="X45" s="363">
        <f t="shared" si="5"/>
        <v>0</v>
      </c>
      <c r="Y45" s="363">
        <f t="shared" si="6"/>
        <v>0</v>
      </c>
      <c r="Z45" s="363">
        <f t="shared" si="7"/>
        <v>0</v>
      </c>
      <c r="AA45" s="363">
        <f t="shared" si="8"/>
        <v>0</v>
      </c>
      <c r="AB45" s="329"/>
      <c r="AC45" s="315" t="str">
        <f t="shared" si="15"/>
        <v>Complexa(+) - Acima de 50 campos - Acima de 50</v>
      </c>
      <c r="AD45" s="321" t="s">
        <v>440</v>
      </c>
      <c r="AE45" s="321" t="s">
        <v>398</v>
      </c>
      <c r="AF45" s="321" t="s">
        <v>408</v>
      </c>
      <c r="AG45" s="315"/>
      <c r="AH45" s="315"/>
      <c r="AI45" s="315"/>
      <c r="AJ45" s="315"/>
      <c r="AK45" s="315"/>
      <c r="AL45" s="316"/>
    </row>
    <row r="46" spans="2:38" x14ac:dyDescent="0.2">
      <c r="B46" s="366"/>
      <c r="C46" s="334"/>
      <c r="D46" s="335"/>
      <c r="E46" s="335"/>
      <c r="F46" s="335"/>
      <c r="G46" s="335"/>
      <c r="H46" s="335"/>
      <c r="I46" s="335"/>
      <c r="J46" s="309" t="str">
        <f ca="1">IFERROR(IF(TipoContagem=TipoContagemEstimada,
    IF('Enriquecimento - SOA com ETX'!$E46="","",VLOOKUP('Enriquecimento - SOA com ETX'!$E46,Complexidade_Estimada,2,FALSE)),
    IF('Enriquecimento - SOA com ETX'!$E46="","",INDEX(INDIRECT("Complexidade_"&amp;'Enriquecimento - SOA com ETX'!$E46),MATCH('Enriquecimento - SOA com ETX'!$F46,INDIRECT("Complexidade_"&amp;'Enriquecimento - SOA com ETX'!$E46&amp;"_Arq"),1),MATCH('Enriquecimento - SOA com ETX'!$G46,INDIRECT("Complexidade_"&amp;'Enriquecimento - SOA com ETX'!$E46&amp;"_Ite",1))))),"")</f>
        <v/>
      </c>
      <c r="K46" s="309">
        <f>IFERROR(IF('Enriquecimento - SOA com ETX'!$E46="",0,INDEX(Pesos_IFPUG,MATCH('Enriquecimento - SOA com ETX'!$E46,Pesos_IFPUG_Objetos,0),MATCH('Enriquecimento - SOA com ETX'!$J46,Pesos_IFPUG_Complexidade,0))),"")</f>
        <v>0</v>
      </c>
      <c r="L46" s="501"/>
      <c r="M46" s="502"/>
      <c r="N46" s="346" t="str">
        <f t="shared" si="17"/>
        <v/>
      </c>
      <c r="O46" s="501"/>
      <c r="P46" s="502"/>
      <c r="Q46" s="346" t="str">
        <f t="shared" si="16"/>
        <v/>
      </c>
      <c r="R46" s="501"/>
      <c r="S46" s="503"/>
      <c r="T46" s="502"/>
      <c r="U46" s="346" t="str">
        <f t="shared" si="2"/>
        <v/>
      </c>
      <c r="V46" s="347" t="str">
        <f t="shared" si="3"/>
        <v/>
      </c>
      <c r="W46" s="363">
        <f t="shared" si="4"/>
        <v>0</v>
      </c>
      <c r="X46" s="363">
        <f t="shared" si="5"/>
        <v>0</v>
      </c>
      <c r="Y46" s="363">
        <f t="shared" si="6"/>
        <v>0</v>
      </c>
      <c r="Z46" s="363">
        <f t="shared" si="7"/>
        <v>0</v>
      </c>
      <c r="AA46" s="363">
        <f t="shared" si="8"/>
        <v>0</v>
      </c>
      <c r="AB46" s="341"/>
      <c r="AC46" s="315"/>
      <c r="AD46" s="321"/>
      <c r="AE46" s="321"/>
      <c r="AF46" s="321"/>
      <c r="AG46" s="315"/>
      <c r="AH46" s="315"/>
      <c r="AI46" s="315"/>
      <c r="AJ46" s="315"/>
      <c r="AK46" s="315"/>
      <c r="AL46" s="316"/>
    </row>
    <row r="47" spans="2:38" x14ac:dyDescent="0.2">
      <c r="B47" s="366"/>
      <c r="C47" s="334"/>
      <c r="D47" s="335"/>
      <c r="E47" s="335"/>
      <c r="F47" s="335"/>
      <c r="G47" s="335"/>
      <c r="H47" s="335"/>
      <c r="I47" s="335"/>
      <c r="J47" s="309" t="str">
        <f ca="1">IFERROR(IF(TipoContagem=TipoContagemEstimada,
    IF('Enriquecimento - SOA com ETX'!$E47="","",VLOOKUP('Enriquecimento - SOA com ETX'!$E47,Complexidade_Estimada,2,FALSE)),
    IF('Enriquecimento - SOA com ETX'!$E47="","",INDEX(INDIRECT("Complexidade_"&amp;'Enriquecimento - SOA com ETX'!$E47),MATCH('Enriquecimento - SOA com ETX'!$F47,INDIRECT("Complexidade_"&amp;'Enriquecimento - SOA com ETX'!$E47&amp;"_Arq"),1),MATCH('Enriquecimento - SOA com ETX'!$G47,INDIRECT("Complexidade_"&amp;'Enriquecimento - SOA com ETX'!$E47&amp;"_Ite",1))))),"")</f>
        <v/>
      </c>
      <c r="K47" s="309">
        <f>IFERROR(IF('Enriquecimento - SOA com ETX'!$E47="",0,INDEX(Pesos_IFPUG,MATCH('Enriquecimento - SOA com ETX'!$E47,Pesos_IFPUG_Objetos,0),MATCH('Enriquecimento - SOA com ETX'!$J47,Pesos_IFPUG_Complexidade,0))),"")</f>
        <v>0</v>
      </c>
      <c r="L47" s="501"/>
      <c r="M47" s="502"/>
      <c r="N47" s="346" t="str">
        <f t="shared" si="17"/>
        <v/>
      </c>
      <c r="O47" s="501"/>
      <c r="P47" s="502"/>
      <c r="Q47" s="346" t="str">
        <f t="shared" si="16"/>
        <v/>
      </c>
      <c r="R47" s="501"/>
      <c r="S47" s="503"/>
      <c r="T47" s="502"/>
      <c r="U47" s="346" t="str">
        <f t="shared" si="2"/>
        <v/>
      </c>
      <c r="V47" s="347" t="str">
        <f t="shared" si="3"/>
        <v/>
      </c>
      <c r="W47" s="363">
        <f t="shared" si="4"/>
        <v>0</v>
      </c>
      <c r="X47" s="363">
        <f t="shared" si="5"/>
        <v>0</v>
      </c>
      <c r="Y47" s="363">
        <f t="shared" si="6"/>
        <v>0</v>
      </c>
      <c r="Z47" s="363">
        <f t="shared" si="7"/>
        <v>0</v>
      </c>
      <c r="AA47" s="363">
        <f t="shared" si="8"/>
        <v>0</v>
      </c>
      <c r="AB47" s="329"/>
      <c r="AC47" s="315"/>
      <c r="AD47" s="315"/>
      <c r="AE47" s="315"/>
      <c r="AF47" s="315"/>
      <c r="AG47" s="315"/>
      <c r="AH47" s="315"/>
      <c r="AI47" s="315"/>
      <c r="AJ47" s="315"/>
      <c r="AK47" s="315"/>
      <c r="AL47" s="316"/>
    </row>
    <row r="48" spans="2:38" x14ac:dyDescent="0.2">
      <c r="B48" s="366"/>
      <c r="C48" s="334"/>
      <c r="D48" s="335"/>
      <c r="E48" s="335"/>
      <c r="F48" s="335"/>
      <c r="G48" s="335"/>
      <c r="H48" s="335"/>
      <c r="I48" s="335"/>
      <c r="J48" s="309" t="str">
        <f ca="1">IFERROR(IF(TipoContagem=TipoContagemEstimada,
    IF('Enriquecimento - SOA com ETX'!$E48="","",VLOOKUP('Enriquecimento - SOA com ETX'!$E48,Complexidade_Estimada,2,FALSE)),
    IF('Enriquecimento - SOA com ETX'!$E48="","",INDEX(INDIRECT("Complexidade_"&amp;'Enriquecimento - SOA com ETX'!$E48),MATCH('Enriquecimento - SOA com ETX'!$F48,INDIRECT("Complexidade_"&amp;'Enriquecimento - SOA com ETX'!$E48&amp;"_Arq"),1),MATCH('Enriquecimento - SOA com ETX'!$G48,INDIRECT("Complexidade_"&amp;'Enriquecimento - SOA com ETX'!$E48&amp;"_Ite",1))))),"")</f>
        <v/>
      </c>
      <c r="K48" s="309">
        <f>IFERROR(IF('Enriquecimento - SOA com ETX'!$E48="",0,INDEX(Pesos_IFPUG,MATCH('Enriquecimento - SOA com ETX'!$E48,Pesos_IFPUG_Objetos,0),MATCH('Enriquecimento - SOA com ETX'!$J48,Pesos_IFPUG_Complexidade,0))),"")</f>
        <v>0</v>
      </c>
      <c r="L48" s="501"/>
      <c r="M48" s="502"/>
      <c r="N48" s="346" t="str">
        <f t="shared" si="17"/>
        <v/>
      </c>
      <c r="O48" s="501"/>
      <c r="P48" s="502"/>
      <c r="Q48" s="346" t="str">
        <f t="shared" si="16"/>
        <v/>
      </c>
      <c r="R48" s="501"/>
      <c r="S48" s="503"/>
      <c r="T48" s="502"/>
      <c r="U48" s="346" t="str">
        <f t="shared" si="2"/>
        <v/>
      </c>
      <c r="V48" s="347" t="str">
        <f t="shared" si="3"/>
        <v/>
      </c>
      <c r="W48" s="363">
        <f t="shared" si="4"/>
        <v>0</v>
      </c>
      <c r="X48" s="363">
        <f t="shared" si="5"/>
        <v>0</v>
      </c>
      <c r="Y48" s="363">
        <f t="shared" si="6"/>
        <v>0</v>
      </c>
      <c r="Z48" s="363">
        <f t="shared" si="7"/>
        <v>0</v>
      </c>
      <c r="AA48" s="363">
        <f t="shared" si="8"/>
        <v>0</v>
      </c>
      <c r="AB48" s="341"/>
      <c r="AC48" s="315"/>
      <c r="AD48" s="315"/>
      <c r="AE48" s="315"/>
      <c r="AF48" s="315"/>
      <c r="AG48" s="315"/>
      <c r="AH48" s="315"/>
      <c r="AI48" s="315"/>
      <c r="AJ48" s="315"/>
      <c r="AK48" s="315"/>
      <c r="AL48" s="316"/>
    </row>
    <row r="49" spans="2:38" x14ac:dyDescent="0.2">
      <c r="B49" s="366"/>
      <c r="C49" s="334"/>
      <c r="D49" s="335"/>
      <c r="E49" s="335"/>
      <c r="F49" s="335"/>
      <c r="G49" s="335"/>
      <c r="H49" s="335"/>
      <c r="I49" s="335"/>
      <c r="J49" s="309" t="str">
        <f ca="1">IFERROR(IF(TipoContagem=TipoContagemEstimada,
    IF('Enriquecimento - SOA com ETX'!$E49="","",VLOOKUP('Enriquecimento - SOA com ETX'!$E49,Complexidade_Estimada,2,FALSE)),
    IF('Enriquecimento - SOA com ETX'!$E49="","",INDEX(INDIRECT("Complexidade_"&amp;'Enriquecimento - SOA com ETX'!$E49),MATCH('Enriquecimento - SOA com ETX'!$F49,INDIRECT("Complexidade_"&amp;'Enriquecimento - SOA com ETX'!$E49&amp;"_Arq"),1),MATCH('Enriquecimento - SOA com ETX'!$G49,INDIRECT("Complexidade_"&amp;'Enriquecimento - SOA com ETX'!$E49&amp;"_Ite",1))))),"")</f>
        <v/>
      </c>
      <c r="K49" s="309">
        <f>IFERROR(IF('Enriquecimento - SOA com ETX'!$E49="",0,INDEX(Pesos_IFPUG,MATCH('Enriquecimento - SOA com ETX'!$E49,Pesos_IFPUG_Objetos,0),MATCH('Enriquecimento - SOA com ETX'!$J49,Pesos_IFPUG_Complexidade,0))),"")</f>
        <v>0</v>
      </c>
      <c r="L49" s="501"/>
      <c r="M49" s="502"/>
      <c r="N49" s="346" t="str">
        <f t="shared" si="17"/>
        <v/>
      </c>
      <c r="O49" s="501"/>
      <c r="P49" s="502"/>
      <c r="Q49" s="346" t="str">
        <f t="shared" si="16"/>
        <v/>
      </c>
      <c r="R49" s="501"/>
      <c r="S49" s="503"/>
      <c r="T49" s="502"/>
      <c r="U49" s="346" t="str">
        <f t="shared" si="2"/>
        <v/>
      </c>
      <c r="V49" s="347" t="str">
        <f t="shared" si="3"/>
        <v/>
      </c>
      <c r="W49" s="363">
        <f t="shared" si="4"/>
        <v>0</v>
      </c>
      <c r="X49" s="363">
        <f t="shared" si="5"/>
        <v>0</v>
      </c>
      <c r="Y49" s="363">
        <f t="shared" si="6"/>
        <v>0</v>
      </c>
      <c r="Z49" s="363">
        <f t="shared" si="7"/>
        <v>0</v>
      </c>
      <c r="AA49" s="363">
        <f t="shared" si="8"/>
        <v>0</v>
      </c>
      <c r="AB49" s="329"/>
      <c r="AC49" s="315"/>
      <c r="AD49" s="315"/>
      <c r="AE49" s="315"/>
      <c r="AF49" s="315"/>
      <c r="AG49" s="315"/>
      <c r="AH49" s="315"/>
      <c r="AI49" s="315"/>
      <c r="AJ49" s="315"/>
      <c r="AK49" s="315"/>
      <c r="AL49" s="316"/>
    </row>
    <row r="50" spans="2:38" x14ac:dyDescent="0.2">
      <c r="B50" s="366"/>
      <c r="C50" s="334"/>
      <c r="D50" s="335"/>
      <c r="E50" s="335"/>
      <c r="F50" s="335"/>
      <c r="G50" s="335"/>
      <c r="H50" s="335"/>
      <c r="I50" s="335"/>
      <c r="J50" s="309" t="str">
        <f ca="1">IFERROR(IF(TipoContagem=TipoContagemEstimada,
    IF('Enriquecimento - SOA com ETX'!$E50="","",VLOOKUP('Enriquecimento - SOA com ETX'!$E50,Complexidade_Estimada,2,FALSE)),
    IF('Enriquecimento - SOA com ETX'!$E50="","",INDEX(INDIRECT("Complexidade_"&amp;'Enriquecimento - SOA com ETX'!$E50),MATCH('Enriquecimento - SOA com ETX'!$F50,INDIRECT("Complexidade_"&amp;'Enriquecimento - SOA com ETX'!$E50&amp;"_Arq"),1),MATCH('Enriquecimento - SOA com ETX'!$G50,INDIRECT("Complexidade_"&amp;'Enriquecimento - SOA com ETX'!$E50&amp;"_Ite",1))))),"")</f>
        <v/>
      </c>
      <c r="K50" s="309">
        <f>IFERROR(IF('Enriquecimento - SOA com ETX'!$E50="",0,INDEX(Pesos_IFPUG,MATCH('Enriquecimento - SOA com ETX'!$E50,Pesos_IFPUG_Objetos,0),MATCH('Enriquecimento - SOA com ETX'!$J50,Pesos_IFPUG_Complexidade,0))),"")</f>
        <v>0</v>
      </c>
      <c r="L50" s="501"/>
      <c r="M50" s="502"/>
      <c r="N50" s="346" t="str">
        <f t="shared" si="17"/>
        <v/>
      </c>
      <c r="O50" s="501"/>
      <c r="P50" s="502"/>
      <c r="Q50" s="346" t="str">
        <f t="shared" si="16"/>
        <v/>
      </c>
      <c r="R50" s="501"/>
      <c r="S50" s="503"/>
      <c r="T50" s="502"/>
      <c r="U50" s="346" t="str">
        <f t="shared" si="2"/>
        <v/>
      </c>
      <c r="V50" s="347" t="str">
        <f t="shared" si="3"/>
        <v/>
      </c>
      <c r="W50" s="363">
        <f t="shared" si="4"/>
        <v>0</v>
      </c>
      <c r="X50" s="363">
        <f t="shared" si="5"/>
        <v>0</v>
      </c>
      <c r="Y50" s="363">
        <f t="shared" si="6"/>
        <v>0</v>
      </c>
      <c r="Z50" s="363">
        <f t="shared" si="7"/>
        <v>0</v>
      </c>
      <c r="AA50" s="363">
        <f t="shared" si="8"/>
        <v>0</v>
      </c>
      <c r="AB50" s="341"/>
      <c r="AC50" s="315"/>
      <c r="AD50" s="315"/>
      <c r="AE50" s="315"/>
      <c r="AF50" s="315"/>
      <c r="AG50" s="315"/>
      <c r="AH50" s="315"/>
      <c r="AI50" s="315"/>
      <c r="AJ50" s="315"/>
      <c r="AK50" s="315"/>
      <c r="AL50" s="316"/>
    </row>
    <row r="51" spans="2:38" ht="15.75" thickBot="1" x14ac:dyDescent="0.3">
      <c r="B51" s="312" t="s">
        <v>112</v>
      </c>
      <c r="C51" s="313"/>
      <c r="D51" s="313"/>
      <c r="E51" s="313"/>
      <c r="F51" s="314"/>
      <c r="G51" s="314"/>
      <c r="H51" s="314"/>
      <c r="I51" s="314"/>
      <c r="J51" s="313"/>
      <c r="K51" s="313">
        <f>SUBTOTAL(109,'Enriquecimento - SOA com ETX'!$K$10:$K$50)</f>
        <v>0</v>
      </c>
      <c r="L51" s="504"/>
      <c r="M51" s="505"/>
      <c r="N51" s="346" t="str">
        <f t="shared" ref="N51" si="18">IF(AND(L51&lt;&gt;"",M51&lt;&gt;""),CONCATENATE($AC$12,L51,M51),"")</f>
        <v/>
      </c>
      <c r="O51" s="504"/>
      <c r="P51" s="505"/>
      <c r="Q51" s="346" t="str">
        <f t="shared" ref="Q51" si="19">IF(AND(O51&lt;&gt;"",P51&lt;&gt;""),CONCATENATE($AC$15,O51,P51),"")</f>
        <v/>
      </c>
      <c r="R51" s="504"/>
      <c r="S51" s="506"/>
      <c r="T51" s="505"/>
      <c r="U51" s="346" t="str">
        <f t="shared" ref="U51" si="20">IF(AND(R51&lt;&gt;"",S51&lt;&gt;"",T51&lt;&gt;""),CONCATENATE($AC$18,R51,S51,T51),"")</f>
        <v/>
      </c>
      <c r="V51" s="348"/>
      <c r="W51" s="343"/>
      <c r="X51" s="344"/>
      <c r="Y51" s="344"/>
      <c r="Z51" s="330"/>
      <c r="AA51" s="345">
        <f>SUM(AA11:AA50)</f>
        <v>0</v>
      </c>
      <c r="AB51" s="342"/>
      <c r="AC51" s="317"/>
      <c r="AD51" s="317"/>
      <c r="AE51" s="317"/>
      <c r="AF51" s="317"/>
      <c r="AG51" s="317"/>
      <c r="AH51" s="317"/>
      <c r="AI51" s="317"/>
      <c r="AJ51" s="317"/>
      <c r="AK51" s="317"/>
      <c r="AL51" s="318"/>
    </row>
  </sheetData>
  <sheetProtection algorithmName="SHA-512" hashValue="YBaUk4ZcvUAeQHRtBuyQthM/kZfUEnV6MT/p3CvG6rHA2YDC7QEq/bqC5YHGW6yd+zJXkq6Ijx42KpDcPpg2AA==" saltValue="j+obYjdFV9Rl1p8PgI773A==" spinCount="100000" sheet="1" objects="1" scenarios="1"/>
  <mergeCells count="143">
    <mergeCell ref="L51:M51"/>
    <mergeCell ref="O51:P51"/>
    <mergeCell ref="R51:T51"/>
    <mergeCell ref="R46:T46"/>
    <mergeCell ref="R47:T47"/>
    <mergeCell ref="R48:T48"/>
    <mergeCell ref="R49:T49"/>
    <mergeCell ref="R50:T50"/>
    <mergeCell ref="R41:T41"/>
    <mergeCell ref="R42:T42"/>
    <mergeCell ref="R43:T43"/>
    <mergeCell ref="R44:T44"/>
    <mergeCell ref="R45:T45"/>
    <mergeCell ref="O48:P48"/>
    <mergeCell ref="O49:P49"/>
    <mergeCell ref="L48:M48"/>
    <mergeCell ref="L49:M49"/>
    <mergeCell ref="L50:M50"/>
    <mergeCell ref="L43:M43"/>
    <mergeCell ref="L44:M44"/>
    <mergeCell ref="L45:M45"/>
    <mergeCell ref="L46:M46"/>
    <mergeCell ref="L47:M47"/>
    <mergeCell ref="R36:T36"/>
    <mergeCell ref="R37:T37"/>
    <mergeCell ref="R38:T38"/>
    <mergeCell ref="R39:T39"/>
    <mergeCell ref="R40:T40"/>
    <mergeCell ref="R31:T31"/>
    <mergeCell ref="R32:T32"/>
    <mergeCell ref="R33:T33"/>
    <mergeCell ref="R34:T34"/>
    <mergeCell ref="R35:T35"/>
    <mergeCell ref="R26:T26"/>
    <mergeCell ref="R27:T27"/>
    <mergeCell ref="R28:T28"/>
    <mergeCell ref="R29:T29"/>
    <mergeCell ref="R30:T30"/>
    <mergeCell ref="O50:P50"/>
    <mergeCell ref="R11:T11"/>
    <mergeCell ref="R12:T12"/>
    <mergeCell ref="R13:T13"/>
    <mergeCell ref="R14:T14"/>
    <mergeCell ref="R15:T15"/>
    <mergeCell ref="R16:T16"/>
    <mergeCell ref="R17:T17"/>
    <mergeCell ref="R18:T18"/>
    <mergeCell ref="R19:T19"/>
    <mergeCell ref="R20:T20"/>
    <mergeCell ref="R21:T21"/>
    <mergeCell ref="R22:T22"/>
    <mergeCell ref="R23:T23"/>
    <mergeCell ref="R24:T24"/>
    <mergeCell ref="R25:T25"/>
    <mergeCell ref="O45:P45"/>
    <mergeCell ref="O46:P46"/>
    <mergeCell ref="O47:P47"/>
    <mergeCell ref="O40:P40"/>
    <mergeCell ref="O41:P41"/>
    <mergeCell ref="O42:P42"/>
    <mergeCell ref="O43:P43"/>
    <mergeCell ref="O44:P44"/>
    <mergeCell ref="O35:P35"/>
    <mergeCell ref="O36:P36"/>
    <mergeCell ref="O37:P37"/>
    <mergeCell ref="O38:P38"/>
    <mergeCell ref="O39:P39"/>
    <mergeCell ref="O30:P30"/>
    <mergeCell ref="O31:P31"/>
    <mergeCell ref="O32:P32"/>
    <mergeCell ref="O33:P33"/>
    <mergeCell ref="O34:P34"/>
    <mergeCell ref="O25:P25"/>
    <mergeCell ref="O26:P26"/>
    <mergeCell ref="O27:P27"/>
    <mergeCell ref="O28:P28"/>
    <mergeCell ref="O29:P29"/>
    <mergeCell ref="L38:M38"/>
    <mergeCell ref="L39:M39"/>
    <mergeCell ref="L40:M40"/>
    <mergeCell ref="L41:M41"/>
    <mergeCell ref="L42:M42"/>
    <mergeCell ref="L23:M23"/>
    <mergeCell ref="L24:M24"/>
    <mergeCell ref="L25:M25"/>
    <mergeCell ref="L26:M26"/>
    <mergeCell ref="L27:M27"/>
    <mergeCell ref="L33:M33"/>
    <mergeCell ref="L34:M34"/>
    <mergeCell ref="L35:M35"/>
    <mergeCell ref="L36:M36"/>
    <mergeCell ref="L37:M37"/>
    <mergeCell ref="L28:M28"/>
    <mergeCell ref="L29:M29"/>
    <mergeCell ref="L30:M30"/>
    <mergeCell ref="L31:M31"/>
    <mergeCell ref="L32:M32"/>
    <mergeCell ref="L11:M11"/>
    <mergeCell ref="L9:M10"/>
    <mergeCell ref="O9:P10"/>
    <mergeCell ref="L19:M19"/>
    <mergeCell ref="L20:M20"/>
    <mergeCell ref="L21:M21"/>
    <mergeCell ref="O21:P21"/>
    <mergeCell ref="O22:P22"/>
    <mergeCell ref="O23:P23"/>
    <mergeCell ref="O11:P11"/>
    <mergeCell ref="L12:M12"/>
    <mergeCell ref="L13:M13"/>
    <mergeCell ref="L14:M14"/>
    <mergeCell ref="L15:M15"/>
    <mergeCell ref="L16:M16"/>
    <mergeCell ref="L17:M17"/>
    <mergeCell ref="L18:M18"/>
    <mergeCell ref="L22:M22"/>
    <mergeCell ref="O24:P24"/>
    <mergeCell ref="O12:P12"/>
    <mergeCell ref="O13:P13"/>
    <mergeCell ref="O14:P14"/>
    <mergeCell ref="O15:P15"/>
    <mergeCell ref="O16:P16"/>
    <mergeCell ref="O17:P17"/>
    <mergeCell ref="O18:P18"/>
    <mergeCell ref="O19:P19"/>
    <mergeCell ref="O20:P20"/>
    <mergeCell ref="B9:B10"/>
    <mergeCell ref="A9:A10"/>
    <mergeCell ref="C9:C10"/>
    <mergeCell ref="D9:D10"/>
    <mergeCell ref="E9:E10"/>
    <mergeCell ref="F9:F10"/>
    <mergeCell ref="G9:G10"/>
    <mergeCell ref="B2:L2"/>
    <mergeCell ref="R9:T10"/>
    <mergeCell ref="AA8:AA10"/>
    <mergeCell ref="W8:Z8"/>
    <mergeCell ref="L8:M8"/>
    <mergeCell ref="O8:P8"/>
    <mergeCell ref="R8:T8"/>
    <mergeCell ref="K9:K10"/>
    <mergeCell ref="J9:J10"/>
    <mergeCell ref="H9:H10"/>
    <mergeCell ref="I9:I10"/>
  </mergeCells>
  <dataValidations count="12">
    <dataValidation allowBlank="1" showInputMessage="1" showErrorMessage="1" error="Tem que selecionar um valor da lista disponível" sqref="J11:J50"/>
    <dataValidation operator="greaterThan" allowBlank="1" showDropDown="1" showInputMessage="1" showErrorMessage="1" errorTitle="Valores Válidos" error="Célula aceita apenas números inteiros." sqref="H10:I50"/>
    <dataValidation type="whole" operator="greaterThan" allowBlank="1" showDropDown="1" showInputMessage="1" showErrorMessage="1" errorTitle="Valores Válidos" error="Célula aceita apenas números inteiros." sqref="G10:G50">
      <formula1>0</formula1>
    </dataValidation>
    <dataValidation type="whole" operator="greaterThanOrEqual" allowBlank="1" showDropDown="1" showInputMessage="1" showErrorMessage="1" errorTitle="Valores Válidos" error="Célula aceita apenas números inteiros." sqref="F10:F50">
      <formula1>0</formula1>
    </dataValidation>
    <dataValidation type="list" allowBlank="1" showInputMessage="1" showErrorMessage="1" error="Tem que selecionar um valor da lista disponível" sqref="E11:E36">
      <formula1>INDIRECT($AN$13)</formula1>
    </dataValidation>
    <dataValidation type="list" allowBlank="1" showInputMessage="1" showErrorMessage="1" error="Tem que selecionar um valor da lista disponível" sqref="D11:D36">
      <formula1>INDIRECT($AN$12)</formula1>
    </dataValidation>
    <dataValidation type="list" allowBlank="1" showInputMessage="1" showErrorMessage="1" sqref="Z10">
      <formula1>"Sim,Não"</formula1>
    </dataValidation>
    <dataValidation type="list" allowBlank="1" showInputMessage="1" showErrorMessage="1" sqref="L11:M50 O11:P50">
      <formula1>$AC$32:$AC$34</formula1>
    </dataValidation>
    <dataValidation type="list" allowBlank="1" showInputMessage="1" showErrorMessage="1" sqref="R11:T50">
      <formula1>$AC$37:$AC$45</formula1>
    </dataValidation>
    <dataValidation type="list" allowBlank="1" showInputMessage="1" showErrorMessage="1" sqref="W10">
      <formula1>IF($X$10=Sim,Nao,Sim_Nao)</formula1>
    </dataValidation>
    <dataValidation type="list" allowBlank="1" showInputMessage="1" showErrorMessage="1" sqref="X10">
      <formula1>IF($W$10=Sim,Nao,Sim_Nao)</formula1>
    </dataValidation>
    <dataValidation type="list" allowBlank="1" showInputMessage="1" showErrorMessage="1" sqref="Y10">
      <formula1>"Sim,Não"</formula1>
    </dataValidation>
  </dataValidations>
  <hyperlinks>
    <hyperlink ref="L3" location="Resumo!C15" display="&lt;&lt; Voltar para RESUMO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="Tem que selecionar um valor da lista disponível">
          <x14:formula1>
            <xm:f>Parâmetros!$G$5:$G$9</xm:f>
          </x14:formula1>
          <xm:sqref>E11:E36</xm:sqref>
        </x14:dataValidation>
        <x14:dataValidation type="list" allowBlank="1" showInputMessage="1" showErrorMessage="1" error="Tem que selecionar um valor da lista disponível">
          <x14:formula1>
            <xm:f>Parâmetros!$F$5:$F$7</xm:f>
          </x14:formula1>
          <xm:sqref>D11:D36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51"/>
  <sheetViews>
    <sheetView showGridLines="0" zoomScale="80" zoomScaleNormal="80" workbookViewId="0">
      <pane xSplit="1" ySplit="10" topLeftCell="B11" activePane="bottomRight" state="frozen"/>
      <selection pane="topRight" activeCell="B1" sqref="B1"/>
      <selection pane="bottomLeft" activeCell="A9" sqref="A9"/>
      <selection pane="bottomRight" activeCell="C9" sqref="C9:C10"/>
    </sheetView>
  </sheetViews>
  <sheetFormatPr defaultRowHeight="14.25" x14ac:dyDescent="0.2"/>
  <cols>
    <col min="1" max="1" width="15.7109375" style="28" customWidth="1"/>
    <col min="2" max="2" width="17.5703125" style="28" customWidth="1"/>
    <col min="3" max="3" width="33.42578125" style="28" customWidth="1"/>
    <col min="4" max="4" width="27.140625" style="28" customWidth="1"/>
    <col min="5" max="5" width="22" style="28" customWidth="1"/>
    <col min="6" max="6" width="21.5703125" style="56" customWidth="1"/>
    <col min="7" max="9" width="18.42578125" style="56" customWidth="1"/>
    <col min="10" max="10" width="17.28515625" style="28" customWidth="1"/>
    <col min="11" max="11" width="7.140625" style="28" customWidth="1"/>
    <col min="12" max="12" width="22.85546875" style="28" customWidth="1"/>
    <col min="13" max="13" width="15.7109375" style="28" customWidth="1"/>
    <col min="14" max="14" width="42.42578125" style="88" hidden="1" customWidth="1"/>
    <col min="15" max="15" width="23.140625" style="28" customWidth="1"/>
    <col min="16" max="16" width="15.42578125" style="28" customWidth="1"/>
    <col min="17" max="17" width="37.42578125" style="88" hidden="1" customWidth="1"/>
    <col min="18" max="18" width="16.5703125" style="28" customWidth="1"/>
    <col min="19" max="19" width="14.140625" style="28" customWidth="1"/>
    <col min="20" max="20" width="8.7109375" style="28" customWidth="1"/>
    <col min="21" max="21" width="65" style="88" hidden="1" customWidth="1"/>
    <col min="22" max="22" width="67.140625" style="88" hidden="1" customWidth="1"/>
    <col min="23" max="27" width="21.7109375" style="28" customWidth="1"/>
    <col min="28" max="28" width="65" style="28" hidden="1" customWidth="1"/>
    <col min="29" max="29" width="43" style="28" hidden="1" customWidth="1"/>
    <col min="30" max="30" width="21.7109375" style="28" hidden="1" customWidth="1"/>
    <col min="31" max="31" width="30.85546875" style="28" hidden="1" customWidth="1"/>
    <col min="32" max="38" width="21.7109375" style="28" hidden="1" customWidth="1"/>
    <col min="39" max="39" width="9.140625" style="28" hidden="1" customWidth="1"/>
    <col min="40" max="40" width="9.85546875" style="28" hidden="1" customWidth="1"/>
    <col min="41" max="42" width="9.140625" style="28" hidden="1" customWidth="1"/>
    <col min="43" max="43" width="0" style="28" hidden="1" customWidth="1"/>
    <col min="44" max="16384" width="9.140625" style="28"/>
  </cols>
  <sheetData>
    <row r="1" spans="1:40" ht="20.100000000000001" customHeight="1" x14ac:dyDescent="0.2">
      <c r="F1" s="55" t="str">
        <f>IF(TipoContagem=TipoContagemEstimada,"OCULTAR!","")</f>
        <v/>
      </c>
      <c r="G1" s="55" t="str">
        <f>IF(TipoContagem=TipoContagemEstimada,"OCULTAR!","")</f>
        <v/>
      </c>
      <c r="H1" s="55"/>
      <c r="I1" s="55"/>
    </row>
    <row r="2" spans="1:40" ht="51.75" customHeight="1" x14ac:dyDescent="0.2">
      <c r="B2" s="430" t="s">
        <v>433</v>
      </c>
      <c r="C2" s="430"/>
      <c r="D2" s="430"/>
      <c r="E2" s="430"/>
      <c r="F2" s="430"/>
      <c r="G2" s="430"/>
      <c r="H2" s="430"/>
      <c r="I2" s="430"/>
      <c r="J2" s="430"/>
      <c r="K2" s="430"/>
      <c r="L2" s="430"/>
    </row>
    <row r="3" spans="1:40" s="31" customFormat="1" ht="20.100000000000001" customHeight="1" x14ac:dyDescent="0.2">
      <c r="B3" s="4"/>
      <c r="C3" s="4"/>
      <c r="D3" s="4"/>
      <c r="E3" s="4"/>
      <c r="F3" s="4"/>
      <c r="G3" s="4"/>
      <c r="H3" s="4"/>
      <c r="I3" s="4"/>
      <c r="J3" s="4"/>
      <c r="K3" s="4"/>
      <c r="L3" s="21" t="s">
        <v>45</v>
      </c>
      <c r="N3" s="89"/>
      <c r="Q3" s="89"/>
      <c r="U3" s="89"/>
      <c r="V3" s="89"/>
      <c r="AN3" s="89"/>
    </row>
    <row r="4" spans="1:40" s="31" customFormat="1" ht="20.100000000000001" customHeight="1" x14ac:dyDescent="0.2">
      <c r="B4" s="4"/>
      <c r="C4" s="4"/>
      <c r="D4" s="4"/>
      <c r="E4" s="4"/>
      <c r="F4" s="4"/>
      <c r="G4" s="4"/>
      <c r="H4" s="4"/>
      <c r="I4" s="4"/>
      <c r="J4" s="4"/>
      <c r="K4" s="4"/>
      <c r="L4" s="21"/>
      <c r="N4" s="89"/>
      <c r="Q4" s="89"/>
      <c r="U4" s="89"/>
      <c r="V4" s="89"/>
      <c r="AN4" s="89"/>
    </row>
    <row r="5" spans="1:40" s="31" customFormat="1" ht="7.5" customHeight="1" x14ac:dyDescent="0.2">
      <c r="B5" s="4"/>
      <c r="C5" s="4"/>
      <c r="D5" s="4"/>
      <c r="E5" s="4"/>
      <c r="F5" s="4"/>
      <c r="G5" s="4"/>
      <c r="H5" s="4"/>
      <c r="I5" s="4"/>
      <c r="J5" s="4"/>
      <c r="K5" s="4"/>
      <c r="L5" s="21"/>
      <c r="N5" s="89"/>
      <c r="Q5" s="89"/>
      <c r="U5" s="89"/>
      <c r="V5" s="89"/>
      <c r="AN5" s="89"/>
    </row>
    <row r="6" spans="1:40" s="31" customFormat="1" ht="34.5" customHeight="1" x14ac:dyDescent="0.2">
      <c r="B6" s="360"/>
      <c r="C6" s="286" t="s">
        <v>312</v>
      </c>
      <c r="D6" s="4"/>
      <c r="E6" s="4"/>
      <c r="F6" s="4"/>
      <c r="G6" s="4"/>
      <c r="H6" s="4"/>
      <c r="I6" s="4"/>
      <c r="J6" s="4"/>
      <c r="K6" s="4"/>
      <c r="L6" s="21"/>
      <c r="N6" s="89"/>
      <c r="Q6" s="89"/>
      <c r="U6" s="89"/>
      <c r="V6" s="89"/>
      <c r="AN6" s="89"/>
    </row>
    <row r="7" spans="1:40" s="31" customFormat="1" ht="27" customHeight="1" thickBot="1" x14ac:dyDescent="0.25">
      <c r="B7" s="14" t="s">
        <v>99</v>
      </c>
      <c r="C7" s="361">
        <f>AA51</f>
        <v>0</v>
      </c>
      <c r="D7" s="4"/>
      <c r="E7" s="4"/>
      <c r="F7" s="4"/>
      <c r="G7" s="4"/>
      <c r="H7" s="4"/>
      <c r="I7" s="4"/>
      <c r="J7" s="4"/>
      <c r="K7" s="4"/>
      <c r="L7" s="21"/>
      <c r="N7" s="89"/>
      <c r="Q7" s="89"/>
      <c r="U7" s="89"/>
      <c r="V7" s="89"/>
      <c r="AN7" s="89"/>
    </row>
    <row r="8" spans="1:40" s="31" customFormat="1" ht="20.100000000000001" customHeight="1" x14ac:dyDescent="0.2">
      <c r="B8" s="4"/>
      <c r="C8" s="4"/>
      <c r="D8" s="4"/>
      <c r="E8" s="4"/>
      <c r="F8" s="4"/>
      <c r="G8" s="4"/>
      <c r="H8" s="4"/>
      <c r="I8" s="4"/>
      <c r="J8" s="4"/>
      <c r="K8" s="4"/>
      <c r="L8" s="482" t="s">
        <v>412</v>
      </c>
      <c r="M8" s="483"/>
      <c r="N8" s="323"/>
      <c r="O8" s="482" t="s">
        <v>413</v>
      </c>
      <c r="P8" s="483"/>
      <c r="Q8" s="323"/>
      <c r="R8" s="484" t="s">
        <v>414</v>
      </c>
      <c r="S8" s="485"/>
      <c r="T8" s="486"/>
      <c r="U8" s="333"/>
      <c r="V8" s="336"/>
      <c r="W8" s="479" t="s">
        <v>104</v>
      </c>
      <c r="X8" s="480"/>
      <c r="Y8" s="480"/>
      <c r="Z8" s="481"/>
      <c r="AA8" s="507" t="s">
        <v>105</v>
      </c>
      <c r="AB8" s="319"/>
      <c r="AC8" s="324"/>
      <c r="AD8" s="324"/>
      <c r="AE8" s="324"/>
      <c r="AF8" s="324"/>
      <c r="AG8" s="324"/>
      <c r="AH8" s="324"/>
      <c r="AI8" s="324"/>
      <c r="AJ8" s="324"/>
      <c r="AK8" s="324"/>
      <c r="AL8" s="324"/>
      <c r="AN8" s="89"/>
    </row>
    <row r="9" spans="1:40" ht="54" customHeight="1" x14ac:dyDescent="0.2">
      <c r="A9" s="494"/>
      <c r="B9" s="492" t="s">
        <v>79</v>
      </c>
      <c r="C9" s="491" t="s">
        <v>1</v>
      </c>
      <c r="D9" s="491" t="s">
        <v>101</v>
      </c>
      <c r="E9" s="491" t="s">
        <v>151</v>
      </c>
      <c r="F9" s="491" t="s">
        <v>51</v>
      </c>
      <c r="G9" s="491" t="s">
        <v>52</v>
      </c>
      <c r="H9" s="491" t="s">
        <v>171</v>
      </c>
      <c r="I9" s="491" t="s">
        <v>172</v>
      </c>
      <c r="J9" s="489" t="s">
        <v>415</v>
      </c>
      <c r="K9" s="487" t="s">
        <v>5</v>
      </c>
      <c r="L9" s="495" t="s">
        <v>441</v>
      </c>
      <c r="M9" s="497"/>
      <c r="N9" s="331" t="s">
        <v>424</v>
      </c>
      <c r="O9" s="495" t="s">
        <v>442</v>
      </c>
      <c r="P9" s="497"/>
      <c r="Q9" s="331" t="s">
        <v>423</v>
      </c>
      <c r="R9" s="495" t="s">
        <v>443</v>
      </c>
      <c r="S9" s="496"/>
      <c r="T9" s="497"/>
      <c r="U9" s="327" t="s">
        <v>425</v>
      </c>
      <c r="V9" s="320" t="s">
        <v>426</v>
      </c>
      <c r="W9" s="338" t="s">
        <v>83</v>
      </c>
      <c r="X9" s="308" t="s">
        <v>383</v>
      </c>
      <c r="Y9" s="308" t="s">
        <v>384</v>
      </c>
      <c r="Z9" s="339" t="s">
        <v>10</v>
      </c>
      <c r="AA9" s="508"/>
      <c r="AB9" s="319" t="s">
        <v>420</v>
      </c>
      <c r="AC9" s="325" t="s">
        <v>375</v>
      </c>
      <c r="AD9" s="325" t="s">
        <v>387</v>
      </c>
      <c r="AE9" s="325" t="s">
        <v>399</v>
      </c>
      <c r="AF9" s="325" t="s">
        <v>4</v>
      </c>
      <c r="AG9" s="325" t="s">
        <v>416</v>
      </c>
      <c r="AH9" s="325" t="s">
        <v>417</v>
      </c>
      <c r="AI9" s="325" t="s">
        <v>418</v>
      </c>
      <c r="AJ9" s="325" t="s">
        <v>419</v>
      </c>
      <c r="AK9" s="325" t="s">
        <v>376</v>
      </c>
      <c r="AL9" s="326" t="s">
        <v>377</v>
      </c>
      <c r="AN9" s="88"/>
    </row>
    <row r="10" spans="1:40" x14ac:dyDescent="0.2">
      <c r="A10" s="494"/>
      <c r="B10" s="493"/>
      <c r="C10" s="490"/>
      <c r="D10" s="490"/>
      <c r="E10" s="490"/>
      <c r="F10" s="490"/>
      <c r="G10" s="490"/>
      <c r="H10" s="490"/>
      <c r="I10" s="490"/>
      <c r="J10" s="490"/>
      <c r="K10" s="488"/>
      <c r="L10" s="498"/>
      <c r="M10" s="500"/>
      <c r="N10" s="332"/>
      <c r="O10" s="498"/>
      <c r="P10" s="500"/>
      <c r="Q10" s="332"/>
      <c r="R10" s="498"/>
      <c r="S10" s="499"/>
      <c r="T10" s="500"/>
      <c r="U10" s="328"/>
      <c r="V10" s="337"/>
      <c r="W10" s="340" t="s">
        <v>173</v>
      </c>
      <c r="X10" s="340" t="s">
        <v>173</v>
      </c>
      <c r="Y10" s="340" t="s">
        <v>173</v>
      </c>
      <c r="Z10" s="340" t="s">
        <v>173</v>
      </c>
      <c r="AA10" s="509"/>
      <c r="AB10" s="331"/>
      <c r="AC10" s="310"/>
      <c r="AD10" s="310"/>
      <c r="AE10" s="310"/>
      <c r="AF10" s="310"/>
      <c r="AG10" s="310"/>
      <c r="AH10" s="310"/>
      <c r="AI10" s="310"/>
      <c r="AJ10" s="310"/>
      <c r="AK10" s="310"/>
      <c r="AL10" s="311"/>
      <c r="AN10" s="88"/>
    </row>
    <row r="11" spans="1:40" s="271" customFormat="1" x14ac:dyDescent="0.2">
      <c r="B11" s="366"/>
      <c r="C11" s="302"/>
      <c r="D11" s="303"/>
      <c r="E11" s="303"/>
      <c r="F11" s="335"/>
      <c r="G11" s="335"/>
      <c r="H11" s="335"/>
      <c r="I11" s="335"/>
      <c r="J11" s="309" t="str">
        <f ca="1">IFERROR(IF(TipoContagem=TipoContagemEstimada,
    IF('Enriquecimento - SOA sem ETX'!$E11="","",VLOOKUP('Enriquecimento - SOA sem ETX'!$E11,Complexidade_Estimada,2,FALSE)),
    IF('Enriquecimento - SOA sem ETX'!$E11="","",INDEX(INDIRECT("Complexidade_"&amp;'Enriquecimento - SOA sem ETX'!$E11),MATCH('Enriquecimento - SOA sem ETX'!$F11,INDIRECT("Complexidade_"&amp;'Enriquecimento - SOA sem ETX'!$E11&amp;"_Arq"),1),MATCH('Enriquecimento - SOA sem ETX'!$G11,INDIRECT("Complexidade_"&amp;'Enriquecimento - SOA sem ETX'!$E11&amp;"_Ite",1))))),"")</f>
        <v/>
      </c>
      <c r="K11" s="309">
        <f>IFERROR(IF('Enriquecimento - SOA sem ETX'!$E11="",0,INDEX(Pesos_IFPUG,MATCH('Enriquecimento - SOA sem ETX'!$E11,Pesos_IFPUG_Objetos,0),MATCH('Enriquecimento - SOA sem ETX'!$J11,Pesos_IFPUG_Complexidade,0))),"")</f>
        <v>0</v>
      </c>
      <c r="L11" s="501"/>
      <c r="M11" s="502"/>
      <c r="N11" s="346" t="str">
        <f t="shared" ref="N11:N50" si="0">IF(L11="","",$AC$12&amp;L11)</f>
        <v/>
      </c>
      <c r="O11" s="501"/>
      <c r="P11" s="502"/>
      <c r="Q11" s="346" t="str">
        <f t="shared" ref="Q11:Q50" si="1">IF(O11="","",$AC$15&amp;O11)</f>
        <v/>
      </c>
      <c r="R11" s="501"/>
      <c r="S11" s="503"/>
      <c r="T11" s="502"/>
      <c r="U11" s="346" t="str">
        <f t="shared" ref="U11:U50" si="2">IF(R11="","",$AC$18&amp;R11)</f>
        <v/>
      </c>
      <c r="V11" s="347" t="str">
        <f>N11&amp;Q11&amp;U11</f>
        <v/>
      </c>
      <c r="W11" s="363">
        <f t="shared" ref="W11:W50" si="3">IF($W$10="Não",0,IF(V11="",0,VLOOKUP(V11,$AB$9:$AJ$26,6,0)))</f>
        <v>0</v>
      </c>
      <c r="X11" s="363">
        <f t="shared" ref="X11:X50" si="4">IF($X$10="Não",0,IF(V11="",0,VLOOKUP(V11,$AB$9:$AJ$26,7,0)))</f>
        <v>0</v>
      </c>
      <c r="Y11" s="363">
        <f t="shared" ref="Y11:Y50" si="5">IF($Y$10="Não",0,IF(V11="",0,VLOOKUP(V11,$AB$9:$AJ$26,8,0)))</f>
        <v>0</v>
      </c>
      <c r="Z11" s="363">
        <f t="shared" ref="Z11:Z50" si="6">IF($Z$10="Não",0,IF(V11="",0,VLOOKUP(V11,$AB$9:$AJ$26,9,0)))</f>
        <v>0</v>
      </c>
      <c r="AA11" s="363">
        <f>SUM(W11:Z11)</f>
        <v>0</v>
      </c>
      <c r="AB11" s="329"/>
      <c r="AC11" s="310"/>
      <c r="AD11" s="310"/>
      <c r="AE11" s="310"/>
      <c r="AF11" s="310"/>
      <c r="AG11" s="310"/>
      <c r="AH11" s="310"/>
      <c r="AI11" s="310"/>
      <c r="AJ11" s="310"/>
      <c r="AK11" s="310"/>
      <c r="AL11" s="311"/>
      <c r="AN11" s="272"/>
    </row>
    <row r="12" spans="1:40" s="271" customFormat="1" x14ac:dyDescent="0.2">
      <c r="B12" s="366"/>
      <c r="C12" s="334"/>
      <c r="D12" s="335"/>
      <c r="E12" s="335"/>
      <c r="F12" s="335"/>
      <c r="G12" s="335"/>
      <c r="H12" s="335"/>
      <c r="I12" s="335"/>
      <c r="J12" s="309" t="str">
        <f ca="1">IFERROR(IF(TipoContagem=TipoContagemEstimada,
    IF('Enriquecimento - SOA sem ETX'!$E12="","",VLOOKUP('Enriquecimento - SOA sem ETX'!$E12,Complexidade_Estimada,2,FALSE)),
    IF('Enriquecimento - SOA sem ETX'!$E12="","",INDEX(INDIRECT("Complexidade_"&amp;'Enriquecimento - SOA sem ETX'!$E12),MATCH('Enriquecimento - SOA sem ETX'!$F12,INDIRECT("Complexidade_"&amp;'Enriquecimento - SOA sem ETX'!$E12&amp;"_Arq"),1),MATCH('Enriquecimento - SOA sem ETX'!$G12,INDIRECT("Complexidade_"&amp;'Enriquecimento - SOA sem ETX'!$E12&amp;"_Ite",1))))),"")</f>
        <v/>
      </c>
      <c r="K12" s="309">
        <f>IFERROR(IF('Enriquecimento - SOA sem ETX'!$E12="",0,INDEX(Pesos_IFPUG,MATCH('Enriquecimento - SOA sem ETX'!$E12,Pesos_IFPUG_Objetos,0),MATCH('Enriquecimento - SOA sem ETX'!$J12,Pesos_IFPUG_Complexidade,0))),"")</f>
        <v>0</v>
      </c>
      <c r="L12" s="501"/>
      <c r="M12" s="502"/>
      <c r="N12" s="346" t="str">
        <f t="shared" si="0"/>
        <v/>
      </c>
      <c r="O12" s="501"/>
      <c r="P12" s="502"/>
      <c r="Q12" s="346" t="str">
        <f t="shared" si="1"/>
        <v/>
      </c>
      <c r="R12" s="501"/>
      <c r="S12" s="503"/>
      <c r="T12" s="502"/>
      <c r="U12" s="346" t="str">
        <f t="shared" si="2"/>
        <v/>
      </c>
      <c r="V12" s="347" t="str">
        <f t="shared" ref="V12:V50" si="7">N12&amp;Q12&amp;U12</f>
        <v/>
      </c>
      <c r="W12" s="363">
        <f t="shared" si="3"/>
        <v>0</v>
      </c>
      <c r="X12" s="363">
        <f t="shared" si="4"/>
        <v>0</v>
      </c>
      <c r="Y12" s="363">
        <f t="shared" si="5"/>
        <v>0</v>
      </c>
      <c r="Z12" s="363">
        <f t="shared" si="6"/>
        <v>0</v>
      </c>
      <c r="AA12" s="363">
        <f t="shared" ref="AA12:AA50" si="8">SUM(W12:Z12)</f>
        <v>0</v>
      </c>
      <c r="AB12" s="341" t="str">
        <f t="shared" ref="AB12:AB17" si="9">AC12&amp;AF12&amp;" - "&amp;AD12</f>
        <v>CriarInterfaceSimples - 1 a 19 campos</v>
      </c>
      <c r="AC12" s="310" t="s">
        <v>388</v>
      </c>
      <c r="AD12" s="310" t="s">
        <v>395</v>
      </c>
      <c r="AE12" s="310" t="s">
        <v>96</v>
      </c>
      <c r="AF12" s="310" t="s">
        <v>392</v>
      </c>
      <c r="AG12" s="310">
        <v>12</v>
      </c>
      <c r="AH12" s="310">
        <v>4</v>
      </c>
      <c r="AI12" s="310">
        <v>50</v>
      </c>
      <c r="AJ12" s="310">
        <v>6</v>
      </c>
      <c r="AK12" s="310">
        <f>AG12+AI12+AJ12</f>
        <v>68</v>
      </c>
      <c r="AL12" s="311">
        <f>AH12+AI12+AJ12</f>
        <v>60</v>
      </c>
      <c r="AN12" s="272" t="s">
        <v>258</v>
      </c>
    </row>
    <row r="13" spans="1:40" s="271" customFormat="1" x14ac:dyDescent="0.2">
      <c r="B13" s="366"/>
      <c r="C13" s="334"/>
      <c r="D13" s="335"/>
      <c r="E13" s="335"/>
      <c r="F13" s="335"/>
      <c r="G13" s="335"/>
      <c r="H13" s="335"/>
      <c r="I13" s="335"/>
      <c r="J13" s="309" t="str">
        <f ca="1">IFERROR(IF(TipoContagem=TipoContagemEstimada,
    IF('Enriquecimento - SOA sem ETX'!$E13="","",VLOOKUP('Enriquecimento - SOA sem ETX'!$E13,Complexidade_Estimada,2,FALSE)),
    IF('Enriquecimento - SOA sem ETX'!$E13="","",INDEX(INDIRECT("Complexidade_"&amp;'Enriquecimento - SOA sem ETX'!$E13),MATCH('Enriquecimento - SOA sem ETX'!$F13,INDIRECT("Complexidade_"&amp;'Enriquecimento - SOA sem ETX'!$E13&amp;"_Arq"),1),MATCH('Enriquecimento - SOA sem ETX'!$G13,INDIRECT("Complexidade_"&amp;'Enriquecimento - SOA sem ETX'!$E13&amp;"_Ite",1))))),"")</f>
        <v/>
      </c>
      <c r="K13" s="309">
        <f>IFERROR(IF('Enriquecimento - SOA sem ETX'!$E13="",0,INDEX(Pesos_IFPUG,MATCH('Enriquecimento - SOA sem ETX'!$E13,Pesos_IFPUG_Objetos,0),MATCH('Enriquecimento - SOA sem ETX'!$J13,Pesos_IFPUG_Complexidade,0))),"")</f>
        <v>0</v>
      </c>
      <c r="L13" s="501"/>
      <c r="M13" s="502"/>
      <c r="N13" s="346" t="str">
        <f t="shared" si="0"/>
        <v/>
      </c>
      <c r="O13" s="501"/>
      <c r="P13" s="502"/>
      <c r="Q13" s="346" t="str">
        <f t="shared" si="1"/>
        <v/>
      </c>
      <c r="R13" s="501"/>
      <c r="S13" s="503"/>
      <c r="T13" s="502"/>
      <c r="U13" s="346" t="str">
        <f t="shared" si="2"/>
        <v/>
      </c>
      <c r="V13" s="347" t="str">
        <f t="shared" si="7"/>
        <v/>
      </c>
      <c r="W13" s="363">
        <f t="shared" si="3"/>
        <v>0</v>
      </c>
      <c r="X13" s="363">
        <f t="shared" si="4"/>
        <v>0</v>
      </c>
      <c r="Y13" s="363">
        <f t="shared" si="5"/>
        <v>0</v>
      </c>
      <c r="Z13" s="363">
        <f t="shared" si="6"/>
        <v>0</v>
      </c>
      <c r="AA13" s="363">
        <f t="shared" si="8"/>
        <v>0</v>
      </c>
      <c r="AB13" s="341" t="str">
        <f t="shared" si="9"/>
        <v>CriarInterfaceMedia - 20 a 49 campos</v>
      </c>
      <c r="AC13" s="310" t="s">
        <v>388</v>
      </c>
      <c r="AD13" s="310" t="s">
        <v>397</v>
      </c>
      <c r="AE13" s="310" t="s">
        <v>96</v>
      </c>
      <c r="AF13" s="310" t="s">
        <v>119</v>
      </c>
      <c r="AG13" s="310">
        <v>14</v>
      </c>
      <c r="AH13" s="310">
        <v>4</v>
      </c>
      <c r="AI13" s="310">
        <v>64</v>
      </c>
      <c r="AJ13" s="310">
        <v>6</v>
      </c>
      <c r="AK13" s="310">
        <f t="shared" ref="AK13:AK26" si="10">AG13+AI13+AJ13</f>
        <v>84</v>
      </c>
      <c r="AL13" s="311">
        <f t="shared" ref="AL13:AL26" si="11">AH13+AI13+AJ13</f>
        <v>74</v>
      </c>
      <c r="AN13" s="272" t="s">
        <v>259</v>
      </c>
    </row>
    <row r="14" spans="1:40" s="271" customFormat="1" x14ac:dyDescent="0.2">
      <c r="B14" s="366"/>
      <c r="C14" s="334"/>
      <c r="D14" s="335"/>
      <c r="E14" s="335"/>
      <c r="F14" s="335"/>
      <c r="G14" s="335"/>
      <c r="H14" s="335"/>
      <c r="I14" s="335"/>
      <c r="J14" s="309" t="str">
        <f ca="1">IFERROR(IF(TipoContagem=TipoContagemEstimada,
    IF('Enriquecimento - SOA sem ETX'!$E14="","",VLOOKUP('Enriquecimento - SOA sem ETX'!$E14,Complexidade_Estimada,2,FALSE)),
    IF('Enriquecimento - SOA sem ETX'!$E14="","",INDEX(INDIRECT("Complexidade_"&amp;'Enriquecimento - SOA sem ETX'!$E14),MATCH('Enriquecimento - SOA sem ETX'!$F14,INDIRECT("Complexidade_"&amp;'Enriquecimento - SOA sem ETX'!$E14&amp;"_Arq"),1),MATCH('Enriquecimento - SOA sem ETX'!$G14,INDIRECT("Complexidade_"&amp;'Enriquecimento - SOA sem ETX'!$E14&amp;"_Ite",1))))),"")</f>
        <v/>
      </c>
      <c r="K14" s="309">
        <f>IFERROR(IF('Enriquecimento - SOA sem ETX'!$E14="",0,INDEX(Pesos_IFPUG,MATCH('Enriquecimento - SOA sem ETX'!$E14,Pesos_IFPUG_Objetos,0),MATCH('Enriquecimento - SOA sem ETX'!$J14,Pesos_IFPUG_Complexidade,0))),"")</f>
        <v>0</v>
      </c>
      <c r="L14" s="501"/>
      <c r="M14" s="502"/>
      <c r="N14" s="346" t="str">
        <f t="shared" si="0"/>
        <v/>
      </c>
      <c r="O14" s="501"/>
      <c r="P14" s="502"/>
      <c r="Q14" s="346" t="str">
        <f t="shared" si="1"/>
        <v/>
      </c>
      <c r="R14" s="501"/>
      <c r="S14" s="503"/>
      <c r="T14" s="502"/>
      <c r="U14" s="346" t="str">
        <f t="shared" si="2"/>
        <v/>
      </c>
      <c r="V14" s="347" t="str">
        <f t="shared" si="7"/>
        <v/>
      </c>
      <c r="W14" s="363">
        <f t="shared" si="3"/>
        <v>0</v>
      </c>
      <c r="X14" s="363">
        <f t="shared" si="4"/>
        <v>0</v>
      </c>
      <c r="Y14" s="363">
        <f t="shared" si="5"/>
        <v>0</v>
      </c>
      <c r="Z14" s="363">
        <f t="shared" si="6"/>
        <v>0</v>
      </c>
      <c r="AA14" s="363">
        <f t="shared" si="8"/>
        <v>0</v>
      </c>
      <c r="AB14" s="341" t="str">
        <f t="shared" si="9"/>
        <v>CriarInterfaceComplexa - Acima de 50 campos</v>
      </c>
      <c r="AC14" s="310" t="s">
        <v>388</v>
      </c>
      <c r="AD14" s="310" t="s">
        <v>398</v>
      </c>
      <c r="AE14" s="310" t="s">
        <v>96</v>
      </c>
      <c r="AF14" s="310" t="s">
        <v>393</v>
      </c>
      <c r="AG14" s="310">
        <v>16</v>
      </c>
      <c r="AH14" s="310">
        <v>4</v>
      </c>
      <c r="AI14" s="310">
        <v>80</v>
      </c>
      <c r="AJ14" s="310">
        <v>6</v>
      </c>
      <c r="AK14" s="310">
        <f t="shared" si="10"/>
        <v>102</v>
      </c>
      <c r="AL14" s="311">
        <f t="shared" si="11"/>
        <v>90</v>
      </c>
      <c r="AN14" s="272" t="s">
        <v>260</v>
      </c>
    </row>
    <row r="15" spans="1:40" s="271" customFormat="1" x14ac:dyDescent="0.2">
      <c r="B15" s="366"/>
      <c r="C15" s="334"/>
      <c r="D15" s="335"/>
      <c r="E15" s="335"/>
      <c r="F15" s="335"/>
      <c r="G15" s="335"/>
      <c r="H15" s="335"/>
      <c r="I15" s="335"/>
      <c r="J15" s="309" t="str">
        <f ca="1">IFERROR(IF(TipoContagem=TipoContagemEstimada,
    IF('Enriquecimento - SOA sem ETX'!$E15="","",VLOOKUP('Enriquecimento - SOA sem ETX'!$E15,Complexidade_Estimada,2,FALSE)),
    IF('Enriquecimento - SOA sem ETX'!$E15="","",INDEX(INDIRECT("Complexidade_"&amp;'Enriquecimento - SOA sem ETX'!$E15),MATCH('Enriquecimento - SOA sem ETX'!$F15,INDIRECT("Complexidade_"&amp;'Enriquecimento - SOA sem ETX'!$E15&amp;"_Arq"),1),MATCH('Enriquecimento - SOA sem ETX'!$G15,INDIRECT("Complexidade_"&amp;'Enriquecimento - SOA sem ETX'!$E15&amp;"_Ite",1))))),"")</f>
        <v/>
      </c>
      <c r="K15" s="309">
        <f>IFERROR(IF('Enriquecimento - SOA sem ETX'!$E15="",0,INDEX(Pesos_IFPUG,MATCH('Enriquecimento - SOA sem ETX'!$E15,Pesos_IFPUG_Objetos,0),MATCH('Enriquecimento - SOA sem ETX'!$J15,Pesos_IFPUG_Complexidade,0))),"")</f>
        <v>0</v>
      </c>
      <c r="L15" s="501"/>
      <c r="M15" s="502"/>
      <c r="N15" s="346" t="str">
        <f t="shared" si="0"/>
        <v/>
      </c>
      <c r="O15" s="501"/>
      <c r="P15" s="502"/>
      <c r="Q15" s="346" t="str">
        <f t="shared" si="1"/>
        <v/>
      </c>
      <c r="R15" s="501"/>
      <c r="S15" s="503"/>
      <c r="T15" s="502"/>
      <c r="U15" s="346" t="str">
        <f t="shared" si="2"/>
        <v/>
      </c>
      <c r="V15" s="347" t="str">
        <f t="shared" si="7"/>
        <v/>
      </c>
      <c r="W15" s="363">
        <f t="shared" si="3"/>
        <v>0</v>
      </c>
      <c r="X15" s="363">
        <f t="shared" si="4"/>
        <v>0</v>
      </c>
      <c r="Y15" s="363">
        <f t="shared" si="5"/>
        <v>0</v>
      </c>
      <c r="Z15" s="363">
        <f t="shared" si="6"/>
        <v>0</v>
      </c>
      <c r="AA15" s="363">
        <f t="shared" si="8"/>
        <v>0</v>
      </c>
      <c r="AB15" s="341" t="str">
        <f t="shared" si="9"/>
        <v>CriarSourceTargetSimples - 1 a 19 campos</v>
      </c>
      <c r="AC15" s="310" t="s">
        <v>389</v>
      </c>
      <c r="AD15" s="310" t="s">
        <v>395</v>
      </c>
      <c r="AE15" s="310" t="s">
        <v>96</v>
      </c>
      <c r="AF15" s="310" t="s">
        <v>392</v>
      </c>
      <c r="AG15" s="310">
        <v>10</v>
      </c>
      <c r="AH15" s="310">
        <v>3</v>
      </c>
      <c r="AI15" s="310">
        <v>40</v>
      </c>
      <c r="AJ15" s="310">
        <v>4</v>
      </c>
      <c r="AK15" s="310">
        <f t="shared" si="10"/>
        <v>54</v>
      </c>
      <c r="AL15" s="311">
        <f t="shared" si="11"/>
        <v>47</v>
      </c>
      <c r="AN15" s="272"/>
    </row>
    <row r="16" spans="1:40" s="271" customFormat="1" x14ac:dyDescent="0.2">
      <c r="B16" s="366"/>
      <c r="C16" s="334"/>
      <c r="D16" s="335"/>
      <c r="E16" s="335"/>
      <c r="F16" s="335"/>
      <c r="G16" s="335"/>
      <c r="H16" s="335"/>
      <c r="I16" s="335"/>
      <c r="J16" s="309" t="str">
        <f ca="1">IFERROR(IF(TipoContagem=TipoContagemEstimada,
    IF('Enriquecimento - SOA sem ETX'!$E16="","",VLOOKUP('Enriquecimento - SOA sem ETX'!$E16,Complexidade_Estimada,2,FALSE)),
    IF('Enriquecimento - SOA sem ETX'!$E16="","",INDEX(INDIRECT("Complexidade_"&amp;'Enriquecimento - SOA sem ETX'!$E16),MATCH('Enriquecimento - SOA sem ETX'!$F16,INDIRECT("Complexidade_"&amp;'Enriquecimento - SOA sem ETX'!$E16&amp;"_Arq"),1),MATCH('Enriquecimento - SOA sem ETX'!$G16,INDIRECT("Complexidade_"&amp;'Enriquecimento - SOA sem ETX'!$E16&amp;"_Ite",1))))),"")</f>
        <v/>
      </c>
      <c r="K16" s="309">
        <f>IFERROR(IF('Enriquecimento - SOA sem ETX'!$E16="",0,INDEX(Pesos_IFPUG,MATCH('Enriquecimento - SOA sem ETX'!$E16,Pesos_IFPUG_Objetos,0),MATCH('Enriquecimento - SOA sem ETX'!$J16,Pesos_IFPUG_Complexidade,0))),"")</f>
        <v>0</v>
      </c>
      <c r="L16" s="501"/>
      <c r="M16" s="502"/>
      <c r="N16" s="346" t="str">
        <f t="shared" si="0"/>
        <v/>
      </c>
      <c r="O16" s="501"/>
      <c r="P16" s="502"/>
      <c r="Q16" s="346" t="str">
        <f t="shared" si="1"/>
        <v/>
      </c>
      <c r="R16" s="501"/>
      <c r="S16" s="503"/>
      <c r="T16" s="502"/>
      <c r="U16" s="346" t="str">
        <f t="shared" si="2"/>
        <v/>
      </c>
      <c r="V16" s="347" t="str">
        <f t="shared" si="7"/>
        <v/>
      </c>
      <c r="W16" s="363">
        <f t="shared" si="3"/>
        <v>0</v>
      </c>
      <c r="X16" s="363">
        <f t="shared" si="4"/>
        <v>0</v>
      </c>
      <c r="Y16" s="363">
        <f t="shared" si="5"/>
        <v>0</v>
      </c>
      <c r="Z16" s="363">
        <f t="shared" si="6"/>
        <v>0</v>
      </c>
      <c r="AA16" s="363">
        <f t="shared" si="8"/>
        <v>0</v>
      </c>
      <c r="AB16" s="341" t="str">
        <f t="shared" si="9"/>
        <v>CriarSourceTargetMedia - 20 a 49 campos</v>
      </c>
      <c r="AC16" s="310" t="s">
        <v>389</v>
      </c>
      <c r="AD16" s="310" t="s">
        <v>397</v>
      </c>
      <c r="AE16" s="310" t="s">
        <v>96</v>
      </c>
      <c r="AF16" s="310" t="s">
        <v>119</v>
      </c>
      <c r="AG16" s="310">
        <v>12</v>
      </c>
      <c r="AH16" s="310">
        <v>3</v>
      </c>
      <c r="AI16" s="310">
        <v>52</v>
      </c>
      <c r="AJ16" s="310">
        <v>4</v>
      </c>
      <c r="AK16" s="310">
        <f t="shared" si="10"/>
        <v>68</v>
      </c>
      <c r="AL16" s="311">
        <f t="shared" si="11"/>
        <v>59</v>
      </c>
      <c r="AN16" s="272"/>
    </row>
    <row r="17" spans="2:38" s="271" customFormat="1" x14ac:dyDescent="0.2">
      <c r="B17" s="366"/>
      <c r="C17" s="334"/>
      <c r="D17" s="335"/>
      <c r="E17" s="335"/>
      <c r="F17" s="335"/>
      <c r="G17" s="335"/>
      <c r="H17" s="335"/>
      <c r="I17" s="335"/>
      <c r="J17" s="309" t="str">
        <f ca="1">IFERROR(IF(TipoContagem=TipoContagemEstimada,
    IF('Enriquecimento - SOA sem ETX'!$E17="","",VLOOKUP('Enriquecimento - SOA sem ETX'!$E17,Complexidade_Estimada,2,FALSE)),
    IF('Enriquecimento - SOA sem ETX'!$E17="","",INDEX(INDIRECT("Complexidade_"&amp;'Enriquecimento - SOA sem ETX'!$E17),MATCH('Enriquecimento - SOA sem ETX'!$F17,INDIRECT("Complexidade_"&amp;'Enriquecimento - SOA sem ETX'!$E17&amp;"_Arq"),1),MATCH('Enriquecimento - SOA sem ETX'!$G17,INDIRECT("Complexidade_"&amp;'Enriquecimento - SOA sem ETX'!$E17&amp;"_Ite",1))))),"")</f>
        <v/>
      </c>
      <c r="K17" s="309">
        <f>IFERROR(IF('Enriquecimento - SOA sem ETX'!$E17="",0,INDEX(Pesos_IFPUG,MATCH('Enriquecimento - SOA sem ETX'!$E17,Pesos_IFPUG_Objetos,0),MATCH('Enriquecimento - SOA sem ETX'!$J17,Pesos_IFPUG_Complexidade,0))),"")</f>
        <v>0</v>
      </c>
      <c r="L17" s="501"/>
      <c r="M17" s="502"/>
      <c r="N17" s="346" t="str">
        <f t="shared" si="0"/>
        <v/>
      </c>
      <c r="O17" s="501"/>
      <c r="P17" s="502"/>
      <c r="Q17" s="346" t="str">
        <f t="shared" si="1"/>
        <v/>
      </c>
      <c r="R17" s="501"/>
      <c r="S17" s="503"/>
      <c r="T17" s="502"/>
      <c r="U17" s="346" t="str">
        <f t="shared" si="2"/>
        <v/>
      </c>
      <c r="V17" s="347" t="str">
        <f t="shared" si="7"/>
        <v/>
      </c>
      <c r="W17" s="363">
        <f t="shared" si="3"/>
        <v>0</v>
      </c>
      <c r="X17" s="363">
        <f t="shared" si="4"/>
        <v>0</v>
      </c>
      <c r="Y17" s="363">
        <f t="shared" si="5"/>
        <v>0</v>
      </c>
      <c r="Z17" s="363">
        <f t="shared" si="6"/>
        <v>0</v>
      </c>
      <c r="AA17" s="363">
        <f t="shared" si="8"/>
        <v>0</v>
      </c>
      <c r="AB17" s="341" t="str">
        <f t="shared" si="9"/>
        <v>CriarSourceTargetComplexa - Acima de 50 campos</v>
      </c>
      <c r="AC17" s="310" t="s">
        <v>389</v>
      </c>
      <c r="AD17" s="310" t="s">
        <v>398</v>
      </c>
      <c r="AE17" s="310" t="s">
        <v>96</v>
      </c>
      <c r="AF17" s="310" t="s">
        <v>393</v>
      </c>
      <c r="AG17" s="310">
        <v>14</v>
      </c>
      <c r="AH17" s="310">
        <v>3</v>
      </c>
      <c r="AI17" s="310">
        <v>64</v>
      </c>
      <c r="AJ17" s="310">
        <v>4</v>
      </c>
      <c r="AK17" s="310">
        <f t="shared" si="10"/>
        <v>82</v>
      </c>
      <c r="AL17" s="311">
        <f t="shared" si="11"/>
        <v>71</v>
      </c>
    </row>
    <row r="18" spans="2:38" s="271" customFormat="1" x14ac:dyDescent="0.2">
      <c r="B18" s="366"/>
      <c r="C18" s="334"/>
      <c r="D18" s="335"/>
      <c r="E18" s="335"/>
      <c r="F18" s="335"/>
      <c r="G18" s="335"/>
      <c r="H18" s="335"/>
      <c r="I18" s="335"/>
      <c r="J18" s="309" t="str">
        <f ca="1">IFERROR(IF(TipoContagem=TipoContagemEstimada,
    IF('Enriquecimento - SOA sem ETX'!$E18="","",VLOOKUP('Enriquecimento - SOA sem ETX'!$E18,Complexidade_Estimada,2,FALSE)),
    IF('Enriquecimento - SOA sem ETX'!$E18="","",INDEX(INDIRECT("Complexidade_"&amp;'Enriquecimento - SOA sem ETX'!$E18),MATCH('Enriquecimento - SOA sem ETX'!$F18,INDIRECT("Complexidade_"&amp;'Enriquecimento - SOA sem ETX'!$E18&amp;"_Arq"),1),MATCH('Enriquecimento - SOA sem ETX'!$G18,INDIRECT("Complexidade_"&amp;'Enriquecimento - SOA sem ETX'!$E18&amp;"_Ite",1))))),"")</f>
        <v/>
      </c>
      <c r="K18" s="309">
        <f>IFERROR(IF('Enriquecimento - SOA sem ETX'!$E18="",0,INDEX(Pesos_IFPUG,MATCH('Enriquecimento - SOA sem ETX'!$E18,Pesos_IFPUG_Objetos,0),MATCH('Enriquecimento - SOA sem ETX'!$J18,Pesos_IFPUG_Complexidade,0))),"")</f>
        <v>0</v>
      </c>
      <c r="L18" s="501"/>
      <c r="M18" s="502"/>
      <c r="N18" s="346" t="str">
        <f t="shared" si="0"/>
        <v/>
      </c>
      <c r="O18" s="501"/>
      <c r="P18" s="502"/>
      <c r="Q18" s="346" t="str">
        <f t="shared" si="1"/>
        <v/>
      </c>
      <c r="R18" s="501"/>
      <c r="S18" s="503"/>
      <c r="T18" s="502"/>
      <c r="U18" s="346" t="str">
        <f t="shared" si="2"/>
        <v/>
      </c>
      <c r="V18" s="347" t="str">
        <f t="shared" si="7"/>
        <v/>
      </c>
      <c r="W18" s="363">
        <f t="shared" si="3"/>
        <v>0</v>
      </c>
      <c r="X18" s="363">
        <f t="shared" si="4"/>
        <v>0</v>
      </c>
      <c r="Y18" s="363">
        <f t="shared" si="5"/>
        <v>0</v>
      </c>
      <c r="Z18" s="363">
        <f t="shared" si="6"/>
        <v>0</v>
      </c>
      <c r="AA18" s="363">
        <f t="shared" si="8"/>
        <v>0</v>
      </c>
      <c r="AB18" s="341" t="str">
        <f>AC18&amp;AF18&amp;" - "&amp;AD18&amp;" - "&amp;AE18</f>
        <v>AlterarMapeamentoSimples(-) - 1 a 15 campos - 1 a 5 campos</v>
      </c>
      <c r="AC18" s="310" t="s">
        <v>390</v>
      </c>
      <c r="AD18" s="310" t="s">
        <v>394</v>
      </c>
      <c r="AE18" s="310" t="s">
        <v>402</v>
      </c>
      <c r="AF18" s="310" t="s">
        <v>435</v>
      </c>
      <c r="AG18" s="310">
        <v>2</v>
      </c>
      <c r="AH18" s="310">
        <v>2</v>
      </c>
      <c r="AI18" s="310">
        <v>30</v>
      </c>
      <c r="AJ18" s="310">
        <v>2</v>
      </c>
      <c r="AK18" s="310">
        <f t="shared" si="10"/>
        <v>34</v>
      </c>
      <c r="AL18" s="311">
        <f t="shared" si="11"/>
        <v>34</v>
      </c>
    </row>
    <row r="19" spans="2:38" s="271" customFormat="1" x14ac:dyDescent="0.2">
      <c r="B19" s="366"/>
      <c r="C19" s="334"/>
      <c r="D19" s="335"/>
      <c r="E19" s="335"/>
      <c r="F19" s="335"/>
      <c r="G19" s="335"/>
      <c r="H19" s="335"/>
      <c r="I19" s="335"/>
      <c r="J19" s="309" t="str">
        <f ca="1">IFERROR(IF(TipoContagem=TipoContagemEstimada,
    IF('Enriquecimento - SOA sem ETX'!$E19="","",VLOOKUP('Enriquecimento - SOA sem ETX'!$E19,Complexidade_Estimada,2,FALSE)),
    IF('Enriquecimento - SOA sem ETX'!$E19="","",INDEX(INDIRECT("Complexidade_"&amp;'Enriquecimento - SOA sem ETX'!$E19),MATCH('Enriquecimento - SOA sem ETX'!$F19,INDIRECT("Complexidade_"&amp;'Enriquecimento - SOA sem ETX'!$E19&amp;"_Arq"),1),MATCH('Enriquecimento - SOA sem ETX'!$G19,INDIRECT("Complexidade_"&amp;'Enriquecimento - SOA sem ETX'!$E19&amp;"_Ite",1))))),"")</f>
        <v/>
      </c>
      <c r="K19" s="309">
        <f>IFERROR(IF('Enriquecimento - SOA sem ETX'!$E19="",0,INDEX(Pesos_IFPUG,MATCH('Enriquecimento - SOA sem ETX'!$E19,Pesos_IFPUG_Objetos,0),MATCH('Enriquecimento - SOA sem ETX'!$J19,Pesos_IFPUG_Complexidade,0))),"")</f>
        <v>0</v>
      </c>
      <c r="L19" s="501"/>
      <c r="M19" s="502"/>
      <c r="N19" s="346" t="str">
        <f t="shared" si="0"/>
        <v/>
      </c>
      <c r="O19" s="501"/>
      <c r="P19" s="502"/>
      <c r="Q19" s="346" t="str">
        <f t="shared" si="1"/>
        <v/>
      </c>
      <c r="R19" s="501"/>
      <c r="S19" s="503"/>
      <c r="T19" s="502"/>
      <c r="U19" s="346" t="str">
        <f t="shared" si="2"/>
        <v/>
      </c>
      <c r="V19" s="347" t="str">
        <f t="shared" si="7"/>
        <v/>
      </c>
      <c r="W19" s="363">
        <f t="shared" si="3"/>
        <v>0</v>
      </c>
      <c r="X19" s="363">
        <f t="shared" si="4"/>
        <v>0</v>
      </c>
      <c r="Y19" s="363">
        <f t="shared" si="5"/>
        <v>0</v>
      </c>
      <c r="Z19" s="363">
        <f t="shared" si="6"/>
        <v>0</v>
      </c>
      <c r="AA19" s="363">
        <f t="shared" si="8"/>
        <v>0</v>
      </c>
      <c r="AB19" s="341" t="str">
        <f t="shared" ref="AB19:AB26" si="12">AC19&amp;AF19&amp;" - "&amp;AD19&amp;" - "&amp;AE19</f>
        <v>AlterarMapeamentoSimples - 1 a 15 campos - 6 a 10 campos</v>
      </c>
      <c r="AC19" s="310" t="s">
        <v>390</v>
      </c>
      <c r="AD19" s="310" t="s">
        <v>394</v>
      </c>
      <c r="AE19" s="310" t="s">
        <v>407</v>
      </c>
      <c r="AF19" s="310" t="s">
        <v>392</v>
      </c>
      <c r="AG19" s="310">
        <v>4</v>
      </c>
      <c r="AH19" s="310">
        <v>2</v>
      </c>
      <c r="AI19" s="310">
        <v>44</v>
      </c>
      <c r="AJ19" s="310">
        <v>2</v>
      </c>
      <c r="AK19" s="310">
        <f t="shared" si="10"/>
        <v>50</v>
      </c>
      <c r="AL19" s="311">
        <f t="shared" si="11"/>
        <v>48</v>
      </c>
    </row>
    <row r="20" spans="2:38" s="271" customFormat="1" x14ac:dyDescent="0.2">
      <c r="B20" s="366"/>
      <c r="C20" s="334"/>
      <c r="D20" s="335"/>
      <c r="E20" s="335"/>
      <c r="F20" s="335"/>
      <c r="G20" s="335"/>
      <c r="H20" s="335"/>
      <c r="I20" s="335"/>
      <c r="J20" s="309" t="str">
        <f ca="1">IFERROR(IF(TipoContagem=TipoContagemEstimada,
    IF('Enriquecimento - SOA sem ETX'!$E20="","",VLOOKUP('Enriquecimento - SOA sem ETX'!$E20,Complexidade_Estimada,2,FALSE)),
    IF('Enriquecimento - SOA sem ETX'!$E20="","",INDEX(INDIRECT("Complexidade_"&amp;'Enriquecimento - SOA sem ETX'!$E20),MATCH('Enriquecimento - SOA sem ETX'!$F20,INDIRECT("Complexidade_"&amp;'Enriquecimento - SOA sem ETX'!$E20&amp;"_Arq"),1),MATCH('Enriquecimento - SOA sem ETX'!$G20,INDIRECT("Complexidade_"&amp;'Enriquecimento - SOA sem ETX'!$E20&amp;"_Ite",1))))),"")</f>
        <v/>
      </c>
      <c r="K20" s="309">
        <f>IFERROR(IF('Enriquecimento - SOA sem ETX'!$E20="",0,INDEX(Pesos_IFPUG,MATCH('Enriquecimento - SOA sem ETX'!$E20,Pesos_IFPUG_Objetos,0),MATCH('Enriquecimento - SOA sem ETX'!$J20,Pesos_IFPUG_Complexidade,0))),"")</f>
        <v>0</v>
      </c>
      <c r="L20" s="501"/>
      <c r="M20" s="502"/>
      <c r="N20" s="346" t="str">
        <f t="shared" si="0"/>
        <v/>
      </c>
      <c r="O20" s="501"/>
      <c r="P20" s="502"/>
      <c r="Q20" s="346" t="str">
        <f t="shared" si="1"/>
        <v/>
      </c>
      <c r="R20" s="501"/>
      <c r="S20" s="503"/>
      <c r="T20" s="502"/>
      <c r="U20" s="346" t="str">
        <f t="shared" si="2"/>
        <v/>
      </c>
      <c r="V20" s="347" t="str">
        <f t="shared" si="7"/>
        <v/>
      </c>
      <c r="W20" s="363">
        <f t="shared" si="3"/>
        <v>0</v>
      </c>
      <c r="X20" s="363">
        <f t="shared" si="4"/>
        <v>0</v>
      </c>
      <c r="Y20" s="363">
        <f t="shared" si="5"/>
        <v>0</v>
      </c>
      <c r="Z20" s="363">
        <f t="shared" si="6"/>
        <v>0</v>
      </c>
      <c r="AA20" s="363">
        <f t="shared" si="8"/>
        <v>0</v>
      </c>
      <c r="AB20" s="341" t="str">
        <f t="shared" si="12"/>
        <v>AlterarMapeamentoSimples(+) - 1 a 15 campos - 11 a 19 campos</v>
      </c>
      <c r="AC20" s="310" t="s">
        <v>390</v>
      </c>
      <c r="AD20" s="310" t="s">
        <v>394</v>
      </c>
      <c r="AE20" s="310" t="s">
        <v>403</v>
      </c>
      <c r="AF20" s="310" t="s">
        <v>436</v>
      </c>
      <c r="AG20" s="310">
        <v>6</v>
      </c>
      <c r="AH20" s="310">
        <v>2</v>
      </c>
      <c r="AI20" s="310">
        <v>56</v>
      </c>
      <c r="AJ20" s="310">
        <v>2</v>
      </c>
      <c r="AK20" s="310">
        <f t="shared" si="10"/>
        <v>64</v>
      </c>
      <c r="AL20" s="311">
        <f t="shared" si="11"/>
        <v>60</v>
      </c>
    </row>
    <row r="21" spans="2:38" s="271" customFormat="1" x14ac:dyDescent="0.2">
      <c r="B21" s="366"/>
      <c r="C21" s="334"/>
      <c r="D21" s="335"/>
      <c r="E21" s="335"/>
      <c r="F21" s="335"/>
      <c r="G21" s="335"/>
      <c r="H21" s="335"/>
      <c r="I21" s="335"/>
      <c r="J21" s="309" t="str">
        <f ca="1">IFERROR(IF(TipoContagem=TipoContagemEstimada,
    IF('Enriquecimento - SOA sem ETX'!$E21="","",VLOOKUP('Enriquecimento - SOA sem ETX'!$E21,Complexidade_Estimada,2,FALSE)),
    IF('Enriquecimento - SOA sem ETX'!$E21="","",INDEX(INDIRECT("Complexidade_"&amp;'Enriquecimento - SOA sem ETX'!$E21),MATCH('Enriquecimento - SOA sem ETX'!$F21,INDIRECT("Complexidade_"&amp;'Enriquecimento - SOA sem ETX'!$E21&amp;"_Arq"),1),MATCH('Enriquecimento - SOA sem ETX'!$G21,INDIRECT("Complexidade_"&amp;'Enriquecimento - SOA sem ETX'!$E21&amp;"_Ite",1))))),"")</f>
        <v/>
      </c>
      <c r="K21" s="309">
        <f>IFERROR(IF('Enriquecimento - SOA sem ETX'!$E21="",0,INDEX(Pesos_IFPUG,MATCH('Enriquecimento - SOA sem ETX'!$E21,Pesos_IFPUG_Objetos,0),MATCH('Enriquecimento - SOA sem ETX'!$J21,Pesos_IFPUG_Complexidade,0))),"")</f>
        <v>0</v>
      </c>
      <c r="L21" s="501"/>
      <c r="M21" s="502"/>
      <c r="N21" s="346" t="str">
        <f t="shared" si="0"/>
        <v/>
      </c>
      <c r="O21" s="501"/>
      <c r="P21" s="502"/>
      <c r="Q21" s="346" t="str">
        <f t="shared" si="1"/>
        <v/>
      </c>
      <c r="R21" s="501"/>
      <c r="S21" s="503"/>
      <c r="T21" s="502"/>
      <c r="U21" s="346" t="str">
        <f t="shared" si="2"/>
        <v/>
      </c>
      <c r="V21" s="347" t="str">
        <f t="shared" si="7"/>
        <v/>
      </c>
      <c r="W21" s="363">
        <f t="shared" si="3"/>
        <v>0</v>
      </c>
      <c r="X21" s="363">
        <f t="shared" si="4"/>
        <v>0</v>
      </c>
      <c r="Y21" s="363">
        <f t="shared" si="5"/>
        <v>0</v>
      </c>
      <c r="Z21" s="363">
        <f t="shared" si="6"/>
        <v>0</v>
      </c>
      <c r="AA21" s="363">
        <f t="shared" si="8"/>
        <v>0</v>
      </c>
      <c r="AB21" s="341" t="str">
        <f t="shared" si="12"/>
        <v>AlterarMapeamentoMedia(-) - 16 a 49 campos - 1 a 10 campos</v>
      </c>
      <c r="AC21" s="310" t="s">
        <v>390</v>
      </c>
      <c r="AD21" s="310" t="s">
        <v>396</v>
      </c>
      <c r="AE21" s="310" t="s">
        <v>400</v>
      </c>
      <c r="AF21" s="310" t="s">
        <v>437</v>
      </c>
      <c r="AG21" s="310">
        <v>4</v>
      </c>
      <c r="AH21" s="310">
        <v>2</v>
      </c>
      <c r="AI21" s="310">
        <v>44</v>
      </c>
      <c r="AJ21" s="310">
        <v>2</v>
      </c>
      <c r="AK21" s="310">
        <f t="shared" si="10"/>
        <v>50</v>
      </c>
      <c r="AL21" s="311">
        <f t="shared" si="11"/>
        <v>48</v>
      </c>
    </row>
    <row r="22" spans="2:38" s="271" customFormat="1" x14ac:dyDescent="0.2">
      <c r="B22" s="366"/>
      <c r="C22" s="334"/>
      <c r="D22" s="335"/>
      <c r="E22" s="335"/>
      <c r="F22" s="335"/>
      <c r="G22" s="335"/>
      <c r="H22" s="335"/>
      <c r="I22" s="335"/>
      <c r="J22" s="309" t="str">
        <f ca="1">IFERROR(IF(TipoContagem=TipoContagemEstimada,
    IF('Enriquecimento - SOA sem ETX'!$E22="","",VLOOKUP('Enriquecimento - SOA sem ETX'!$E22,Complexidade_Estimada,2,FALSE)),
    IF('Enriquecimento - SOA sem ETX'!$E22="","",INDEX(INDIRECT("Complexidade_"&amp;'Enriquecimento - SOA sem ETX'!$E22),MATCH('Enriquecimento - SOA sem ETX'!$F22,INDIRECT("Complexidade_"&amp;'Enriquecimento - SOA sem ETX'!$E22&amp;"_Arq"),1),MATCH('Enriquecimento - SOA sem ETX'!$G22,INDIRECT("Complexidade_"&amp;'Enriquecimento - SOA sem ETX'!$E22&amp;"_Ite",1))))),"")</f>
        <v/>
      </c>
      <c r="K22" s="309">
        <f>IFERROR(IF('Enriquecimento - SOA sem ETX'!$E22="",0,INDEX(Pesos_IFPUG,MATCH('Enriquecimento - SOA sem ETX'!$E22,Pesos_IFPUG_Objetos,0),MATCH('Enriquecimento - SOA sem ETX'!$J22,Pesos_IFPUG_Complexidade,0))),"")</f>
        <v>0</v>
      </c>
      <c r="L22" s="501"/>
      <c r="M22" s="502"/>
      <c r="N22" s="346" t="str">
        <f t="shared" si="0"/>
        <v/>
      </c>
      <c r="O22" s="501"/>
      <c r="P22" s="502"/>
      <c r="Q22" s="346" t="str">
        <f t="shared" si="1"/>
        <v/>
      </c>
      <c r="R22" s="501"/>
      <c r="S22" s="503"/>
      <c r="T22" s="502"/>
      <c r="U22" s="346" t="str">
        <f t="shared" si="2"/>
        <v/>
      </c>
      <c r="V22" s="347" t="str">
        <f t="shared" si="7"/>
        <v/>
      </c>
      <c r="W22" s="363">
        <f t="shared" si="3"/>
        <v>0</v>
      </c>
      <c r="X22" s="363">
        <f t="shared" si="4"/>
        <v>0</v>
      </c>
      <c r="Y22" s="363">
        <f t="shared" si="5"/>
        <v>0</v>
      </c>
      <c r="Z22" s="363">
        <f t="shared" si="6"/>
        <v>0</v>
      </c>
      <c r="AA22" s="363">
        <f t="shared" si="8"/>
        <v>0</v>
      </c>
      <c r="AB22" s="341" t="str">
        <f t="shared" si="12"/>
        <v>AlterarMapeamentoMedia - 16 a 49 campos - 11 a 30 campos</v>
      </c>
      <c r="AC22" s="372" t="s">
        <v>390</v>
      </c>
      <c r="AD22" s="372" t="s">
        <v>396</v>
      </c>
      <c r="AE22" s="372" t="s">
        <v>404</v>
      </c>
      <c r="AF22" s="372" t="s">
        <v>119</v>
      </c>
      <c r="AG22" s="372">
        <v>6</v>
      </c>
      <c r="AH22" s="372">
        <v>2</v>
      </c>
      <c r="AI22" s="372">
        <v>56</v>
      </c>
      <c r="AJ22" s="372">
        <v>2</v>
      </c>
      <c r="AK22" s="372">
        <f t="shared" si="10"/>
        <v>64</v>
      </c>
      <c r="AL22" s="373">
        <f t="shared" si="11"/>
        <v>60</v>
      </c>
    </row>
    <row r="23" spans="2:38" s="271" customFormat="1" x14ac:dyDescent="0.2">
      <c r="B23" s="366"/>
      <c r="C23" s="334"/>
      <c r="D23" s="335"/>
      <c r="E23" s="335"/>
      <c r="F23" s="335"/>
      <c r="G23" s="335"/>
      <c r="H23" s="335"/>
      <c r="I23" s="335"/>
      <c r="J23" s="309" t="str">
        <f ca="1">IFERROR(IF(TipoContagem=TipoContagemEstimada,
    IF('Enriquecimento - SOA sem ETX'!$E23="","",VLOOKUP('Enriquecimento - SOA sem ETX'!$E23,Complexidade_Estimada,2,FALSE)),
    IF('Enriquecimento - SOA sem ETX'!$E23="","",INDEX(INDIRECT("Complexidade_"&amp;'Enriquecimento - SOA sem ETX'!$E23),MATCH('Enriquecimento - SOA sem ETX'!$F23,INDIRECT("Complexidade_"&amp;'Enriquecimento - SOA sem ETX'!$E23&amp;"_Arq"),1),MATCH('Enriquecimento - SOA sem ETX'!$G23,INDIRECT("Complexidade_"&amp;'Enriquecimento - SOA sem ETX'!$E23&amp;"_Ite",1))))),"")</f>
        <v/>
      </c>
      <c r="K23" s="309">
        <f>IFERROR(IF('Enriquecimento - SOA sem ETX'!$E23="",0,INDEX(Pesos_IFPUG,MATCH('Enriquecimento - SOA sem ETX'!$E23,Pesos_IFPUG_Objetos,0),MATCH('Enriquecimento - SOA sem ETX'!$J23,Pesos_IFPUG_Complexidade,0))),"")</f>
        <v>0</v>
      </c>
      <c r="L23" s="501"/>
      <c r="M23" s="502"/>
      <c r="N23" s="346" t="str">
        <f t="shared" si="0"/>
        <v/>
      </c>
      <c r="O23" s="501"/>
      <c r="P23" s="502"/>
      <c r="Q23" s="346" t="str">
        <f t="shared" si="1"/>
        <v/>
      </c>
      <c r="R23" s="501"/>
      <c r="S23" s="503"/>
      <c r="T23" s="502"/>
      <c r="U23" s="346" t="str">
        <f t="shared" si="2"/>
        <v/>
      </c>
      <c r="V23" s="347" t="str">
        <f t="shared" si="7"/>
        <v/>
      </c>
      <c r="W23" s="363">
        <f t="shared" si="3"/>
        <v>0</v>
      </c>
      <c r="X23" s="363">
        <f t="shared" si="4"/>
        <v>0</v>
      </c>
      <c r="Y23" s="363">
        <f t="shared" si="5"/>
        <v>0</v>
      </c>
      <c r="Z23" s="363">
        <f t="shared" si="6"/>
        <v>0</v>
      </c>
      <c r="AA23" s="363">
        <f t="shared" si="8"/>
        <v>0</v>
      </c>
      <c r="AB23" s="341" t="str">
        <f t="shared" si="12"/>
        <v>AlterarMapeamentoMedia(+) - 16 a 49 campos - 31 a 49 campos</v>
      </c>
      <c r="AC23" s="372" t="s">
        <v>390</v>
      </c>
      <c r="AD23" s="372" t="s">
        <v>396</v>
      </c>
      <c r="AE23" s="372" t="s">
        <v>405</v>
      </c>
      <c r="AF23" s="372" t="s">
        <v>438</v>
      </c>
      <c r="AG23" s="372">
        <v>8</v>
      </c>
      <c r="AH23" s="372">
        <v>2</v>
      </c>
      <c r="AI23" s="372">
        <v>70</v>
      </c>
      <c r="AJ23" s="372">
        <v>4</v>
      </c>
      <c r="AK23" s="372">
        <f t="shared" si="10"/>
        <v>82</v>
      </c>
      <c r="AL23" s="373">
        <f t="shared" si="11"/>
        <v>76</v>
      </c>
    </row>
    <row r="24" spans="2:38" s="271" customFormat="1" x14ac:dyDescent="0.2">
      <c r="B24" s="366"/>
      <c r="C24" s="334"/>
      <c r="D24" s="335"/>
      <c r="E24" s="335"/>
      <c r="F24" s="335"/>
      <c r="G24" s="335"/>
      <c r="H24" s="335"/>
      <c r="I24" s="335"/>
      <c r="J24" s="309" t="str">
        <f ca="1">IFERROR(IF(TipoContagem=TipoContagemEstimada,
    IF('Enriquecimento - SOA sem ETX'!$E24="","",VLOOKUP('Enriquecimento - SOA sem ETX'!$E24,Complexidade_Estimada,2,FALSE)),
    IF('Enriquecimento - SOA sem ETX'!$E24="","",INDEX(INDIRECT("Complexidade_"&amp;'Enriquecimento - SOA sem ETX'!$E24),MATCH('Enriquecimento - SOA sem ETX'!$F24,INDIRECT("Complexidade_"&amp;'Enriquecimento - SOA sem ETX'!$E24&amp;"_Arq"),1),MATCH('Enriquecimento - SOA sem ETX'!$G24,INDIRECT("Complexidade_"&amp;'Enriquecimento - SOA sem ETX'!$E24&amp;"_Ite",1))))),"")</f>
        <v/>
      </c>
      <c r="K24" s="309">
        <f>IFERROR(IF('Enriquecimento - SOA sem ETX'!$E24="",0,INDEX(Pesos_IFPUG,MATCH('Enriquecimento - SOA sem ETX'!$E24,Pesos_IFPUG_Objetos,0),MATCH('Enriquecimento - SOA sem ETX'!$J24,Pesos_IFPUG_Complexidade,0))),"")</f>
        <v>0</v>
      </c>
      <c r="L24" s="501"/>
      <c r="M24" s="502"/>
      <c r="N24" s="346" t="str">
        <f t="shared" si="0"/>
        <v/>
      </c>
      <c r="O24" s="501"/>
      <c r="P24" s="502"/>
      <c r="Q24" s="346" t="str">
        <f t="shared" si="1"/>
        <v/>
      </c>
      <c r="R24" s="501"/>
      <c r="S24" s="503"/>
      <c r="T24" s="502"/>
      <c r="U24" s="346" t="str">
        <f t="shared" si="2"/>
        <v/>
      </c>
      <c r="V24" s="347" t="str">
        <f t="shared" si="7"/>
        <v/>
      </c>
      <c r="W24" s="363">
        <f t="shared" si="3"/>
        <v>0</v>
      </c>
      <c r="X24" s="363">
        <f t="shared" si="4"/>
        <v>0</v>
      </c>
      <c r="Y24" s="363">
        <f t="shared" si="5"/>
        <v>0</v>
      </c>
      <c r="Z24" s="363">
        <f t="shared" si="6"/>
        <v>0</v>
      </c>
      <c r="AA24" s="363">
        <f t="shared" si="8"/>
        <v>0</v>
      </c>
      <c r="AB24" s="341" t="str">
        <f t="shared" si="12"/>
        <v>AlterarMapeamentoComplexa(-) - Acima de 50 campos - 1 a 30 campos</v>
      </c>
      <c r="AC24" s="310" t="s">
        <v>390</v>
      </c>
      <c r="AD24" s="310" t="s">
        <v>398</v>
      </c>
      <c r="AE24" s="310" t="s">
        <v>401</v>
      </c>
      <c r="AF24" s="310" t="s">
        <v>439</v>
      </c>
      <c r="AG24" s="310">
        <v>6</v>
      </c>
      <c r="AH24" s="310">
        <v>2</v>
      </c>
      <c r="AI24" s="310">
        <v>56</v>
      </c>
      <c r="AJ24" s="310">
        <v>2</v>
      </c>
      <c r="AK24" s="310">
        <f t="shared" si="10"/>
        <v>64</v>
      </c>
      <c r="AL24" s="311">
        <f t="shared" si="11"/>
        <v>60</v>
      </c>
    </row>
    <row r="25" spans="2:38" s="271" customFormat="1" x14ac:dyDescent="0.2">
      <c r="B25" s="366"/>
      <c r="C25" s="334"/>
      <c r="D25" s="335"/>
      <c r="E25" s="335"/>
      <c r="F25" s="335"/>
      <c r="G25" s="335"/>
      <c r="H25" s="335"/>
      <c r="I25" s="335"/>
      <c r="J25" s="309" t="str">
        <f ca="1">IFERROR(IF(TipoContagem=TipoContagemEstimada,
    IF('Enriquecimento - SOA sem ETX'!$E25="","",VLOOKUP('Enriquecimento - SOA sem ETX'!$E25,Complexidade_Estimada,2,FALSE)),
    IF('Enriquecimento - SOA sem ETX'!$E25="","",INDEX(INDIRECT("Complexidade_"&amp;'Enriquecimento - SOA sem ETX'!$E25),MATCH('Enriquecimento - SOA sem ETX'!$F25,INDIRECT("Complexidade_"&amp;'Enriquecimento - SOA sem ETX'!$E25&amp;"_Arq"),1),MATCH('Enriquecimento - SOA sem ETX'!$G25,INDIRECT("Complexidade_"&amp;'Enriquecimento - SOA sem ETX'!$E25&amp;"_Ite",1))))),"")</f>
        <v/>
      </c>
      <c r="K25" s="309">
        <f>IFERROR(IF('Enriquecimento - SOA sem ETX'!$E25="",0,INDEX(Pesos_IFPUG,MATCH('Enriquecimento - SOA sem ETX'!$E25,Pesos_IFPUG_Objetos,0),MATCH('Enriquecimento - SOA sem ETX'!$J25,Pesos_IFPUG_Complexidade,0))),"")</f>
        <v>0</v>
      </c>
      <c r="L25" s="501"/>
      <c r="M25" s="502"/>
      <c r="N25" s="346" t="str">
        <f t="shared" si="0"/>
        <v/>
      </c>
      <c r="O25" s="501"/>
      <c r="P25" s="502"/>
      <c r="Q25" s="346" t="str">
        <f t="shared" si="1"/>
        <v/>
      </c>
      <c r="R25" s="501"/>
      <c r="S25" s="503"/>
      <c r="T25" s="502"/>
      <c r="U25" s="346" t="str">
        <f t="shared" si="2"/>
        <v/>
      </c>
      <c r="V25" s="347" t="str">
        <f t="shared" si="7"/>
        <v/>
      </c>
      <c r="W25" s="363">
        <f t="shared" si="3"/>
        <v>0</v>
      </c>
      <c r="X25" s="363">
        <f t="shared" si="4"/>
        <v>0</v>
      </c>
      <c r="Y25" s="363">
        <f t="shared" si="5"/>
        <v>0</v>
      </c>
      <c r="Z25" s="363">
        <f t="shared" si="6"/>
        <v>0</v>
      </c>
      <c r="AA25" s="363">
        <f t="shared" si="8"/>
        <v>0</v>
      </c>
      <c r="AB25" s="341" t="str">
        <f t="shared" si="12"/>
        <v>AlterarMapeamentoComplexa - Acima de 50 campos - 31 a 50 campos</v>
      </c>
      <c r="AC25" s="310" t="s">
        <v>390</v>
      </c>
      <c r="AD25" s="310" t="s">
        <v>398</v>
      </c>
      <c r="AE25" s="310" t="s">
        <v>406</v>
      </c>
      <c r="AF25" s="310" t="s">
        <v>393</v>
      </c>
      <c r="AG25" s="310">
        <v>8</v>
      </c>
      <c r="AH25" s="310">
        <v>2</v>
      </c>
      <c r="AI25" s="310">
        <v>70</v>
      </c>
      <c r="AJ25" s="310">
        <v>4</v>
      </c>
      <c r="AK25" s="310">
        <f t="shared" si="10"/>
        <v>82</v>
      </c>
      <c r="AL25" s="311">
        <f t="shared" si="11"/>
        <v>76</v>
      </c>
    </row>
    <row r="26" spans="2:38" s="271" customFormat="1" x14ac:dyDescent="0.2">
      <c r="B26" s="366"/>
      <c r="C26" s="334"/>
      <c r="D26" s="335"/>
      <c r="E26" s="335"/>
      <c r="F26" s="335"/>
      <c r="G26" s="335"/>
      <c r="H26" s="335"/>
      <c r="I26" s="335"/>
      <c r="J26" s="309" t="str">
        <f ca="1">IFERROR(IF(TipoContagem=TipoContagemEstimada,
    IF('Enriquecimento - SOA sem ETX'!$E26="","",VLOOKUP('Enriquecimento - SOA sem ETX'!$E26,Complexidade_Estimada,2,FALSE)),
    IF('Enriquecimento - SOA sem ETX'!$E26="","",INDEX(INDIRECT("Complexidade_"&amp;'Enriquecimento - SOA sem ETX'!$E26),MATCH('Enriquecimento - SOA sem ETX'!$F26,INDIRECT("Complexidade_"&amp;'Enriquecimento - SOA sem ETX'!$E26&amp;"_Arq"),1),MATCH('Enriquecimento - SOA sem ETX'!$G26,INDIRECT("Complexidade_"&amp;'Enriquecimento - SOA sem ETX'!$E26&amp;"_Ite",1))))),"")</f>
        <v/>
      </c>
      <c r="K26" s="309">
        <f>IFERROR(IF('Enriquecimento - SOA sem ETX'!$E26="",0,INDEX(Pesos_IFPUG,MATCH('Enriquecimento - SOA sem ETX'!$E26,Pesos_IFPUG_Objetos,0),MATCH('Enriquecimento - SOA sem ETX'!$J26,Pesos_IFPUG_Complexidade,0))),"")</f>
        <v>0</v>
      </c>
      <c r="L26" s="501"/>
      <c r="M26" s="502"/>
      <c r="N26" s="346" t="str">
        <f t="shared" si="0"/>
        <v/>
      </c>
      <c r="O26" s="501"/>
      <c r="P26" s="502"/>
      <c r="Q26" s="346" t="str">
        <f t="shared" si="1"/>
        <v/>
      </c>
      <c r="R26" s="501"/>
      <c r="S26" s="503"/>
      <c r="T26" s="502"/>
      <c r="U26" s="346" t="str">
        <f t="shared" si="2"/>
        <v/>
      </c>
      <c r="V26" s="347" t="str">
        <f t="shared" si="7"/>
        <v/>
      </c>
      <c r="W26" s="363">
        <f t="shared" si="3"/>
        <v>0</v>
      </c>
      <c r="X26" s="363">
        <f t="shared" si="4"/>
        <v>0</v>
      </c>
      <c r="Y26" s="363">
        <f t="shared" si="5"/>
        <v>0</v>
      </c>
      <c r="Z26" s="363">
        <f t="shared" si="6"/>
        <v>0</v>
      </c>
      <c r="AA26" s="363">
        <f t="shared" si="8"/>
        <v>0</v>
      </c>
      <c r="AB26" s="341" t="str">
        <f t="shared" si="12"/>
        <v>AlterarMapeamentoComplexa(+) - Acima de 50 campos - Acima de 50</v>
      </c>
      <c r="AC26" s="310" t="s">
        <v>390</v>
      </c>
      <c r="AD26" s="310" t="s">
        <v>398</v>
      </c>
      <c r="AE26" s="310" t="s">
        <v>408</v>
      </c>
      <c r="AF26" s="310" t="s">
        <v>440</v>
      </c>
      <c r="AG26" s="310">
        <v>10</v>
      </c>
      <c r="AH26" s="310">
        <v>2</v>
      </c>
      <c r="AI26" s="310">
        <v>84</v>
      </c>
      <c r="AJ26" s="310">
        <v>4</v>
      </c>
      <c r="AK26" s="310">
        <f t="shared" si="10"/>
        <v>98</v>
      </c>
      <c r="AL26" s="311">
        <f t="shared" si="11"/>
        <v>90</v>
      </c>
    </row>
    <row r="27" spans="2:38" s="271" customFormat="1" x14ac:dyDescent="0.2">
      <c r="B27" s="366"/>
      <c r="C27" s="334"/>
      <c r="D27" s="335"/>
      <c r="E27" s="335"/>
      <c r="F27" s="335"/>
      <c r="G27" s="335"/>
      <c r="H27" s="335"/>
      <c r="I27" s="335"/>
      <c r="J27" s="309" t="str">
        <f ca="1">IFERROR(IF(TipoContagem=TipoContagemEstimada,
    IF('Enriquecimento - SOA sem ETX'!$E27="","",VLOOKUP('Enriquecimento - SOA sem ETX'!$E27,Complexidade_Estimada,2,FALSE)),
    IF('Enriquecimento - SOA sem ETX'!$E27="","",INDEX(INDIRECT("Complexidade_"&amp;'Enriquecimento - SOA sem ETX'!$E27),MATCH('Enriquecimento - SOA sem ETX'!$F27,INDIRECT("Complexidade_"&amp;'Enriquecimento - SOA sem ETX'!$E27&amp;"_Arq"),1),MATCH('Enriquecimento - SOA sem ETX'!$G27,INDIRECT("Complexidade_"&amp;'Enriquecimento - SOA sem ETX'!$E27&amp;"_Ite",1))))),"")</f>
        <v/>
      </c>
      <c r="K27" s="309">
        <f>IFERROR(IF('Enriquecimento - SOA sem ETX'!$E27="",0,INDEX(Pesos_IFPUG,MATCH('Enriquecimento - SOA sem ETX'!$E27,Pesos_IFPUG_Objetos,0),MATCH('Enriquecimento - SOA sem ETX'!$J27,Pesos_IFPUG_Complexidade,0))),"")</f>
        <v>0</v>
      </c>
      <c r="L27" s="501"/>
      <c r="M27" s="502"/>
      <c r="N27" s="346" t="str">
        <f t="shared" si="0"/>
        <v/>
      </c>
      <c r="O27" s="501"/>
      <c r="P27" s="502"/>
      <c r="Q27" s="346" t="str">
        <f t="shared" si="1"/>
        <v/>
      </c>
      <c r="R27" s="501"/>
      <c r="S27" s="503"/>
      <c r="T27" s="502"/>
      <c r="U27" s="346" t="str">
        <f t="shared" si="2"/>
        <v/>
      </c>
      <c r="V27" s="347" t="str">
        <f t="shared" si="7"/>
        <v/>
      </c>
      <c r="W27" s="363">
        <f t="shared" si="3"/>
        <v>0</v>
      </c>
      <c r="X27" s="363">
        <f t="shared" si="4"/>
        <v>0</v>
      </c>
      <c r="Y27" s="363">
        <f t="shared" si="5"/>
        <v>0</v>
      </c>
      <c r="Z27" s="363">
        <f t="shared" si="6"/>
        <v>0</v>
      </c>
      <c r="AA27" s="363">
        <f t="shared" si="8"/>
        <v>0</v>
      </c>
      <c r="AB27" s="341"/>
      <c r="AC27" s="315"/>
      <c r="AD27" s="315"/>
      <c r="AE27" s="315"/>
      <c r="AF27" s="315"/>
      <c r="AG27" s="315"/>
      <c r="AH27" s="315"/>
      <c r="AI27" s="315"/>
      <c r="AJ27" s="315"/>
      <c r="AK27" s="315"/>
      <c r="AL27" s="316"/>
    </row>
    <row r="28" spans="2:38" s="271" customFormat="1" x14ac:dyDescent="0.2">
      <c r="B28" s="366"/>
      <c r="C28" s="334"/>
      <c r="D28" s="335"/>
      <c r="E28" s="335"/>
      <c r="F28" s="335"/>
      <c r="G28" s="335"/>
      <c r="H28" s="335"/>
      <c r="I28" s="335"/>
      <c r="J28" s="309" t="str">
        <f ca="1">IFERROR(IF(TipoContagem=TipoContagemEstimada,
    IF('Enriquecimento - SOA sem ETX'!$E28="","",VLOOKUP('Enriquecimento - SOA sem ETX'!$E28,Complexidade_Estimada,2,FALSE)),
    IF('Enriquecimento - SOA sem ETX'!$E28="","",INDEX(INDIRECT("Complexidade_"&amp;'Enriquecimento - SOA sem ETX'!$E28),MATCH('Enriquecimento - SOA sem ETX'!$F28,INDIRECT("Complexidade_"&amp;'Enriquecimento - SOA sem ETX'!$E28&amp;"_Arq"),1),MATCH('Enriquecimento - SOA sem ETX'!$G28,INDIRECT("Complexidade_"&amp;'Enriquecimento - SOA sem ETX'!$E28&amp;"_Ite",1))))),"")</f>
        <v/>
      </c>
      <c r="K28" s="309">
        <f>IFERROR(IF('Enriquecimento - SOA sem ETX'!$E28="",0,INDEX(Pesos_IFPUG,MATCH('Enriquecimento - SOA sem ETX'!$E28,Pesos_IFPUG_Objetos,0),MATCH('Enriquecimento - SOA sem ETX'!$J28,Pesos_IFPUG_Complexidade,0))),"")</f>
        <v>0</v>
      </c>
      <c r="L28" s="501"/>
      <c r="M28" s="502"/>
      <c r="N28" s="346" t="str">
        <f t="shared" si="0"/>
        <v/>
      </c>
      <c r="O28" s="501"/>
      <c r="P28" s="502"/>
      <c r="Q28" s="346" t="str">
        <f t="shared" si="1"/>
        <v/>
      </c>
      <c r="R28" s="501"/>
      <c r="S28" s="503"/>
      <c r="T28" s="502"/>
      <c r="U28" s="346" t="str">
        <f t="shared" si="2"/>
        <v/>
      </c>
      <c r="V28" s="347" t="str">
        <f t="shared" si="7"/>
        <v/>
      </c>
      <c r="W28" s="363">
        <f t="shared" si="3"/>
        <v>0</v>
      </c>
      <c r="X28" s="363">
        <f t="shared" si="4"/>
        <v>0</v>
      </c>
      <c r="Y28" s="363">
        <f t="shared" si="5"/>
        <v>0</v>
      </c>
      <c r="Z28" s="363">
        <f t="shared" si="6"/>
        <v>0</v>
      </c>
      <c r="AA28" s="363">
        <f t="shared" si="8"/>
        <v>0</v>
      </c>
      <c r="AB28" s="341"/>
      <c r="AC28" s="315"/>
      <c r="AD28" s="315"/>
      <c r="AE28" s="315"/>
      <c r="AF28" s="315"/>
      <c r="AG28" s="315"/>
      <c r="AH28" s="315"/>
      <c r="AI28" s="315"/>
      <c r="AJ28" s="315"/>
      <c r="AK28" s="315"/>
      <c r="AL28" s="316"/>
    </row>
    <row r="29" spans="2:38" s="271" customFormat="1" x14ac:dyDescent="0.2">
      <c r="B29" s="366"/>
      <c r="C29" s="334"/>
      <c r="D29" s="335"/>
      <c r="E29" s="335"/>
      <c r="F29" s="335"/>
      <c r="G29" s="335"/>
      <c r="H29" s="335"/>
      <c r="I29" s="335"/>
      <c r="J29" s="309" t="str">
        <f ca="1">IFERROR(IF(TipoContagem=TipoContagemEstimada,
    IF('Enriquecimento - SOA sem ETX'!$E29="","",VLOOKUP('Enriquecimento - SOA sem ETX'!$E29,Complexidade_Estimada,2,FALSE)),
    IF('Enriquecimento - SOA sem ETX'!$E29="","",INDEX(INDIRECT("Complexidade_"&amp;'Enriquecimento - SOA sem ETX'!$E29),MATCH('Enriquecimento - SOA sem ETX'!$F29,INDIRECT("Complexidade_"&amp;'Enriquecimento - SOA sem ETX'!$E29&amp;"_Arq"),1),MATCH('Enriquecimento - SOA sem ETX'!$G29,INDIRECT("Complexidade_"&amp;'Enriquecimento - SOA sem ETX'!$E29&amp;"_Ite",1))))),"")</f>
        <v/>
      </c>
      <c r="K29" s="309">
        <f>IFERROR(IF('Enriquecimento - SOA sem ETX'!$E29="",0,INDEX(Pesos_IFPUG,MATCH('Enriquecimento - SOA sem ETX'!$E29,Pesos_IFPUG_Objetos,0),MATCH('Enriquecimento - SOA sem ETX'!$J29,Pesos_IFPUG_Complexidade,0))),"")</f>
        <v>0</v>
      </c>
      <c r="L29" s="501"/>
      <c r="M29" s="502"/>
      <c r="N29" s="346" t="str">
        <f t="shared" si="0"/>
        <v/>
      </c>
      <c r="O29" s="501"/>
      <c r="P29" s="502"/>
      <c r="Q29" s="346" t="str">
        <f t="shared" si="1"/>
        <v/>
      </c>
      <c r="R29" s="501"/>
      <c r="S29" s="503"/>
      <c r="T29" s="502"/>
      <c r="U29" s="346" t="str">
        <f t="shared" si="2"/>
        <v/>
      </c>
      <c r="V29" s="347" t="str">
        <f t="shared" si="7"/>
        <v/>
      </c>
      <c r="W29" s="363">
        <f t="shared" si="3"/>
        <v>0</v>
      </c>
      <c r="X29" s="363">
        <f t="shared" si="4"/>
        <v>0</v>
      </c>
      <c r="Y29" s="363">
        <f t="shared" si="5"/>
        <v>0</v>
      </c>
      <c r="Z29" s="363">
        <f t="shared" si="6"/>
        <v>0</v>
      </c>
      <c r="AA29" s="363">
        <f t="shared" si="8"/>
        <v>0</v>
      </c>
      <c r="AB29" s="329"/>
      <c r="AC29" s="315"/>
      <c r="AD29" s="315"/>
      <c r="AE29" s="315"/>
      <c r="AF29" s="315"/>
      <c r="AG29" s="315"/>
      <c r="AH29" s="315"/>
      <c r="AI29" s="315"/>
      <c r="AJ29" s="315"/>
      <c r="AK29" s="315"/>
      <c r="AL29" s="316"/>
    </row>
    <row r="30" spans="2:38" s="271" customFormat="1" x14ac:dyDescent="0.2">
      <c r="B30" s="366"/>
      <c r="C30" s="334"/>
      <c r="D30" s="335"/>
      <c r="E30" s="335"/>
      <c r="F30" s="335"/>
      <c r="G30" s="335"/>
      <c r="H30" s="335"/>
      <c r="I30" s="335"/>
      <c r="J30" s="309" t="str">
        <f ca="1">IFERROR(IF(TipoContagem=TipoContagemEstimada,
    IF('Enriquecimento - SOA sem ETX'!$E30="","",VLOOKUP('Enriquecimento - SOA sem ETX'!$E30,Complexidade_Estimada,2,FALSE)),
    IF('Enriquecimento - SOA sem ETX'!$E30="","",INDEX(INDIRECT("Complexidade_"&amp;'Enriquecimento - SOA sem ETX'!$E30),MATCH('Enriquecimento - SOA sem ETX'!$F30,INDIRECT("Complexidade_"&amp;'Enriquecimento - SOA sem ETX'!$E30&amp;"_Arq"),1),MATCH('Enriquecimento - SOA sem ETX'!$G30,INDIRECT("Complexidade_"&amp;'Enriquecimento - SOA sem ETX'!$E30&amp;"_Ite",1))))),"")</f>
        <v/>
      </c>
      <c r="K30" s="309">
        <f>IFERROR(IF('Enriquecimento - SOA sem ETX'!$E30="",0,INDEX(Pesos_IFPUG,MATCH('Enriquecimento - SOA sem ETX'!$E30,Pesos_IFPUG_Objetos,0),MATCH('Enriquecimento - SOA sem ETX'!$J30,Pesos_IFPUG_Complexidade,0))),"")</f>
        <v>0</v>
      </c>
      <c r="L30" s="501"/>
      <c r="M30" s="502"/>
      <c r="N30" s="346" t="str">
        <f t="shared" si="0"/>
        <v/>
      </c>
      <c r="O30" s="501"/>
      <c r="P30" s="502"/>
      <c r="Q30" s="346" t="str">
        <f t="shared" si="1"/>
        <v/>
      </c>
      <c r="R30" s="501"/>
      <c r="S30" s="503"/>
      <c r="T30" s="502"/>
      <c r="U30" s="346" t="str">
        <f t="shared" si="2"/>
        <v/>
      </c>
      <c r="V30" s="347" t="str">
        <f t="shared" si="7"/>
        <v/>
      </c>
      <c r="W30" s="363">
        <f t="shared" si="3"/>
        <v>0</v>
      </c>
      <c r="X30" s="363">
        <f t="shared" si="4"/>
        <v>0</v>
      </c>
      <c r="Y30" s="363">
        <f t="shared" si="5"/>
        <v>0</v>
      </c>
      <c r="Z30" s="363">
        <f t="shared" si="6"/>
        <v>0</v>
      </c>
      <c r="AA30" s="363">
        <f t="shared" si="8"/>
        <v>0</v>
      </c>
      <c r="AB30" s="341"/>
      <c r="AC30" s="315"/>
      <c r="AD30" s="315"/>
      <c r="AE30" s="315"/>
      <c r="AF30" s="315"/>
      <c r="AG30" s="315"/>
      <c r="AH30" s="315"/>
      <c r="AI30" s="315"/>
      <c r="AJ30" s="315"/>
      <c r="AK30" s="315"/>
      <c r="AL30" s="316"/>
    </row>
    <row r="31" spans="2:38" x14ac:dyDescent="0.2">
      <c r="B31" s="366"/>
      <c r="C31" s="334"/>
      <c r="D31" s="335"/>
      <c r="E31" s="335"/>
      <c r="F31" s="335"/>
      <c r="G31" s="335"/>
      <c r="H31" s="335"/>
      <c r="I31" s="335"/>
      <c r="J31" s="309" t="str">
        <f ca="1">IFERROR(IF(TipoContagem=TipoContagemEstimada,
    IF('Enriquecimento - SOA sem ETX'!$E31="","",VLOOKUP('Enriquecimento - SOA sem ETX'!$E31,Complexidade_Estimada,2,FALSE)),
    IF('Enriquecimento - SOA sem ETX'!$E31="","",INDEX(INDIRECT("Complexidade_"&amp;'Enriquecimento - SOA sem ETX'!$E31),MATCH('Enriquecimento - SOA sem ETX'!$F31,INDIRECT("Complexidade_"&amp;'Enriquecimento - SOA sem ETX'!$E31&amp;"_Arq"),1),MATCH('Enriquecimento - SOA sem ETX'!$G31,INDIRECT("Complexidade_"&amp;'Enriquecimento - SOA sem ETX'!$E31&amp;"_Ite",1))))),"")</f>
        <v/>
      </c>
      <c r="K31" s="309">
        <f>IFERROR(IF('Enriquecimento - SOA sem ETX'!$E31="",0,INDEX(Pesos_IFPUG,MATCH('Enriquecimento - SOA sem ETX'!$E31,Pesos_IFPUG_Objetos,0),MATCH('Enriquecimento - SOA sem ETX'!$J31,Pesos_IFPUG_Complexidade,0))),"")</f>
        <v>0</v>
      </c>
      <c r="L31" s="501"/>
      <c r="M31" s="502"/>
      <c r="N31" s="346" t="str">
        <f t="shared" si="0"/>
        <v/>
      </c>
      <c r="O31" s="501"/>
      <c r="P31" s="502"/>
      <c r="Q31" s="346" t="str">
        <f t="shared" si="1"/>
        <v/>
      </c>
      <c r="R31" s="501"/>
      <c r="S31" s="503"/>
      <c r="T31" s="502"/>
      <c r="U31" s="346" t="str">
        <f t="shared" si="2"/>
        <v/>
      </c>
      <c r="V31" s="347" t="str">
        <f t="shared" si="7"/>
        <v/>
      </c>
      <c r="W31" s="363">
        <f t="shared" si="3"/>
        <v>0</v>
      </c>
      <c r="X31" s="363">
        <f t="shared" si="4"/>
        <v>0</v>
      </c>
      <c r="Y31" s="363">
        <f t="shared" si="5"/>
        <v>0</v>
      </c>
      <c r="Z31" s="363">
        <f t="shared" si="6"/>
        <v>0</v>
      </c>
      <c r="AA31" s="363">
        <f t="shared" si="8"/>
        <v>0</v>
      </c>
      <c r="AB31" s="329"/>
      <c r="AC31" s="322" t="s">
        <v>421</v>
      </c>
      <c r="AD31" s="322" t="s">
        <v>4</v>
      </c>
      <c r="AE31" s="322" t="s">
        <v>387</v>
      </c>
      <c r="AF31" s="322" t="s">
        <v>422</v>
      </c>
      <c r="AG31" s="315"/>
      <c r="AH31" s="315"/>
      <c r="AI31" s="315"/>
      <c r="AJ31" s="315"/>
      <c r="AK31" s="315"/>
      <c r="AL31" s="316"/>
    </row>
    <row r="32" spans="2:38" x14ac:dyDescent="0.2">
      <c r="B32" s="366"/>
      <c r="C32" s="334"/>
      <c r="D32" s="335"/>
      <c r="E32" s="335"/>
      <c r="F32" s="335"/>
      <c r="G32" s="335"/>
      <c r="H32" s="335"/>
      <c r="I32" s="335"/>
      <c r="J32" s="309" t="str">
        <f ca="1">IFERROR(IF(TipoContagem=TipoContagemEstimada,
    IF('Enriquecimento - SOA sem ETX'!$E32="","",VLOOKUP('Enriquecimento - SOA sem ETX'!$E32,Complexidade_Estimada,2,FALSE)),
    IF('Enriquecimento - SOA sem ETX'!$E32="","",INDEX(INDIRECT("Complexidade_"&amp;'Enriquecimento - SOA sem ETX'!$E32),MATCH('Enriquecimento - SOA sem ETX'!$F32,INDIRECT("Complexidade_"&amp;'Enriquecimento - SOA sem ETX'!$E32&amp;"_Arq"),1),MATCH('Enriquecimento - SOA sem ETX'!$G32,INDIRECT("Complexidade_"&amp;'Enriquecimento - SOA sem ETX'!$E32&amp;"_Ite",1))))),"")</f>
        <v/>
      </c>
      <c r="K32" s="309">
        <f>IFERROR(IF('Enriquecimento - SOA sem ETX'!$E32="",0,INDEX(Pesos_IFPUG,MATCH('Enriquecimento - SOA sem ETX'!$E32,Pesos_IFPUG_Objetos,0),MATCH('Enriquecimento - SOA sem ETX'!$J32,Pesos_IFPUG_Complexidade,0))),"")</f>
        <v>0</v>
      </c>
      <c r="L32" s="501"/>
      <c r="M32" s="502"/>
      <c r="N32" s="346" t="str">
        <f t="shared" si="0"/>
        <v/>
      </c>
      <c r="O32" s="501"/>
      <c r="P32" s="502"/>
      <c r="Q32" s="346" t="str">
        <f t="shared" si="1"/>
        <v/>
      </c>
      <c r="R32" s="501"/>
      <c r="S32" s="503"/>
      <c r="T32" s="502"/>
      <c r="U32" s="346" t="str">
        <f t="shared" si="2"/>
        <v/>
      </c>
      <c r="V32" s="347" t="str">
        <f t="shared" si="7"/>
        <v/>
      </c>
      <c r="W32" s="363">
        <f t="shared" si="3"/>
        <v>0</v>
      </c>
      <c r="X32" s="363">
        <f t="shared" si="4"/>
        <v>0</v>
      </c>
      <c r="Y32" s="363">
        <f t="shared" si="5"/>
        <v>0</v>
      </c>
      <c r="Z32" s="363">
        <f t="shared" si="6"/>
        <v>0</v>
      </c>
      <c r="AA32" s="363">
        <f t="shared" si="8"/>
        <v>0</v>
      </c>
      <c r="AB32" s="341" t="s">
        <v>434</v>
      </c>
      <c r="AC32" s="321" t="str">
        <f>AD32&amp;" - "&amp;AE32</f>
        <v>Simples - 1 a 19 campos</v>
      </c>
      <c r="AD32" s="321" t="s">
        <v>392</v>
      </c>
      <c r="AE32" s="321" t="s">
        <v>395</v>
      </c>
      <c r="AF32" s="28" t="s">
        <v>96</v>
      </c>
      <c r="AG32" s="315"/>
      <c r="AH32" s="315"/>
      <c r="AI32" s="315"/>
      <c r="AJ32" s="315"/>
      <c r="AK32" s="315"/>
      <c r="AL32" s="316"/>
    </row>
    <row r="33" spans="2:38" x14ac:dyDescent="0.2">
      <c r="B33" s="366"/>
      <c r="C33" s="334"/>
      <c r="D33" s="335"/>
      <c r="E33" s="335"/>
      <c r="F33" s="335"/>
      <c r="G33" s="335"/>
      <c r="H33" s="335"/>
      <c r="I33" s="335"/>
      <c r="J33" s="309" t="str">
        <f ca="1">IFERROR(IF(TipoContagem=TipoContagemEstimada,
    IF('Enriquecimento - SOA sem ETX'!$E33="","",VLOOKUP('Enriquecimento - SOA sem ETX'!$E33,Complexidade_Estimada,2,FALSE)),
    IF('Enriquecimento - SOA sem ETX'!$E33="","",INDEX(INDIRECT("Complexidade_"&amp;'Enriquecimento - SOA sem ETX'!$E33),MATCH('Enriquecimento - SOA sem ETX'!$F33,INDIRECT("Complexidade_"&amp;'Enriquecimento - SOA sem ETX'!$E33&amp;"_Arq"),1),MATCH('Enriquecimento - SOA sem ETX'!$G33,INDIRECT("Complexidade_"&amp;'Enriquecimento - SOA sem ETX'!$E33&amp;"_Ite",1))))),"")</f>
        <v/>
      </c>
      <c r="K33" s="309">
        <f>IFERROR(IF('Enriquecimento - SOA sem ETX'!$E33="",0,INDEX(Pesos_IFPUG,MATCH('Enriquecimento - SOA sem ETX'!$E33,Pesos_IFPUG_Objetos,0),MATCH('Enriquecimento - SOA sem ETX'!$J33,Pesos_IFPUG_Complexidade,0))),"")</f>
        <v>0</v>
      </c>
      <c r="L33" s="501"/>
      <c r="M33" s="502"/>
      <c r="N33" s="346" t="str">
        <f t="shared" si="0"/>
        <v/>
      </c>
      <c r="O33" s="501"/>
      <c r="P33" s="502"/>
      <c r="Q33" s="346" t="str">
        <f t="shared" si="1"/>
        <v/>
      </c>
      <c r="R33" s="501"/>
      <c r="S33" s="503"/>
      <c r="T33" s="502"/>
      <c r="U33" s="346" t="str">
        <f t="shared" si="2"/>
        <v/>
      </c>
      <c r="V33" s="347" t="str">
        <f t="shared" si="7"/>
        <v/>
      </c>
      <c r="W33" s="363">
        <f t="shared" si="3"/>
        <v>0</v>
      </c>
      <c r="X33" s="363">
        <f t="shared" si="4"/>
        <v>0</v>
      </c>
      <c r="Y33" s="363">
        <f t="shared" si="5"/>
        <v>0</v>
      </c>
      <c r="Z33" s="363">
        <f t="shared" si="6"/>
        <v>0</v>
      </c>
      <c r="AA33" s="363">
        <f t="shared" si="8"/>
        <v>0</v>
      </c>
      <c r="AB33" s="329"/>
      <c r="AC33" s="321" t="str">
        <f>AD33&amp;" - "&amp;AE33</f>
        <v>Media - 20 a 49 campos</v>
      </c>
      <c r="AD33" s="321" t="s">
        <v>119</v>
      </c>
      <c r="AE33" s="321" t="s">
        <v>397</v>
      </c>
      <c r="AF33" s="28" t="s">
        <v>96</v>
      </c>
      <c r="AG33" s="315"/>
      <c r="AH33" s="315"/>
      <c r="AI33" s="315"/>
      <c r="AJ33" s="315"/>
      <c r="AK33" s="315"/>
      <c r="AL33" s="316"/>
    </row>
    <row r="34" spans="2:38" x14ac:dyDescent="0.2">
      <c r="B34" s="366"/>
      <c r="C34" s="334"/>
      <c r="D34" s="335"/>
      <c r="E34" s="335"/>
      <c r="F34" s="335"/>
      <c r="G34" s="335"/>
      <c r="H34" s="335"/>
      <c r="I34" s="335"/>
      <c r="J34" s="309" t="str">
        <f ca="1">IFERROR(IF(TipoContagem=TipoContagemEstimada,
    IF('Enriquecimento - SOA sem ETX'!$E34="","",VLOOKUP('Enriquecimento - SOA sem ETX'!$E34,Complexidade_Estimada,2,FALSE)),
    IF('Enriquecimento - SOA sem ETX'!$E34="","",INDEX(INDIRECT("Complexidade_"&amp;'Enriquecimento - SOA sem ETX'!$E34),MATCH('Enriquecimento - SOA sem ETX'!$F34,INDIRECT("Complexidade_"&amp;'Enriquecimento - SOA sem ETX'!$E34&amp;"_Arq"),1),MATCH('Enriquecimento - SOA sem ETX'!$G34,INDIRECT("Complexidade_"&amp;'Enriquecimento - SOA sem ETX'!$E34&amp;"_Ite",1))))),"")</f>
        <v/>
      </c>
      <c r="K34" s="309">
        <f>IFERROR(IF('Enriquecimento - SOA sem ETX'!$E34="",0,INDEX(Pesos_IFPUG,MATCH('Enriquecimento - SOA sem ETX'!$E34,Pesos_IFPUG_Objetos,0),MATCH('Enriquecimento - SOA sem ETX'!$J34,Pesos_IFPUG_Complexidade,0))),"")</f>
        <v>0</v>
      </c>
      <c r="L34" s="501"/>
      <c r="M34" s="502"/>
      <c r="N34" s="346" t="str">
        <f t="shared" si="0"/>
        <v/>
      </c>
      <c r="O34" s="501"/>
      <c r="P34" s="502"/>
      <c r="Q34" s="346" t="str">
        <f t="shared" si="1"/>
        <v/>
      </c>
      <c r="R34" s="501"/>
      <c r="S34" s="503"/>
      <c r="T34" s="502"/>
      <c r="U34" s="346" t="str">
        <f t="shared" si="2"/>
        <v/>
      </c>
      <c r="V34" s="347" t="str">
        <f t="shared" si="7"/>
        <v/>
      </c>
      <c r="W34" s="363">
        <f t="shared" si="3"/>
        <v>0</v>
      </c>
      <c r="X34" s="363">
        <f t="shared" si="4"/>
        <v>0</v>
      </c>
      <c r="Y34" s="363">
        <f t="shared" si="5"/>
        <v>0</v>
      </c>
      <c r="Z34" s="363">
        <f t="shared" si="6"/>
        <v>0</v>
      </c>
      <c r="AA34" s="363">
        <f t="shared" si="8"/>
        <v>0</v>
      </c>
      <c r="AB34" s="341"/>
      <c r="AC34" s="321" t="str">
        <f>AD34&amp;" - "&amp;AE34</f>
        <v>Complexa - Acima de 50 campos</v>
      </c>
      <c r="AD34" s="321" t="s">
        <v>393</v>
      </c>
      <c r="AE34" s="321" t="s">
        <v>398</v>
      </c>
      <c r="AF34" s="28" t="s">
        <v>96</v>
      </c>
      <c r="AG34" s="315"/>
      <c r="AH34" s="315"/>
      <c r="AI34" s="315"/>
      <c r="AJ34" s="315"/>
      <c r="AK34" s="315"/>
      <c r="AL34" s="316"/>
    </row>
    <row r="35" spans="2:38" x14ac:dyDescent="0.2">
      <c r="B35" s="366"/>
      <c r="C35" s="334"/>
      <c r="D35" s="335"/>
      <c r="E35" s="335"/>
      <c r="F35" s="335"/>
      <c r="G35" s="335"/>
      <c r="H35" s="335"/>
      <c r="I35" s="335"/>
      <c r="J35" s="309" t="str">
        <f ca="1">IFERROR(IF(TipoContagem=TipoContagemEstimada,
    IF('Enriquecimento - SOA sem ETX'!$E35="","",VLOOKUP('Enriquecimento - SOA sem ETX'!$E35,Complexidade_Estimada,2,FALSE)),
    IF('Enriquecimento - SOA sem ETX'!$E35="","",INDEX(INDIRECT("Complexidade_"&amp;'Enriquecimento - SOA sem ETX'!$E35),MATCH('Enriquecimento - SOA sem ETX'!$F35,INDIRECT("Complexidade_"&amp;'Enriquecimento - SOA sem ETX'!$E35&amp;"_Arq"),1),MATCH('Enriquecimento - SOA sem ETX'!$G35,INDIRECT("Complexidade_"&amp;'Enriquecimento - SOA sem ETX'!$E35&amp;"_Ite",1))))),"")</f>
        <v/>
      </c>
      <c r="K35" s="309">
        <f>IFERROR(IF('Enriquecimento - SOA sem ETX'!$E35="",0,INDEX(Pesos_IFPUG,MATCH('Enriquecimento - SOA sem ETX'!$E35,Pesos_IFPUG_Objetos,0),MATCH('Enriquecimento - SOA sem ETX'!$J35,Pesos_IFPUG_Complexidade,0))),"")</f>
        <v>0</v>
      </c>
      <c r="L35" s="501"/>
      <c r="M35" s="502"/>
      <c r="N35" s="346" t="str">
        <f t="shared" si="0"/>
        <v/>
      </c>
      <c r="O35" s="501"/>
      <c r="P35" s="502"/>
      <c r="Q35" s="346" t="str">
        <f t="shared" si="1"/>
        <v/>
      </c>
      <c r="R35" s="501"/>
      <c r="S35" s="503"/>
      <c r="T35" s="502"/>
      <c r="U35" s="346" t="str">
        <f t="shared" si="2"/>
        <v/>
      </c>
      <c r="V35" s="347" t="str">
        <f t="shared" si="7"/>
        <v/>
      </c>
      <c r="W35" s="363">
        <f t="shared" si="3"/>
        <v>0</v>
      </c>
      <c r="X35" s="363">
        <f t="shared" si="4"/>
        <v>0</v>
      </c>
      <c r="Y35" s="363">
        <f t="shared" si="5"/>
        <v>0</v>
      </c>
      <c r="Z35" s="363">
        <f t="shared" si="6"/>
        <v>0</v>
      </c>
      <c r="AA35" s="363">
        <f t="shared" si="8"/>
        <v>0</v>
      </c>
      <c r="AB35" s="329"/>
      <c r="AC35" s="315"/>
      <c r="AD35" s="315"/>
      <c r="AE35" s="315"/>
      <c r="AF35" s="315"/>
      <c r="AG35" s="315"/>
      <c r="AH35" s="315"/>
      <c r="AI35" s="315"/>
      <c r="AJ35" s="315"/>
      <c r="AK35" s="315"/>
      <c r="AL35" s="316"/>
    </row>
    <row r="36" spans="2:38" x14ac:dyDescent="0.2">
      <c r="B36" s="366"/>
      <c r="C36" s="334"/>
      <c r="D36" s="335"/>
      <c r="E36" s="335"/>
      <c r="F36" s="335"/>
      <c r="G36" s="335"/>
      <c r="H36" s="335"/>
      <c r="I36" s="335"/>
      <c r="J36" s="309" t="str">
        <f ca="1">IFERROR(IF(TipoContagem=TipoContagemEstimada,
    IF('Enriquecimento - SOA sem ETX'!$E36="","",VLOOKUP('Enriquecimento - SOA sem ETX'!$E36,Complexidade_Estimada,2,FALSE)),
    IF('Enriquecimento - SOA sem ETX'!$E36="","",INDEX(INDIRECT("Complexidade_"&amp;'Enriquecimento - SOA sem ETX'!$E36),MATCH('Enriquecimento - SOA sem ETX'!$F36,INDIRECT("Complexidade_"&amp;'Enriquecimento - SOA sem ETX'!$E36&amp;"_Arq"),1),MATCH('Enriquecimento - SOA sem ETX'!$G36,INDIRECT("Complexidade_"&amp;'Enriquecimento - SOA sem ETX'!$E36&amp;"_Ite",1))))),"")</f>
        <v/>
      </c>
      <c r="K36" s="309">
        <f>IFERROR(IF('Enriquecimento - SOA sem ETX'!$E36="",0,INDEX(Pesos_IFPUG,MATCH('Enriquecimento - SOA sem ETX'!$E36,Pesos_IFPUG_Objetos,0),MATCH('Enriquecimento - SOA sem ETX'!$J36,Pesos_IFPUG_Complexidade,0))),"")</f>
        <v>0</v>
      </c>
      <c r="L36" s="501"/>
      <c r="M36" s="502"/>
      <c r="N36" s="346" t="str">
        <f t="shared" si="0"/>
        <v/>
      </c>
      <c r="O36" s="501"/>
      <c r="P36" s="502"/>
      <c r="Q36" s="346" t="str">
        <f t="shared" si="1"/>
        <v/>
      </c>
      <c r="R36" s="501"/>
      <c r="S36" s="503"/>
      <c r="T36" s="502"/>
      <c r="U36" s="346" t="str">
        <f t="shared" si="2"/>
        <v/>
      </c>
      <c r="V36" s="347" t="str">
        <f t="shared" si="7"/>
        <v/>
      </c>
      <c r="W36" s="363">
        <f t="shared" si="3"/>
        <v>0</v>
      </c>
      <c r="X36" s="363">
        <f t="shared" si="4"/>
        <v>0</v>
      </c>
      <c r="Y36" s="363">
        <f t="shared" si="5"/>
        <v>0</v>
      </c>
      <c r="Z36" s="363">
        <f t="shared" si="6"/>
        <v>0</v>
      </c>
      <c r="AA36" s="363">
        <f t="shared" si="8"/>
        <v>0</v>
      </c>
      <c r="AB36" s="341"/>
      <c r="AC36" s="322" t="s">
        <v>414</v>
      </c>
      <c r="AD36" s="322" t="s">
        <v>4</v>
      </c>
      <c r="AE36" s="322" t="s">
        <v>387</v>
      </c>
      <c r="AF36" s="322" t="s">
        <v>422</v>
      </c>
      <c r="AG36" s="315"/>
      <c r="AH36" s="315"/>
      <c r="AI36" s="315"/>
      <c r="AJ36" s="315"/>
      <c r="AK36" s="315"/>
      <c r="AL36" s="316"/>
    </row>
    <row r="37" spans="2:38" x14ac:dyDescent="0.2">
      <c r="B37" s="366"/>
      <c r="C37" s="334"/>
      <c r="D37" s="335"/>
      <c r="E37" s="335"/>
      <c r="F37" s="335"/>
      <c r="G37" s="335"/>
      <c r="H37" s="335"/>
      <c r="I37" s="335"/>
      <c r="J37" s="309" t="str">
        <f ca="1">IFERROR(IF(TipoContagem=TipoContagemEstimada,
    IF('Enriquecimento - SOA sem ETX'!$E37="","",VLOOKUP('Enriquecimento - SOA sem ETX'!$E37,Complexidade_Estimada,2,FALSE)),
    IF('Enriquecimento - SOA sem ETX'!$E37="","",INDEX(INDIRECT("Complexidade_"&amp;'Enriquecimento - SOA sem ETX'!$E37),MATCH('Enriquecimento - SOA sem ETX'!$F37,INDIRECT("Complexidade_"&amp;'Enriquecimento - SOA sem ETX'!$E37&amp;"_Arq"),1),MATCH('Enriquecimento - SOA sem ETX'!$G37,INDIRECT("Complexidade_"&amp;'Enriquecimento - SOA sem ETX'!$E37&amp;"_Ite",1))))),"")</f>
        <v/>
      </c>
      <c r="K37" s="309">
        <f>IFERROR(IF('Enriquecimento - SOA sem ETX'!$E37="",0,INDEX(Pesos_IFPUG,MATCH('Enriquecimento - SOA sem ETX'!$E37,Pesos_IFPUG_Objetos,0),MATCH('Enriquecimento - SOA sem ETX'!$J37,Pesos_IFPUG_Complexidade,0))),"")</f>
        <v>0</v>
      </c>
      <c r="L37" s="501"/>
      <c r="M37" s="502"/>
      <c r="N37" s="346" t="str">
        <f t="shared" si="0"/>
        <v/>
      </c>
      <c r="O37" s="501"/>
      <c r="P37" s="502"/>
      <c r="Q37" s="346" t="str">
        <f t="shared" si="1"/>
        <v/>
      </c>
      <c r="R37" s="501"/>
      <c r="S37" s="503"/>
      <c r="T37" s="502"/>
      <c r="U37" s="346" t="str">
        <f t="shared" si="2"/>
        <v/>
      </c>
      <c r="V37" s="347" t="str">
        <f t="shared" si="7"/>
        <v/>
      </c>
      <c r="W37" s="363">
        <f t="shared" si="3"/>
        <v>0</v>
      </c>
      <c r="X37" s="363">
        <f t="shared" si="4"/>
        <v>0</v>
      </c>
      <c r="Y37" s="363">
        <f t="shared" si="5"/>
        <v>0</v>
      </c>
      <c r="Z37" s="363">
        <f t="shared" si="6"/>
        <v>0</v>
      </c>
      <c r="AA37" s="363">
        <f t="shared" si="8"/>
        <v>0</v>
      </c>
      <c r="AB37" s="329"/>
      <c r="AC37" s="315" t="str">
        <f>AD37&amp;" - "&amp;AE37&amp;" - "&amp;AF37</f>
        <v>Simples(-) - 1 a 15 campos - 1 a 5 campos</v>
      </c>
      <c r="AD37" s="315" t="s">
        <v>435</v>
      </c>
      <c r="AE37" s="321" t="s">
        <v>394</v>
      </c>
      <c r="AF37" s="315" t="s">
        <v>402</v>
      </c>
      <c r="AG37" s="315"/>
      <c r="AH37" s="315"/>
      <c r="AI37" s="315"/>
      <c r="AJ37" s="315"/>
      <c r="AK37" s="315"/>
      <c r="AL37" s="316"/>
    </row>
    <row r="38" spans="2:38" x14ac:dyDescent="0.2">
      <c r="B38" s="366"/>
      <c r="C38" s="334"/>
      <c r="D38" s="335"/>
      <c r="E38" s="335"/>
      <c r="F38" s="335"/>
      <c r="G38" s="335"/>
      <c r="H38" s="335"/>
      <c r="I38" s="335"/>
      <c r="J38" s="309" t="str">
        <f ca="1">IFERROR(IF(TipoContagem=TipoContagemEstimada,
    IF('Enriquecimento - SOA sem ETX'!$E38="","",VLOOKUP('Enriquecimento - SOA sem ETX'!$E38,Complexidade_Estimada,2,FALSE)),
    IF('Enriquecimento - SOA sem ETX'!$E38="","",INDEX(INDIRECT("Complexidade_"&amp;'Enriquecimento - SOA sem ETX'!$E38),MATCH('Enriquecimento - SOA sem ETX'!$F38,INDIRECT("Complexidade_"&amp;'Enriquecimento - SOA sem ETX'!$E38&amp;"_Arq"),1),MATCH('Enriquecimento - SOA sem ETX'!$G38,INDIRECT("Complexidade_"&amp;'Enriquecimento - SOA sem ETX'!$E38&amp;"_Ite",1))))),"")</f>
        <v/>
      </c>
      <c r="K38" s="309">
        <f>IFERROR(IF('Enriquecimento - SOA sem ETX'!$E38="",0,INDEX(Pesos_IFPUG,MATCH('Enriquecimento - SOA sem ETX'!$E38,Pesos_IFPUG_Objetos,0),MATCH('Enriquecimento - SOA sem ETX'!$J38,Pesos_IFPUG_Complexidade,0))),"")</f>
        <v>0</v>
      </c>
      <c r="L38" s="501"/>
      <c r="M38" s="502"/>
      <c r="N38" s="346" t="str">
        <f t="shared" si="0"/>
        <v/>
      </c>
      <c r="O38" s="501"/>
      <c r="P38" s="502"/>
      <c r="Q38" s="346" t="str">
        <f t="shared" si="1"/>
        <v/>
      </c>
      <c r="R38" s="501"/>
      <c r="S38" s="503"/>
      <c r="T38" s="502"/>
      <c r="U38" s="346" t="str">
        <f t="shared" si="2"/>
        <v/>
      </c>
      <c r="V38" s="347" t="str">
        <f t="shared" si="7"/>
        <v/>
      </c>
      <c r="W38" s="363">
        <f t="shared" si="3"/>
        <v>0</v>
      </c>
      <c r="X38" s="363">
        <f t="shared" si="4"/>
        <v>0</v>
      </c>
      <c r="Y38" s="363">
        <f t="shared" si="5"/>
        <v>0</v>
      </c>
      <c r="Z38" s="363">
        <f t="shared" si="6"/>
        <v>0</v>
      </c>
      <c r="AA38" s="363">
        <f t="shared" si="8"/>
        <v>0</v>
      </c>
      <c r="AB38" s="341"/>
      <c r="AC38" s="315" t="str">
        <f t="shared" ref="AC38:AC45" si="13">AD38&amp;" - "&amp;AE38&amp;" - "&amp;AF38</f>
        <v>Simples - 1 a 15 campos - 6 a 10 campos</v>
      </c>
      <c r="AD38" s="315" t="s">
        <v>392</v>
      </c>
      <c r="AE38" s="321" t="s">
        <v>394</v>
      </c>
      <c r="AF38" s="315" t="s">
        <v>407</v>
      </c>
      <c r="AG38" s="315"/>
      <c r="AH38" s="315"/>
      <c r="AI38" s="315"/>
      <c r="AJ38" s="315"/>
      <c r="AK38" s="315"/>
      <c r="AL38" s="316"/>
    </row>
    <row r="39" spans="2:38" x14ac:dyDescent="0.2">
      <c r="B39" s="366"/>
      <c r="C39" s="334"/>
      <c r="D39" s="335"/>
      <c r="E39" s="335"/>
      <c r="F39" s="335"/>
      <c r="G39" s="335"/>
      <c r="H39" s="335"/>
      <c r="I39" s="335"/>
      <c r="J39" s="309" t="str">
        <f ca="1">IFERROR(IF(TipoContagem=TipoContagemEstimada,
    IF('Enriquecimento - SOA sem ETX'!$E39="","",VLOOKUP('Enriquecimento - SOA sem ETX'!$E39,Complexidade_Estimada,2,FALSE)),
    IF('Enriquecimento - SOA sem ETX'!$E39="","",INDEX(INDIRECT("Complexidade_"&amp;'Enriquecimento - SOA sem ETX'!$E39),MATCH('Enriquecimento - SOA sem ETX'!$F39,INDIRECT("Complexidade_"&amp;'Enriquecimento - SOA sem ETX'!$E39&amp;"_Arq"),1),MATCH('Enriquecimento - SOA sem ETX'!$G39,INDIRECT("Complexidade_"&amp;'Enriquecimento - SOA sem ETX'!$E39&amp;"_Ite",1))))),"")</f>
        <v/>
      </c>
      <c r="K39" s="309">
        <f>IFERROR(IF('Enriquecimento - SOA sem ETX'!$E39="",0,INDEX(Pesos_IFPUG,MATCH('Enriquecimento - SOA sem ETX'!$E39,Pesos_IFPUG_Objetos,0),MATCH('Enriquecimento - SOA sem ETX'!$J39,Pesos_IFPUG_Complexidade,0))),"")</f>
        <v>0</v>
      </c>
      <c r="L39" s="501"/>
      <c r="M39" s="502"/>
      <c r="N39" s="346" t="str">
        <f t="shared" si="0"/>
        <v/>
      </c>
      <c r="O39" s="501"/>
      <c r="P39" s="502"/>
      <c r="Q39" s="346" t="str">
        <f t="shared" si="1"/>
        <v/>
      </c>
      <c r="R39" s="501"/>
      <c r="S39" s="503"/>
      <c r="T39" s="502"/>
      <c r="U39" s="346" t="str">
        <f t="shared" si="2"/>
        <v/>
      </c>
      <c r="V39" s="347" t="str">
        <f t="shared" si="7"/>
        <v/>
      </c>
      <c r="W39" s="363">
        <f t="shared" si="3"/>
        <v>0</v>
      </c>
      <c r="X39" s="363">
        <f t="shared" si="4"/>
        <v>0</v>
      </c>
      <c r="Y39" s="363">
        <f t="shared" si="5"/>
        <v>0</v>
      </c>
      <c r="Z39" s="363">
        <f t="shared" si="6"/>
        <v>0</v>
      </c>
      <c r="AA39" s="363">
        <f t="shared" si="8"/>
        <v>0</v>
      </c>
      <c r="AB39" s="329"/>
      <c r="AC39" s="315" t="str">
        <f t="shared" si="13"/>
        <v>Simples(+) - 1 a 15 campos - 11 a 19 campos</v>
      </c>
      <c r="AD39" s="321" t="s">
        <v>436</v>
      </c>
      <c r="AE39" s="321" t="s">
        <v>394</v>
      </c>
      <c r="AF39" s="321" t="s">
        <v>403</v>
      </c>
      <c r="AG39" s="315"/>
      <c r="AH39" s="315"/>
      <c r="AI39" s="315"/>
      <c r="AJ39" s="315"/>
      <c r="AK39" s="315"/>
      <c r="AL39" s="316"/>
    </row>
    <row r="40" spans="2:38" x14ac:dyDescent="0.2">
      <c r="B40" s="366"/>
      <c r="C40" s="334"/>
      <c r="D40" s="335"/>
      <c r="E40" s="335"/>
      <c r="F40" s="335"/>
      <c r="G40" s="335"/>
      <c r="H40" s="335"/>
      <c r="I40" s="335"/>
      <c r="J40" s="309" t="str">
        <f ca="1">IFERROR(IF(TipoContagem=TipoContagemEstimada,
    IF('Enriquecimento - SOA sem ETX'!$E40="","",VLOOKUP('Enriquecimento - SOA sem ETX'!$E40,Complexidade_Estimada,2,FALSE)),
    IF('Enriquecimento - SOA sem ETX'!$E40="","",INDEX(INDIRECT("Complexidade_"&amp;'Enriquecimento - SOA sem ETX'!$E40),MATCH('Enriquecimento - SOA sem ETX'!$F40,INDIRECT("Complexidade_"&amp;'Enriquecimento - SOA sem ETX'!$E40&amp;"_Arq"),1),MATCH('Enriquecimento - SOA sem ETX'!$G40,INDIRECT("Complexidade_"&amp;'Enriquecimento - SOA sem ETX'!$E40&amp;"_Ite",1))))),"")</f>
        <v/>
      </c>
      <c r="K40" s="309">
        <f>IFERROR(IF('Enriquecimento - SOA sem ETX'!$E40="",0,INDEX(Pesos_IFPUG,MATCH('Enriquecimento - SOA sem ETX'!$E40,Pesos_IFPUG_Objetos,0),MATCH('Enriquecimento - SOA sem ETX'!$J40,Pesos_IFPUG_Complexidade,0))),"")</f>
        <v>0</v>
      </c>
      <c r="L40" s="501"/>
      <c r="M40" s="502"/>
      <c r="N40" s="346" t="str">
        <f t="shared" si="0"/>
        <v/>
      </c>
      <c r="O40" s="501"/>
      <c r="P40" s="502"/>
      <c r="Q40" s="346" t="str">
        <f t="shared" si="1"/>
        <v/>
      </c>
      <c r="R40" s="501"/>
      <c r="S40" s="503"/>
      <c r="T40" s="502"/>
      <c r="U40" s="346" t="str">
        <f t="shared" si="2"/>
        <v/>
      </c>
      <c r="V40" s="347" t="str">
        <f t="shared" si="7"/>
        <v/>
      </c>
      <c r="W40" s="363">
        <f t="shared" si="3"/>
        <v>0</v>
      </c>
      <c r="X40" s="363">
        <f t="shared" si="4"/>
        <v>0</v>
      </c>
      <c r="Y40" s="363">
        <f t="shared" si="5"/>
        <v>0</v>
      </c>
      <c r="Z40" s="363">
        <f t="shared" si="6"/>
        <v>0</v>
      </c>
      <c r="AA40" s="363">
        <f t="shared" si="8"/>
        <v>0</v>
      </c>
      <c r="AB40" s="341"/>
      <c r="AC40" s="315" t="str">
        <f t="shared" si="13"/>
        <v>Media(-) - 16 a 49 campos - 1 a 10 campos</v>
      </c>
      <c r="AD40" s="321" t="s">
        <v>437</v>
      </c>
      <c r="AE40" s="362" t="s">
        <v>396</v>
      </c>
      <c r="AF40" s="321" t="s">
        <v>400</v>
      </c>
      <c r="AG40" s="315"/>
      <c r="AH40" s="315"/>
      <c r="AI40" s="315"/>
      <c r="AJ40" s="315"/>
      <c r="AK40" s="315"/>
      <c r="AL40" s="316"/>
    </row>
    <row r="41" spans="2:38" x14ac:dyDescent="0.2">
      <c r="B41" s="366"/>
      <c r="C41" s="334"/>
      <c r="D41" s="335"/>
      <c r="E41" s="335"/>
      <c r="F41" s="335"/>
      <c r="G41" s="335"/>
      <c r="H41" s="335"/>
      <c r="I41" s="335"/>
      <c r="J41" s="309" t="str">
        <f ca="1">IFERROR(IF(TipoContagem=TipoContagemEstimada,
    IF('Enriquecimento - SOA sem ETX'!$E41="","",VLOOKUP('Enriquecimento - SOA sem ETX'!$E41,Complexidade_Estimada,2,FALSE)),
    IF('Enriquecimento - SOA sem ETX'!$E41="","",INDEX(INDIRECT("Complexidade_"&amp;'Enriquecimento - SOA sem ETX'!$E41),MATCH('Enriquecimento - SOA sem ETX'!$F41,INDIRECT("Complexidade_"&amp;'Enriquecimento - SOA sem ETX'!$E41&amp;"_Arq"),1),MATCH('Enriquecimento - SOA sem ETX'!$G41,INDIRECT("Complexidade_"&amp;'Enriquecimento - SOA sem ETX'!$E41&amp;"_Ite",1))))),"")</f>
        <v/>
      </c>
      <c r="K41" s="309">
        <f>IFERROR(IF('Enriquecimento - SOA sem ETX'!$E41="",0,INDEX(Pesos_IFPUG,MATCH('Enriquecimento - SOA sem ETX'!$E41,Pesos_IFPUG_Objetos,0),MATCH('Enriquecimento - SOA sem ETX'!$J41,Pesos_IFPUG_Complexidade,0))),"")</f>
        <v>0</v>
      </c>
      <c r="L41" s="501"/>
      <c r="M41" s="502"/>
      <c r="N41" s="346" t="str">
        <f t="shared" si="0"/>
        <v/>
      </c>
      <c r="O41" s="501"/>
      <c r="P41" s="502"/>
      <c r="Q41" s="346" t="str">
        <f t="shared" si="1"/>
        <v/>
      </c>
      <c r="R41" s="501"/>
      <c r="S41" s="503"/>
      <c r="T41" s="502"/>
      <c r="U41" s="346" t="str">
        <f t="shared" si="2"/>
        <v/>
      </c>
      <c r="V41" s="347" t="str">
        <f t="shared" si="7"/>
        <v/>
      </c>
      <c r="W41" s="363">
        <f t="shared" si="3"/>
        <v>0</v>
      </c>
      <c r="X41" s="363">
        <f t="shared" si="4"/>
        <v>0</v>
      </c>
      <c r="Y41" s="363">
        <f t="shared" si="5"/>
        <v>0</v>
      </c>
      <c r="Z41" s="363">
        <f t="shared" si="6"/>
        <v>0</v>
      </c>
      <c r="AA41" s="363">
        <f t="shared" si="8"/>
        <v>0</v>
      </c>
      <c r="AB41" s="329"/>
      <c r="AC41" s="315" t="str">
        <f t="shared" si="13"/>
        <v>Media - 16 a 49 campos - 11 a 30 campos</v>
      </c>
      <c r="AD41" s="321" t="s">
        <v>119</v>
      </c>
      <c r="AE41" s="321" t="s">
        <v>396</v>
      </c>
      <c r="AF41" s="321" t="s">
        <v>404</v>
      </c>
      <c r="AG41" s="315"/>
      <c r="AH41" s="315"/>
      <c r="AI41" s="315"/>
      <c r="AJ41" s="315"/>
      <c r="AK41" s="315"/>
      <c r="AL41" s="316"/>
    </row>
    <row r="42" spans="2:38" x14ac:dyDescent="0.2">
      <c r="B42" s="366"/>
      <c r="C42" s="334"/>
      <c r="D42" s="335"/>
      <c r="E42" s="335"/>
      <c r="F42" s="335"/>
      <c r="G42" s="335"/>
      <c r="H42" s="335"/>
      <c r="I42" s="335"/>
      <c r="J42" s="309" t="str">
        <f ca="1">IFERROR(IF(TipoContagem=TipoContagemEstimada,
    IF('Enriquecimento - SOA sem ETX'!$E42="","",VLOOKUP('Enriquecimento - SOA sem ETX'!$E42,Complexidade_Estimada,2,FALSE)),
    IF('Enriquecimento - SOA sem ETX'!$E42="","",INDEX(INDIRECT("Complexidade_"&amp;'Enriquecimento - SOA sem ETX'!$E42),MATCH('Enriquecimento - SOA sem ETX'!$F42,INDIRECT("Complexidade_"&amp;'Enriquecimento - SOA sem ETX'!$E42&amp;"_Arq"),1),MATCH('Enriquecimento - SOA sem ETX'!$G42,INDIRECT("Complexidade_"&amp;'Enriquecimento - SOA sem ETX'!$E42&amp;"_Ite",1))))),"")</f>
        <v/>
      </c>
      <c r="K42" s="309">
        <f>IFERROR(IF('Enriquecimento - SOA sem ETX'!$E42="",0,INDEX(Pesos_IFPUG,MATCH('Enriquecimento - SOA sem ETX'!$E42,Pesos_IFPUG_Objetos,0),MATCH('Enriquecimento - SOA sem ETX'!$J42,Pesos_IFPUG_Complexidade,0))),"")</f>
        <v>0</v>
      </c>
      <c r="L42" s="501"/>
      <c r="M42" s="502"/>
      <c r="N42" s="346" t="str">
        <f t="shared" si="0"/>
        <v/>
      </c>
      <c r="O42" s="501"/>
      <c r="P42" s="502"/>
      <c r="Q42" s="346" t="str">
        <f t="shared" si="1"/>
        <v/>
      </c>
      <c r="R42" s="501"/>
      <c r="S42" s="503"/>
      <c r="T42" s="502"/>
      <c r="U42" s="346" t="str">
        <f t="shared" si="2"/>
        <v/>
      </c>
      <c r="V42" s="347" t="str">
        <f t="shared" si="7"/>
        <v/>
      </c>
      <c r="W42" s="363">
        <f t="shared" si="3"/>
        <v>0</v>
      </c>
      <c r="X42" s="363">
        <f t="shared" si="4"/>
        <v>0</v>
      </c>
      <c r="Y42" s="363">
        <f t="shared" si="5"/>
        <v>0</v>
      </c>
      <c r="Z42" s="363">
        <f t="shared" si="6"/>
        <v>0</v>
      </c>
      <c r="AA42" s="363">
        <f t="shared" si="8"/>
        <v>0</v>
      </c>
      <c r="AB42" s="341"/>
      <c r="AC42" s="315" t="str">
        <f t="shared" si="13"/>
        <v>Media(+) - 16 a 49 campos - 31 a 49 campos</v>
      </c>
      <c r="AD42" s="321" t="s">
        <v>438</v>
      </c>
      <c r="AE42" s="321" t="s">
        <v>396</v>
      </c>
      <c r="AF42" s="321" t="s">
        <v>405</v>
      </c>
      <c r="AG42" s="315"/>
      <c r="AH42" s="315"/>
      <c r="AI42" s="315"/>
      <c r="AJ42" s="315"/>
      <c r="AK42" s="315"/>
      <c r="AL42" s="316"/>
    </row>
    <row r="43" spans="2:38" x14ac:dyDescent="0.2">
      <c r="B43" s="366"/>
      <c r="C43" s="334"/>
      <c r="D43" s="335"/>
      <c r="E43" s="335"/>
      <c r="F43" s="335"/>
      <c r="G43" s="335"/>
      <c r="H43" s="335"/>
      <c r="I43" s="335"/>
      <c r="J43" s="309" t="str">
        <f ca="1">IFERROR(IF(TipoContagem=TipoContagemEstimada,
    IF('Enriquecimento - SOA sem ETX'!$E43="","",VLOOKUP('Enriquecimento - SOA sem ETX'!$E43,Complexidade_Estimada,2,FALSE)),
    IF('Enriquecimento - SOA sem ETX'!$E43="","",INDEX(INDIRECT("Complexidade_"&amp;'Enriquecimento - SOA sem ETX'!$E43),MATCH('Enriquecimento - SOA sem ETX'!$F43,INDIRECT("Complexidade_"&amp;'Enriquecimento - SOA sem ETX'!$E43&amp;"_Arq"),1),MATCH('Enriquecimento - SOA sem ETX'!$G43,INDIRECT("Complexidade_"&amp;'Enriquecimento - SOA sem ETX'!$E43&amp;"_Ite",1))))),"")</f>
        <v/>
      </c>
      <c r="K43" s="309">
        <f>IFERROR(IF('Enriquecimento - SOA sem ETX'!$E43="",0,INDEX(Pesos_IFPUG,MATCH('Enriquecimento - SOA sem ETX'!$E43,Pesos_IFPUG_Objetos,0),MATCH('Enriquecimento - SOA sem ETX'!$J43,Pesos_IFPUG_Complexidade,0))),"")</f>
        <v>0</v>
      </c>
      <c r="L43" s="501"/>
      <c r="M43" s="502"/>
      <c r="N43" s="346" t="str">
        <f t="shared" si="0"/>
        <v/>
      </c>
      <c r="O43" s="501"/>
      <c r="P43" s="502"/>
      <c r="Q43" s="346" t="str">
        <f t="shared" si="1"/>
        <v/>
      </c>
      <c r="R43" s="501"/>
      <c r="S43" s="503"/>
      <c r="T43" s="502"/>
      <c r="U43" s="346" t="str">
        <f t="shared" si="2"/>
        <v/>
      </c>
      <c r="V43" s="347" t="str">
        <f t="shared" si="7"/>
        <v/>
      </c>
      <c r="W43" s="363">
        <f t="shared" si="3"/>
        <v>0</v>
      </c>
      <c r="X43" s="363">
        <f t="shared" si="4"/>
        <v>0</v>
      </c>
      <c r="Y43" s="363">
        <f t="shared" si="5"/>
        <v>0</v>
      </c>
      <c r="Z43" s="363">
        <f t="shared" si="6"/>
        <v>0</v>
      </c>
      <c r="AA43" s="363">
        <f t="shared" si="8"/>
        <v>0</v>
      </c>
      <c r="AB43" s="329"/>
      <c r="AC43" s="315" t="str">
        <f t="shared" si="13"/>
        <v>Complexa(-) - Acima de 50 campos - 1 a 30 campos</v>
      </c>
      <c r="AD43" s="321" t="s">
        <v>439</v>
      </c>
      <c r="AE43" s="362" t="s">
        <v>398</v>
      </c>
      <c r="AF43" s="321" t="s">
        <v>401</v>
      </c>
      <c r="AG43" s="315"/>
      <c r="AH43" s="315"/>
      <c r="AI43" s="315"/>
      <c r="AJ43" s="315"/>
      <c r="AK43" s="315"/>
      <c r="AL43" s="316"/>
    </row>
    <row r="44" spans="2:38" x14ac:dyDescent="0.2">
      <c r="B44" s="366"/>
      <c r="C44" s="334"/>
      <c r="D44" s="335"/>
      <c r="E44" s="335"/>
      <c r="F44" s="335"/>
      <c r="G44" s="335"/>
      <c r="H44" s="335"/>
      <c r="I44" s="335"/>
      <c r="J44" s="309" t="str">
        <f ca="1">IFERROR(IF(TipoContagem=TipoContagemEstimada,
    IF('Enriquecimento - SOA sem ETX'!$E44="","",VLOOKUP('Enriquecimento - SOA sem ETX'!$E44,Complexidade_Estimada,2,FALSE)),
    IF('Enriquecimento - SOA sem ETX'!$E44="","",INDEX(INDIRECT("Complexidade_"&amp;'Enriquecimento - SOA sem ETX'!$E44),MATCH('Enriquecimento - SOA sem ETX'!$F44,INDIRECT("Complexidade_"&amp;'Enriquecimento - SOA sem ETX'!$E44&amp;"_Arq"),1),MATCH('Enriquecimento - SOA sem ETX'!$G44,INDIRECT("Complexidade_"&amp;'Enriquecimento - SOA sem ETX'!$E44&amp;"_Ite",1))))),"")</f>
        <v/>
      </c>
      <c r="K44" s="309">
        <f>IFERROR(IF('Enriquecimento - SOA sem ETX'!$E44="",0,INDEX(Pesos_IFPUG,MATCH('Enriquecimento - SOA sem ETX'!$E44,Pesos_IFPUG_Objetos,0),MATCH('Enriquecimento - SOA sem ETX'!$J44,Pesos_IFPUG_Complexidade,0))),"")</f>
        <v>0</v>
      </c>
      <c r="L44" s="501"/>
      <c r="M44" s="502"/>
      <c r="N44" s="346" t="str">
        <f t="shared" si="0"/>
        <v/>
      </c>
      <c r="O44" s="501"/>
      <c r="P44" s="502"/>
      <c r="Q44" s="346" t="str">
        <f t="shared" si="1"/>
        <v/>
      </c>
      <c r="R44" s="501"/>
      <c r="S44" s="503"/>
      <c r="T44" s="502"/>
      <c r="U44" s="346" t="str">
        <f t="shared" si="2"/>
        <v/>
      </c>
      <c r="V44" s="347" t="str">
        <f t="shared" si="7"/>
        <v/>
      </c>
      <c r="W44" s="363">
        <f t="shared" si="3"/>
        <v>0</v>
      </c>
      <c r="X44" s="363">
        <f t="shared" si="4"/>
        <v>0</v>
      </c>
      <c r="Y44" s="363">
        <f t="shared" si="5"/>
        <v>0</v>
      </c>
      <c r="Z44" s="363">
        <f t="shared" si="6"/>
        <v>0</v>
      </c>
      <c r="AA44" s="363">
        <f t="shared" si="8"/>
        <v>0</v>
      </c>
      <c r="AB44" s="341"/>
      <c r="AC44" s="315" t="str">
        <f t="shared" si="13"/>
        <v>Complexa - Acima de 50 campos - 31 a 50 campos</v>
      </c>
      <c r="AD44" s="321" t="s">
        <v>393</v>
      </c>
      <c r="AE44" s="321" t="s">
        <v>398</v>
      </c>
      <c r="AF44" s="321" t="s">
        <v>406</v>
      </c>
      <c r="AG44" s="315"/>
      <c r="AH44" s="315"/>
      <c r="AI44" s="315"/>
      <c r="AJ44" s="315"/>
      <c r="AK44" s="315"/>
      <c r="AL44" s="316"/>
    </row>
    <row r="45" spans="2:38" x14ac:dyDescent="0.2">
      <c r="B45" s="366"/>
      <c r="C45" s="334"/>
      <c r="D45" s="335"/>
      <c r="E45" s="335"/>
      <c r="F45" s="335"/>
      <c r="G45" s="335"/>
      <c r="H45" s="335"/>
      <c r="I45" s="335"/>
      <c r="J45" s="309" t="str">
        <f ca="1">IFERROR(IF(TipoContagem=TipoContagemEstimada,
    IF('Enriquecimento - SOA sem ETX'!$E45="","",VLOOKUP('Enriquecimento - SOA sem ETX'!$E45,Complexidade_Estimada,2,FALSE)),
    IF('Enriquecimento - SOA sem ETX'!$E45="","",INDEX(INDIRECT("Complexidade_"&amp;'Enriquecimento - SOA sem ETX'!$E45),MATCH('Enriquecimento - SOA sem ETX'!$F45,INDIRECT("Complexidade_"&amp;'Enriquecimento - SOA sem ETX'!$E45&amp;"_Arq"),1),MATCH('Enriquecimento - SOA sem ETX'!$G45,INDIRECT("Complexidade_"&amp;'Enriquecimento - SOA sem ETX'!$E45&amp;"_Ite",1))))),"")</f>
        <v/>
      </c>
      <c r="K45" s="309">
        <f>IFERROR(IF('Enriquecimento - SOA sem ETX'!$E45="",0,INDEX(Pesos_IFPUG,MATCH('Enriquecimento - SOA sem ETX'!$E45,Pesos_IFPUG_Objetos,0),MATCH('Enriquecimento - SOA sem ETX'!$J45,Pesos_IFPUG_Complexidade,0))),"")</f>
        <v>0</v>
      </c>
      <c r="L45" s="501"/>
      <c r="M45" s="502"/>
      <c r="N45" s="346" t="str">
        <f t="shared" si="0"/>
        <v/>
      </c>
      <c r="O45" s="501"/>
      <c r="P45" s="502"/>
      <c r="Q45" s="346" t="str">
        <f t="shared" si="1"/>
        <v/>
      </c>
      <c r="R45" s="501"/>
      <c r="S45" s="503"/>
      <c r="T45" s="502"/>
      <c r="U45" s="346" t="str">
        <f t="shared" si="2"/>
        <v/>
      </c>
      <c r="V45" s="347" t="str">
        <f t="shared" si="7"/>
        <v/>
      </c>
      <c r="W45" s="363">
        <f t="shared" si="3"/>
        <v>0</v>
      </c>
      <c r="X45" s="363">
        <f t="shared" si="4"/>
        <v>0</v>
      </c>
      <c r="Y45" s="363">
        <f t="shared" si="5"/>
        <v>0</v>
      </c>
      <c r="Z45" s="363">
        <f t="shared" si="6"/>
        <v>0</v>
      </c>
      <c r="AA45" s="363">
        <f t="shared" si="8"/>
        <v>0</v>
      </c>
      <c r="AB45" s="329"/>
      <c r="AC45" s="315" t="str">
        <f t="shared" si="13"/>
        <v>Complexa(+) - Acima de 50 campos - Acima de 50</v>
      </c>
      <c r="AD45" s="321" t="s">
        <v>440</v>
      </c>
      <c r="AE45" s="321" t="s">
        <v>398</v>
      </c>
      <c r="AF45" s="321" t="s">
        <v>408</v>
      </c>
      <c r="AG45" s="315"/>
      <c r="AH45" s="315"/>
      <c r="AI45" s="315"/>
      <c r="AJ45" s="315"/>
      <c r="AK45" s="315"/>
      <c r="AL45" s="316"/>
    </row>
    <row r="46" spans="2:38" x14ac:dyDescent="0.2">
      <c r="B46" s="366"/>
      <c r="C46" s="334"/>
      <c r="D46" s="335"/>
      <c r="E46" s="335"/>
      <c r="F46" s="335"/>
      <c r="G46" s="335"/>
      <c r="H46" s="335"/>
      <c r="I46" s="335"/>
      <c r="J46" s="309" t="str">
        <f ca="1">IFERROR(IF(TipoContagem=TipoContagemEstimada,
    IF('Enriquecimento - SOA sem ETX'!$E46="","",VLOOKUP('Enriquecimento - SOA sem ETX'!$E46,Complexidade_Estimada,2,FALSE)),
    IF('Enriquecimento - SOA sem ETX'!$E46="","",INDEX(INDIRECT("Complexidade_"&amp;'Enriquecimento - SOA sem ETX'!$E46),MATCH('Enriquecimento - SOA sem ETX'!$F46,INDIRECT("Complexidade_"&amp;'Enriquecimento - SOA sem ETX'!$E46&amp;"_Arq"),1),MATCH('Enriquecimento - SOA sem ETX'!$G46,INDIRECT("Complexidade_"&amp;'Enriquecimento - SOA sem ETX'!$E46&amp;"_Ite",1))))),"")</f>
        <v/>
      </c>
      <c r="K46" s="309">
        <f>IFERROR(IF('Enriquecimento - SOA sem ETX'!$E46="",0,INDEX(Pesos_IFPUG,MATCH('Enriquecimento - SOA sem ETX'!$E46,Pesos_IFPUG_Objetos,0),MATCH('Enriquecimento - SOA sem ETX'!$J46,Pesos_IFPUG_Complexidade,0))),"")</f>
        <v>0</v>
      </c>
      <c r="L46" s="501"/>
      <c r="M46" s="502"/>
      <c r="N46" s="346" t="str">
        <f t="shared" si="0"/>
        <v/>
      </c>
      <c r="O46" s="501"/>
      <c r="P46" s="502"/>
      <c r="Q46" s="346" t="str">
        <f t="shared" si="1"/>
        <v/>
      </c>
      <c r="R46" s="501"/>
      <c r="S46" s="503"/>
      <c r="T46" s="502"/>
      <c r="U46" s="346" t="str">
        <f t="shared" si="2"/>
        <v/>
      </c>
      <c r="V46" s="347" t="str">
        <f t="shared" si="7"/>
        <v/>
      </c>
      <c r="W46" s="363">
        <f t="shared" si="3"/>
        <v>0</v>
      </c>
      <c r="X46" s="363">
        <f t="shared" si="4"/>
        <v>0</v>
      </c>
      <c r="Y46" s="363">
        <f t="shared" si="5"/>
        <v>0</v>
      </c>
      <c r="Z46" s="363">
        <f t="shared" si="6"/>
        <v>0</v>
      </c>
      <c r="AA46" s="363">
        <f t="shared" si="8"/>
        <v>0</v>
      </c>
      <c r="AB46" s="341"/>
      <c r="AC46" s="315"/>
      <c r="AD46" s="321"/>
      <c r="AE46" s="321"/>
      <c r="AF46" s="321"/>
      <c r="AG46" s="315"/>
      <c r="AH46" s="315"/>
      <c r="AI46" s="315"/>
      <c r="AJ46" s="315"/>
      <c r="AK46" s="315"/>
      <c r="AL46" s="316"/>
    </row>
    <row r="47" spans="2:38" x14ac:dyDescent="0.2">
      <c r="B47" s="366"/>
      <c r="C47" s="334"/>
      <c r="D47" s="335"/>
      <c r="E47" s="335"/>
      <c r="F47" s="335"/>
      <c r="G47" s="335"/>
      <c r="H47" s="335"/>
      <c r="I47" s="335"/>
      <c r="J47" s="309" t="str">
        <f ca="1">IFERROR(IF(TipoContagem=TipoContagemEstimada,
    IF('Enriquecimento - SOA sem ETX'!$E47="","",VLOOKUP('Enriquecimento - SOA sem ETX'!$E47,Complexidade_Estimada,2,FALSE)),
    IF('Enriquecimento - SOA sem ETX'!$E47="","",INDEX(INDIRECT("Complexidade_"&amp;'Enriquecimento - SOA sem ETX'!$E47),MATCH('Enriquecimento - SOA sem ETX'!$F47,INDIRECT("Complexidade_"&amp;'Enriquecimento - SOA sem ETX'!$E47&amp;"_Arq"),1),MATCH('Enriquecimento - SOA sem ETX'!$G47,INDIRECT("Complexidade_"&amp;'Enriquecimento - SOA sem ETX'!$E47&amp;"_Ite",1))))),"")</f>
        <v/>
      </c>
      <c r="K47" s="309">
        <f>IFERROR(IF('Enriquecimento - SOA sem ETX'!$E47="",0,INDEX(Pesos_IFPUG,MATCH('Enriquecimento - SOA sem ETX'!$E47,Pesos_IFPUG_Objetos,0),MATCH('Enriquecimento - SOA sem ETX'!$J47,Pesos_IFPUG_Complexidade,0))),"")</f>
        <v>0</v>
      </c>
      <c r="L47" s="501"/>
      <c r="M47" s="502"/>
      <c r="N47" s="346" t="str">
        <f t="shared" si="0"/>
        <v/>
      </c>
      <c r="O47" s="501"/>
      <c r="P47" s="502"/>
      <c r="Q47" s="346" t="str">
        <f t="shared" si="1"/>
        <v/>
      </c>
      <c r="R47" s="501"/>
      <c r="S47" s="503"/>
      <c r="T47" s="502"/>
      <c r="U47" s="346" t="str">
        <f t="shared" si="2"/>
        <v/>
      </c>
      <c r="V47" s="347" t="str">
        <f t="shared" si="7"/>
        <v/>
      </c>
      <c r="W47" s="363">
        <f t="shared" si="3"/>
        <v>0</v>
      </c>
      <c r="X47" s="363">
        <f t="shared" si="4"/>
        <v>0</v>
      </c>
      <c r="Y47" s="363">
        <f t="shared" si="5"/>
        <v>0</v>
      </c>
      <c r="Z47" s="363">
        <f t="shared" si="6"/>
        <v>0</v>
      </c>
      <c r="AA47" s="363">
        <f t="shared" si="8"/>
        <v>0</v>
      </c>
      <c r="AB47" s="329"/>
      <c r="AC47" s="315"/>
      <c r="AD47" s="315"/>
      <c r="AE47" s="315"/>
      <c r="AF47" s="315"/>
      <c r="AG47" s="315"/>
      <c r="AH47" s="315"/>
      <c r="AI47" s="315"/>
      <c r="AJ47" s="315"/>
      <c r="AK47" s="315"/>
      <c r="AL47" s="316"/>
    </row>
    <row r="48" spans="2:38" x14ac:dyDescent="0.2">
      <c r="B48" s="366"/>
      <c r="C48" s="334"/>
      <c r="D48" s="335"/>
      <c r="E48" s="335"/>
      <c r="F48" s="335"/>
      <c r="G48" s="335"/>
      <c r="H48" s="335"/>
      <c r="I48" s="335"/>
      <c r="J48" s="309" t="str">
        <f ca="1">IFERROR(IF(TipoContagem=TipoContagemEstimada,
    IF('Enriquecimento - SOA sem ETX'!$E48="","",VLOOKUP('Enriquecimento - SOA sem ETX'!$E48,Complexidade_Estimada,2,FALSE)),
    IF('Enriquecimento - SOA sem ETX'!$E48="","",INDEX(INDIRECT("Complexidade_"&amp;'Enriquecimento - SOA sem ETX'!$E48),MATCH('Enriquecimento - SOA sem ETX'!$F48,INDIRECT("Complexidade_"&amp;'Enriquecimento - SOA sem ETX'!$E48&amp;"_Arq"),1),MATCH('Enriquecimento - SOA sem ETX'!$G48,INDIRECT("Complexidade_"&amp;'Enriquecimento - SOA sem ETX'!$E48&amp;"_Ite",1))))),"")</f>
        <v/>
      </c>
      <c r="K48" s="309">
        <f>IFERROR(IF('Enriquecimento - SOA sem ETX'!$E48="",0,INDEX(Pesos_IFPUG,MATCH('Enriquecimento - SOA sem ETX'!$E48,Pesos_IFPUG_Objetos,0),MATCH('Enriquecimento - SOA sem ETX'!$J48,Pesos_IFPUG_Complexidade,0))),"")</f>
        <v>0</v>
      </c>
      <c r="L48" s="501"/>
      <c r="M48" s="502"/>
      <c r="N48" s="346" t="str">
        <f t="shared" si="0"/>
        <v/>
      </c>
      <c r="O48" s="501"/>
      <c r="P48" s="502"/>
      <c r="Q48" s="346" t="str">
        <f t="shared" si="1"/>
        <v/>
      </c>
      <c r="R48" s="501"/>
      <c r="S48" s="503"/>
      <c r="T48" s="502"/>
      <c r="U48" s="346" t="str">
        <f t="shared" si="2"/>
        <v/>
      </c>
      <c r="V48" s="347" t="str">
        <f t="shared" si="7"/>
        <v/>
      </c>
      <c r="W48" s="363">
        <f t="shared" si="3"/>
        <v>0</v>
      </c>
      <c r="X48" s="363">
        <f t="shared" si="4"/>
        <v>0</v>
      </c>
      <c r="Y48" s="363">
        <f t="shared" si="5"/>
        <v>0</v>
      </c>
      <c r="Z48" s="363">
        <f t="shared" si="6"/>
        <v>0</v>
      </c>
      <c r="AA48" s="363">
        <f t="shared" si="8"/>
        <v>0</v>
      </c>
      <c r="AB48" s="341"/>
      <c r="AC48" s="315"/>
      <c r="AD48" s="315"/>
      <c r="AE48" s="315"/>
      <c r="AF48" s="315"/>
      <c r="AG48" s="315"/>
      <c r="AH48" s="315"/>
      <c r="AI48" s="315"/>
      <c r="AJ48" s="315"/>
      <c r="AK48" s="315"/>
      <c r="AL48" s="316"/>
    </row>
    <row r="49" spans="2:38" x14ac:dyDescent="0.2">
      <c r="B49" s="366"/>
      <c r="C49" s="334"/>
      <c r="D49" s="335"/>
      <c r="E49" s="335"/>
      <c r="F49" s="335"/>
      <c r="G49" s="335"/>
      <c r="H49" s="335"/>
      <c r="I49" s="335"/>
      <c r="J49" s="309" t="str">
        <f ca="1">IFERROR(IF(TipoContagem=TipoContagemEstimada,
    IF('Enriquecimento - SOA sem ETX'!$E49="","",VLOOKUP('Enriquecimento - SOA sem ETX'!$E49,Complexidade_Estimada,2,FALSE)),
    IF('Enriquecimento - SOA sem ETX'!$E49="","",INDEX(INDIRECT("Complexidade_"&amp;'Enriquecimento - SOA sem ETX'!$E49),MATCH('Enriquecimento - SOA sem ETX'!$F49,INDIRECT("Complexidade_"&amp;'Enriquecimento - SOA sem ETX'!$E49&amp;"_Arq"),1),MATCH('Enriquecimento - SOA sem ETX'!$G49,INDIRECT("Complexidade_"&amp;'Enriquecimento - SOA sem ETX'!$E49&amp;"_Ite",1))))),"")</f>
        <v/>
      </c>
      <c r="K49" s="309">
        <f>IFERROR(IF('Enriquecimento - SOA sem ETX'!$E49="",0,INDEX(Pesos_IFPUG,MATCH('Enriquecimento - SOA sem ETX'!$E49,Pesos_IFPUG_Objetos,0),MATCH('Enriquecimento - SOA sem ETX'!$J49,Pesos_IFPUG_Complexidade,0))),"")</f>
        <v>0</v>
      </c>
      <c r="L49" s="501"/>
      <c r="M49" s="502"/>
      <c r="N49" s="346" t="str">
        <f t="shared" si="0"/>
        <v/>
      </c>
      <c r="O49" s="501"/>
      <c r="P49" s="502"/>
      <c r="Q49" s="346" t="str">
        <f t="shared" si="1"/>
        <v/>
      </c>
      <c r="R49" s="501"/>
      <c r="S49" s="503"/>
      <c r="T49" s="502"/>
      <c r="U49" s="346" t="str">
        <f t="shared" si="2"/>
        <v/>
      </c>
      <c r="V49" s="347" t="str">
        <f t="shared" si="7"/>
        <v/>
      </c>
      <c r="W49" s="363">
        <f t="shared" si="3"/>
        <v>0</v>
      </c>
      <c r="X49" s="363">
        <f t="shared" si="4"/>
        <v>0</v>
      </c>
      <c r="Y49" s="363">
        <f t="shared" si="5"/>
        <v>0</v>
      </c>
      <c r="Z49" s="363">
        <f t="shared" si="6"/>
        <v>0</v>
      </c>
      <c r="AA49" s="363">
        <f t="shared" si="8"/>
        <v>0</v>
      </c>
      <c r="AB49" s="329"/>
      <c r="AC49" s="315"/>
      <c r="AD49" s="315"/>
      <c r="AE49" s="315"/>
      <c r="AF49" s="315"/>
      <c r="AG49" s="315"/>
      <c r="AH49" s="315"/>
      <c r="AI49" s="315"/>
      <c r="AJ49" s="315"/>
      <c r="AK49" s="315"/>
      <c r="AL49" s="316"/>
    </row>
    <row r="50" spans="2:38" x14ac:dyDescent="0.2">
      <c r="B50" s="366"/>
      <c r="C50" s="334"/>
      <c r="D50" s="335"/>
      <c r="E50" s="335"/>
      <c r="F50" s="335"/>
      <c r="G50" s="335"/>
      <c r="H50" s="335"/>
      <c r="I50" s="335"/>
      <c r="J50" s="309" t="str">
        <f ca="1">IFERROR(IF(TipoContagem=TipoContagemEstimada,
    IF('Enriquecimento - SOA sem ETX'!$E50="","",VLOOKUP('Enriquecimento - SOA sem ETX'!$E50,Complexidade_Estimada,2,FALSE)),
    IF('Enriquecimento - SOA sem ETX'!$E50="","",INDEX(INDIRECT("Complexidade_"&amp;'Enriquecimento - SOA sem ETX'!$E50),MATCH('Enriquecimento - SOA sem ETX'!$F50,INDIRECT("Complexidade_"&amp;'Enriquecimento - SOA sem ETX'!$E50&amp;"_Arq"),1),MATCH('Enriquecimento - SOA sem ETX'!$G50,INDIRECT("Complexidade_"&amp;'Enriquecimento - SOA sem ETX'!$E50&amp;"_Ite",1))))),"")</f>
        <v/>
      </c>
      <c r="K50" s="309">
        <f>IFERROR(IF('Enriquecimento - SOA sem ETX'!$E50="",0,INDEX(Pesos_IFPUG,MATCH('Enriquecimento - SOA sem ETX'!$E50,Pesos_IFPUG_Objetos,0),MATCH('Enriquecimento - SOA sem ETX'!$J50,Pesos_IFPUG_Complexidade,0))),"")</f>
        <v>0</v>
      </c>
      <c r="L50" s="501"/>
      <c r="M50" s="502"/>
      <c r="N50" s="346" t="str">
        <f t="shared" si="0"/>
        <v/>
      </c>
      <c r="O50" s="501"/>
      <c r="P50" s="502"/>
      <c r="Q50" s="346" t="str">
        <f t="shared" si="1"/>
        <v/>
      </c>
      <c r="R50" s="501"/>
      <c r="S50" s="503"/>
      <c r="T50" s="502"/>
      <c r="U50" s="346" t="str">
        <f t="shared" si="2"/>
        <v/>
      </c>
      <c r="V50" s="347" t="str">
        <f t="shared" si="7"/>
        <v/>
      </c>
      <c r="W50" s="363">
        <f t="shared" si="3"/>
        <v>0</v>
      </c>
      <c r="X50" s="363">
        <f t="shared" si="4"/>
        <v>0</v>
      </c>
      <c r="Y50" s="363">
        <f t="shared" si="5"/>
        <v>0</v>
      </c>
      <c r="Z50" s="363">
        <f t="shared" si="6"/>
        <v>0</v>
      </c>
      <c r="AA50" s="363">
        <f t="shared" si="8"/>
        <v>0</v>
      </c>
      <c r="AB50" s="341"/>
      <c r="AC50" s="315"/>
      <c r="AD50" s="315"/>
      <c r="AE50" s="315"/>
      <c r="AF50" s="315"/>
      <c r="AG50" s="315"/>
      <c r="AH50" s="315"/>
      <c r="AI50" s="315"/>
      <c r="AJ50" s="315"/>
      <c r="AK50" s="315"/>
      <c r="AL50" s="316"/>
    </row>
    <row r="51" spans="2:38" ht="15.75" thickBot="1" x14ac:dyDescent="0.3">
      <c r="B51" s="312" t="s">
        <v>112</v>
      </c>
      <c r="C51" s="313"/>
      <c r="D51" s="313"/>
      <c r="E51" s="313"/>
      <c r="F51" s="314"/>
      <c r="G51" s="314"/>
      <c r="H51" s="314"/>
      <c r="I51" s="314"/>
      <c r="J51" s="313"/>
      <c r="K51" s="313">
        <f>SUBTOTAL(109,'Enriquecimento - SOA sem ETX'!$K$10:$K$50)</f>
        <v>0</v>
      </c>
      <c r="L51" s="504"/>
      <c r="M51" s="505"/>
      <c r="N51" s="346" t="str">
        <f>IF(AND(L51&lt;&gt;"",M51&lt;&gt;""),CONCATENATE($AC$12,L51,M51),"")</f>
        <v/>
      </c>
      <c r="O51" s="504"/>
      <c r="P51" s="505"/>
      <c r="Q51" s="346" t="str">
        <f>IF(AND(O51&lt;&gt;"",P51&lt;&gt;""),CONCATENATE($AC$15,O51,P51),"")</f>
        <v/>
      </c>
      <c r="R51" s="504"/>
      <c r="S51" s="506"/>
      <c r="T51" s="505"/>
      <c r="U51" s="346" t="str">
        <f>IF(AND(R51&lt;&gt;"",S51&lt;&gt;"",T51&lt;&gt;""),CONCATENATE($AC$18,R51,S51,T51),"")</f>
        <v/>
      </c>
      <c r="V51" s="348"/>
      <c r="W51" s="343"/>
      <c r="X51" s="344"/>
      <c r="Y51" s="344"/>
      <c r="Z51" s="330"/>
      <c r="AA51" s="345">
        <f>SUM(AA11:AA50)</f>
        <v>0</v>
      </c>
      <c r="AB51" s="342"/>
      <c r="AC51" s="317"/>
      <c r="AD51" s="317"/>
      <c r="AE51" s="317"/>
      <c r="AF51" s="317"/>
      <c r="AG51" s="317"/>
      <c r="AH51" s="317"/>
      <c r="AI51" s="317"/>
      <c r="AJ51" s="317"/>
      <c r="AK51" s="317"/>
      <c r="AL51" s="318"/>
    </row>
  </sheetData>
  <sheetProtection algorithmName="SHA-512" hashValue="mFZ9iboj/sN3tNpQN/JUinzju7h/dgAQhkTmaCfM9ybfsgU/VmTKVvlBEFUJ0X3mUMwl5yJiW/8w+gQ953/Vag==" saltValue="lRNZ1nAS9pCs2iQktdVzzA==" spinCount="100000" sheet="1" objects="1" scenarios="1"/>
  <mergeCells count="143">
    <mergeCell ref="AA8:AA10"/>
    <mergeCell ref="L50:M50"/>
    <mergeCell ref="O50:P50"/>
    <mergeCell ref="R50:T50"/>
    <mergeCell ref="L51:M51"/>
    <mergeCell ref="O51:P51"/>
    <mergeCell ref="R51:T51"/>
    <mergeCell ref="L48:M48"/>
    <mergeCell ref="O48:P48"/>
    <mergeCell ref="R48:T48"/>
    <mergeCell ref="L49:M49"/>
    <mergeCell ref="O49:P49"/>
    <mergeCell ref="R49:T49"/>
    <mergeCell ref="L46:M46"/>
    <mergeCell ref="O46:P46"/>
    <mergeCell ref="R46:T46"/>
    <mergeCell ref="L47:M47"/>
    <mergeCell ref="O47:P47"/>
    <mergeCell ref="R47:T47"/>
    <mergeCell ref="L44:M44"/>
    <mergeCell ref="O44:P44"/>
    <mergeCell ref="R44:T44"/>
    <mergeCell ref="L45:M45"/>
    <mergeCell ref="O45:P45"/>
    <mergeCell ref="R45:T45"/>
    <mergeCell ref="L42:M42"/>
    <mergeCell ref="O42:P42"/>
    <mergeCell ref="R42:T42"/>
    <mergeCell ref="L43:M43"/>
    <mergeCell ref="O43:P43"/>
    <mergeCell ref="R43:T43"/>
    <mergeCell ref="L40:M40"/>
    <mergeCell ref="O40:P40"/>
    <mergeCell ref="R40:T40"/>
    <mergeCell ref="L41:M41"/>
    <mergeCell ref="O41:P41"/>
    <mergeCell ref="R41:T41"/>
    <mergeCell ref="L38:M38"/>
    <mergeCell ref="O38:P38"/>
    <mergeCell ref="R38:T38"/>
    <mergeCell ref="L39:M39"/>
    <mergeCell ref="O39:P39"/>
    <mergeCell ref="R39:T39"/>
    <mergeCell ref="L36:M36"/>
    <mergeCell ref="O36:P36"/>
    <mergeCell ref="R36:T36"/>
    <mergeCell ref="L37:M37"/>
    <mergeCell ref="O37:P37"/>
    <mergeCell ref="R37:T37"/>
    <mergeCell ref="L34:M34"/>
    <mergeCell ref="O34:P34"/>
    <mergeCell ref="R34:T34"/>
    <mergeCell ref="L35:M35"/>
    <mergeCell ref="O35:P35"/>
    <mergeCell ref="R35:T35"/>
    <mergeCell ref="L32:M32"/>
    <mergeCell ref="O32:P32"/>
    <mergeCell ref="R32:T32"/>
    <mergeCell ref="L33:M33"/>
    <mergeCell ref="O33:P33"/>
    <mergeCell ref="R33:T33"/>
    <mergeCell ref="L30:M30"/>
    <mergeCell ref="O30:P30"/>
    <mergeCell ref="R30:T30"/>
    <mergeCell ref="L31:M31"/>
    <mergeCell ref="O31:P31"/>
    <mergeCell ref="R31:T31"/>
    <mergeCell ref="L28:M28"/>
    <mergeCell ref="O28:P28"/>
    <mergeCell ref="R28:T28"/>
    <mergeCell ref="L29:M29"/>
    <mergeCell ref="O29:P29"/>
    <mergeCell ref="R29:T29"/>
    <mergeCell ref="L26:M26"/>
    <mergeCell ref="O26:P26"/>
    <mergeCell ref="R26:T26"/>
    <mergeCell ref="L27:M27"/>
    <mergeCell ref="O27:P27"/>
    <mergeCell ref="R27:T27"/>
    <mergeCell ref="L24:M24"/>
    <mergeCell ref="O24:P24"/>
    <mergeCell ref="R24:T24"/>
    <mergeCell ref="L25:M25"/>
    <mergeCell ref="O25:P25"/>
    <mergeCell ref="R25:T25"/>
    <mergeCell ref="L22:M22"/>
    <mergeCell ref="O22:P22"/>
    <mergeCell ref="R22:T22"/>
    <mergeCell ref="L23:M23"/>
    <mergeCell ref="O23:P23"/>
    <mergeCell ref="R23:T23"/>
    <mergeCell ref="L20:M20"/>
    <mergeCell ref="O20:P20"/>
    <mergeCell ref="R20:T20"/>
    <mergeCell ref="L21:M21"/>
    <mergeCell ref="O21:P21"/>
    <mergeCell ref="R21:T21"/>
    <mergeCell ref="L18:M18"/>
    <mergeCell ref="O18:P18"/>
    <mergeCell ref="R18:T18"/>
    <mergeCell ref="L19:M19"/>
    <mergeCell ref="O19:P19"/>
    <mergeCell ref="R19:T19"/>
    <mergeCell ref="L16:M16"/>
    <mergeCell ref="O16:P16"/>
    <mergeCell ref="R16:T16"/>
    <mergeCell ref="L17:M17"/>
    <mergeCell ref="O17:P17"/>
    <mergeCell ref="R17:T17"/>
    <mergeCell ref="L14:M14"/>
    <mergeCell ref="O14:P14"/>
    <mergeCell ref="R14:T14"/>
    <mergeCell ref="L15:M15"/>
    <mergeCell ref="O15:P15"/>
    <mergeCell ref="R15:T15"/>
    <mergeCell ref="L12:M12"/>
    <mergeCell ref="O12:P12"/>
    <mergeCell ref="R12:T12"/>
    <mergeCell ref="L13:M13"/>
    <mergeCell ref="O13:P13"/>
    <mergeCell ref="R13:T13"/>
    <mergeCell ref="L11:M11"/>
    <mergeCell ref="O11:P11"/>
    <mergeCell ref="R11:T11"/>
    <mergeCell ref="A9:A10"/>
    <mergeCell ref="B9:B10"/>
    <mergeCell ref="C9:C10"/>
    <mergeCell ref="D9:D10"/>
    <mergeCell ref="E9:E10"/>
    <mergeCell ref="F9:F10"/>
    <mergeCell ref="B2:L2"/>
    <mergeCell ref="L8:M8"/>
    <mergeCell ref="O8:P8"/>
    <mergeCell ref="R8:T8"/>
    <mergeCell ref="W8:Z8"/>
    <mergeCell ref="G9:G10"/>
    <mergeCell ref="H9:H10"/>
    <mergeCell ref="I9:I10"/>
    <mergeCell ref="J9:J10"/>
    <mergeCell ref="K9:K10"/>
    <mergeCell ref="L9:M10"/>
    <mergeCell ref="O9:P10"/>
    <mergeCell ref="R9:T10"/>
  </mergeCells>
  <dataValidations count="12">
    <dataValidation type="list" allowBlank="1" showInputMessage="1" showErrorMessage="1" sqref="R11:T50">
      <formula1>$AC$37:$AC$45</formula1>
    </dataValidation>
    <dataValidation type="list" allowBlank="1" showInputMessage="1" showErrorMessage="1" sqref="L11:M50 O11:P50">
      <formula1>$AC$32:$AC$34</formula1>
    </dataValidation>
    <dataValidation type="list" allowBlank="1" showInputMessage="1" showErrorMessage="1" sqref="Z10">
      <formula1>"Sim,Não"</formula1>
    </dataValidation>
    <dataValidation type="list" allowBlank="1" showInputMessage="1" showErrorMessage="1" error="Tem que selecionar um valor da lista disponível" sqref="D11:D21">
      <formula1>INDIRECT($AN$12)</formula1>
    </dataValidation>
    <dataValidation type="list" allowBlank="1" showInputMessage="1" showErrorMessage="1" error="Tem que selecionar um valor da lista disponível" sqref="E11:E21">
      <formula1>INDIRECT($AN$13)</formula1>
    </dataValidation>
    <dataValidation type="whole" operator="greaterThanOrEqual" allowBlank="1" showDropDown="1" showInputMessage="1" showErrorMessage="1" errorTitle="Valores Válidos" error="Célula aceita apenas números inteiros." sqref="F10:F50">
      <formula1>0</formula1>
    </dataValidation>
    <dataValidation type="whole" operator="greaterThan" allowBlank="1" showDropDown="1" showInputMessage="1" showErrorMessage="1" errorTitle="Valores Válidos" error="Célula aceita apenas números inteiros." sqref="G10:G50">
      <formula1>0</formula1>
    </dataValidation>
    <dataValidation operator="greaterThan" allowBlank="1" showDropDown="1" showInputMessage="1" showErrorMessage="1" errorTitle="Valores Válidos" error="Célula aceita apenas números inteiros." sqref="H10:I50"/>
    <dataValidation allowBlank="1" showInputMessage="1" showErrorMessage="1" error="Tem que selecionar um valor da lista disponível" sqref="J11:J50"/>
    <dataValidation type="list" allowBlank="1" showInputMessage="1" showErrorMessage="1" sqref="W10">
      <formula1>IF($X$10=Sim,Nao,Sim_Nao)</formula1>
    </dataValidation>
    <dataValidation type="list" allowBlank="1" showInputMessage="1" showErrorMessage="1" sqref="X10">
      <formula1>IF($W$10=Sim,Nao,Sim_Nao)</formula1>
    </dataValidation>
    <dataValidation type="list" allowBlank="1" showInputMessage="1" showErrorMessage="1" sqref="Y10">
      <formula1>"Sim,Não"</formula1>
    </dataValidation>
  </dataValidations>
  <hyperlinks>
    <hyperlink ref="L3" location="Resumo!C15" display="&lt;&lt; Voltar para RESUMO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="Tem que selecionar um valor da lista disponível">
          <x14:formula1>
            <xm:f>Parâmetros!$F$5:$F$7</xm:f>
          </x14:formula1>
          <xm:sqref>D11:D21</xm:sqref>
        </x14:dataValidation>
        <x14:dataValidation type="list" allowBlank="1" showInputMessage="1" showErrorMessage="1" error="Tem que selecionar um valor da lista disponível">
          <x14:formula1>
            <xm:f>Parâmetros!$G$5:$G$9</xm:f>
          </x14:formula1>
          <xm:sqref>E11:E21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H76"/>
  <sheetViews>
    <sheetView showGridLines="0" showRowColHeaders="0" tabSelected="1" topLeftCell="A7" zoomScale="85" zoomScaleNormal="85" workbookViewId="0">
      <selection activeCell="H27" sqref="H27"/>
    </sheetView>
  </sheetViews>
  <sheetFormatPr defaultRowHeight="14.25" x14ac:dyDescent="0.2"/>
  <cols>
    <col min="1" max="1" width="19.28515625" style="34" customWidth="1"/>
    <col min="2" max="2" width="24.28515625" style="29" hidden="1" customWidth="1"/>
    <col min="3" max="3" width="59.5703125" style="28" customWidth="1"/>
    <col min="4" max="5" width="11.28515625" style="28" customWidth="1"/>
    <col min="6" max="6" width="22" style="28" hidden="1" customWidth="1"/>
    <col min="7" max="7" width="22" style="28" customWidth="1"/>
    <col min="8" max="8" width="38.42578125" style="28" customWidth="1"/>
    <col min="9" max="9" width="11.7109375" style="34" customWidth="1"/>
    <col min="10" max="11" width="14.5703125" style="88" hidden="1" customWidth="1"/>
    <col min="12" max="12" width="40.140625" style="88" hidden="1" customWidth="1"/>
    <col min="13" max="13" width="58.5703125" style="88" hidden="1" customWidth="1"/>
    <col min="14" max="14" width="58.7109375" style="88" hidden="1" customWidth="1"/>
    <col min="15" max="21" width="9.140625" style="88" hidden="1" customWidth="1"/>
    <col min="22" max="23" width="9.140625" style="34" customWidth="1"/>
    <col min="24" max="16384" width="9.140625" style="34"/>
  </cols>
  <sheetData>
    <row r="1" spans="1:22" s="28" customFormat="1" ht="35.1" customHeight="1" x14ac:dyDescent="0.2">
      <c r="B1" s="27" t="s">
        <v>76</v>
      </c>
      <c r="I1" s="34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88"/>
      <c r="V1" s="34"/>
    </row>
    <row r="2" spans="1:22" s="28" customFormat="1" ht="35.1" customHeight="1" x14ac:dyDescent="0.2">
      <c r="B2" s="29"/>
      <c r="C2" s="430" t="s">
        <v>38</v>
      </c>
      <c r="D2" s="430"/>
      <c r="E2" s="430"/>
      <c r="F2" s="430"/>
      <c r="G2" s="430"/>
      <c r="H2" s="430"/>
      <c r="I2" s="34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34"/>
    </row>
    <row r="3" spans="1:22" s="31" customFormat="1" ht="34.5" customHeight="1" x14ac:dyDescent="0.2">
      <c r="B3" s="30"/>
      <c r="C3" s="522" t="s">
        <v>39</v>
      </c>
      <c r="D3" s="522"/>
      <c r="E3" s="522"/>
      <c r="F3" s="522"/>
      <c r="G3" s="522"/>
      <c r="H3" s="522"/>
      <c r="J3" s="89"/>
      <c r="K3" s="89"/>
      <c r="L3" s="89"/>
      <c r="M3" s="89"/>
      <c r="N3" s="89"/>
      <c r="O3" s="89"/>
      <c r="P3" s="89"/>
      <c r="Q3" s="89"/>
      <c r="R3" s="89"/>
      <c r="S3" s="89"/>
      <c r="T3" s="89"/>
      <c r="U3" s="89"/>
    </row>
    <row r="4" spans="1:22" s="31" customFormat="1" ht="34.5" customHeight="1" x14ac:dyDescent="0.2">
      <c r="B4" s="30"/>
      <c r="C4" s="73"/>
      <c r="D4" s="73"/>
      <c r="E4" s="73"/>
      <c r="F4" s="73"/>
      <c r="J4" s="89"/>
      <c r="K4" s="89"/>
      <c r="L4" s="89"/>
      <c r="M4" s="89"/>
      <c r="N4" s="89"/>
      <c r="O4" s="89"/>
      <c r="P4" s="89"/>
      <c r="Q4" s="89"/>
      <c r="R4" s="89"/>
      <c r="S4" s="89"/>
      <c r="T4" s="89"/>
      <c r="U4" s="89"/>
    </row>
    <row r="5" spans="1:22" s="28" customFormat="1" ht="35.1" customHeight="1" x14ac:dyDescent="0.25">
      <c r="B5" s="29"/>
      <c r="C5" s="14" t="s">
        <v>67</v>
      </c>
      <c r="D5" s="12">
        <f ca="1">Horas_NF_A+Horas_NF_B+Horas_NF_C+Horas_NF_D+Horas_NF_E</f>
        <v>304</v>
      </c>
      <c r="E5" s="90"/>
      <c r="G5" s="74"/>
      <c r="H5" s="74" t="s">
        <v>45</v>
      </c>
      <c r="I5" s="74"/>
      <c r="J5" s="170"/>
      <c r="K5" s="170"/>
      <c r="L5" s="88"/>
      <c r="M5" s="88"/>
      <c r="N5" s="88"/>
      <c r="O5" s="88"/>
      <c r="P5" s="88"/>
      <c r="Q5" s="88"/>
      <c r="R5" s="88"/>
      <c r="S5" s="88"/>
      <c r="T5" s="88"/>
      <c r="U5" s="88"/>
      <c r="V5" s="34"/>
    </row>
    <row r="6" spans="1:22" s="28" customFormat="1" ht="35.1" customHeight="1" x14ac:dyDescent="0.2">
      <c r="A6" s="107"/>
      <c r="B6" s="108"/>
      <c r="C6" s="109"/>
      <c r="D6" s="110"/>
      <c r="E6" s="111"/>
      <c r="F6" s="74"/>
      <c r="G6" s="74"/>
      <c r="H6" s="74"/>
      <c r="I6" s="74"/>
      <c r="J6" s="170"/>
      <c r="K6" s="170"/>
      <c r="L6" s="88"/>
      <c r="M6" s="88"/>
      <c r="N6" s="88"/>
      <c r="O6" s="88"/>
      <c r="P6" s="88"/>
      <c r="Q6" s="88"/>
      <c r="R6" s="88"/>
      <c r="S6" s="88"/>
      <c r="T6" s="88"/>
      <c r="U6" s="88"/>
      <c r="V6" s="34"/>
    </row>
    <row r="7" spans="1:22" s="28" customFormat="1" ht="38.25" x14ac:dyDescent="0.2">
      <c r="A7" s="107"/>
      <c r="B7" s="108"/>
      <c r="C7" s="70" t="s">
        <v>89</v>
      </c>
      <c r="D7" s="430" t="s">
        <v>90</v>
      </c>
      <c r="E7" s="430"/>
      <c r="F7" s="72" t="s">
        <v>207</v>
      </c>
      <c r="G7" s="364" t="s">
        <v>91</v>
      </c>
      <c r="H7" s="70" t="s">
        <v>94</v>
      </c>
      <c r="I7" s="4"/>
      <c r="J7" s="171" t="s">
        <v>268</v>
      </c>
      <c r="K7" s="192" t="s">
        <v>255</v>
      </c>
      <c r="L7" s="192" t="s">
        <v>223</v>
      </c>
      <c r="M7" s="192" t="s">
        <v>267</v>
      </c>
      <c r="N7" s="88"/>
      <c r="O7" s="88"/>
      <c r="P7" s="88"/>
      <c r="Q7" s="88"/>
      <c r="R7" s="88"/>
      <c r="S7" s="88"/>
      <c r="T7" s="88"/>
      <c r="U7" s="88"/>
      <c r="V7" s="34"/>
    </row>
    <row r="8" spans="1:22" s="28" customFormat="1" ht="15" customHeight="1" x14ac:dyDescent="0.2">
      <c r="A8" s="107"/>
      <c r="B8" s="108"/>
      <c r="C8" s="7" t="s">
        <v>7</v>
      </c>
      <c r="D8" s="524"/>
      <c r="E8" s="524"/>
      <c r="F8" s="75"/>
      <c r="G8" s="7"/>
      <c r="H8" s="7"/>
      <c r="I8" s="91"/>
      <c r="J8" s="173" t="e">
        <f>AND(Man_Cosmetica_Especial,VLOOKUP(B8,PercentuaisFases[],COLUMN(PercentuaisFases[[#Headers],[Man Cosmetica Especial]]),FALSE))</f>
        <v>#N/A</v>
      </c>
      <c r="K8" s="191" t="e">
        <f>AND(FabricaTestes,VLOOKUP(B8,PercentuaisFases[],VLOOKUP(Fornecedor,MapFasesFornecedores[#All],4,FALSE),FALSE))</f>
        <v>#N/A</v>
      </c>
      <c r="L8" s="166" t="b">
        <f>IF(C8="",0)</f>
        <v>0</v>
      </c>
      <c r="M8" s="166" t="e">
        <f>AND(Man_Cosmetica_Especial,VLOOKUP(B8,PercentuaisFases[],COLUMN(PercentuaisFases[[#Headers],[Man Cosmetica Especial]]),FALSE))</f>
        <v>#N/A</v>
      </c>
      <c r="N8" s="88"/>
      <c r="O8" s="88"/>
      <c r="P8" s="88"/>
      <c r="Q8" s="88"/>
      <c r="R8" s="88"/>
      <c r="S8" s="88"/>
      <c r="T8" s="88"/>
      <c r="U8" s="88"/>
      <c r="V8" s="34"/>
    </row>
    <row r="9" spans="1:22" s="28" customFormat="1" ht="15" customHeight="1" x14ac:dyDescent="0.2">
      <c r="A9" s="107"/>
      <c r="B9" s="112" t="s">
        <v>204</v>
      </c>
      <c r="C9" s="78" t="str">
        <f>IF(K9=TRUE,"","Ciclo extra de Teste Integrado (entre fornecedores distintos)")</f>
        <v/>
      </c>
      <c r="D9" s="516"/>
      <c r="E9" s="516"/>
      <c r="F9" s="349">
        <f>ROUND(IF(Contrato="Em negociação",0,IF(D9=0,0,D9*(PontosFuncao[[#Totals],[Esforço]]+IF('Itens Não Funcionais'!J9=FALSE,Analogia[[#Totals],[Esforço com Impacto]],Analogia[[#Totals],[Esforço sem Impacto]]))*VLOOKUP(B9,PercentuaisFases[],VLOOKUP(Fornecedor,MapFasesFornecedores[#All],3,FALSE),FALSE))),2)</f>
        <v>0</v>
      </c>
      <c r="G9" s="367"/>
      <c r="H9" s="225"/>
      <c r="I9" s="92"/>
      <c r="J9" s="173" t="b">
        <f>AND(Man_Cosmetica_Especial,VLOOKUP(B9,PercentuaisFases[],COLUMN(PercentuaisFases[[#Headers],[Man Cosmetica Especial]]),FALSE))</f>
        <v>1</v>
      </c>
      <c r="K9" s="191" t="b">
        <f>AND(FabricaTestes,VLOOKUP(B9,PercentuaisFases[],VLOOKUP(Fornecedor,MapFasesFornecedores[#All],4,FALSE),FALSE))</f>
        <v>1</v>
      </c>
      <c r="L9" s="166">
        <f>IF(C9="",0)</f>
        <v>0</v>
      </c>
      <c r="M9" s="166" t="b">
        <f>AND(Man_Cosmetica_Especial,VLOOKUP(B9,PercentuaisFases[],COLUMN(PercentuaisFases[[#Headers],[Man Cosmetica Especial]]),FALSE))</f>
        <v>1</v>
      </c>
      <c r="N9" s="88"/>
      <c r="O9" s="88"/>
      <c r="P9" s="88"/>
      <c r="Q9" s="88"/>
      <c r="R9" s="88"/>
      <c r="S9" s="88"/>
      <c r="T9" s="88"/>
      <c r="U9" s="88"/>
      <c r="V9" s="34"/>
    </row>
    <row r="10" spans="1:22" s="28" customFormat="1" ht="15" customHeight="1" x14ac:dyDescent="0.2">
      <c r="A10" s="107"/>
      <c r="B10" s="112" t="s">
        <v>205</v>
      </c>
      <c r="C10" s="78" t="str">
        <f>IF(K10=TRUE,"","Ciclo extra de UAT")</f>
        <v/>
      </c>
      <c r="D10" s="516"/>
      <c r="E10" s="516"/>
      <c r="F10" s="427">
        <f>ROUND(IF(Contrato="Em negociação",0,IF(D10=0,0,D10*(PontosFuncao[[#Totals],[Esforço]]+IF('Itens Não Funcionais'!J10=FALSE,Analogia[[#Totals],[Esforço com Impacto]],Analogia[[#Totals],[Esforço sem Impacto]]))*VLOOKUP(B10,PercentuaisFases[],VLOOKUP(Fornecedor,MapFasesFornecedores[#All],3,FALSE),FALSE))),2)</f>
        <v>0</v>
      </c>
      <c r="G10" s="367"/>
      <c r="H10" s="225"/>
      <c r="I10" s="92"/>
      <c r="J10" s="173" t="b">
        <f>AND(Man_Cosmetica_Especial,VLOOKUP(B10,PercentuaisFases[],COLUMN(PercentuaisFases[[#Headers],[Man Cosmetica Especial]]),FALSE))</f>
        <v>1</v>
      </c>
      <c r="K10" s="191" t="b">
        <f>AND(FabricaTestes,VLOOKUP(B10,PercentuaisFases[],VLOOKUP(Fornecedor,MapFasesFornecedores[#All],4,FALSE),FALSE))</f>
        <v>1</v>
      </c>
      <c r="L10" s="166">
        <f t="shared" ref="L10:L15" si="0">IF(C10="",0)</f>
        <v>0</v>
      </c>
      <c r="M10" s="166" t="b">
        <f>AND(Man_Cosmetica_Especial,VLOOKUP(B10,PercentuaisFases[],COLUMN(PercentuaisFases[[#Headers],[Man Cosmetica Especial]]),FALSE))</f>
        <v>1</v>
      </c>
      <c r="N10" s="88"/>
      <c r="O10" s="88"/>
      <c r="P10" s="88"/>
      <c r="Q10" s="88"/>
      <c r="R10" s="88"/>
      <c r="S10" s="88"/>
      <c r="T10" s="88"/>
      <c r="U10" s="88"/>
      <c r="V10" s="34"/>
    </row>
    <row r="11" spans="1:22" s="28" customFormat="1" ht="15" customHeight="1" x14ac:dyDescent="0.2">
      <c r="A11" s="107"/>
      <c r="B11" s="112" t="s">
        <v>275</v>
      </c>
      <c r="C11" s="78" t="str">
        <f>IF(K11=TRUE,"","Ciclo extra de Teste de Sistema")</f>
        <v>Ciclo extra de Teste de Sistema</v>
      </c>
      <c r="D11" s="516"/>
      <c r="E11" s="516"/>
      <c r="F11" s="349">
        <f>ROUND(IF(Contrato="Em negociação",0,IF(D11=0,0,D11*(PontosFuncao[[#Totals],[Esforço]]+IF('Itens Não Funcionais'!J11=FALSE,Analogia[[#Totals],[Esforço com Impacto]],Analogia[[#Totals],[Esforço sem Impacto]]))*VLOOKUP(B11,PercentuaisFases[],VLOOKUP(Fornecedor,MapFasesFornecedores[#All],3,FALSE),FALSE))),2)</f>
        <v>0</v>
      </c>
      <c r="G11" s="367"/>
      <c r="H11" s="225"/>
      <c r="I11" s="92"/>
      <c r="J11" s="173" t="b">
        <f>AND(Man_Cosmetica_Especial,VLOOKUP(B11,PercentuaisFases[],COLUMN(PercentuaisFases[[#Headers],[Man Cosmetica Especial]]),FALSE))</f>
        <v>1</v>
      </c>
      <c r="K11" s="191" t="b">
        <f>AND(FabricaTestes,VLOOKUP(B11,PercentuaisFases[],VLOOKUP(Fornecedor,MapFasesFornecedores[#All],4,FALSE),FALSE))</f>
        <v>0</v>
      </c>
      <c r="L11" s="166" t="b">
        <f t="shared" si="0"/>
        <v>0</v>
      </c>
      <c r="M11" s="166" t="b">
        <f>AND(Man_Cosmetica_Especial,VLOOKUP(B11,PercentuaisFases[],COLUMN(PercentuaisFases[[#Headers],[Man Cosmetica Especial]]),FALSE))</f>
        <v>1</v>
      </c>
      <c r="N11" s="88"/>
      <c r="O11" s="88"/>
      <c r="P11" s="88"/>
      <c r="Q11" s="88"/>
      <c r="R11" s="88"/>
      <c r="S11" s="88"/>
      <c r="T11" s="88"/>
      <c r="U11" s="88"/>
      <c r="V11" s="34"/>
    </row>
    <row r="12" spans="1:22" s="28" customFormat="1" ht="15" customHeight="1" x14ac:dyDescent="0.2">
      <c r="A12" s="107"/>
      <c r="B12" s="112"/>
      <c r="C12" s="7" t="s">
        <v>97</v>
      </c>
      <c r="D12" s="510"/>
      <c r="E12" s="510"/>
      <c r="F12" s="350"/>
      <c r="G12" s="7"/>
      <c r="H12" s="226"/>
      <c r="I12" s="91"/>
      <c r="J12" s="173" t="e">
        <f>AND(Man_Cosmetica_Especial,VLOOKUP(B12,PercentuaisFases[],COLUMN(PercentuaisFases[[#Headers],[Man Cosmetica Especial]]),FALSE))</f>
        <v>#N/A</v>
      </c>
      <c r="K12" s="191" t="e">
        <f>AND(FabricaTestes,VLOOKUP(B12,PercentuaisFases[],VLOOKUP(Fornecedor,MapFasesFornecedores[#All],4,FALSE),FALSE))</f>
        <v>#N/A</v>
      </c>
      <c r="L12" s="166" t="b">
        <f t="shared" si="0"/>
        <v>0</v>
      </c>
      <c r="M12" s="166" t="e">
        <f>AND(Man_Cosmetica_Especial,VLOOKUP(B12,PercentuaisFases[],COLUMN(PercentuaisFases[[#Headers],[Man Cosmetica Especial]]),FALSE))</f>
        <v>#N/A</v>
      </c>
      <c r="N12" s="88"/>
      <c r="O12" s="88"/>
      <c r="P12" s="88"/>
      <c r="Q12" s="88"/>
      <c r="R12" s="88"/>
      <c r="S12" s="88"/>
      <c r="T12" s="88"/>
      <c r="U12" s="88"/>
      <c r="V12" s="34"/>
    </row>
    <row r="13" spans="1:22" s="28" customFormat="1" x14ac:dyDescent="0.2">
      <c r="A13" s="107"/>
      <c r="B13" s="112" t="s">
        <v>204</v>
      </c>
      <c r="C13" s="78" t="str">
        <f>IF(K13=TRUE,"","Site extra de Teste Integrado (entre fornecedores distintos)")</f>
        <v/>
      </c>
      <c r="D13" s="516"/>
      <c r="E13" s="516"/>
      <c r="F13" s="427">
        <f>ROUND(IF(Contrato="Em negociação",0,IF(D13=0,0,D13*(PontosFuncao[[#Totals],[Esforço]]+IF('Itens Não Funcionais'!J13=FALSE,Analogia[[#Totals],[Esforço com Impacto]],Analogia[[#Totals],[Esforço sem Impacto]]))*VLOOKUP(B13,PercentuaisFases[],VLOOKUP(Fornecedor,MapFasesFornecedores[#All],3,FALSE),FALSE))),2)</f>
        <v>0</v>
      </c>
      <c r="G13" s="367"/>
      <c r="H13" s="225"/>
      <c r="I13" s="92"/>
      <c r="J13" s="173" t="b">
        <f>AND(Man_Cosmetica_Especial,VLOOKUP(B13,PercentuaisFases[],COLUMN(PercentuaisFases[[#Headers],[Man Cosmetica Especial]]),FALSE))</f>
        <v>1</v>
      </c>
      <c r="K13" s="191" t="b">
        <f>AND(FabricaTestes,VLOOKUP(B13,PercentuaisFases[],VLOOKUP(Fornecedor,MapFasesFornecedores[#All],4,FALSE),FALSE))</f>
        <v>1</v>
      </c>
      <c r="L13" s="166">
        <f>IF(C13="",0)</f>
        <v>0</v>
      </c>
      <c r="M13" s="166" t="b">
        <f>AND(Man_Cosmetica_Especial,VLOOKUP(B13,PercentuaisFases[],COLUMN(PercentuaisFases[[#Headers],[Man Cosmetica Especial]]),FALSE))</f>
        <v>1</v>
      </c>
      <c r="N13" s="88"/>
      <c r="O13" s="88"/>
      <c r="P13" s="88"/>
      <c r="Q13" s="88"/>
      <c r="R13" s="88"/>
      <c r="S13" s="88"/>
      <c r="T13" s="88"/>
      <c r="U13" s="88"/>
      <c r="V13" s="34"/>
    </row>
    <row r="14" spans="1:22" s="28" customFormat="1" x14ac:dyDescent="0.2">
      <c r="A14" s="107"/>
      <c r="B14" s="112" t="s">
        <v>205</v>
      </c>
      <c r="C14" s="78" t="str">
        <f>IF(K14=TRUE,"","Site extra de UAT")</f>
        <v/>
      </c>
      <c r="D14" s="516"/>
      <c r="E14" s="516"/>
      <c r="F14" s="427">
        <f>ROUND(IF(Contrato="Em negociação",0,IF(D14=0,0,D14*(PontosFuncao[[#Totals],[Esforço]]+IF('Itens Não Funcionais'!J14=FALSE,Analogia[[#Totals],[Esforço com Impacto]],Analogia[[#Totals],[Esforço sem Impacto]]))*VLOOKUP(B14,PercentuaisFases[],VLOOKUP(Fornecedor,MapFasesFornecedores[#All],3,FALSE),FALSE))),2)</f>
        <v>0</v>
      </c>
      <c r="G14" s="367"/>
      <c r="H14" s="225"/>
      <c r="I14" s="92"/>
      <c r="J14" s="173" t="b">
        <f>AND(Man_Cosmetica_Especial,VLOOKUP(B14,PercentuaisFases[],COLUMN(PercentuaisFases[[#Headers],[Man Cosmetica Especial]]),FALSE))</f>
        <v>1</v>
      </c>
      <c r="K14" s="191" t="b">
        <f>AND(FabricaTestes,VLOOKUP(B14,PercentuaisFases[],VLOOKUP(Fornecedor,MapFasesFornecedores[#All],4,FALSE),FALSE))</f>
        <v>1</v>
      </c>
      <c r="L14" s="166">
        <f t="shared" si="0"/>
        <v>0</v>
      </c>
      <c r="M14" s="166" t="b">
        <f>AND(Man_Cosmetica_Especial,VLOOKUP(B14,PercentuaisFases[],COLUMN(PercentuaisFases[[#Headers],[Man Cosmetica Especial]]),FALSE))</f>
        <v>1</v>
      </c>
      <c r="N14" s="88"/>
      <c r="O14" s="88"/>
      <c r="P14" s="88"/>
      <c r="Q14" s="88"/>
      <c r="R14" s="88"/>
      <c r="S14" s="88"/>
      <c r="T14" s="88"/>
      <c r="U14" s="88"/>
      <c r="V14" s="34"/>
    </row>
    <row r="15" spans="1:22" s="28" customFormat="1" x14ac:dyDescent="0.2">
      <c r="A15" s="107"/>
      <c r="B15" s="112" t="s">
        <v>275</v>
      </c>
      <c r="C15" s="78" t="str">
        <f>IF(K15=TRUE,"","Site extra de Teste de Sistema")</f>
        <v>Site extra de Teste de Sistema</v>
      </c>
      <c r="D15" s="516"/>
      <c r="E15" s="516"/>
      <c r="F15" s="427">
        <f>ROUND(IF(Contrato="Em negociação",0,IF(D15=0,0,D15*(PontosFuncao[[#Totals],[Esforço]]+IF('Itens Não Funcionais'!J15=FALSE,Analogia[[#Totals],[Esforço com Impacto]],Analogia[[#Totals],[Esforço sem Impacto]]))*VLOOKUP(B15,PercentuaisFases[],VLOOKUP(Fornecedor,MapFasesFornecedores[#All],3,FALSE),FALSE))),2)</f>
        <v>0</v>
      </c>
      <c r="G15" s="367"/>
      <c r="H15" s="225"/>
      <c r="I15" s="92"/>
      <c r="J15" s="173" t="b">
        <f>AND(Man_Cosmetica_Especial,VLOOKUP(B15,PercentuaisFases[],COLUMN(PercentuaisFases[[#Headers],[Man Cosmetica Especial]]),FALSE))</f>
        <v>1</v>
      </c>
      <c r="K15" s="191" t="b">
        <f>AND(FabricaTestes,VLOOKUP(B15,PercentuaisFases[],VLOOKUP(Fornecedor,MapFasesFornecedores[#All],4,FALSE),FALSE))</f>
        <v>0</v>
      </c>
      <c r="L15" s="166" t="b">
        <f t="shared" si="0"/>
        <v>0</v>
      </c>
      <c r="M15" s="166" t="b">
        <f>AND(Man_Cosmetica_Especial,VLOOKUP(B15,PercentuaisFases[],COLUMN(PercentuaisFases[[#Headers],[Man Cosmetica Especial]]),FALSE))</f>
        <v>1</v>
      </c>
      <c r="N15" s="88"/>
      <c r="O15" s="88"/>
      <c r="P15" s="88"/>
      <c r="Q15" s="88"/>
      <c r="R15" s="88"/>
      <c r="S15" s="88"/>
      <c r="T15" s="88"/>
      <c r="U15" s="88"/>
      <c r="V15" s="34"/>
    </row>
    <row r="16" spans="1:22" s="28" customFormat="1" ht="15" customHeight="1" x14ac:dyDescent="0.2">
      <c r="A16" s="107"/>
      <c r="B16" s="108"/>
      <c r="C16" s="7" t="s">
        <v>95</v>
      </c>
      <c r="D16" s="510"/>
      <c r="E16" s="510"/>
      <c r="F16" s="350"/>
      <c r="G16" s="7"/>
      <c r="H16" s="226"/>
      <c r="I16" s="91"/>
      <c r="J16" s="173" t="e">
        <f>AND(Man_Cosmetica_Especial,VLOOKUP(B16,PercentuaisFases[],COLUMN(PercentuaisFases[[#Headers],[Man Cosmetica Especial]]),FALSE))</f>
        <v>#N/A</v>
      </c>
      <c r="K16" s="172"/>
      <c r="L16" s="88" t="s">
        <v>215</v>
      </c>
      <c r="M16" s="88" t="s">
        <v>218</v>
      </c>
      <c r="N16" s="88" t="s">
        <v>219</v>
      </c>
      <c r="O16" s="88"/>
      <c r="P16" s="88"/>
      <c r="Q16" s="88"/>
      <c r="R16" s="88"/>
      <c r="S16" s="88"/>
      <c r="T16" s="88"/>
      <c r="U16" s="88"/>
      <c r="V16" s="34"/>
    </row>
    <row r="17" spans="1:22" s="93" customFormat="1" ht="15" customHeight="1" x14ac:dyDescent="0.2">
      <c r="A17" s="113"/>
      <c r="B17" s="114"/>
      <c r="C17" s="78" t="s">
        <v>95</v>
      </c>
      <c r="D17" s="517"/>
      <c r="E17" s="517"/>
      <c r="F17" s="349">
        <f ca="1">ROUND(IF(AND(D17=Sim,L17&gt;Acomp_PosProducao_Min),N17,0),2)</f>
        <v>0</v>
      </c>
      <c r="G17" s="411">
        <f ca="1">IF(AND(D17=Sim,L17&gt;Acomp_PosProducao_Min),N17,0)</f>
        <v>0</v>
      </c>
      <c r="H17" s="225"/>
      <c r="I17" s="94"/>
      <c r="J17" s="173" t="e">
        <f>AND(Man_Cosmetica_Especial,VLOOKUP(B17,PercentuaisFases[],COLUMN(PercentuaisFases[[#Headers],[Man Cosmetica Especial]]),FALSE))</f>
        <v>#N/A</v>
      </c>
      <c r="K17" s="174"/>
      <c r="L17" s="103">
        <f ca="1">ROUND(MAX(SUM(F9:F11,F13:F15,F19,F21,F23),SUM(G9:G11,G13:G15,G19,G21,G23))+Horas_APF+Horas_Analogia+Horas_NF_B+Horas_NF_C+Horas_NF_D+Horas_NF_E,2)</f>
        <v>304</v>
      </c>
      <c r="M17" s="103">
        <f ca="1">L17*Acomp_PosProducao_Perc</f>
        <v>6.08</v>
      </c>
      <c r="N17" s="103">
        <f ca="1">MIN(M17,Acomp_PosProducao_Max)</f>
        <v>6.08</v>
      </c>
      <c r="O17" s="95"/>
      <c r="P17" s="95"/>
      <c r="Q17" s="95"/>
      <c r="R17" s="95"/>
      <c r="S17" s="95"/>
      <c r="T17" s="95"/>
      <c r="U17" s="95"/>
      <c r="V17" s="126"/>
    </row>
    <row r="18" spans="1:22" s="93" customFormat="1" ht="15" customHeight="1" x14ac:dyDescent="0.2">
      <c r="A18" s="113"/>
      <c r="B18" s="114"/>
      <c r="C18" s="7" t="s">
        <v>98</v>
      </c>
      <c r="D18" s="510"/>
      <c r="E18" s="510"/>
      <c r="F18" s="350"/>
      <c r="G18" s="7"/>
      <c r="H18" s="226"/>
      <c r="I18" s="94"/>
      <c r="J18" s="173" t="e">
        <f>AND(Man_Cosmetica_Especial,VLOOKUP(B18,PercentuaisFases[],COLUMN(PercentuaisFases[[#Headers],[Man Cosmetica Especial]]),FALSE))</f>
        <v>#N/A</v>
      </c>
      <c r="K18" s="174"/>
      <c r="L18" s="103"/>
      <c r="M18" s="106"/>
      <c r="N18" s="106"/>
      <c r="O18" s="95"/>
      <c r="P18" s="95"/>
      <c r="Q18" s="95"/>
      <c r="R18" s="95"/>
      <c r="S18" s="95"/>
      <c r="T18" s="95"/>
      <c r="U18" s="95"/>
      <c r="V18" s="126"/>
    </row>
    <row r="19" spans="1:22" s="93" customFormat="1" ht="15" customHeight="1" x14ac:dyDescent="0.2">
      <c r="A19" s="113"/>
      <c r="B19" s="114"/>
      <c r="C19" s="78" t="s">
        <v>98</v>
      </c>
      <c r="D19" s="511"/>
      <c r="E19" s="512"/>
      <c r="F19" s="349">
        <f ca="1">IFERROR(INDIRECT(M19),0)</f>
        <v>0</v>
      </c>
      <c r="G19" s="365">
        <f ca="1">IFERROR(INDIRECT(M19),0)</f>
        <v>0</v>
      </c>
      <c r="H19" s="225"/>
      <c r="I19" s="94"/>
      <c r="J19" s="173" t="e">
        <f>AND(Man_Cosmetica_Especial,VLOOKUP(B19,PercentuaisFases[],COLUMN(PercentuaisFases[[#Headers],[Man Cosmetica Especial]]),FALSE))</f>
        <v>#N/A</v>
      </c>
      <c r="K19" s="174"/>
      <c r="L19" s="103">
        <f>VLOOKUP(Sistema,Produtividades[],COLUMN(Produtividades[[#Headers],[Aba Itens configuração]])-1,FALSE)</f>
        <v>0</v>
      </c>
      <c r="M19" s="131" t="str">
        <f>"'"&amp;L19&amp;"'!D5"</f>
        <v>'0'!D5</v>
      </c>
      <c r="N19" s="106" t="e">
        <f ca="1">INDIRECT(M19)</f>
        <v>#REF!</v>
      </c>
      <c r="O19" s="95"/>
      <c r="P19" s="95"/>
      <c r="Q19" s="95"/>
      <c r="R19" s="95"/>
      <c r="S19" s="95"/>
      <c r="T19" s="95"/>
      <c r="U19" s="95"/>
      <c r="V19" s="126"/>
    </row>
    <row r="20" spans="1:22" s="93" customFormat="1" ht="15" customHeight="1" x14ac:dyDescent="0.2">
      <c r="A20" s="113"/>
      <c r="B20" s="114"/>
      <c r="C20" s="7" t="s">
        <v>385</v>
      </c>
      <c r="D20" s="510"/>
      <c r="E20" s="510"/>
      <c r="F20" s="350"/>
      <c r="G20" s="7"/>
      <c r="H20" s="226"/>
      <c r="I20" s="94"/>
      <c r="J20" s="173"/>
      <c r="K20" s="174"/>
      <c r="L20" s="103">
        <f>VLOOKUP(Sistema,Produtividades[],COLUMN(Produtividades[[#Headers],[Aba Itens configuração]])-1,FALSE)</f>
        <v>0</v>
      </c>
      <c r="M20" s="131" t="str">
        <f>"'"&amp;L20&amp;"'!E5"</f>
        <v>'0'!E5</v>
      </c>
      <c r="N20" s="106"/>
      <c r="O20" s="95"/>
      <c r="P20" s="95"/>
      <c r="Q20" s="95"/>
      <c r="R20" s="95"/>
      <c r="S20" s="95"/>
      <c r="T20" s="95"/>
      <c r="U20" s="95"/>
      <c r="V20" s="126"/>
    </row>
    <row r="21" spans="1:22" s="93" customFormat="1" ht="15" customHeight="1" x14ac:dyDescent="0.2">
      <c r="A21" s="113"/>
      <c r="B21" s="114"/>
      <c r="C21" s="78" t="s">
        <v>385</v>
      </c>
      <c r="D21" s="511"/>
      <c r="E21" s="512"/>
      <c r="F21" s="349">
        <f ca="1">IFERROR(INDIRECT(M20),0)</f>
        <v>0</v>
      </c>
      <c r="G21" s="365">
        <f ca="1">IFERROR(INDIRECT(M20),0)</f>
        <v>0</v>
      </c>
      <c r="H21" s="225"/>
      <c r="I21" s="94"/>
      <c r="J21" s="173"/>
      <c r="K21" s="174"/>
      <c r="L21" s="103">
        <f>VLOOKUP(Sistema,Produtividades[],COLUMN(Produtividades[[#Headers],[Aba Estimator]])-1,FALSE)</f>
        <v>0</v>
      </c>
      <c r="M21" s="131" t="str">
        <f>"'"&amp;L21&amp;"'!C7"</f>
        <v>'0'!C7</v>
      </c>
      <c r="N21" s="106"/>
      <c r="O21" s="95"/>
      <c r="P21" s="95"/>
      <c r="Q21" s="95"/>
      <c r="R21" s="95"/>
      <c r="S21" s="95"/>
      <c r="T21" s="95"/>
      <c r="U21" s="95"/>
      <c r="V21" s="126"/>
    </row>
    <row r="22" spans="1:22" s="93" customFormat="1" ht="15" customHeight="1" x14ac:dyDescent="0.2">
      <c r="A22" s="113"/>
      <c r="B22" s="114"/>
      <c r="C22" s="7" t="s">
        <v>431</v>
      </c>
      <c r="D22" s="510"/>
      <c r="E22" s="510"/>
      <c r="F22" s="350"/>
      <c r="G22" s="7"/>
      <c r="H22" s="226"/>
      <c r="I22" s="94"/>
      <c r="J22" s="173"/>
      <c r="K22" s="174"/>
      <c r="L22" s="103"/>
      <c r="M22" s="131"/>
      <c r="N22" s="106"/>
      <c r="O22" s="95"/>
      <c r="P22" s="95"/>
      <c r="Q22" s="95"/>
      <c r="R22" s="95"/>
      <c r="S22" s="95"/>
      <c r="T22" s="95"/>
      <c r="U22" s="95"/>
      <c r="V22" s="126"/>
    </row>
    <row r="23" spans="1:22" s="93" customFormat="1" ht="15" customHeight="1" x14ac:dyDescent="0.2">
      <c r="A23" s="113"/>
      <c r="B23" s="114"/>
      <c r="C23" s="78" t="s">
        <v>431</v>
      </c>
      <c r="D23" s="511"/>
      <c r="E23" s="512"/>
      <c r="F23" s="349">
        <f ca="1">IFERROR(INDIRECT(M21),0)</f>
        <v>0</v>
      </c>
      <c r="G23" s="365">
        <f ca="1">IFERROR(INDIRECT(M21),0)</f>
        <v>0</v>
      </c>
      <c r="H23" s="225"/>
      <c r="I23" s="94"/>
      <c r="J23" s="173"/>
      <c r="K23" s="174"/>
      <c r="L23" s="103"/>
      <c r="M23" s="131"/>
      <c r="N23" s="106"/>
      <c r="O23" s="95"/>
      <c r="P23" s="95"/>
      <c r="Q23" s="95"/>
      <c r="R23" s="95"/>
      <c r="S23" s="95"/>
      <c r="T23" s="95"/>
      <c r="U23" s="95"/>
      <c r="V23" s="126"/>
    </row>
    <row r="24" spans="1:22" s="28" customFormat="1" ht="15" customHeight="1" x14ac:dyDescent="0.2">
      <c r="A24" s="107"/>
      <c r="B24" s="108"/>
      <c r="C24" s="519" t="s">
        <v>432</v>
      </c>
      <c r="D24" s="519"/>
      <c r="E24" s="519"/>
      <c r="F24" s="76">
        <f ca="1">ROUND(SUM(F11,F15,F17,F19,F21,F23),2)</f>
        <v>0</v>
      </c>
      <c r="G24" s="76">
        <f ca="1">SUM(G11,G15,G17,G19,G21,G23)</f>
        <v>0</v>
      </c>
      <c r="H24" s="135"/>
      <c r="I24" s="74"/>
      <c r="J24" s="170"/>
      <c r="K24" s="170"/>
      <c r="L24" s="102">
        <f ca="1">MAX(F24:G24)</f>
        <v>0</v>
      </c>
      <c r="M24" s="88"/>
      <c r="N24" s="88"/>
      <c r="O24" s="88"/>
      <c r="P24" s="88"/>
      <c r="Q24" s="88"/>
      <c r="R24" s="88"/>
      <c r="S24" s="88"/>
      <c r="T24" s="88"/>
      <c r="U24" s="88"/>
      <c r="V24" s="34"/>
    </row>
    <row r="25" spans="1:22" s="31" customFormat="1" ht="35.1" customHeight="1" x14ac:dyDescent="0.2">
      <c r="A25" s="115"/>
      <c r="B25" s="116"/>
      <c r="D25" s="115"/>
      <c r="E25" s="4"/>
      <c r="F25" s="4"/>
      <c r="G25" s="115"/>
      <c r="H25" s="136"/>
      <c r="J25" s="89"/>
      <c r="K25" s="89"/>
      <c r="L25" s="89"/>
      <c r="M25" s="89"/>
      <c r="N25" s="89"/>
      <c r="O25" s="89"/>
      <c r="P25" s="89"/>
      <c r="Q25" s="89" t="b">
        <f ca="1">OR(Q27:Q42)</f>
        <v>1</v>
      </c>
      <c r="R25" s="89"/>
      <c r="S25" s="89"/>
      <c r="T25" s="89" t="str">
        <f ca="1">U42</f>
        <v>•Alocação de recursos / Serviços de consultoria _x000D_</v>
      </c>
      <c r="U25" s="89"/>
    </row>
    <row r="26" spans="1:22" s="90" customFormat="1" ht="30.75" customHeight="1" x14ac:dyDescent="0.25">
      <c r="A26" s="111"/>
      <c r="B26" s="117"/>
      <c r="C26" s="443" t="s">
        <v>409</v>
      </c>
      <c r="D26" s="523"/>
      <c r="E26" s="444"/>
      <c r="F26" s="304" t="s">
        <v>91</v>
      </c>
      <c r="G26" s="304" t="s">
        <v>91</v>
      </c>
      <c r="H26" s="304" t="s">
        <v>94</v>
      </c>
      <c r="I26" s="4"/>
      <c r="J26" s="171"/>
      <c r="K26" s="171"/>
      <c r="L26" s="96"/>
      <c r="M26" s="96"/>
      <c r="N26" s="96"/>
      <c r="O26" s="96"/>
      <c r="P26" s="96" t="s">
        <v>238</v>
      </c>
      <c r="Q26" s="96" t="s">
        <v>236</v>
      </c>
      <c r="R26" s="96" t="s">
        <v>240</v>
      </c>
      <c r="S26" s="96" t="s">
        <v>239</v>
      </c>
      <c r="T26" s="96" t="s">
        <v>246</v>
      </c>
      <c r="U26" s="96"/>
      <c r="V26" s="127"/>
    </row>
    <row r="27" spans="1:22" s="28" customFormat="1" ht="51" x14ac:dyDescent="0.2">
      <c r="A27" s="107"/>
      <c r="B27" s="108"/>
      <c r="C27" s="513" t="s">
        <v>212</v>
      </c>
      <c r="D27" s="514"/>
      <c r="E27" s="515"/>
      <c r="F27" s="351"/>
      <c r="G27" s="351">
        <v>304</v>
      </c>
      <c r="H27" s="428" t="s">
        <v>498</v>
      </c>
      <c r="I27" s="97"/>
      <c r="J27" s="30"/>
      <c r="K27" s="30"/>
      <c r="L27" s="88" t="str">
        <f>VLOOKUP(Fornecedor,MapItensNFuncFornecedores[],2,FALSE)</f>
        <v>Itens 2</v>
      </c>
      <c r="M27" s="88" t="str">
        <f>"ItensNaoFuncionais["&amp;L27&amp;"]"</f>
        <v>ItensNaoFuncionais[Itens 2]</v>
      </c>
      <c r="N27" s="88"/>
      <c r="O27" s="88"/>
      <c r="P27" s="88" t="b">
        <f ca="1">AND(S27,IF(AND(Q27=TRUE,R27=FALSE),FALSE,TRUE))</f>
        <v>1</v>
      </c>
      <c r="Q27" s="88" t="b">
        <f ca="1">IF(S27=TRUE,VLOOKUP(C27,INDIRECT($M$28),2,FALSE),FALSE)</f>
        <v>1</v>
      </c>
      <c r="R27" s="88" t="b">
        <f>ISTEXT(H27)</f>
        <v>1</v>
      </c>
      <c r="S27" s="88" t="b">
        <f>ISTEXT(C27)</f>
        <v>1</v>
      </c>
      <c r="T27" s="88" t="str">
        <f ca="1">IF(Q27=TRUE, CHAR(149)&amp;C27&amp;" "&amp;CHAR(13),"")</f>
        <v>•Alocação de recursos / Serviços de consultoria _x000D_</v>
      </c>
      <c r="U27" s="88" t="str">
        <f ca="1">U26&amp;T27</f>
        <v>•Alocação de recursos / Serviços de consultoria _x000D_</v>
      </c>
      <c r="V27" s="34"/>
    </row>
    <row r="28" spans="1:22" s="28" customFormat="1" x14ac:dyDescent="0.2">
      <c r="A28" s="107"/>
      <c r="B28" s="108"/>
      <c r="C28" s="513"/>
      <c r="D28" s="514"/>
      <c r="E28" s="515"/>
      <c r="F28" s="351"/>
      <c r="G28" s="351"/>
      <c r="H28" s="227"/>
      <c r="I28" s="97"/>
      <c r="J28" s="30"/>
      <c r="K28" s="30"/>
      <c r="L28" s="143" t="str">
        <f>VLOOKUP(Fornecedor,MapItensNFuncFornecedores[],3,FALSE)</f>
        <v>Descrição obrigatoria item 2?</v>
      </c>
      <c r="M28" s="88" t="str">
        <f>"ItensNaoFuncionais[["&amp;L27&amp;"]:["&amp;L28&amp;"]]"</f>
        <v>ItensNaoFuncionais[[Itens 2]:[Descrição obrigatoria item 2?]]</v>
      </c>
      <c r="N28" s="88"/>
      <c r="O28" s="88"/>
      <c r="P28" s="88" t="b">
        <f t="shared" ref="P28:P42" ca="1" si="1">AND(S28,IF(AND(Q28=TRUE,R28=FALSE),FALSE,TRUE))</f>
        <v>0</v>
      </c>
      <c r="Q28" s="88" t="b">
        <f t="shared" ref="Q28:Q42" ca="1" si="2">IF(S28=TRUE,VLOOKUP(C28,INDIRECT($M$28),2,FALSE),FALSE)</f>
        <v>0</v>
      </c>
      <c r="R28" s="88" t="b">
        <f t="shared" ref="R28:R42" si="3">ISTEXT(H28)</f>
        <v>0</v>
      </c>
      <c r="S28" s="88" t="b">
        <f t="shared" ref="S28:S42" si="4">ISTEXT(C28)</f>
        <v>0</v>
      </c>
      <c r="T28" s="88" t="str">
        <f t="shared" ref="T28:T42" ca="1" si="5">IF(Q28=TRUE, CHAR(149)&amp;C28&amp;" "&amp;CHAR(13),"")</f>
        <v/>
      </c>
      <c r="U28" s="88" t="str">
        <f t="shared" ref="U28:U42" ca="1" si="6">U27&amp;T28</f>
        <v>•Alocação de recursos / Serviços de consultoria _x000D_</v>
      </c>
      <c r="V28" s="34"/>
    </row>
    <row r="29" spans="1:22" s="28" customFormat="1" x14ac:dyDescent="0.2">
      <c r="A29" s="107"/>
      <c r="B29" s="108"/>
      <c r="C29" s="513"/>
      <c r="D29" s="514"/>
      <c r="E29" s="515"/>
      <c r="F29" s="351"/>
      <c r="G29" s="351"/>
      <c r="H29" s="227"/>
      <c r="I29" s="97"/>
      <c r="J29" s="30"/>
      <c r="K29" s="30"/>
      <c r="L29" s="88"/>
      <c r="M29" s="88"/>
      <c r="N29" s="88"/>
      <c r="O29" s="88"/>
      <c r="P29" s="88" t="b">
        <f t="shared" ca="1" si="1"/>
        <v>0</v>
      </c>
      <c r="Q29" s="88" t="b">
        <f t="shared" ca="1" si="2"/>
        <v>0</v>
      </c>
      <c r="R29" s="88" t="b">
        <f t="shared" si="3"/>
        <v>0</v>
      </c>
      <c r="S29" s="88" t="b">
        <f t="shared" si="4"/>
        <v>0</v>
      </c>
      <c r="T29" s="88" t="str">
        <f t="shared" ca="1" si="5"/>
        <v/>
      </c>
      <c r="U29" s="88" t="str">
        <f t="shared" ca="1" si="6"/>
        <v>•Alocação de recursos / Serviços de consultoria _x000D_</v>
      </c>
      <c r="V29" s="34"/>
    </row>
    <row r="30" spans="1:22" s="28" customFormat="1" x14ac:dyDescent="0.2">
      <c r="A30" s="107"/>
      <c r="B30" s="108"/>
      <c r="C30" s="513"/>
      <c r="D30" s="514"/>
      <c r="E30" s="515"/>
      <c r="F30" s="351"/>
      <c r="G30" s="351"/>
      <c r="H30" s="227"/>
      <c r="I30" s="97"/>
      <c r="J30" s="30"/>
      <c r="K30" s="30"/>
      <c r="L30" s="88"/>
      <c r="M30" s="88"/>
      <c r="N30" s="88"/>
      <c r="O30" s="88"/>
      <c r="P30" s="88" t="b">
        <f t="shared" ca="1" si="1"/>
        <v>0</v>
      </c>
      <c r="Q30" s="88" t="b">
        <f t="shared" ca="1" si="2"/>
        <v>0</v>
      </c>
      <c r="R30" s="88" t="b">
        <f t="shared" si="3"/>
        <v>0</v>
      </c>
      <c r="S30" s="88" t="b">
        <f t="shared" si="4"/>
        <v>0</v>
      </c>
      <c r="T30" s="88" t="str">
        <f t="shared" ca="1" si="5"/>
        <v/>
      </c>
      <c r="U30" s="88" t="str">
        <f t="shared" ca="1" si="6"/>
        <v>•Alocação de recursos / Serviços de consultoria _x000D_</v>
      </c>
      <c r="V30" s="34"/>
    </row>
    <row r="31" spans="1:22" s="28" customFormat="1" x14ac:dyDescent="0.2">
      <c r="A31" s="107"/>
      <c r="B31" s="108"/>
      <c r="C31" s="513"/>
      <c r="D31" s="514"/>
      <c r="E31" s="515"/>
      <c r="F31" s="351"/>
      <c r="G31" s="351"/>
      <c r="H31" s="227"/>
      <c r="I31" s="97"/>
      <c r="J31" s="30"/>
      <c r="K31" s="30"/>
      <c r="L31" s="88"/>
      <c r="M31" s="88"/>
      <c r="N31" s="88"/>
      <c r="O31" s="88"/>
      <c r="P31" s="88" t="b">
        <f t="shared" ca="1" si="1"/>
        <v>0</v>
      </c>
      <c r="Q31" s="88" t="b">
        <f t="shared" ca="1" si="2"/>
        <v>0</v>
      </c>
      <c r="R31" s="88" t="b">
        <f t="shared" si="3"/>
        <v>0</v>
      </c>
      <c r="S31" s="88" t="b">
        <f t="shared" si="4"/>
        <v>0</v>
      </c>
      <c r="T31" s="88" t="str">
        <f t="shared" ca="1" si="5"/>
        <v/>
      </c>
      <c r="U31" s="88" t="str">
        <f t="shared" ca="1" si="6"/>
        <v>•Alocação de recursos / Serviços de consultoria _x000D_</v>
      </c>
      <c r="V31" s="34"/>
    </row>
    <row r="32" spans="1:22" s="28" customFormat="1" x14ac:dyDescent="0.2">
      <c r="A32" s="107"/>
      <c r="B32" s="108"/>
      <c r="C32" s="513"/>
      <c r="D32" s="514"/>
      <c r="E32" s="515"/>
      <c r="F32" s="351"/>
      <c r="G32" s="351"/>
      <c r="H32" s="227"/>
      <c r="I32" s="97"/>
      <c r="J32" s="30"/>
      <c r="K32" s="30"/>
      <c r="L32" s="88"/>
      <c r="M32" s="88"/>
      <c r="N32" s="88"/>
      <c r="O32" s="88"/>
      <c r="P32" s="88" t="b">
        <f t="shared" ca="1" si="1"/>
        <v>0</v>
      </c>
      <c r="Q32" s="88" t="b">
        <f t="shared" ca="1" si="2"/>
        <v>0</v>
      </c>
      <c r="R32" s="88" t="b">
        <f t="shared" si="3"/>
        <v>0</v>
      </c>
      <c r="S32" s="88" t="b">
        <f t="shared" si="4"/>
        <v>0</v>
      </c>
      <c r="T32" s="88" t="str">
        <f t="shared" ca="1" si="5"/>
        <v/>
      </c>
      <c r="U32" s="88" t="str">
        <f t="shared" ca="1" si="6"/>
        <v>•Alocação de recursos / Serviços de consultoria _x000D_</v>
      </c>
      <c r="V32" s="34"/>
    </row>
    <row r="33" spans="1:242" s="28" customFormat="1" x14ac:dyDescent="0.2">
      <c r="A33" s="107"/>
      <c r="B33" s="108"/>
      <c r="C33" s="513"/>
      <c r="D33" s="514"/>
      <c r="E33" s="515"/>
      <c r="F33" s="351"/>
      <c r="G33" s="351"/>
      <c r="H33" s="227"/>
      <c r="I33" s="97"/>
      <c r="J33" s="30"/>
      <c r="K33" s="30"/>
      <c r="L33" s="88"/>
      <c r="M33" s="88"/>
      <c r="N33" s="88"/>
      <c r="O33" s="88"/>
      <c r="P33" s="88" t="b">
        <f t="shared" ca="1" si="1"/>
        <v>0</v>
      </c>
      <c r="Q33" s="88" t="b">
        <f t="shared" ca="1" si="2"/>
        <v>0</v>
      </c>
      <c r="R33" s="88" t="b">
        <f t="shared" si="3"/>
        <v>0</v>
      </c>
      <c r="S33" s="88" t="b">
        <f t="shared" si="4"/>
        <v>0</v>
      </c>
      <c r="T33" s="88" t="str">
        <f t="shared" ca="1" si="5"/>
        <v/>
      </c>
      <c r="U33" s="88" t="str">
        <f t="shared" ca="1" si="6"/>
        <v>•Alocação de recursos / Serviços de consultoria _x000D_</v>
      </c>
      <c r="V33" s="34"/>
    </row>
    <row r="34" spans="1:242" s="28" customFormat="1" x14ac:dyDescent="0.2">
      <c r="A34" s="107"/>
      <c r="B34" s="108"/>
      <c r="C34" s="513"/>
      <c r="D34" s="514"/>
      <c r="E34" s="515"/>
      <c r="F34" s="351"/>
      <c r="G34" s="351"/>
      <c r="H34" s="227"/>
      <c r="I34" s="97"/>
      <c r="J34" s="30"/>
      <c r="K34" s="30"/>
      <c r="L34" s="88"/>
      <c r="M34" s="88"/>
      <c r="N34" s="88"/>
      <c r="O34" s="88"/>
      <c r="P34" s="88" t="b">
        <f t="shared" ca="1" si="1"/>
        <v>0</v>
      </c>
      <c r="Q34" s="88" t="b">
        <f t="shared" ca="1" si="2"/>
        <v>0</v>
      </c>
      <c r="R34" s="88" t="b">
        <f t="shared" si="3"/>
        <v>0</v>
      </c>
      <c r="S34" s="88" t="b">
        <f t="shared" si="4"/>
        <v>0</v>
      </c>
      <c r="T34" s="88" t="str">
        <f t="shared" ca="1" si="5"/>
        <v/>
      </c>
      <c r="U34" s="88" t="str">
        <f t="shared" ca="1" si="6"/>
        <v>•Alocação de recursos / Serviços de consultoria _x000D_</v>
      </c>
      <c r="V34" s="34"/>
    </row>
    <row r="35" spans="1:242" s="28" customFormat="1" x14ac:dyDescent="0.2">
      <c r="A35" s="107"/>
      <c r="B35" s="108"/>
      <c r="C35" s="513"/>
      <c r="D35" s="514"/>
      <c r="E35" s="515"/>
      <c r="F35" s="351"/>
      <c r="G35" s="351"/>
      <c r="H35" s="227"/>
      <c r="I35" s="97"/>
      <c r="J35" s="30"/>
      <c r="K35" s="30"/>
      <c r="L35" s="88"/>
      <c r="M35" s="88"/>
      <c r="N35" s="88"/>
      <c r="O35" s="88"/>
      <c r="P35" s="88" t="b">
        <f t="shared" ca="1" si="1"/>
        <v>0</v>
      </c>
      <c r="Q35" s="88" t="b">
        <f t="shared" ca="1" si="2"/>
        <v>0</v>
      </c>
      <c r="R35" s="88" t="b">
        <f t="shared" si="3"/>
        <v>0</v>
      </c>
      <c r="S35" s="88" t="b">
        <f t="shared" si="4"/>
        <v>0</v>
      </c>
      <c r="T35" s="88" t="str">
        <f t="shared" ca="1" si="5"/>
        <v/>
      </c>
      <c r="U35" s="88" t="str">
        <f t="shared" ca="1" si="6"/>
        <v>•Alocação de recursos / Serviços de consultoria _x000D_</v>
      </c>
      <c r="V35" s="34"/>
    </row>
    <row r="36" spans="1:242" s="28" customFormat="1" x14ac:dyDescent="0.2">
      <c r="A36" s="107"/>
      <c r="B36" s="108"/>
      <c r="C36" s="513"/>
      <c r="D36" s="514"/>
      <c r="E36" s="515"/>
      <c r="F36" s="351"/>
      <c r="G36" s="351"/>
      <c r="H36" s="227"/>
      <c r="I36" s="97"/>
      <c r="J36" s="30"/>
      <c r="K36" s="30"/>
      <c r="L36" s="88"/>
      <c r="M36" s="88"/>
      <c r="N36" s="88"/>
      <c r="O36" s="88"/>
      <c r="P36" s="88" t="b">
        <f t="shared" ca="1" si="1"/>
        <v>0</v>
      </c>
      <c r="Q36" s="88" t="b">
        <f t="shared" ca="1" si="2"/>
        <v>0</v>
      </c>
      <c r="R36" s="88" t="b">
        <f t="shared" si="3"/>
        <v>0</v>
      </c>
      <c r="S36" s="88" t="b">
        <f t="shared" si="4"/>
        <v>0</v>
      </c>
      <c r="T36" s="88" t="str">
        <f t="shared" ca="1" si="5"/>
        <v/>
      </c>
      <c r="U36" s="88" t="str">
        <f t="shared" ca="1" si="6"/>
        <v>•Alocação de recursos / Serviços de consultoria _x000D_</v>
      </c>
      <c r="V36" s="34"/>
    </row>
    <row r="37" spans="1:242" s="28" customFormat="1" x14ac:dyDescent="0.2">
      <c r="A37" s="107"/>
      <c r="B37" s="108"/>
      <c r="C37" s="513"/>
      <c r="D37" s="514"/>
      <c r="E37" s="515"/>
      <c r="F37" s="351"/>
      <c r="G37" s="351"/>
      <c r="H37" s="227"/>
      <c r="I37" s="97"/>
      <c r="J37" s="30"/>
      <c r="K37" s="30"/>
      <c r="L37" s="88"/>
      <c r="M37" s="88"/>
      <c r="N37" s="88"/>
      <c r="O37" s="88"/>
      <c r="P37" s="88" t="b">
        <f t="shared" ca="1" si="1"/>
        <v>0</v>
      </c>
      <c r="Q37" s="88" t="b">
        <f t="shared" ca="1" si="2"/>
        <v>0</v>
      </c>
      <c r="R37" s="88" t="b">
        <f t="shared" si="3"/>
        <v>0</v>
      </c>
      <c r="S37" s="88" t="b">
        <f t="shared" si="4"/>
        <v>0</v>
      </c>
      <c r="T37" s="88" t="str">
        <f t="shared" ca="1" si="5"/>
        <v/>
      </c>
      <c r="U37" s="88" t="str">
        <f t="shared" ca="1" si="6"/>
        <v>•Alocação de recursos / Serviços de consultoria _x000D_</v>
      </c>
      <c r="V37" s="34"/>
    </row>
    <row r="38" spans="1:242" s="28" customFormat="1" x14ac:dyDescent="0.2">
      <c r="A38" s="107"/>
      <c r="B38" s="108"/>
      <c r="C38" s="513"/>
      <c r="D38" s="514"/>
      <c r="E38" s="515"/>
      <c r="F38" s="351"/>
      <c r="G38" s="351"/>
      <c r="H38" s="227"/>
      <c r="I38" s="97"/>
      <c r="J38" s="30"/>
      <c r="K38" s="30"/>
      <c r="L38" s="88"/>
      <c r="M38" s="88"/>
      <c r="N38" s="88"/>
      <c r="O38" s="88"/>
      <c r="P38" s="88" t="b">
        <f t="shared" ca="1" si="1"/>
        <v>0</v>
      </c>
      <c r="Q38" s="88" t="b">
        <f t="shared" ca="1" si="2"/>
        <v>0</v>
      </c>
      <c r="R38" s="88" t="b">
        <f t="shared" si="3"/>
        <v>0</v>
      </c>
      <c r="S38" s="88" t="b">
        <f t="shared" si="4"/>
        <v>0</v>
      </c>
      <c r="T38" s="88" t="str">
        <f t="shared" ca="1" si="5"/>
        <v/>
      </c>
      <c r="U38" s="88" t="str">
        <f t="shared" ca="1" si="6"/>
        <v>•Alocação de recursos / Serviços de consultoria _x000D_</v>
      </c>
      <c r="V38" s="34"/>
    </row>
    <row r="39" spans="1:242" s="98" customFormat="1" x14ac:dyDescent="0.2">
      <c r="A39" s="107"/>
      <c r="B39" s="112"/>
      <c r="C39" s="513"/>
      <c r="D39" s="514"/>
      <c r="E39" s="515"/>
      <c r="F39" s="351"/>
      <c r="G39" s="351"/>
      <c r="H39" s="227"/>
      <c r="I39" s="97"/>
      <c r="J39" s="30"/>
      <c r="K39" s="30"/>
      <c r="L39" s="88"/>
      <c r="M39" s="88"/>
      <c r="N39" s="88"/>
      <c r="O39" s="88"/>
      <c r="P39" s="88" t="b">
        <f t="shared" ca="1" si="1"/>
        <v>0</v>
      </c>
      <c r="Q39" s="88" t="b">
        <f t="shared" ca="1" si="2"/>
        <v>0</v>
      </c>
      <c r="R39" s="88" t="b">
        <f t="shared" si="3"/>
        <v>0</v>
      </c>
      <c r="S39" s="88" t="b">
        <f t="shared" si="4"/>
        <v>0</v>
      </c>
      <c r="T39" s="88" t="str">
        <f t="shared" ca="1" si="5"/>
        <v/>
      </c>
      <c r="U39" s="88" t="str">
        <f t="shared" ca="1" si="6"/>
        <v>•Alocação de recursos / Serviços de consultoria _x000D_</v>
      </c>
      <c r="V39" s="34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  <c r="AL39" s="28"/>
      <c r="AM39" s="28"/>
      <c r="AN39" s="28"/>
      <c r="AO39" s="28"/>
      <c r="AP39" s="28"/>
      <c r="AQ39" s="28"/>
      <c r="AR39" s="28"/>
      <c r="AS39" s="28"/>
      <c r="AT39" s="28"/>
      <c r="AU39" s="28"/>
      <c r="AV39" s="28"/>
      <c r="AW39" s="28"/>
      <c r="AX39" s="28"/>
      <c r="AY39" s="28"/>
      <c r="AZ39" s="28"/>
      <c r="BA39" s="28"/>
      <c r="BB39" s="28"/>
      <c r="BC39" s="28"/>
      <c r="BD39" s="28"/>
      <c r="BE39" s="28"/>
      <c r="BF39" s="28"/>
      <c r="BG39" s="28"/>
      <c r="BH39" s="28"/>
      <c r="BI39" s="28"/>
      <c r="BJ39" s="28"/>
      <c r="BK39" s="28"/>
      <c r="BL39" s="28"/>
      <c r="BM39" s="28"/>
      <c r="BN39" s="28"/>
      <c r="BO39" s="28"/>
      <c r="BP39" s="28"/>
      <c r="BQ39" s="28"/>
      <c r="BR39" s="28"/>
      <c r="BS39" s="28"/>
      <c r="BT39" s="28"/>
      <c r="BU39" s="28"/>
      <c r="BV39" s="28"/>
      <c r="BW39" s="28"/>
      <c r="BX39" s="28"/>
      <c r="BY39" s="28"/>
      <c r="BZ39" s="28"/>
      <c r="CA39" s="28"/>
      <c r="CB39" s="28"/>
      <c r="CC39" s="28"/>
      <c r="CD39" s="28"/>
      <c r="CE39" s="28"/>
      <c r="CF39" s="28"/>
      <c r="CG39" s="28"/>
      <c r="CH39" s="28"/>
      <c r="CI39" s="28"/>
      <c r="CJ39" s="28"/>
      <c r="CK39" s="28"/>
      <c r="CL39" s="28"/>
      <c r="CM39" s="28"/>
      <c r="CN39" s="28"/>
      <c r="CO39" s="28"/>
      <c r="CP39" s="28"/>
      <c r="CQ39" s="28"/>
      <c r="CR39" s="28"/>
      <c r="CS39" s="28"/>
      <c r="CT39" s="28"/>
      <c r="CU39" s="28"/>
      <c r="CV39" s="28"/>
      <c r="CW39" s="28"/>
      <c r="CX39" s="28"/>
      <c r="CY39" s="28"/>
      <c r="CZ39" s="28"/>
      <c r="DA39" s="28"/>
      <c r="DB39" s="28"/>
      <c r="DC39" s="28"/>
      <c r="DD39" s="28"/>
      <c r="DE39" s="28"/>
      <c r="DF39" s="28"/>
      <c r="DG39" s="28"/>
      <c r="DH39" s="28"/>
      <c r="DI39" s="28"/>
      <c r="DJ39" s="28"/>
      <c r="DK39" s="28"/>
      <c r="DL39" s="28"/>
      <c r="DM39" s="28"/>
      <c r="DN39" s="28"/>
      <c r="DO39" s="28"/>
      <c r="DP39" s="28"/>
      <c r="DQ39" s="28"/>
      <c r="DR39" s="28"/>
      <c r="DS39" s="28"/>
      <c r="DT39" s="28"/>
      <c r="DU39" s="28"/>
      <c r="DV39" s="28"/>
      <c r="DW39" s="28"/>
      <c r="DX39" s="28"/>
      <c r="DY39" s="28"/>
      <c r="DZ39" s="28"/>
      <c r="EA39" s="28"/>
      <c r="EB39" s="28"/>
      <c r="EC39" s="28"/>
      <c r="ED39" s="28"/>
      <c r="EE39" s="28"/>
      <c r="EF39" s="28"/>
      <c r="EG39" s="28"/>
      <c r="EH39" s="28"/>
      <c r="EI39" s="28"/>
      <c r="EJ39" s="28"/>
      <c r="EK39" s="28"/>
      <c r="EL39" s="28"/>
      <c r="EM39" s="28"/>
      <c r="EN39" s="28"/>
      <c r="EO39" s="28"/>
      <c r="EP39" s="28"/>
      <c r="EQ39" s="28"/>
      <c r="ER39" s="28"/>
      <c r="ES39" s="28"/>
      <c r="ET39" s="28"/>
      <c r="EU39" s="28"/>
      <c r="EV39" s="28"/>
      <c r="EW39" s="28"/>
      <c r="EX39" s="28"/>
      <c r="EY39" s="28"/>
      <c r="EZ39" s="28"/>
      <c r="FA39" s="28"/>
      <c r="FB39" s="28"/>
      <c r="FC39" s="28"/>
      <c r="FD39" s="28"/>
      <c r="FE39" s="28"/>
      <c r="FF39" s="28"/>
      <c r="FG39" s="28"/>
      <c r="FH39" s="28"/>
      <c r="FI39" s="28"/>
      <c r="FJ39" s="28"/>
      <c r="FK39" s="28"/>
      <c r="FL39" s="28"/>
      <c r="FM39" s="28"/>
      <c r="FN39" s="28"/>
      <c r="FO39" s="28"/>
      <c r="FP39" s="28"/>
      <c r="FQ39" s="28"/>
      <c r="FR39" s="28"/>
      <c r="FS39" s="28"/>
      <c r="FT39" s="28"/>
      <c r="FU39" s="28"/>
      <c r="FV39" s="28"/>
      <c r="FW39" s="28"/>
      <c r="FX39" s="28"/>
      <c r="FY39" s="28"/>
      <c r="FZ39" s="28"/>
      <c r="GA39" s="28"/>
      <c r="GB39" s="28"/>
      <c r="GC39" s="28"/>
      <c r="GD39" s="28"/>
      <c r="GE39" s="28"/>
      <c r="GF39" s="28"/>
      <c r="GG39" s="28"/>
      <c r="GH39" s="28"/>
      <c r="GI39" s="28"/>
      <c r="GJ39" s="28"/>
      <c r="GK39" s="28"/>
      <c r="GL39" s="28"/>
      <c r="GM39" s="28"/>
      <c r="GN39" s="28"/>
      <c r="GO39" s="28"/>
      <c r="GP39" s="28"/>
      <c r="GQ39" s="28"/>
      <c r="GR39" s="28"/>
      <c r="GS39" s="28"/>
      <c r="GT39" s="28"/>
      <c r="GU39" s="28"/>
      <c r="GV39" s="28"/>
      <c r="GW39" s="28"/>
      <c r="GX39" s="28"/>
      <c r="GY39" s="28"/>
      <c r="GZ39" s="28"/>
      <c r="HA39" s="28"/>
      <c r="HB39" s="28"/>
      <c r="HC39" s="28"/>
      <c r="HD39" s="28"/>
      <c r="HE39" s="28"/>
      <c r="HF39" s="28"/>
      <c r="HG39" s="28"/>
      <c r="HH39" s="28"/>
      <c r="HI39" s="28"/>
      <c r="HJ39" s="28"/>
      <c r="HK39" s="28"/>
      <c r="HL39" s="28"/>
      <c r="HM39" s="28"/>
      <c r="HN39" s="28"/>
      <c r="HO39" s="28"/>
      <c r="HP39" s="28"/>
      <c r="HQ39" s="28"/>
      <c r="HR39" s="28"/>
      <c r="HS39" s="28"/>
      <c r="HT39" s="28"/>
      <c r="HU39" s="28"/>
      <c r="HV39" s="28"/>
      <c r="HW39" s="28"/>
      <c r="HX39" s="28"/>
      <c r="HY39" s="28"/>
      <c r="HZ39" s="28"/>
      <c r="IA39" s="28"/>
      <c r="IB39" s="28"/>
      <c r="IC39" s="28"/>
      <c r="ID39" s="28"/>
      <c r="IE39" s="28"/>
      <c r="IF39" s="28"/>
      <c r="IG39" s="28"/>
      <c r="IH39" s="28"/>
    </row>
    <row r="40" spans="1:242" s="28" customFormat="1" x14ac:dyDescent="0.2">
      <c r="A40" s="107"/>
      <c r="B40" s="108"/>
      <c r="C40" s="513"/>
      <c r="D40" s="514"/>
      <c r="E40" s="515"/>
      <c r="F40" s="351"/>
      <c r="G40" s="351"/>
      <c r="H40" s="227"/>
      <c r="I40" s="97"/>
      <c r="J40" s="30"/>
      <c r="K40" s="30"/>
      <c r="L40" s="88"/>
      <c r="M40" s="88"/>
      <c r="N40" s="88"/>
      <c r="O40" s="88"/>
      <c r="P40" s="88" t="b">
        <f t="shared" ca="1" si="1"/>
        <v>0</v>
      </c>
      <c r="Q40" s="88" t="b">
        <f t="shared" ca="1" si="2"/>
        <v>0</v>
      </c>
      <c r="R40" s="88" t="b">
        <f t="shared" si="3"/>
        <v>0</v>
      </c>
      <c r="S40" s="88" t="b">
        <f t="shared" si="4"/>
        <v>0</v>
      </c>
      <c r="T40" s="88" t="str">
        <f t="shared" ca="1" si="5"/>
        <v/>
      </c>
      <c r="U40" s="88" t="str">
        <f t="shared" ca="1" si="6"/>
        <v>•Alocação de recursos / Serviços de consultoria _x000D_</v>
      </c>
      <c r="V40" s="34"/>
    </row>
    <row r="41" spans="1:242" s="28" customFormat="1" x14ac:dyDescent="0.2">
      <c r="A41" s="107"/>
      <c r="B41" s="108"/>
      <c r="C41" s="513"/>
      <c r="D41" s="514"/>
      <c r="E41" s="515"/>
      <c r="F41" s="351"/>
      <c r="G41" s="351"/>
      <c r="H41" s="227"/>
      <c r="I41" s="97"/>
      <c r="J41" s="30"/>
      <c r="K41" s="30"/>
      <c r="L41" s="88"/>
      <c r="M41" s="88"/>
      <c r="N41" s="88"/>
      <c r="O41" s="88"/>
      <c r="P41" s="88" t="b">
        <f t="shared" ca="1" si="1"/>
        <v>0</v>
      </c>
      <c r="Q41" s="88" t="b">
        <f t="shared" ca="1" si="2"/>
        <v>0</v>
      </c>
      <c r="R41" s="88" t="b">
        <f t="shared" si="3"/>
        <v>0</v>
      </c>
      <c r="S41" s="88" t="b">
        <f t="shared" si="4"/>
        <v>0</v>
      </c>
      <c r="T41" s="88" t="str">
        <f t="shared" ca="1" si="5"/>
        <v/>
      </c>
      <c r="U41" s="88" t="str">
        <f t="shared" ca="1" si="6"/>
        <v>•Alocação de recursos / Serviços de consultoria _x000D_</v>
      </c>
      <c r="V41" s="34"/>
    </row>
    <row r="42" spans="1:242" s="28" customFormat="1" x14ac:dyDescent="0.2">
      <c r="A42" s="107"/>
      <c r="B42" s="108"/>
      <c r="C42" s="513"/>
      <c r="D42" s="514"/>
      <c r="E42" s="515"/>
      <c r="F42" s="351"/>
      <c r="G42" s="351"/>
      <c r="H42" s="227"/>
      <c r="I42" s="97"/>
      <c r="J42" s="30"/>
      <c r="K42" s="30"/>
      <c r="L42" s="88"/>
      <c r="M42" s="88"/>
      <c r="N42" s="88"/>
      <c r="O42" s="88"/>
      <c r="P42" s="88" t="b">
        <f t="shared" ca="1" si="1"/>
        <v>0</v>
      </c>
      <c r="Q42" s="88" t="b">
        <f t="shared" ca="1" si="2"/>
        <v>0</v>
      </c>
      <c r="R42" s="88" t="b">
        <f t="shared" si="3"/>
        <v>0</v>
      </c>
      <c r="S42" s="88" t="b">
        <f t="shared" si="4"/>
        <v>0</v>
      </c>
      <c r="T42" s="88" t="str">
        <f t="shared" ca="1" si="5"/>
        <v/>
      </c>
      <c r="U42" s="88" t="str">
        <f t="shared" ca="1" si="6"/>
        <v>•Alocação de recursos / Serviços de consultoria _x000D_</v>
      </c>
      <c r="V42" s="34"/>
    </row>
    <row r="43" spans="1:242" s="28" customFormat="1" x14ac:dyDescent="0.2">
      <c r="A43" s="107"/>
      <c r="B43" s="108"/>
      <c r="C43" s="519" t="s">
        <v>41</v>
      </c>
      <c r="D43" s="519"/>
      <c r="E43" s="519"/>
      <c r="F43" s="221">
        <f>SUM(F27:F42)</f>
        <v>0</v>
      </c>
      <c r="G43" s="221">
        <f>SUM(G27:G42)</f>
        <v>304</v>
      </c>
      <c r="H43" s="137"/>
      <c r="I43" s="34"/>
      <c r="J43" s="88"/>
      <c r="K43" s="88"/>
      <c r="L43" s="102">
        <f>MAX(F43:G43)</f>
        <v>304</v>
      </c>
      <c r="M43" s="88"/>
      <c r="N43" s="88"/>
      <c r="O43" s="88"/>
      <c r="P43" s="88"/>
      <c r="Q43" s="88"/>
      <c r="R43" s="88"/>
      <c r="S43" s="88"/>
      <c r="T43" s="88"/>
      <c r="U43" s="88"/>
      <c r="V43" s="34"/>
    </row>
    <row r="44" spans="1:242" s="28" customFormat="1" ht="35.1" customHeight="1" x14ac:dyDescent="0.2">
      <c r="A44" s="107"/>
      <c r="B44" s="108"/>
      <c r="C44" s="4"/>
      <c r="D44" s="107"/>
      <c r="E44" s="107"/>
      <c r="F44" s="107"/>
      <c r="G44" s="107"/>
      <c r="H44" s="137"/>
      <c r="I44" s="34"/>
      <c r="J44" s="88"/>
      <c r="K44" s="88"/>
      <c r="L44" s="88"/>
      <c r="M44" s="88"/>
      <c r="N44" s="88"/>
      <c r="O44" s="88"/>
      <c r="P44" s="88"/>
      <c r="Q44" s="88"/>
      <c r="R44" s="88"/>
      <c r="S44" s="88"/>
      <c r="T44" s="88"/>
      <c r="U44" s="88"/>
      <c r="V44" s="34"/>
    </row>
    <row r="45" spans="1:242" s="90" customFormat="1" ht="38.25" x14ac:dyDescent="0.25">
      <c r="A45" s="111"/>
      <c r="B45" s="108"/>
      <c r="C45" s="70" t="s">
        <v>70</v>
      </c>
      <c r="D45" s="70" t="s">
        <v>60</v>
      </c>
      <c r="E45" s="70" t="s">
        <v>75</v>
      </c>
      <c r="F45" s="72" t="s">
        <v>207</v>
      </c>
      <c r="G45" s="72" t="s">
        <v>207</v>
      </c>
      <c r="H45" s="181" t="s">
        <v>37</v>
      </c>
      <c r="I45" s="99"/>
      <c r="J45" s="175"/>
      <c r="K45" s="175"/>
      <c r="L45" s="96"/>
      <c r="M45" s="96" t="s">
        <v>209</v>
      </c>
      <c r="N45" s="96">
        <v>1</v>
      </c>
      <c r="O45" s="96">
        <v>4</v>
      </c>
      <c r="P45" s="96"/>
      <c r="Q45" s="96"/>
      <c r="R45" s="96"/>
      <c r="S45" s="96"/>
      <c r="T45" s="96"/>
      <c r="U45" s="96"/>
      <c r="V45" s="127"/>
    </row>
    <row r="46" spans="1:242" s="28" customFormat="1" x14ac:dyDescent="0.2">
      <c r="A46" s="107"/>
      <c r="B46" s="108"/>
      <c r="C46" s="5" t="s">
        <v>59</v>
      </c>
      <c r="D46" s="220"/>
      <c r="E46" s="220"/>
      <c r="F46" s="217">
        <f t="shared" ref="F46:F51" si="7">IF(AND(D46&gt;0,E46&gt;0),INDEX(Config_Simproc,MATCH(D46,Config_Simproc_Steps,1),MATCH(E46,Config_Simproc_Sites,1)),0)</f>
        <v>0</v>
      </c>
      <c r="G46" s="71">
        <f>F46</f>
        <v>0</v>
      </c>
      <c r="H46" s="228"/>
      <c r="I46" s="100"/>
      <c r="J46" s="176"/>
      <c r="K46" s="176"/>
      <c r="L46" s="88"/>
      <c r="M46" s="88">
        <v>1</v>
      </c>
      <c r="N46" s="88">
        <v>8</v>
      </c>
      <c r="O46" s="88">
        <v>16</v>
      </c>
      <c r="P46" s="88"/>
      <c r="Q46" s="88"/>
      <c r="R46" s="88"/>
      <c r="S46" s="88"/>
      <c r="T46" s="88"/>
      <c r="U46" s="88"/>
      <c r="V46" s="34"/>
    </row>
    <row r="47" spans="1:242" s="28" customFormat="1" x14ac:dyDescent="0.2">
      <c r="A47" s="107"/>
      <c r="B47" s="108"/>
      <c r="C47" s="5" t="s">
        <v>59</v>
      </c>
      <c r="D47" s="220"/>
      <c r="E47" s="220"/>
      <c r="F47" s="217">
        <f t="shared" si="7"/>
        <v>0</v>
      </c>
      <c r="G47" s="71">
        <f t="shared" ref="G47:G51" si="8">F47</f>
        <v>0</v>
      </c>
      <c r="H47" s="228"/>
      <c r="I47" s="100"/>
      <c r="J47" s="176"/>
      <c r="K47" s="176"/>
      <c r="L47" s="88"/>
      <c r="M47" s="88">
        <v>11</v>
      </c>
      <c r="N47" s="88">
        <v>12</v>
      </c>
      <c r="O47" s="88">
        <v>20</v>
      </c>
      <c r="P47" s="88"/>
      <c r="Q47" s="88"/>
      <c r="R47" s="88"/>
      <c r="S47" s="88"/>
      <c r="T47" s="88"/>
      <c r="U47" s="88"/>
      <c r="V47" s="34"/>
    </row>
    <row r="48" spans="1:242" s="28" customFormat="1" x14ac:dyDescent="0.2">
      <c r="A48" s="107"/>
      <c r="B48" s="108"/>
      <c r="C48" s="5" t="s">
        <v>59</v>
      </c>
      <c r="D48" s="220"/>
      <c r="E48" s="220"/>
      <c r="F48" s="217">
        <f t="shared" si="7"/>
        <v>0</v>
      </c>
      <c r="G48" s="71">
        <f t="shared" si="8"/>
        <v>0</v>
      </c>
      <c r="H48" s="228"/>
      <c r="I48" s="100"/>
      <c r="J48" s="176"/>
      <c r="K48" s="176"/>
      <c r="L48" s="88"/>
      <c r="M48" s="88">
        <v>30</v>
      </c>
      <c r="N48" s="88">
        <v>20</v>
      </c>
      <c r="O48" s="88">
        <v>28</v>
      </c>
      <c r="P48" s="88"/>
      <c r="Q48" s="88"/>
      <c r="R48" s="88"/>
      <c r="S48" s="88"/>
      <c r="T48" s="88"/>
      <c r="U48" s="88"/>
      <c r="V48" s="34"/>
    </row>
    <row r="49" spans="1:22" s="28" customFormat="1" x14ac:dyDescent="0.2">
      <c r="A49" s="107"/>
      <c r="B49" s="108"/>
      <c r="C49" s="5" t="s">
        <v>59</v>
      </c>
      <c r="D49" s="220"/>
      <c r="E49" s="220"/>
      <c r="F49" s="217">
        <f t="shared" si="7"/>
        <v>0</v>
      </c>
      <c r="G49" s="71">
        <f t="shared" si="8"/>
        <v>0</v>
      </c>
      <c r="H49" s="228"/>
      <c r="I49" s="100"/>
      <c r="J49" s="176"/>
      <c r="K49" s="176"/>
      <c r="L49" s="88"/>
      <c r="M49" s="88"/>
      <c r="N49" s="88"/>
      <c r="O49" s="88"/>
      <c r="P49" s="88"/>
      <c r="Q49" s="88"/>
      <c r="R49" s="88"/>
      <c r="S49" s="88"/>
      <c r="T49" s="88"/>
      <c r="U49" s="88"/>
      <c r="V49" s="34"/>
    </row>
    <row r="50" spans="1:22" s="28" customFormat="1" x14ac:dyDescent="0.2">
      <c r="A50" s="107"/>
      <c r="B50" s="108"/>
      <c r="C50" s="5" t="s">
        <v>59</v>
      </c>
      <c r="D50" s="220"/>
      <c r="E50" s="220"/>
      <c r="F50" s="217">
        <f t="shared" si="7"/>
        <v>0</v>
      </c>
      <c r="G50" s="71">
        <f t="shared" si="8"/>
        <v>0</v>
      </c>
      <c r="H50" s="228"/>
      <c r="I50" s="100"/>
      <c r="J50" s="176"/>
      <c r="K50" s="176"/>
      <c r="L50" s="88"/>
      <c r="M50" s="88"/>
      <c r="N50" s="88"/>
      <c r="O50" s="88"/>
      <c r="P50" s="88"/>
      <c r="Q50" s="88"/>
      <c r="R50" s="88"/>
      <c r="S50" s="88"/>
      <c r="T50" s="88"/>
      <c r="U50" s="88"/>
      <c r="V50" s="34"/>
    </row>
    <row r="51" spans="1:22" s="28" customFormat="1" x14ac:dyDescent="0.2">
      <c r="A51" s="107"/>
      <c r="B51" s="108"/>
      <c r="C51" s="5" t="s">
        <v>59</v>
      </c>
      <c r="D51" s="220"/>
      <c r="E51" s="220"/>
      <c r="F51" s="217">
        <f t="shared" si="7"/>
        <v>0</v>
      </c>
      <c r="G51" s="71">
        <f t="shared" si="8"/>
        <v>0</v>
      </c>
      <c r="H51" s="228"/>
      <c r="I51" s="100"/>
      <c r="J51" s="176"/>
      <c r="K51" s="176"/>
      <c r="L51" s="88"/>
      <c r="M51" s="88"/>
      <c r="N51" s="88"/>
      <c r="O51" s="88"/>
      <c r="P51" s="88"/>
      <c r="Q51" s="88"/>
      <c r="R51" s="88"/>
      <c r="S51" s="88"/>
      <c r="T51" s="88"/>
      <c r="U51" s="88"/>
      <c r="V51" s="34"/>
    </row>
    <row r="52" spans="1:22" s="28" customFormat="1" x14ac:dyDescent="0.2">
      <c r="A52" s="107"/>
      <c r="B52" s="108"/>
      <c r="C52" s="9" t="s">
        <v>61</v>
      </c>
      <c r="D52" s="107"/>
      <c r="E52" s="118"/>
      <c r="F52" s="10">
        <f>SUM(F46:F51)</f>
        <v>0</v>
      </c>
      <c r="G52" s="10">
        <f>F52</f>
        <v>0</v>
      </c>
      <c r="H52" s="137"/>
      <c r="I52" s="34"/>
      <c r="J52" s="88"/>
      <c r="K52" s="88"/>
      <c r="L52" s="102">
        <f>MAX(F52:G52)</f>
        <v>0</v>
      </c>
      <c r="M52" s="88"/>
      <c r="N52" s="88"/>
      <c r="O52" s="88"/>
      <c r="P52" s="88"/>
      <c r="Q52" s="88"/>
      <c r="R52" s="88"/>
      <c r="S52" s="88"/>
      <c r="T52" s="88"/>
      <c r="U52" s="88"/>
      <c r="V52" s="34"/>
    </row>
    <row r="53" spans="1:22" s="28" customFormat="1" x14ac:dyDescent="0.2">
      <c r="A53" s="107"/>
      <c r="B53" s="108"/>
      <c r="C53" s="119"/>
      <c r="D53" s="11"/>
      <c r="E53" s="11"/>
      <c r="F53" s="118"/>
      <c r="G53" s="107"/>
      <c r="H53" s="137"/>
      <c r="I53" s="34"/>
      <c r="J53" s="88"/>
      <c r="K53" s="88"/>
      <c r="L53" s="88"/>
      <c r="M53" s="88"/>
      <c r="N53" s="88"/>
      <c r="O53" s="88"/>
      <c r="P53" s="88"/>
      <c r="Q53" s="88"/>
      <c r="R53" s="88"/>
      <c r="S53" s="88"/>
      <c r="T53" s="88"/>
      <c r="U53" s="88"/>
      <c r="V53" s="34"/>
    </row>
    <row r="54" spans="1:22" s="28" customFormat="1" x14ac:dyDescent="0.2">
      <c r="A54" s="107"/>
      <c r="B54" s="108"/>
      <c r="C54" s="119"/>
      <c r="D54" s="11"/>
      <c r="E54" s="11"/>
      <c r="F54" s="118"/>
      <c r="G54" s="107"/>
      <c r="H54" s="137"/>
      <c r="I54" s="34"/>
      <c r="J54" s="88"/>
      <c r="K54" s="88"/>
      <c r="L54" s="88"/>
      <c r="M54" s="88"/>
      <c r="N54" s="88"/>
      <c r="O54" s="88"/>
      <c r="P54" s="88"/>
      <c r="Q54" s="88"/>
      <c r="R54" s="88"/>
      <c r="S54" s="88"/>
      <c r="T54" s="88"/>
      <c r="U54" s="88"/>
      <c r="V54" s="34"/>
    </row>
    <row r="55" spans="1:22" s="90" customFormat="1" ht="30.75" customHeight="1" x14ac:dyDescent="0.25">
      <c r="A55" s="111"/>
      <c r="B55" s="108"/>
      <c r="C55" s="70" t="s">
        <v>43</v>
      </c>
      <c r="D55" s="443" t="s">
        <v>62</v>
      </c>
      <c r="E55" s="444"/>
      <c r="F55" s="72" t="s">
        <v>207</v>
      </c>
      <c r="G55" s="72" t="s">
        <v>207</v>
      </c>
      <c r="H55" s="181" t="s">
        <v>37</v>
      </c>
      <c r="I55" s="99"/>
      <c r="J55" s="175"/>
      <c r="K55" s="175"/>
      <c r="L55" s="96"/>
      <c r="M55" s="101" t="s">
        <v>208</v>
      </c>
      <c r="N55" s="96" t="s">
        <v>24</v>
      </c>
      <c r="O55" s="96"/>
      <c r="P55" s="96"/>
      <c r="Q55" s="96"/>
      <c r="R55" s="96"/>
      <c r="S55" s="96"/>
      <c r="T55" s="96"/>
      <c r="U55" s="96"/>
      <c r="V55" s="127"/>
    </row>
    <row r="56" spans="1:22" s="28" customFormat="1" x14ac:dyDescent="0.2">
      <c r="A56" s="107"/>
      <c r="B56" s="108"/>
      <c r="C56" s="5" t="s">
        <v>63</v>
      </c>
      <c r="D56" s="518"/>
      <c r="E56" s="518"/>
      <c r="F56" s="217">
        <f>IF(D56&gt;0,VLOOKUP(D56,Config_Cenarios,2,TRUE),0)</f>
        <v>0</v>
      </c>
      <c r="G56" s="71">
        <f>F56</f>
        <v>0</v>
      </c>
      <c r="H56" s="228"/>
      <c r="I56" s="100"/>
      <c r="J56" s="176"/>
      <c r="K56" s="176"/>
      <c r="L56" s="88"/>
      <c r="M56" s="88">
        <v>1</v>
      </c>
      <c r="N56" s="88">
        <v>22</v>
      </c>
      <c r="O56" s="88"/>
      <c r="P56" s="88"/>
      <c r="Q56" s="88"/>
      <c r="R56" s="88"/>
      <c r="S56" s="88"/>
      <c r="T56" s="88"/>
      <c r="U56" s="88"/>
      <c r="V56" s="34"/>
    </row>
    <row r="57" spans="1:22" s="28" customFormat="1" x14ac:dyDescent="0.2">
      <c r="A57" s="107"/>
      <c r="B57" s="108"/>
      <c r="C57" s="9" t="s">
        <v>65</v>
      </c>
      <c r="D57" s="520"/>
      <c r="E57" s="521"/>
      <c r="F57" s="10">
        <f>SUM(F56)</f>
        <v>0</v>
      </c>
      <c r="G57" s="10">
        <f>F57</f>
        <v>0</v>
      </c>
      <c r="H57" s="137"/>
      <c r="I57" s="34"/>
      <c r="J57" s="88"/>
      <c r="K57" s="88"/>
      <c r="L57" s="102">
        <f>MAX(F57:G57)</f>
        <v>0</v>
      </c>
      <c r="M57" s="88">
        <v>11</v>
      </c>
      <c r="N57" s="88">
        <v>42</v>
      </c>
      <c r="O57" s="88"/>
      <c r="P57" s="88"/>
      <c r="Q57" s="88"/>
      <c r="R57" s="88"/>
      <c r="S57" s="88"/>
      <c r="T57" s="88"/>
      <c r="U57" s="88"/>
      <c r="V57" s="34"/>
    </row>
    <row r="58" spans="1:22" s="28" customFormat="1" x14ac:dyDescent="0.2">
      <c r="A58" s="107"/>
      <c r="B58" s="108"/>
      <c r="C58" s="119"/>
      <c r="D58" s="11"/>
      <c r="E58" s="107"/>
      <c r="F58" s="118"/>
      <c r="G58" s="107"/>
      <c r="H58" s="137"/>
      <c r="I58" s="34"/>
      <c r="J58" s="88"/>
      <c r="K58" s="88"/>
      <c r="L58" s="88"/>
      <c r="M58" s="88">
        <v>21</v>
      </c>
      <c r="N58" s="88">
        <v>62</v>
      </c>
      <c r="O58" s="88"/>
      <c r="P58" s="88"/>
      <c r="Q58" s="88"/>
      <c r="R58" s="88"/>
      <c r="S58" s="88"/>
      <c r="T58" s="88"/>
      <c r="U58" s="88"/>
      <c r="V58" s="34"/>
    </row>
    <row r="59" spans="1:22" s="28" customFormat="1" x14ac:dyDescent="0.2">
      <c r="A59" s="107"/>
      <c r="B59" s="108"/>
      <c r="C59" s="119"/>
      <c r="D59" s="11"/>
      <c r="E59" s="107"/>
      <c r="F59" s="118"/>
      <c r="G59" s="107"/>
      <c r="H59" s="137"/>
      <c r="I59" s="34"/>
      <c r="J59" s="88"/>
      <c r="K59" s="88"/>
      <c r="L59" s="88"/>
      <c r="M59" s="88">
        <v>31</v>
      </c>
      <c r="N59" s="88">
        <v>82</v>
      </c>
      <c r="O59" s="88"/>
      <c r="P59" s="88"/>
      <c r="Q59" s="88"/>
      <c r="R59" s="88"/>
      <c r="S59" s="88"/>
      <c r="T59" s="88"/>
      <c r="U59" s="88"/>
      <c r="V59" s="34"/>
    </row>
    <row r="60" spans="1:22" s="90" customFormat="1" ht="30.75" customHeight="1" x14ac:dyDescent="0.25">
      <c r="A60" s="111"/>
      <c r="B60" s="108"/>
      <c r="C60" s="70" t="s">
        <v>42</v>
      </c>
      <c r="D60" s="430" t="s">
        <v>69</v>
      </c>
      <c r="E60" s="430"/>
      <c r="F60" s="72" t="s">
        <v>207</v>
      </c>
      <c r="G60" s="72" t="s">
        <v>207</v>
      </c>
      <c r="H60" s="181" t="s">
        <v>37</v>
      </c>
      <c r="I60" s="99"/>
      <c r="J60" s="175"/>
      <c r="K60" s="175"/>
      <c r="L60" s="96"/>
      <c r="M60" s="88">
        <v>41</v>
      </c>
      <c r="N60" s="88">
        <v>102</v>
      </c>
      <c r="O60" s="96"/>
      <c r="P60" s="96"/>
      <c r="Q60" s="96"/>
      <c r="R60" s="96"/>
      <c r="S60" s="96"/>
      <c r="T60" s="96"/>
      <c r="U60" s="96"/>
      <c r="V60" s="127"/>
    </row>
    <row r="61" spans="1:22" s="28" customFormat="1" x14ac:dyDescent="0.2">
      <c r="A61" s="107"/>
      <c r="B61" s="108"/>
      <c r="C61" s="5" t="s">
        <v>64</v>
      </c>
      <c r="D61" s="518"/>
      <c r="E61" s="518"/>
      <c r="F61" s="217">
        <f>IF(D61&gt;0,D61*16+16,0)</f>
        <v>0</v>
      </c>
      <c r="G61" s="71">
        <f>F61</f>
        <v>0</v>
      </c>
      <c r="H61" s="228"/>
      <c r="I61" s="100"/>
      <c r="J61" s="176"/>
      <c r="K61" s="176"/>
      <c r="L61" s="88"/>
      <c r="M61" s="88">
        <v>51</v>
      </c>
      <c r="N61" s="88">
        <v>122</v>
      </c>
      <c r="O61" s="88"/>
      <c r="P61" s="88"/>
      <c r="Q61" s="88"/>
      <c r="R61" s="88"/>
      <c r="S61" s="88"/>
      <c r="T61" s="88"/>
      <c r="U61" s="88"/>
      <c r="V61" s="34"/>
    </row>
    <row r="62" spans="1:22" s="28" customFormat="1" x14ac:dyDescent="0.2">
      <c r="A62" s="107"/>
      <c r="B62" s="108"/>
      <c r="C62" s="9" t="s">
        <v>66</v>
      </c>
      <c r="D62" s="520"/>
      <c r="E62" s="521"/>
      <c r="F62" s="10">
        <f>SUM(F61)</f>
        <v>0</v>
      </c>
      <c r="G62" s="10">
        <f>F62</f>
        <v>0</v>
      </c>
      <c r="H62" s="137"/>
      <c r="I62" s="34"/>
      <c r="J62" s="88"/>
      <c r="K62" s="88"/>
      <c r="L62" s="102">
        <f>MAX(F62:G62)</f>
        <v>0</v>
      </c>
      <c r="M62" s="88"/>
      <c r="N62" s="88"/>
      <c r="O62" s="88"/>
      <c r="P62" s="88"/>
      <c r="Q62" s="88"/>
      <c r="R62" s="88"/>
      <c r="S62" s="88"/>
      <c r="T62" s="88"/>
      <c r="U62" s="88"/>
      <c r="V62" s="34"/>
    </row>
    <row r="63" spans="1:22" s="28" customFormat="1" x14ac:dyDescent="0.2">
      <c r="B63" s="29"/>
      <c r="H63" s="59"/>
      <c r="I63" s="34"/>
      <c r="J63" s="88"/>
      <c r="K63" s="88"/>
      <c r="L63" s="88"/>
      <c r="M63" s="88"/>
      <c r="N63" s="88"/>
      <c r="O63" s="88"/>
      <c r="P63" s="88"/>
      <c r="Q63" s="88"/>
      <c r="R63" s="88"/>
      <c r="S63" s="88"/>
      <c r="T63" s="88"/>
      <c r="U63" s="88"/>
      <c r="V63" s="34"/>
    </row>
    <row r="64" spans="1:22" s="28" customFormat="1" x14ac:dyDescent="0.2">
      <c r="B64" s="29"/>
      <c r="H64" s="59"/>
      <c r="I64" s="34"/>
      <c r="J64" s="88"/>
      <c r="K64" s="88"/>
      <c r="L64" s="88"/>
      <c r="M64" s="88"/>
      <c r="N64" s="88"/>
      <c r="O64" s="88"/>
      <c r="P64" s="88"/>
      <c r="Q64" s="88"/>
      <c r="R64" s="88"/>
      <c r="S64" s="88"/>
      <c r="T64" s="88"/>
      <c r="U64" s="88"/>
      <c r="V64" s="34"/>
    </row>
    <row r="65" spans="2:22" s="28" customFormat="1" x14ac:dyDescent="0.2">
      <c r="B65" s="29"/>
      <c r="H65" s="59"/>
      <c r="I65" s="34"/>
      <c r="J65" s="88"/>
      <c r="K65" s="88"/>
      <c r="L65" s="88"/>
      <c r="M65" s="88"/>
      <c r="N65" s="88"/>
      <c r="O65" s="88"/>
      <c r="P65" s="88"/>
      <c r="Q65" s="88"/>
      <c r="R65" s="88"/>
      <c r="S65" s="88"/>
      <c r="T65" s="88"/>
      <c r="U65" s="88"/>
      <c r="V65" s="34"/>
    </row>
    <row r="66" spans="2:22" s="28" customFormat="1" x14ac:dyDescent="0.2">
      <c r="B66" s="29"/>
      <c r="H66" s="59"/>
      <c r="I66" s="34"/>
      <c r="J66" s="88"/>
      <c r="K66" s="88"/>
      <c r="L66" s="88"/>
      <c r="M66" s="88"/>
      <c r="N66" s="88"/>
      <c r="O66" s="88"/>
      <c r="P66" s="88"/>
      <c r="Q66" s="88"/>
      <c r="R66" s="88"/>
      <c r="S66" s="88"/>
      <c r="T66" s="88"/>
      <c r="U66" s="88"/>
      <c r="V66" s="34"/>
    </row>
    <row r="67" spans="2:22" s="28" customFormat="1" x14ac:dyDescent="0.2">
      <c r="B67" s="29"/>
      <c r="H67" s="59"/>
      <c r="I67" s="34"/>
      <c r="J67" s="88"/>
      <c r="K67" s="88"/>
      <c r="L67" s="88"/>
      <c r="M67" s="88"/>
      <c r="N67" s="88"/>
      <c r="O67" s="88"/>
      <c r="P67" s="88"/>
      <c r="Q67" s="88"/>
      <c r="R67" s="88"/>
      <c r="S67" s="88"/>
      <c r="T67" s="88"/>
      <c r="U67" s="88"/>
      <c r="V67" s="34"/>
    </row>
    <row r="68" spans="2:22" s="28" customFormat="1" x14ac:dyDescent="0.2">
      <c r="B68" s="29"/>
      <c r="H68" s="59"/>
      <c r="I68" s="34"/>
      <c r="J68" s="88"/>
      <c r="K68" s="88"/>
      <c r="L68" s="88"/>
      <c r="M68" s="88"/>
      <c r="N68" s="88"/>
      <c r="O68" s="88"/>
      <c r="P68" s="88"/>
      <c r="Q68" s="88"/>
      <c r="R68" s="88"/>
      <c r="S68" s="88"/>
      <c r="T68" s="88"/>
      <c r="U68" s="88"/>
      <c r="V68" s="34"/>
    </row>
    <row r="69" spans="2:22" s="28" customFormat="1" x14ac:dyDescent="0.2">
      <c r="B69" s="29"/>
      <c r="H69" s="59"/>
      <c r="I69" s="34"/>
      <c r="J69" s="88"/>
      <c r="K69" s="88"/>
      <c r="L69" s="88"/>
      <c r="M69" s="88"/>
      <c r="N69" s="88"/>
      <c r="O69" s="88"/>
      <c r="P69" s="88"/>
      <c r="Q69" s="88"/>
      <c r="R69" s="88"/>
      <c r="S69" s="88"/>
      <c r="T69" s="88"/>
      <c r="U69" s="88"/>
      <c r="V69" s="34"/>
    </row>
    <row r="70" spans="2:22" s="28" customFormat="1" x14ac:dyDescent="0.2">
      <c r="B70" s="29"/>
      <c r="I70" s="34"/>
      <c r="J70" s="88"/>
      <c r="K70" s="88"/>
      <c r="L70" s="88"/>
      <c r="M70" s="88"/>
      <c r="N70" s="88"/>
      <c r="O70" s="88"/>
      <c r="P70" s="88"/>
      <c r="Q70" s="88"/>
      <c r="R70" s="88"/>
      <c r="S70" s="88"/>
      <c r="T70" s="88"/>
      <c r="U70" s="88"/>
      <c r="V70" s="34"/>
    </row>
    <row r="71" spans="2:22" s="28" customFormat="1" x14ac:dyDescent="0.2">
      <c r="B71" s="29"/>
      <c r="I71" s="34"/>
      <c r="J71" s="88"/>
      <c r="K71" s="88"/>
      <c r="L71" s="88"/>
      <c r="M71" s="88"/>
      <c r="N71" s="88"/>
      <c r="O71" s="88"/>
      <c r="P71" s="88"/>
      <c r="Q71" s="88"/>
      <c r="R71" s="88"/>
      <c r="S71" s="88"/>
      <c r="T71" s="88"/>
      <c r="U71" s="88"/>
      <c r="V71" s="34"/>
    </row>
    <row r="72" spans="2:22" s="28" customFormat="1" x14ac:dyDescent="0.2">
      <c r="B72" s="29"/>
      <c r="I72" s="34"/>
      <c r="J72" s="88"/>
      <c r="K72" s="88"/>
      <c r="L72" s="88"/>
      <c r="M72" s="88"/>
      <c r="N72" s="88"/>
      <c r="O72" s="88"/>
      <c r="P72" s="88"/>
      <c r="Q72" s="88"/>
      <c r="R72" s="88"/>
      <c r="S72" s="88"/>
      <c r="T72" s="88"/>
      <c r="U72" s="88"/>
      <c r="V72" s="34"/>
    </row>
    <row r="73" spans="2:22" s="28" customFormat="1" x14ac:dyDescent="0.2">
      <c r="B73" s="29"/>
      <c r="I73" s="34"/>
      <c r="J73" s="88"/>
      <c r="K73" s="88"/>
      <c r="L73" s="88"/>
      <c r="M73" s="88"/>
      <c r="N73" s="88"/>
      <c r="O73" s="88"/>
      <c r="P73" s="88"/>
      <c r="Q73" s="88"/>
      <c r="R73" s="88"/>
      <c r="S73" s="88"/>
      <c r="T73" s="88"/>
      <c r="U73" s="88"/>
      <c r="V73" s="34"/>
    </row>
    <row r="74" spans="2:22" s="28" customFormat="1" x14ac:dyDescent="0.2">
      <c r="B74" s="29"/>
      <c r="I74" s="34"/>
      <c r="J74" s="88"/>
      <c r="K74" s="88"/>
      <c r="L74" s="88"/>
      <c r="M74" s="88"/>
      <c r="N74" s="88"/>
      <c r="O74" s="88"/>
      <c r="P74" s="88"/>
      <c r="Q74" s="88"/>
      <c r="R74" s="88"/>
      <c r="S74" s="88"/>
      <c r="T74" s="88"/>
      <c r="U74" s="88"/>
      <c r="V74" s="34"/>
    </row>
    <row r="75" spans="2:22" s="28" customFormat="1" x14ac:dyDescent="0.2">
      <c r="B75" s="29"/>
      <c r="I75" s="34"/>
      <c r="J75" s="88"/>
      <c r="K75" s="88"/>
      <c r="L75" s="88"/>
      <c r="M75" s="88"/>
      <c r="N75" s="88"/>
      <c r="O75" s="88"/>
      <c r="P75" s="88"/>
      <c r="Q75" s="88"/>
      <c r="R75" s="88"/>
      <c r="S75" s="88"/>
      <c r="T75" s="88"/>
      <c r="U75" s="88"/>
      <c r="V75" s="34"/>
    </row>
    <row r="76" spans="2:22" s="28" customFormat="1" x14ac:dyDescent="0.2">
      <c r="B76" s="29"/>
      <c r="I76" s="34"/>
      <c r="J76" s="88"/>
      <c r="K76" s="88"/>
      <c r="L76" s="88"/>
      <c r="M76" s="88"/>
      <c r="N76" s="88"/>
      <c r="O76" s="88"/>
      <c r="P76" s="88"/>
      <c r="Q76" s="88"/>
      <c r="R76" s="88"/>
      <c r="S76" s="88"/>
      <c r="T76" s="88"/>
      <c r="U76" s="88"/>
      <c r="V76" s="34"/>
    </row>
  </sheetData>
  <sheetProtection algorithmName="SHA-512" hashValue="Izei0jheB6m4xBBKFvVrCQYrlVvbJwb2EkrNsAt83cQYuE0QDJj7O6pkXbxcgDLd8bLZ49ieeZY2wlVtoi95DA==" saltValue="89D61E/daf/npW2bvl+wMA==" spinCount="100000" sheet="1" objects="1" scenarios="1"/>
  <mergeCells count="44">
    <mergeCell ref="D57:E57"/>
    <mergeCell ref="D60:E60"/>
    <mergeCell ref="D61:E61"/>
    <mergeCell ref="D62:E62"/>
    <mergeCell ref="C2:H2"/>
    <mergeCell ref="C3:H3"/>
    <mergeCell ref="C26:E26"/>
    <mergeCell ref="C27:E27"/>
    <mergeCell ref="C28:E28"/>
    <mergeCell ref="D7:E7"/>
    <mergeCell ref="D8:E8"/>
    <mergeCell ref="D9:E9"/>
    <mergeCell ref="D10:E10"/>
    <mergeCell ref="D11:E11"/>
    <mergeCell ref="D12:E12"/>
    <mergeCell ref="D13:E13"/>
    <mergeCell ref="D14:E14"/>
    <mergeCell ref="D15:E15"/>
    <mergeCell ref="D16:E16"/>
    <mergeCell ref="D17:E17"/>
    <mergeCell ref="D56:E56"/>
    <mergeCell ref="C36:E36"/>
    <mergeCell ref="C37:E37"/>
    <mergeCell ref="C38:E38"/>
    <mergeCell ref="C39:E39"/>
    <mergeCell ref="C40:E40"/>
    <mergeCell ref="C24:E24"/>
    <mergeCell ref="C41:E41"/>
    <mergeCell ref="C42:E42"/>
    <mergeCell ref="C43:E43"/>
    <mergeCell ref="D55:E55"/>
    <mergeCell ref="C29:E29"/>
    <mergeCell ref="D18:E18"/>
    <mergeCell ref="D19:E19"/>
    <mergeCell ref="C35:E35"/>
    <mergeCell ref="C30:E30"/>
    <mergeCell ref="C31:E31"/>
    <mergeCell ref="C32:E32"/>
    <mergeCell ref="C33:E33"/>
    <mergeCell ref="C34:E34"/>
    <mergeCell ref="D20:E20"/>
    <mergeCell ref="D21:E21"/>
    <mergeCell ref="D22:E22"/>
    <mergeCell ref="D23:E23"/>
  </mergeCells>
  <phoneticPr fontId="0" type="noConversion"/>
  <dataValidations count="10">
    <dataValidation type="custom" allowBlank="1" showInputMessage="1" showErrorMessage="1" error="Primeiro tem que preencher a Fase/Actividade a que o esforço se refere e a descrição" sqref="G27:G42">
      <formula1>P27=TRUE</formula1>
    </dataValidation>
    <dataValidation type="custom" allowBlank="1" showInputMessage="1" showErrorMessage="1" error="Primeiro tem que preencher a Fase/Actividade a que o esforço se refere e a descrição" sqref="F27:F42">
      <formula1>P27=TRUE</formula1>
    </dataValidation>
    <dataValidation type="decimal" allowBlank="1" showInputMessage="1" showErrorMessage="1" errorTitle="Somente números." error="Deve ser informada a quantidade de horas." sqref="D58:E59 D53:E54 D18 D16">
      <formula1>0</formula1>
      <formula2>1000000</formula2>
    </dataValidation>
    <dataValidation type="whole" allowBlank="1" showErrorMessage="1" errorTitle="Somente números." error="Deve ser informada a quantidade _x000a_(número inteiro) de cenários." sqref="D56">
      <formula1>0</formula1>
      <formula2>1000000</formula2>
    </dataValidation>
    <dataValidation type="whole" allowBlank="1" showInputMessage="1" showErrorMessage="1" errorTitle="Somente números." error="Deve ser informada a quantidade (número inteiro) de elementos de rede." sqref="D61">
      <formula1>0</formula1>
      <formula2>1000000</formula2>
    </dataValidation>
    <dataValidation type="list" allowBlank="1" showInputMessage="1" showErrorMessage="1" error="Tem que selecionar um valor da lista disponível" sqref="C27:E42">
      <formula1>INDIRECT($M$27)</formula1>
    </dataValidation>
    <dataValidation type="list" allowBlank="1" showInputMessage="1" showErrorMessage="1" sqref="D17:E17">
      <formula1>Sim_Nao</formula1>
    </dataValidation>
    <dataValidation allowBlank="1" showInputMessage="1" showErrorMessage="1" errorTitle="Somente números." error="Deve ser informada a quantidade de horas." sqref="D12:E12 D8:E8 G8 G12"/>
    <dataValidation type="decimal" allowBlank="1" showInputMessage="1" showErrorMessage="1" errorTitle="Somente números." error="Deve ser informada a quantidade de horas." sqref="G13:G15 G9:G11">
      <formula1>0</formula1>
      <formula2>L9</formula2>
    </dataValidation>
    <dataValidation type="whole" allowBlank="1" showInputMessage="1" showErrorMessage="1" sqref="D13:E15 D9:E11">
      <formula1>0</formula1>
      <formula2>L9</formula2>
    </dataValidation>
  </dataValidations>
  <hyperlinks>
    <hyperlink ref="H5" location="Resumo!D17" display="&lt;&lt; Voltar para RESUMO"/>
  </hyperlinks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2" unlocked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Tem que selecionar um valor da lista disponível">
          <x14:formula1>
            <xm:f>Parâmetros!$K$5:$K$6</xm:f>
          </x14:formula1>
          <xm:sqref>D17:E17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V21"/>
  <sheetViews>
    <sheetView showGridLines="0" showRowColHeaders="0" topLeftCell="A4" zoomScale="85" zoomScaleNormal="85" workbookViewId="0">
      <selection activeCell="B2" sqref="B2:H2"/>
    </sheetView>
  </sheetViews>
  <sheetFormatPr defaultRowHeight="18" customHeight="1" x14ac:dyDescent="0.25"/>
  <cols>
    <col min="1" max="1" width="15.7109375" style="59" customWidth="1"/>
    <col min="2" max="2" width="7.7109375" style="207" customWidth="1"/>
    <col min="3" max="3" width="69.85546875" style="59" customWidth="1"/>
    <col min="4" max="4" width="17.5703125" style="59" hidden="1" customWidth="1"/>
    <col min="5" max="5" width="19.140625" style="68" hidden="1" customWidth="1"/>
    <col min="6" max="7" width="19.140625" style="68" customWidth="1"/>
    <col min="8" max="8" width="38" style="85" customWidth="1"/>
    <col min="9" max="10" width="15" style="106" hidden="1" customWidth="1"/>
    <col min="11" max="11" width="10.28515625" style="106" hidden="1" customWidth="1"/>
    <col min="12" max="12" width="15.5703125" style="106" hidden="1" customWidth="1"/>
    <col min="13" max="13" width="9.140625" style="106" hidden="1" customWidth="1"/>
    <col min="14" max="16" width="15" style="106" hidden="1" customWidth="1"/>
    <col min="17" max="17" width="18.85546875" style="400" hidden="1" customWidth="1"/>
    <col min="18" max="18" width="20.5703125" style="400" hidden="1" customWidth="1"/>
    <col min="19" max="19" width="11.5703125" style="392" hidden="1" customWidth="1"/>
    <col min="20" max="20" width="53" style="106" hidden="1" customWidth="1"/>
    <col min="21" max="21" width="9.140625" style="106" hidden="1" customWidth="1"/>
    <col min="22" max="22" width="9.140625" style="103" hidden="1" customWidth="1"/>
    <col min="23" max="16384" width="9.140625" style="59"/>
  </cols>
  <sheetData>
    <row r="1" spans="2:22" s="28" customFormat="1" ht="35.1" customHeight="1" x14ac:dyDescent="0.25">
      <c r="B1" s="200"/>
      <c r="E1" s="426"/>
      <c r="F1" s="68"/>
      <c r="G1" s="68"/>
      <c r="H1" s="34"/>
      <c r="I1" s="386" t="s">
        <v>30</v>
      </c>
      <c r="J1" s="88"/>
      <c r="K1" s="88"/>
      <c r="L1" s="88"/>
      <c r="M1" s="88"/>
      <c r="N1" s="88"/>
      <c r="O1" s="88"/>
      <c r="P1" s="88"/>
      <c r="Q1" s="387"/>
      <c r="R1" s="387"/>
      <c r="S1" s="388"/>
      <c r="T1" s="88"/>
      <c r="U1" s="88"/>
      <c r="V1" s="102"/>
    </row>
    <row r="2" spans="2:22" s="28" customFormat="1" ht="35.1" customHeight="1" x14ac:dyDescent="0.2">
      <c r="B2" s="430" t="s">
        <v>26</v>
      </c>
      <c r="C2" s="430"/>
      <c r="D2" s="430"/>
      <c r="E2" s="430"/>
      <c r="F2" s="430"/>
      <c r="G2" s="430"/>
      <c r="H2" s="430"/>
      <c r="I2" s="389"/>
      <c r="J2" s="88"/>
      <c r="K2" s="88"/>
      <c r="L2" s="88"/>
      <c r="M2" s="88"/>
      <c r="N2" s="88"/>
      <c r="O2" s="88"/>
      <c r="P2" s="88"/>
      <c r="Q2" s="387"/>
      <c r="R2" s="387"/>
      <c r="S2" s="388"/>
      <c r="T2" s="88"/>
      <c r="U2" s="88"/>
      <c r="V2" s="102"/>
    </row>
    <row r="3" spans="2:22" s="31" customFormat="1" ht="41.25" customHeight="1" x14ac:dyDescent="0.2">
      <c r="B3" s="525" t="s">
        <v>85</v>
      </c>
      <c r="C3" s="525"/>
      <c r="D3" s="525"/>
      <c r="E3" s="525"/>
      <c r="F3" s="525"/>
      <c r="G3" s="525"/>
      <c r="H3" s="525"/>
      <c r="I3" s="389"/>
      <c r="J3" s="89"/>
      <c r="K3" s="89"/>
      <c r="L3" s="89"/>
      <c r="M3" s="89"/>
      <c r="N3" s="89"/>
      <c r="O3" s="89"/>
      <c r="P3" s="89"/>
      <c r="Q3" s="176"/>
      <c r="R3" s="176"/>
      <c r="S3" s="390"/>
      <c r="T3" s="89" t="s">
        <v>463</v>
      </c>
      <c r="U3" s="89"/>
      <c r="V3" s="402"/>
    </row>
    <row r="4" spans="2:22" s="31" customFormat="1" ht="35.1" customHeight="1" x14ac:dyDescent="0.25">
      <c r="B4" s="201"/>
      <c r="C4" s="4"/>
      <c r="E4" s="68"/>
      <c r="F4" s="68"/>
      <c r="G4" s="68"/>
      <c r="H4" s="21" t="s">
        <v>45</v>
      </c>
      <c r="I4" s="389" t="s">
        <v>30</v>
      </c>
      <c r="J4" s="89"/>
      <c r="K4" s="89"/>
      <c r="L4" s="89"/>
      <c r="M4" s="89"/>
      <c r="N4" s="89"/>
      <c r="O4" s="89"/>
      <c r="P4" s="89"/>
      <c r="Q4" s="176"/>
      <c r="R4" s="176"/>
      <c r="S4" s="390"/>
      <c r="T4" s="410" t="s">
        <v>320</v>
      </c>
      <c r="U4" s="89"/>
      <c r="V4" s="402"/>
    </row>
    <row r="5" spans="2:22" ht="25.5" customHeight="1" x14ac:dyDescent="0.25">
      <c r="B5" s="202" t="s">
        <v>195</v>
      </c>
      <c r="C5" s="307" t="s">
        <v>86</v>
      </c>
      <c r="D5" s="307" t="s">
        <v>15</v>
      </c>
      <c r="E5" s="307" t="s">
        <v>168</v>
      </c>
      <c r="F5" s="307" t="s">
        <v>169</v>
      </c>
      <c r="G5" s="307" t="s">
        <v>170</v>
      </c>
      <c r="H5" s="307" t="s">
        <v>37</v>
      </c>
      <c r="I5" s="36" t="s">
        <v>31</v>
      </c>
      <c r="J5" s="36" t="s">
        <v>255</v>
      </c>
      <c r="K5" s="36" t="s">
        <v>223</v>
      </c>
      <c r="L5" s="36" t="s">
        <v>267</v>
      </c>
      <c r="N5" s="106" t="b">
        <f>VLOOKUP(Sistema,Produtividades[],COLUMN(Produtividades[[#Headers],[Fábrica Testes]])-1,FALSE)</f>
        <v>1</v>
      </c>
      <c r="O5" s="88" t="b">
        <f>VLOOKUP(Fornecedor,MapFasesFornecedores[],5,FALSE)</f>
        <v>1</v>
      </c>
      <c r="P5" s="88"/>
      <c r="Q5" s="391" t="s">
        <v>446</v>
      </c>
      <c r="R5" s="391" t="s">
        <v>447</v>
      </c>
      <c r="T5" s="403" t="s">
        <v>92</v>
      </c>
      <c r="U5" s="404">
        <f>SUM(U6:U8)</f>
        <v>0.14000000000000001</v>
      </c>
      <c r="V5" s="405"/>
    </row>
    <row r="6" spans="2:22" ht="15" x14ac:dyDescent="0.2">
      <c r="B6" s="203">
        <v>1</v>
      </c>
      <c r="C6" s="355" t="str">
        <f>IF(OR(EsforcoFases[[#This Row],[Ativ. Fabrica Testes]],VLOOKUP(B6,PercentuaisFases[],VLOOKUP(Fornecedor,MapFasesFornecedores[#All],2,FALSE),FALSE)=0),"",VLOOKUP(B6,PercentuaisFases[],VLOOKUP(Fornecedor,MapFasesFornecedores[#All],2,FALSE),FALSE))</f>
        <v>Visão da Solução</v>
      </c>
      <c r="D6" s="120"/>
      <c r="E6" s="123"/>
      <c r="F6" s="352"/>
      <c r="G6" s="353"/>
      <c r="H6" s="352"/>
      <c r="I6" s="393" t="b">
        <f>IF(EsforcoFases[[#This Row],[Contratação]]=Sim,TRUE,FALSE)</f>
        <v>0</v>
      </c>
      <c r="J6" s="394" t="b">
        <f>AND(FabricaTestes,VLOOKUP(B6,PercentuaisFases[],VLOOKUP(Fornecedor,MapFasesFornecedores[#All],4,FALSE),FALSE))</f>
        <v>0</v>
      </c>
      <c r="K6" s="166" t="b">
        <f t="shared" ref="K6:K18" si="0">IF(C6="",0)</f>
        <v>0</v>
      </c>
      <c r="L6" s="166" t="b">
        <f>AND(Man_Cosmetica_Especial,VLOOKUP(EsforcoFases[[#This Row],[Id]],PercentuaisFases[],COLUMN(PercentuaisFases[[#Headers],[Man Cosmetica Especial]]),FALSE))</f>
        <v>0</v>
      </c>
      <c r="Q6" s="395"/>
      <c r="R6" s="395"/>
      <c r="T6" s="406" t="s">
        <v>454</v>
      </c>
      <c r="U6" s="407">
        <v>0.08</v>
      </c>
      <c r="V6" s="408">
        <f>ROUND(Analogia[[#Totals],[Esforço com Impacto]]*'Fases Contratadas'!U6,2)</f>
        <v>0</v>
      </c>
    </row>
    <row r="7" spans="2:22" ht="14.25" x14ac:dyDescent="0.2">
      <c r="B7" s="204" t="s">
        <v>196</v>
      </c>
      <c r="C7" s="235" t="str">
        <f>IF(OR(EsforcoFases[[#This Row],[Ativ. Fabrica Testes]],VLOOKUP(B7,PercentuaisFases[],VLOOKUP(Fornecedor,MapFasesFornecedores[#All],2,FALSE),FALSE)=0),"",VLOOKUP(B7,PercentuaisFases[],VLOOKUP(Fornecedor,MapFasesFornecedores[#All],2,FALSE),FALSE))</f>
        <v>Visão da Solução</v>
      </c>
      <c r="D7" s="122"/>
      <c r="E7" s="82">
        <f>ROUND(IF(EsforcoFases[[#This Row],[checks]]=FALSE,0,(IF(EsforcoFases[[#This Row],[Man Cosmetica Especial]]=TRUE,Q7+R7,((PontosFuncao[[#Totals],[Esforço]]+Analogia[[#Totals],[Esforço com Impacto]])*IF(C7="","",VLOOKUP(B7,PercentuaisFases[],VLOOKUP(Fornecedor,MapFasesFornecedores[#All],3,FALSE),FALSE)))))),2)</f>
        <v>0</v>
      </c>
      <c r="F7" s="69"/>
      <c r="G7" s="67">
        <f>IF(EsforcoFases[[#This Row],[Esforço em Horas (preenchido)]]="",0,EsforcoFases[[#This Row],[Esforço em Horas (preenchido)]]/EsforcoFases[[#Totals],[Esforço em Horas (preenchido)]])</f>
        <v>0</v>
      </c>
      <c r="H7" s="229"/>
      <c r="I7" s="393" t="b">
        <f>IF(EsforcoFases[[#This Row],[Contratação]]=Sim,TRUE,FALSE)</f>
        <v>0</v>
      </c>
      <c r="J7" s="394" t="b">
        <f>AND(FabricaTestes,VLOOKUP(B7,PercentuaisFases[],VLOOKUP(Fornecedor,MapFasesFornecedores[#All],4,FALSE),FALSE))</f>
        <v>0</v>
      </c>
      <c r="K7" s="166" t="b">
        <f t="shared" si="0"/>
        <v>0</v>
      </c>
      <c r="L7" s="166" t="b">
        <f>AND(Man_Cosmetica_Especial,VLOOKUP(EsforcoFases[[#This Row],[Id]],PercentuaisFases[],COLUMN(PercentuaisFases[[#Headers],[Man Cosmetica Especial]]),FALSE))</f>
        <v>0</v>
      </c>
      <c r="Q7" s="396">
        <f>ROUND(IF(EsforcoFases[[#This Row],[checks]]=FALSE,0,PontosFuncao[[#Totals],[Esforço]]*IF(C7="","",VLOOKUP(B7,PercentuaisFases[],VLOOKUP(Fornecedor,MapFasesFornecedores[#All],3,FALSE),FALSE))),2)</f>
        <v>0</v>
      </c>
      <c r="R7" s="396">
        <f>ROUND(IF(EsforcoFases[[#This Row],[checks]]=FALSE,0,IF(EsforcoFases[[#This Row],[Man Cosmetica Especial]]=FALSE,Analogia[[#Totals],[Esforço com Impacto]],Analogia[[#Totals],[Esforço sem Impacto]])*IF(C7="","",VLOOKUP(B7,PercentuaisFases[],VLOOKUP(Fornecedor,MapFasesFornecedores[#All],3,FALSE),FALSE))),2)</f>
        <v>0</v>
      </c>
      <c r="S7" s="397">
        <f>Q7+R7</f>
        <v>0</v>
      </c>
      <c r="T7" s="406" t="s">
        <v>455</v>
      </c>
      <c r="U7" s="407">
        <v>0.03</v>
      </c>
      <c r="V7" s="408">
        <f>ROUND(Analogia[[#Totals],[Esforço com Impacto]]*'Fases Contratadas'!U7,2)</f>
        <v>0</v>
      </c>
    </row>
    <row r="8" spans="2:22" ht="15" x14ac:dyDescent="0.2">
      <c r="B8" s="203">
        <v>2</v>
      </c>
      <c r="C8" s="355" t="str">
        <f>IF(OR(EsforcoFases[[#This Row],[Ativ. Fabrica Testes]],VLOOKUP(B8,PercentuaisFases[],VLOOKUP(Fornecedor,MapFasesFornecedores[#All],2,FALSE),FALSE)=0),"",VLOOKUP(B8,PercentuaisFases[],VLOOKUP(Fornecedor,MapFasesFornecedores[#All],2,FALSE),FALSE))</f>
        <v>Desenho da Solução</v>
      </c>
      <c r="D8" s="120"/>
      <c r="E8" s="123"/>
      <c r="F8" s="352"/>
      <c r="G8" s="353"/>
      <c r="H8" s="354"/>
      <c r="I8" s="393" t="b">
        <f>IF(EsforcoFases[[#This Row],[Contratação]]=Sim,TRUE,FALSE)</f>
        <v>0</v>
      </c>
      <c r="J8" s="394" t="b">
        <f>AND(FabricaTestes,VLOOKUP(B8,PercentuaisFases[],VLOOKUP(Fornecedor,MapFasesFornecedores[#All],4,FALSE),FALSE))</f>
        <v>0</v>
      </c>
      <c r="K8" s="166" t="b">
        <f t="shared" si="0"/>
        <v>0</v>
      </c>
      <c r="L8" s="166" t="b">
        <f>AND(Man_Cosmetica_Especial,VLOOKUP(EsforcoFases[[#This Row],[Id]],PercentuaisFases[],COLUMN(PercentuaisFases[[#Headers],[Man Cosmetica Especial]]),FALSE))</f>
        <v>0</v>
      </c>
      <c r="Q8" s="395"/>
      <c r="R8" s="395"/>
      <c r="S8" s="397"/>
      <c r="T8" s="406" t="s">
        <v>456</v>
      </c>
      <c r="U8" s="407">
        <v>0.03</v>
      </c>
      <c r="V8" s="408">
        <f>ROUND(Analogia[[#Totals],[Esforço com Impacto]]*'Fases Contratadas'!U8,2)</f>
        <v>0</v>
      </c>
    </row>
    <row r="9" spans="2:22" ht="15" customHeight="1" x14ac:dyDescent="0.25">
      <c r="B9" s="204" t="s">
        <v>197</v>
      </c>
      <c r="C9" s="235" t="str">
        <f>IF(OR(EsforcoFases[[#This Row],[Ativ. Fabrica Testes]],VLOOKUP(B9,PercentuaisFases[],VLOOKUP(Fornecedor,MapFasesFornecedores[#All],2,FALSE),FALSE)=0),"",VLOOKUP(B9,PercentuaisFases[],VLOOKUP(Fornecedor,MapFasesFornecedores[#All],2,FALSE),FALSE))</f>
        <v>Desenho e Descritivo da Solução (Especificação com ou sem Caso de Uso)</v>
      </c>
      <c r="D9" s="121"/>
      <c r="E9" s="82">
        <f>ROUND(IF(EsforcoFases[[#This Row],[checks]]=FALSE,0,(IF(EsforcoFases[[#This Row],[Man Cosmetica Especial]]=TRUE,Q9+R9,((PontosFuncao[[#Totals],[Esforço]]+Analogia[[#Totals],[Esforço com Impacto]])*IF(C9="","",VLOOKUP(B9,PercentuaisFases[],VLOOKUP(Fornecedor,MapFasesFornecedores[#All],3,FALSE),FALSE)))))),2)</f>
        <v>0</v>
      </c>
      <c r="F9" s="69"/>
      <c r="G9" s="67">
        <f>IF(EsforcoFases[[#This Row],[Esforço em Horas (preenchido)]]="",0,EsforcoFases[[#This Row],[Esforço em Horas (preenchido)]]/EsforcoFases[[#Totals],[Esforço em Horas (preenchido)]])</f>
        <v>0</v>
      </c>
      <c r="H9" s="229"/>
      <c r="I9" s="393" t="b">
        <f>IF(EsforcoFases[[#This Row],[Contratação]]=Sim,TRUE,FALSE)</f>
        <v>0</v>
      </c>
      <c r="J9" s="394" t="b">
        <f>AND(FabricaTestes,VLOOKUP(B9,PercentuaisFases[],VLOOKUP(Fornecedor,MapFasesFornecedores[#All],4,FALSE),FALSE))</f>
        <v>0</v>
      </c>
      <c r="K9" s="166" t="b">
        <f>IF(OR(F10&gt;0,C9=""),0)</f>
        <v>0</v>
      </c>
      <c r="L9" s="166" t="b">
        <f>AND(Man_Cosmetica_Especial,VLOOKUP(EsforcoFases[[#This Row],[Id]],PercentuaisFases[],COLUMN(PercentuaisFases[[#Headers],[Man Cosmetica Especial]]),FALSE))</f>
        <v>0</v>
      </c>
      <c r="Q9" s="396">
        <f>ROUND(IF(EsforcoFases[[#This Row],[checks]]=FALSE,0,PontosFuncao[[#Totals],[Esforço]]*IF(C9="","",VLOOKUP(B9,PercentuaisFases[],VLOOKUP(Fornecedor,MapFasesFornecedores[#All],3,FALSE),FALSE))),2)</f>
        <v>0</v>
      </c>
      <c r="R9" s="396">
        <f>ROUND(IF(EsforcoFases[[#This Row],[checks]]=FALSE,0,IF(EsforcoFases[[#This Row],[Man Cosmetica Especial]]=FALSE,Analogia[[#Totals],[Esforço com Impacto]],Analogia[[#Totals],[Esforço sem Impacto]])*IF(C9="","",VLOOKUP(B9,PercentuaisFases[],VLOOKUP(Fornecedor,MapFasesFornecedores[#All],3,FALSE),FALSE))),2)</f>
        <v>0</v>
      </c>
      <c r="S9" s="397">
        <f>Q9+R9</f>
        <v>0</v>
      </c>
      <c r="T9" s="403" t="s">
        <v>457</v>
      </c>
      <c r="U9" s="404">
        <f>SUM(U10:U14)</f>
        <v>0.56499999999999995</v>
      </c>
      <c r="V9" s="405"/>
    </row>
    <row r="10" spans="2:22" ht="14.25" x14ac:dyDescent="0.2">
      <c r="B10" s="204" t="s">
        <v>198</v>
      </c>
      <c r="C10" s="235" t="str">
        <f>IF(OR(EsforcoFases[[#This Row],[Ativ. Fabrica Testes]],VLOOKUP(B10,PercentuaisFases[],VLOOKUP(Fornecedor,MapFasesFornecedores[#All],2,FALSE),FALSE)=0),"",VLOOKUP(B10,PercentuaisFases[],VLOOKUP(Fornecedor,MapFasesFornecedores[#All],2,FALSE),FALSE))</f>
        <v>Participação Pontual no Desenho da Solução</v>
      </c>
      <c r="D10" s="122"/>
      <c r="E10" s="82">
        <f>ROUND(IF(EsforcoFases[[#This Row],[checks]]=FALSE,0,(IF(EsforcoFases[[#This Row],[Man Cosmetica Especial]]=TRUE,Q10+R10,((PontosFuncao[[#Totals],[Esforço]]+Analogia[[#Totals],[Esforço com Impacto]])*IF(C10="","",VLOOKUP(B10,PercentuaisFases[],VLOOKUP(Fornecedor,MapFasesFornecedores[#All],3,FALSE),FALSE)))))),2)</f>
        <v>0</v>
      </c>
      <c r="F10" s="69"/>
      <c r="G10" s="67">
        <f>IF(EsforcoFases[[#This Row],[Esforço em Horas (preenchido)]]="",0,EsforcoFases[[#This Row],[Esforço em Horas (preenchido)]]/EsforcoFases[[#Totals],[Esforço em Horas (preenchido)]])</f>
        <v>0</v>
      </c>
      <c r="H10" s="229"/>
      <c r="I10" s="393" t="b">
        <f>IF(EsforcoFases[[#This Row],[Contratação]]=Sim,TRUE,FALSE)</f>
        <v>0</v>
      </c>
      <c r="J10" s="394" t="b">
        <f>AND(FabricaTestes,VLOOKUP(B10,PercentuaisFases[],VLOOKUP(Fornecedor,MapFasesFornecedores[#All],4,FALSE),FALSE))</f>
        <v>0</v>
      </c>
      <c r="K10" s="166" t="b">
        <f>IF(OR(F9&gt;0,C10=""),0)</f>
        <v>0</v>
      </c>
      <c r="L10" s="166" t="b">
        <f>AND(Man_Cosmetica_Especial,VLOOKUP(EsforcoFases[[#This Row],[Id]],PercentuaisFases[],COLUMN(PercentuaisFases[[#Headers],[Man Cosmetica Especial]]),FALSE))</f>
        <v>0</v>
      </c>
      <c r="Q10" s="396">
        <f>ROUND(IF(EsforcoFases[[#This Row],[checks]]=FALSE,0,PontosFuncao[[#Totals],[Esforço]]*IF(C10="","",VLOOKUP(B10,PercentuaisFases[],VLOOKUP(Fornecedor,MapFasesFornecedores[#All],3,FALSE),FALSE))),2)</f>
        <v>0</v>
      </c>
      <c r="R10" s="396">
        <f>ROUND(IF(EsforcoFases[[#This Row],[checks]]=FALSE,0,IF(EsforcoFases[[#This Row],[Man Cosmetica Especial]]=FALSE,Analogia[[#Totals],[Esforço com Impacto]],Analogia[[#Totals],[Esforço sem Impacto]])*IF(C10="","",VLOOKUP(B10,PercentuaisFases[],VLOOKUP(Fornecedor,MapFasesFornecedores[#All],3,FALSE),FALSE))),2)</f>
        <v>0</v>
      </c>
      <c r="S10" s="397">
        <f>Q10+R10</f>
        <v>0</v>
      </c>
      <c r="T10" s="406" t="s">
        <v>458</v>
      </c>
      <c r="U10" s="407">
        <v>0.45</v>
      </c>
      <c r="V10" s="408">
        <f>ROUND(Analogia[[#Totals],[Esforço com Impacto]]*'Fases Contratadas'!U10,2)</f>
        <v>0</v>
      </c>
    </row>
    <row r="11" spans="2:22" ht="15" x14ac:dyDescent="0.2">
      <c r="B11" s="203">
        <v>3</v>
      </c>
      <c r="C11" s="355" t="str">
        <f>IF(OR(EsforcoFases[[#This Row],[Ativ. Fabrica Testes]],VLOOKUP(B11,PercentuaisFases[],VLOOKUP(Fornecedor,MapFasesFornecedores[#All],2,FALSE),FALSE)=0),"",VLOOKUP(B11,PercentuaisFases[],VLOOKUP(Fornecedor,MapFasesFornecedores[#All],2,FALSE),FALSE))</f>
        <v>Construção / Desenho Técnico / Teste</v>
      </c>
      <c r="D11" s="120"/>
      <c r="E11" s="123"/>
      <c r="F11" s="352"/>
      <c r="G11" s="353"/>
      <c r="H11" s="354"/>
      <c r="I11" s="393" t="b">
        <f>IF(EsforcoFases[[#This Row],[Contratação]]=Sim,TRUE,FALSE)</f>
        <v>0</v>
      </c>
      <c r="J11" s="394" t="b">
        <f>AND(FabricaTestes,VLOOKUP(B11,PercentuaisFases[],VLOOKUP(Fornecedor,MapFasesFornecedores[#All],4,FALSE),FALSE))</f>
        <v>0</v>
      </c>
      <c r="K11" s="166" t="b">
        <f t="shared" si="0"/>
        <v>0</v>
      </c>
      <c r="L11" s="166" t="b">
        <f>AND(Man_Cosmetica_Especial,VLOOKUP(EsforcoFases[[#This Row],[Id]],PercentuaisFases[],COLUMN(PercentuaisFases[[#Headers],[Man Cosmetica Especial]]),FALSE))</f>
        <v>0</v>
      </c>
      <c r="Q11" s="395"/>
      <c r="R11" s="395"/>
      <c r="S11" s="397"/>
      <c r="T11" s="406" t="s">
        <v>459</v>
      </c>
      <c r="U11" s="407">
        <v>0.03</v>
      </c>
      <c r="V11" s="408">
        <f>ROUND(Analogia[[#Totals],[Esforço sem Impacto]]*'Fases Contratadas'!U11,2)</f>
        <v>0</v>
      </c>
    </row>
    <row r="12" spans="2:22" ht="76.5" customHeight="1" x14ac:dyDescent="0.2">
      <c r="B12" s="204" t="s">
        <v>199</v>
      </c>
      <c r="C12" s="235" t="str">
        <f>IF(OR(EsforcoFases[[#This Row],[Ativ. Fabrica Testes]],VLOOKUP(B12,PercentuaisFases[],VLOOKUP(Fornecedor,MapFasesFornecedores[#All],2,FALSE),FALSE)=0),"",VLOOKUP(B12,PercentuaisFases[],VLOOKUP(Fornecedor,MapFasesFornecedores[#All],2,FALSE),FALSE))</f>
        <v xml:space="preserve">Planilha de Interfaces (Data Mapping) / Construção e Teste Unitário / Especificação Técnica e Especificação dos Serviços / Modelo de dados / Merge / Migração para os ambientes / Teste de Sistema (Plano, execução e geração de evidências) / Suporte a testes (sistemas com impacto em desenvolvimento) / Manual de Operações / Runbook / Simproc  </v>
      </c>
      <c r="D12" s="122"/>
      <c r="E12" s="82">
        <f>ROUND(IF(EsforcoFases[[#This Row],[checks]]=FALSE,0,(IF(EsforcoFases[[#This Row],[Man Cosmetica Especial]]=TRUE,Q12+R12,((PontosFuncao[[#Totals],[Esforço]]+Analogia[[#Totals],[Esforço com Impacto]])*IF(C12="","",VLOOKUP(B12,PercentuaisFases[],VLOOKUP(Fornecedor,MapFasesFornecedores[#All],3,FALSE),FALSE)))))),2)</f>
        <v>0</v>
      </c>
      <c r="F12" s="69"/>
      <c r="G12" s="67">
        <f>IF(EsforcoFases[[#This Row],[Esforço em Horas (preenchido)]]="",0,EsforcoFases[[#This Row],[Esforço em Horas (preenchido)]]/EsforcoFases[[#Totals],[Esforço em Horas (preenchido)]])</f>
        <v>0</v>
      </c>
      <c r="H12" s="229"/>
      <c r="I12" s="393" t="b">
        <f>IF(EsforcoFases[[#This Row],[Contratação]]=Sim,TRUE,FALSE)</f>
        <v>0</v>
      </c>
      <c r="J12" s="394" t="b">
        <f>AND(FabricaTestes,VLOOKUP(B12,PercentuaisFases[],VLOOKUP(Fornecedor,MapFasesFornecedores[#All],4,FALSE),FALSE))</f>
        <v>0</v>
      </c>
      <c r="K12" s="166" t="b">
        <f t="shared" si="0"/>
        <v>0</v>
      </c>
      <c r="L12" s="166" t="b">
        <f>AND(Man_Cosmetica_Especial,VLOOKUP(EsforcoFases[[#This Row],[Id]],PercentuaisFases[],COLUMN(PercentuaisFases[[#Headers],[Man Cosmetica Especial]]),FALSE))</f>
        <v>1</v>
      </c>
      <c r="Q12" s="396">
        <f>ROUND(IF(EsforcoFases[[#This Row],[checks]]=FALSE,0,PontosFuncao[[#Totals],[Esforço]]*IF(C12="","",VLOOKUP(B12,PercentuaisFases[],VLOOKUP(Fornecedor,MapFasesFornecedores[#All],3,FALSE),FALSE))),2)</f>
        <v>0</v>
      </c>
      <c r="R12" s="396">
        <f>ROUND(IF(EsforcoFases[[#This Row],[checks]]=FALSE,0,V15),2)</f>
        <v>0</v>
      </c>
      <c r="S12" s="397">
        <f>Q12+R12</f>
        <v>0</v>
      </c>
      <c r="T12" s="409" t="s">
        <v>460</v>
      </c>
      <c r="U12" s="407">
        <v>1.4999999999999999E-2</v>
      </c>
      <c r="V12" s="408">
        <f>ROUND(Analogia[[#Totals],[Esforço sem Impacto]]*'Fases Contratadas'!U12,2)</f>
        <v>0</v>
      </c>
    </row>
    <row r="13" spans="2:22" ht="15" customHeight="1" x14ac:dyDescent="0.2">
      <c r="B13" s="203">
        <v>4</v>
      </c>
      <c r="C13" s="355" t="str">
        <f>IF(OR(EsforcoFases[[#This Row],[Ativ. Fabrica Testes]],VLOOKUP(B13,PercentuaisFases[],VLOOKUP(Fornecedor,MapFasesFornecedores[#All],2,FALSE),FALSE)=0),"",VLOOKUP(B13,PercentuaisFases[],VLOOKUP(Fornecedor,MapFasesFornecedores[#All],2,FALSE),FALSE))</f>
        <v/>
      </c>
      <c r="D13" s="120"/>
      <c r="E13" s="123"/>
      <c r="F13" s="352"/>
      <c r="G13" s="353"/>
      <c r="H13" s="354"/>
      <c r="I13" s="393" t="b">
        <f>IF(EsforcoFases[[#This Row],[Contratação]]=Sim,TRUE,FALSE)</f>
        <v>0</v>
      </c>
      <c r="J13" s="394" t="b">
        <f>AND(FabricaTestes,VLOOKUP(B13,PercentuaisFases[],VLOOKUP(Fornecedor,MapFasesFornecedores[#All],4,FALSE),FALSE))</f>
        <v>1</v>
      </c>
      <c r="K13" s="374">
        <f t="shared" si="0"/>
        <v>0</v>
      </c>
      <c r="L13" s="166" t="b">
        <f>AND(Man_Cosmetica_Especial,VLOOKUP(EsforcoFases[[#This Row],[Id]],PercentuaisFases[],COLUMN(PercentuaisFases[[#Headers],[Man Cosmetica Especial]]),FALSE))</f>
        <v>0</v>
      </c>
      <c r="Q13" s="395"/>
      <c r="R13" s="395"/>
      <c r="S13" s="397"/>
      <c r="T13" s="406" t="s">
        <v>461</v>
      </c>
      <c r="U13" s="407">
        <v>0.01</v>
      </c>
      <c r="V13" s="408">
        <f>ROUND(Analogia[[#Totals],[Esforço sem Impacto]]*'Fases Contratadas'!U13,2)</f>
        <v>0</v>
      </c>
    </row>
    <row r="14" spans="2:22" ht="14.25" customHeight="1" x14ac:dyDescent="0.2">
      <c r="B14" s="204" t="s">
        <v>200</v>
      </c>
      <c r="C14" s="235" t="str">
        <f>IF(OR(EsforcoFases[[#This Row],[Ativ. Fabrica Testes]],VLOOKUP(B14,PercentuaisFases[],VLOOKUP(Fornecedor,MapFasesFornecedores[#All],2,FALSE),FALSE)=0),"",VLOOKUP(B14,PercentuaisFases[],VLOOKUP(Fornecedor,MapFasesFornecedores[#All],2,FALSE),FALSE))</f>
        <v/>
      </c>
      <c r="D14" s="122"/>
      <c r="E14" s="82">
        <f>ROUND(IF(EsforcoFases[[#This Row],[checks]]=FALSE,0,(IF(EsforcoFases[[#This Row],[Man Cosmetica Especial]]=TRUE,Q14+R14,((PontosFuncao[[#Totals],[Esforço]]+Analogia[[#Totals],[Esforço com Impacto]])*IF(C14="","",VLOOKUP(B14,PercentuaisFases[],VLOOKUP(Fornecedor,MapFasesFornecedores[#All],3,FALSE),FALSE)))))),2)</f>
        <v>0</v>
      </c>
      <c r="F14" s="69"/>
      <c r="G14" s="67">
        <f>IF(EsforcoFases[[#This Row],[Esforço em Horas (preenchido)]]="",0,EsforcoFases[[#This Row],[Esforço em Horas (preenchido)]]/EsforcoFases[[#Totals],[Esforço em Horas (preenchido)]])</f>
        <v>0</v>
      </c>
      <c r="H14" s="229"/>
      <c r="I14" s="393" t="b">
        <f>IF(EsforcoFases[[#This Row],[Contratação]]=Sim,TRUE,FALSE)</f>
        <v>0</v>
      </c>
      <c r="J14" s="394" t="b">
        <f>AND(FabricaTestes,VLOOKUP(B14,PercentuaisFases[],VLOOKUP(Fornecedor,MapFasesFornecedores[#All],4,FALSE),FALSE))</f>
        <v>1</v>
      </c>
      <c r="K14" s="374">
        <f t="shared" si="0"/>
        <v>0</v>
      </c>
      <c r="L14" s="166" t="b">
        <f>AND(Man_Cosmetica_Especial,VLOOKUP(EsforcoFases[[#This Row],[Id]],PercentuaisFases[],COLUMN(PercentuaisFases[[#Headers],[Man Cosmetica Especial]]),FALSE))</f>
        <v>1</v>
      </c>
      <c r="Q14" s="396">
        <f>ROUND(IF(EsforcoFases[[#This Row],[checks]]=FALSE,0,PontosFuncao[[#Totals],[Esforço]]*IF(C14="","",VLOOKUP(B14,PercentuaisFases[],VLOOKUP(Fornecedor,MapFasesFornecedores[#All],3,FALSE),FALSE))),2)</f>
        <v>0</v>
      </c>
      <c r="R14" s="396">
        <f>ROUND(IF(EsforcoFases[[#This Row],[checks]]=FALSE,0,IF(EsforcoFases[[#This Row],[Man Cosmetica Especial]]=FALSE,Analogia[[#Totals],[Esforço com Impacto]],Analogia[[#Totals],[Esforço sem Impacto]])*IF(C14="","",VLOOKUP(B14,PercentuaisFases[],VLOOKUP(Fornecedor,MapFasesFornecedores[#All],3,FALSE),FALSE))),2)</f>
        <v>0</v>
      </c>
      <c r="S14" s="397">
        <f>Q14+R14</f>
        <v>0</v>
      </c>
      <c r="T14" s="406" t="s">
        <v>462</v>
      </c>
      <c r="U14" s="407">
        <v>0.06</v>
      </c>
      <c r="V14" s="408">
        <f>ROUND(Analogia[[#Totals],[Esforço sem Impacto]]*'Fases Contratadas'!U14,2)</f>
        <v>0</v>
      </c>
    </row>
    <row r="15" spans="2:22" ht="14.25" x14ac:dyDescent="0.2">
      <c r="B15" s="204" t="s">
        <v>201</v>
      </c>
      <c r="C15" s="235" t="str">
        <f>IF(OR(EsforcoFases[[#This Row],[Ativ. Fabrica Testes]],VLOOKUP(B15,PercentuaisFases[],VLOOKUP(Fornecedor,MapFasesFornecedores[#All],2,FALSE),FALSE)=0),"",VLOOKUP(B15,PercentuaisFases[],VLOOKUP(Fornecedor,MapFasesFornecedores[#All],2,FALSE),FALSE))</f>
        <v/>
      </c>
      <c r="D15" s="122"/>
      <c r="E15" s="82">
        <f>ROUND(IF(EsforcoFases[[#This Row],[checks]]=FALSE,0,(IF(EsforcoFases[[#This Row],[Man Cosmetica Especial]]=TRUE,Q15+R15,((PontosFuncao[[#Totals],[Esforço]]+Analogia[[#Totals],[Esforço com Impacto]])*IF(C15="","",VLOOKUP(B15,PercentuaisFases[],VLOOKUP(Fornecedor,MapFasesFornecedores[#All],3,FALSE),FALSE)))))),2)</f>
        <v>0</v>
      </c>
      <c r="F15" s="69"/>
      <c r="G15" s="67">
        <f>IF(EsforcoFases[[#This Row],[Esforço em Horas (preenchido)]]="",0,EsforcoFases[[#This Row],[Esforço em Horas (preenchido)]]/EsforcoFases[[#Totals],[Esforço em Horas (preenchido)]])</f>
        <v>0</v>
      </c>
      <c r="H15" s="229"/>
      <c r="I15" s="393" t="b">
        <f>IF(EsforcoFases[[#This Row],[Contratação]]=Sim,TRUE,FALSE)</f>
        <v>0</v>
      </c>
      <c r="J15" s="394" t="b">
        <f>AND(FabricaTestes,VLOOKUP(B15,PercentuaisFases[],VLOOKUP(Fornecedor,MapFasesFornecedores[#All],4,FALSE),FALSE))</f>
        <v>1</v>
      </c>
      <c r="K15" s="374">
        <f t="shared" si="0"/>
        <v>0</v>
      </c>
      <c r="L15" s="166" t="b">
        <f>AND(Man_Cosmetica_Especial,VLOOKUP(EsforcoFases[[#This Row],[Id]],PercentuaisFases[],COLUMN(PercentuaisFases[[#Headers],[Man Cosmetica Especial]]),FALSE))</f>
        <v>1</v>
      </c>
      <c r="Q15" s="396">
        <f>ROUND(IF(EsforcoFases[[#This Row],[checks]]=FALSE,0,PontosFuncao[[#Totals],[Esforço]]*IF(C15="","",VLOOKUP(B15,PercentuaisFases[],VLOOKUP(Fornecedor,MapFasesFornecedores[#All],3,FALSE),FALSE))),2)</f>
        <v>0</v>
      </c>
      <c r="R15" s="396">
        <f>ROUND(IF(EsforcoFases[[#This Row],[checks]]=FALSE,0,IF(EsforcoFases[[#This Row],[Man Cosmetica Especial]]=FALSE,Analogia[[#Totals],[Esforço com Impacto]],Analogia[[#Totals],[Esforço sem Impacto]])*IF(C15="","",VLOOKUP(B15,PercentuaisFases[],VLOOKUP(Fornecedor,MapFasesFornecedores[#All],3,FALSE),FALSE))),2)</f>
        <v>0</v>
      </c>
      <c r="S15" s="397">
        <f>Q15+R15</f>
        <v>0</v>
      </c>
      <c r="V15" s="399">
        <f>SUM(V6:V14)</f>
        <v>0</v>
      </c>
    </row>
    <row r="16" spans="2:22" ht="15" x14ac:dyDescent="0.2">
      <c r="B16" s="203">
        <v>5</v>
      </c>
      <c r="C16" s="355" t="str">
        <f>IF(OR(EsforcoFases[[#This Row],[Ativ. Fabrica Testes]],VLOOKUP(B16,PercentuaisFases[],VLOOKUP(Fornecedor,MapFasesFornecedores[#All],2,FALSE),FALSE)=0),"",VLOOKUP(B16,PercentuaisFases[],VLOOKUP(Fornecedor,MapFasesFornecedores[#All],2,FALSE),FALSE))</f>
        <v>Implantação</v>
      </c>
      <c r="D16" s="120"/>
      <c r="E16" s="123"/>
      <c r="F16" s="352"/>
      <c r="G16" s="353"/>
      <c r="H16" s="354"/>
      <c r="I16" s="393" t="b">
        <f>IF(EsforcoFases[[#This Row],[Contratação]]=Sim,TRUE,FALSE)</f>
        <v>0</v>
      </c>
      <c r="J16" s="394" t="b">
        <f>AND(FabricaTestes,VLOOKUP(B16,PercentuaisFases[],VLOOKUP(Fornecedor,MapFasesFornecedores[#All],4,FALSE),FALSE))</f>
        <v>0</v>
      </c>
      <c r="K16" s="166" t="b">
        <f t="shared" si="0"/>
        <v>0</v>
      </c>
      <c r="L16" s="166" t="b">
        <f>AND(Man_Cosmetica_Especial,VLOOKUP(EsforcoFases[[#This Row],[Id]],PercentuaisFases[],COLUMN(PercentuaisFases[[#Headers],[Man Cosmetica Especial]]),FALSE))</f>
        <v>0</v>
      </c>
      <c r="Q16" s="395"/>
      <c r="R16" s="395"/>
      <c r="S16" s="397"/>
    </row>
    <row r="17" spans="1:19" ht="14.25" x14ac:dyDescent="0.2">
      <c r="B17" s="204" t="s">
        <v>202</v>
      </c>
      <c r="C17" s="235" t="str">
        <f>IF(OR(EsforcoFases[[#This Row],[Ativ. Fabrica Testes]],VLOOKUP(B17,PercentuaisFases[],VLOOKUP(Fornecedor,MapFasesFornecedores[#All],2,FALSE),FALSE)=0),"",VLOOKUP(B17,PercentuaisFases[],VLOOKUP(Fornecedor,MapFasesFornecedores[#All],2,FALSE),FALSE))</f>
        <v>Implantação Padrão</v>
      </c>
      <c r="D17" s="122"/>
      <c r="E17" s="82">
        <f>ROUND(IF(EsforcoFases[[#This Row],[checks]]=FALSE,0,(IF(EsforcoFases[[#This Row],[Man Cosmetica Especial]]=TRUE,Q17+R17,((PontosFuncao[[#Totals],[Esforço]]+Analogia[[#Totals],[Esforço com Impacto]])*IF(C17="","",VLOOKUP(B17,PercentuaisFases[],VLOOKUP(Fornecedor,MapFasesFornecedores[#All],3,FALSE),FALSE)))))),2)</f>
        <v>0</v>
      </c>
      <c r="F17" s="69"/>
      <c r="G17" s="67">
        <f>IF(EsforcoFases[[#This Row],[Esforço em Horas (preenchido)]]="",0,EsforcoFases[[#This Row],[Esforço em Horas (preenchido)]]/EsforcoFases[[#Totals],[Esforço em Horas (preenchido)]])</f>
        <v>0</v>
      </c>
      <c r="H17" s="229"/>
      <c r="I17" s="393" t="b">
        <f>IF(EsforcoFases[[#This Row],[Contratação]]=Sim,TRUE,FALSE)</f>
        <v>0</v>
      </c>
      <c r="J17" s="394" t="b">
        <f>AND(FabricaTestes,VLOOKUP(B17,PercentuaisFases[],VLOOKUP(Fornecedor,MapFasesFornecedores[#All],4,FALSE),FALSE))</f>
        <v>0</v>
      </c>
      <c r="K17" s="166" t="b">
        <f t="shared" si="0"/>
        <v>0</v>
      </c>
      <c r="L17" s="166" t="b">
        <f>AND(Man_Cosmetica_Especial,VLOOKUP(EsforcoFases[[#This Row],[Id]],PercentuaisFases[],COLUMN(PercentuaisFases[[#Headers],[Man Cosmetica Especial]]),FALSE))</f>
        <v>1</v>
      </c>
      <c r="Q17" s="396">
        <f>ROUND(IF(EsforcoFases[[#This Row],[checks]]=FALSE,0,PontosFuncao[[#Totals],[Esforço]]*IF(C17="","",VLOOKUP(B17,PercentuaisFases[],VLOOKUP(Fornecedor,MapFasesFornecedores[#All],3,FALSE),FALSE))),2)</f>
        <v>0</v>
      </c>
      <c r="R17" s="396">
        <f>ROUND(IF(EsforcoFases[[#This Row],[checks]]=FALSE,0,IF(EsforcoFases[[#This Row],[Man Cosmetica Especial]]=FALSE,Analogia[[#Totals],[Esforço com Impacto]],Analogia[[#Totals],[Esforço sem Impacto]])*IF(C17="","",VLOOKUP(B17,PercentuaisFases[],VLOOKUP(Fornecedor,MapFasesFornecedores[#All],3,FALSE),FALSE))),2)</f>
        <v>0</v>
      </c>
      <c r="S17" s="397">
        <f t="shared" ref="S17:S18" si="1">Q17+R17</f>
        <v>0</v>
      </c>
    </row>
    <row r="18" spans="1:19" ht="14.25" x14ac:dyDescent="0.2">
      <c r="B18" s="204" t="s">
        <v>203</v>
      </c>
      <c r="C18" s="235" t="str">
        <f>IF(OR(EsforcoFases[[#This Row],[Ativ. Fabrica Testes]],VLOOKUP(B18,PercentuaisFases[],VLOOKUP(Fornecedor,MapFasesFornecedores[#All],2,FALSE),FALSE)=0),"",VLOOKUP(B18,PercentuaisFases[],VLOOKUP(Fornecedor,MapFasesFornecedores[#All],2,FALSE),FALSE))</f>
        <v>Shakeout</v>
      </c>
      <c r="D18" s="122"/>
      <c r="E18" s="82">
        <f>ROUND(IF(EsforcoFases[[#This Row],[checks]]=FALSE,0,(IF(EsforcoFases[[#This Row],[Man Cosmetica Especial]]=TRUE,Q18+R18,((PontosFuncao[[#Totals],[Esforço]]+Analogia[[#Totals],[Esforço com Impacto]])*IF(C18="","",VLOOKUP(B18,PercentuaisFases[],VLOOKUP(Fornecedor,MapFasesFornecedores[#All],3,FALSE),FALSE)))))),2)</f>
        <v>0</v>
      </c>
      <c r="F18" s="69"/>
      <c r="G18" s="67">
        <f>IF(EsforcoFases[[#This Row],[Esforço em Horas (preenchido)]]="",0,EsforcoFases[[#This Row],[Esforço em Horas (preenchido)]]/EsforcoFases[[#Totals],[Esforço em Horas (preenchido)]])</f>
        <v>0</v>
      </c>
      <c r="H18" s="229"/>
      <c r="I18" s="393" t="b">
        <f>IF(EsforcoFases[[#This Row],[Contratação]]=Sim,TRUE,FALSE)</f>
        <v>0</v>
      </c>
      <c r="J18" s="394" t="b">
        <f>AND(FabricaTestes,VLOOKUP(B18,PercentuaisFases[],VLOOKUP(Fornecedor,MapFasesFornecedores[#All],4,FALSE),FALSE))</f>
        <v>0</v>
      </c>
      <c r="K18" s="103" t="b">
        <f t="shared" si="0"/>
        <v>0</v>
      </c>
      <c r="L18" s="166" t="b">
        <f>AND(Man_Cosmetica_Especial,VLOOKUP(EsforcoFases[[#This Row],[Id]],PercentuaisFases[],COLUMN(PercentuaisFases[[#Headers],[Man Cosmetica Especial]]),FALSE))</f>
        <v>1</v>
      </c>
      <c r="Q18" s="396">
        <f>ROUND(IF(EsforcoFases[[#This Row],[checks]]=FALSE,0,PontosFuncao[[#Totals],[Esforço]]*IF(C18="","",VLOOKUP(B18,PercentuaisFases[],VLOOKUP(Fornecedor,MapFasesFornecedores[#All],3,FALSE),FALSE))),2)</f>
        <v>0</v>
      </c>
      <c r="R18" s="396">
        <f>ROUND(IF(EsforcoFases[[#This Row],[checks]]=FALSE,0,IF(EsforcoFases[[#This Row],[Man Cosmetica Especial]]=FALSE,Analogia[[#Totals],[Esforço com Impacto]],Analogia[[#Totals],[Esforço sem Impacto]])*IF(C18="","",VLOOKUP(B18,PercentuaisFases[],VLOOKUP(Fornecedor,MapFasesFornecedores[#All],3,FALSE),FALSE))),2)</f>
        <v>0</v>
      </c>
      <c r="S18" s="397">
        <f t="shared" si="1"/>
        <v>0</v>
      </c>
    </row>
    <row r="19" spans="1:19" ht="15" x14ac:dyDescent="0.25">
      <c r="B19" s="205"/>
      <c r="C19" s="356" t="s">
        <v>112</v>
      </c>
      <c r="D19" s="49"/>
      <c r="E19" s="184">
        <f>ROUND(SUBTOTAL(109,EsforcoFases[Esforço em Horas (calculado)]),2)</f>
        <v>0</v>
      </c>
      <c r="F19" s="184">
        <f>SUBTOTAL(109,EsforcoFases[Esforço em Horas (preenchido)])</f>
        <v>0</v>
      </c>
      <c r="G19" s="185">
        <f>SUBTOTAL(109,EsforcoFases[Percentual Calculado da Fase])</f>
        <v>0</v>
      </c>
      <c r="H19" s="205"/>
      <c r="I19" s="398"/>
      <c r="J19" s="398"/>
      <c r="K19" s="398"/>
      <c r="L19" s="398"/>
      <c r="Q19" s="399">
        <f>SUBTOTAL(109,Q6:Q18)</f>
        <v>0</v>
      </c>
      <c r="R19" s="399">
        <f>SUBTOTAL(109,R6:R18)</f>
        <v>0</v>
      </c>
    </row>
    <row r="20" spans="1:19" ht="18" customHeight="1" x14ac:dyDescent="0.25">
      <c r="A20" s="83"/>
      <c r="B20" s="206"/>
      <c r="C20" s="83"/>
      <c r="D20" s="83"/>
      <c r="E20" s="84"/>
      <c r="F20" s="84"/>
      <c r="G20" s="84"/>
    </row>
    <row r="21" spans="1:19" ht="18" customHeight="1" x14ac:dyDescent="0.25">
      <c r="A21" s="83"/>
      <c r="B21" s="206"/>
      <c r="C21" s="83"/>
      <c r="D21" s="83"/>
      <c r="E21" s="84"/>
      <c r="F21" s="84"/>
      <c r="G21" s="84"/>
    </row>
  </sheetData>
  <sheetProtection algorithmName="SHA-512" hashValue="MVxNpjBTk8pjol6Axni4lv8IeIT68wFhSgVG+ahV5bfUQpDX4OnyYQNA01U5JGZcsjac0PFXYKnDOlksrowVpw==" saltValue="Jv6Lb8bQNSFhJTnSHyRTKA==" spinCount="100000" sheet="1" objects="1" scenarios="1"/>
  <dataConsolidate/>
  <mergeCells count="2">
    <mergeCell ref="B2:H2"/>
    <mergeCell ref="B3:H3"/>
  </mergeCells>
  <phoneticPr fontId="0" type="noConversion"/>
  <dataValidations count="13">
    <dataValidation type="custom" operator="lessThan" allowBlank="1" showInputMessage="1" showErrorMessage="1" sqref="M9">
      <formula1>N9=TRUE</formula1>
    </dataValidation>
    <dataValidation type="custom" allowBlank="1" showInputMessage="1" showErrorMessage="1" sqref="F8">
      <formula1>M9&lt;2</formula1>
    </dataValidation>
    <dataValidation type="decimal" allowBlank="1" showInputMessage="1" showErrorMessage="1" error="Apenas pode selecionar a elaboração ou a validação. Não pode colocar esforço em ambos" sqref="F9:F10">
      <formula1>0</formula1>
      <formula2>M9</formula2>
    </dataValidation>
    <dataValidation type="decimal" allowBlank="1" showInputMessage="1" showErrorMessage="1" sqref="F17:F18 F12 F14:F15">
      <formula1>0</formula1>
      <formula2>K12</formula2>
    </dataValidation>
    <dataValidation type="decimal" allowBlank="1" showInputMessage="1" showErrorMessage="1" error="Só pode inserir esforço nas atividades permitidas" sqref="F7">
      <formula1>0</formula1>
      <formula2>K7</formula2>
    </dataValidation>
    <dataValidation type="list" allowBlank="1" showInputMessage="1" showErrorMessage="1" error="Tem que selecionar um valor da lista disponível" sqref="D10">
      <formula1>IF(OR($D$9=Sim,$C$10=""),Nao,Sim_Nao)</formula1>
    </dataValidation>
    <dataValidation type="list" allowBlank="1" showInputMessage="1" showErrorMessage="1" error="Tem que selecionar um valor da lista disponível" sqref="D9">
      <formula1>IF(OR($D$10=Sim,$C$9=""),Nao,Sim_Nao)</formula1>
    </dataValidation>
    <dataValidation type="list" allowBlank="1" showInputMessage="1" showErrorMessage="1" error="Tem que selecionar um valor da lista disponível" sqref="D7">
      <formula1>IF($C$7="",Nao,Sim_Nao)</formula1>
    </dataValidation>
    <dataValidation type="list" allowBlank="1" showInputMessage="1" showErrorMessage="1" error="Tem que selecionar um valor da lista disponível" sqref="D12">
      <formula1>IF($C$12="",Nao,Sim_Nao)</formula1>
    </dataValidation>
    <dataValidation type="list" allowBlank="1" showInputMessage="1" showErrorMessage="1" error="Tem que selecionar um valor da lista disponível" sqref="D14">
      <formula1>IF($C$14="",Nao,Sim_Nao)</formula1>
    </dataValidation>
    <dataValidation type="list" allowBlank="1" showInputMessage="1" showErrorMessage="1" error="Tem que selecionar um valor da lista disponível" sqref="D15">
      <formula1>IF($C$15="",Nao,Sim_Nao)</formula1>
    </dataValidation>
    <dataValidation type="list" allowBlank="1" showInputMessage="1" showErrorMessage="1" error="Tem que selecionar um valor da lista disponível" sqref="D17">
      <formula1>IF($C$17="",Nao,Sim_Nao)</formula1>
    </dataValidation>
    <dataValidation type="list" allowBlank="1" showInputMessage="1" showErrorMessage="1" error="Tem que selecionar um valor da lista disponível" sqref="D18">
      <formula1>IF($C$18="",Nao,Sim_Nao)</formula1>
    </dataValidation>
  </dataValidations>
  <hyperlinks>
    <hyperlink ref="H4" location="Resumo!D17" display="&lt;&lt; Voltar para RESUMO"/>
  </hyperlinks>
  <pageMargins left="0.511811024" right="0.511811024" top="0.78740157499999996" bottom="0.78740157499999996" header="0.31496062000000002" footer="0.31496062000000002"/>
  <pageSetup paperSize="9" orientation="portrait" r:id="rId1"/>
  <ignoredErrors>
    <ignoredError sqref="K9:K10" calculatedColumn="1"/>
  </ignoredErrors>
  <drawing r:id="rId2"/>
  <legacyDrawing r:id="rId3"/>
  <tableParts count="1"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B1:D25"/>
  <sheetViews>
    <sheetView showGridLines="0" showRowColHeaders="0" zoomScaleNormal="100" workbookViewId="0">
      <selection activeCell="B2" sqref="B2:D2"/>
    </sheetView>
  </sheetViews>
  <sheetFormatPr defaultRowHeight="14.25" x14ac:dyDescent="0.2"/>
  <cols>
    <col min="1" max="1" width="15.7109375" style="17" customWidth="1"/>
    <col min="2" max="2" width="6.42578125" style="193" customWidth="1"/>
    <col min="3" max="3" width="78" style="17" customWidth="1"/>
    <col min="4" max="4" width="14.28515625" style="17" customWidth="1"/>
    <col min="5" max="16384" width="9.140625" style="17"/>
  </cols>
  <sheetData>
    <row r="1" spans="2:4" ht="35.1" customHeight="1" x14ac:dyDescent="0.2"/>
    <row r="2" spans="2:4" ht="35.1" customHeight="1" x14ac:dyDescent="0.2">
      <c r="B2" s="430" t="s">
        <v>23</v>
      </c>
      <c r="C2" s="430"/>
      <c r="D2" s="430"/>
    </row>
    <row r="3" spans="2:4" s="18" customFormat="1" ht="35.1" customHeight="1" x14ac:dyDescent="0.2">
      <c r="B3" s="194"/>
      <c r="C3" s="4"/>
      <c r="D3" s="22" t="s">
        <v>45</v>
      </c>
    </row>
    <row r="4" spans="2:4" ht="15" customHeight="1" x14ac:dyDescent="0.2">
      <c r="B4" s="195" t="s">
        <v>195</v>
      </c>
      <c r="C4" s="181" t="s">
        <v>86</v>
      </c>
      <c r="D4" s="181" t="s">
        <v>82</v>
      </c>
    </row>
    <row r="5" spans="2:4" ht="15" x14ac:dyDescent="0.25">
      <c r="B5" s="196">
        <v>1</v>
      </c>
      <c r="C5" s="233" t="str">
        <f>IF(VLOOKUP(B5,PercentuaisFases[],VLOOKUP(Fornecedor,MapFasesFornecedores[#All],2,FALSE),FALSE)=0,"",VLOOKUP(B5,PercentuaisFases[],VLOOKUP(Fornecedor,MapFasesFornecedores[#All],2,FALSE),FALSE))</f>
        <v>Visão da Solução</v>
      </c>
      <c r="D5" s="234">
        <f>IF(C5="","",VLOOKUP(B5,PercentuaisFases[],VLOOKUP(Fornecedor,MapFasesFornecedores[#All],3,FALSE),FALSE))</f>
        <v>0.04</v>
      </c>
    </row>
    <row r="6" spans="2:4" x14ac:dyDescent="0.2">
      <c r="B6" s="197" t="s">
        <v>196</v>
      </c>
      <c r="C6" s="235" t="str">
        <f>IF(VLOOKUP(B6,PercentuaisFases[],VLOOKUP(Fornecedor,MapFasesFornecedores[#All],2,FALSE),FALSE)=0,"",VLOOKUP(B6,PercentuaisFases[],VLOOKUP(Fornecedor,MapFasesFornecedores[#All],2,FALSE),FALSE))</f>
        <v>Visão da Solução</v>
      </c>
      <c r="D6" s="236">
        <f>IF(C6="","",VLOOKUP(B6,PercentuaisFases[],VLOOKUP(Fornecedor,MapFasesFornecedores[#All],3,FALSE),FALSE))</f>
        <v>0.04</v>
      </c>
    </row>
    <row r="7" spans="2:4" ht="15" x14ac:dyDescent="0.25">
      <c r="B7" s="196">
        <v>2</v>
      </c>
      <c r="C7" s="233" t="str">
        <f>IF(VLOOKUP(B7,PercentuaisFases[],VLOOKUP(Fornecedor,MapFasesFornecedores[#All],2,FALSE),FALSE)=0,"",VLOOKUP(B7,PercentuaisFases[],VLOOKUP(Fornecedor,MapFasesFornecedores[#All],2,FALSE),FALSE))</f>
        <v>Desenho da Solução</v>
      </c>
      <c r="D7" s="234">
        <f>IF(C7="","",VLOOKUP(B7,PercentuaisFases[],VLOOKUP(Fornecedor,MapFasesFornecedores[#All],3,FALSE),FALSE))</f>
        <v>0.16</v>
      </c>
    </row>
    <row r="8" spans="2:4" x14ac:dyDescent="0.2">
      <c r="B8" s="197" t="s">
        <v>197</v>
      </c>
      <c r="C8" s="235" t="str">
        <f>IF(VLOOKUP(B8,PercentuaisFases[],VLOOKUP(Fornecedor,MapFasesFornecedores[#All],2,FALSE),FALSE)=0,"",VLOOKUP(B8,PercentuaisFases[],VLOOKUP(Fornecedor,MapFasesFornecedores[#All],2,FALSE),FALSE))</f>
        <v>Desenho e Descritivo da Solução (Especificação com ou sem Caso de Uso)</v>
      </c>
      <c r="D8" s="236">
        <f>IF(C8="","",VLOOKUP(B8,PercentuaisFases[],VLOOKUP(Fornecedor,MapFasesFornecedores[#All],3,FALSE),FALSE))</f>
        <v>0.16</v>
      </c>
    </row>
    <row r="9" spans="2:4" x14ac:dyDescent="0.2">
      <c r="B9" s="197" t="s">
        <v>198</v>
      </c>
      <c r="C9" s="235" t="str">
        <f>IF(VLOOKUP(B9,PercentuaisFases[],VLOOKUP(Fornecedor,MapFasesFornecedores[#All],2,FALSE),FALSE)=0,"",VLOOKUP(B9,PercentuaisFases[],VLOOKUP(Fornecedor,MapFasesFornecedores[#All],2,FALSE),FALSE))</f>
        <v>Participação Pontual no Desenho da Solução</v>
      </c>
      <c r="D9" s="236">
        <f>IF(C9="","",VLOOKUP(B9,PercentuaisFases[],VLOOKUP(Fornecedor,MapFasesFornecedores[#All],3,FALSE),FALSE))</f>
        <v>0.04</v>
      </c>
    </row>
    <row r="10" spans="2:4" ht="15" x14ac:dyDescent="0.25">
      <c r="B10" s="196">
        <v>3</v>
      </c>
      <c r="C10" s="233" t="str">
        <f>IF(VLOOKUP(B10,PercentuaisFases[],VLOOKUP(Fornecedor,MapFasesFornecedores[#All],2,FALSE),FALSE)=0,"",VLOOKUP(B10,PercentuaisFases[],VLOOKUP(Fornecedor,MapFasesFornecedores[#All],2,FALSE),FALSE))</f>
        <v>Construção / Desenho Técnico / Teste</v>
      </c>
      <c r="D10" s="234">
        <f>IF(C10="","",VLOOKUP(B10,PercentuaisFases[],VLOOKUP(Fornecedor,MapFasesFornecedores[#All],3,FALSE),FALSE))</f>
        <v>0.70499999999999996</v>
      </c>
    </row>
    <row r="11" spans="2:4" ht="63.75" x14ac:dyDescent="0.2">
      <c r="B11" s="197" t="s">
        <v>199</v>
      </c>
      <c r="C11" s="235" t="str">
        <f>IF(VLOOKUP(B11,PercentuaisFases[],VLOOKUP(Fornecedor,MapFasesFornecedores[#All],2,FALSE),FALSE)=0,"",VLOOKUP(B11,PercentuaisFases[],VLOOKUP(Fornecedor,MapFasesFornecedores[#All],2,FALSE),FALSE))</f>
        <v xml:space="preserve">Planilha de Interfaces (Data Mapping) / Construção e Teste Unitário / Especificação Técnica e Especificação dos Serviços / Modelo de dados / Merge / Migração para os ambientes / Teste de Sistema (Plano, execução e geração de evidências) / Suporte a testes (sistemas com impacto em desenvolvimento) / Manual de Operações / Runbook / Simproc  </v>
      </c>
      <c r="D11" s="236">
        <f>IF(C11="","",VLOOKUP(B11,PercentuaisFases[],VLOOKUP(Fornecedor,MapFasesFornecedores[#All],3,FALSE),FALSE))</f>
        <v>0.70499999999999996</v>
      </c>
    </row>
    <row r="12" spans="2:4" ht="15" x14ac:dyDescent="0.25">
      <c r="B12" s="196">
        <v>4</v>
      </c>
      <c r="C12" s="233" t="str">
        <f>IF(VLOOKUP(B12,PercentuaisFases[],VLOOKUP(Fornecedor,MapFasesFornecedores[#All],2,FALSE),FALSE)=0,"",VLOOKUP(B12,PercentuaisFases[],VLOOKUP(Fornecedor,MapFasesFornecedores[#All],2,FALSE),FALSE))</f>
        <v>Testes Integrados / UAT</v>
      </c>
      <c r="D12" s="234">
        <f>IF(C12="","",VLOOKUP(B12,PercentuaisFases[],VLOOKUP(Fornecedor,MapFasesFornecedores[#All],3,FALSE),FALSE))</f>
        <v>0.08</v>
      </c>
    </row>
    <row r="13" spans="2:4" x14ac:dyDescent="0.2">
      <c r="B13" s="197" t="s">
        <v>200</v>
      </c>
      <c r="C13" s="235" t="str">
        <f>IF(VLOOKUP(B13,PercentuaisFases[],VLOOKUP(Fornecedor,MapFasesFornecedores[#All],2,FALSE),FALSE)=0,"",VLOOKUP(B13,PercentuaisFases[],VLOOKUP(Fornecedor,MapFasesFornecedores[#All],2,FALSE),FALSE))</f>
        <v>Teste Integrado (Plano, Execução e Geração de Evidências)</v>
      </c>
      <c r="D13" s="236">
        <f>IF(C13="","",VLOOKUP(B13,PercentuaisFases[],VLOOKUP(Fornecedor,MapFasesFornecedores[#All],3,FALSE),FALSE))</f>
        <v>0.05</v>
      </c>
    </row>
    <row r="14" spans="2:4" x14ac:dyDescent="0.2">
      <c r="B14" s="197" t="s">
        <v>201</v>
      </c>
      <c r="C14" s="235" t="str">
        <f>IF(VLOOKUP(B14,PercentuaisFases[],VLOOKUP(Fornecedor,MapFasesFornecedores[#All],2,FALSE),FALSE)=0,"",VLOOKUP(B14,PercentuaisFases[],VLOOKUP(Fornecedor,MapFasesFornecedores[#All],2,FALSE),FALSE))</f>
        <v>UAT (Plano, Execução, Geração e Apresentação de Evidências)</v>
      </c>
      <c r="D14" s="236">
        <f>IF(C14="","",VLOOKUP(B14,PercentuaisFases[],VLOOKUP(Fornecedor,MapFasesFornecedores[#All],3,FALSE),FALSE))</f>
        <v>0.03</v>
      </c>
    </row>
    <row r="15" spans="2:4" ht="15" x14ac:dyDescent="0.25">
      <c r="B15" s="196">
        <v>5</v>
      </c>
      <c r="C15" s="233" t="str">
        <f>IF(VLOOKUP(B15,PercentuaisFases[],VLOOKUP(Fornecedor,MapFasesFornecedores[#All],2,FALSE),FALSE)=0,"",VLOOKUP(B15,PercentuaisFases[],VLOOKUP(Fornecedor,MapFasesFornecedores[#All],2,FALSE),FALSE))</f>
        <v>Implantação</v>
      </c>
      <c r="D15" s="234">
        <f>IF(C15="","",VLOOKUP(B15,PercentuaisFases[],VLOOKUP(Fornecedor,MapFasesFornecedores[#All],3,FALSE),FALSE))</f>
        <v>5.5E-2</v>
      </c>
    </row>
    <row r="16" spans="2:4" x14ac:dyDescent="0.2">
      <c r="B16" s="197" t="s">
        <v>202</v>
      </c>
      <c r="C16" s="235" t="str">
        <f>IF(VLOOKUP(B16,PercentuaisFases[],VLOOKUP(Fornecedor,MapFasesFornecedores[#All],2,FALSE),FALSE)=0,"",VLOOKUP(B16,PercentuaisFases[],VLOOKUP(Fornecedor,MapFasesFornecedores[#All],2,FALSE),FALSE))</f>
        <v>Implantação Padrão</v>
      </c>
      <c r="D16" s="236">
        <f>IF(C16="","",VLOOKUP(B16,PercentuaisFases[],VLOOKUP(Fornecedor,MapFasesFornecedores[#All],3,FALSE),FALSE))</f>
        <v>0.03</v>
      </c>
    </row>
    <row r="17" spans="2:4" x14ac:dyDescent="0.2">
      <c r="B17" s="197" t="s">
        <v>203</v>
      </c>
      <c r="C17" s="235" t="str">
        <f>IF(VLOOKUP(B17,PercentuaisFases[],VLOOKUP(Fornecedor,MapFasesFornecedores[#All],2,FALSE),FALSE)=0,"",VLOOKUP(B17,PercentuaisFases[],VLOOKUP(Fornecedor,MapFasesFornecedores[#All],2,FALSE),FALSE))</f>
        <v>Shakeout</v>
      </c>
      <c r="D17" s="236">
        <f>IF(C17="","",VLOOKUP(B17,PercentuaisFases[],VLOOKUP(Fornecedor,MapFasesFornecedores[#All],3,FALSE),FALSE))</f>
        <v>2.5000000000000001E-2</v>
      </c>
    </row>
    <row r="18" spans="2:4" s="128" customFormat="1" x14ac:dyDescent="0.2">
      <c r="B18" s="198"/>
      <c r="C18" s="237"/>
      <c r="D18" s="231"/>
    </row>
    <row r="19" spans="2:4" s="128" customFormat="1" x14ac:dyDescent="0.2">
      <c r="B19" s="195" t="s">
        <v>195</v>
      </c>
      <c r="C19" s="138" t="s">
        <v>233</v>
      </c>
      <c r="D19" s="232" t="s">
        <v>82</v>
      </c>
    </row>
    <row r="20" spans="2:4" ht="15" x14ac:dyDescent="0.25">
      <c r="B20" s="196">
        <v>6</v>
      </c>
      <c r="C20" s="233" t="str">
        <f>IF(VLOOKUP(B20,PercentuaisFases[],VLOOKUP(Fornecedor,MapFasesFornecedores[#All],2,FALSE),FALSE)=0,"",VLOOKUP(B20,PercentuaisFases[],VLOOKUP(Fornecedor,MapFasesFornecedores[#All],2,FALSE),FALSE))</f>
        <v>Ciclos e/ou Sites Extras</v>
      </c>
      <c r="D20" s="234">
        <f>IF(C20="","",VLOOKUP(B20,PercentuaisFases[],VLOOKUP(Fornecedor,MapFasesFornecedores[#All],3,FALSE),FALSE))</f>
        <v>0</v>
      </c>
    </row>
    <row r="21" spans="2:4" x14ac:dyDescent="0.2">
      <c r="B21" s="199" t="s">
        <v>204</v>
      </c>
      <c r="C21" s="235" t="str">
        <f>IF(VLOOKUP(B21,PercentuaisFases[],VLOOKUP(Fornecedor,MapFasesFornecedores[#All],2,FALSE),FALSE)=0,"",VLOOKUP(B21,PercentuaisFases[],VLOOKUP(Fornecedor,MapFasesFornecedores[#All],2,FALSE),FALSE))</f>
        <v xml:space="preserve">Teste Integrado (entre fornecedores distintos) </v>
      </c>
      <c r="D21" s="236">
        <f>IF(C21="","",VLOOKUP(B21,PercentuaisFases[],VLOOKUP(Fornecedor,MapFasesFornecedores[#All],3,FALSE),FALSE))</f>
        <v>0.05</v>
      </c>
    </row>
    <row r="22" spans="2:4" x14ac:dyDescent="0.2">
      <c r="B22" s="199" t="s">
        <v>205</v>
      </c>
      <c r="C22" s="235" t="str">
        <f>IF(VLOOKUP(B22,PercentuaisFases[],VLOOKUP(Fornecedor,MapFasesFornecedores[#All],2,FALSE),FALSE)=0,"",VLOOKUP(B22,PercentuaisFases[],VLOOKUP(Fornecedor,MapFasesFornecedores[#All],2,FALSE),FALSE))</f>
        <v>UAT</v>
      </c>
      <c r="D22" s="236">
        <f>IF(C22="","",VLOOKUP(B22,PercentuaisFases[],VLOOKUP(Fornecedor,MapFasesFornecedores[#All],3,FALSE),FALSE))</f>
        <v>0.03</v>
      </c>
    </row>
    <row r="23" spans="2:4" x14ac:dyDescent="0.2">
      <c r="B23" s="199" t="s">
        <v>275</v>
      </c>
      <c r="C23" s="235" t="str">
        <f>IF(VLOOKUP(B23,PercentuaisFases[],VLOOKUP(Fornecedor,MapFasesFornecedores[#All],2,FALSE),FALSE)=0,"",VLOOKUP(B23,PercentuaisFases[],VLOOKUP(Fornecedor,MapFasesFornecedores[#All],2,FALSE),FALSE))</f>
        <v>Teste de Sistema</v>
      </c>
      <c r="D23" s="236">
        <f>IF(C23="","",VLOOKUP(B23,PercentuaisFases[],VLOOKUP(Fornecedor,MapFasesFornecedores[#All],3,FALSE),FALSE))</f>
        <v>7.0000000000000007E-2</v>
      </c>
    </row>
    <row r="24" spans="2:4" ht="15" x14ac:dyDescent="0.25">
      <c r="B24" s="196">
        <v>7</v>
      </c>
      <c r="C24" s="233" t="str">
        <f>IF(VLOOKUP(B24,PercentuaisFases[],VLOOKUP(Fornecedor,MapFasesFornecedores[#All],2,FALSE),FALSE)=0,"",VLOOKUP(B24,PercentuaisFases[],VLOOKUP(Fornecedor,MapFasesFornecedores[#All],2,FALSE),FALSE))</f>
        <v>Gestão</v>
      </c>
      <c r="D24" s="234">
        <f>IF(C24="","",VLOOKUP(B24,PercentuaisFases[],VLOOKUP(Fornecedor,MapFasesFornecedores[#All],3,FALSE),FALSE))</f>
        <v>0</v>
      </c>
    </row>
    <row r="25" spans="2:4" x14ac:dyDescent="0.2">
      <c r="B25" s="199" t="s">
        <v>206</v>
      </c>
      <c r="C25" s="235" t="str">
        <f>IF(VLOOKUP(B25,PercentuaisFases[],VLOOKUP(Fornecedor,MapFasesFornecedores[#All],2,FALSE),FALSE)=0,"",VLOOKUP(B25,PercentuaisFases[],VLOOKUP(Fornecedor,MapFasesFornecedores[#All],2,FALSE),FALSE))</f>
        <v>Gestão</v>
      </c>
      <c r="D25" s="236">
        <f>IF(C25="","",VLOOKUP(B25,PercentuaisFases[],VLOOKUP(Fornecedor,MapFasesFornecedores[#All],3,FALSE),FALSE))</f>
        <v>0.18</v>
      </c>
    </row>
  </sheetData>
  <sheetProtection algorithmName="SHA-512" hashValue="OPfGmiepkBTrCD4vjzfX11LzqheLE63a4yG7eOEJnnuComWkLFAp0ytZCNg7L5pZ66bARvJ2qFJE+unLjxbzZQ==" saltValue="Paby8/dV3jlhMvi+Xg4qSg==" spinCount="100000" sheet="1" objects="1" scenarios="1"/>
  <mergeCells count="1">
    <mergeCell ref="B2:D2"/>
  </mergeCells>
  <phoneticPr fontId="0" type="noConversion"/>
  <hyperlinks>
    <hyperlink ref="D3" location="Resumo!C12" display="&lt;&lt; Voltar para RESUMO"/>
  </hyperlink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FF00"/>
  </sheetPr>
  <dimension ref="B1:O40"/>
  <sheetViews>
    <sheetView showGridLines="0" showRowColHeaders="0" zoomScaleNormal="100" workbookViewId="0">
      <selection activeCell="B2" sqref="B2:H2"/>
    </sheetView>
  </sheetViews>
  <sheetFormatPr defaultRowHeight="14.25" x14ac:dyDescent="0.2"/>
  <cols>
    <col min="1" max="1" width="9.140625" style="17"/>
    <col min="2" max="2" width="65.85546875" style="17" bestFit="1" customWidth="1"/>
    <col min="3" max="3" width="18.42578125" style="17" bestFit="1" customWidth="1"/>
    <col min="4" max="5" width="18.42578125" style="17" customWidth="1"/>
    <col min="6" max="6" width="17.28515625" style="17" bestFit="1" customWidth="1"/>
    <col min="7" max="7" width="14" style="17" bestFit="1" customWidth="1"/>
    <col min="8" max="8" width="34.28515625" style="17" bestFit="1" customWidth="1"/>
    <col min="9" max="9" width="32" style="17" bestFit="1" customWidth="1"/>
    <col min="10" max="10" width="28.140625" style="17" bestFit="1" customWidth="1"/>
    <col min="11" max="11" width="23.85546875" style="17" bestFit="1" customWidth="1"/>
    <col min="12" max="12" width="18.85546875" style="17" bestFit="1" customWidth="1"/>
    <col min="13" max="14" width="9.140625" style="17"/>
    <col min="15" max="15" width="9.42578125" style="17" hidden="1" customWidth="1"/>
    <col min="16" max="16384" width="9.140625" style="17"/>
  </cols>
  <sheetData>
    <row r="1" spans="2:15" ht="35.1" customHeight="1" x14ac:dyDescent="0.2"/>
    <row r="2" spans="2:15" ht="35.1" customHeight="1" x14ac:dyDescent="0.2">
      <c r="B2" s="430" t="s">
        <v>22</v>
      </c>
      <c r="C2" s="430"/>
      <c r="D2" s="430"/>
      <c r="E2" s="430"/>
      <c r="F2" s="430"/>
      <c r="G2" s="430"/>
      <c r="H2" s="430"/>
    </row>
    <row r="3" spans="2:15" s="18" customFormat="1" ht="35.1" customHeight="1" x14ac:dyDescent="0.2">
      <c r="B3" s="4"/>
      <c r="H3" s="21" t="s">
        <v>45</v>
      </c>
      <c r="O3" s="168"/>
    </row>
    <row r="4" spans="2:15" ht="25.5" x14ac:dyDescent="0.2">
      <c r="B4" s="44" t="s">
        <v>228</v>
      </c>
      <c r="C4" s="54" t="s">
        <v>452</v>
      </c>
      <c r="D4" s="401" t="s">
        <v>453</v>
      </c>
      <c r="E4" s="413" t="s">
        <v>473</v>
      </c>
      <c r="F4" s="54" t="s">
        <v>175</v>
      </c>
      <c r="G4" s="45" t="s">
        <v>141</v>
      </c>
      <c r="H4" s="43" t="s">
        <v>142</v>
      </c>
      <c r="I4" s="130" t="s">
        <v>224</v>
      </c>
      <c r="J4" s="274" t="s">
        <v>386</v>
      </c>
      <c r="K4" s="133" t="s">
        <v>226</v>
      </c>
      <c r="L4" s="145" t="s">
        <v>254</v>
      </c>
      <c r="O4" s="169"/>
    </row>
    <row r="5" spans="2:15" x14ac:dyDescent="0.2">
      <c r="B5" s="146" t="s">
        <v>285</v>
      </c>
      <c r="C5" s="182">
        <f>ROUND(21.745,2)</f>
        <v>21.75</v>
      </c>
      <c r="D5" s="182">
        <f>Produtividades[[#This Row],[Produtividade Inclusão]]</f>
        <v>21.75</v>
      </c>
      <c r="E5" s="182">
        <f>Produtividades[[#This Row],[Produtividade Inclusão]]</f>
        <v>21.75</v>
      </c>
      <c r="F5" s="183">
        <v>144.79</v>
      </c>
      <c r="G5" s="47" t="s">
        <v>140</v>
      </c>
      <c r="H5" s="46" t="s">
        <v>494</v>
      </c>
      <c r="I5" s="182"/>
      <c r="J5" s="182"/>
      <c r="K5" s="134" t="s">
        <v>165</v>
      </c>
      <c r="L5" s="182" t="b">
        <v>1</v>
      </c>
    </row>
    <row r="6" spans="2:15" x14ac:dyDescent="0.2">
      <c r="B6" s="146" t="s">
        <v>282</v>
      </c>
      <c r="C6" s="182">
        <v>0</v>
      </c>
      <c r="D6" s="182">
        <v>0</v>
      </c>
      <c r="E6" s="182">
        <f>Produtividades[[#This Row],[Produtividade Inclusão]]</f>
        <v>0</v>
      </c>
      <c r="F6" s="183">
        <v>177.51</v>
      </c>
      <c r="G6" s="47" t="s">
        <v>269</v>
      </c>
      <c r="H6" s="46" t="s">
        <v>494</v>
      </c>
      <c r="I6" s="182"/>
      <c r="J6" s="182"/>
      <c r="K6" s="134" t="s">
        <v>165</v>
      </c>
      <c r="L6" s="182" t="b">
        <v>1</v>
      </c>
    </row>
    <row r="7" spans="2:15" x14ac:dyDescent="0.2">
      <c r="B7" s="146" t="s">
        <v>283</v>
      </c>
      <c r="C7" s="182">
        <v>20.86</v>
      </c>
      <c r="D7" s="182">
        <f>Produtividades[[#This Row],[Produtividade Inclusão]]</f>
        <v>20.86</v>
      </c>
      <c r="E7" s="182">
        <f>Produtividades[[#This Row],[Produtividade Inclusão]]</f>
        <v>20.86</v>
      </c>
      <c r="F7" s="183">
        <v>177.51</v>
      </c>
      <c r="G7" s="47" t="s">
        <v>140</v>
      </c>
      <c r="H7" s="46" t="s">
        <v>494</v>
      </c>
      <c r="I7" s="182"/>
      <c r="J7" s="182"/>
      <c r="K7" s="134" t="s">
        <v>165</v>
      </c>
      <c r="L7" s="182" t="b">
        <v>1</v>
      </c>
    </row>
    <row r="8" spans="2:15" x14ac:dyDescent="0.2">
      <c r="B8" s="146" t="s">
        <v>284</v>
      </c>
      <c r="C8" s="182">
        <f>ROUND(21.745,2)</f>
        <v>21.75</v>
      </c>
      <c r="D8" s="182">
        <f>Produtividades[[#This Row],[Produtividade Inclusão]]</f>
        <v>21.75</v>
      </c>
      <c r="E8" s="182">
        <f>Produtividades[[#This Row],[Produtividade Inclusão]]</f>
        <v>21.75</v>
      </c>
      <c r="F8" s="183">
        <v>144.79</v>
      </c>
      <c r="G8" s="47" t="s">
        <v>140</v>
      </c>
      <c r="H8" s="46" t="s">
        <v>494</v>
      </c>
      <c r="I8" s="182"/>
      <c r="J8" s="182"/>
      <c r="K8" s="134" t="s">
        <v>165</v>
      </c>
      <c r="L8" s="182" t="b">
        <v>1</v>
      </c>
    </row>
    <row r="9" spans="2:15" x14ac:dyDescent="0.2">
      <c r="B9" s="146" t="s">
        <v>286</v>
      </c>
      <c r="C9" s="182">
        <v>0</v>
      </c>
      <c r="D9" s="182">
        <v>0</v>
      </c>
      <c r="E9" s="182">
        <f>Produtividades[[#This Row],[Produtividade Inclusão]]</f>
        <v>0</v>
      </c>
      <c r="F9" s="183">
        <v>144.79</v>
      </c>
      <c r="G9" s="47" t="s">
        <v>269</v>
      </c>
      <c r="H9" s="46" t="s">
        <v>494</v>
      </c>
      <c r="I9" s="182"/>
      <c r="J9" s="182"/>
      <c r="K9" s="134" t="s">
        <v>165</v>
      </c>
      <c r="L9" s="182" t="b">
        <v>1</v>
      </c>
    </row>
    <row r="10" spans="2:15" x14ac:dyDescent="0.2">
      <c r="B10" s="146" t="s">
        <v>287</v>
      </c>
      <c r="C10" s="182">
        <f>ROUND(21.745,2)</f>
        <v>21.75</v>
      </c>
      <c r="D10" s="182">
        <f>Produtividades[[#This Row],[Produtividade Inclusão]]</f>
        <v>21.75</v>
      </c>
      <c r="E10" s="182">
        <f>Produtividades[[#This Row],[Produtividade Inclusão]]</f>
        <v>21.75</v>
      </c>
      <c r="F10" s="183">
        <v>144.79</v>
      </c>
      <c r="G10" s="47" t="s">
        <v>140</v>
      </c>
      <c r="H10" s="46" t="s">
        <v>494</v>
      </c>
      <c r="I10" s="182"/>
      <c r="J10" s="182"/>
      <c r="K10" s="134" t="s">
        <v>165</v>
      </c>
      <c r="L10" s="182" t="b">
        <v>1</v>
      </c>
    </row>
    <row r="11" spans="2:15" x14ac:dyDescent="0.2">
      <c r="B11" s="146" t="s">
        <v>288</v>
      </c>
      <c r="C11" s="182">
        <v>0</v>
      </c>
      <c r="D11" s="182">
        <v>0</v>
      </c>
      <c r="E11" s="182">
        <f>Produtividades[[#This Row],[Produtividade Inclusão]]</f>
        <v>0</v>
      </c>
      <c r="F11" s="183">
        <v>177.51</v>
      </c>
      <c r="G11" s="47" t="s">
        <v>269</v>
      </c>
      <c r="H11" s="46" t="s">
        <v>494</v>
      </c>
      <c r="I11" s="182"/>
      <c r="J11" s="182"/>
      <c r="K11" s="134" t="s">
        <v>165</v>
      </c>
      <c r="L11" s="182" t="b">
        <v>1</v>
      </c>
    </row>
    <row r="12" spans="2:15" x14ac:dyDescent="0.2">
      <c r="B12" s="146" t="s">
        <v>289</v>
      </c>
      <c r="C12" s="182">
        <v>19.079999999999998</v>
      </c>
      <c r="D12" s="182">
        <f>Produtividades[[#This Row],[Produtividade Inclusão]]</f>
        <v>19.079999999999998</v>
      </c>
      <c r="E12" s="182">
        <f>Produtividades[[#This Row],[Produtividade Inclusão]]</f>
        <v>19.079999999999998</v>
      </c>
      <c r="F12" s="183">
        <v>177.51</v>
      </c>
      <c r="G12" s="47" t="s">
        <v>140</v>
      </c>
      <c r="H12" s="46" t="s">
        <v>494</v>
      </c>
      <c r="I12" s="182" t="s">
        <v>315</v>
      </c>
      <c r="J12" s="182"/>
      <c r="K12" s="134" t="s">
        <v>165</v>
      </c>
      <c r="L12" s="182" t="b">
        <v>1</v>
      </c>
    </row>
    <row r="13" spans="2:15" x14ac:dyDescent="0.2">
      <c r="B13" s="146" t="s">
        <v>290</v>
      </c>
      <c r="C13" s="182">
        <v>25.73</v>
      </c>
      <c r="D13" s="182">
        <f>Produtividades[[#This Row],[Produtividade Inclusão]]</f>
        <v>25.73</v>
      </c>
      <c r="E13" s="182">
        <f>Produtividades[[#This Row],[Produtividade Inclusão]]</f>
        <v>25.73</v>
      </c>
      <c r="F13" s="183">
        <v>177.51</v>
      </c>
      <c r="G13" s="47" t="s">
        <v>140</v>
      </c>
      <c r="H13" s="46" t="s">
        <v>494</v>
      </c>
      <c r="I13" s="182"/>
      <c r="J13" s="182"/>
      <c r="K13" s="134" t="s">
        <v>165</v>
      </c>
      <c r="L13" s="182" t="b">
        <v>1</v>
      </c>
    </row>
    <row r="14" spans="2:15" x14ac:dyDescent="0.2">
      <c r="B14" s="146" t="s">
        <v>291</v>
      </c>
      <c r="C14" s="182">
        <v>25.73</v>
      </c>
      <c r="D14" s="182">
        <f>Produtividades[[#This Row],[Produtividade Inclusão]]</f>
        <v>25.73</v>
      </c>
      <c r="E14" s="182">
        <f>Produtividades[[#This Row],[Produtividade Inclusão]]</f>
        <v>25.73</v>
      </c>
      <c r="F14" s="183">
        <v>177.51</v>
      </c>
      <c r="G14" s="47" t="s">
        <v>140</v>
      </c>
      <c r="H14" s="46" t="s">
        <v>494</v>
      </c>
      <c r="I14" s="182"/>
      <c r="J14" s="182"/>
      <c r="K14" s="134" t="s">
        <v>165</v>
      </c>
      <c r="L14" s="182" t="b">
        <v>1</v>
      </c>
    </row>
    <row r="15" spans="2:15" x14ac:dyDescent="0.2">
      <c r="B15" s="146" t="s">
        <v>328</v>
      </c>
      <c r="C15" s="182">
        <v>22.75</v>
      </c>
      <c r="D15" s="182">
        <v>17.5</v>
      </c>
      <c r="E15" s="182">
        <v>22.75</v>
      </c>
      <c r="F15" s="183">
        <v>196.24</v>
      </c>
      <c r="G15" s="47" t="s">
        <v>140</v>
      </c>
      <c r="H15" s="46" t="s">
        <v>494</v>
      </c>
      <c r="I15" s="182"/>
      <c r="J15" s="182"/>
      <c r="K15" s="134" t="s">
        <v>165</v>
      </c>
      <c r="L15" s="182" t="b">
        <v>1</v>
      </c>
    </row>
    <row r="16" spans="2:15" x14ac:dyDescent="0.2">
      <c r="B16" s="146" t="s">
        <v>292</v>
      </c>
      <c r="C16" s="182">
        <v>0</v>
      </c>
      <c r="D16" s="182">
        <v>0</v>
      </c>
      <c r="E16" s="182">
        <f>Produtividades[[#This Row],[Produtividade Inclusão]]</f>
        <v>0</v>
      </c>
      <c r="F16" s="183">
        <v>144.79</v>
      </c>
      <c r="G16" s="47" t="s">
        <v>269</v>
      </c>
      <c r="H16" s="46" t="s">
        <v>494</v>
      </c>
      <c r="I16" s="182"/>
      <c r="J16" s="182"/>
      <c r="K16" s="134" t="s">
        <v>165</v>
      </c>
      <c r="L16" s="182" t="b">
        <v>1</v>
      </c>
    </row>
    <row r="17" spans="2:12" x14ac:dyDescent="0.2">
      <c r="B17" s="146" t="s">
        <v>293</v>
      </c>
      <c r="C17" s="182">
        <v>0</v>
      </c>
      <c r="D17" s="182">
        <v>0</v>
      </c>
      <c r="E17" s="182">
        <f>Produtividades[[#This Row],[Produtividade Inclusão]]</f>
        <v>0</v>
      </c>
      <c r="F17" s="183">
        <v>144.79</v>
      </c>
      <c r="G17" s="47" t="s">
        <v>269</v>
      </c>
      <c r="H17" s="46" t="s">
        <v>494</v>
      </c>
      <c r="I17" s="182"/>
      <c r="J17" s="182"/>
      <c r="K17" s="134" t="s">
        <v>165</v>
      </c>
      <c r="L17" s="182" t="b">
        <v>1</v>
      </c>
    </row>
    <row r="18" spans="2:12" x14ac:dyDescent="0.2">
      <c r="B18" s="146" t="s">
        <v>294</v>
      </c>
      <c r="C18" s="182">
        <v>0</v>
      </c>
      <c r="D18" s="182">
        <v>0</v>
      </c>
      <c r="E18" s="182">
        <f>Produtividades[[#This Row],[Produtividade Inclusão]]</f>
        <v>0</v>
      </c>
      <c r="F18" s="183">
        <v>177.51</v>
      </c>
      <c r="G18" s="47" t="s">
        <v>269</v>
      </c>
      <c r="H18" s="46" t="s">
        <v>494</v>
      </c>
      <c r="I18" s="182"/>
      <c r="J18" s="182"/>
      <c r="K18" s="134" t="s">
        <v>165</v>
      </c>
      <c r="L18" s="182" t="b">
        <v>1</v>
      </c>
    </row>
    <row r="19" spans="2:12" x14ac:dyDescent="0.2">
      <c r="B19" s="146" t="s">
        <v>295</v>
      </c>
      <c r="C19" s="182">
        <v>0</v>
      </c>
      <c r="D19" s="182">
        <v>0</v>
      </c>
      <c r="E19" s="182">
        <f>Produtividades[[#This Row],[Produtividade Inclusão]]</f>
        <v>0</v>
      </c>
      <c r="F19" s="183">
        <v>144.79</v>
      </c>
      <c r="G19" s="47" t="s">
        <v>269</v>
      </c>
      <c r="H19" s="46" t="s">
        <v>494</v>
      </c>
      <c r="I19" s="182"/>
      <c r="J19" s="182"/>
      <c r="K19" s="134" t="s">
        <v>165</v>
      </c>
      <c r="L19" s="182" t="b">
        <v>1</v>
      </c>
    </row>
    <row r="20" spans="2:12" x14ac:dyDescent="0.2">
      <c r="B20" s="146" t="s">
        <v>296</v>
      </c>
      <c r="C20" s="182">
        <v>0</v>
      </c>
      <c r="D20" s="182">
        <v>0</v>
      </c>
      <c r="E20" s="182">
        <f>Produtividades[[#This Row],[Produtividade Inclusão]]</f>
        <v>0</v>
      </c>
      <c r="F20" s="183">
        <v>144.79</v>
      </c>
      <c r="G20" s="47" t="s">
        <v>269</v>
      </c>
      <c r="H20" s="46" t="s">
        <v>494</v>
      </c>
      <c r="I20" s="182"/>
      <c r="J20" s="182"/>
      <c r="K20" s="134" t="s">
        <v>165</v>
      </c>
      <c r="L20" s="182" t="b">
        <v>1</v>
      </c>
    </row>
    <row r="21" spans="2:12" x14ac:dyDescent="0.2">
      <c r="B21" s="146" t="s">
        <v>464</v>
      </c>
      <c r="C21" s="182">
        <v>20.54</v>
      </c>
      <c r="D21" s="182">
        <v>17.440000000000001</v>
      </c>
      <c r="E21" s="182">
        <v>20.54</v>
      </c>
      <c r="F21" s="183">
        <v>177.51</v>
      </c>
      <c r="G21" s="47" t="s">
        <v>140</v>
      </c>
      <c r="H21" s="46" t="s">
        <v>494</v>
      </c>
      <c r="I21" s="182" t="s">
        <v>427</v>
      </c>
      <c r="J21" s="182" t="s">
        <v>429</v>
      </c>
      <c r="K21" s="134" t="s">
        <v>165</v>
      </c>
      <c r="L21" s="182" t="b">
        <v>1</v>
      </c>
    </row>
    <row r="22" spans="2:12" x14ac:dyDescent="0.2">
      <c r="B22" s="146" t="s">
        <v>465</v>
      </c>
      <c r="C22" s="182">
        <v>16.61</v>
      </c>
      <c r="D22" s="182">
        <v>10.95</v>
      </c>
      <c r="E22" s="182">
        <v>16.61</v>
      </c>
      <c r="F22" s="183">
        <v>177.51</v>
      </c>
      <c r="G22" s="47" t="s">
        <v>140</v>
      </c>
      <c r="H22" s="46" t="s">
        <v>494</v>
      </c>
      <c r="I22" s="182" t="s">
        <v>428</v>
      </c>
      <c r="J22" s="182" t="s">
        <v>430</v>
      </c>
      <c r="K22" s="134" t="s">
        <v>165</v>
      </c>
      <c r="L22" s="182" t="b">
        <v>1</v>
      </c>
    </row>
    <row r="23" spans="2:12" x14ac:dyDescent="0.2">
      <c r="B23" s="146" t="s">
        <v>297</v>
      </c>
      <c r="C23" s="182">
        <v>0</v>
      </c>
      <c r="D23" s="182">
        <v>0</v>
      </c>
      <c r="E23" s="182">
        <f>Produtividades[[#This Row],[Produtividade Inclusão]]</f>
        <v>0</v>
      </c>
      <c r="F23" s="183">
        <v>177.51</v>
      </c>
      <c r="G23" s="47" t="s">
        <v>269</v>
      </c>
      <c r="H23" s="46" t="s">
        <v>494</v>
      </c>
      <c r="I23" s="182"/>
      <c r="J23" s="182"/>
      <c r="K23" s="134" t="s">
        <v>165</v>
      </c>
      <c r="L23" s="182" t="b">
        <v>1</v>
      </c>
    </row>
    <row r="24" spans="2:12" x14ac:dyDescent="0.2">
      <c r="B24" s="146" t="s">
        <v>298</v>
      </c>
      <c r="C24" s="182">
        <v>0</v>
      </c>
      <c r="D24" s="182">
        <v>0</v>
      </c>
      <c r="E24" s="182">
        <f>Produtividades[[#This Row],[Produtividade Inclusão]]</f>
        <v>0</v>
      </c>
      <c r="F24" s="183">
        <v>144.79</v>
      </c>
      <c r="G24" s="47" t="s">
        <v>269</v>
      </c>
      <c r="H24" s="46" t="s">
        <v>494</v>
      </c>
      <c r="I24" s="182"/>
      <c r="J24" s="182"/>
      <c r="K24" s="134" t="s">
        <v>165</v>
      </c>
      <c r="L24" s="182" t="b">
        <v>1</v>
      </c>
    </row>
    <row r="25" spans="2:12" x14ac:dyDescent="0.2">
      <c r="B25" s="146" t="s">
        <v>299</v>
      </c>
      <c r="C25" s="182">
        <f>ROUND(19.455,2)</f>
        <v>19.46</v>
      </c>
      <c r="D25" s="182">
        <f>Produtividades[[#This Row],[Produtividade Inclusão]]</f>
        <v>19.46</v>
      </c>
      <c r="E25" s="182">
        <f>Produtividades[[#This Row],[Produtividade Inclusão]]</f>
        <v>19.46</v>
      </c>
      <c r="F25" s="183">
        <v>144.79</v>
      </c>
      <c r="G25" s="47" t="s">
        <v>140</v>
      </c>
      <c r="H25" s="46" t="s">
        <v>494</v>
      </c>
      <c r="I25" s="182"/>
      <c r="J25" s="182"/>
      <c r="K25" s="134" t="s">
        <v>165</v>
      </c>
      <c r="L25" s="182" t="b">
        <v>1</v>
      </c>
    </row>
    <row r="26" spans="2:12" x14ac:dyDescent="0.2">
      <c r="B26" s="146" t="s">
        <v>300</v>
      </c>
      <c r="C26" s="182">
        <f>ROUND(19.455,2)</f>
        <v>19.46</v>
      </c>
      <c r="D26" s="182">
        <f>Produtividades[[#This Row],[Produtividade Inclusão]]</f>
        <v>19.46</v>
      </c>
      <c r="E26" s="182">
        <f>Produtividades[[#This Row],[Produtividade Inclusão]]</f>
        <v>19.46</v>
      </c>
      <c r="F26" s="183">
        <v>144.79</v>
      </c>
      <c r="G26" s="47" t="s">
        <v>140</v>
      </c>
      <c r="H26" s="46" t="s">
        <v>494</v>
      </c>
      <c r="I26" s="182"/>
      <c r="J26" s="182"/>
      <c r="K26" s="134" t="s">
        <v>165</v>
      </c>
      <c r="L26" s="182" t="b">
        <v>1</v>
      </c>
    </row>
    <row r="27" spans="2:12" x14ac:dyDescent="0.2">
      <c r="B27" s="146" t="s">
        <v>301</v>
      </c>
      <c r="C27" s="182">
        <f>ROUND(15.925,2)</f>
        <v>15.93</v>
      </c>
      <c r="D27" s="182">
        <f>Produtividades[[#This Row],[Produtividade Inclusão]]</f>
        <v>15.93</v>
      </c>
      <c r="E27" s="182">
        <f>Produtividades[[#This Row],[Produtividade Inclusão]]</f>
        <v>15.93</v>
      </c>
      <c r="F27" s="183">
        <v>144.79</v>
      </c>
      <c r="G27" s="47" t="s">
        <v>140</v>
      </c>
      <c r="H27" s="46" t="s">
        <v>494</v>
      </c>
      <c r="I27" s="182"/>
      <c r="J27" s="182"/>
      <c r="K27" s="134" t="s">
        <v>165</v>
      </c>
      <c r="L27" s="182" t="b">
        <v>1</v>
      </c>
    </row>
    <row r="28" spans="2:12" x14ac:dyDescent="0.2">
      <c r="B28" s="146" t="s">
        <v>302</v>
      </c>
      <c r="C28" s="182">
        <v>19.29</v>
      </c>
      <c r="D28" s="182">
        <f>Produtividades[[#This Row],[Produtividade Inclusão]]</f>
        <v>19.29</v>
      </c>
      <c r="E28" s="182">
        <f>Produtividades[[#This Row],[Produtividade Inclusão]]</f>
        <v>19.29</v>
      </c>
      <c r="F28" s="183">
        <v>177.51</v>
      </c>
      <c r="G28" s="47" t="s">
        <v>140</v>
      </c>
      <c r="H28" s="46" t="s">
        <v>494</v>
      </c>
      <c r="I28" s="182" t="s">
        <v>315</v>
      </c>
      <c r="J28" s="182"/>
      <c r="K28" s="134" t="s">
        <v>165</v>
      </c>
      <c r="L28" s="182" t="b">
        <v>1</v>
      </c>
    </row>
    <row r="29" spans="2:12" x14ac:dyDescent="0.2">
      <c r="B29" s="146" t="s">
        <v>303</v>
      </c>
      <c r="C29" s="182">
        <v>19.29</v>
      </c>
      <c r="D29" s="182">
        <f>Produtividades[[#This Row],[Produtividade Inclusão]]</f>
        <v>19.29</v>
      </c>
      <c r="E29" s="182">
        <f>Produtividades[[#This Row],[Produtividade Inclusão]]</f>
        <v>19.29</v>
      </c>
      <c r="F29" s="183">
        <v>177.51</v>
      </c>
      <c r="G29" s="47" t="s">
        <v>140</v>
      </c>
      <c r="H29" s="46" t="s">
        <v>494</v>
      </c>
      <c r="I29" s="182" t="s">
        <v>315</v>
      </c>
      <c r="J29" s="182"/>
      <c r="K29" s="134" t="s">
        <v>165</v>
      </c>
      <c r="L29" s="182" t="b">
        <v>1</v>
      </c>
    </row>
    <row r="30" spans="2:12" x14ac:dyDescent="0.2">
      <c r="B30" s="146" t="s">
        <v>305</v>
      </c>
      <c r="C30" s="182">
        <v>19.079999999999998</v>
      </c>
      <c r="D30" s="182">
        <f>Produtividades[[#This Row],[Produtividade Inclusão]]</f>
        <v>19.079999999999998</v>
      </c>
      <c r="E30" s="182">
        <f>Produtividades[[#This Row],[Produtividade Inclusão]]</f>
        <v>19.079999999999998</v>
      </c>
      <c r="F30" s="183">
        <v>177.51</v>
      </c>
      <c r="G30" s="47" t="s">
        <v>140</v>
      </c>
      <c r="H30" s="46" t="s">
        <v>494</v>
      </c>
      <c r="I30" s="182" t="s">
        <v>315</v>
      </c>
      <c r="J30" s="182"/>
      <c r="K30" s="134" t="s">
        <v>165</v>
      </c>
      <c r="L30" s="182" t="b">
        <v>1</v>
      </c>
    </row>
    <row r="31" spans="2:12" x14ac:dyDescent="0.2">
      <c r="B31" s="146" t="s">
        <v>306</v>
      </c>
      <c r="C31" s="182">
        <v>0</v>
      </c>
      <c r="D31" s="182">
        <v>0</v>
      </c>
      <c r="E31" s="182">
        <f>Produtividades[[#This Row],[Produtividade Inclusão]]</f>
        <v>0</v>
      </c>
      <c r="F31" s="183">
        <v>177.51</v>
      </c>
      <c r="G31" s="47" t="s">
        <v>269</v>
      </c>
      <c r="H31" s="46" t="s">
        <v>494</v>
      </c>
      <c r="I31" s="182"/>
      <c r="J31" s="182"/>
      <c r="K31" s="134" t="s">
        <v>165</v>
      </c>
      <c r="L31" s="182" t="b">
        <v>1</v>
      </c>
    </row>
    <row r="32" spans="2:12" x14ac:dyDescent="0.2">
      <c r="B32" s="146" t="s">
        <v>304</v>
      </c>
      <c r="C32" s="182">
        <v>19.29</v>
      </c>
      <c r="D32" s="182">
        <f>Produtividades[[#This Row],[Produtividade Inclusão]]</f>
        <v>19.29</v>
      </c>
      <c r="E32" s="182">
        <f>Produtividades[[#This Row],[Produtividade Inclusão]]</f>
        <v>19.29</v>
      </c>
      <c r="F32" s="183">
        <v>177.51</v>
      </c>
      <c r="G32" s="47" t="s">
        <v>140</v>
      </c>
      <c r="H32" s="46" t="s">
        <v>494</v>
      </c>
      <c r="I32" s="182" t="s">
        <v>315</v>
      </c>
      <c r="J32" s="182"/>
      <c r="K32" s="134" t="s">
        <v>165</v>
      </c>
      <c r="L32" s="182" t="b">
        <v>1</v>
      </c>
    </row>
    <row r="33" spans="2:12" x14ac:dyDescent="0.2">
      <c r="B33" s="146" t="s">
        <v>307</v>
      </c>
      <c r="C33" s="182">
        <f>ROUND(21.745,2)</f>
        <v>21.75</v>
      </c>
      <c r="D33" s="182">
        <f>Produtividades[[#This Row],[Produtividade Inclusão]]</f>
        <v>21.75</v>
      </c>
      <c r="E33" s="182">
        <f>Produtividades[[#This Row],[Produtividade Inclusão]]</f>
        <v>21.75</v>
      </c>
      <c r="F33" s="183">
        <v>144.79</v>
      </c>
      <c r="G33" s="47" t="s">
        <v>140</v>
      </c>
      <c r="H33" s="46" t="s">
        <v>494</v>
      </c>
      <c r="I33" s="182"/>
      <c r="J33" s="182"/>
      <c r="K33" s="134" t="s">
        <v>165</v>
      </c>
      <c r="L33" s="182" t="b">
        <v>1</v>
      </c>
    </row>
    <row r="34" spans="2:12" x14ac:dyDescent="0.2">
      <c r="B34" s="146" t="s">
        <v>308</v>
      </c>
      <c r="C34" s="182">
        <v>0</v>
      </c>
      <c r="D34" s="182">
        <v>0</v>
      </c>
      <c r="E34" s="182">
        <f>Produtividades[[#This Row],[Produtividade Inclusão]]</f>
        <v>0</v>
      </c>
      <c r="F34" s="183">
        <v>144.79</v>
      </c>
      <c r="G34" s="47" t="s">
        <v>269</v>
      </c>
      <c r="H34" s="46" t="s">
        <v>494</v>
      </c>
      <c r="I34" s="182"/>
      <c r="J34" s="182"/>
      <c r="K34" s="134" t="s">
        <v>165</v>
      </c>
      <c r="L34" s="182" t="b">
        <v>1</v>
      </c>
    </row>
    <row r="35" spans="2:12" x14ac:dyDescent="0.2">
      <c r="B35" s="146" t="s">
        <v>313</v>
      </c>
      <c r="C35" s="182">
        <v>20.54</v>
      </c>
      <c r="D35" s="182">
        <v>17.440000000000001</v>
      </c>
      <c r="E35" s="182">
        <v>20.54</v>
      </c>
      <c r="F35" s="183">
        <v>177.51</v>
      </c>
      <c r="G35" s="47" t="s">
        <v>140</v>
      </c>
      <c r="H35" s="46" t="s">
        <v>494</v>
      </c>
      <c r="I35" s="182" t="s">
        <v>427</v>
      </c>
      <c r="J35" s="182" t="s">
        <v>429</v>
      </c>
      <c r="K35" s="134" t="s">
        <v>165</v>
      </c>
      <c r="L35" s="182" t="b">
        <v>1</v>
      </c>
    </row>
    <row r="36" spans="2:12" x14ac:dyDescent="0.2">
      <c r="B36" s="146" t="s">
        <v>312</v>
      </c>
      <c r="C36" s="182">
        <v>16.61</v>
      </c>
      <c r="D36" s="182">
        <v>10.95</v>
      </c>
      <c r="E36" s="182">
        <v>16.61</v>
      </c>
      <c r="F36" s="183">
        <v>177.51</v>
      </c>
      <c r="G36" s="47" t="s">
        <v>140</v>
      </c>
      <c r="H36" s="46" t="s">
        <v>494</v>
      </c>
      <c r="I36" s="182" t="s">
        <v>428</v>
      </c>
      <c r="J36" s="182" t="s">
        <v>430</v>
      </c>
      <c r="K36" s="134" t="s">
        <v>165</v>
      </c>
      <c r="L36" s="182" t="b">
        <v>1</v>
      </c>
    </row>
    <row r="37" spans="2:12" x14ac:dyDescent="0.2">
      <c r="B37" s="215" t="s">
        <v>309</v>
      </c>
      <c r="C37" s="182">
        <f>ROUND(21.745,2)</f>
        <v>21.75</v>
      </c>
      <c r="D37" s="182">
        <f>Produtividades[[#This Row],[Produtividade Inclusão]]</f>
        <v>21.75</v>
      </c>
      <c r="E37" s="182">
        <f>Produtividades[[#This Row],[Produtividade Inclusão]]</f>
        <v>21.75</v>
      </c>
      <c r="F37" s="183">
        <v>144.79</v>
      </c>
      <c r="G37" s="47" t="s">
        <v>140</v>
      </c>
      <c r="H37" s="46" t="s">
        <v>494</v>
      </c>
      <c r="I37" s="182"/>
      <c r="J37" s="182"/>
      <c r="K37" s="134" t="s">
        <v>165</v>
      </c>
      <c r="L37" s="182" t="b">
        <v>1</v>
      </c>
    </row>
    <row r="38" spans="2:12" x14ac:dyDescent="0.2">
      <c r="B38" s="215" t="s">
        <v>310</v>
      </c>
      <c r="C38" s="182">
        <f>ROUND(21.745,2)</f>
        <v>21.75</v>
      </c>
      <c r="D38" s="182">
        <f>Produtividades[[#This Row],[Produtividade Inclusão]]</f>
        <v>21.75</v>
      </c>
      <c r="E38" s="182">
        <f>Produtividades[[#This Row],[Produtividade Inclusão]]</f>
        <v>21.75</v>
      </c>
      <c r="F38" s="183">
        <v>144.79</v>
      </c>
      <c r="G38" s="47" t="s">
        <v>140</v>
      </c>
      <c r="H38" s="46" t="s">
        <v>494</v>
      </c>
      <c r="I38" s="182"/>
      <c r="J38" s="182"/>
      <c r="K38" s="134" t="s">
        <v>165</v>
      </c>
      <c r="L38" s="182" t="b">
        <v>1</v>
      </c>
    </row>
    <row r="39" spans="2:12" x14ac:dyDescent="0.2">
      <c r="B39" s="146" t="s">
        <v>314</v>
      </c>
      <c r="C39" s="182">
        <v>0</v>
      </c>
      <c r="D39" s="182">
        <v>0</v>
      </c>
      <c r="E39" s="182">
        <f>Produtividades[[#This Row],[Produtividade Inclusão]]</f>
        <v>0</v>
      </c>
      <c r="F39" s="183">
        <v>177.51</v>
      </c>
      <c r="G39" s="47" t="s">
        <v>269</v>
      </c>
      <c r="H39" s="46" t="s">
        <v>494</v>
      </c>
      <c r="I39" s="182"/>
      <c r="J39" s="182"/>
      <c r="K39" s="134" t="s">
        <v>165</v>
      </c>
      <c r="L39" s="182" t="b">
        <v>1</v>
      </c>
    </row>
    <row r="40" spans="2:12" x14ac:dyDescent="0.2">
      <c r="B40" s="190" t="s">
        <v>311</v>
      </c>
      <c r="C40" s="182">
        <v>0</v>
      </c>
      <c r="D40" s="182">
        <v>0</v>
      </c>
      <c r="E40" s="182">
        <f>Produtividades[[#This Row],[Produtividade Inclusão]]</f>
        <v>0</v>
      </c>
      <c r="F40" s="183">
        <v>144.79</v>
      </c>
      <c r="G40" s="47" t="s">
        <v>269</v>
      </c>
      <c r="H40" s="46" t="s">
        <v>494</v>
      </c>
      <c r="I40" s="46"/>
      <c r="J40" s="182"/>
      <c r="K40" s="134" t="s">
        <v>165</v>
      </c>
      <c r="L40" s="182" t="b">
        <v>1</v>
      </c>
    </row>
  </sheetData>
  <sheetProtection algorithmName="SHA-512" hashValue="3XOJe5cfr4RiGHVre4NoD4VZOtr+E5wh40GAng8MeBrKQMSPweOb75hjUoTMhqrhvkNSZwXydUGIxEjIR5h8fA==" saltValue="1RdytxZBSdX5Ugr30edSgQ==" spinCount="100000" sheet="1" objects="1" scenarios="1"/>
  <mergeCells count="1">
    <mergeCell ref="B2:H2"/>
  </mergeCells>
  <phoneticPr fontId="0" type="noConversion"/>
  <dataValidations count="2">
    <dataValidation type="list" allowBlank="1" showInputMessage="1" showErrorMessage="1" sqref="K5:K40 G5:H40">
      <formula1>INDIRECT(#REF!)</formula1>
    </dataValidation>
    <dataValidation type="list" allowBlank="1" showInputMessage="1" showErrorMessage="1" sqref="L5:L40">
      <formula1>True_False</formula1>
    </dataValidation>
  </dataValidations>
  <hyperlinks>
    <hyperlink ref="H3" location="Resumo!C12" display="&lt;&lt; Voltar para RESUMO"/>
  </hyperlinks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  <ignoredErrors>
    <ignoredError sqref="D21:D22 D15 D35:D36 D6:E14 D38:E40 E36:E37 D16:D20 D23:D34 E22:E34 E16:E20 E15 E21 E35 D37" calculatedColumn="1"/>
  </ignoredErrors>
  <drawing r:id="rId2"/>
  <legacyDrawing r:id="rId3"/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Parâmetros!$D$5:$D$7</xm:f>
          </x14:formula1>
          <xm:sqref>G5:G40</xm:sqref>
        </x14:dataValidation>
        <x14:dataValidation type="list" allowBlank="1" showInputMessage="1" showErrorMessage="1">
          <x14:formula1>
            <xm:f>Parâmetros!$P$5:$P$6</xm:f>
          </x14:formula1>
          <xm:sqref>K5:K40</xm:sqref>
        </x14:dataValidation>
        <x14:dataValidation type="list" allowBlank="1" showInputMessage="1" showErrorMessage="1">
          <x14:formula1>
            <xm:f>Parâmetros!E100:E105</xm:f>
          </x14:formula1>
          <xm:sqref>H5:H40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00B0F0"/>
  </sheetPr>
  <dimension ref="B1:E17"/>
  <sheetViews>
    <sheetView showGridLines="0" showRowColHeaders="0" zoomScale="85" zoomScaleNormal="85" workbookViewId="0">
      <selection activeCell="B17" sqref="B17"/>
    </sheetView>
  </sheetViews>
  <sheetFormatPr defaultRowHeight="15" x14ac:dyDescent="0.25"/>
  <cols>
    <col min="1" max="1" width="15.7109375" customWidth="1"/>
    <col min="2" max="2" width="13.85546875" bestFit="1" customWidth="1"/>
    <col min="3" max="3" width="14.140625" bestFit="1" customWidth="1"/>
    <col min="4" max="4" width="19.85546875" customWidth="1"/>
    <col min="5" max="5" width="109.140625" customWidth="1"/>
  </cols>
  <sheetData>
    <row r="1" spans="2:5" ht="35.1" customHeight="1" x14ac:dyDescent="0.25"/>
    <row r="2" spans="2:5" ht="15.75" customHeight="1" x14ac:dyDescent="0.25">
      <c r="B2" s="240" t="s">
        <v>176</v>
      </c>
      <c r="C2" s="240" t="s">
        <v>177</v>
      </c>
      <c r="D2" s="240" t="s">
        <v>142</v>
      </c>
      <c r="E2" s="240" t="s">
        <v>0</v>
      </c>
    </row>
    <row r="3" spans="2:5" ht="15.75" customHeight="1" x14ac:dyDescent="0.25">
      <c r="B3" s="238" t="s">
        <v>329</v>
      </c>
      <c r="C3" s="238">
        <v>0</v>
      </c>
      <c r="D3" s="124" t="s">
        <v>331</v>
      </c>
      <c r="E3" s="241" t="s">
        <v>332</v>
      </c>
    </row>
    <row r="4" spans="2:5" x14ac:dyDescent="0.25">
      <c r="B4" s="238" t="s">
        <v>342</v>
      </c>
      <c r="C4" s="238">
        <v>0</v>
      </c>
      <c r="D4" s="124" t="s">
        <v>341</v>
      </c>
      <c r="E4" s="241" t="s">
        <v>346</v>
      </c>
    </row>
    <row r="5" spans="2:5" x14ac:dyDescent="0.25">
      <c r="B5" s="125" t="s">
        <v>343</v>
      </c>
      <c r="C5" s="239">
        <v>0</v>
      </c>
      <c r="D5" s="125" t="s">
        <v>344</v>
      </c>
      <c r="E5" s="241" t="s">
        <v>345</v>
      </c>
    </row>
    <row r="6" spans="2:5" x14ac:dyDescent="0.25">
      <c r="B6" s="125" t="s">
        <v>347</v>
      </c>
      <c r="C6" s="239">
        <v>0</v>
      </c>
      <c r="D6" s="125" t="s">
        <v>348</v>
      </c>
      <c r="E6" s="242" t="s">
        <v>363</v>
      </c>
    </row>
    <row r="7" spans="2:5" x14ac:dyDescent="0.25">
      <c r="B7" s="125" t="s">
        <v>351</v>
      </c>
      <c r="C7" s="239">
        <v>0</v>
      </c>
      <c r="D7" s="125" t="s">
        <v>331</v>
      </c>
      <c r="E7" s="242" t="s">
        <v>352</v>
      </c>
    </row>
    <row r="8" spans="2:5" x14ac:dyDescent="0.25">
      <c r="B8" s="125" t="s">
        <v>362</v>
      </c>
      <c r="C8" s="239">
        <v>0</v>
      </c>
      <c r="D8" s="125" t="s">
        <v>364</v>
      </c>
      <c r="E8" s="242" t="s">
        <v>365</v>
      </c>
    </row>
    <row r="9" spans="2:5" x14ac:dyDescent="0.25">
      <c r="B9" s="125" t="s">
        <v>366</v>
      </c>
      <c r="C9" s="239">
        <v>0</v>
      </c>
      <c r="D9" s="125" t="s">
        <v>333</v>
      </c>
      <c r="E9" s="242" t="s">
        <v>367</v>
      </c>
    </row>
    <row r="10" spans="2:5" x14ac:dyDescent="0.25">
      <c r="B10" s="125" t="s">
        <v>369</v>
      </c>
      <c r="C10" s="239">
        <v>0</v>
      </c>
      <c r="D10" s="125" t="s">
        <v>370</v>
      </c>
      <c r="E10" s="242" t="s">
        <v>371</v>
      </c>
    </row>
    <row r="11" spans="2:5" ht="25.5" x14ac:dyDescent="0.25">
      <c r="B11" s="125" t="s">
        <v>445</v>
      </c>
      <c r="C11" s="239">
        <v>0</v>
      </c>
      <c r="D11" s="125" t="s">
        <v>331</v>
      </c>
      <c r="E11" s="242" t="s">
        <v>470</v>
      </c>
    </row>
    <row r="12" spans="2:5" x14ac:dyDescent="0.25">
      <c r="B12" s="125" t="s">
        <v>466</v>
      </c>
      <c r="C12" s="239">
        <v>0</v>
      </c>
      <c r="D12" s="125" t="s">
        <v>467</v>
      </c>
      <c r="E12" s="242" t="s">
        <v>468</v>
      </c>
    </row>
    <row r="13" spans="2:5" x14ac:dyDescent="0.25">
      <c r="B13" s="125" t="s">
        <v>469</v>
      </c>
      <c r="C13" s="239">
        <v>0</v>
      </c>
      <c r="D13" s="125" t="s">
        <v>467</v>
      </c>
      <c r="E13" s="242" t="s">
        <v>471</v>
      </c>
    </row>
    <row r="14" spans="2:5" ht="63.75" x14ac:dyDescent="0.25">
      <c r="B14" s="239" t="s">
        <v>472</v>
      </c>
      <c r="C14" s="239">
        <v>0</v>
      </c>
      <c r="D14" s="125" t="s">
        <v>331</v>
      </c>
      <c r="E14" s="242" t="s">
        <v>487</v>
      </c>
    </row>
    <row r="15" spans="2:5" x14ac:dyDescent="0.25">
      <c r="B15" s="125" t="s">
        <v>488</v>
      </c>
      <c r="C15" s="239">
        <v>0</v>
      </c>
      <c r="D15" s="125" t="s">
        <v>331</v>
      </c>
      <c r="E15" s="242" t="s">
        <v>489</v>
      </c>
    </row>
    <row r="16" spans="2:5" ht="63.75" x14ac:dyDescent="0.25">
      <c r="B16" s="125" t="s">
        <v>490</v>
      </c>
      <c r="C16" s="239">
        <v>0</v>
      </c>
      <c r="D16" s="125" t="s">
        <v>331</v>
      </c>
      <c r="E16" s="242" t="s">
        <v>491</v>
      </c>
    </row>
    <row r="17" spans="2:5" x14ac:dyDescent="0.25">
      <c r="B17" s="125" t="s">
        <v>492</v>
      </c>
      <c r="C17" s="239">
        <v>0</v>
      </c>
      <c r="D17" s="125" t="s">
        <v>467</v>
      </c>
      <c r="E17" s="242" t="s">
        <v>493</v>
      </c>
    </row>
  </sheetData>
  <sheetProtection algorithmName="SHA-512" hashValue="nWnivQykXDdCCwA6yr0s1hDkTIR1C7SbitjorVhPXWq+0KT+mipODTFgIpYSj7a2GRyyRC9hrIoI3z3lBs+iOQ==" saltValue="4P7juB89KT2lO2lwQJJprA==" spinCount="100000" sheet="1" objects="1" scenarios="1"/>
  <dataConsolidate/>
  <phoneticPr fontId="0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5"/>
  </sheetPr>
  <dimension ref="A2:S35"/>
  <sheetViews>
    <sheetView showGridLines="0" zoomScale="70" zoomScaleNormal="70" workbookViewId="0">
      <selection activeCell="E30" sqref="E30"/>
    </sheetView>
  </sheetViews>
  <sheetFormatPr defaultRowHeight="15" x14ac:dyDescent="0.25"/>
  <cols>
    <col min="1" max="1" width="8.7109375" style="208" bestFit="1" customWidth="1"/>
    <col min="2" max="2" width="34.5703125" bestFit="1" customWidth="1"/>
    <col min="3" max="3" width="19.42578125" customWidth="1"/>
    <col min="4" max="4" width="19.42578125" style="6" customWidth="1"/>
    <col min="5" max="5" width="21.28515625" style="6" customWidth="1"/>
    <col min="6" max="6" width="32" customWidth="1"/>
    <col min="7" max="7" width="40.85546875" customWidth="1"/>
    <col min="8" max="9" width="19.42578125" customWidth="1"/>
    <col min="10" max="10" width="64.5703125" bestFit="1" customWidth="1"/>
    <col min="11" max="11" width="19.42578125" customWidth="1"/>
    <col min="12" max="12" width="36.85546875" customWidth="1"/>
    <col min="14" max="14" width="54.42578125" bestFit="1" customWidth="1"/>
    <col min="15" max="15" width="9.140625" hidden="1" customWidth="1"/>
    <col min="16" max="16" width="25.85546875" customWidth="1"/>
    <col min="17" max="17" width="22.7109375" customWidth="1"/>
    <col min="18" max="18" width="17.140625" bestFit="1" customWidth="1"/>
    <col min="19" max="19" width="45.85546875" bestFit="1" customWidth="1"/>
  </cols>
  <sheetData>
    <row r="2" spans="1:19" ht="92.25" customHeight="1" x14ac:dyDescent="0.25">
      <c r="B2" s="526" t="s">
        <v>14</v>
      </c>
      <c r="C2" s="526"/>
      <c r="D2" s="526"/>
      <c r="E2" s="526"/>
      <c r="F2" s="526"/>
      <c r="G2" s="526"/>
      <c r="H2" s="526"/>
    </row>
    <row r="4" spans="1:19" s="1" customFormat="1" x14ac:dyDescent="0.25">
      <c r="A4" s="213" t="s">
        <v>13</v>
      </c>
      <c r="B4" s="154" t="s">
        <v>12</v>
      </c>
      <c r="C4" s="156"/>
      <c r="D4" s="152" t="s">
        <v>141</v>
      </c>
      <c r="E4" s="152" t="s">
        <v>142</v>
      </c>
      <c r="F4" s="149" t="s">
        <v>2</v>
      </c>
      <c r="G4" s="149" t="s">
        <v>3</v>
      </c>
      <c r="H4" s="149" t="s">
        <v>4</v>
      </c>
      <c r="I4" s="149" t="s">
        <v>158</v>
      </c>
      <c r="J4" s="1" t="s">
        <v>166</v>
      </c>
      <c r="K4" s="1" t="s">
        <v>174</v>
      </c>
      <c r="L4" s="1" t="s">
        <v>216</v>
      </c>
      <c r="M4" s="211" t="s">
        <v>217</v>
      </c>
      <c r="N4" s="211" t="s">
        <v>220</v>
      </c>
      <c r="O4" s="1" t="s">
        <v>221</v>
      </c>
      <c r="P4" s="1" t="s">
        <v>226</v>
      </c>
      <c r="Q4" s="1" t="s">
        <v>247</v>
      </c>
      <c r="R4" s="1" t="s">
        <v>261</v>
      </c>
      <c r="S4" s="1" t="s">
        <v>444</v>
      </c>
    </row>
    <row r="5" spans="1:19" s="3" customFormat="1" x14ac:dyDescent="0.25">
      <c r="A5" s="214">
        <v>0</v>
      </c>
      <c r="B5" s="155" t="s">
        <v>8</v>
      </c>
      <c r="C5" s="8"/>
      <c r="D5" s="151" t="s">
        <v>140</v>
      </c>
      <c r="E5" s="151" t="s">
        <v>145</v>
      </c>
      <c r="F5" s="148" t="s">
        <v>148</v>
      </c>
      <c r="G5" s="148" t="s">
        <v>53</v>
      </c>
      <c r="H5" s="148" t="s">
        <v>116</v>
      </c>
      <c r="I5" s="148" t="s">
        <v>156</v>
      </c>
      <c r="J5" s="277" t="s">
        <v>96</v>
      </c>
      <c r="K5" s="51" t="s">
        <v>167</v>
      </c>
      <c r="L5" s="104">
        <v>0.02</v>
      </c>
      <c r="M5" s="212">
        <v>168</v>
      </c>
      <c r="N5" s="212">
        <v>3000</v>
      </c>
      <c r="O5" s="105" t="s">
        <v>222</v>
      </c>
      <c r="P5" s="105" t="s">
        <v>165</v>
      </c>
      <c r="Q5" s="105" t="s">
        <v>250</v>
      </c>
      <c r="R5" s="3" t="b">
        <f>TRUE</f>
        <v>1</v>
      </c>
      <c r="S5" s="211" t="s">
        <v>173</v>
      </c>
    </row>
    <row r="6" spans="1:19" x14ac:dyDescent="0.25">
      <c r="A6" s="214">
        <v>1</v>
      </c>
      <c r="B6" s="2" t="s">
        <v>9</v>
      </c>
      <c r="C6" s="8"/>
      <c r="D6" s="151" t="s">
        <v>269</v>
      </c>
      <c r="E6" s="151" t="s">
        <v>272</v>
      </c>
      <c r="F6" s="148" t="s">
        <v>149</v>
      </c>
      <c r="G6" s="148" t="s">
        <v>54</v>
      </c>
      <c r="H6" s="148" t="s">
        <v>117</v>
      </c>
      <c r="I6" s="150" t="s">
        <v>157</v>
      </c>
      <c r="J6" s="289" t="s">
        <v>189</v>
      </c>
      <c r="K6" s="51" t="s">
        <v>173</v>
      </c>
      <c r="P6" t="s">
        <v>227</v>
      </c>
      <c r="R6" t="b">
        <f>FALSE</f>
        <v>0</v>
      </c>
    </row>
    <row r="7" spans="1:19" x14ac:dyDescent="0.25">
      <c r="A7" s="214">
        <v>2</v>
      </c>
      <c r="B7" s="2"/>
      <c r="C7" s="8"/>
      <c r="D7" s="153" t="s">
        <v>181</v>
      </c>
      <c r="E7" s="151" t="s">
        <v>143</v>
      </c>
      <c r="F7" s="150" t="s">
        <v>150</v>
      </c>
      <c r="G7" s="148" t="s">
        <v>55</v>
      </c>
      <c r="H7" s="150" t="s">
        <v>118</v>
      </c>
      <c r="I7" s="48"/>
      <c r="J7" s="289" t="s">
        <v>184</v>
      </c>
    </row>
    <row r="8" spans="1:19" x14ac:dyDescent="0.25">
      <c r="A8" s="214">
        <v>3</v>
      </c>
      <c r="B8" s="2"/>
      <c r="C8" s="8"/>
      <c r="D8"/>
      <c r="E8" s="151" t="s">
        <v>144</v>
      </c>
      <c r="F8" s="48"/>
      <c r="G8" s="148" t="s">
        <v>56</v>
      </c>
      <c r="H8" s="48"/>
      <c r="I8" s="48"/>
      <c r="J8" s="276" t="s">
        <v>183</v>
      </c>
    </row>
    <row r="9" spans="1:19" x14ac:dyDescent="0.25">
      <c r="A9" s="214">
        <v>4</v>
      </c>
      <c r="B9" s="2"/>
      <c r="C9" s="245"/>
      <c r="D9"/>
      <c r="E9" s="151" t="s">
        <v>316</v>
      </c>
      <c r="F9" s="48"/>
      <c r="G9" s="150" t="s">
        <v>57</v>
      </c>
      <c r="H9" s="48"/>
      <c r="I9" s="48"/>
      <c r="J9" s="290" t="s">
        <v>373</v>
      </c>
    </row>
    <row r="10" spans="1:19" x14ac:dyDescent="0.25">
      <c r="A10" s="214">
        <v>5</v>
      </c>
      <c r="B10" s="2"/>
      <c r="C10" s="8"/>
      <c r="D10"/>
      <c r="E10" s="151" t="s">
        <v>321</v>
      </c>
      <c r="J10" s="276" t="s">
        <v>185</v>
      </c>
    </row>
    <row r="11" spans="1:19" x14ac:dyDescent="0.25">
      <c r="A11" s="214">
        <v>6</v>
      </c>
      <c r="B11" s="2"/>
      <c r="C11" s="8"/>
      <c r="D11"/>
      <c r="E11" s="151" t="s">
        <v>330</v>
      </c>
      <c r="J11" s="276" t="s">
        <v>188</v>
      </c>
    </row>
    <row r="12" spans="1:19" x14ac:dyDescent="0.25">
      <c r="A12" s="214">
        <v>7</v>
      </c>
      <c r="B12" s="2"/>
      <c r="C12" s="8"/>
      <c r="D12"/>
      <c r="E12" s="151" t="s">
        <v>333</v>
      </c>
      <c r="J12" s="276" t="s">
        <v>35</v>
      </c>
    </row>
    <row r="13" spans="1:19" x14ac:dyDescent="0.25">
      <c r="A13" s="214">
        <v>8</v>
      </c>
      <c r="B13" s="2"/>
      <c r="C13" s="8"/>
      <c r="D13"/>
      <c r="E13" s="151" t="s">
        <v>334</v>
      </c>
      <c r="J13" s="276" t="s">
        <v>11</v>
      </c>
    </row>
    <row r="14" spans="1:19" x14ac:dyDescent="0.25">
      <c r="A14" s="214">
        <v>9</v>
      </c>
      <c r="B14" s="2"/>
      <c r="C14" s="8"/>
      <c r="D14"/>
      <c r="E14" s="151" t="s">
        <v>335</v>
      </c>
      <c r="J14" s="276" t="s">
        <v>186</v>
      </c>
    </row>
    <row r="15" spans="1:19" x14ac:dyDescent="0.25">
      <c r="A15" s="214">
        <v>10</v>
      </c>
      <c r="B15" s="2"/>
      <c r="C15" s="8"/>
      <c r="D15"/>
      <c r="E15" s="151" t="s">
        <v>336</v>
      </c>
      <c r="J15" s="276" t="s">
        <v>187</v>
      </c>
    </row>
    <row r="16" spans="1:19" x14ac:dyDescent="0.25">
      <c r="A16" s="214"/>
      <c r="B16" s="2"/>
      <c r="C16" s="8"/>
      <c r="D16"/>
      <c r="E16" s="151" t="s">
        <v>337</v>
      </c>
      <c r="J16" s="291" t="s">
        <v>372</v>
      </c>
    </row>
    <row r="17" spans="1:10" x14ac:dyDescent="0.25">
      <c r="A17" s="214"/>
      <c r="B17" s="2"/>
      <c r="C17" s="8"/>
      <c r="D17"/>
      <c r="E17" s="151" t="s">
        <v>338</v>
      </c>
      <c r="J17" s="276"/>
    </row>
    <row r="18" spans="1:10" x14ac:dyDescent="0.25">
      <c r="A18" s="214"/>
      <c r="B18" s="2"/>
      <c r="C18" s="8"/>
      <c r="D18"/>
      <c r="E18" s="153" t="s">
        <v>341</v>
      </c>
    </row>
    <row r="19" spans="1:10" x14ac:dyDescent="0.25">
      <c r="A19" s="214"/>
      <c r="B19" s="2"/>
      <c r="C19" s="8"/>
      <c r="D19"/>
      <c r="E19" s="153" t="s">
        <v>349</v>
      </c>
    </row>
    <row r="20" spans="1:10" x14ac:dyDescent="0.25">
      <c r="A20" s="214"/>
      <c r="B20" s="2"/>
      <c r="C20" s="8"/>
      <c r="D20"/>
      <c r="E20" s="153" t="s">
        <v>356</v>
      </c>
    </row>
    <row r="21" spans="1:10" x14ac:dyDescent="0.25">
      <c r="A21" s="214"/>
      <c r="B21" s="2"/>
      <c r="C21" s="8"/>
      <c r="D21"/>
      <c r="E21" s="153" t="s">
        <v>357</v>
      </c>
    </row>
    <row r="22" spans="1:10" x14ac:dyDescent="0.25">
      <c r="A22" s="214"/>
      <c r="B22" s="2"/>
      <c r="C22" s="8"/>
      <c r="D22"/>
      <c r="E22" s="153" t="s">
        <v>358</v>
      </c>
    </row>
    <row r="23" spans="1:10" x14ac:dyDescent="0.25">
      <c r="A23" s="214"/>
      <c r="B23" s="2"/>
      <c r="C23" s="8"/>
      <c r="D23"/>
      <c r="E23" s="153" t="s">
        <v>359</v>
      </c>
    </row>
    <row r="24" spans="1:10" x14ac:dyDescent="0.25">
      <c r="A24" s="214"/>
      <c r="B24" s="2"/>
      <c r="C24" s="8"/>
      <c r="D24"/>
      <c r="E24" s="153" t="s">
        <v>361</v>
      </c>
    </row>
    <row r="25" spans="1:10" x14ac:dyDescent="0.25">
      <c r="A25" s="214"/>
      <c r="B25" s="2"/>
      <c r="C25" s="8"/>
      <c r="D25"/>
      <c r="E25" s="153" t="s">
        <v>368</v>
      </c>
    </row>
    <row r="26" spans="1:10" x14ac:dyDescent="0.25">
      <c r="A26" s="214"/>
      <c r="B26" s="2"/>
      <c r="C26" s="8"/>
      <c r="D26"/>
      <c r="E26" s="153" t="s">
        <v>370</v>
      </c>
    </row>
    <row r="27" spans="1:10" x14ac:dyDescent="0.25">
      <c r="A27" s="214"/>
      <c r="B27" s="2"/>
      <c r="C27" s="8"/>
      <c r="D27"/>
      <c r="E27" s="153" t="s">
        <v>482</v>
      </c>
    </row>
    <row r="28" spans="1:10" x14ac:dyDescent="0.25">
      <c r="A28" s="214"/>
      <c r="B28" s="2"/>
      <c r="C28" s="8"/>
      <c r="D28"/>
      <c r="E28" s="153" t="s">
        <v>483</v>
      </c>
    </row>
    <row r="29" spans="1:10" x14ac:dyDescent="0.25">
      <c r="A29" s="214"/>
      <c r="B29" s="2"/>
      <c r="C29" s="8"/>
      <c r="D29"/>
      <c r="E29" s="153" t="s">
        <v>484</v>
      </c>
    </row>
    <row r="30" spans="1:10" x14ac:dyDescent="0.25">
      <c r="A30" s="214"/>
      <c r="B30" s="2"/>
      <c r="C30" s="8"/>
      <c r="D30"/>
      <c r="E30" s="153" t="s">
        <v>494</v>
      </c>
    </row>
    <row r="31" spans="1:10" x14ac:dyDescent="0.25">
      <c r="A31" s="214"/>
      <c r="B31" s="2"/>
      <c r="C31" s="8"/>
      <c r="D31"/>
      <c r="E31"/>
    </row>
    <row r="32" spans="1:10" x14ac:dyDescent="0.25">
      <c r="A32" s="214"/>
      <c r="B32" s="2"/>
      <c r="C32" s="8"/>
      <c r="D32"/>
      <c r="E32"/>
    </row>
    <row r="33" spans="1:5" x14ac:dyDescent="0.25">
      <c r="A33" s="214"/>
      <c r="B33" s="2"/>
      <c r="C33" s="8"/>
      <c r="D33"/>
      <c r="E33"/>
    </row>
    <row r="34" spans="1:5" x14ac:dyDescent="0.25">
      <c r="A34" s="214"/>
      <c r="B34" s="2"/>
      <c r="C34" s="8"/>
      <c r="D34"/>
      <c r="E34"/>
    </row>
    <row r="35" spans="1:5" x14ac:dyDescent="0.25">
      <c r="A35" s="214"/>
      <c r="D35"/>
      <c r="E35"/>
    </row>
  </sheetData>
  <sheetProtection algorithmName="SHA-512" hashValue="qPGpl7Zu++CPb2CobiEYf/1WSJDRMkAD6vq4pJhjd0JPMEGKzZEFZxkOistmDyDXZHiRSb5iooBPRlN2Sl+oZQ==" saltValue="vl2ZIjahTmF0Wgw1ZZdgNA==" spinCount="100000" sheet="1" objects="1" scenarios="1"/>
  <sortState ref="J7:J17">
    <sortCondition ref="J7"/>
  </sortState>
  <mergeCells count="1">
    <mergeCell ref="B2:H2"/>
  </mergeCells>
  <phoneticPr fontId="0" type="noConversion"/>
  <dataValidations count="1">
    <dataValidation type="list" allowBlank="1" showInputMessage="1" showErrorMessage="1" sqref="S5">
      <formula1>"Sim,Não"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5"/>
  </sheetPr>
  <dimension ref="B1:AA24"/>
  <sheetViews>
    <sheetView showGridLines="0" zoomScale="85" zoomScaleNormal="85" workbookViewId="0">
      <selection activeCell="W8" sqref="W8"/>
    </sheetView>
  </sheetViews>
  <sheetFormatPr defaultRowHeight="15" x14ac:dyDescent="0.25"/>
  <cols>
    <col min="1" max="14" width="9.140625" style="208"/>
    <col min="15" max="15" width="23" style="208" bestFit="1" customWidth="1"/>
    <col min="16" max="16" width="9.140625" style="208"/>
    <col min="17" max="17" width="35.140625" style="208" bestFit="1" customWidth="1"/>
    <col min="18" max="18" width="15.5703125" style="208" customWidth="1"/>
    <col min="19" max="16384" width="9.140625" style="208"/>
  </cols>
  <sheetData>
    <row r="1" spans="2:27" x14ac:dyDescent="0.25">
      <c r="B1" s="209" t="s">
        <v>53</v>
      </c>
      <c r="C1" s="209">
        <v>1</v>
      </c>
      <c r="D1" s="209">
        <v>20</v>
      </c>
      <c r="E1" s="209">
        <v>51</v>
      </c>
      <c r="I1" s="209" t="s">
        <v>116</v>
      </c>
      <c r="J1" s="209" t="s">
        <v>117</v>
      </c>
      <c r="K1" s="209" t="s">
        <v>118</v>
      </c>
      <c r="O1" s="209" t="s">
        <v>161</v>
      </c>
      <c r="Q1" s="209" t="s">
        <v>6</v>
      </c>
      <c r="R1" s="209" t="s">
        <v>163</v>
      </c>
      <c r="U1" s="209"/>
      <c r="V1" s="527" t="s">
        <v>160</v>
      </c>
      <c r="W1" s="208" t="s">
        <v>154</v>
      </c>
      <c r="X1" s="208" t="s">
        <v>152</v>
      </c>
      <c r="Y1" s="208" t="s">
        <v>153</v>
      </c>
      <c r="Z1" s="208" t="s">
        <v>4</v>
      </c>
      <c r="AA1" s="208" t="s">
        <v>155</v>
      </c>
    </row>
    <row r="2" spans="2:27" x14ac:dyDescent="0.25">
      <c r="B2" s="209">
        <v>1</v>
      </c>
      <c r="C2" s="208" t="s">
        <v>116</v>
      </c>
      <c r="D2" s="208" t="s">
        <v>116</v>
      </c>
      <c r="E2" s="208" t="s">
        <v>117</v>
      </c>
      <c r="H2" s="209" t="s">
        <v>53</v>
      </c>
      <c r="I2" s="208">
        <v>7</v>
      </c>
      <c r="J2" s="208">
        <v>10</v>
      </c>
      <c r="K2" s="208">
        <v>15</v>
      </c>
      <c r="N2" s="209" t="s">
        <v>53</v>
      </c>
      <c r="O2" s="208" t="s">
        <v>116</v>
      </c>
      <c r="Q2" s="208" t="s">
        <v>355</v>
      </c>
      <c r="R2" s="208">
        <v>0.25</v>
      </c>
      <c r="V2" s="527"/>
      <c r="W2" s="208" t="s">
        <v>57</v>
      </c>
      <c r="X2" s="208">
        <v>2</v>
      </c>
      <c r="Y2" s="208">
        <v>5</v>
      </c>
      <c r="Z2" s="209" t="str">
        <f ca="1">INDEX(INDIRECT("Complexidade_"&amp;W2),MATCH(X2,INDIRECT("Complexidade_"&amp;W2&amp;"_Arq"),1),MATCH(Y2,INDIRECT("Complexidade_"&amp;W2&amp;"_Ite",1)))</f>
        <v>Baixa</v>
      </c>
      <c r="AA2" s="209">
        <f ca="1">INDEX(Pesos_IFPUG,MATCH(W2,Pesos_IFPUG_Objetos,0),MATCH(Z2,Pesos_IFPUG_Complexidade,0))</f>
        <v>3</v>
      </c>
    </row>
    <row r="3" spans="2:27" x14ac:dyDescent="0.25">
      <c r="B3" s="209">
        <v>2</v>
      </c>
      <c r="C3" s="208" t="s">
        <v>116</v>
      </c>
      <c r="D3" s="208" t="s">
        <v>117</v>
      </c>
      <c r="E3" s="208" t="s">
        <v>118</v>
      </c>
      <c r="H3" s="209" t="s">
        <v>54</v>
      </c>
      <c r="I3" s="208">
        <v>5</v>
      </c>
      <c r="J3" s="208">
        <v>7</v>
      </c>
      <c r="K3" s="208">
        <v>10</v>
      </c>
      <c r="N3" s="209" t="s">
        <v>54</v>
      </c>
      <c r="O3" s="208" t="s">
        <v>116</v>
      </c>
      <c r="Q3" s="208" t="s">
        <v>162</v>
      </c>
      <c r="R3" s="208">
        <v>1</v>
      </c>
      <c r="V3" s="527"/>
      <c r="X3" s="210">
        <f ca="1">MATCH(X2,INDIRECT("Complexidade_"&amp;W2&amp;"_Arq"),1)</f>
        <v>3</v>
      </c>
      <c r="Y3" s="210">
        <f ca="1">MATCH(Y2,INDIRECT("Complexidade_"&amp;W2&amp;"_Ite",1))</f>
        <v>2</v>
      </c>
      <c r="AA3" s="210">
        <f>MATCH(W2,Pesos_IFPUG_Objetos,0)</f>
        <v>6</v>
      </c>
    </row>
    <row r="4" spans="2:27" x14ac:dyDescent="0.25">
      <c r="B4" s="209">
        <v>6</v>
      </c>
      <c r="C4" s="208" t="s">
        <v>117</v>
      </c>
      <c r="D4" s="208" t="s">
        <v>118</v>
      </c>
      <c r="E4" s="208" t="s">
        <v>118</v>
      </c>
      <c r="H4" s="209" t="s">
        <v>55</v>
      </c>
      <c r="I4" s="208">
        <v>3</v>
      </c>
      <c r="J4" s="208">
        <v>4</v>
      </c>
      <c r="K4" s="208">
        <v>6</v>
      </c>
      <c r="N4" s="209" t="s">
        <v>55</v>
      </c>
      <c r="O4" s="208" t="s">
        <v>117</v>
      </c>
      <c r="Q4" s="208" t="s">
        <v>34</v>
      </c>
      <c r="R4" s="208">
        <v>1</v>
      </c>
      <c r="V4" s="527"/>
      <c r="AA4" s="210">
        <f ca="1">MATCH(Z2,Pesos_IFPUG_Complexidade,0)</f>
        <v>2</v>
      </c>
    </row>
    <row r="5" spans="2:27" x14ac:dyDescent="0.25">
      <c r="H5" s="209" t="s">
        <v>56</v>
      </c>
      <c r="I5" s="208">
        <v>4</v>
      </c>
      <c r="J5" s="208">
        <v>5</v>
      </c>
      <c r="K5" s="208">
        <v>7</v>
      </c>
      <c r="N5" s="209" t="s">
        <v>56</v>
      </c>
      <c r="O5" s="208" t="s">
        <v>117</v>
      </c>
      <c r="Q5" s="208" t="s">
        <v>35</v>
      </c>
      <c r="R5" s="208">
        <v>1</v>
      </c>
    </row>
    <row r="6" spans="2:27" x14ac:dyDescent="0.25">
      <c r="B6" s="209" t="s">
        <v>54</v>
      </c>
      <c r="C6" s="209">
        <v>1</v>
      </c>
      <c r="D6" s="209">
        <v>20</v>
      </c>
      <c r="E6" s="209">
        <v>51</v>
      </c>
      <c r="H6" s="209" t="s">
        <v>57</v>
      </c>
      <c r="I6" s="208">
        <v>3</v>
      </c>
      <c r="J6" s="208">
        <v>4</v>
      </c>
      <c r="K6" s="208">
        <v>6</v>
      </c>
      <c r="N6" s="209" t="s">
        <v>57</v>
      </c>
      <c r="O6" s="208" t="s">
        <v>117</v>
      </c>
      <c r="Q6" s="208" t="s">
        <v>353</v>
      </c>
      <c r="R6" s="208">
        <v>1</v>
      </c>
    </row>
    <row r="7" spans="2:27" x14ac:dyDescent="0.25">
      <c r="B7" s="209">
        <v>1</v>
      </c>
      <c r="C7" s="208" t="s">
        <v>116</v>
      </c>
      <c r="D7" s="208" t="s">
        <v>116</v>
      </c>
      <c r="E7" s="208" t="s">
        <v>117</v>
      </c>
      <c r="Q7" s="208" t="s">
        <v>93</v>
      </c>
      <c r="R7" s="208">
        <v>1</v>
      </c>
    </row>
    <row r="8" spans="2:27" x14ac:dyDescent="0.25">
      <c r="B8" s="209">
        <v>2</v>
      </c>
      <c r="C8" s="208" t="s">
        <v>116</v>
      </c>
      <c r="D8" s="208" t="s">
        <v>117</v>
      </c>
      <c r="E8" s="208" t="s">
        <v>118</v>
      </c>
      <c r="Q8" s="208" t="s">
        <v>354</v>
      </c>
      <c r="R8" s="208">
        <v>1</v>
      </c>
    </row>
    <row r="9" spans="2:27" x14ac:dyDescent="0.25">
      <c r="B9" s="209">
        <v>6</v>
      </c>
      <c r="C9" s="208" t="s">
        <v>117</v>
      </c>
      <c r="D9" s="208" t="s">
        <v>118</v>
      </c>
      <c r="E9" s="208" t="s">
        <v>118</v>
      </c>
    </row>
    <row r="11" spans="2:27" x14ac:dyDescent="0.25">
      <c r="B11" s="209" t="s">
        <v>55</v>
      </c>
      <c r="C11" s="209">
        <v>1</v>
      </c>
      <c r="D11" s="209">
        <v>5</v>
      </c>
      <c r="E11" s="209">
        <v>16</v>
      </c>
    </row>
    <row r="12" spans="2:27" x14ac:dyDescent="0.25">
      <c r="B12" s="209">
        <v>0</v>
      </c>
      <c r="C12" s="208" t="s">
        <v>116</v>
      </c>
      <c r="D12" s="208" t="s">
        <v>116</v>
      </c>
      <c r="E12" s="208" t="s">
        <v>117</v>
      </c>
    </row>
    <row r="13" spans="2:27" x14ac:dyDescent="0.25">
      <c r="B13" s="209">
        <v>2</v>
      </c>
      <c r="C13" s="208" t="s">
        <v>116</v>
      </c>
      <c r="D13" s="208" t="s">
        <v>117</v>
      </c>
      <c r="E13" s="208" t="s">
        <v>118</v>
      </c>
    </row>
    <row r="14" spans="2:27" x14ac:dyDescent="0.25">
      <c r="B14" s="209">
        <v>3</v>
      </c>
      <c r="C14" s="208" t="s">
        <v>117</v>
      </c>
      <c r="D14" s="208" t="s">
        <v>118</v>
      </c>
      <c r="E14" s="208" t="s">
        <v>118</v>
      </c>
    </row>
    <row r="16" spans="2:27" x14ac:dyDescent="0.25">
      <c r="B16" s="209" t="s">
        <v>56</v>
      </c>
      <c r="C16" s="209">
        <v>1</v>
      </c>
      <c r="D16" s="209">
        <v>6</v>
      </c>
      <c r="E16" s="209">
        <v>20</v>
      </c>
    </row>
    <row r="17" spans="2:5" x14ac:dyDescent="0.25">
      <c r="B17" s="209">
        <v>0</v>
      </c>
      <c r="C17" s="208" t="s">
        <v>116</v>
      </c>
      <c r="D17" s="208" t="s">
        <v>116</v>
      </c>
      <c r="E17" s="208" t="s">
        <v>117</v>
      </c>
    </row>
    <row r="18" spans="2:5" x14ac:dyDescent="0.25">
      <c r="B18" s="209">
        <v>2</v>
      </c>
      <c r="C18" s="208" t="s">
        <v>116</v>
      </c>
      <c r="D18" s="208" t="s">
        <v>117</v>
      </c>
      <c r="E18" s="208" t="s">
        <v>118</v>
      </c>
    </row>
    <row r="19" spans="2:5" x14ac:dyDescent="0.25">
      <c r="B19" s="209">
        <v>4</v>
      </c>
      <c r="C19" s="208" t="s">
        <v>117</v>
      </c>
      <c r="D19" s="208" t="s">
        <v>118</v>
      </c>
      <c r="E19" s="208" t="s">
        <v>118</v>
      </c>
    </row>
    <row r="21" spans="2:5" x14ac:dyDescent="0.25">
      <c r="B21" s="209" t="s">
        <v>57</v>
      </c>
      <c r="C21" s="209">
        <v>1</v>
      </c>
      <c r="D21" s="209">
        <v>6</v>
      </c>
      <c r="E21" s="209">
        <v>20</v>
      </c>
    </row>
    <row r="22" spans="2:5" x14ac:dyDescent="0.25">
      <c r="B22" s="209">
        <v>0</v>
      </c>
      <c r="C22" s="208" t="s">
        <v>116</v>
      </c>
      <c r="D22" s="208" t="s">
        <v>116</v>
      </c>
      <c r="E22" s="208" t="s">
        <v>117</v>
      </c>
    </row>
    <row r="23" spans="2:5" x14ac:dyDescent="0.25">
      <c r="B23" s="209">
        <v>2</v>
      </c>
      <c r="C23" s="208" t="s">
        <v>116</v>
      </c>
      <c r="D23" s="208" t="s">
        <v>117</v>
      </c>
      <c r="E23" s="208" t="s">
        <v>118</v>
      </c>
    </row>
    <row r="24" spans="2:5" x14ac:dyDescent="0.25">
      <c r="B24" s="209">
        <v>4</v>
      </c>
      <c r="C24" s="208" t="s">
        <v>117</v>
      </c>
      <c r="D24" s="208" t="s">
        <v>118</v>
      </c>
      <c r="E24" s="208" t="s">
        <v>118</v>
      </c>
    </row>
  </sheetData>
  <sheetProtection algorithmName="SHA-512" hashValue="ZMgjOI6XBPFrsuXzNg/F2v/fA0v1qxG+4/hTFQAaamxoRWNNOa2zpNTyLdAZb2HT3xrW6lINki5oTk3rvqolzg==" saltValue="M1JNrepmYMSPhFf9nyh86g==" spinCount="100000" sheet="1" objects="1" scenarios="1"/>
  <mergeCells count="1">
    <mergeCell ref="V1:V4"/>
  </mergeCells>
  <pageMargins left="0.7" right="0.7" top="0.75" bottom="0.75" header="0.3" footer="0.3"/>
  <pageSetup paperSize="9" orientation="portrait" horizontalDpi="4294967292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Parâmetros!$H$5:$H$7</xm:f>
          </x14:formula1>
          <xm:sqref>C2:E4 I1:K1 C7:E9 C12:E14 C17:E19 C22:E24 O2:O6</xm:sqref>
        </x14:dataValidation>
        <x14:dataValidation type="list" allowBlank="1" showInputMessage="1" showErrorMessage="1">
          <x14:formula1>
            <xm:f>Parâmetros!$G$5:$G$9</xm:f>
          </x14:formula1>
          <xm:sqref>H2:H6 N2:N6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5"/>
  </sheetPr>
  <dimension ref="A1:AD28"/>
  <sheetViews>
    <sheetView showGridLines="0" zoomScale="80" zoomScaleNormal="80" workbookViewId="0">
      <selection activeCell="G17" sqref="G17"/>
    </sheetView>
  </sheetViews>
  <sheetFormatPr defaultRowHeight="15" x14ac:dyDescent="0.25"/>
  <cols>
    <col min="1" max="1" width="6.140625" style="257" customWidth="1"/>
    <col min="2" max="2" width="14" style="26" customWidth="1"/>
    <col min="3" max="3" width="56.85546875" style="26" customWidth="1"/>
    <col min="4" max="4" width="16.7109375" style="247" customWidth="1"/>
    <col min="5" max="5" width="16" style="247" customWidth="1"/>
    <col min="6" max="6" width="59" style="26" customWidth="1"/>
    <col min="7" max="7" width="19.140625" style="247" bestFit="1" customWidth="1"/>
    <col min="8" max="8" width="19.85546875" style="247" customWidth="1"/>
    <col min="9" max="9" width="69.42578125" style="26" customWidth="1"/>
    <col min="10" max="11" width="19.85546875" style="247" customWidth="1"/>
    <col min="12" max="12" width="48.85546875" style="26" customWidth="1"/>
    <col min="13" max="14" width="19.85546875" style="247" customWidth="1"/>
    <col min="15" max="15" width="44.140625" style="247" customWidth="1"/>
    <col min="16" max="17" width="19.85546875" style="247" customWidth="1"/>
    <col min="18" max="18" width="44.140625" style="247" customWidth="1"/>
    <col min="19" max="20" width="19.85546875" style="247" customWidth="1"/>
    <col min="21" max="21" width="44.140625" style="247" customWidth="1"/>
    <col min="22" max="23" width="19.85546875" style="247" customWidth="1"/>
    <col min="24" max="24" width="12.7109375" style="26" customWidth="1"/>
    <col min="25" max="25" width="36.7109375" style="26" bestFit="1" customWidth="1"/>
    <col min="26" max="26" width="12.7109375" style="26" bestFit="1" customWidth="1"/>
    <col min="27" max="27" width="13.42578125" style="26" bestFit="1" customWidth="1"/>
    <col min="28" max="28" width="15" style="26" customWidth="1"/>
    <col min="29" max="29" width="25.7109375" style="26" bestFit="1" customWidth="1"/>
    <col min="30" max="30" width="18.7109375" style="26" bestFit="1" customWidth="1"/>
    <col min="31" max="16384" width="9.140625" style="26"/>
  </cols>
  <sheetData>
    <row r="1" spans="1:30" s="246" customFormat="1" x14ac:dyDescent="0.25">
      <c r="A1" s="246">
        <v>1</v>
      </c>
      <c r="B1" s="246">
        <v>2</v>
      </c>
      <c r="C1" s="246">
        <v>3</v>
      </c>
      <c r="D1" s="246">
        <v>4</v>
      </c>
      <c r="E1" s="246">
        <v>5</v>
      </c>
      <c r="F1" s="246">
        <v>6</v>
      </c>
      <c r="G1" s="246">
        <v>7</v>
      </c>
      <c r="H1" s="246">
        <v>8</v>
      </c>
      <c r="I1" s="246">
        <v>9</v>
      </c>
      <c r="J1" s="246">
        <v>10</v>
      </c>
      <c r="K1" s="246">
        <v>11</v>
      </c>
      <c r="L1" s="246">
        <v>12</v>
      </c>
      <c r="M1" s="246">
        <v>13</v>
      </c>
      <c r="N1" s="246">
        <v>14</v>
      </c>
      <c r="O1" s="246">
        <v>15</v>
      </c>
      <c r="P1" s="246">
        <v>16</v>
      </c>
      <c r="Q1" s="246">
        <v>17</v>
      </c>
      <c r="R1" s="246">
        <v>18</v>
      </c>
      <c r="S1" s="246">
        <v>19</v>
      </c>
      <c r="T1" s="246">
        <v>20</v>
      </c>
      <c r="U1" s="246">
        <v>21</v>
      </c>
      <c r="V1" s="246">
        <v>22</v>
      </c>
      <c r="W1" s="246">
        <v>23</v>
      </c>
    </row>
    <row r="2" spans="1:30" ht="38.25" x14ac:dyDescent="0.25">
      <c r="A2" s="252" t="s">
        <v>195</v>
      </c>
      <c r="B2" s="253" t="s">
        <v>267</v>
      </c>
      <c r="C2" s="253" t="s">
        <v>231</v>
      </c>
      <c r="D2" s="243" t="s">
        <v>146</v>
      </c>
      <c r="E2" s="243" t="s">
        <v>252</v>
      </c>
      <c r="F2" s="253" t="s">
        <v>232</v>
      </c>
      <c r="G2" s="243" t="s">
        <v>147</v>
      </c>
      <c r="H2" s="243" t="s">
        <v>253</v>
      </c>
      <c r="I2" s="254" t="s">
        <v>317</v>
      </c>
      <c r="J2" s="244" t="s">
        <v>318</v>
      </c>
      <c r="K2" s="244" t="s">
        <v>319</v>
      </c>
      <c r="L2" s="254" t="s">
        <v>322</v>
      </c>
      <c r="M2" s="244" t="s">
        <v>323</v>
      </c>
      <c r="N2" s="244" t="s">
        <v>324</v>
      </c>
      <c r="O2" s="254" t="s">
        <v>474</v>
      </c>
      <c r="P2" s="413" t="s">
        <v>475</v>
      </c>
      <c r="Q2" s="413" t="s">
        <v>476</v>
      </c>
      <c r="R2" s="254" t="s">
        <v>480</v>
      </c>
      <c r="S2" s="413" t="s">
        <v>481</v>
      </c>
      <c r="T2" s="413" t="s">
        <v>478</v>
      </c>
      <c r="U2" s="254" t="s">
        <v>485</v>
      </c>
      <c r="V2" s="413" t="s">
        <v>486</v>
      </c>
      <c r="W2" s="413" t="s">
        <v>479</v>
      </c>
      <c r="Y2" s="26" t="s">
        <v>142</v>
      </c>
      <c r="Z2" s="26" t="s">
        <v>230</v>
      </c>
      <c r="AA2" s="26" t="s">
        <v>82</v>
      </c>
      <c r="AB2" s="26" t="s">
        <v>251</v>
      </c>
      <c r="AC2" s="26" t="s">
        <v>267</v>
      </c>
      <c r="AD2" s="26" t="s">
        <v>327</v>
      </c>
    </row>
    <row r="3" spans="1:30" x14ac:dyDescent="0.25">
      <c r="A3" s="255">
        <v>1</v>
      </c>
      <c r="B3" s="256"/>
      <c r="C3" s="256" t="s">
        <v>339</v>
      </c>
      <c r="D3" s="234">
        <f>SUM(D4)</f>
        <v>0.04</v>
      </c>
      <c r="E3" s="234" t="b">
        <v>0</v>
      </c>
      <c r="F3" s="256" t="s">
        <v>339</v>
      </c>
      <c r="G3" s="234">
        <v>0.04</v>
      </c>
      <c r="H3" s="234" t="b">
        <v>0</v>
      </c>
      <c r="I3" s="256" t="s">
        <v>339</v>
      </c>
      <c r="J3" s="234">
        <v>0.01</v>
      </c>
      <c r="K3" s="234" t="b">
        <v>0</v>
      </c>
      <c r="L3" s="256" t="s">
        <v>339</v>
      </c>
      <c r="M3" s="234">
        <v>0.01</v>
      </c>
      <c r="N3" s="234" t="b">
        <v>0</v>
      </c>
      <c r="O3" s="256" t="s">
        <v>339</v>
      </c>
      <c r="P3" s="417">
        <v>0.01</v>
      </c>
      <c r="Q3" s="417" t="b">
        <v>0</v>
      </c>
      <c r="R3" s="256" t="s">
        <v>339</v>
      </c>
      <c r="S3" s="417">
        <v>0.01</v>
      </c>
      <c r="T3" s="417" t="b">
        <v>0</v>
      </c>
      <c r="U3" s="256" t="s">
        <v>339</v>
      </c>
      <c r="V3" s="417">
        <v>0.01</v>
      </c>
      <c r="W3" s="417" t="b">
        <v>0</v>
      </c>
      <c r="Y3" s="415" t="str">
        <f>Parâmetros!E5</f>
        <v>IBM - Torre I</v>
      </c>
      <c r="Z3" s="416">
        <f>COLUMN(PercentuaisFases[[#Headers],[Fases do Ciclo de Vida / Artefatos 1]])</f>
        <v>3</v>
      </c>
      <c r="AA3" s="416">
        <f>COLUMN(PercentuaisFases[[#Headers],[Percentual 1]])</f>
        <v>4</v>
      </c>
      <c r="AB3" s="416">
        <f>COLUMN(PercentuaisFases[[#Headers],[Fábrica testes 1]])</f>
        <v>5</v>
      </c>
      <c r="AC3" s="415" t="b">
        <v>0</v>
      </c>
      <c r="AD3" s="416" t="b">
        <v>0</v>
      </c>
    </row>
    <row r="4" spans="1:30" x14ac:dyDescent="0.25">
      <c r="A4" s="258" t="s">
        <v>196</v>
      </c>
      <c r="B4" s="259" t="b">
        <v>0</v>
      </c>
      <c r="C4" s="259" t="s">
        <v>339</v>
      </c>
      <c r="D4" s="79">
        <v>0.04</v>
      </c>
      <c r="E4" s="79" t="b">
        <v>0</v>
      </c>
      <c r="F4" s="259" t="s">
        <v>339</v>
      </c>
      <c r="G4" s="79">
        <v>0.04</v>
      </c>
      <c r="H4" s="79" t="b">
        <v>0</v>
      </c>
      <c r="I4" s="259" t="s">
        <v>339</v>
      </c>
      <c r="J4" s="414">
        <v>0.01</v>
      </c>
      <c r="K4" s="79" t="b">
        <v>0</v>
      </c>
      <c r="L4" s="259" t="s">
        <v>339</v>
      </c>
      <c r="M4" s="79">
        <v>0.01</v>
      </c>
      <c r="N4" s="79" t="b">
        <v>0</v>
      </c>
      <c r="O4" s="259" t="s">
        <v>339</v>
      </c>
      <c r="P4" s="418">
        <v>0.01</v>
      </c>
      <c r="Q4" s="418" t="b">
        <v>0</v>
      </c>
      <c r="R4" s="259" t="s">
        <v>339</v>
      </c>
      <c r="S4" s="418">
        <v>0.01</v>
      </c>
      <c r="T4" s="418" t="b">
        <v>0</v>
      </c>
      <c r="U4" s="259" t="s">
        <v>339</v>
      </c>
      <c r="V4" s="418">
        <v>0.01</v>
      </c>
      <c r="W4" s="418" t="b">
        <v>0</v>
      </c>
      <c r="Y4" s="415" t="str">
        <f>Parâmetros!E6</f>
        <v>IBM - Torre VII</v>
      </c>
      <c r="Z4" s="416">
        <f>COLUMN(PercentuaisFases[[#Headers],[Fases do Ciclo de Vida / Artefatos 1]])</f>
        <v>3</v>
      </c>
      <c r="AA4" s="416">
        <f>COLUMN(PercentuaisFases[[#Headers],[Percentual 1]])</f>
        <v>4</v>
      </c>
      <c r="AB4" s="416">
        <f>COLUMN(PercentuaisFases[[#Headers],[Fábrica testes 1]])</f>
        <v>5</v>
      </c>
      <c r="AC4" s="415" t="b">
        <v>0</v>
      </c>
      <c r="AD4" s="416" t="b">
        <v>0</v>
      </c>
    </row>
    <row r="5" spans="1:30" x14ac:dyDescent="0.25">
      <c r="A5" s="255">
        <v>2</v>
      </c>
      <c r="B5" s="256"/>
      <c r="C5" s="256" t="s">
        <v>83</v>
      </c>
      <c r="D5" s="234">
        <f>D6</f>
        <v>0.16</v>
      </c>
      <c r="E5" s="234" t="b">
        <v>0</v>
      </c>
      <c r="F5" s="256" t="s">
        <v>83</v>
      </c>
      <c r="G5" s="234">
        <v>0.16</v>
      </c>
      <c r="H5" s="234" t="b">
        <v>0</v>
      </c>
      <c r="I5" s="256" t="s">
        <v>83</v>
      </c>
      <c r="J5" s="234">
        <v>0.16</v>
      </c>
      <c r="K5" s="234" t="b">
        <v>0</v>
      </c>
      <c r="L5" s="256" t="s">
        <v>83</v>
      </c>
      <c r="M5" s="234">
        <v>0.16</v>
      </c>
      <c r="N5" s="234" t="b">
        <v>0</v>
      </c>
      <c r="O5" s="256" t="s">
        <v>83</v>
      </c>
      <c r="P5" s="417">
        <v>0.16</v>
      </c>
      <c r="Q5" s="417" t="b">
        <v>0</v>
      </c>
      <c r="R5" s="256" t="s">
        <v>83</v>
      </c>
      <c r="S5" s="417">
        <v>0.16</v>
      </c>
      <c r="T5" s="417" t="b">
        <v>0</v>
      </c>
      <c r="U5" s="256" t="s">
        <v>83</v>
      </c>
      <c r="V5" s="417">
        <v>0.16</v>
      </c>
      <c r="W5" s="417" t="b">
        <v>0</v>
      </c>
      <c r="Y5" s="415" t="str">
        <f>Parâmetros!E7</f>
        <v>Accenture - Torre II</v>
      </c>
      <c r="Z5" s="416">
        <f>COLUMN(PercentuaisFases[[#Headers],[Fases do Ciclo de Vida / Artefatos 2]])</f>
        <v>6</v>
      </c>
      <c r="AA5" s="416">
        <f>COLUMN(PercentuaisFases[[#Headers],[Percentual 2]])</f>
        <v>7</v>
      </c>
      <c r="AB5" s="416">
        <f>COLUMN(PercentuaisFases[[#Headers],[Fábrica testes 2]])</f>
        <v>8</v>
      </c>
      <c r="AC5" s="415" t="b">
        <v>1</v>
      </c>
      <c r="AD5" s="416" t="b">
        <v>0</v>
      </c>
    </row>
    <row r="6" spans="1:30" ht="25.5" x14ac:dyDescent="0.25">
      <c r="A6" s="258" t="s">
        <v>197</v>
      </c>
      <c r="B6" s="259" t="b">
        <v>0</v>
      </c>
      <c r="C6" s="259" t="s">
        <v>340</v>
      </c>
      <c r="D6" s="79">
        <v>0.16</v>
      </c>
      <c r="E6" s="79" t="b">
        <v>0</v>
      </c>
      <c r="F6" s="259" t="s">
        <v>340</v>
      </c>
      <c r="G6" s="79">
        <v>0.16</v>
      </c>
      <c r="H6" s="79" t="b">
        <v>0</v>
      </c>
      <c r="I6" s="259" t="s">
        <v>340</v>
      </c>
      <c r="J6" s="79">
        <v>0.16</v>
      </c>
      <c r="K6" s="79" t="b">
        <v>0</v>
      </c>
      <c r="L6" s="259" t="s">
        <v>340</v>
      </c>
      <c r="M6" s="79">
        <v>0.16</v>
      </c>
      <c r="N6" s="79" t="b">
        <v>0</v>
      </c>
      <c r="O6" s="259" t="s">
        <v>340</v>
      </c>
      <c r="P6" s="418">
        <v>0.16</v>
      </c>
      <c r="Q6" s="418" t="b">
        <v>0</v>
      </c>
      <c r="R6" s="259" t="s">
        <v>340</v>
      </c>
      <c r="S6" s="418">
        <v>0.16</v>
      </c>
      <c r="T6" s="418" t="b">
        <v>0</v>
      </c>
      <c r="U6" s="259" t="s">
        <v>340</v>
      </c>
      <c r="V6" s="418">
        <v>0.16</v>
      </c>
      <c r="W6" s="418" t="b">
        <v>0</v>
      </c>
      <c r="Y6" s="257" t="str">
        <f>Parâmetros!E8</f>
        <v>Accenture - Torre IV</v>
      </c>
      <c r="Z6" s="257">
        <f>COLUMN(PercentuaisFases[[#Headers],[Fases do Ciclo de Vida / Artefatos 2]])</f>
        <v>6</v>
      </c>
      <c r="AA6" s="257">
        <f>COLUMN(PercentuaisFases[[#Headers],[Percentual 2]])</f>
        <v>7</v>
      </c>
      <c r="AB6" s="257">
        <f>COLUMN(PercentuaisFases[[#Headers],[Fábrica testes 2]])</f>
        <v>8</v>
      </c>
      <c r="AC6" s="26" t="b">
        <v>1</v>
      </c>
      <c r="AD6" s="257" t="b">
        <v>1</v>
      </c>
    </row>
    <row r="7" spans="1:30" x14ac:dyDescent="0.25">
      <c r="A7" s="258" t="s">
        <v>198</v>
      </c>
      <c r="B7" s="259" t="b">
        <v>0</v>
      </c>
      <c r="C7" s="259" t="s">
        <v>84</v>
      </c>
      <c r="D7" s="79">
        <v>0.04</v>
      </c>
      <c r="E7" s="79" t="b">
        <v>0</v>
      </c>
      <c r="F7" s="259" t="s">
        <v>84</v>
      </c>
      <c r="G7" s="79">
        <v>0.04</v>
      </c>
      <c r="H7" s="79" t="b">
        <v>0</v>
      </c>
      <c r="I7" s="259" t="s">
        <v>84</v>
      </c>
      <c r="J7" s="79">
        <v>0.04</v>
      </c>
      <c r="K7" s="79" t="b">
        <v>0</v>
      </c>
      <c r="L7" s="259" t="s">
        <v>84</v>
      </c>
      <c r="M7" s="79">
        <v>0.04</v>
      </c>
      <c r="N7" s="79" t="b">
        <v>0</v>
      </c>
      <c r="O7" s="259" t="s">
        <v>84</v>
      </c>
      <c r="P7" s="418">
        <v>0.04</v>
      </c>
      <c r="Q7" s="418" t="b">
        <v>0</v>
      </c>
      <c r="R7" s="259" t="s">
        <v>84</v>
      </c>
      <c r="S7" s="418">
        <v>0.04</v>
      </c>
      <c r="T7" s="418" t="b">
        <v>0</v>
      </c>
      <c r="U7" s="259" t="s">
        <v>84</v>
      </c>
      <c r="V7" s="418">
        <v>0.04</v>
      </c>
      <c r="W7" s="418" t="b">
        <v>0</v>
      </c>
      <c r="Y7" s="415" t="str">
        <f>Parâmetros!E9</f>
        <v>PTI</v>
      </c>
      <c r="Z7" s="416">
        <f>COLUMN(PercentuaisFases[[#Headers],[Fases do Ciclo de Vida / Artefatos 3]])</f>
        <v>9</v>
      </c>
      <c r="AA7" s="416">
        <f>COLUMN(PercentuaisFases[[#Headers],[Percentual 3]])</f>
        <v>10</v>
      </c>
      <c r="AB7" s="416">
        <f>COLUMN(PercentuaisFases[[#Headers],[Fábrica testes 3]])</f>
        <v>11</v>
      </c>
      <c r="AC7" s="415" t="b">
        <v>0</v>
      </c>
      <c r="AD7" s="416" t="b">
        <v>0</v>
      </c>
    </row>
    <row r="8" spans="1:30" x14ac:dyDescent="0.25">
      <c r="A8" s="255">
        <v>3</v>
      </c>
      <c r="B8" s="256"/>
      <c r="C8" s="256" t="s">
        <v>191</v>
      </c>
      <c r="D8" s="234">
        <f>SUM(D9:D9)</f>
        <v>0.70499999999999996</v>
      </c>
      <c r="E8" s="234" t="b">
        <v>0</v>
      </c>
      <c r="F8" s="256" t="s">
        <v>191</v>
      </c>
      <c r="G8" s="234">
        <f>SUM(G9:G9)</f>
        <v>0.70499999999999996</v>
      </c>
      <c r="H8" s="234" t="b">
        <v>0</v>
      </c>
      <c r="I8" s="256" t="s">
        <v>191</v>
      </c>
      <c r="J8" s="234">
        <v>0.70499999999999996</v>
      </c>
      <c r="K8" s="234" t="b">
        <v>0</v>
      </c>
      <c r="L8" s="256" t="s">
        <v>191</v>
      </c>
      <c r="M8" s="234">
        <v>0.70499999999999996</v>
      </c>
      <c r="N8" s="234" t="b">
        <v>0</v>
      </c>
      <c r="O8" s="256" t="s">
        <v>191</v>
      </c>
      <c r="P8" s="417">
        <v>0.70499999999999996</v>
      </c>
      <c r="Q8" s="417" t="b">
        <v>0</v>
      </c>
      <c r="R8" s="256" t="s">
        <v>191</v>
      </c>
      <c r="S8" s="417">
        <v>0.70499999999999996</v>
      </c>
      <c r="T8" s="417" t="b">
        <v>0</v>
      </c>
      <c r="U8" s="256" t="s">
        <v>191</v>
      </c>
      <c r="V8" s="417">
        <v>0.70499999999999996</v>
      </c>
      <c r="W8" s="417" t="b">
        <v>0</v>
      </c>
      <c r="Y8" s="415" t="str">
        <f>Parâmetros!E10</f>
        <v>3CON</v>
      </c>
      <c r="Z8" s="416">
        <f>COLUMN(PercentuaisFases[[#Headers],[Fases do Ciclo de Vida / Artefatos 3]])</f>
        <v>9</v>
      </c>
      <c r="AA8" s="416">
        <f>COLUMN(PercentuaisFases[[#Headers],[Percentual 3]])</f>
        <v>10</v>
      </c>
      <c r="AB8" s="416">
        <f>COLUMN(PercentuaisFases[[#Headers],[Fábrica testes 3]])</f>
        <v>11</v>
      </c>
      <c r="AC8" s="415" t="b">
        <v>0</v>
      </c>
      <c r="AD8" s="416" t="b">
        <v>0</v>
      </c>
    </row>
    <row r="9" spans="1:30" ht="140.25" x14ac:dyDescent="0.25">
      <c r="A9" s="258" t="s">
        <v>199</v>
      </c>
      <c r="B9" s="259" t="b">
        <v>1</v>
      </c>
      <c r="C9" s="259" t="s">
        <v>274</v>
      </c>
      <c r="D9" s="79">
        <v>0.70499999999999996</v>
      </c>
      <c r="E9" s="79" t="b">
        <v>0</v>
      </c>
      <c r="F9" s="259" t="s">
        <v>320</v>
      </c>
      <c r="G9" s="79">
        <v>0.70499999999999996</v>
      </c>
      <c r="H9" s="79" t="b">
        <v>0</v>
      </c>
      <c r="I9" s="259" t="s">
        <v>274</v>
      </c>
      <c r="J9" s="79">
        <v>0.70499999999999996</v>
      </c>
      <c r="K9" s="79" t="b">
        <v>0</v>
      </c>
      <c r="L9" s="259" t="s">
        <v>274</v>
      </c>
      <c r="M9" s="79">
        <v>0.70499999999999996</v>
      </c>
      <c r="N9" s="79" t="b">
        <v>0</v>
      </c>
      <c r="O9" s="259" t="s">
        <v>274</v>
      </c>
      <c r="P9" s="418">
        <v>0.70499999999999996</v>
      </c>
      <c r="Q9" s="418" t="b">
        <v>0</v>
      </c>
      <c r="R9" s="259" t="s">
        <v>274</v>
      </c>
      <c r="S9" s="418">
        <v>0.70499999999999996</v>
      </c>
      <c r="T9" s="418" t="b">
        <v>0</v>
      </c>
      <c r="U9" s="259" t="s">
        <v>274</v>
      </c>
      <c r="V9" s="418">
        <v>0.70499999999999996</v>
      </c>
      <c r="W9" s="418" t="b">
        <v>0</v>
      </c>
      <c r="Y9" s="415" t="str">
        <f>Parâmetros!E11</f>
        <v>Capgemini - Torre III</v>
      </c>
      <c r="Z9" s="416">
        <f>COLUMN(PercentuaisFases[[#Headers],[Fases do Ciclo de Vida / Artefatos 3]])</f>
        <v>9</v>
      </c>
      <c r="AA9" s="416">
        <f>COLUMN(PercentuaisFases[[#Headers],[Percentual 3]])</f>
        <v>10</v>
      </c>
      <c r="AB9" s="416">
        <f>COLUMN(PercentuaisFases[[#Headers],[Fábrica testes 3]])</f>
        <v>11</v>
      </c>
      <c r="AC9" s="415" t="b">
        <v>0</v>
      </c>
      <c r="AD9" s="416" t="b">
        <v>0</v>
      </c>
    </row>
    <row r="10" spans="1:30" x14ac:dyDescent="0.25">
      <c r="A10" s="255">
        <v>4</v>
      </c>
      <c r="B10" s="256"/>
      <c r="C10" s="256" t="s">
        <v>192</v>
      </c>
      <c r="D10" s="234">
        <f>SUM(D11:D12)</f>
        <v>0.105</v>
      </c>
      <c r="E10" s="234" t="b">
        <v>0</v>
      </c>
      <c r="F10" s="256" t="s">
        <v>192</v>
      </c>
      <c r="G10" s="234">
        <v>0.08</v>
      </c>
      <c r="H10" s="234" t="b">
        <v>1</v>
      </c>
      <c r="I10" s="256" t="s">
        <v>192</v>
      </c>
      <c r="J10" s="234">
        <v>0.08</v>
      </c>
      <c r="K10" s="234" t="b">
        <v>0</v>
      </c>
      <c r="L10" s="256" t="s">
        <v>192</v>
      </c>
      <c r="M10" s="234">
        <v>0.08</v>
      </c>
      <c r="N10" s="234" t="b">
        <v>0</v>
      </c>
      <c r="O10" s="256" t="s">
        <v>192</v>
      </c>
      <c r="P10" s="417">
        <v>0.08</v>
      </c>
      <c r="Q10" s="417" t="b">
        <v>0</v>
      </c>
      <c r="R10" s="256" t="s">
        <v>192</v>
      </c>
      <c r="S10" s="417">
        <v>0.08</v>
      </c>
      <c r="T10" s="417" t="b">
        <v>0</v>
      </c>
      <c r="U10" s="256" t="s">
        <v>192</v>
      </c>
      <c r="V10" s="417">
        <v>0.08</v>
      </c>
      <c r="W10" s="417" t="b">
        <v>0</v>
      </c>
      <c r="Y10" s="415" t="str">
        <f>Parâmetros!E12</f>
        <v>CPQD</v>
      </c>
      <c r="Z10" s="416">
        <f>COLUMN(PercentuaisFases[[#Headers],[Fases do Ciclo de Vida / Artefatos 3]])</f>
        <v>9</v>
      </c>
      <c r="AA10" s="416">
        <f>COLUMN(PercentuaisFases[[#Headers],[Percentual 3]])</f>
        <v>10</v>
      </c>
      <c r="AB10" s="416">
        <f>COLUMN(PercentuaisFases[[#Headers],[Fábrica testes 3]])</f>
        <v>11</v>
      </c>
      <c r="AC10" s="415" t="b">
        <v>0</v>
      </c>
      <c r="AD10" s="416" t="b">
        <v>0</v>
      </c>
    </row>
    <row r="11" spans="1:30" ht="25.5" x14ac:dyDescent="0.25">
      <c r="A11" s="258" t="s">
        <v>200</v>
      </c>
      <c r="B11" s="259" t="b">
        <v>1</v>
      </c>
      <c r="C11" s="259" t="s">
        <v>193</v>
      </c>
      <c r="D11" s="79">
        <v>7.4999999999999997E-2</v>
      </c>
      <c r="E11" s="79" t="b">
        <v>0</v>
      </c>
      <c r="F11" s="259" t="s">
        <v>193</v>
      </c>
      <c r="G11" s="79">
        <v>0.05</v>
      </c>
      <c r="H11" s="79" t="b">
        <v>1</v>
      </c>
      <c r="I11" s="259" t="s">
        <v>193</v>
      </c>
      <c r="J11" s="79">
        <v>0.05</v>
      </c>
      <c r="K11" s="79" t="b">
        <v>0</v>
      </c>
      <c r="L11" s="259" t="s">
        <v>193</v>
      </c>
      <c r="M11" s="79">
        <v>0.05</v>
      </c>
      <c r="N11" s="79" t="b">
        <v>0</v>
      </c>
      <c r="O11" s="259" t="s">
        <v>193</v>
      </c>
      <c r="P11" s="418">
        <v>0.05</v>
      </c>
      <c r="Q11" s="418" t="b">
        <v>0</v>
      </c>
      <c r="R11" s="259" t="s">
        <v>193</v>
      </c>
      <c r="S11" s="418">
        <v>0.05</v>
      </c>
      <c r="T11" s="418" t="b">
        <v>0</v>
      </c>
      <c r="U11" s="259" t="s">
        <v>193</v>
      </c>
      <c r="V11" s="418">
        <v>0.05</v>
      </c>
      <c r="W11" s="418" t="b">
        <v>0</v>
      </c>
      <c r="Y11" s="415" t="str">
        <f>Parâmetros!E13</f>
        <v>Experian</v>
      </c>
      <c r="Z11" s="416">
        <f>COLUMN(PercentuaisFases[[#Headers],[Fases do Ciclo de Vida / Artefatos 5]])</f>
        <v>15</v>
      </c>
      <c r="AA11" s="416">
        <f>COLUMN(PercentuaisFases[[#Headers],[Percentual 5]])</f>
        <v>16</v>
      </c>
      <c r="AB11" s="416">
        <f>COLUMN(PercentuaisFases[[#Headers],[Fábrica testes 5]])</f>
        <v>17</v>
      </c>
      <c r="AC11" s="415" t="b">
        <v>0</v>
      </c>
      <c r="AD11" s="416" t="b">
        <v>0</v>
      </c>
    </row>
    <row r="12" spans="1:30" ht="25.5" x14ac:dyDescent="0.25">
      <c r="A12" s="258" t="s">
        <v>201</v>
      </c>
      <c r="B12" s="259" t="b">
        <v>1</v>
      </c>
      <c r="C12" s="259" t="s">
        <v>194</v>
      </c>
      <c r="D12" s="79">
        <v>0.03</v>
      </c>
      <c r="E12" s="79" t="b">
        <v>0</v>
      </c>
      <c r="F12" s="259" t="s">
        <v>194</v>
      </c>
      <c r="G12" s="79">
        <v>0.03</v>
      </c>
      <c r="H12" s="79" t="b">
        <v>1</v>
      </c>
      <c r="I12" s="259" t="s">
        <v>194</v>
      </c>
      <c r="J12" s="79">
        <v>0.03</v>
      </c>
      <c r="K12" s="79" t="b">
        <v>0</v>
      </c>
      <c r="L12" s="259" t="s">
        <v>194</v>
      </c>
      <c r="M12" s="79">
        <v>0.03</v>
      </c>
      <c r="N12" s="79" t="b">
        <v>0</v>
      </c>
      <c r="O12" s="259" t="s">
        <v>194</v>
      </c>
      <c r="P12" s="418">
        <v>0.03</v>
      </c>
      <c r="Q12" s="418" t="b">
        <v>0</v>
      </c>
      <c r="R12" s="259" t="s">
        <v>194</v>
      </c>
      <c r="S12" s="418">
        <v>0.03</v>
      </c>
      <c r="T12" s="418" t="b">
        <v>0</v>
      </c>
      <c r="U12" s="259" t="s">
        <v>194</v>
      </c>
      <c r="V12" s="418">
        <v>0.03</v>
      </c>
      <c r="W12" s="418" t="b">
        <v>0</v>
      </c>
      <c r="Y12" s="415" t="str">
        <f>Parâmetros!E14</f>
        <v>Perlink</v>
      </c>
      <c r="Z12" s="416">
        <f>COLUMN(PercentuaisFases[[#Headers],[Fases do Ciclo de Vida / Artefatos 4]])</f>
        <v>12</v>
      </c>
      <c r="AA12" s="416">
        <f>COLUMN(PercentuaisFases[[#Headers],[Percentual 4]])</f>
        <v>13</v>
      </c>
      <c r="AB12" s="416">
        <f>COLUMN(PercentuaisFases[[#Headers],[Fábrica testes 4]])</f>
        <v>14</v>
      </c>
      <c r="AC12" s="415" t="b">
        <v>0</v>
      </c>
      <c r="AD12" s="416" t="b">
        <v>0</v>
      </c>
    </row>
    <row r="13" spans="1:30" x14ac:dyDescent="0.25">
      <c r="A13" s="255">
        <v>5</v>
      </c>
      <c r="B13" s="256"/>
      <c r="C13" s="256" t="s">
        <v>10</v>
      </c>
      <c r="D13" s="234">
        <f>SUM(D14)</f>
        <v>0.03</v>
      </c>
      <c r="E13" s="234" t="b">
        <v>0</v>
      </c>
      <c r="F13" s="256" t="s">
        <v>10</v>
      </c>
      <c r="G13" s="234">
        <v>5.5E-2</v>
      </c>
      <c r="H13" s="234" t="b">
        <v>0</v>
      </c>
      <c r="I13" s="256" t="s">
        <v>10</v>
      </c>
      <c r="J13" s="234">
        <v>5.5E-2</v>
      </c>
      <c r="K13" s="234" t="b">
        <v>0</v>
      </c>
      <c r="L13" s="256" t="s">
        <v>10</v>
      </c>
      <c r="M13" s="234">
        <v>5.5E-2</v>
      </c>
      <c r="N13" s="234" t="b">
        <v>0</v>
      </c>
      <c r="O13" s="256" t="s">
        <v>10</v>
      </c>
      <c r="P13" s="417">
        <v>5.5E-2</v>
      </c>
      <c r="Q13" s="417" t="b">
        <v>0</v>
      </c>
      <c r="R13" s="256" t="s">
        <v>10</v>
      </c>
      <c r="S13" s="417">
        <v>5.5E-2</v>
      </c>
      <c r="T13" s="417" t="b">
        <v>0</v>
      </c>
      <c r="U13" s="256" t="s">
        <v>10</v>
      </c>
      <c r="V13" s="417">
        <v>5.5E-2</v>
      </c>
      <c r="W13" s="417" t="b">
        <v>0</v>
      </c>
      <c r="Y13" s="257" t="str">
        <f>Parâmetros!E15</f>
        <v>Teradata</v>
      </c>
      <c r="Z13" s="257">
        <f>COLUMN(PercentuaisFases[[#Headers],[Fases do Ciclo de Vida / Artefatos 3]])</f>
        <v>9</v>
      </c>
      <c r="AA13" s="257">
        <f>COLUMN(PercentuaisFases[[#Headers],[Percentual 3]])</f>
        <v>10</v>
      </c>
      <c r="AB13" s="257">
        <f>COLUMN(PercentuaisFases[[#Headers],[Fábrica testes 3]])</f>
        <v>11</v>
      </c>
      <c r="AC13" s="26" t="b">
        <v>0</v>
      </c>
      <c r="AD13" s="257" t="b">
        <v>0</v>
      </c>
    </row>
    <row r="14" spans="1:30" x14ac:dyDescent="0.25">
      <c r="A14" s="258" t="s">
        <v>202</v>
      </c>
      <c r="B14" s="259" t="b">
        <v>1</v>
      </c>
      <c r="C14" s="259" t="s">
        <v>374</v>
      </c>
      <c r="D14" s="79">
        <v>0.03</v>
      </c>
      <c r="E14" s="79" t="b">
        <v>0</v>
      </c>
      <c r="F14" s="259" t="s">
        <v>374</v>
      </c>
      <c r="G14" s="79">
        <v>0.03</v>
      </c>
      <c r="H14" s="79" t="b">
        <v>0</v>
      </c>
      <c r="I14" s="259" t="s">
        <v>374</v>
      </c>
      <c r="J14" s="79">
        <v>0.03</v>
      </c>
      <c r="K14" s="79" t="b">
        <v>0</v>
      </c>
      <c r="L14" s="259" t="s">
        <v>374</v>
      </c>
      <c r="M14" s="79">
        <v>0.03</v>
      </c>
      <c r="N14" s="79" t="b">
        <v>0</v>
      </c>
      <c r="O14" s="259" t="s">
        <v>374</v>
      </c>
      <c r="P14" s="418">
        <v>0.03</v>
      </c>
      <c r="Q14" s="418" t="b">
        <v>0</v>
      </c>
      <c r="R14" s="259" t="s">
        <v>374</v>
      </c>
      <c r="S14" s="418">
        <v>0.03</v>
      </c>
      <c r="T14" s="418" t="b">
        <v>0</v>
      </c>
      <c r="U14" s="259" t="s">
        <v>374</v>
      </c>
      <c r="V14" s="418">
        <v>0.03</v>
      </c>
      <c r="W14" s="418" t="b">
        <v>0</v>
      </c>
      <c r="Y14" s="415" t="str">
        <f>Parâmetros!E16</f>
        <v>Triad</v>
      </c>
      <c r="Z14" s="416">
        <f>COLUMN(PercentuaisFases[[#Headers],[Fases do Ciclo de Vida / Artefatos 3]])</f>
        <v>9</v>
      </c>
      <c r="AA14" s="416">
        <f>COLUMN(PercentuaisFases[[#Headers],[Percentual 3]])</f>
        <v>10</v>
      </c>
      <c r="AB14" s="416">
        <f>COLUMN(PercentuaisFases[[#Headers],[Fábrica testes 3]])</f>
        <v>11</v>
      </c>
      <c r="AC14" s="415" t="b">
        <v>0</v>
      </c>
      <c r="AD14" s="416" t="b">
        <v>0</v>
      </c>
    </row>
    <row r="15" spans="1:30" x14ac:dyDescent="0.25">
      <c r="A15" s="260" t="s">
        <v>203</v>
      </c>
      <c r="B15" s="261" t="b">
        <v>1</v>
      </c>
      <c r="C15" s="261"/>
      <c r="D15" s="248"/>
      <c r="E15" s="249"/>
      <c r="F15" s="261" t="s">
        <v>281</v>
      </c>
      <c r="G15" s="248">
        <v>2.5000000000000001E-2</v>
      </c>
      <c r="H15" s="249" t="b">
        <v>0</v>
      </c>
      <c r="I15" s="261" t="s">
        <v>281</v>
      </c>
      <c r="J15" s="248">
        <v>2.5000000000000001E-2</v>
      </c>
      <c r="K15" s="249" t="b">
        <v>0</v>
      </c>
      <c r="L15" s="261" t="s">
        <v>281</v>
      </c>
      <c r="M15" s="248">
        <v>2.5000000000000001E-2</v>
      </c>
      <c r="N15" s="249" t="b">
        <v>0</v>
      </c>
      <c r="O15" s="261" t="s">
        <v>281</v>
      </c>
      <c r="P15" s="419">
        <v>2.5000000000000001E-2</v>
      </c>
      <c r="Q15" s="420" t="b">
        <v>0</v>
      </c>
      <c r="R15" s="261" t="s">
        <v>281</v>
      </c>
      <c r="S15" s="419">
        <v>2.5000000000000001E-2</v>
      </c>
      <c r="T15" s="420" t="b">
        <v>0</v>
      </c>
      <c r="U15" s="261" t="s">
        <v>281</v>
      </c>
      <c r="V15" s="419">
        <v>2.5000000000000001E-2</v>
      </c>
      <c r="W15" s="420" t="b">
        <v>0</v>
      </c>
      <c r="Y15" s="415" t="str">
        <f>Parâmetros!E17</f>
        <v>Wedo</v>
      </c>
      <c r="Z15" s="416">
        <f>COLUMN(PercentuaisFases[[#Headers],[Fases do Ciclo de Vida / Artefatos 5]])</f>
        <v>15</v>
      </c>
      <c r="AA15" s="416">
        <f>COLUMN(PercentuaisFases[[#Headers],[Percentual 5]])</f>
        <v>16</v>
      </c>
      <c r="AB15" s="416">
        <f>COLUMN(PercentuaisFases[[#Headers],[Fábrica testes 5]])</f>
        <v>17</v>
      </c>
      <c r="AC15" s="415" t="b">
        <v>0</v>
      </c>
      <c r="AD15" s="416" t="b">
        <v>0</v>
      </c>
    </row>
    <row r="16" spans="1:30" x14ac:dyDescent="0.25">
      <c r="A16" s="255">
        <v>6</v>
      </c>
      <c r="B16" s="256"/>
      <c r="C16" s="256" t="s">
        <v>32</v>
      </c>
      <c r="D16" s="250"/>
      <c r="E16" s="250" t="b">
        <v>0</v>
      </c>
      <c r="F16" s="256" t="s">
        <v>32</v>
      </c>
      <c r="G16" s="250"/>
      <c r="H16" s="250" t="b">
        <v>1</v>
      </c>
      <c r="I16" s="256" t="s">
        <v>32</v>
      </c>
      <c r="J16" s="250"/>
      <c r="K16" s="250" t="b">
        <v>0</v>
      </c>
      <c r="L16" s="256" t="s">
        <v>32</v>
      </c>
      <c r="M16" s="250"/>
      <c r="N16" s="250" t="b">
        <v>0</v>
      </c>
      <c r="O16" s="256" t="s">
        <v>32</v>
      </c>
      <c r="P16" s="421"/>
      <c r="Q16" s="421" t="b">
        <v>0</v>
      </c>
      <c r="R16" s="256" t="s">
        <v>32</v>
      </c>
      <c r="S16" s="421"/>
      <c r="T16" s="421" t="b">
        <v>0</v>
      </c>
      <c r="U16" s="256" t="s">
        <v>32</v>
      </c>
      <c r="V16" s="421"/>
      <c r="W16" s="421" t="b">
        <v>0</v>
      </c>
      <c r="Y16" s="415" t="str">
        <f>Parâmetros!E18</f>
        <v>Metatron</v>
      </c>
      <c r="Z16" s="416">
        <f>COLUMN(PercentuaisFases[[#Headers],[Fases do Ciclo de Vida / Artefatos 3]])</f>
        <v>9</v>
      </c>
      <c r="AA16" s="416">
        <f>COLUMN(PercentuaisFases[[#Headers],[Percentual 3]])</f>
        <v>10</v>
      </c>
      <c r="AB16" s="416">
        <f>COLUMN(PercentuaisFases[[#Headers],[Fábrica testes 3]])</f>
        <v>11</v>
      </c>
      <c r="AC16" s="415" t="b">
        <v>0</v>
      </c>
      <c r="AD16" s="416" t="b">
        <v>0</v>
      </c>
    </row>
    <row r="17" spans="1:30" x14ac:dyDescent="0.25">
      <c r="A17" s="262" t="s">
        <v>204</v>
      </c>
      <c r="B17" s="263" t="b">
        <v>1</v>
      </c>
      <c r="C17" s="263" t="s">
        <v>33</v>
      </c>
      <c r="D17" s="80">
        <v>7.4999999999999997E-2</v>
      </c>
      <c r="E17" s="79" t="b">
        <v>0</v>
      </c>
      <c r="F17" s="263" t="s">
        <v>33</v>
      </c>
      <c r="G17" s="80">
        <v>0.05</v>
      </c>
      <c r="H17" s="79" t="b">
        <v>1</v>
      </c>
      <c r="I17" s="263" t="s">
        <v>33</v>
      </c>
      <c r="J17" s="80">
        <v>0.05</v>
      </c>
      <c r="K17" s="79" t="b">
        <v>0</v>
      </c>
      <c r="L17" s="263" t="s">
        <v>33</v>
      </c>
      <c r="M17" s="80">
        <v>0.05</v>
      </c>
      <c r="N17" s="79" t="b">
        <v>0</v>
      </c>
      <c r="O17" s="263" t="s">
        <v>33</v>
      </c>
      <c r="P17" s="422">
        <v>0.05</v>
      </c>
      <c r="Q17" s="418" t="b">
        <v>0</v>
      </c>
      <c r="R17" s="263" t="s">
        <v>33</v>
      </c>
      <c r="S17" s="422">
        <v>0.05</v>
      </c>
      <c r="T17" s="418" t="b">
        <v>0</v>
      </c>
      <c r="U17" s="263" t="s">
        <v>33</v>
      </c>
      <c r="V17" s="422">
        <v>0.05</v>
      </c>
      <c r="W17" s="418" t="b">
        <v>0</v>
      </c>
      <c r="Y17" s="415" t="str">
        <f>Parâmetros!E19</f>
        <v>Capgemini - Torre VI</v>
      </c>
      <c r="Z17" s="416">
        <f>COLUMN(PercentuaisFases[[#Headers],[Fases do Ciclo de Vida / Artefatos 3]])</f>
        <v>9</v>
      </c>
      <c r="AA17" s="416">
        <f>COLUMN(PercentuaisFases[[#Headers],[Percentual 3]])</f>
        <v>10</v>
      </c>
      <c r="AB17" s="416">
        <f>COLUMN(PercentuaisFases[[#Headers],[Fábrica testes 3]])</f>
        <v>11</v>
      </c>
      <c r="AC17" s="415" t="b">
        <v>0</v>
      </c>
      <c r="AD17" s="416" t="b">
        <v>0</v>
      </c>
    </row>
    <row r="18" spans="1:30" x14ac:dyDescent="0.25">
      <c r="A18" s="262" t="s">
        <v>205</v>
      </c>
      <c r="B18" s="263" t="b">
        <v>1</v>
      </c>
      <c r="C18" s="263" t="s">
        <v>18</v>
      </c>
      <c r="D18" s="80">
        <v>0.03</v>
      </c>
      <c r="E18" s="79" t="b">
        <v>0</v>
      </c>
      <c r="F18" s="263" t="s">
        <v>18</v>
      </c>
      <c r="G18" s="80">
        <v>0.03</v>
      </c>
      <c r="H18" s="79" t="b">
        <v>1</v>
      </c>
      <c r="I18" s="263" t="s">
        <v>18</v>
      </c>
      <c r="J18" s="80">
        <v>0.03</v>
      </c>
      <c r="K18" s="79" t="b">
        <v>0</v>
      </c>
      <c r="L18" s="263" t="s">
        <v>18</v>
      </c>
      <c r="M18" s="80">
        <v>0.03</v>
      </c>
      <c r="N18" s="79" t="b">
        <v>0</v>
      </c>
      <c r="O18" s="263" t="s">
        <v>18</v>
      </c>
      <c r="P18" s="422">
        <v>0.03</v>
      </c>
      <c r="Q18" s="418" t="b">
        <v>0</v>
      </c>
      <c r="R18" s="263" t="s">
        <v>18</v>
      </c>
      <c r="S18" s="422">
        <v>0.03</v>
      </c>
      <c r="T18" s="418" t="b">
        <v>0</v>
      </c>
      <c r="U18" s="263" t="s">
        <v>18</v>
      </c>
      <c r="V18" s="422">
        <v>0.03</v>
      </c>
      <c r="W18" s="418" t="b">
        <v>0</v>
      </c>
      <c r="Y18" s="415" t="str">
        <f>Parâmetros!E20</f>
        <v>Asga</v>
      </c>
      <c r="Z18" s="416">
        <f>COLUMN(PercentuaisFases[[#Headers],[Fases do Ciclo de Vida / Artefatos 3]])</f>
        <v>9</v>
      </c>
      <c r="AA18" s="416">
        <f>COLUMN(PercentuaisFases[[#Headers],[Percentual 3]])</f>
        <v>10</v>
      </c>
      <c r="AB18" s="416">
        <f>COLUMN(PercentuaisFases[[#Headers],[Fábrica testes 3]])</f>
        <v>11</v>
      </c>
      <c r="AC18" s="415" t="b">
        <v>0</v>
      </c>
      <c r="AD18" s="416" t="b">
        <v>1</v>
      </c>
    </row>
    <row r="19" spans="1:30" x14ac:dyDescent="0.25">
      <c r="A19" s="262" t="s">
        <v>275</v>
      </c>
      <c r="B19" s="263" t="b">
        <v>1</v>
      </c>
      <c r="C19" s="263" t="s">
        <v>87</v>
      </c>
      <c r="D19" s="80">
        <v>7.0000000000000007E-2</v>
      </c>
      <c r="E19" s="79" t="b">
        <v>0</v>
      </c>
      <c r="F19" s="263" t="s">
        <v>87</v>
      </c>
      <c r="G19" s="80">
        <v>7.0000000000000007E-2</v>
      </c>
      <c r="H19" s="79" t="b">
        <v>0</v>
      </c>
      <c r="I19" s="263" t="s">
        <v>87</v>
      </c>
      <c r="J19" s="80">
        <v>7.0000000000000007E-2</v>
      </c>
      <c r="K19" s="79" t="b">
        <v>0</v>
      </c>
      <c r="L19" s="263" t="s">
        <v>87</v>
      </c>
      <c r="M19" s="80">
        <v>7.0000000000000007E-2</v>
      </c>
      <c r="N19" s="79" t="b">
        <v>0</v>
      </c>
      <c r="O19" s="263" t="s">
        <v>87</v>
      </c>
      <c r="P19" s="422">
        <v>7.0000000000000007E-2</v>
      </c>
      <c r="Q19" s="418" t="b">
        <v>0</v>
      </c>
      <c r="R19" s="263" t="s">
        <v>87</v>
      </c>
      <c r="S19" s="422">
        <v>7.0000000000000007E-2</v>
      </c>
      <c r="T19" s="418" t="b">
        <v>0</v>
      </c>
      <c r="U19" s="263" t="s">
        <v>87</v>
      </c>
      <c r="V19" s="422">
        <v>7.0000000000000007E-2</v>
      </c>
      <c r="W19" s="418" t="b">
        <v>0</v>
      </c>
      <c r="Y19" s="415" t="str">
        <f>Parâmetros!E21</f>
        <v>HP</v>
      </c>
      <c r="Z19" s="416">
        <f>COLUMN(PercentuaisFases[[#Headers],[Fases do Ciclo de Vida / Artefatos 3]])</f>
        <v>9</v>
      </c>
      <c r="AA19" s="416">
        <f>COLUMN(PercentuaisFases[[#Headers],[Percentual 3]])</f>
        <v>10</v>
      </c>
      <c r="AB19" s="416">
        <f>COLUMN(PercentuaisFases[[#Headers],[Fábrica testes 3]])</f>
        <v>11</v>
      </c>
      <c r="AC19" s="415" t="b">
        <v>0</v>
      </c>
      <c r="AD19" s="416" t="b">
        <v>1</v>
      </c>
    </row>
    <row r="20" spans="1:30" x14ac:dyDescent="0.25">
      <c r="A20" s="264">
        <v>7</v>
      </c>
      <c r="B20" s="265"/>
      <c r="C20" s="265" t="s">
        <v>88</v>
      </c>
      <c r="D20" s="250"/>
      <c r="E20" s="251" t="b">
        <v>0</v>
      </c>
      <c r="F20" s="265" t="s">
        <v>88</v>
      </c>
      <c r="G20" s="250"/>
      <c r="H20" s="251" t="b">
        <v>0</v>
      </c>
      <c r="I20" s="265" t="s">
        <v>88</v>
      </c>
      <c r="J20" s="250"/>
      <c r="K20" s="251" t="b">
        <v>0</v>
      </c>
      <c r="L20" s="265" t="s">
        <v>88</v>
      </c>
      <c r="M20" s="250"/>
      <c r="N20" s="251" t="b">
        <v>0</v>
      </c>
      <c r="O20" s="265" t="s">
        <v>88</v>
      </c>
      <c r="P20" s="421"/>
      <c r="Q20" s="423" t="b">
        <v>0</v>
      </c>
      <c r="R20" s="265" t="s">
        <v>88</v>
      </c>
      <c r="S20" s="421"/>
      <c r="T20" s="423" t="b">
        <v>0</v>
      </c>
      <c r="U20" s="265" t="s">
        <v>88</v>
      </c>
      <c r="V20" s="421"/>
      <c r="W20" s="423" t="b">
        <v>0</v>
      </c>
      <c r="Y20" s="415" t="str">
        <f>Parâmetros!E22</f>
        <v>Procwork</v>
      </c>
      <c r="Z20" s="416">
        <f>COLUMN(PercentuaisFases[[#Headers],[Fases do Ciclo de Vida / Artefatos 3]])</f>
        <v>9</v>
      </c>
      <c r="AA20" s="416">
        <f>COLUMN(PercentuaisFases[[#Headers],[Percentual 3]])</f>
        <v>10</v>
      </c>
      <c r="AB20" s="416">
        <f>COLUMN(PercentuaisFases[[#Headers],[Fábrica testes 3]])</f>
        <v>11</v>
      </c>
      <c r="AC20" s="415" t="b">
        <v>0</v>
      </c>
      <c r="AD20" s="416" t="b">
        <v>1</v>
      </c>
    </row>
    <row r="21" spans="1:30" x14ac:dyDescent="0.25">
      <c r="A21" s="266" t="s">
        <v>206</v>
      </c>
      <c r="B21" s="267"/>
      <c r="C21" s="267" t="s">
        <v>88</v>
      </c>
      <c r="D21" s="81">
        <v>0.15</v>
      </c>
      <c r="E21" s="147" t="b">
        <v>0</v>
      </c>
      <c r="F21" s="267" t="s">
        <v>88</v>
      </c>
      <c r="G21" s="81">
        <v>0.18</v>
      </c>
      <c r="H21" s="147" t="b">
        <v>0</v>
      </c>
      <c r="I21" s="267" t="s">
        <v>88</v>
      </c>
      <c r="J21" s="81">
        <v>0.1</v>
      </c>
      <c r="K21" s="147" t="b">
        <v>0</v>
      </c>
      <c r="L21" s="267" t="s">
        <v>88</v>
      </c>
      <c r="M21" s="81">
        <v>0.16</v>
      </c>
      <c r="N21" s="147" t="b">
        <v>0</v>
      </c>
      <c r="O21" s="267" t="s">
        <v>88</v>
      </c>
      <c r="P21" s="424">
        <v>0.15</v>
      </c>
      <c r="Q21" s="425" t="b">
        <v>0</v>
      </c>
      <c r="R21" s="267" t="s">
        <v>88</v>
      </c>
      <c r="S21" s="424">
        <v>0.17</v>
      </c>
      <c r="T21" s="425" t="b">
        <v>0</v>
      </c>
      <c r="U21" s="267" t="s">
        <v>88</v>
      </c>
      <c r="V21" s="424">
        <v>0.12</v>
      </c>
      <c r="W21" s="425" t="b">
        <v>0</v>
      </c>
      <c r="Y21" s="415" t="str">
        <f>Parâmetros!E23</f>
        <v>Cleartech</v>
      </c>
      <c r="Z21" s="416">
        <f>COLUMN(PercentuaisFases[[#Headers],[Fases do Ciclo de Vida / Artefatos 3]])</f>
        <v>9</v>
      </c>
      <c r="AA21" s="416">
        <f>COLUMN(PercentuaisFases[[#Headers],[Percentual 3]])</f>
        <v>10</v>
      </c>
      <c r="AB21" s="416">
        <f>COLUMN(PercentuaisFases[[#Headers],[Fábrica testes 3]])</f>
        <v>11</v>
      </c>
      <c r="AC21" s="415" t="b">
        <v>0</v>
      </c>
      <c r="AD21" s="416" t="b">
        <v>0</v>
      </c>
    </row>
    <row r="22" spans="1:30" x14ac:dyDescent="0.25">
      <c r="Y22" s="415" t="str">
        <f>Parâmetros!E24</f>
        <v>Squadra - Torre IV</v>
      </c>
      <c r="Z22" s="416">
        <f>COLUMN(PercentuaisFases[[#Headers],[Fases do Ciclo de Vida / Artefatos 3]])</f>
        <v>9</v>
      </c>
      <c r="AA22" s="416">
        <f>COLUMN(PercentuaisFases[[#Headers],[Percentual 3]])</f>
        <v>10</v>
      </c>
      <c r="AB22" s="416">
        <f>COLUMN(PercentuaisFases[[#Headers],[Fábrica testes 3]])</f>
        <v>11</v>
      </c>
      <c r="AC22" s="415" t="b">
        <v>0</v>
      </c>
      <c r="AD22" s="416" t="b">
        <v>0</v>
      </c>
    </row>
    <row r="23" spans="1:30" x14ac:dyDescent="0.25">
      <c r="Y23" s="415" t="str">
        <f>Parâmetros!E25</f>
        <v>IBM - Torre IV</v>
      </c>
      <c r="Z23" s="416">
        <f>COLUMN(PercentuaisFases[[#Headers],[Fases do Ciclo de Vida / Artefatos 5]])</f>
        <v>15</v>
      </c>
      <c r="AA23" s="416">
        <f>COLUMN(PercentuaisFases[[#Headers],[Percentual 5]])</f>
        <v>16</v>
      </c>
      <c r="AB23" s="416">
        <f>COLUMN(PercentuaisFases[[#Headers],[Fábrica testes 5]])</f>
        <v>17</v>
      </c>
      <c r="AC23" s="415" t="b">
        <v>0</v>
      </c>
      <c r="AD23" s="416" t="b">
        <v>0</v>
      </c>
    </row>
    <row r="24" spans="1:30" x14ac:dyDescent="0.25">
      <c r="Y24" s="415" t="str">
        <f>Parâmetros!E26</f>
        <v>TQI</v>
      </c>
      <c r="Z24" s="416">
        <f>COLUMN(PercentuaisFases[[#Headers],[Fases do Ciclo de Vida / Artefatos 3]])</f>
        <v>9</v>
      </c>
      <c r="AA24" s="416">
        <f>COLUMN(PercentuaisFases[[#Headers],[Percentual 3]])</f>
        <v>10</v>
      </c>
      <c r="AB24" s="416">
        <f>COLUMN(PercentuaisFases[[#Headers],[Fábrica testes 3]])</f>
        <v>11</v>
      </c>
      <c r="AC24" s="415" t="b">
        <v>0</v>
      </c>
      <c r="AD24" s="416" t="b">
        <v>0</v>
      </c>
    </row>
    <row r="25" spans="1:30" x14ac:dyDescent="0.25">
      <c r="Y25" s="415" t="str">
        <f>Parâmetros!E27</f>
        <v>Amdocs</v>
      </c>
      <c r="Z25" s="416">
        <f>COLUMN(PercentuaisFases[[#Headers],[Fases do Ciclo de Vida / Artefatos 6]])</f>
        <v>18</v>
      </c>
      <c r="AA25" s="416">
        <f>COLUMN(PercentuaisFases[[#Headers],[Percentual 6]])</f>
        <v>19</v>
      </c>
      <c r="AB25" s="416">
        <f>COLUMN(PercentuaisFases[[#Headers],[Fábrica testes 6]])</f>
        <v>20</v>
      </c>
      <c r="AC25" s="415" t="b">
        <v>0</v>
      </c>
      <c r="AD25" s="416" t="b">
        <v>0</v>
      </c>
    </row>
    <row r="26" spans="1:30" x14ac:dyDescent="0.25">
      <c r="Y26" s="415" t="str">
        <f>Parâmetros!E28</f>
        <v>iFactory</v>
      </c>
      <c r="Z26" s="416">
        <f>COLUMN(PercentuaisFases[[#Headers],[Fases do Ciclo de Vida / Artefatos 3]])</f>
        <v>9</v>
      </c>
      <c r="AA26" s="416">
        <f>COLUMN(PercentuaisFases[[#Headers],[Percentual 3]])</f>
        <v>10</v>
      </c>
      <c r="AB26" s="416">
        <f>COLUMN(PercentuaisFases[[#Headers],[Fábrica testes 3]])</f>
        <v>11</v>
      </c>
      <c r="AC26" s="415" t="b">
        <v>0</v>
      </c>
      <c r="AD26" s="416" t="b">
        <v>0</v>
      </c>
    </row>
    <row r="27" spans="1:30" x14ac:dyDescent="0.25">
      <c r="Y27" s="415" t="str">
        <f>Parâmetros!E29</f>
        <v>VP Consulting</v>
      </c>
      <c r="Z27" s="416">
        <f>COLUMN(PercentuaisFases[[#Headers],[Fases do Ciclo de Vida / Artefatos 7]])</f>
        <v>21</v>
      </c>
      <c r="AA27" s="416">
        <f>COLUMN(PercentuaisFases[[#Headers],[Percentual 7]])</f>
        <v>22</v>
      </c>
      <c r="AB27" s="416">
        <f>COLUMN(PercentuaisFases[[#Headers],[Fábrica testes 7]])</f>
        <v>23</v>
      </c>
      <c r="AC27" s="415" t="b">
        <v>0</v>
      </c>
      <c r="AD27" s="416" t="b">
        <v>0</v>
      </c>
    </row>
    <row r="28" spans="1:30" x14ac:dyDescent="0.25">
      <c r="Y28" s="26" t="s">
        <v>494</v>
      </c>
      <c r="Z28" s="257">
        <f>COLUMN(PercentuaisFases[[#Headers],[Fases do Ciclo de Vida / Artefatos 2]])</f>
        <v>6</v>
      </c>
      <c r="AA28" s="257">
        <f>COLUMN(PercentuaisFases[[#Headers],[Percentual 2]])</f>
        <v>7</v>
      </c>
      <c r="AB28" s="257">
        <f>COLUMN(PercentuaisFases[[#Headers],[Fábrica testes 2]])</f>
        <v>8</v>
      </c>
      <c r="AC28" s="26" t="b">
        <v>1</v>
      </c>
      <c r="AD28" s="257" t="b">
        <v>0</v>
      </c>
    </row>
  </sheetData>
  <sheetProtection algorithmName="SHA-512" hashValue="dBOqETPeRCifTxq7JZ1K6+NXqmMeVaeXYA8RWJNKfGNYz54BNKYrSiFYOHIA73nu6ZRIY91SF7gGUsWAi/b8DA==" saltValue="LscZFcLaJUYDtDeDQRc3tA==" spinCount="100000" sheet="1" objects="1" scenarios="1"/>
  <dataValidations count="2">
    <dataValidation type="list" allowBlank="1" showInputMessage="1" showErrorMessage="1" sqref="H3:H21 E3:E21 J5:J21 W3:W21 B3:B21 I20:I21 I7:I13 I15:I18 K3:K21 N3:N21 Q3:Q21 T3:T21 AC3:AD28">
      <formula1>True_False</formula1>
    </dataValidation>
    <dataValidation showDropDown="1" showInputMessage="1" showErrorMessage="1" sqref="J4"/>
  </dataValidations>
  <pageMargins left="0.7" right="0.7" top="0.75" bottom="0.75" header="0.3" footer="0.3"/>
  <pageSetup paperSize="9" orientation="portrait" horizontalDpi="4294967295" verticalDpi="4294967295" r:id="rId1"/>
  <ignoredErrors>
    <ignoredError sqref="AC12:AD13 AC16:AD16 AC21:AC22 AC24 AC23 AC11 AC15 AC14" calculatedColumn="1"/>
    <ignoredError sqref="I7:I13 I20:I21 K3:K18 K20:K21 I15:I18 J5:J21" listDataValidation="1"/>
    <ignoredError sqref="Z12:AB12 Z15:AB20 Z23:AB23 Z25:AB25" formula="1"/>
    <ignoredError sqref="Z24:AB24 Z21:AB22" formula="1" calculatedColumn="1"/>
  </ignoredErrors>
  <legacyDrawing r:id="rId2"/>
  <tableParts count="2">
    <tablePart r:id="rId3"/>
    <tablePart r:id="rId4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5"/>
  </sheetPr>
  <dimension ref="A2:M35"/>
  <sheetViews>
    <sheetView showGridLines="0" topLeftCell="E1" zoomScale="80" zoomScaleNormal="80" workbookViewId="0">
      <selection activeCell="L28" sqref="L28:M28"/>
    </sheetView>
  </sheetViews>
  <sheetFormatPr defaultRowHeight="15" x14ac:dyDescent="0.25"/>
  <cols>
    <col min="1" max="1" width="12.85546875" bestFit="1" customWidth="1"/>
    <col min="2" max="2" width="33.7109375" bestFit="1" customWidth="1"/>
    <col min="3" max="3" width="21.42578125" bestFit="1" customWidth="1"/>
    <col min="4" max="4" width="63.42578125" bestFit="1" customWidth="1"/>
    <col min="5" max="5" width="12.85546875" bestFit="1" customWidth="1"/>
    <col min="6" max="6" width="33.7109375" bestFit="1" customWidth="1"/>
    <col min="7" max="7" width="21.42578125" bestFit="1" customWidth="1"/>
    <col min="8" max="8" width="63.42578125" bestFit="1" customWidth="1"/>
    <col min="11" max="11" width="20.28515625" bestFit="1" customWidth="1"/>
    <col min="12" max="12" width="8.42578125" bestFit="1" customWidth="1"/>
    <col min="13" max="13" width="30.5703125" bestFit="1" customWidth="1"/>
  </cols>
  <sheetData>
    <row r="2" spans="1:13" x14ac:dyDescent="0.25">
      <c r="A2" s="87" t="s">
        <v>210</v>
      </c>
      <c r="B2" s="87" t="s">
        <v>234</v>
      </c>
      <c r="C2" s="87" t="s">
        <v>262</v>
      </c>
      <c r="D2" s="87" t="s">
        <v>263</v>
      </c>
      <c r="E2" s="87" t="s">
        <v>211</v>
      </c>
      <c r="F2" s="87" t="s">
        <v>235</v>
      </c>
      <c r="G2" s="87" t="s">
        <v>264</v>
      </c>
      <c r="H2" s="87" t="s">
        <v>265</v>
      </c>
      <c r="K2" t="s">
        <v>142</v>
      </c>
      <c r="L2" t="s">
        <v>266</v>
      </c>
      <c r="M2" t="s">
        <v>237</v>
      </c>
    </row>
    <row r="3" spans="1:13" x14ac:dyDescent="0.25">
      <c r="A3" s="86" t="str">
        <f>IF(ItensNaoFuncionais[[#This Row],[Lista 1]]="","",IF(AND(FabricaTestes=TRUE,ItensNaoFuncionais[[#This Row],[Fabrica Testes 1]]=TRUE),"",ItensNaoFuncionais[[#This Row],[Lista 1]]))</f>
        <v>Alocação de recursos / Serviços de consultoria</v>
      </c>
      <c r="B3" s="86" t="b">
        <v>1</v>
      </c>
      <c r="C3" s="86" t="b">
        <v>0</v>
      </c>
      <c r="D3" s="86" t="s">
        <v>212</v>
      </c>
      <c r="E3" s="86" t="str">
        <f>IF(ItensNaoFuncionais[[#This Row],[Lista 2]]="","",IF(AND(FabricaTestes=TRUE,ItensNaoFuncionais[[#This Row],[Fabrica Testes 2]]=TRUE),"",ItensNaoFuncionais[[#This Row],[Lista 2]]))</f>
        <v>Alocação de recursos / Serviços de consultoria</v>
      </c>
      <c r="F3" s="86" t="b">
        <v>1</v>
      </c>
      <c r="G3" s="86" t="b">
        <v>0</v>
      </c>
      <c r="H3" s="86" t="s">
        <v>212</v>
      </c>
      <c r="K3" t="str">
        <f>Parâmetros!E5</f>
        <v>IBM - Torre I</v>
      </c>
      <c r="L3" t="str">
        <f>ItensNaoFuncionais[[#Headers],[Itens 1]]</f>
        <v>Itens 1</v>
      </c>
      <c r="M3" t="str">
        <f>ItensNaoFuncionais[[#Headers],[Descrição obrigatoria item 1?]]</f>
        <v>Descrição obrigatoria item 1?</v>
      </c>
    </row>
    <row r="4" spans="1:13" x14ac:dyDescent="0.25">
      <c r="A4" s="86" t="str">
        <f>IF(ItensNaoFuncionais[[#This Row],[Lista 1]]="","",IF(AND(FabricaTestes=TRUE,ItensNaoFuncionais[[#This Row],[Fabrica Testes 1]]=TRUE),"",ItensNaoFuncionais[[#This Row],[Lista 1]]))</f>
        <v>Script de monitoramento da aplicação</v>
      </c>
      <c r="B4" s="86" t="b">
        <v>0</v>
      </c>
      <c r="C4" s="86" t="b">
        <v>0</v>
      </c>
      <c r="D4" s="86" t="s">
        <v>213</v>
      </c>
      <c r="E4" s="86" t="str">
        <f>IF(ItensNaoFuncionais[[#This Row],[Lista 2]]="","",IF(AND(FabricaTestes=TRUE,ItensNaoFuncionais[[#This Row],[Fabrica Testes 2]]=TRUE),"",ItensNaoFuncionais[[#This Row],[Lista 2]]))</f>
        <v>Script de monitoramento da aplicação</v>
      </c>
      <c r="F4" s="86" t="b">
        <v>0</v>
      </c>
      <c r="G4" s="86" t="b">
        <v>0</v>
      </c>
      <c r="H4" s="86" t="s">
        <v>213</v>
      </c>
      <c r="K4" t="str">
        <f>Parâmetros!E6</f>
        <v>IBM - Torre VII</v>
      </c>
      <c r="L4" t="str">
        <f>ItensNaoFuncionais[[#Headers],[Itens 1]]</f>
        <v>Itens 1</v>
      </c>
      <c r="M4" t="str">
        <f>ItensNaoFuncionais[[#Headers],[Descrição obrigatoria item 1?]]</f>
        <v>Descrição obrigatoria item 1?</v>
      </c>
    </row>
    <row r="5" spans="1:13" x14ac:dyDescent="0.25">
      <c r="A5" s="86" t="str">
        <f>IF(ItensNaoFuncionais[[#This Row],[Lista 1]]="","",IF(AND(FabricaTestes=TRUE,ItensNaoFuncionais[[#This Row],[Fabrica Testes 1]]=TRUE),"",ItensNaoFuncionais[[#This Row],[Lista 1]]))</f>
        <v>Suporte operacional</v>
      </c>
      <c r="B5" s="86" t="b">
        <v>0</v>
      </c>
      <c r="C5" s="86" t="b">
        <v>0</v>
      </c>
      <c r="D5" s="86" t="s">
        <v>214</v>
      </c>
      <c r="E5" s="86" t="str">
        <f>IF(ItensNaoFuncionais[[#This Row],[Lista 2]]="","",IF(AND(FabricaTestes=TRUE,ItensNaoFuncionais[[#This Row],[Fabrica Testes 2]]=TRUE),"",ItensNaoFuncionais[[#This Row],[Lista 2]]))</f>
        <v>Suporte operacional</v>
      </c>
      <c r="F5" s="86" t="b">
        <v>0</v>
      </c>
      <c r="G5" s="86" t="b">
        <v>0</v>
      </c>
      <c r="H5" s="86" t="s">
        <v>214</v>
      </c>
      <c r="K5" t="str">
        <f>Parâmetros!E7</f>
        <v>Accenture - Torre II</v>
      </c>
      <c r="L5" t="str">
        <f>ItensNaoFuncionais[[#Headers],[Itens 2]]</f>
        <v>Itens 2</v>
      </c>
      <c r="M5" t="str">
        <f>ItensNaoFuncionais[[#Headers],[Descrição obrigatoria item 2?]]</f>
        <v>Descrição obrigatoria item 2?</v>
      </c>
    </row>
    <row r="6" spans="1:13" x14ac:dyDescent="0.25">
      <c r="A6" s="86" t="str">
        <f>IF(ItensNaoFuncionais[[#This Row],[Lista 1]]="","",IF(AND(FabricaTestes=TRUE,ItensNaoFuncionais[[#This Row],[Fabrica Testes 1]]=TRUE),"",ItensNaoFuncionais[[#This Row],[Lista 1]]))</f>
        <v>Treinamento</v>
      </c>
      <c r="B6" s="86" t="b">
        <v>0</v>
      </c>
      <c r="C6" s="86" t="b">
        <v>0</v>
      </c>
      <c r="D6" s="86" t="s">
        <v>11</v>
      </c>
      <c r="E6" s="86" t="str">
        <f>IF(ItensNaoFuncionais[[#This Row],[Lista 2]]="","",IF(AND(FabricaTestes=TRUE,ItensNaoFuncionais[[#This Row],[Fabrica Testes 2]]=TRUE),"",ItensNaoFuncionais[[#This Row],[Lista 2]]))</f>
        <v>Treinamento</v>
      </c>
      <c r="F6" s="86" t="b">
        <v>0</v>
      </c>
      <c r="G6" s="86" t="b">
        <v>0</v>
      </c>
      <c r="H6" s="86" t="s">
        <v>11</v>
      </c>
      <c r="K6" t="str">
        <f>Parâmetros!E8</f>
        <v>Accenture - Torre IV</v>
      </c>
      <c r="L6" t="str">
        <f>ItensNaoFuncionais[[#Headers],[Itens 2]]</f>
        <v>Itens 2</v>
      </c>
      <c r="M6" t="str">
        <f>ItensNaoFuncionais[[#Headers],[Descrição obrigatoria item 2?]]</f>
        <v>Descrição obrigatoria item 2?</v>
      </c>
    </row>
    <row r="7" spans="1:13" x14ac:dyDescent="0.25">
      <c r="A7" s="86" t="str">
        <f>IF(ItensNaoFuncionais[[#This Row],[Lista 1]]="","",IF(AND(FabricaTestes=TRUE,ItensNaoFuncionais[[#This Row],[Fabrica Testes 1]]=TRUE),"",ItensNaoFuncionais[[#This Row],[Lista 1]]))</f>
        <v xml:space="preserve">Cenários Extras TI/UAT </v>
      </c>
      <c r="B7" s="142" t="b">
        <v>0</v>
      </c>
      <c r="C7" s="142" t="b">
        <v>0</v>
      </c>
      <c r="D7" s="142" t="s">
        <v>277</v>
      </c>
      <c r="E7" s="86" t="str">
        <f>IF(ItensNaoFuncionais[[#This Row],[Lista 2]]="","",IF(AND(FabricaTestes=TRUE,ItensNaoFuncionais[[#This Row],[Fabrica Testes 2]]=TRUE),"",ItensNaoFuncionais[[#This Row],[Lista 2]]))</f>
        <v/>
      </c>
      <c r="F7" s="142" t="b">
        <v>0</v>
      </c>
      <c r="G7" s="142" t="b">
        <v>1</v>
      </c>
      <c r="H7" s="142" t="s">
        <v>277</v>
      </c>
      <c r="K7" t="str">
        <f>Parâmetros!E9</f>
        <v>PTI</v>
      </c>
      <c r="L7" s="208" t="str">
        <f>ItensNaoFuncionais[[#Headers],[Itens 1]]</f>
        <v>Itens 1</v>
      </c>
      <c r="M7" s="208" t="str">
        <f>ItensNaoFuncionais[[#Headers],[Descrição obrigatoria item 1?]]</f>
        <v>Descrição obrigatoria item 1?</v>
      </c>
    </row>
    <row r="8" spans="1:13" x14ac:dyDescent="0.25">
      <c r="A8" s="86" t="str">
        <f>IF(ItensNaoFuncionais[[#This Row],[Lista 1]]="","",IF(AND(FabricaTestes=TRUE,ItensNaoFuncionais[[#This Row],[Fabrica Testes 1]]=TRUE),"",ItensNaoFuncionais[[#This Row],[Lista 1]]))</f>
        <v>Geração de massa de dados para testes</v>
      </c>
      <c r="B8" s="142" t="b">
        <v>0</v>
      </c>
      <c r="C8" s="142" t="b">
        <v>0</v>
      </c>
      <c r="D8" s="142" t="s">
        <v>36</v>
      </c>
      <c r="E8" s="86" t="str">
        <f>IF(ItensNaoFuncionais[[#This Row],[Lista 2]]="","",IF(AND(FabricaTestes=TRUE,ItensNaoFuncionais[[#This Row],[Fabrica Testes 2]]=TRUE),"",ItensNaoFuncionais[[#This Row],[Lista 2]]))</f>
        <v/>
      </c>
      <c r="F8" s="142" t="b">
        <v>0</v>
      </c>
      <c r="G8" s="142" t="b">
        <v>1</v>
      </c>
      <c r="H8" s="142" t="s">
        <v>36</v>
      </c>
      <c r="K8" t="str">
        <f>Parâmetros!E10</f>
        <v>3CON</v>
      </c>
      <c r="L8" s="208" t="str">
        <f>ItensNaoFuncionais[[#Headers],[Itens 1]]</f>
        <v>Itens 1</v>
      </c>
      <c r="M8" s="208" t="str">
        <f>ItensNaoFuncionais[[#Headers],[Descrição obrigatoria item 1?]]</f>
        <v>Descrição obrigatoria item 1?</v>
      </c>
    </row>
    <row r="9" spans="1:13" x14ac:dyDescent="0.25">
      <c r="A9" s="86" t="str">
        <f>IF(ItensNaoFuncionais[[#This Row],[Lista 1]]="","",IF(AND(FabricaTestes=TRUE,ItensNaoFuncionais[[#This Row],[Fabrica Testes 1]]=TRUE),"",ItensNaoFuncionais[[#This Row],[Lista 1]]))</f>
        <v>Suporte a Testes (sistema sem impacto em desenvolvimento)</v>
      </c>
      <c r="B9" s="142" t="b">
        <v>0</v>
      </c>
      <c r="C9" s="142" t="b">
        <v>0</v>
      </c>
      <c r="D9" s="142" t="s">
        <v>276</v>
      </c>
      <c r="E9" s="86" t="str">
        <f>IF(ItensNaoFuncionais[[#This Row],[Lista 2]]="","",IF(AND(FabricaTestes=TRUE,ItensNaoFuncionais[[#This Row],[Fabrica Testes 2]]=TRUE),"",ItensNaoFuncionais[[#This Row],[Lista 2]]))</f>
        <v>Suporte a Testes (sistema sem impacto em desenvolvimento)</v>
      </c>
      <c r="F9" s="142" t="b">
        <v>0</v>
      </c>
      <c r="G9" s="142" t="b">
        <v>0</v>
      </c>
      <c r="H9" s="142" t="s">
        <v>276</v>
      </c>
      <c r="K9" t="str">
        <f>Parâmetros!E11</f>
        <v>Capgemini - Torre III</v>
      </c>
      <c r="L9" s="208" t="str">
        <f>ItensNaoFuncionais[[#Headers],[Itens 1]]</f>
        <v>Itens 1</v>
      </c>
      <c r="M9" s="208" t="str">
        <f>ItensNaoFuncionais[[#Headers],[Descrição obrigatoria item 1?]]</f>
        <v>Descrição obrigatoria item 1?</v>
      </c>
    </row>
    <row r="10" spans="1:13" x14ac:dyDescent="0.25">
      <c r="A10" s="86" t="str">
        <f>IF(ItensNaoFuncionais[[#This Row],[Lista 1]]="","",IF(AND(FabricaTestes=TRUE,ItensNaoFuncionais[[#This Row],[Fabrica Testes 1]]=TRUE),"",ItensNaoFuncionais[[#This Row],[Lista 1]]))</f>
        <v>Teste de Performance</v>
      </c>
      <c r="B10" s="142" t="b">
        <v>0</v>
      </c>
      <c r="C10" s="142" t="b">
        <v>0</v>
      </c>
      <c r="D10" s="142" t="s">
        <v>16</v>
      </c>
      <c r="E10" s="86" t="str">
        <f>IF(ItensNaoFuncionais[[#This Row],[Lista 2]]="","",IF(AND(FabricaTestes=TRUE,ItensNaoFuncionais[[#This Row],[Fabrica Testes 2]]=TRUE),"",ItensNaoFuncionais[[#This Row],[Lista 2]]))</f>
        <v/>
      </c>
      <c r="F10" s="142" t="b">
        <v>0</v>
      </c>
      <c r="G10" s="142" t="b">
        <v>1</v>
      </c>
      <c r="H10" s="142" t="s">
        <v>16</v>
      </c>
      <c r="K10" t="str">
        <f>Parâmetros!E12</f>
        <v>CPQD</v>
      </c>
      <c r="L10" s="208" t="str">
        <f>ItensNaoFuncionais[[#Headers],[Itens 1]]</f>
        <v>Itens 1</v>
      </c>
      <c r="M10" s="208" t="str">
        <f>ItensNaoFuncionais[[#Headers],[Descrição obrigatoria item 1?]]</f>
        <v>Descrição obrigatoria item 1?</v>
      </c>
    </row>
    <row r="11" spans="1:13" x14ac:dyDescent="0.25">
      <c r="A11" s="86" t="str">
        <f>IF(ItensNaoFuncionais[[#This Row],[Lista 1]]="","",IF(AND(FabricaTestes=TRUE,ItensNaoFuncionais[[#This Row],[Fabrica Testes 1]]=TRUE),"",ItensNaoFuncionais[[#This Row],[Lista 1]]))</f>
        <v>Teste de Regressão Geral</v>
      </c>
      <c r="B11" s="142" t="b">
        <v>0</v>
      </c>
      <c r="C11" s="142" t="b">
        <v>0</v>
      </c>
      <c r="D11" s="142" t="s">
        <v>80</v>
      </c>
      <c r="E11" s="86" t="str">
        <f>IF(ItensNaoFuncionais[[#This Row],[Lista 2]]="","",IF(AND(FabricaTestes=TRUE,ItensNaoFuncionais[[#This Row],[Fabrica Testes 2]]=TRUE),"",ItensNaoFuncionais[[#This Row],[Lista 2]]))</f>
        <v/>
      </c>
      <c r="F11" s="142" t="b">
        <v>0</v>
      </c>
      <c r="G11" s="142" t="b">
        <v>1</v>
      </c>
      <c r="H11" s="142" t="s">
        <v>80</v>
      </c>
      <c r="K11" t="str">
        <f>Parâmetros!E13</f>
        <v>Experian</v>
      </c>
      <c r="L11" s="208" t="str">
        <f>ItensNaoFuncionais[[#Headers],[Itens 1]]</f>
        <v>Itens 1</v>
      </c>
      <c r="M11" s="208" t="str">
        <f>ItensNaoFuncionais[[#Headers],[Descrição obrigatoria item 1?]]</f>
        <v>Descrição obrigatoria item 1?</v>
      </c>
    </row>
    <row r="12" spans="1:13" x14ac:dyDescent="0.25">
      <c r="A12" s="86" t="str">
        <f>IF(ItensNaoFuncionais[[#This Row],[Lista 1]]="","",IF(AND(FabricaTestes=TRUE,ItensNaoFuncionais[[#This Row],[Fabrica Testes 1]]=TRUE),"",ItensNaoFuncionais[[#This Row],[Lista 1]]))</f>
        <v>Teste de Segurança</v>
      </c>
      <c r="B12" s="142" t="b">
        <v>0</v>
      </c>
      <c r="C12" s="142" t="b">
        <v>0</v>
      </c>
      <c r="D12" s="142" t="s">
        <v>17</v>
      </c>
      <c r="E12" s="86" t="str">
        <f>IF(ItensNaoFuncionais[[#This Row],[Lista 2]]="","",IF(AND(FabricaTestes=TRUE,ItensNaoFuncionais[[#This Row],[Fabrica Testes 2]]=TRUE),"",ItensNaoFuncionais[[#This Row],[Lista 2]]))</f>
        <v/>
      </c>
      <c r="F12" s="142" t="b">
        <v>0</v>
      </c>
      <c r="G12" s="142" t="b">
        <v>1</v>
      </c>
      <c r="H12" s="142" t="s">
        <v>17</v>
      </c>
      <c r="K12" t="str">
        <f>Parâmetros!E14</f>
        <v>Perlink</v>
      </c>
      <c r="L12" s="208" t="str">
        <f>ItensNaoFuncionais[[#Headers],[Itens 1]]</f>
        <v>Itens 1</v>
      </c>
      <c r="M12" s="208" t="str">
        <f>ItensNaoFuncionais[[#Headers],[Descrição obrigatoria item 1?]]</f>
        <v>Descrição obrigatoria item 1?</v>
      </c>
    </row>
    <row r="13" spans="1:13" x14ac:dyDescent="0.25">
      <c r="A13" s="86" t="str">
        <f>IF(ItensNaoFuncionais[[#This Row],[Lista 1]]="","",IF(AND(FabricaTestes=TRUE,ItensNaoFuncionais[[#This Row],[Fabrica Testes 1]]=TRUE),"",ItensNaoFuncionais[[#This Row],[Lista 1]]))</f>
        <v xml:space="preserve">Configuração de Ferramentas / Pacotes  </v>
      </c>
      <c r="B13" s="142" t="b">
        <v>0</v>
      </c>
      <c r="C13" s="186" t="b">
        <v>0</v>
      </c>
      <c r="D13" s="187" t="s">
        <v>278</v>
      </c>
      <c r="E13" s="86" t="str">
        <f>IF(ItensNaoFuncionais[[#This Row],[Lista 2]]="","",IF(AND(FabricaTestes=TRUE,ItensNaoFuncionais[[#This Row],[Fabrica Testes 2]]=TRUE),"",ItensNaoFuncionais[[#This Row],[Lista 2]]))</f>
        <v xml:space="preserve">Configuração de Ferramentas / Pacotes  </v>
      </c>
      <c r="F13" s="142" t="b">
        <v>0</v>
      </c>
      <c r="G13" s="186" t="b">
        <v>0</v>
      </c>
      <c r="H13" s="187" t="s">
        <v>278</v>
      </c>
      <c r="K13" t="str">
        <f>Parâmetros!E15</f>
        <v>Teradata</v>
      </c>
      <c r="L13" s="208" t="str">
        <f>ItensNaoFuncionais[[#Headers],[Itens 1]]</f>
        <v>Itens 1</v>
      </c>
      <c r="M13" s="208" t="str">
        <f>ItensNaoFuncionais[[#Headers],[Descrição obrigatoria item 1?]]</f>
        <v>Descrição obrigatoria item 1?</v>
      </c>
    </row>
    <row r="14" spans="1:13" x14ac:dyDescent="0.25">
      <c r="A14" s="86" t="str">
        <f>IF(ItensNaoFuncionais[[#This Row],[Lista 1]]="","",IF(AND(FabricaTestes=TRUE,ItensNaoFuncionais[[#This Row],[Fabrica Testes 1]]=TRUE),"",ItensNaoFuncionais[[#This Row],[Lista 1]]))</f>
        <v>Revisão do escopo do Desenho da Solução</v>
      </c>
      <c r="B14" s="142" t="b">
        <v>0</v>
      </c>
      <c r="C14" s="142" t="b">
        <v>0</v>
      </c>
      <c r="D14" s="188" t="s">
        <v>279</v>
      </c>
      <c r="E14" s="86" t="str">
        <f>IF(ItensNaoFuncionais[[#This Row],[Lista 2]]="","",IF(AND(FabricaTestes=TRUE,ItensNaoFuncionais[[#This Row],[Fabrica Testes 2]]=TRUE),"",ItensNaoFuncionais[[#This Row],[Lista 2]]))</f>
        <v>Revisão do escopo do Desenho da Solução</v>
      </c>
      <c r="F14" s="142" t="b">
        <v>0</v>
      </c>
      <c r="G14" s="142" t="b">
        <v>0</v>
      </c>
      <c r="H14" s="188" t="s">
        <v>279</v>
      </c>
      <c r="K14" t="str">
        <f>Parâmetros!E16</f>
        <v>Triad</v>
      </c>
      <c r="L14" s="208" t="str">
        <f>ItensNaoFuncionais[[#Headers],[Itens 1]]</f>
        <v>Itens 1</v>
      </c>
      <c r="M14" s="208" t="str">
        <f>ItensNaoFuncionais[[#Headers],[Descrição obrigatoria item 1?]]</f>
        <v>Descrição obrigatoria item 1?</v>
      </c>
    </row>
    <row r="15" spans="1:13" x14ac:dyDescent="0.25">
      <c r="A15" s="86" t="str">
        <f>IF(ItensNaoFuncionais[[#This Row],[Lista 1]]="","",IF(AND(FabricaTestes=TRUE,ItensNaoFuncionais[[#This Row],[Fabrica Testes 1]]=TRUE),"",ItensNaoFuncionais[[#This Row],[Lista 1]]))</f>
        <v>Documentação</v>
      </c>
      <c r="B15" s="142" t="b">
        <v>0</v>
      </c>
      <c r="C15" s="142" t="b">
        <v>0</v>
      </c>
      <c r="D15" s="188" t="s">
        <v>185</v>
      </c>
      <c r="E15" s="86" t="str">
        <f>IF(ItensNaoFuncionais[[#This Row],[Lista 2]]="","",IF(AND(FabricaTestes=TRUE,ItensNaoFuncionais[[#This Row],[Fabrica Testes 2]]=TRUE),"",ItensNaoFuncionais[[#This Row],[Lista 2]]))</f>
        <v>Documentação</v>
      </c>
      <c r="F15" s="142" t="b">
        <v>0</v>
      </c>
      <c r="G15" s="142" t="b">
        <v>0</v>
      </c>
      <c r="H15" s="188" t="s">
        <v>185</v>
      </c>
      <c r="K15" t="str">
        <f>Parâmetros!E17</f>
        <v>Wedo</v>
      </c>
      <c r="L15" s="208" t="str">
        <f>ItensNaoFuncionais[[#Headers],[Itens 1]]</f>
        <v>Itens 1</v>
      </c>
      <c r="M15" s="208" t="str">
        <f>ItensNaoFuncionais[[#Headers],[Descrição obrigatoria item 1?]]</f>
        <v>Descrição obrigatoria item 1?</v>
      </c>
    </row>
    <row r="16" spans="1:13" x14ac:dyDescent="0.25">
      <c r="K16" t="str">
        <f>Parâmetros!E18</f>
        <v>Metatron</v>
      </c>
      <c r="L16" s="208" t="str">
        <f>ItensNaoFuncionais[[#Headers],[Itens 1]]</f>
        <v>Itens 1</v>
      </c>
      <c r="M16" s="208" t="str">
        <f>ItensNaoFuncionais[[#Headers],[Descrição obrigatoria item 1?]]</f>
        <v>Descrição obrigatoria item 1?</v>
      </c>
    </row>
    <row r="17" spans="7:13" x14ac:dyDescent="0.25">
      <c r="K17" t="str">
        <f>Parâmetros!E19</f>
        <v>Capgemini - Torre VI</v>
      </c>
      <c r="L17" s="208" t="str">
        <f>ItensNaoFuncionais[[#Headers],[Itens 1]]</f>
        <v>Itens 1</v>
      </c>
      <c r="M17" s="208" t="str">
        <f>ItensNaoFuncionais[[#Headers],[Descrição obrigatoria item 1?]]</f>
        <v>Descrição obrigatoria item 1?</v>
      </c>
    </row>
    <row r="18" spans="7:13" x14ac:dyDescent="0.25">
      <c r="G18" s="142"/>
      <c r="K18" t="str">
        <f>Parâmetros!E20</f>
        <v>Asga</v>
      </c>
      <c r="L18" s="208" t="str">
        <f>ItensNaoFuncionais[[#Headers],[Itens 1]]</f>
        <v>Itens 1</v>
      </c>
      <c r="M18" s="208" t="str">
        <f>ItensNaoFuncionais[[#Headers],[Descrição obrigatoria item 1?]]</f>
        <v>Descrição obrigatoria item 1?</v>
      </c>
    </row>
    <row r="19" spans="7:13" x14ac:dyDescent="0.25">
      <c r="G19" s="139"/>
      <c r="K19" t="str">
        <f>Parâmetros!E21</f>
        <v>HP</v>
      </c>
      <c r="L19" s="208" t="str">
        <f>ItensNaoFuncionais[[#Headers],[Itens 1]]</f>
        <v>Itens 1</v>
      </c>
      <c r="M19" s="208" t="str">
        <f>ItensNaoFuncionais[[#Headers],[Descrição obrigatoria item 1?]]</f>
        <v>Descrição obrigatoria item 1?</v>
      </c>
    </row>
    <row r="20" spans="7:13" x14ac:dyDescent="0.25">
      <c r="G20" s="139"/>
      <c r="K20" t="str">
        <f>Parâmetros!E22</f>
        <v>Procwork</v>
      </c>
      <c r="L20" s="208" t="str">
        <f>ItensNaoFuncionais[[#Headers],[Itens 1]]</f>
        <v>Itens 1</v>
      </c>
      <c r="M20" s="208" t="str">
        <f>ItensNaoFuncionais[[#Headers],[Descrição obrigatoria item 1?]]</f>
        <v>Descrição obrigatoria item 1?</v>
      </c>
    </row>
    <row r="21" spans="7:13" x14ac:dyDescent="0.25">
      <c r="G21" s="139"/>
      <c r="K21" t="str">
        <f>Parâmetros!E23</f>
        <v>Cleartech</v>
      </c>
      <c r="L21" s="208" t="str">
        <f>ItensNaoFuncionais[[#Headers],[Itens 1]]</f>
        <v>Itens 1</v>
      </c>
      <c r="M21" s="208" t="str">
        <f>ItensNaoFuncionais[[#Headers],[Descrição obrigatoria item 1?]]</f>
        <v>Descrição obrigatoria item 1?</v>
      </c>
    </row>
    <row r="22" spans="7:13" x14ac:dyDescent="0.25">
      <c r="G22" s="139"/>
      <c r="K22" t="str">
        <f>Parâmetros!E24</f>
        <v>Squadra - Torre IV</v>
      </c>
      <c r="L22" s="208" t="str">
        <f>ItensNaoFuncionais[[#Headers],[Itens 1]]</f>
        <v>Itens 1</v>
      </c>
      <c r="M22" s="208" t="str">
        <f>ItensNaoFuncionais[[#Headers],[Descrição obrigatoria item 1?]]</f>
        <v>Descrição obrigatoria item 1?</v>
      </c>
    </row>
    <row r="23" spans="7:13" x14ac:dyDescent="0.25">
      <c r="G23" s="139"/>
      <c r="K23" t="str">
        <f>Parâmetros!E25</f>
        <v>IBM - Torre IV</v>
      </c>
      <c r="L23" s="208" t="str">
        <f>ItensNaoFuncionais[[#Headers],[Itens 1]]</f>
        <v>Itens 1</v>
      </c>
      <c r="M23" s="208" t="str">
        <f>ItensNaoFuncionais[[#Headers],[Descrição obrigatoria item 1?]]</f>
        <v>Descrição obrigatoria item 1?</v>
      </c>
    </row>
    <row r="24" spans="7:13" x14ac:dyDescent="0.25">
      <c r="G24" s="139"/>
      <c r="K24" t="str">
        <f>Parâmetros!E26</f>
        <v>TQI</v>
      </c>
      <c r="L24" s="208" t="str">
        <f>ItensNaoFuncionais[[#Headers],[Itens 1]]</f>
        <v>Itens 1</v>
      </c>
      <c r="M24" s="208" t="str">
        <f>ItensNaoFuncionais[[#Headers],[Descrição obrigatoria item 1?]]</f>
        <v>Descrição obrigatoria item 1?</v>
      </c>
    </row>
    <row r="25" spans="7:13" x14ac:dyDescent="0.25">
      <c r="G25" s="139"/>
      <c r="K25" t="str">
        <f>Parâmetros!E27</f>
        <v>Amdocs</v>
      </c>
      <c r="L25" s="208" t="str">
        <f>ItensNaoFuncionais[[#Headers],[Itens 1]]</f>
        <v>Itens 1</v>
      </c>
      <c r="M25" s="208" t="str">
        <f>ItensNaoFuncionais[[#Headers],[Descrição obrigatoria item 1?]]</f>
        <v>Descrição obrigatoria item 1?</v>
      </c>
    </row>
    <row r="26" spans="7:13" x14ac:dyDescent="0.25">
      <c r="G26" s="139"/>
      <c r="K26" t="str">
        <f>Parâmetros!E28</f>
        <v>iFactory</v>
      </c>
      <c r="L26" s="208" t="str">
        <f>ItensNaoFuncionais[[#Headers],[Itens 1]]</f>
        <v>Itens 1</v>
      </c>
      <c r="M26" s="208" t="str">
        <f>ItensNaoFuncionais[[#Headers],[Descrição obrigatoria item 1?]]</f>
        <v>Descrição obrigatoria item 1?</v>
      </c>
    </row>
    <row r="27" spans="7:13" x14ac:dyDescent="0.25">
      <c r="G27" s="139"/>
      <c r="K27" t="str">
        <f>Parâmetros!E29</f>
        <v>VP Consulting</v>
      </c>
      <c r="L27" s="208" t="str">
        <f>ItensNaoFuncionais[[#Headers],[Itens 1]]</f>
        <v>Itens 1</v>
      </c>
      <c r="M27" s="208" t="str">
        <f>ItensNaoFuncionais[[#Headers],[Descrição obrigatoria item 1?]]</f>
        <v>Descrição obrigatoria item 1?</v>
      </c>
    </row>
    <row r="28" spans="7:13" x14ac:dyDescent="0.25">
      <c r="G28" s="139"/>
      <c r="K28" t="s">
        <v>494</v>
      </c>
      <c r="L28" s="208" t="str">
        <f>ItensNaoFuncionais[[#Headers],[Itens 2]]</f>
        <v>Itens 2</v>
      </c>
      <c r="M28" s="208" t="str">
        <f>ItensNaoFuncionais[[#Headers],[Descrição obrigatoria item 2?]]</f>
        <v>Descrição obrigatoria item 2?</v>
      </c>
    </row>
    <row r="29" spans="7:13" x14ac:dyDescent="0.25">
      <c r="G29" s="139"/>
    </row>
    <row r="30" spans="7:13" x14ac:dyDescent="0.25">
      <c r="G30" s="139"/>
    </row>
    <row r="31" spans="7:13" x14ac:dyDescent="0.25">
      <c r="G31" s="139"/>
    </row>
    <row r="32" spans="7:13" x14ac:dyDescent="0.25">
      <c r="G32" s="139"/>
    </row>
    <row r="33" spans="7:7" x14ac:dyDescent="0.25">
      <c r="G33" s="139"/>
    </row>
    <row r="34" spans="7:7" x14ac:dyDescent="0.25">
      <c r="G34" s="140"/>
    </row>
    <row r="35" spans="7:7" x14ac:dyDescent="0.25">
      <c r="G35" s="141"/>
    </row>
  </sheetData>
  <sheetProtection algorithmName="SHA-512" hashValue="6mLShUr96Dcoa5q/1d1RayGD+ILAZct7m6sbOriFRjF+14WPQNArVAfrZtDT4iXeroEKE+BoJiWaxCD+RQriFw==" saltValue="C/+h9uEtF6+DJS2nnhzUEQ==" spinCount="100000" sheet="1" objects="1" scenarios="1"/>
  <sortState ref="J24:J41">
    <sortCondition ref="J24"/>
  </sortState>
  <dataValidations count="1">
    <dataValidation type="list" allowBlank="1" showInputMessage="1" showErrorMessage="1" sqref="F3:G15 B3:C15">
      <formula1>True_False</formula1>
    </dataValidation>
  </dataValidations>
  <pageMargins left="0.7" right="0.7" top="0.75" bottom="0.75" header="0.3" footer="0.3"/>
  <pageSetup paperSize="9" orientation="portrait" horizontalDpi="4294967295" verticalDpi="4294967295" r:id="rId1"/>
  <ignoredErrors>
    <ignoredError sqref="L5:M6 L19:M21" calculatedColumn="1"/>
  </ignoredErrors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79</vt:i4>
      </vt:variant>
    </vt:vector>
  </HeadingPairs>
  <TitlesOfParts>
    <vt:vector size="92" baseType="lpstr">
      <vt:lpstr>Histórico de Validações</vt:lpstr>
      <vt:lpstr>Resumo</vt:lpstr>
      <vt:lpstr>Pontos de Função</vt:lpstr>
      <vt:lpstr>Analogia</vt:lpstr>
      <vt:lpstr>Itens Não Funcionais</vt:lpstr>
      <vt:lpstr>Fases Contratadas</vt:lpstr>
      <vt:lpstr>Percentuais das Fases</vt:lpstr>
      <vt:lpstr>Produtividade</vt:lpstr>
      <vt:lpstr>Versão</vt:lpstr>
      <vt:lpstr>Parâmetros</vt:lpstr>
      <vt:lpstr>Parâmetros PF</vt:lpstr>
      <vt:lpstr>PercentuaisFornecedor</vt:lpstr>
      <vt:lpstr>ItensNaoFuncionaisFornecedor</vt:lpstr>
      <vt:lpstr>Aba_Config</vt:lpstr>
      <vt:lpstr>Acomp_PosProducao_Max</vt:lpstr>
      <vt:lpstr>Acomp_PosProducao_Min</vt:lpstr>
      <vt:lpstr>Acomp_PosProducao_Perc</vt:lpstr>
      <vt:lpstr>Alta</vt:lpstr>
      <vt:lpstr>Baixa</vt:lpstr>
      <vt:lpstr>Complexidade_AIE</vt:lpstr>
      <vt:lpstr>Complexidade_AIE_Arq</vt:lpstr>
      <vt:lpstr>Complexidade_AIE_Ite</vt:lpstr>
      <vt:lpstr>Complexidade_ALI</vt:lpstr>
      <vt:lpstr>Complexidade_ALI_Arq</vt:lpstr>
      <vt:lpstr>Complexidade_ALI_Ite</vt:lpstr>
      <vt:lpstr>Complexidade_CE</vt:lpstr>
      <vt:lpstr>Complexidade_CE_Arq</vt:lpstr>
      <vt:lpstr>Complexidade_CE_Ite</vt:lpstr>
      <vt:lpstr>Complexidade_EE</vt:lpstr>
      <vt:lpstr>Complexidade_EE_Arq</vt:lpstr>
      <vt:lpstr>Complexidade_EE_Ite</vt:lpstr>
      <vt:lpstr>Complexidade_Estimada</vt:lpstr>
      <vt:lpstr>Complexidade_SE</vt:lpstr>
      <vt:lpstr>Complexidade_SE_Arq</vt:lpstr>
      <vt:lpstr>Complexidade_SE_Ite</vt:lpstr>
      <vt:lpstr>Config_Cenarios</vt:lpstr>
      <vt:lpstr>Config_Simproc</vt:lpstr>
      <vt:lpstr>Config_Simproc_Sites</vt:lpstr>
      <vt:lpstr>Config_Simproc_Steps</vt:lpstr>
      <vt:lpstr>Contratacao_Gestao</vt:lpstr>
      <vt:lpstr>Contrato</vt:lpstr>
      <vt:lpstr>Contrato_Apuramento</vt:lpstr>
      <vt:lpstr>Contrato_SemAPF</vt:lpstr>
      <vt:lpstr>Contrato_UsoComercial</vt:lpstr>
      <vt:lpstr>Custo</vt:lpstr>
      <vt:lpstr>Desconto</vt:lpstr>
      <vt:lpstr>Desconto_Justificacao</vt:lpstr>
      <vt:lpstr>FabricaTestes</vt:lpstr>
      <vt:lpstr>Fornecedor</vt:lpstr>
      <vt:lpstr>Gestao</vt:lpstr>
      <vt:lpstr>Horas_Analogia</vt:lpstr>
      <vt:lpstr>Horas_APF</vt:lpstr>
      <vt:lpstr>Horas_Funcionais</vt:lpstr>
      <vt:lpstr>Horas_Gestao</vt:lpstr>
      <vt:lpstr>Horas_HH</vt:lpstr>
      <vt:lpstr>Horas_HH_Total</vt:lpstr>
      <vt:lpstr>Horas_NF_A</vt:lpstr>
      <vt:lpstr>Horas_NF_B</vt:lpstr>
      <vt:lpstr>Horas_NF_C</vt:lpstr>
      <vt:lpstr>Horas_NF_D</vt:lpstr>
      <vt:lpstr>Horas_NF_E</vt:lpstr>
      <vt:lpstr>Horas_Total</vt:lpstr>
      <vt:lpstr>ListaAtividadesAutorizar</vt:lpstr>
      <vt:lpstr>Man_Cosmetica_Especial</vt:lpstr>
      <vt:lpstr>Media</vt:lpstr>
      <vt:lpstr>MensagemAtividadesAutorizar</vt:lpstr>
      <vt:lpstr>Motivo</vt:lpstr>
      <vt:lpstr>Motivo_DevNaoFunc</vt:lpstr>
      <vt:lpstr>Motivo_NaoAplicavel</vt:lpstr>
      <vt:lpstr>Motivo_SemContratoAPF</vt:lpstr>
      <vt:lpstr>Nao</vt:lpstr>
      <vt:lpstr>Nome_Demanda</vt:lpstr>
      <vt:lpstr>Numero_Demanda</vt:lpstr>
      <vt:lpstr>Numero_Proposta</vt:lpstr>
      <vt:lpstr>Pesos_IFPUG</vt:lpstr>
      <vt:lpstr>Pesos_IFPUG_Complexidade</vt:lpstr>
      <vt:lpstr>Pesos_IFPUG_Objetos</vt:lpstr>
      <vt:lpstr>Pontos_Analogia</vt:lpstr>
      <vt:lpstr>Pontos_Analogia_SemFatorImpacto</vt:lpstr>
      <vt:lpstr>Pontos_APF</vt:lpstr>
      <vt:lpstr>Produtividade</vt:lpstr>
      <vt:lpstr>RespostaContagem</vt:lpstr>
      <vt:lpstr>Sim</vt:lpstr>
      <vt:lpstr>Sim_Nao</vt:lpstr>
      <vt:lpstr>Sistema</vt:lpstr>
      <vt:lpstr>Taxa_Horaria</vt:lpstr>
      <vt:lpstr>TemAtividadesAutorizar</vt:lpstr>
      <vt:lpstr>TipoContagem</vt:lpstr>
      <vt:lpstr>TipoContagemDetalhada</vt:lpstr>
      <vt:lpstr>TipoContagemEstimada</vt:lpstr>
      <vt:lpstr>True_False</vt:lpstr>
      <vt:lpstr>Variacao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Luiza Barcelos Banhara</dc:creator>
  <cp:lastModifiedBy>Esteves, Renata Mota</cp:lastModifiedBy>
  <dcterms:created xsi:type="dcterms:W3CDTF">2006-09-25T12:47:36Z</dcterms:created>
  <dcterms:modified xsi:type="dcterms:W3CDTF">2017-12-26T16:58:28Z</dcterms:modified>
</cp:coreProperties>
</file>