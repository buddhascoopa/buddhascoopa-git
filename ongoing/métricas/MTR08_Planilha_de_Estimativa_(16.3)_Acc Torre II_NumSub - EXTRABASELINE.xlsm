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rgio.gdanski\Documents\Template 16.1 para 16.2 - Copy\"/>
    </mc:Choice>
  </mc:AlternateContent>
  <workbookProtection workbookAlgorithmName="SHA-512" workbookHashValue="EdgS0oz7UV2bW6BUNsJD8C0/T0mVSSaZnc+eOZOZVrzKoPMO8bZkPWYUT0wRDlWC1oHOlgsFF/6DIqGHzL2N0w==" workbookSaltValue="DK1H8iGA/TFG/pW2vB+xuQ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r:id="rId3"/>
    <sheet name="Analogia" sheetId="38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 calcOnSave="0"/>
</workbook>
</file>

<file path=xl/calcChain.xml><?xml version="1.0" encoding="utf-8"?>
<calcChain xmlns="http://schemas.openxmlformats.org/spreadsheetml/2006/main"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F23" i="12"/>
  <c r="G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F19" i="12"/>
  <c r="G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G21" i="12"/>
  <c r="F21" i="12"/>
  <c r="N19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<sst xmlns="http://schemas.openxmlformats.org/spreadsheetml/2006/main" count="1852" uniqueCount="495">
  <si>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</si>
  <si>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</si>
  <si>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</si>
  <si>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</si>
  <si>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</si>
  <si>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</si>
  <si>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</si>
  <si>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</si>
  <si>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</si>
  <si>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</si>
  <si>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</si>
  <si>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</si>
  <si>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</si>
  <si>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</si>
  <si>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</si>
  <si>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</si>
  <si>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</si>
  <si>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</si>
  <si>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</si>
  <si>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</si>
  <si>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</si>
  <si>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</si>
  <si>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</si>
  <si>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</si>
  <si>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</si>
  <si>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</si>
  <si>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</si>
  <si>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</si>
  <si>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</si>
  <si>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</si>
  <si>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</si>
  <si>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</si>
  <si>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</si>
  <si>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</si>
  <si>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</si>
  <si>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</si>
  <si>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</si>
  <si>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</si>
  <si>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</si>
  <si>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</si>
  <si>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</si>
  <si>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</si>
  <si>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</si>
  <si>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</si>
  <si>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</si>
  <si>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</si>
  <si>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</si>
  <si>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</si>
  <si>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</si>
  <si>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</si>
  <si>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</si>
  <si>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</si>
  <si>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</si>
  <si>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</si>
  <si>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</si>
  <si>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</si>
  <si>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</si>
  <si>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</si>
  <si>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</si>
  <si>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</si>
  <si>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</si>
  <si>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</si>
  <si>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</si>
  <si>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</si>
  <si>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</si>
  <si>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</si>
  <si>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</si>
  <si>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</si>
  <si>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</si>
  <si>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</si>
  <si>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</si>
  <si>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</si>
  <si>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</si>
  <si>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</si>
  <si>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</si>
  <si>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</si>
  <si>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</si>
  <si>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</si>
  <si>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</si>
  <si>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</si>
  <si>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</si>
  <si>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</si>
  <si>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</si>
  <si>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</si>
  <si>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</si>
  <si>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</si>
  <si>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</si>
  <si>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</si>
  <si>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</si>
  <si>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</si>
  <si>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</si>
  <si>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</si>
  <si>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</si>
  <si>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</si>
  <si>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</si>
  <si>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</si>
  <si>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</si>
  <si>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</si>
  <si>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</si>
  <si>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</si>
  <si>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</si>
  <si>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</si>
  <si>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</si>
  <si>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</si>
  <si>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</si>
  <si>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</si>
  <si>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</si>
  <si>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</si>
  <si>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</si>
  <si>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</si>
  <si>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</si>
  <si>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</si>
  <si>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</si>
  <si>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</si>
  <si>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</si>
  <si>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</si>
  <si>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</si>
  <si>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</si>
  <si>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</si>
  <si>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</si>
  <si>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</si>
  <si>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</si>
  <si>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</si>
  <si>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</si>
  <si>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</si>
  <si>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</si>
  <si>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</si>
  <si>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</si>
  <si>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</si>
  <si>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</si>
  <si>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</si>
  <si>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</si>
  <si>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</si>
  <si>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</si>
  <si>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</si>
  <si>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</si>
  <si>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</si>
  <si>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</si>
  <si>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</si>
  <si>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</si>
  <si>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</si>
  <si>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</si>
  <si>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</si>
  <si>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</si>
  <si>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</si>
  <si>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</si>
  <si>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</si>
  <si>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</si>
  <si>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</si>
  <si>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</si>
  <si>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</si>
  <si>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</si>
  <si>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</si>
  <si>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</si>
  <si>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</si>
  <si>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</si>
  <si>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</si>
  <si>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</si>
  <si>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</si>
  <si>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</si>
  <si>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</si>
  <si>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</si>
  <si>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</si>
  <si>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</si>
  <si>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</si>
  <si>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</si>
  <si>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</si>
  <si>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</si>
  <si>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</si>
  <si>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</si>
  <si>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</si>
  <si>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</si>
  <si>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</si>
  <si>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</si>
  <si>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</si>
  <si>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</si>
  <si>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</si>
  <si>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</si>
  <si>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</si>
  <si>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</si>
  <si>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</si>
  <si>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</si>
  <si>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</si>
  <si>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</si>
  <si>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</si>
  <si>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</si>
  <si>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</si>
  <si>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</si>
  <si>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</si>
  <si>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</si>
  <si>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</si>
  <si>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</si>
  <si>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</si>
  <si>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</si>
  <si>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</si>
  <si>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</si>
  <si>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</si>
  <si>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</si>
  <si>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</si>
  <si>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</si>
  <si>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</si>
  <si>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</si>
  <si>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</si>
  <si>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</si>
  <si>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</si>
  <si>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</si>
  <si>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</si>
  <si>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</si>
  <si>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</si>
  <si>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</si>
  <si>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</si>
  <si>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</si>
  <si>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</si>
  <si>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</si>
  <si>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</si>
  <si>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</si>
  <si>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</si>
  <si>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</si>
  <si>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</si>
  <si>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</si>
  <si>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</si>
  <si>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</si>
  <si>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</si>
  <si>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</si>
  <si>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</si>
  <si>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</si>
  <si>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</si>
  <si>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</si>
  <si>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</si>
  <si>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</si>
  <si>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</si>
  <si>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</si>
  <si>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</si>
  <si>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</si>
  <si>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</si>
  <si>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</si>
  <si>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</si>
  <si>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</si>
  <si>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</si>
  <si>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</si>
  <si>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</si>
  <si>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</si>
  <si>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</si>
  <si>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</si>
  <si>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</si>
  <si>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</si>
  <si>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</si>
  <si>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</si>
  <si>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</si>
  <si>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</si>
  <si>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</si>
  <si>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</si>
  <si>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</si>
  <si>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</si>
  <si>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</si>
  <si>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</si>
  <si>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</si>
  <si>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</si>
  <si>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</si>
  <si>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</si>
  <si>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</si>
  <si>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</si>
  <si>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</si>
  <si>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</si>
  <si>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</si>
  <si>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</si>
  <si>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</si>
  <si>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</si>
  <si>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</si>
  <si>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</si>
  <si>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</si>
  <si>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</si>
  <si>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</si>
  <si>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</si>
  <si>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</si>
  <si>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</si>
  <si>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</si>
  <si>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</si>
  <si>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</si>
  <si>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</si>
  <si>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</si>
  <si>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</si>
  <si>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</si>
  <si>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</si>
  <si>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</si>
  <si>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</si>
  <si>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</si>
  <si>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</si>
  <si>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</si>
  <si>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</si>
  <si>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</si>
  <si>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</si>
  <si>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</si>
  <si>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</si>
  <si>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</si>
  <si>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</si>
  <si>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</si>
  <si>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</si>
  <si>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</si>
  <si>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</si>
  <si>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</si>
  <si>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</si>
  <si>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</si>
  <si>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</si>
  <si>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</si>
  <si>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</si>
  <si>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</si>
  <si>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</si>
  <si>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</si>
  <si>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</si>
  <si>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</si>
  <si>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</si>
  <si>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</si>
  <si>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</si>
  <si>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</si>
  <si>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</si>
  <si>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</si>
  <si>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</si>
  <si>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</si>
  <si>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</si>
  <si>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</si>
  <si>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</si>
  <si>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</si>
  <si>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</si>
  <si>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</si>
  <si>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</si>
  <si>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</si>
  <si>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</si>
  <si>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</si>
  <si>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</si>
  <si>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</si>
  <si>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</si>
  <si>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</si>
  <si>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</si>
  <si>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</si>
  <si>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</si>
  <si>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</si>
  <si>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</si>
  <si>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</si>
  <si>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</si>
  <si>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</si>
  <si>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</si>
  <si>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</si>
  <si>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</si>
  <si>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</si>
  <si>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</si>
  <si>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</si>
  <si>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</si>
  <si>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</si>
  <si>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</si>
  <si>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</si>
  <si>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</si>
  <si>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</si>
  <si>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</si>
  <si>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</si>
  <si>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</si>
  <si>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</si>
  <si>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</si>
  <si>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</si>
  <si>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</si>
  <si>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</si>
  <si>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</si>
  <si>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</si>
  <si>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</si>
  <si>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</si>
  <si>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</si>
  <si>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</si>
  <si>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</si>
  <si>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</si>
  <si>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</si>
  <si>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</si>
  <si>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</si>
  <si>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</si>
  <si>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</si>
  <si>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</si>
  <si>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</si>
  <si>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</si>
  <si>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</si>
  <si>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</si>
  <si>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</si>
  <si>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</si>
  <si>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</si>
  <si>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</si>
  <si>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</si>
  <si>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</si>
  <si>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</si>
  <si>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</si>
  <si>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</si>
  <si>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</si>
  <si>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</si>
  <si>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</si>
  <si>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</si>
  <si>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</si>
  <si>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</si>
  <si>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</si>
  <si>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</si>
  <si>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</si>
  <si>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</si>
  <si>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</si>
  <si>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</si>
  <si>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</si>
  <si>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</si>
  <si>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</si>
  <si>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</si>
  <si>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</si>
  <si>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</si>
  <si>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</si>
  <si>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</si>
  <si>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</si>
  <si>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</si>
  <si>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</si>
  <si>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</si>
  <si>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</si>
  <si>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</si>
  <si>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</si>
  <si>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</si>
  <si>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</si>
  <si>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</si>
  <si>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</si>
  <si>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</si>
  <si>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</si>
  <si>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</si>
  <si>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</si>
  <si>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</si>
  <si>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</si>
  <si>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</si>
  <si>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</si>
  <si>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</si>
  <si>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</si>
  <si>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</si>
  <si>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</si>
  <si>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</si>
  <si>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</si>
  <si>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</si>
  <si>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</si>
  <si>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</si>
  <si>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</si>
  <si>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</si>
  <si>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</si>
  <si>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</si>
  <si>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</si>
  <si>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</si>
  <si>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</si>
  <si>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</si>
  <si>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</si>
  <si>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</si>
  <si>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</si>
  <si>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</si>
  <si>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</si>
  <si>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</si>
  <si>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</si>
  <si>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</si>
  <si>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</si>
  <si>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</si>
  <si>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</si>
  <si>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</si>
  <si>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</si>
  <si>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</si>
  <si>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</si>
  <si>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</si>
  <si>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</si>
  <si>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</si>
  <si>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</si>
  <si>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</si>
  <si>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</si>
  <si>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</si>
  <si>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</si>
  <si>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</si>
  <si>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</si>
  <si>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</si>
  <si>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</si>
  <si>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</si>
  <si>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</si>
  <si>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</si>
  <si>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</si>
  <si>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</si>
  <si>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</si>
  <si>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</si>
  <si>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</si>
  <si>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</si>
  <si>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</si>
  <si>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</si>
  <si>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</si>
  <si>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</si>
  <si>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</si>
  <si>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</si>
  <si>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</si>
  <si>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</si>
  <si>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</si>
  <si>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</si>
  <si>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</si>
  <si>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</si>
  <si>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</si>
  <si>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</si>
  <si>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16.3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</si>
</sst>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7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6" fontId="38" fillId="15" borderId="1" xfId="8" applyFont="1" applyFill="1" applyBorder="1" applyAlignment="1">
      <alignment horizontal="center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" xfId="8" builtinId="26"/>
    <cellStyle name="Bom 2" xfId="17"/>
    <cellStyle name="Hiperlink" xfId="1" builtinId="8"/>
    <cellStyle name="Hiperlink 2" xfId="24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orcentagem" xfId="5" builtinId="5"/>
    <cellStyle name="Porcentagem 2" xfId="10"/>
    <cellStyle name="Porcentagem 3" xfId="15"/>
    <cellStyle name="Vírgula" xfId="6" builtinId="3"/>
    <cellStyle name="Vírgula 2" xfId="7"/>
    <cellStyle name="Vírgula 2 2" xfId="12"/>
    <cellStyle name="Vírgula 2 3" xfId="20"/>
    <cellStyle name="Vírgula 3" xfId="16"/>
  </cellStyles>
  <dxfs count="20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29"/>
    <tableColumn id="1" name="Fases do Ciclo de Vida / Artefatos" totalsRowLabel="Total" dataDxfId="128" totalsRowDxfId="127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6" totalsRowDxfId="125" dataCellStyle="Normal 5"/>
    <tableColumn id="3" name="Esforço em Horas (calculado)" totalsRowFunction="custom" dataDxfId="124" totalsRowDxfId="123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2" totalsRowDxfId="121" dataCellStyle="Normal 5"/>
    <tableColumn id="5" name="Percentual Calculado da Fase" totalsRowFunction="sum" dataDxfId="120" totalsRowDxfId="119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18" totalsRowDxfId="117" dataCellStyle="Normal 5">
      <calculatedColumnFormula>(Pontos_APF+IF(EsforcoFases[[#This Row],[Man Cosmetica Especial]]=FALSE,Pontos_Analogia,Pontos_Analogia_SemFatorImpacto))*0</calculatedColumnFormula>
    </tableColumn>
    <tableColumn id="7" name="checks" dataDxfId="116" totalsRowDxfId="115">
      <calculatedColumnFormula>IF(EsforcoFases[[#This Row],[Contratação]]=Sim,TRUE,FALSE)</calculatedColumnFormula>
    </tableColumn>
    <tableColumn id="9" name="Ativ. Fabrica Testes" dataDxfId="114" totalsRowDxfId="113">
      <calculatedColumnFormula>AND(FabricaTestes,VLOOKUP(B6,PercentuaisFases[],VLOOKUP(Fornecedor,MapFasesFornecedores[#All],4,FALSE),FALSE))</calculatedColumnFormula>
    </tableColumn>
    <tableColumn id="10" name="Max" dataDxfId="112" totalsRowDxfId="111">
      <calculatedColumnFormula>IF(C6="",0)</calculatedColumnFormula>
    </tableColumn>
    <tableColumn id="11" name="Man Cosmetica Especial" dataDxfId="110" totalsRowDxfId="109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08" dataDxfId="106" headerRowBorderDxfId="107" tableBorderDxfId="105" totalsRowBorderDxfId="104" headerRowCellStyle="Normal 6" dataCellStyle="Normal 9">
  <autoFilter ref="B4:L40"/>
  <tableColumns count="11">
    <tableColumn id="1" name="Nome Sistema ou Tecnologia" dataDxfId="103" dataCellStyle="Normal 9"/>
    <tableColumn id="2" name="Produtividade Inclusão" dataDxfId="102" dataCellStyle="Normal 9"/>
    <tableColumn id="10" name="Produtividade Alteração" dataDxfId="101" dataCellStyle="Normal 9">
      <calculatedColumnFormula>Produtividades[[#This Row],[Produtividade Inclusão]]</calculatedColumnFormula>
    </tableColumn>
    <tableColumn id="11" name="Produtividade Exclusão" dataDxfId="100" dataCellStyle="Normal 9">
      <calculatedColumnFormula>Produtividades[[#This Row],[Produtividade Inclusão]]</calculatedColumnFormula>
    </tableColumn>
    <tableColumn id="8" name="Taxa horária" dataDxfId="99" dataCellStyle="Normal 9"/>
    <tableColumn id="6" name="Contrato" dataDxfId="98" dataCellStyle="Normal 9"/>
    <tableColumn id="7" name="Fornecedor" dataDxfId="97" dataCellStyle="Normal 9"/>
    <tableColumn id="3" name="Aba Itens configuração" dataDxfId="96" dataCellStyle="Normal 9"/>
    <tableColumn id="9" name="Aba Estimator" dataDxfId="95" dataCellStyle="Normal 9"/>
    <tableColumn id="4" name="Sistema/Tecnologia" dataDxfId="94" dataCellStyle="Normal 9"/>
    <tableColumn id="5" name="Fábrica Testes" dataDxfId="9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92" dataDxfId="91">
  <autoFilter ref="J4:J16"/>
  <sortState ref="J5:J16">
    <sortCondition ref="J6"/>
  </sortState>
  <tableColumns count="1">
    <tableColumn id="1" name="Motivo" dataDxfId="9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89" dataDxfId="87" headerRowBorderDxfId="88" tableBorderDxfId="86" totalsRowBorderDxfId="85" headerRowCellStyle="Normal 6">
  <autoFilter ref="I4:I6"/>
  <tableColumns count="1">
    <tableColumn id="1" name="Tipo Contagem" dataDxfId="8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83" dataDxfId="81" headerRowBorderDxfId="82" tableBorderDxfId="80" totalsRowBorderDxfId="79" headerRowCellStyle="Normal 6">
  <autoFilter ref="H4:H7"/>
  <tableColumns count="1">
    <tableColumn id="1" name="Complexidade" dataDxfId="7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77" dataDxfId="75" headerRowBorderDxfId="76" tableBorderDxfId="74" totalsRowBorderDxfId="73" headerRowCellStyle="Normal 6">
  <autoFilter ref="G4:G9"/>
  <tableColumns count="1">
    <tableColumn id="1" name="Tipo de Função (ALI/AIE/EE/SE/CE)" dataDxfId="7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71" dataDxfId="69" headerRowBorderDxfId="70" tableBorderDxfId="68" totalsRowBorderDxfId="67" headerRowCellStyle="Normal 6">
  <autoFilter ref="F4:F7"/>
  <tableColumns count="1">
    <tableColumn id="1" name="Tipo de Manutenção (I/A/E)" dataDxfId="6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65" headerRowBorderDxfId="64" tableBorderDxfId="63" totalsRowBorderDxfId="62">
  <autoFilter ref="E4:E29"/>
  <tableColumns count="1">
    <tableColumn id="1" name="Fornecedor" dataDxfId="6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0" headerRowBorderDxfId="59" tableBorderDxfId="58" totalsRowBorderDxfId="57">
  <autoFilter ref="D4:D7"/>
  <tableColumns count="1">
    <tableColumn id="1" name="Contrato" dataDxfId="5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5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54" dataDxfId="53">
  <autoFilter ref="Q1:R8"/>
  <tableColumns count="2">
    <tableColumn id="1" name="Analogia" dataDxfId="52"/>
    <tableColumn id="2" name="Fator de ajuste" dataDxfId="5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50" dataDxfId="48" headerRowBorderDxfId="49" tableBorderDxfId="47" totalsRowBorderDxfId="46" headerRowCellStyle="Normal 6">
  <autoFilter ref="A2:W21"/>
  <tableColumns count="23">
    <tableColumn id="4" name="Id" dataDxfId="45"/>
    <tableColumn id="8" name="Man Cosmetica Especial" dataDxfId="44"/>
    <tableColumn id="1" name="Fases do Ciclo de Vida / Artefatos 1" dataDxfId="43"/>
    <tableColumn id="2" name="Percentual 1" dataDxfId="42"/>
    <tableColumn id="6" name="Fábrica testes 1" dataDxfId="41"/>
    <tableColumn id="5" name="Fases do Ciclo de Vida / Artefatos 2" dataDxfId="40"/>
    <tableColumn id="3" name="Percentual 2" dataDxfId="39"/>
    <tableColumn id="7" name="Fábrica testes 2" dataDxfId="38"/>
    <tableColumn id="9" name="Fases do Ciclo de Vida / Artefatos 3" dataDxfId="37"/>
    <tableColumn id="10" name="Percentual 3" dataDxfId="36" dataCellStyle="Porcentagem"/>
    <tableColumn id="11" name="Fábrica testes 3" dataDxfId="35"/>
    <tableColumn id="12" name="Fases do Ciclo de Vida / Artefatos 4" dataDxfId="34"/>
    <tableColumn id="13" name="Percentual 4" dataDxfId="33"/>
    <tableColumn id="14" name="Fábrica testes 4" dataDxfId="32"/>
    <tableColumn id="15" name="Fases do Ciclo de Vida / Artefatos 5" dataDxfId="31"/>
    <tableColumn id="16" name="Percentual 5" dataDxfId="30"/>
    <tableColumn id="17" name="Fábrica testes 5" dataDxfId="29"/>
    <tableColumn id="18" name="Fases do Ciclo de Vida / Artefatos 6" dataDxfId="28"/>
    <tableColumn id="19" name="Percentual 6" dataDxfId="27"/>
    <tableColumn id="20" name="Fábrica testes 6" dataDxfId="26"/>
    <tableColumn id="21" name="Fases do Ciclo de Vida / Artefatos 7" dataDxfId="25"/>
    <tableColumn id="22" name="Percentual 7" dataDxfId="24"/>
    <tableColumn id="23" name="Fábrica testes 7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22" dataDxfId="21">
  <autoFilter ref="Y2:AD27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8" t="s">
        <v>360</v>
      </c>
      <c r="B6" s="428"/>
      <c r="C6" s="428"/>
      <c r="D6" s="428"/>
      <c r="E6" s="428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ZDDbt6SqVYdq4umAaVSU6G+JNf8kdXFX0MiaWsxwAAnqiDAWIEz+B7JWcLpFfHV8jy6XZUaTxMxsm6otndWULg==" saltValue="Aj031XIjTpaXVPqfOTiBmA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zoomScale="90" zoomScaleNormal="90" workbookViewId="0">
      <selection activeCell="B2" sqref="B2:D2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7" t="s">
        <v>25</v>
      </c>
      <c r="C2" s="437"/>
      <c r="D2" s="437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8" t="s">
        <v>143</v>
      </c>
      <c r="D4" s="439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42"/>
      <c r="D6" s="443"/>
      <c r="E6" s="61"/>
      <c r="F6" s="161"/>
    </row>
    <row r="7" spans="2:6" ht="18" customHeight="1" x14ac:dyDescent="0.2">
      <c r="B7" s="189" t="s">
        <v>280</v>
      </c>
      <c r="C7" s="442"/>
      <c r="D7" s="443"/>
      <c r="E7" s="61"/>
      <c r="F7" s="161"/>
    </row>
    <row r="8" spans="2:6" ht="54" customHeight="1" x14ac:dyDescent="0.2">
      <c r="B8" s="52" t="s">
        <v>21</v>
      </c>
      <c r="C8" s="444"/>
      <c r="D8" s="445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/>
      </c>
      <c r="D9" s="378"/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46" t="str">
        <f>IFERROR(VLOOKUP(Sistema,Produtividades[],COLUMN(Produtividades[[#Headers],[Contrato]])-1,FALSE),"")</f>
        <v/>
      </c>
      <c r="D11" s="447"/>
      <c r="F11" s="158"/>
    </row>
    <row r="12" spans="2:6" x14ac:dyDescent="0.2">
      <c r="F12" s="158"/>
    </row>
    <row r="13" spans="2:6" x14ac:dyDescent="0.2">
      <c r="B13" s="179" t="s">
        <v>271</v>
      </c>
      <c r="C13" s="446" t="s">
        <v>167</v>
      </c>
      <c r="D13" s="447"/>
      <c r="F13" s="158"/>
    </row>
    <row r="14" spans="2:6" x14ac:dyDescent="0.2">
      <c r="F14" s="158"/>
    </row>
    <row r="15" spans="2:6" x14ac:dyDescent="0.2">
      <c r="B15" s="53" t="s">
        <v>166</v>
      </c>
      <c r="C15" s="452" t="s">
        <v>96</v>
      </c>
      <c r="D15" s="453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54" t="s">
        <v>156</v>
      </c>
      <c r="D17" s="455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46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0</v>
      </c>
      <c r="D19" s="447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8">
        <f>Horas_APF</f>
        <v>0</v>
      </c>
      <c r="D26" s="449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50" t="s">
        <v>24</v>
      </c>
      <c r="D28" s="451"/>
      <c r="E28" s="19"/>
      <c r="F28" s="19"/>
    </row>
    <row r="29" spans="2:6" ht="18" customHeight="1" x14ac:dyDescent="0.2">
      <c r="B29" s="52" t="s">
        <v>29</v>
      </c>
      <c r="C29" s="446">
        <f ca="1">ROUND(IF(RespostaContagem=Sim,Horas_HH_Total,Horas_HH_Total+EsforcoFases[[#Totals],[Esforço em Horas (preenchido)]]),2)</f>
        <v>0</v>
      </c>
      <c r="D29" s="447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0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40" t="e">
        <f ca="1">ROUND((Horas_APF+Horas_Analogia+Horas_HH+Horas_Gestao)*Flip,2)</f>
        <v>#VALUE!</v>
      </c>
      <c r="D34" s="441"/>
      <c r="E34" s="16"/>
      <c r="F34" s="16"/>
    </row>
    <row r="36" spans="2:6" x14ac:dyDescent="0.2">
      <c r="B36" s="53" t="s">
        <v>175</v>
      </c>
      <c r="C36" s="429" t="e">
        <f>VLOOKUP(Sistema,Produtividades[],COLUMN(Produtividades[[#Headers],[Taxa horária]])-1,FALSE)</f>
        <v>#N/A</v>
      </c>
      <c r="D36" s="430"/>
    </row>
    <row r="38" spans="2:6" x14ac:dyDescent="0.2">
      <c r="B38" s="53" t="s">
        <v>179</v>
      </c>
      <c r="C38" s="429" t="e">
        <f ca="1">Horas_Total*Taxa_Horaria</f>
        <v>#VALUE!</v>
      </c>
      <c r="D38" s="430"/>
    </row>
    <row r="40" spans="2:6" x14ac:dyDescent="0.2">
      <c r="B40" s="53" t="s">
        <v>178</v>
      </c>
      <c r="C40" s="431"/>
      <c r="D40" s="432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35"/>
      <c r="D42" s="436"/>
    </row>
    <row r="44" spans="2:6" ht="15.75" x14ac:dyDescent="0.2">
      <c r="B44" s="53" t="s">
        <v>180</v>
      </c>
      <c r="C44" s="433" t="e">
        <f ca="1">Custo-Desconto</f>
        <v>#VALUE!</v>
      </c>
      <c r="D44" s="434"/>
    </row>
  </sheetData>
  <sheetProtection algorithmName="SHA-512" hashValue="lGs0fE67wIeLBL2zCGrxNAmZoI9OyUxXz61jgE3Mb7fqx8abxc8UNSOAMnpzKb6d+QQfqCkyPn2ShA4rkjWqeA==" saltValue="+hI748ba6jyOQiqVRUJpZA==" spinCount="100000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M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7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>
        <f>Sistema</f>
        <v>0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 t="e">
        <f>VLOOKUP(C4,Produtividades[#All],2,0)</f>
        <v>#N/A</v>
      </c>
      <c r="E5" s="384" t="e">
        <f>VLOOKUP(C4,Produtividades[#All],3,0)</f>
        <v>#N/A</v>
      </c>
      <c r="F5" s="384" t="e">
        <f>VLOOKUP(C4,Produtividades[#All],4,0)</f>
        <v>#N/A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x14ac:dyDescent="0.2">
      <c r="B7" s="268"/>
      <c r="C7" s="269"/>
      <c r="D7" s="270"/>
      <c r="E7" s="270"/>
      <c r="F7" s="270"/>
      <c r="G7" s="270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JMuDZEZagQxqOdYeaF1Th/LYWui20shMCnIbuQxQitjqjRJxWiR+BT7WDRQys4biU/dfbiJsLfEL3eY2bnbBlA==" saltValue="6lvk7T6nMEEYUkaugReIRQ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7" t="s">
        <v>71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</row>
    <row r="3" spans="2:19" s="31" customFormat="1" ht="20.100000000000001" customHeight="1" x14ac:dyDescent="0.2">
      <c r="B3" s="456" t="s">
        <v>40</v>
      </c>
      <c r="C3" s="456"/>
      <c r="D3" s="456"/>
      <c r="E3" s="456"/>
      <c r="F3" s="456"/>
      <c r="G3" s="456"/>
      <c r="H3" s="456"/>
      <c r="I3" s="456"/>
      <c r="J3" s="456"/>
      <c r="K3" s="456"/>
      <c r="L3" s="456"/>
      <c r="M3" s="456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>
        <f>Sistema</f>
        <v>0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 t="e">
        <f>VLOOKUP(C4,Produtividades[#All],2,0)</f>
        <v>#N/A</v>
      </c>
      <c r="E5" s="384" t="e">
        <f>VLOOKUP(C4,Produtividades[#All],3,0)</f>
        <v>#N/A</v>
      </c>
      <c r="F5" s="384" t="e">
        <f>VLOOKUP(C4,Produtividades[#All],4,0)</f>
        <v>#N/A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dSQGPxYzfIjJqJeIq44/90R3LOiy0w8n+rvjhE4yROhCAa7hCGzlWe3LAsXpTzc8p4jU42VQCnWyEgugnbv6HQ==" saltValue="mc1AlNYz6NxUcz8CG9kT5w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7" t="s">
        <v>98</v>
      </c>
      <c r="D2" s="437"/>
      <c r="E2" s="437"/>
      <c r="F2" s="437"/>
      <c r="G2" s="437"/>
      <c r="H2" s="437"/>
      <c r="I2" s="437"/>
    </row>
    <row r="3" spans="2:25" s="31" customFormat="1" ht="34.5" customHeight="1" x14ac:dyDescent="0.2">
      <c r="B3" s="30"/>
      <c r="C3" s="465"/>
      <c r="D3" s="465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6">
        <f>SUM(Q:Q)</f>
        <v>0</v>
      </c>
      <c r="E5" s="466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7" t="s">
        <v>100</v>
      </c>
      <c r="D8" s="457" t="s">
        <v>101</v>
      </c>
      <c r="E8" s="457" t="s">
        <v>4</v>
      </c>
      <c r="F8" s="457" t="s">
        <v>102</v>
      </c>
      <c r="G8" s="457" t="s">
        <v>103</v>
      </c>
      <c r="H8" s="467" t="s">
        <v>104</v>
      </c>
      <c r="I8" s="467"/>
      <c r="J8" s="467"/>
      <c r="K8" s="467"/>
      <c r="L8" s="467"/>
      <c r="M8" s="467"/>
      <c r="N8" s="467"/>
      <c r="O8" s="467"/>
      <c r="P8" s="467"/>
      <c r="Q8" s="457" t="s">
        <v>105</v>
      </c>
    </row>
    <row r="9" spans="2:25" ht="25.5" x14ac:dyDescent="0.2">
      <c r="C9" s="458"/>
      <c r="D9" s="458"/>
      <c r="E9" s="458"/>
      <c r="F9" s="458"/>
      <c r="G9" s="458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0" t="s">
        <v>112</v>
      </c>
      <c r="Q9" s="458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9"/>
      <c r="D10" s="459"/>
      <c r="E10" s="459"/>
      <c r="F10" s="459"/>
      <c r="G10" s="459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1"/>
      <c r="Q10" s="459"/>
    </row>
    <row r="11" spans="2:25" ht="15" x14ac:dyDescent="0.2">
      <c r="C11" s="462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3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3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3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3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3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3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3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3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3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3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3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3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3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3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3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3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4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LsKjvnFmJlQzr+z8VOolJDv4Ma139QtHplKOAgtPLvKZRIQOqu5IQAi/fFmEO+jBwJkEowFdQowuaZN2KAp4/g==" saltValue="Kf/v0s2xzREo9oer0Ch/Z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7" t="s">
        <v>410</v>
      </c>
      <c r="D2" s="437"/>
      <c r="E2" s="437"/>
      <c r="F2" s="437"/>
      <c r="G2" s="437"/>
      <c r="H2" s="437"/>
      <c r="I2" s="437"/>
      <c r="J2" s="437"/>
    </row>
    <row r="3" spans="2:20" s="31" customFormat="1" ht="34.5" customHeight="1" x14ac:dyDescent="0.2">
      <c r="B3" s="30"/>
      <c r="C3" s="465"/>
      <c r="D3" s="465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</row>
    <row r="9" spans="2:20" ht="37.5" customHeight="1" x14ac:dyDescent="0.2"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</row>
    <row r="11" spans="2:20" ht="15" customHeight="1" x14ac:dyDescent="0.2">
      <c r="C11" s="468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8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8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8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8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8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8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8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8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8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8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8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8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8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8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8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8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8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8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8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8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8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8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8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8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8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8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yKcM6bdpBHCrpLTsmqhJMM/O8cC3LFFnzBku1N6xVoq94sDJDXLbq9YXUaphwpXwlUd2BwbBCWMxmA1ayYOZeQ==" saltValue="PPt1Cm4woGGnGU4TH1O8Kw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7" t="s">
        <v>411</v>
      </c>
      <c r="D2" s="437"/>
      <c r="E2" s="437"/>
      <c r="F2" s="437"/>
      <c r="G2" s="437"/>
      <c r="H2" s="437"/>
      <c r="I2" s="437"/>
      <c r="J2" s="437"/>
    </row>
    <row r="3" spans="2:20" s="31" customFormat="1" ht="34.5" customHeight="1" x14ac:dyDescent="0.2">
      <c r="B3" s="30"/>
      <c r="C3" s="465"/>
      <c r="D3" s="465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  <c r="N10" s="34"/>
      <c r="O10" s="34"/>
      <c r="P10" s="34"/>
      <c r="Q10" s="34"/>
      <c r="R10" s="34"/>
      <c r="S10" s="34"/>
      <c r="T10" s="34"/>
    </row>
    <row r="11" spans="2:20" ht="15" x14ac:dyDescent="0.2">
      <c r="C11" s="475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5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5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5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5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5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5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5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5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5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5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5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5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5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5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5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5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5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5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5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5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5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5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5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5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5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TKzIErxNHWlhwEAaDGWYVVR286m5rCpGwZMjuPryuLC9+4F7GjTSSCSZYOIialR22fgB3WF1B/ikXRefxR8skQ==" saltValue="ZD3euXi/p0nAikD0U899u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7" t="s">
        <v>433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8" t="s">
        <v>412</v>
      </c>
      <c r="M8" s="499"/>
      <c r="N8" s="323"/>
      <c r="O8" s="498" t="s">
        <v>413</v>
      </c>
      <c r="P8" s="499"/>
      <c r="Q8" s="323"/>
      <c r="R8" s="500" t="s">
        <v>414</v>
      </c>
      <c r="S8" s="501"/>
      <c r="T8" s="502"/>
      <c r="U8" s="333"/>
      <c r="V8" s="336"/>
      <c r="W8" s="495" t="s">
        <v>104</v>
      </c>
      <c r="X8" s="496"/>
      <c r="Y8" s="496"/>
      <c r="Z8" s="497"/>
      <c r="AA8" s="493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8"/>
      <c r="B9" s="486" t="s">
        <v>79</v>
      </c>
      <c r="C9" s="489" t="s">
        <v>1</v>
      </c>
      <c r="D9" s="489" t="s">
        <v>101</v>
      </c>
      <c r="E9" s="489" t="s">
        <v>151</v>
      </c>
      <c r="F9" s="489" t="s">
        <v>51</v>
      </c>
      <c r="G9" s="489" t="s">
        <v>52</v>
      </c>
      <c r="H9" s="489" t="s">
        <v>171</v>
      </c>
      <c r="I9" s="489" t="s">
        <v>172</v>
      </c>
      <c r="J9" s="505" t="s">
        <v>415</v>
      </c>
      <c r="K9" s="503" t="s">
        <v>5</v>
      </c>
      <c r="L9" s="482" t="s">
        <v>441</v>
      </c>
      <c r="M9" s="483"/>
      <c r="N9" s="331" t="s">
        <v>424</v>
      </c>
      <c r="O9" s="482" t="s">
        <v>442</v>
      </c>
      <c r="P9" s="483"/>
      <c r="Q9" s="331" t="s">
        <v>423</v>
      </c>
      <c r="R9" s="482" t="s">
        <v>443</v>
      </c>
      <c r="S9" s="491"/>
      <c r="T9" s="483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94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8"/>
      <c r="B10" s="487"/>
      <c r="C10" s="490"/>
      <c r="D10" s="490"/>
      <c r="E10" s="490"/>
      <c r="F10" s="490"/>
      <c r="G10" s="490"/>
      <c r="H10" s="490"/>
      <c r="I10" s="490"/>
      <c r="J10" s="490"/>
      <c r="K10" s="504"/>
      <c r="L10" s="484"/>
      <c r="M10" s="485"/>
      <c r="N10" s="332"/>
      <c r="O10" s="484"/>
      <c r="P10" s="485"/>
      <c r="Q10" s="332"/>
      <c r="R10" s="484"/>
      <c r="S10" s="492"/>
      <c r="T10" s="485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94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479"/>
      <c r="M11" s="481"/>
      <c r="N11" s="346" t="str">
        <f t="shared" ref="N11:N28" si="0">IF(L11="","",$AC$12&amp;L11)</f>
        <v/>
      </c>
      <c r="O11" s="479"/>
      <c r="P11" s="481"/>
      <c r="Q11" s="346" t="str">
        <f t="shared" ref="Q11:Q27" si="1">IF(O11="","",$AC$15&amp;O11)</f>
        <v/>
      </c>
      <c r="R11" s="479"/>
      <c r="S11" s="480"/>
      <c r="T11" s="481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479"/>
      <c r="M12" s="481"/>
      <c r="N12" s="346" t="str">
        <f t="shared" si="0"/>
        <v/>
      </c>
      <c r="O12" s="479"/>
      <c r="P12" s="481"/>
      <c r="Q12" s="346" t="str">
        <f t="shared" si="1"/>
        <v/>
      </c>
      <c r="R12" s="479"/>
      <c r="S12" s="480"/>
      <c r="T12" s="481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479"/>
      <c r="M13" s="481"/>
      <c r="N13" s="346" t="str">
        <f t="shared" si="0"/>
        <v/>
      </c>
      <c r="O13" s="479"/>
      <c r="P13" s="481"/>
      <c r="Q13" s="346" t="str">
        <f t="shared" si="1"/>
        <v/>
      </c>
      <c r="R13" s="479"/>
      <c r="S13" s="480"/>
      <c r="T13" s="481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479"/>
      <c r="M14" s="481"/>
      <c r="N14" s="346" t="str">
        <f t="shared" si="0"/>
        <v/>
      </c>
      <c r="O14" s="479"/>
      <c r="P14" s="481"/>
      <c r="Q14" s="346" t="str">
        <f t="shared" si="1"/>
        <v/>
      </c>
      <c r="R14" s="479"/>
      <c r="S14" s="480"/>
      <c r="T14" s="481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479"/>
      <c r="M15" s="481"/>
      <c r="N15" s="346" t="str">
        <f t="shared" si="0"/>
        <v/>
      </c>
      <c r="O15" s="479"/>
      <c r="P15" s="481"/>
      <c r="Q15" s="346" t="str">
        <f t="shared" si="1"/>
        <v/>
      </c>
      <c r="R15" s="479"/>
      <c r="S15" s="480"/>
      <c r="T15" s="481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479"/>
      <c r="M16" s="481"/>
      <c r="N16" s="346" t="str">
        <f t="shared" si="0"/>
        <v/>
      </c>
      <c r="O16" s="479"/>
      <c r="P16" s="481"/>
      <c r="Q16" s="346" t="str">
        <f t="shared" si="1"/>
        <v/>
      </c>
      <c r="R16" s="479"/>
      <c r="S16" s="480"/>
      <c r="T16" s="481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479"/>
      <c r="M17" s="481"/>
      <c r="N17" s="346" t="str">
        <f t="shared" si="0"/>
        <v/>
      </c>
      <c r="O17" s="479"/>
      <c r="P17" s="481"/>
      <c r="Q17" s="346" t="str">
        <f t="shared" si="1"/>
        <v/>
      </c>
      <c r="R17" s="479"/>
      <c r="S17" s="480"/>
      <c r="T17" s="481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479"/>
      <c r="M18" s="481"/>
      <c r="N18" s="346" t="str">
        <f t="shared" si="0"/>
        <v/>
      </c>
      <c r="O18" s="479"/>
      <c r="P18" s="481"/>
      <c r="Q18" s="346" t="str">
        <f t="shared" si="1"/>
        <v/>
      </c>
      <c r="R18" s="479"/>
      <c r="S18" s="480"/>
      <c r="T18" s="481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479"/>
      <c r="M19" s="481"/>
      <c r="N19" s="346" t="str">
        <f t="shared" si="0"/>
        <v/>
      </c>
      <c r="O19" s="479"/>
      <c r="P19" s="481"/>
      <c r="Q19" s="346" t="str">
        <f t="shared" si="1"/>
        <v/>
      </c>
      <c r="R19" s="479"/>
      <c r="S19" s="480"/>
      <c r="T19" s="481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479"/>
      <c r="M20" s="481"/>
      <c r="N20" s="346" t="str">
        <f t="shared" si="0"/>
        <v/>
      </c>
      <c r="O20" s="479"/>
      <c r="P20" s="481"/>
      <c r="Q20" s="346" t="str">
        <f t="shared" si="1"/>
        <v/>
      </c>
      <c r="R20" s="479"/>
      <c r="S20" s="480"/>
      <c r="T20" s="481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479"/>
      <c r="M21" s="481"/>
      <c r="N21" s="346" t="str">
        <f t="shared" si="0"/>
        <v/>
      </c>
      <c r="O21" s="479"/>
      <c r="P21" s="481"/>
      <c r="Q21" s="346" t="str">
        <f t="shared" si="1"/>
        <v/>
      </c>
      <c r="R21" s="479"/>
      <c r="S21" s="480"/>
      <c r="T21" s="481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479"/>
      <c r="M22" s="481"/>
      <c r="N22" s="346" t="str">
        <f t="shared" si="0"/>
        <v/>
      </c>
      <c r="O22" s="479"/>
      <c r="P22" s="481"/>
      <c r="Q22" s="346" t="str">
        <f t="shared" si="1"/>
        <v/>
      </c>
      <c r="R22" s="479"/>
      <c r="S22" s="480"/>
      <c r="T22" s="481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479"/>
      <c r="M23" s="481"/>
      <c r="N23" s="346" t="str">
        <f t="shared" si="0"/>
        <v/>
      </c>
      <c r="O23" s="479"/>
      <c r="P23" s="481"/>
      <c r="Q23" s="346" t="str">
        <f t="shared" si="1"/>
        <v/>
      </c>
      <c r="R23" s="479"/>
      <c r="S23" s="480"/>
      <c r="T23" s="481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479"/>
      <c r="M24" s="481"/>
      <c r="N24" s="346" t="str">
        <f t="shared" si="0"/>
        <v/>
      </c>
      <c r="O24" s="479"/>
      <c r="P24" s="481"/>
      <c r="Q24" s="346" t="str">
        <f t="shared" si="1"/>
        <v/>
      </c>
      <c r="R24" s="479"/>
      <c r="S24" s="480"/>
      <c r="T24" s="481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479"/>
      <c r="M25" s="481"/>
      <c r="N25" s="346" t="str">
        <f t="shared" si="0"/>
        <v/>
      </c>
      <c r="O25" s="479"/>
      <c r="P25" s="481"/>
      <c r="Q25" s="346" t="str">
        <f t="shared" si="1"/>
        <v/>
      </c>
      <c r="R25" s="479"/>
      <c r="S25" s="480"/>
      <c r="T25" s="481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479"/>
      <c r="M26" s="481"/>
      <c r="N26" s="346" t="str">
        <f t="shared" si="0"/>
        <v/>
      </c>
      <c r="O26" s="479"/>
      <c r="P26" s="481"/>
      <c r="Q26" s="346" t="str">
        <f t="shared" si="1"/>
        <v/>
      </c>
      <c r="R26" s="479"/>
      <c r="S26" s="480"/>
      <c r="T26" s="481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479"/>
      <c r="M27" s="481"/>
      <c r="N27" s="346" t="str">
        <f t="shared" si="0"/>
        <v/>
      </c>
      <c r="O27" s="479"/>
      <c r="P27" s="481"/>
      <c r="Q27" s="346" t="str">
        <f t="shared" si="1"/>
        <v/>
      </c>
      <c r="R27" s="479"/>
      <c r="S27" s="480"/>
      <c r="T27" s="481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479"/>
      <c r="M28" s="481"/>
      <c r="N28" s="346" t="str">
        <f t="shared" si="0"/>
        <v/>
      </c>
      <c r="O28" s="479"/>
      <c r="P28" s="481"/>
      <c r="Q28" s="346" t="str">
        <f t="shared" ref="Q28:Q38" si="13">IF(O28="","",$AC$15&amp;O28)</f>
        <v/>
      </c>
      <c r="R28" s="479"/>
      <c r="S28" s="480"/>
      <c r="T28" s="481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479"/>
      <c r="M29" s="481"/>
      <c r="N29" s="346" t="str">
        <f t="shared" ref="N29:N40" si="14">IF(L29="","",$AC$12&amp;L29)</f>
        <v/>
      </c>
      <c r="O29" s="479"/>
      <c r="P29" s="481"/>
      <c r="Q29" s="346" t="str">
        <f t="shared" si="13"/>
        <v/>
      </c>
      <c r="R29" s="479"/>
      <c r="S29" s="480"/>
      <c r="T29" s="481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479"/>
      <c r="M30" s="481"/>
      <c r="N30" s="346" t="str">
        <f t="shared" si="14"/>
        <v/>
      </c>
      <c r="O30" s="479"/>
      <c r="P30" s="481"/>
      <c r="Q30" s="346" t="str">
        <f t="shared" si="13"/>
        <v/>
      </c>
      <c r="R30" s="479"/>
      <c r="S30" s="480"/>
      <c r="T30" s="481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479"/>
      <c r="M31" s="481"/>
      <c r="N31" s="346" t="str">
        <f t="shared" si="14"/>
        <v/>
      </c>
      <c r="O31" s="479"/>
      <c r="P31" s="481"/>
      <c r="Q31" s="346" t="str">
        <f t="shared" si="13"/>
        <v/>
      </c>
      <c r="R31" s="479"/>
      <c r="S31" s="480"/>
      <c r="T31" s="481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479"/>
      <c r="M32" s="481"/>
      <c r="N32" s="346" t="str">
        <f t="shared" si="14"/>
        <v/>
      </c>
      <c r="O32" s="479"/>
      <c r="P32" s="481"/>
      <c r="Q32" s="346" t="str">
        <f t="shared" si="13"/>
        <v/>
      </c>
      <c r="R32" s="479"/>
      <c r="S32" s="480"/>
      <c r="T32" s="481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479"/>
      <c r="M33" s="481"/>
      <c r="N33" s="346" t="str">
        <f t="shared" si="14"/>
        <v/>
      </c>
      <c r="O33" s="479"/>
      <c r="P33" s="481"/>
      <c r="Q33" s="346" t="str">
        <f t="shared" si="13"/>
        <v/>
      </c>
      <c r="R33" s="479"/>
      <c r="S33" s="480"/>
      <c r="T33" s="481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479"/>
      <c r="M34" s="481"/>
      <c r="N34" s="346" t="str">
        <f t="shared" si="14"/>
        <v/>
      </c>
      <c r="O34" s="479"/>
      <c r="P34" s="481"/>
      <c r="Q34" s="346" t="str">
        <f t="shared" si="13"/>
        <v/>
      </c>
      <c r="R34" s="479"/>
      <c r="S34" s="480"/>
      <c r="T34" s="481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479"/>
      <c r="M35" s="481"/>
      <c r="N35" s="346" t="str">
        <f t="shared" si="14"/>
        <v/>
      </c>
      <c r="O35" s="479"/>
      <c r="P35" s="481"/>
      <c r="Q35" s="346" t="str">
        <f t="shared" si="13"/>
        <v/>
      </c>
      <c r="R35" s="479"/>
      <c r="S35" s="480"/>
      <c r="T35" s="481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479"/>
      <c r="M36" s="481"/>
      <c r="N36" s="346" t="str">
        <f t="shared" si="14"/>
        <v/>
      </c>
      <c r="O36" s="479"/>
      <c r="P36" s="481"/>
      <c r="Q36" s="346" t="str">
        <f t="shared" si="13"/>
        <v/>
      </c>
      <c r="R36" s="479"/>
      <c r="S36" s="480"/>
      <c r="T36" s="481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479"/>
      <c r="M37" s="481"/>
      <c r="N37" s="346" t="str">
        <f t="shared" si="14"/>
        <v/>
      </c>
      <c r="O37" s="479"/>
      <c r="P37" s="481"/>
      <c r="Q37" s="346" t="str">
        <f t="shared" si="13"/>
        <v/>
      </c>
      <c r="R37" s="479"/>
      <c r="S37" s="480"/>
      <c r="T37" s="481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479"/>
      <c r="M38" s="481"/>
      <c r="N38" s="346" t="str">
        <f t="shared" si="14"/>
        <v/>
      </c>
      <c r="O38" s="479"/>
      <c r="P38" s="481"/>
      <c r="Q38" s="346" t="str">
        <f t="shared" si="13"/>
        <v/>
      </c>
      <c r="R38" s="479"/>
      <c r="S38" s="480"/>
      <c r="T38" s="481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479"/>
      <c r="M39" s="481"/>
      <c r="N39" s="346" t="str">
        <f t="shared" si="14"/>
        <v/>
      </c>
      <c r="O39" s="479"/>
      <c r="P39" s="481"/>
      <c r="Q39" s="346" t="str">
        <f t="shared" ref="Q39:Q50" si="16">IF(O39="","",$AC$15&amp;O39)</f>
        <v/>
      </c>
      <c r="R39" s="479"/>
      <c r="S39" s="480"/>
      <c r="T39" s="481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479"/>
      <c r="M40" s="481"/>
      <c r="N40" s="346" t="str">
        <f t="shared" si="14"/>
        <v/>
      </c>
      <c r="O40" s="479"/>
      <c r="P40" s="481"/>
      <c r="Q40" s="346" t="str">
        <f t="shared" si="16"/>
        <v/>
      </c>
      <c r="R40" s="479"/>
      <c r="S40" s="480"/>
      <c r="T40" s="481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479"/>
      <c r="M41" s="481"/>
      <c r="N41" s="346" t="str">
        <f t="shared" ref="N41:N50" si="17">IF(L41="","",$AC$12&amp;L41)</f>
        <v/>
      </c>
      <c r="O41" s="479"/>
      <c r="P41" s="481"/>
      <c r="Q41" s="346" t="str">
        <f t="shared" si="16"/>
        <v/>
      </c>
      <c r="R41" s="479"/>
      <c r="S41" s="480"/>
      <c r="T41" s="481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479"/>
      <c r="M42" s="481"/>
      <c r="N42" s="346" t="str">
        <f t="shared" si="17"/>
        <v/>
      </c>
      <c r="O42" s="479"/>
      <c r="P42" s="481"/>
      <c r="Q42" s="346" t="str">
        <f t="shared" si="16"/>
        <v/>
      </c>
      <c r="R42" s="479"/>
      <c r="S42" s="480"/>
      <c r="T42" s="481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479"/>
      <c r="M43" s="481"/>
      <c r="N43" s="346" t="str">
        <f t="shared" si="17"/>
        <v/>
      </c>
      <c r="O43" s="479"/>
      <c r="P43" s="481"/>
      <c r="Q43" s="346" t="str">
        <f t="shared" si="16"/>
        <v/>
      </c>
      <c r="R43" s="479"/>
      <c r="S43" s="480"/>
      <c r="T43" s="481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479"/>
      <c r="M44" s="481"/>
      <c r="N44" s="346" t="str">
        <f t="shared" si="17"/>
        <v/>
      </c>
      <c r="O44" s="479"/>
      <c r="P44" s="481"/>
      <c r="Q44" s="346" t="str">
        <f t="shared" si="16"/>
        <v/>
      </c>
      <c r="R44" s="479"/>
      <c r="S44" s="480"/>
      <c r="T44" s="481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479"/>
      <c r="M45" s="481"/>
      <c r="N45" s="346" t="str">
        <f t="shared" si="17"/>
        <v/>
      </c>
      <c r="O45" s="479"/>
      <c r="P45" s="481"/>
      <c r="Q45" s="346" t="str">
        <f t="shared" si="16"/>
        <v/>
      </c>
      <c r="R45" s="479"/>
      <c r="S45" s="480"/>
      <c r="T45" s="481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479"/>
      <c r="M46" s="481"/>
      <c r="N46" s="346" t="str">
        <f t="shared" si="17"/>
        <v/>
      </c>
      <c r="O46" s="479"/>
      <c r="P46" s="481"/>
      <c r="Q46" s="346" t="str">
        <f t="shared" si="16"/>
        <v/>
      </c>
      <c r="R46" s="479"/>
      <c r="S46" s="480"/>
      <c r="T46" s="481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479"/>
      <c r="M47" s="481"/>
      <c r="N47" s="346" t="str">
        <f t="shared" si="17"/>
        <v/>
      </c>
      <c r="O47" s="479"/>
      <c r="P47" s="481"/>
      <c r="Q47" s="346" t="str">
        <f t="shared" si="16"/>
        <v/>
      </c>
      <c r="R47" s="479"/>
      <c r="S47" s="480"/>
      <c r="T47" s="481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479"/>
      <c r="M48" s="481"/>
      <c r="N48" s="346" t="str">
        <f t="shared" si="17"/>
        <v/>
      </c>
      <c r="O48" s="479"/>
      <c r="P48" s="481"/>
      <c r="Q48" s="346" t="str">
        <f t="shared" si="16"/>
        <v/>
      </c>
      <c r="R48" s="479"/>
      <c r="S48" s="480"/>
      <c r="T48" s="481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479"/>
      <c r="M49" s="481"/>
      <c r="N49" s="346" t="str">
        <f t="shared" si="17"/>
        <v/>
      </c>
      <c r="O49" s="479"/>
      <c r="P49" s="481"/>
      <c r="Q49" s="346" t="str">
        <f t="shared" si="16"/>
        <v/>
      </c>
      <c r="R49" s="479"/>
      <c r="S49" s="480"/>
      <c r="T49" s="481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479"/>
      <c r="M50" s="481"/>
      <c r="N50" s="346" t="str">
        <f t="shared" si="17"/>
        <v/>
      </c>
      <c r="O50" s="479"/>
      <c r="P50" s="481"/>
      <c r="Q50" s="346" t="str">
        <f t="shared" si="16"/>
        <v/>
      </c>
      <c r="R50" s="479"/>
      <c r="S50" s="480"/>
      <c r="T50" s="481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476"/>
      <c r="M51" s="477"/>
      <c r="N51" s="346" t="str">
        <f t="shared" ref="N51" si="18">IF(AND(L51&lt;&gt;"",M51&lt;&gt;""),CONCATENATE($AC$12,L51,M51),"")</f>
        <v/>
      </c>
      <c r="O51" s="476"/>
      <c r="P51" s="477"/>
      <c r="Q51" s="346" t="str">
        <f t="shared" ref="Q51" si="19">IF(AND(O51&lt;&gt;"",P51&lt;&gt;""),CONCATENATE($AC$15,O51,P51),"")</f>
        <v/>
      </c>
      <c r="R51" s="476"/>
      <c r="S51" s="478"/>
      <c r="T51" s="477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f56wzjKQuxgQc+VWdFbs9T1kpM+s2JBm17AwDtR4ruZqUO92vMjNIeFtPNVNuJa8qWEyaxYGONA3MMtBVBSd0Q==" saltValue="HcLATtjISb/ovZPrARVk8A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7" t="s">
        <v>433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8" t="s">
        <v>412</v>
      </c>
      <c r="M8" s="499"/>
      <c r="N8" s="323"/>
      <c r="O8" s="498" t="s">
        <v>413</v>
      </c>
      <c r="P8" s="499"/>
      <c r="Q8" s="323"/>
      <c r="R8" s="500" t="s">
        <v>414</v>
      </c>
      <c r="S8" s="501"/>
      <c r="T8" s="502"/>
      <c r="U8" s="333"/>
      <c r="V8" s="336"/>
      <c r="W8" s="495" t="s">
        <v>104</v>
      </c>
      <c r="X8" s="496"/>
      <c r="Y8" s="496"/>
      <c r="Z8" s="497"/>
      <c r="AA8" s="50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8"/>
      <c r="B9" s="486" t="s">
        <v>79</v>
      </c>
      <c r="C9" s="489" t="s">
        <v>1</v>
      </c>
      <c r="D9" s="489" t="s">
        <v>101</v>
      </c>
      <c r="E9" s="489" t="s">
        <v>151</v>
      </c>
      <c r="F9" s="489" t="s">
        <v>51</v>
      </c>
      <c r="G9" s="489" t="s">
        <v>52</v>
      </c>
      <c r="H9" s="489" t="s">
        <v>171</v>
      </c>
      <c r="I9" s="489" t="s">
        <v>172</v>
      </c>
      <c r="J9" s="505" t="s">
        <v>415</v>
      </c>
      <c r="K9" s="503" t="s">
        <v>5</v>
      </c>
      <c r="L9" s="482" t="s">
        <v>441</v>
      </c>
      <c r="M9" s="483"/>
      <c r="N9" s="331" t="s">
        <v>424</v>
      </c>
      <c r="O9" s="482" t="s">
        <v>442</v>
      </c>
      <c r="P9" s="483"/>
      <c r="Q9" s="331" t="s">
        <v>423</v>
      </c>
      <c r="R9" s="482" t="s">
        <v>443</v>
      </c>
      <c r="S9" s="491"/>
      <c r="T9" s="483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8"/>
      <c r="B10" s="487"/>
      <c r="C10" s="490"/>
      <c r="D10" s="490"/>
      <c r="E10" s="490"/>
      <c r="F10" s="490"/>
      <c r="G10" s="490"/>
      <c r="H10" s="490"/>
      <c r="I10" s="490"/>
      <c r="J10" s="490"/>
      <c r="K10" s="504"/>
      <c r="L10" s="484"/>
      <c r="M10" s="485"/>
      <c r="N10" s="332"/>
      <c r="O10" s="484"/>
      <c r="P10" s="485"/>
      <c r="Q10" s="332"/>
      <c r="R10" s="484"/>
      <c r="S10" s="492"/>
      <c r="T10" s="485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8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479"/>
      <c r="M11" s="481"/>
      <c r="N11" s="346" t="str">
        <f t="shared" ref="N11:N50" si="0">IF(L11="","",$AC$12&amp;L11)</f>
        <v/>
      </c>
      <c r="O11" s="479"/>
      <c r="P11" s="481"/>
      <c r="Q11" s="346" t="str">
        <f t="shared" ref="Q11:Q50" si="1">IF(O11="","",$AC$15&amp;O11)</f>
        <v/>
      </c>
      <c r="R11" s="479"/>
      <c r="S11" s="480"/>
      <c r="T11" s="481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479"/>
      <c r="M12" s="481"/>
      <c r="N12" s="346" t="str">
        <f t="shared" si="0"/>
        <v/>
      </c>
      <c r="O12" s="479"/>
      <c r="P12" s="481"/>
      <c r="Q12" s="346" t="str">
        <f t="shared" si="1"/>
        <v/>
      </c>
      <c r="R12" s="479"/>
      <c r="S12" s="480"/>
      <c r="T12" s="481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479"/>
      <c r="M13" s="481"/>
      <c r="N13" s="346" t="str">
        <f t="shared" si="0"/>
        <v/>
      </c>
      <c r="O13" s="479"/>
      <c r="P13" s="481"/>
      <c r="Q13" s="346" t="str">
        <f t="shared" si="1"/>
        <v/>
      </c>
      <c r="R13" s="479"/>
      <c r="S13" s="480"/>
      <c r="T13" s="481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479"/>
      <c r="M14" s="481"/>
      <c r="N14" s="346" t="str">
        <f t="shared" si="0"/>
        <v/>
      </c>
      <c r="O14" s="479"/>
      <c r="P14" s="481"/>
      <c r="Q14" s="346" t="str">
        <f t="shared" si="1"/>
        <v/>
      </c>
      <c r="R14" s="479"/>
      <c r="S14" s="480"/>
      <c r="T14" s="481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479"/>
      <c r="M15" s="481"/>
      <c r="N15" s="346" t="str">
        <f t="shared" si="0"/>
        <v/>
      </c>
      <c r="O15" s="479"/>
      <c r="P15" s="481"/>
      <c r="Q15" s="346" t="str">
        <f t="shared" si="1"/>
        <v/>
      </c>
      <c r="R15" s="479"/>
      <c r="S15" s="480"/>
      <c r="T15" s="481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479"/>
      <c r="M16" s="481"/>
      <c r="N16" s="346" t="str">
        <f t="shared" si="0"/>
        <v/>
      </c>
      <c r="O16" s="479"/>
      <c r="P16" s="481"/>
      <c r="Q16" s="346" t="str">
        <f t="shared" si="1"/>
        <v/>
      </c>
      <c r="R16" s="479"/>
      <c r="S16" s="480"/>
      <c r="T16" s="481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479"/>
      <c r="M17" s="481"/>
      <c r="N17" s="346" t="str">
        <f t="shared" si="0"/>
        <v/>
      </c>
      <c r="O17" s="479"/>
      <c r="P17" s="481"/>
      <c r="Q17" s="346" t="str">
        <f t="shared" si="1"/>
        <v/>
      </c>
      <c r="R17" s="479"/>
      <c r="S17" s="480"/>
      <c r="T17" s="481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479"/>
      <c r="M18" s="481"/>
      <c r="N18" s="346" t="str">
        <f t="shared" si="0"/>
        <v/>
      </c>
      <c r="O18" s="479"/>
      <c r="P18" s="481"/>
      <c r="Q18" s="346" t="str">
        <f t="shared" si="1"/>
        <v/>
      </c>
      <c r="R18" s="479"/>
      <c r="S18" s="480"/>
      <c r="T18" s="481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479"/>
      <c r="M19" s="481"/>
      <c r="N19" s="346" t="str">
        <f t="shared" si="0"/>
        <v/>
      </c>
      <c r="O19" s="479"/>
      <c r="P19" s="481"/>
      <c r="Q19" s="346" t="str">
        <f t="shared" si="1"/>
        <v/>
      </c>
      <c r="R19" s="479"/>
      <c r="S19" s="480"/>
      <c r="T19" s="481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479"/>
      <c r="M20" s="481"/>
      <c r="N20" s="346" t="str">
        <f t="shared" si="0"/>
        <v/>
      </c>
      <c r="O20" s="479"/>
      <c r="P20" s="481"/>
      <c r="Q20" s="346" t="str">
        <f t="shared" si="1"/>
        <v/>
      </c>
      <c r="R20" s="479"/>
      <c r="S20" s="480"/>
      <c r="T20" s="481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479"/>
      <c r="M21" s="481"/>
      <c r="N21" s="346" t="str">
        <f t="shared" si="0"/>
        <v/>
      </c>
      <c r="O21" s="479"/>
      <c r="P21" s="481"/>
      <c r="Q21" s="346" t="str">
        <f t="shared" si="1"/>
        <v/>
      </c>
      <c r="R21" s="479"/>
      <c r="S21" s="480"/>
      <c r="T21" s="481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479"/>
      <c r="M22" s="481"/>
      <c r="N22" s="346" t="str">
        <f t="shared" si="0"/>
        <v/>
      </c>
      <c r="O22" s="479"/>
      <c r="P22" s="481"/>
      <c r="Q22" s="346" t="str">
        <f t="shared" si="1"/>
        <v/>
      </c>
      <c r="R22" s="479"/>
      <c r="S22" s="480"/>
      <c r="T22" s="481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479"/>
      <c r="M23" s="481"/>
      <c r="N23" s="346" t="str">
        <f t="shared" si="0"/>
        <v/>
      </c>
      <c r="O23" s="479"/>
      <c r="P23" s="481"/>
      <c r="Q23" s="346" t="str">
        <f t="shared" si="1"/>
        <v/>
      </c>
      <c r="R23" s="479"/>
      <c r="S23" s="480"/>
      <c r="T23" s="481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479"/>
      <c r="M24" s="481"/>
      <c r="N24" s="346" t="str">
        <f t="shared" si="0"/>
        <v/>
      </c>
      <c r="O24" s="479"/>
      <c r="P24" s="481"/>
      <c r="Q24" s="346" t="str">
        <f t="shared" si="1"/>
        <v/>
      </c>
      <c r="R24" s="479"/>
      <c r="S24" s="480"/>
      <c r="T24" s="481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479"/>
      <c r="M25" s="481"/>
      <c r="N25" s="346" t="str">
        <f t="shared" si="0"/>
        <v/>
      </c>
      <c r="O25" s="479"/>
      <c r="P25" s="481"/>
      <c r="Q25" s="346" t="str">
        <f t="shared" si="1"/>
        <v/>
      </c>
      <c r="R25" s="479"/>
      <c r="S25" s="480"/>
      <c r="T25" s="481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479"/>
      <c r="M26" s="481"/>
      <c r="N26" s="346" t="str">
        <f t="shared" si="0"/>
        <v/>
      </c>
      <c r="O26" s="479"/>
      <c r="P26" s="481"/>
      <c r="Q26" s="346" t="str">
        <f t="shared" si="1"/>
        <v/>
      </c>
      <c r="R26" s="479"/>
      <c r="S26" s="480"/>
      <c r="T26" s="481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479"/>
      <c r="M27" s="481"/>
      <c r="N27" s="346" t="str">
        <f t="shared" si="0"/>
        <v/>
      </c>
      <c r="O27" s="479"/>
      <c r="P27" s="481"/>
      <c r="Q27" s="346" t="str">
        <f t="shared" si="1"/>
        <v/>
      </c>
      <c r="R27" s="479"/>
      <c r="S27" s="480"/>
      <c r="T27" s="481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479"/>
      <c r="M28" s="481"/>
      <c r="N28" s="346" t="str">
        <f t="shared" si="0"/>
        <v/>
      </c>
      <c r="O28" s="479"/>
      <c r="P28" s="481"/>
      <c r="Q28" s="346" t="str">
        <f t="shared" si="1"/>
        <v/>
      </c>
      <c r="R28" s="479"/>
      <c r="S28" s="480"/>
      <c r="T28" s="481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479"/>
      <c r="M29" s="481"/>
      <c r="N29" s="346" t="str">
        <f t="shared" si="0"/>
        <v/>
      </c>
      <c r="O29" s="479"/>
      <c r="P29" s="481"/>
      <c r="Q29" s="346" t="str">
        <f t="shared" si="1"/>
        <v/>
      </c>
      <c r="R29" s="479"/>
      <c r="S29" s="480"/>
      <c r="T29" s="481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479"/>
      <c r="M30" s="481"/>
      <c r="N30" s="346" t="str">
        <f t="shared" si="0"/>
        <v/>
      </c>
      <c r="O30" s="479"/>
      <c r="P30" s="481"/>
      <c r="Q30" s="346" t="str">
        <f t="shared" si="1"/>
        <v/>
      </c>
      <c r="R30" s="479"/>
      <c r="S30" s="480"/>
      <c r="T30" s="481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479"/>
      <c r="M31" s="481"/>
      <c r="N31" s="346" t="str">
        <f t="shared" si="0"/>
        <v/>
      </c>
      <c r="O31" s="479"/>
      <c r="P31" s="481"/>
      <c r="Q31" s="346" t="str">
        <f t="shared" si="1"/>
        <v/>
      </c>
      <c r="R31" s="479"/>
      <c r="S31" s="480"/>
      <c r="T31" s="481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479"/>
      <c r="M32" s="481"/>
      <c r="N32" s="346" t="str">
        <f t="shared" si="0"/>
        <v/>
      </c>
      <c r="O32" s="479"/>
      <c r="P32" s="481"/>
      <c r="Q32" s="346" t="str">
        <f t="shared" si="1"/>
        <v/>
      </c>
      <c r="R32" s="479"/>
      <c r="S32" s="480"/>
      <c r="T32" s="481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479"/>
      <c r="M33" s="481"/>
      <c r="N33" s="346" t="str">
        <f t="shared" si="0"/>
        <v/>
      </c>
      <c r="O33" s="479"/>
      <c r="P33" s="481"/>
      <c r="Q33" s="346" t="str">
        <f t="shared" si="1"/>
        <v/>
      </c>
      <c r="R33" s="479"/>
      <c r="S33" s="480"/>
      <c r="T33" s="481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479"/>
      <c r="M34" s="481"/>
      <c r="N34" s="346" t="str">
        <f t="shared" si="0"/>
        <v/>
      </c>
      <c r="O34" s="479"/>
      <c r="P34" s="481"/>
      <c r="Q34" s="346" t="str">
        <f t="shared" si="1"/>
        <v/>
      </c>
      <c r="R34" s="479"/>
      <c r="S34" s="480"/>
      <c r="T34" s="481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479"/>
      <c r="M35" s="481"/>
      <c r="N35" s="346" t="str">
        <f t="shared" si="0"/>
        <v/>
      </c>
      <c r="O35" s="479"/>
      <c r="P35" s="481"/>
      <c r="Q35" s="346" t="str">
        <f t="shared" si="1"/>
        <v/>
      </c>
      <c r="R35" s="479"/>
      <c r="S35" s="480"/>
      <c r="T35" s="481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479"/>
      <c r="M36" s="481"/>
      <c r="N36" s="346" t="str">
        <f t="shared" si="0"/>
        <v/>
      </c>
      <c r="O36" s="479"/>
      <c r="P36" s="481"/>
      <c r="Q36" s="346" t="str">
        <f t="shared" si="1"/>
        <v/>
      </c>
      <c r="R36" s="479"/>
      <c r="S36" s="480"/>
      <c r="T36" s="481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479"/>
      <c r="M37" s="481"/>
      <c r="N37" s="346" t="str">
        <f t="shared" si="0"/>
        <v/>
      </c>
      <c r="O37" s="479"/>
      <c r="P37" s="481"/>
      <c r="Q37" s="346" t="str">
        <f t="shared" si="1"/>
        <v/>
      </c>
      <c r="R37" s="479"/>
      <c r="S37" s="480"/>
      <c r="T37" s="481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479"/>
      <c r="M38" s="481"/>
      <c r="N38" s="346" t="str">
        <f t="shared" si="0"/>
        <v/>
      </c>
      <c r="O38" s="479"/>
      <c r="P38" s="481"/>
      <c r="Q38" s="346" t="str">
        <f t="shared" si="1"/>
        <v/>
      </c>
      <c r="R38" s="479"/>
      <c r="S38" s="480"/>
      <c r="T38" s="481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479"/>
      <c r="M39" s="481"/>
      <c r="N39" s="346" t="str">
        <f t="shared" si="0"/>
        <v/>
      </c>
      <c r="O39" s="479"/>
      <c r="P39" s="481"/>
      <c r="Q39" s="346" t="str">
        <f t="shared" si="1"/>
        <v/>
      </c>
      <c r="R39" s="479"/>
      <c r="S39" s="480"/>
      <c r="T39" s="481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479"/>
      <c r="M40" s="481"/>
      <c r="N40" s="346" t="str">
        <f t="shared" si="0"/>
        <v/>
      </c>
      <c r="O40" s="479"/>
      <c r="P40" s="481"/>
      <c r="Q40" s="346" t="str">
        <f t="shared" si="1"/>
        <v/>
      </c>
      <c r="R40" s="479"/>
      <c r="S40" s="480"/>
      <c r="T40" s="481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479"/>
      <c r="M41" s="481"/>
      <c r="N41" s="346" t="str">
        <f t="shared" si="0"/>
        <v/>
      </c>
      <c r="O41" s="479"/>
      <c r="P41" s="481"/>
      <c r="Q41" s="346" t="str">
        <f t="shared" si="1"/>
        <v/>
      </c>
      <c r="R41" s="479"/>
      <c r="S41" s="480"/>
      <c r="T41" s="481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479"/>
      <c r="M42" s="481"/>
      <c r="N42" s="346" t="str">
        <f t="shared" si="0"/>
        <v/>
      </c>
      <c r="O42" s="479"/>
      <c r="P42" s="481"/>
      <c r="Q42" s="346" t="str">
        <f t="shared" si="1"/>
        <v/>
      </c>
      <c r="R42" s="479"/>
      <c r="S42" s="480"/>
      <c r="T42" s="481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479"/>
      <c r="M43" s="481"/>
      <c r="N43" s="346" t="str">
        <f t="shared" si="0"/>
        <v/>
      </c>
      <c r="O43" s="479"/>
      <c r="P43" s="481"/>
      <c r="Q43" s="346" t="str">
        <f t="shared" si="1"/>
        <v/>
      </c>
      <c r="R43" s="479"/>
      <c r="S43" s="480"/>
      <c r="T43" s="481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479"/>
      <c r="M44" s="481"/>
      <c r="N44" s="346" t="str">
        <f t="shared" si="0"/>
        <v/>
      </c>
      <c r="O44" s="479"/>
      <c r="P44" s="481"/>
      <c r="Q44" s="346" t="str">
        <f t="shared" si="1"/>
        <v/>
      </c>
      <c r="R44" s="479"/>
      <c r="S44" s="480"/>
      <c r="T44" s="481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479"/>
      <c r="M45" s="481"/>
      <c r="N45" s="346" t="str">
        <f t="shared" si="0"/>
        <v/>
      </c>
      <c r="O45" s="479"/>
      <c r="P45" s="481"/>
      <c r="Q45" s="346" t="str">
        <f t="shared" si="1"/>
        <v/>
      </c>
      <c r="R45" s="479"/>
      <c r="S45" s="480"/>
      <c r="T45" s="481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479"/>
      <c r="M46" s="481"/>
      <c r="N46" s="346" t="str">
        <f t="shared" si="0"/>
        <v/>
      </c>
      <c r="O46" s="479"/>
      <c r="P46" s="481"/>
      <c r="Q46" s="346" t="str">
        <f t="shared" si="1"/>
        <v/>
      </c>
      <c r="R46" s="479"/>
      <c r="S46" s="480"/>
      <c r="T46" s="481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479"/>
      <c r="M47" s="481"/>
      <c r="N47" s="346" t="str">
        <f t="shared" si="0"/>
        <v/>
      </c>
      <c r="O47" s="479"/>
      <c r="P47" s="481"/>
      <c r="Q47" s="346" t="str">
        <f t="shared" si="1"/>
        <v/>
      </c>
      <c r="R47" s="479"/>
      <c r="S47" s="480"/>
      <c r="T47" s="481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479"/>
      <c r="M48" s="481"/>
      <c r="N48" s="346" t="str">
        <f t="shared" si="0"/>
        <v/>
      </c>
      <c r="O48" s="479"/>
      <c r="P48" s="481"/>
      <c r="Q48" s="346" t="str">
        <f t="shared" si="1"/>
        <v/>
      </c>
      <c r="R48" s="479"/>
      <c r="S48" s="480"/>
      <c r="T48" s="481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479"/>
      <c r="M49" s="481"/>
      <c r="N49" s="346" t="str">
        <f t="shared" si="0"/>
        <v/>
      </c>
      <c r="O49" s="479"/>
      <c r="P49" s="481"/>
      <c r="Q49" s="346" t="str">
        <f t="shared" si="1"/>
        <v/>
      </c>
      <c r="R49" s="479"/>
      <c r="S49" s="480"/>
      <c r="T49" s="481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479"/>
      <c r="M50" s="481"/>
      <c r="N50" s="346" t="str">
        <f t="shared" si="0"/>
        <v/>
      </c>
      <c r="O50" s="479"/>
      <c r="P50" s="481"/>
      <c r="Q50" s="346" t="str">
        <f t="shared" si="1"/>
        <v/>
      </c>
      <c r="R50" s="479"/>
      <c r="S50" s="480"/>
      <c r="T50" s="481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476"/>
      <c r="M51" s="477"/>
      <c r="N51" s="346" t="str">
        <f>IF(AND(L51&lt;&gt;"",M51&lt;&gt;""),CONCATENATE($AC$12,L51,M51),"")</f>
        <v/>
      </c>
      <c r="O51" s="476"/>
      <c r="P51" s="477"/>
      <c r="Q51" s="346" t="str">
        <f>IF(AND(O51&lt;&gt;"",P51&lt;&gt;""),CONCATENATE($AC$15,O51,P51),"")</f>
        <v/>
      </c>
      <c r="R51" s="476"/>
      <c r="S51" s="478"/>
      <c r="T51" s="477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M0+kc4iBnb0ZhPhTdVK35eqVXBTlCYoU+gMDLOGLY+cjBGr/xhlSJlb34g0njBVW5pPQtUJ/QLgPm6HsDcNOew==" saltValue="jnWCdCt7W+4j9YHfQpx1eQ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zoomScale="85" zoomScaleNormal="85" workbookViewId="0">
      <selection activeCell="D13" sqref="D13:E13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customWidth="1"/>
    <col min="7" max="7" width="22" style="28" hidden="1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7" t="s">
        <v>38</v>
      </c>
      <c r="D2" s="437"/>
      <c r="E2" s="437"/>
      <c r="F2" s="437"/>
      <c r="G2" s="437"/>
      <c r="H2" s="437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2" t="s">
        <v>39</v>
      </c>
      <c r="D3" s="512"/>
      <c r="E3" s="512"/>
      <c r="F3" s="512"/>
      <c r="G3" s="512"/>
      <c r="H3" s="512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0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7" t="s">
        <v>90</v>
      </c>
      <c r="E7" s="437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7"/>
      <c r="E8" s="517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e">
        <f>IF(K9=TRUE,"","Ciclo extra de Teste Integrado (entre fornecedores distintos)")</f>
        <v>#N/A</v>
      </c>
      <c r="D9" s="518"/>
      <c r="E9" s="518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e">
        <f>AND(FabricaTestes,VLOOKUP(B9,PercentuaisFases[],VLOOKUP(Fornecedor,MapFasesFornecedores[#All],4,FALSE),FALSE))</f>
        <v>#N/A</v>
      </c>
      <c r="L9" s="166" t="e">
        <f>IF(C9="",0)</f>
        <v>#N/A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e">
        <f>IF(K10=TRUE,"","Ciclo extra de UAT")</f>
        <v>#N/A</v>
      </c>
      <c r="D10" s="518"/>
      <c r="E10" s="518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e">
        <f>AND(FabricaTestes,VLOOKUP(B10,PercentuaisFases[],VLOOKUP(Fornecedor,MapFasesFornecedores[#All],4,FALSE),FALSE))</f>
        <v>#N/A</v>
      </c>
      <c r="L10" s="166" t="e">
        <f t="shared" ref="L10:L15" si="0">IF(C10="",0)</f>
        <v>#N/A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e">
        <f>IF(K11=TRUE,"","Ciclo extra de Teste de Sistema")</f>
        <v>#N/A</v>
      </c>
      <c r="D11" s="518"/>
      <c r="E11" s="518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e">
        <f>AND(FabricaTestes,VLOOKUP(B11,PercentuaisFases[],VLOOKUP(Fornecedor,MapFasesFornecedores[#All],4,FALSE),FALSE))</f>
        <v>#N/A</v>
      </c>
      <c r="L11" s="166" t="e">
        <f t="shared" si="0"/>
        <v>#N/A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19"/>
      <c r="E12" s="519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e">
        <f>IF(K13=TRUE,"","Site extra de Teste Integrado (entre fornecedores distintos)")</f>
        <v>#N/A</v>
      </c>
      <c r="D13" s="518"/>
      <c r="E13" s="518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e">
        <f>AND(FabricaTestes,VLOOKUP(B13,PercentuaisFases[],VLOOKUP(Fornecedor,MapFasesFornecedores[#All],4,FALSE),FALSE))</f>
        <v>#N/A</v>
      </c>
      <c r="L13" s="166" t="e">
        <f>IF(C13="",0)</f>
        <v>#N/A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e">
        <f>IF(K14=TRUE,"","Site extra de UAT")</f>
        <v>#N/A</v>
      </c>
      <c r="D14" s="518"/>
      <c r="E14" s="518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e">
        <f>AND(FabricaTestes,VLOOKUP(B14,PercentuaisFases[],VLOOKUP(Fornecedor,MapFasesFornecedores[#All],4,FALSE),FALSE))</f>
        <v>#N/A</v>
      </c>
      <c r="L14" s="166" t="e">
        <f t="shared" si="0"/>
        <v>#N/A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e">
        <f>IF(K15=TRUE,"","Site extra de Teste de Sistema")</f>
        <v>#N/A</v>
      </c>
      <c r="D15" s="518"/>
      <c r="E15" s="518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e">
        <f>AND(FabricaTestes,VLOOKUP(B15,PercentuaisFases[],VLOOKUP(Fornecedor,MapFasesFornecedores[#All],4,FALSE),FALSE))</f>
        <v>#N/A</v>
      </c>
      <c r="L15" s="166" t="e">
        <f t="shared" si="0"/>
        <v>#N/A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19"/>
      <c r="E16" s="519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20"/>
      <c r="E17" s="520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0</v>
      </c>
      <c r="M17" s="103">
        <f ca="1">L17*Acomp_PosProducao_Perc</f>
        <v>0</v>
      </c>
      <c r="N17" s="103">
        <f ca="1">MIN(M17,Acomp_PosProducao_Max)</f>
        <v>0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19"/>
      <c r="E18" s="519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2"/>
      <c r="E19" s="523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 t="e">
        <f>VLOOKUP(Sistema,Produtividades[],COLUMN(Produtividades[[#Headers],[Aba Itens configuração]])-1,FALSE)</f>
        <v>#N/A</v>
      </c>
      <c r="M19" s="131" t="e">
        <f>"'"&amp;L19&amp;"'!D5"</f>
        <v>#N/A</v>
      </c>
      <c r="N19" s="106" t="e">
        <f ca="1">INDIRECT(M19)</f>
        <v>#N/A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19"/>
      <c r="E20" s="519"/>
      <c r="F20" s="350"/>
      <c r="G20" s="7"/>
      <c r="H20" s="226"/>
      <c r="I20" s="94"/>
      <c r="J20" s="173"/>
      <c r="K20" s="174"/>
      <c r="L20" s="103" t="e">
        <f>VLOOKUP(Sistema,Produtividades[],COLUMN(Produtividades[[#Headers],[Aba Itens configuração]])-1,FALSE)</f>
        <v>#N/A</v>
      </c>
      <c r="M20" s="131" t="e">
        <f>"'"&amp;L20&amp;"'!E5"</f>
        <v>#N/A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22"/>
      <c r="E21" s="523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 t="e">
        <f>VLOOKUP(Sistema,Produtividades[],COLUMN(Produtividades[[#Headers],[Aba Estimator]])-1,FALSE)</f>
        <v>#N/A</v>
      </c>
      <c r="M21" s="131" t="e">
        <f>"'"&amp;L21&amp;"'!C7"</f>
        <v>#N/A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19"/>
      <c r="E22" s="519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22"/>
      <c r="E23" s="523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21" t="s">
        <v>432</v>
      </c>
      <c r="D24" s="521"/>
      <c r="E24" s="521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50" t="s">
        <v>409</v>
      </c>
      <c r="D26" s="513"/>
      <c r="E26" s="451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4"/>
      <c r="D27" s="515"/>
      <c r="E27" s="516"/>
      <c r="F27" s="351"/>
      <c r="G27" s="351"/>
      <c r="H27" s="227"/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0</v>
      </c>
      <c r="Q27" s="88" t="b">
        <f ca="1">IF(S27=TRUE,VLOOKUP(C27,INDIRECT($M$28),2,FALSE),FALSE)</f>
        <v>0</v>
      </c>
      <c r="R27" s="88" t="b">
        <f>ISTEXT(H27)</f>
        <v>0</v>
      </c>
      <c r="S27" s="88" t="b">
        <f>ISTEXT(C27)</f>
        <v>0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x14ac:dyDescent="0.2">
      <c r="A28" s="107"/>
      <c r="B28" s="108"/>
      <c r="C28" s="514"/>
      <c r="D28" s="515"/>
      <c r="E28" s="516"/>
      <c r="F28" s="351"/>
      <c r="G28" s="351"/>
      <c r="H28" s="227"/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x14ac:dyDescent="0.2">
      <c r="A29" s="107"/>
      <c r="B29" s="108"/>
      <c r="C29" s="514"/>
      <c r="D29" s="515"/>
      <c r="E29" s="516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4"/>
      <c r="D30" s="515"/>
      <c r="E30" s="516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4"/>
      <c r="D31" s="515"/>
      <c r="E31" s="516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4"/>
      <c r="D32" s="515"/>
      <c r="E32" s="516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14"/>
      <c r="D33" s="515"/>
      <c r="E33" s="516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14"/>
      <c r="D34" s="515"/>
      <c r="E34" s="516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14"/>
      <c r="D35" s="515"/>
      <c r="E35" s="516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14"/>
      <c r="D36" s="515"/>
      <c r="E36" s="516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14"/>
      <c r="D37" s="515"/>
      <c r="E37" s="516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14"/>
      <c r="D38" s="515"/>
      <c r="E38" s="516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14"/>
      <c r="D39" s="515"/>
      <c r="E39" s="516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4"/>
      <c r="D40" s="515"/>
      <c r="E40" s="516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14"/>
      <c r="D41" s="515"/>
      <c r="E41" s="516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14"/>
      <c r="D42" s="515"/>
      <c r="E42" s="516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21" t="s">
        <v>41</v>
      </c>
      <c r="D43" s="521"/>
      <c r="E43" s="521"/>
      <c r="F43" s="221">
        <f>SUM(F27:F42)</f>
        <v>0</v>
      </c>
      <c r="G43" s="221">
        <f>SUM(G27:G42)</f>
        <v>0</v>
      </c>
      <c r="H43" s="137"/>
      <c r="I43" s="34"/>
      <c r="J43" s="88"/>
      <c r="K43" s="88"/>
      <c r="L43" s="102">
        <f>MAX(F43:G43)</f>
        <v>0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50" t="s">
        <v>62</v>
      </c>
      <c r="E55" s="451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1"/>
      <c r="E56" s="511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09"/>
      <c r="E57" s="510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7" t="s">
        <v>69</v>
      </c>
      <c r="E60" s="437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1"/>
      <c r="E61" s="511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09"/>
      <c r="E62" s="510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oZRDlZtsDMxnYQ4rMyivfnkE6fNwp6mqQhRFoCMPiZb8hAhKT179t7XBbInGnzZ3bF5KQZPK4sGYg1OZAvbi7Q==" saltValue="lkzcWPLBY1Ip645YCdZeyg==" spinCount="100000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B2" sqref="B2:H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customWidth="1"/>
    <col min="5" max="5" width="19.140625" style="68" customWidth="1"/>
    <col min="6" max="7" width="19.140625" style="68" hidden="1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7" t="s">
        <v>26</v>
      </c>
      <c r="C2" s="437"/>
      <c r="D2" s="437"/>
      <c r="E2" s="437"/>
      <c r="F2" s="437"/>
      <c r="G2" s="437"/>
      <c r="H2" s="437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4" t="s">
        <v>85</v>
      </c>
      <c r="C3" s="524"/>
      <c r="D3" s="524"/>
      <c r="E3" s="524"/>
      <c r="F3" s="524"/>
      <c r="G3" s="524"/>
      <c r="H3" s="524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e">
        <f>VLOOKUP(Sistema,Produtividades[],COLUMN(Produtividades[[#Headers],[Fábrica Testes]])-1,FALSE)</f>
        <v>#N/A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e">
        <f>IF(OR(EsforcoFases[[#This Row],[Ativ. Fabrica Testes]],VLOOKUP(B6,PercentuaisFases[],VLOOKUP(Fornecedor,MapFasesFornecedores[#All],2,FALSE),FALSE)=0),"",VLOOKUP(B6,PercentuaisFases[],VLOOKUP(Fornecedor,MapFasesFornecedores[#All],2,FALSE),FALSE))</f>
        <v>#N/A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e">
        <f>AND(FabricaTestes,VLOOKUP(B6,PercentuaisFases[],VLOOKUP(Fornecedor,MapFasesFornecedores[#All],4,FALSE),FALSE))</f>
        <v>#N/A</v>
      </c>
      <c r="K6" s="166" t="e">
        <f t="shared" ref="K6:K18" si="0">IF(C6="",0)</f>
        <v>#N/A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e">
        <f>IF(OR(EsforcoFases[[#This Row],[Ativ. Fabrica Testes]],VLOOKUP(B7,PercentuaisFases[],VLOOKUP(Fornecedor,MapFasesFornecedores[#All],2,FALSE),FALSE)=0),"",VLOOKUP(B7,PercentuaisFases[],VLOOKUP(Fornecedor,MapFasesFornecedores[#All],2,FALSE),FALSE))</f>
        <v>#N/A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e">
        <f>AND(FabricaTestes,VLOOKUP(B7,PercentuaisFases[],VLOOKUP(Fornecedor,MapFasesFornecedores[#All],4,FALSE),FALSE))</f>
        <v>#N/A</v>
      </c>
      <c r="K7" s="166" t="e">
        <f t="shared" si="0"/>
        <v>#N/A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e">
        <f>IF(OR(EsforcoFases[[#This Row],[Ativ. Fabrica Testes]],VLOOKUP(B8,PercentuaisFases[],VLOOKUP(Fornecedor,MapFasesFornecedores[#All],2,FALSE),FALSE)=0),"",VLOOKUP(B8,PercentuaisFases[],VLOOKUP(Fornecedor,MapFasesFornecedores[#All],2,FALSE),FALSE))</f>
        <v>#N/A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e">
        <f>AND(FabricaTestes,VLOOKUP(B8,PercentuaisFases[],VLOOKUP(Fornecedor,MapFasesFornecedores[#All],4,FALSE),FALSE))</f>
        <v>#N/A</v>
      </c>
      <c r="K8" s="166" t="e">
        <f t="shared" si="0"/>
        <v>#N/A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e">
        <f>IF(OR(EsforcoFases[[#This Row],[Ativ. Fabrica Testes]],VLOOKUP(B9,PercentuaisFases[],VLOOKUP(Fornecedor,MapFasesFornecedores[#All],2,FALSE),FALSE)=0),"",VLOOKUP(B9,PercentuaisFases[],VLOOKUP(Fornecedor,MapFasesFornecedores[#All],2,FALSE),FALSE))</f>
        <v>#N/A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e">
        <f>AND(FabricaTestes,VLOOKUP(B9,PercentuaisFases[],VLOOKUP(Fornecedor,MapFasesFornecedores[#All],4,FALSE),FALSE))</f>
        <v>#N/A</v>
      </c>
      <c r="K9" s="166" t="e">
        <f>IF(OR(F10&gt;0,C9=""),0)</f>
        <v>#N/A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e">
        <f>IF(OR(EsforcoFases[[#This Row],[Ativ. Fabrica Testes]],VLOOKUP(B10,PercentuaisFases[],VLOOKUP(Fornecedor,MapFasesFornecedores[#All],2,FALSE),FALSE)=0),"",VLOOKUP(B10,PercentuaisFases[],VLOOKUP(Fornecedor,MapFasesFornecedores[#All],2,FALSE),FALSE))</f>
        <v>#N/A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e">
        <f>AND(FabricaTestes,VLOOKUP(B10,PercentuaisFases[],VLOOKUP(Fornecedor,MapFasesFornecedores[#All],4,FALSE),FALSE))</f>
        <v>#N/A</v>
      </c>
      <c r="K10" s="166" t="e">
        <f>IF(OR(F9&gt;0,C10=""),0)</f>
        <v>#N/A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e">
        <f>IF(OR(EsforcoFases[[#This Row],[Ativ. Fabrica Testes]],VLOOKUP(B11,PercentuaisFases[],VLOOKUP(Fornecedor,MapFasesFornecedores[#All],2,FALSE),FALSE)=0),"",VLOOKUP(B11,PercentuaisFases[],VLOOKUP(Fornecedor,MapFasesFornecedores[#All],2,FALSE),FALSE))</f>
        <v>#N/A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e">
        <f>AND(FabricaTestes,VLOOKUP(B11,PercentuaisFases[],VLOOKUP(Fornecedor,MapFasesFornecedores[#All],4,FALSE),FALSE))</f>
        <v>#N/A</v>
      </c>
      <c r="K11" s="166" t="e">
        <f t="shared" si="0"/>
        <v>#N/A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e">
        <f>IF(OR(EsforcoFases[[#This Row],[Ativ. Fabrica Testes]],VLOOKUP(B12,PercentuaisFases[],VLOOKUP(Fornecedor,MapFasesFornecedores[#All],2,FALSE),FALSE)=0),"",VLOOKUP(B12,PercentuaisFases[],VLOOKUP(Fornecedor,MapFasesFornecedores[#All],2,FALSE),FALSE))</f>
        <v>#N/A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e">
        <f>AND(FabricaTestes,VLOOKUP(B12,PercentuaisFases[],VLOOKUP(Fornecedor,MapFasesFornecedores[#All],4,FALSE),FALSE))</f>
        <v>#N/A</v>
      </c>
      <c r="K12" s="166" t="e">
        <f t="shared" si="0"/>
        <v>#N/A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e">
        <f>IF(OR(EsforcoFases[[#This Row],[Ativ. Fabrica Testes]],VLOOKUP(B13,PercentuaisFases[],VLOOKUP(Fornecedor,MapFasesFornecedores[#All],2,FALSE),FALSE)=0),"",VLOOKUP(B13,PercentuaisFases[],VLOOKUP(Fornecedor,MapFasesFornecedores[#All],2,FALSE),FALSE))</f>
        <v>#N/A</v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e">
        <f>AND(FabricaTestes,VLOOKUP(B13,PercentuaisFases[],VLOOKUP(Fornecedor,MapFasesFornecedores[#All],4,FALSE),FALSE))</f>
        <v>#N/A</v>
      </c>
      <c r="K13" s="374" t="e">
        <f t="shared" si="0"/>
        <v>#N/A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e">
        <f>IF(OR(EsforcoFases[[#This Row],[Ativ. Fabrica Testes]],VLOOKUP(B14,PercentuaisFases[],VLOOKUP(Fornecedor,MapFasesFornecedores[#All],2,FALSE),FALSE)=0),"",VLOOKUP(B14,PercentuaisFases[],VLOOKUP(Fornecedor,MapFasesFornecedores[#All],2,FALSE),FALSE))</f>
        <v>#N/A</v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e">
        <f>AND(FabricaTestes,VLOOKUP(B14,PercentuaisFases[],VLOOKUP(Fornecedor,MapFasesFornecedores[#All],4,FALSE),FALSE))</f>
        <v>#N/A</v>
      </c>
      <c r="K14" s="374" t="e">
        <f t="shared" si="0"/>
        <v>#N/A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e">
        <f>IF(OR(EsforcoFases[[#This Row],[Ativ. Fabrica Testes]],VLOOKUP(B15,PercentuaisFases[],VLOOKUP(Fornecedor,MapFasesFornecedores[#All],2,FALSE),FALSE)=0),"",VLOOKUP(B15,PercentuaisFases[],VLOOKUP(Fornecedor,MapFasesFornecedores[#All],2,FALSE),FALSE))</f>
        <v>#N/A</v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e">
        <f>AND(FabricaTestes,VLOOKUP(B15,PercentuaisFases[],VLOOKUP(Fornecedor,MapFasesFornecedores[#All],4,FALSE),FALSE))</f>
        <v>#N/A</v>
      </c>
      <c r="K15" s="374" t="e">
        <f t="shared" si="0"/>
        <v>#N/A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e">
        <f>IF(OR(EsforcoFases[[#This Row],[Ativ. Fabrica Testes]],VLOOKUP(B16,PercentuaisFases[],VLOOKUP(Fornecedor,MapFasesFornecedores[#All],2,FALSE),FALSE)=0),"",VLOOKUP(B16,PercentuaisFases[],VLOOKUP(Fornecedor,MapFasesFornecedores[#All],2,FALSE),FALSE))</f>
        <v>#N/A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e">
        <f>AND(FabricaTestes,VLOOKUP(B16,PercentuaisFases[],VLOOKUP(Fornecedor,MapFasesFornecedores[#All],4,FALSE),FALSE))</f>
        <v>#N/A</v>
      </c>
      <c r="K16" s="166" t="e">
        <f t="shared" si="0"/>
        <v>#N/A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e">
        <f>IF(OR(EsforcoFases[[#This Row],[Ativ. Fabrica Testes]],VLOOKUP(B17,PercentuaisFases[],VLOOKUP(Fornecedor,MapFasesFornecedores[#All],2,FALSE),FALSE)=0),"",VLOOKUP(B17,PercentuaisFases[],VLOOKUP(Fornecedor,MapFasesFornecedores[#All],2,FALSE),FALSE))</f>
        <v>#N/A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e">
        <f>AND(FabricaTestes,VLOOKUP(B17,PercentuaisFases[],VLOOKUP(Fornecedor,MapFasesFornecedores[#All],4,FALSE),FALSE))</f>
        <v>#N/A</v>
      </c>
      <c r="K17" s="166" t="e">
        <f t="shared" si="0"/>
        <v>#N/A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e">
        <f>IF(OR(EsforcoFases[[#This Row],[Ativ. Fabrica Testes]],VLOOKUP(B18,PercentuaisFases[],VLOOKUP(Fornecedor,MapFasesFornecedores[#All],2,FALSE),FALSE)=0),"",VLOOKUP(B18,PercentuaisFases[],VLOOKUP(Fornecedor,MapFasesFornecedores[#All],2,FALSE),FALSE))</f>
        <v>#N/A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e">
        <f>AND(FabricaTestes,VLOOKUP(B18,PercentuaisFases[],VLOOKUP(Fornecedor,MapFasesFornecedores[#All],4,FALSE),FALSE))</f>
        <v>#N/A</v>
      </c>
      <c r="K18" s="103" t="e">
        <f t="shared" si="0"/>
        <v>#N/A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JUQoQGIermiurXseNIN76uBojues3s9NcJecXNazj8Fjt6pgCmDfhF+4jqsjbjt+383W+16Iz+NrnVLV6HHMQQ==" saltValue="/vk9RDkV0vkQQ2fPi/CIrA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7" t="s">
        <v>23</v>
      </c>
      <c r="C2" s="437"/>
      <c r="D2" s="437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2/gdjUe5lAoznjf5tjrJtXMFcV9z1DVoe4Mx1/n7YtPCdbtlmDGBvIxVngAwOYj5nYV55bw3hW+F2qE73ZzIbw==" saltValue="5K6kcHKFwGxys6hAvOn2i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F8" sqref="F8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7" t="s">
        <v>22</v>
      </c>
      <c r="C2" s="437"/>
      <c r="D2" s="437"/>
      <c r="E2" s="437"/>
      <c r="F2" s="437"/>
      <c r="G2" s="437"/>
      <c r="H2" s="437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149.12</v>
      </c>
      <c r="G5" s="47" t="s">
        <v>140</v>
      </c>
      <c r="H5" s="46" t="s">
        <v>143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182.84</v>
      </c>
      <c r="G6" s="47" t="s">
        <v>269</v>
      </c>
      <c r="H6" s="46" t="s">
        <v>143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182.84</v>
      </c>
      <c r="G7" s="47" t="s">
        <v>140</v>
      </c>
      <c r="H7" s="46" t="s">
        <v>143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149.12</v>
      </c>
      <c r="G8" s="47" t="s">
        <v>140</v>
      </c>
      <c r="H8" s="46" t="s">
        <v>143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149.12</v>
      </c>
      <c r="G9" s="47" t="s">
        <v>269</v>
      </c>
      <c r="H9" s="46" t="s">
        <v>143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149.12</v>
      </c>
      <c r="G10" s="47" t="s">
        <v>140</v>
      </c>
      <c r="H10" s="46" t="s">
        <v>143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182.84</v>
      </c>
      <c r="G11" s="47" t="s">
        <v>269</v>
      </c>
      <c r="H11" s="46" t="s">
        <v>143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182.84</v>
      </c>
      <c r="G12" s="47" t="s">
        <v>140</v>
      </c>
      <c r="H12" s="46" t="s">
        <v>143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182.84</v>
      </c>
      <c r="G13" s="47" t="s">
        <v>140</v>
      </c>
      <c r="H13" s="46" t="s">
        <v>143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182.84</v>
      </c>
      <c r="G14" s="47" t="s">
        <v>140</v>
      </c>
      <c r="H14" s="46" t="s">
        <v>143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202.12</v>
      </c>
      <c r="G15" s="47" t="s">
        <v>140</v>
      </c>
      <c r="H15" s="46" t="s">
        <v>143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149.12</v>
      </c>
      <c r="G16" s="47" t="s">
        <v>269</v>
      </c>
      <c r="H16" s="46" t="s">
        <v>143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149.12</v>
      </c>
      <c r="G17" s="47" t="s">
        <v>269</v>
      </c>
      <c r="H17" s="46" t="s">
        <v>143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182.84</v>
      </c>
      <c r="G18" s="47" t="s">
        <v>269</v>
      </c>
      <c r="H18" s="46" t="s">
        <v>143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149.12</v>
      </c>
      <c r="G19" s="47" t="s">
        <v>269</v>
      </c>
      <c r="H19" s="46" t="s">
        <v>143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149.12</v>
      </c>
      <c r="G20" s="47" t="s">
        <v>269</v>
      </c>
      <c r="H20" s="46" t="s">
        <v>143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182.84</v>
      </c>
      <c r="G21" s="47" t="s">
        <v>140</v>
      </c>
      <c r="H21" s="46" t="s">
        <v>143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182.84</v>
      </c>
      <c r="G22" s="47" t="s">
        <v>140</v>
      </c>
      <c r="H22" s="46" t="s">
        <v>143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182.84</v>
      </c>
      <c r="G23" s="47" t="s">
        <v>269</v>
      </c>
      <c r="H23" s="46" t="s">
        <v>143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149.12</v>
      </c>
      <c r="G24" s="47" t="s">
        <v>269</v>
      </c>
      <c r="H24" s="46" t="s">
        <v>143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149.12</v>
      </c>
      <c r="G25" s="47" t="s">
        <v>140</v>
      </c>
      <c r="H25" s="46" t="s">
        <v>143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149.12</v>
      </c>
      <c r="G26" s="47" t="s">
        <v>140</v>
      </c>
      <c r="H26" s="46" t="s">
        <v>143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149.12</v>
      </c>
      <c r="G27" s="47" t="s">
        <v>140</v>
      </c>
      <c r="H27" s="46" t="s">
        <v>143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182.84</v>
      </c>
      <c r="G28" s="47" t="s">
        <v>140</v>
      </c>
      <c r="H28" s="46" t="s">
        <v>143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182.84</v>
      </c>
      <c r="G29" s="47" t="s">
        <v>140</v>
      </c>
      <c r="H29" s="46" t="s">
        <v>143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182.84</v>
      </c>
      <c r="G30" s="47" t="s">
        <v>140</v>
      </c>
      <c r="H30" s="46" t="s">
        <v>143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182.84</v>
      </c>
      <c r="G31" s="47" t="s">
        <v>269</v>
      </c>
      <c r="H31" s="46" t="s">
        <v>143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182.84</v>
      </c>
      <c r="G32" s="47" t="s">
        <v>140</v>
      </c>
      <c r="H32" s="46" t="s">
        <v>143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149.12</v>
      </c>
      <c r="G33" s="47" t="s">
        <v>140</v>
      </c>
      <c r="H33" s="46" t="s">
        <v>143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149.12</v>
      </c>
      <c r="G34" s="47" t="s">
        <v>269</v>
      </c>
      <c r="H34" s="46" t="s">
        <v>143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182.84</v>
      </c>
      <c r="G35" s="47" t="s">
        <v>140</v>
      </c>
      <c r="H35" s="46" t="s">
        <v>143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182.84</v>
      </c>
      <c r="G36" s="47" t="s">
        <v>140</v>
      </c>
      <c r="H36" s="46" t="s">
        <v>143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149.12</v>
      </c>
      <c r="G37" s="47" t="s">
        <v>140</v>
      </c>
      <c r="H37" s="46" t="s">
        <v>143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149.12</v>
      </c>
      <c r="G38" s="47" t="s">
        <v>140</v>
      </c>
      <c r="H38" s="46" t="s">
        <v>143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182.84</v>
      </c>
      <c r="G39" s="47" t="s">
        <v>269</v>
      </c>
      <c r="H39" s="46" t="s">
        <v>143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149.12</v>
      </c>
      <c r="G40" s="47" t="s">
        <v>269</v>
      </c>
      <c r="H40" s="46" t="s">
        <v>143</v>
      </c>
      <c r="I40" s="46"/>
      <c r="J40" s="182"/>
      <c r="K40" s="134" t="s">
        <v>165</v>
      </c>
      <c r="L40" s="182" t="b">
        <v>1</v>
      </c>
    </row>
  </sheetData>
  <sheetProtection algorithmName="SHA-512" hashValue="xvTa5nrtaTcEfWFlBd3i5A8UWjHkdf+TvACpFeZPxSvWvYXmpsqV+fpmBDZ8ZMpbaO8QNnPtCKBrBWHTkMgbDw==" saltValue="jAM9EvxLS3VqyTLXdzjUvQ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H40 K5:K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Parâmetros!E110:E115</xm:f>
          </x14:formula1>
          <xm:sqref>H35:H40 H16:H22</xm:sqref>
        </x14:dataValidation>
        <x14:dataValidation type="list" allowBlank="1" showInputMessage="1" showErrorMessage="1">
          <x14:formula1>
            <xm:f>Parâmetros!E100:E105</xm:f>
          </x14:formula1>
          <xm:sqref>H5:H15</xm:sqref>
        </x14:dataValidation>
        <x14:dataValidation type="list" allowBlank="1" showInputMessage="1" showErrorMessage="1">
          <x14:formula1>
            <xm:f>Parâmetros!E116:E121</xm:f>
          </x14:formula1>
          <xm:sqref>H23:H34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8"/>
  <sheetViews>
    <sheetView showGridLines="0" showRowColHeaders="0" zoomScale="85" zoomScaleNormal="85" workbookViewId="0">
      <selection activeCell="E18" sqref="E18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  <row r="18" spans="2:5" x14ac:dyDescent="0.25">
      <c r="B18" s="125" t="s">
        <v>494</v>
      </c>
      <c r="C18" s="239">
        <v>0</v>
      </c>
      <c r="D18" s="125" t="s">
        <v>467</v>
      </c>
      <c r="E18" s="242" t="s">
        <v>493</v>
      </c>
    </row>
  </sheetData>
  <sheetProtection algorithmName="SHA-512" hashValue="S/SRqbUAbYI/+Z1u2QfZjTMPgVZGw+dMtSXGG1NrfcJWbIyuil0GM9x7sKFqmIpo6ADn28j1+qDDnnuiq5Yx5A==" saltValue="AjSOLWmJVElmJv/nKfIa4g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F8" sqref="F8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5" t="s">
        <v>14</v>
      </c>
      <c r="C2" s="525"/>
      <c r="D2" s="525"/>
      <c r="E2" s="525"/>
      <c r="F2" s="525"/>
      <c r="G2" s="525"/>
      <c r="H2" s="525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/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esKf0NAJIwNTjMA2bUKMZbHCxfzUCKUmatPALoYZF3Zlh2+T5Am8OpfpWCb9/3parv3xbx6mUEwxTMW66jX1qg==" saltValue="1yLshZgABqSTGKrXOxpWNA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6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6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6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6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oSUNKxfUJCn7RQhtXSf2EIvf9wxmj7U5alnL9cSRRN3mdjE73bl6YNJtuSKpiqaD9+ukZK9fuMOnpZ5RevVAdQ==" saltValue="0Ae5zxt7H3IIqGhH2JWOnA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zoomScale="80" zoomScaleNormal="80" workbookViewId="0">
      <selection activeCell="B9" sqref="B9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</sheetData>
  <sheetProtection algorithmName="SHA-512" hashValue="yVxmdfqHT93f/y4hztQFMUEKk0wzHkYNUtwqmwEK4Hamvl/09fZkqqyMf7PRjw9adQ5IUa22StSMPvVyhLVb/w==" saltValue="5tdma0xW/efUJIIk4VzVkA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C1" zoomScale="80" zoomScaleNormal="80" workbookViewId="0">
      <selection activeCell="F13" sqref="F13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e">
        <f>IF(ItensNaoFuncionais[[#This Row],[Lista 1]]="","",IF(AND(FabricaTestes=TRUE,ItensNaoFuncionais[[#This Row],[Fabrica Testes 1]]=TRUE),"",ItensNaoFuncionais[[#This Row],[Lista 1]]))</f>
        <v>#N/A</v>
      </c>
      <c r="B3" s="86" t="b">
        <v>1</v>
      </c>
      <c r="C3" s="86" t="b">
        <v>0</v>
      </c>
      <c r="D3" s="86" t="s">
        <v>212</v>
      </c>
      <c r="E3" s="86" t="e">
        <f>IF(ItensNaoFuncionais[[#This Row],[Lista 2]]="","",IF(AND(FabricaTestes=TRUE,ItensNaoFuncionais[[#This Row],[Fabrica Testes 2]]=TRUE),"",ItensNaoFuncionais[[#This Row],[Lista 2]]))</f>
        <v>#N/A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e">
        <f>IF(ItensNaoFuncionais[[#This Row],[Lista 1]]="","",IF(AND(FabricaTestes=TRUE,ItensNaoFuncionais[[#This Row],[Fabrica Testes 1]]=TRUE),"",ItensNaoFuncionais[[#This Row],[Lista 1]]))</f>
        <v>#N/A</v>
      </c>
      <c r="B4" s="86" t="b">
        <v>0</v>
      </c>
      <c r="C4" s="86" t="b">
        <v>0</v>
      </c>
      <c r="D4" s="86" t="s">
        <v>213</v>
      </c>
      <c r="E4" s="86" t="e">
        <f>IF(ItensNaoFuncionais[[#This Row],[Lista 2]]="","",IF(AND(FabricaTestes=TRUE,ItensNaoFuncionais[[#This Row],[Fabrica Testes 2]]=TRUE),"",ItensNaoFuncionais[[#This Row],[Lista 2]]))</f>
        <v>#N/A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e">
        <f>IF(ItensNaoFuncionais[[#This Row],[Lista 1]]="","",IF(AND(FabricaTestes=TRUE,ItensNaoFuncionais[[#This Row],[Fabrica Testes 1]]=TRUE),"",ItensNaoFuncionais[[#This Row],[Lista 1]]))</f>
        <v>#N/A</v>
      </c>
      <c r="B5" s="86" t="b">
        <v>0</v>
      </c>
      <c r="C5" s="86" t="b">
        <v>0</v>
      </c>
      <c r="D5" s="86" t="s">
        <v>214</v>
      </c>
      <c r="E5" s="86" t="e">
        <f>IF(ItensNaoFuncionais[[#This Row],[Lista 2]]="","",IF(AND(FabricaTestes=TRUE,ItensNaoFuncionais[[#This Row],[Fabrica Testes 2]]=TRUE),"",ItensNaoFuncionais[[#This Row],[Lista 2]]))</f>
        <v>#N/A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e">
        <f>IF(ItensNaoFuncionais[[#This Row],[Lista 1]]="","",IF(AND(FabricaTestes=TRUE,ItensNaoFuncionais[[#This Row],[Fabrica Testes 1]]=TRUE),"",ItensNaoFuncionais[[#This Row],[Lista 1]]))</f>
        <v>#N/A</v>
      </c>
      <c r="B6" s="86" t="b">
        <v>0</v>
      </c>
      <c r="C6" s="86" t="b">
        <v>0</v>
      </c>
      <c r="D6" s="86" t="s">
        <v>11</v>
      </c>
      <c r="E6" s="86" t="e">
        <f>IF(ItensNaoFuncionais[[#This Row],[Lista 2]]="","",IF(AND(FabricaTestes=TRUE,ItensNaoFuncionais[[#This Row],[Fabrica Testes 2]]=TRUE),"",ItensNaoFuncionais[[#This Row],[Lista 2]]))</f>
        <v>#N/A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e">
        <f>IF(ItensNaoFuncionais[[#This Row],[Lista 1]]="","",IF(AND(FabricaTestes=TRUE,ItensNaoFuncionais[[#This Row],[Fabrica Testes 1]]=TRUE),"",ItensNaoFuncionais[[#This Row],[Lista 1]]))</f>
        <v>#N/A</v>
      </c>
      <c r="B7" s="142" t="b">
        <v>0</v>
      </c>
      <c r="C7" s="142" t="b">
        <v>0</v>
      </c>
      <c r="D7" s="142" t="s">
        <v>277</v>
      </c>
      <c r="E7" s="86" t="e">
        <f>IF(ItensNaoFuncionais[[#This Row],[Lista 2]]="","",IF(AND(FabricaTestes=TRUE,ItensNaoFuncionais[[#This Row],[Fabrica Testes 2]]=TRUE),"",ItensNaoFuncionais[[#This Row],[Lista 2]]))</f>
        <v>#N/A</v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e">
        <f>IF(ItensNaoFuncionais[[#This Row],[Lista 1]]="","",IF(AND(FabricaTestes=TRUE,ItensNaoFuncionais[[#This Row],[Fabrica Testes 1]]=TRUE),"",ItensNaoFuncionais[[#This Row],[Lista 1]]))</f>
        <v>#N/A</v>
      </c>
      <c r="B8" s="142" t="b">
        <v>0</v>
      </c>
      <c r="C8" s="142" t="b">
        <v>0</v>
      </c>
      <c r="D8" s="142" t="s">
        <v>36</v>
      </c>
      <c r="E8" s="86" t="e">
        <f>IF(ItensNaoFuncionais[[#This Row],[Lista 2]]="","",IF(AND(FabricaTestes=TRUE,ItensNaoFuncionais[[#This Row],[Fabrica Testes 2]]=TRUE),"",ItensNaoFuncionais[[#This Row],[Lista 2]]))</f>
        <v>#N/A</v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e">
        <f>IF(ItensNaoFuncionais[[#This Row],[Lista 1]]="","",IF(AND(FabricaTestes=TRUE,ItensNaoFuncionais[[#This Row],[Fabrica Testes 1]]=TRUE),"",ItensNaoFuncionais[[#This Row],[Lista 1]]))</f>
        <v>#N/A</v>
      </c>
      <c r="B9" s="142" t="b">
        <v>0</v>
      </c>
      <c r="C9" s="142" t="b">
        <v>0</v>
      </c>
      <c r="D9" s="142" t="s">
        <v>276</v>
      </c>
      <c r="E9" s="86" t="e">
        <f>IF(ItensNaoFuncionais[[#This Row],[Lista 2]]="","",IF(AND(FabricaTestes=TRUE,ItensNaoFuncionais[[#This Row],[Fabrica Testes 2]]=TRUE),"",ItensNaoFuncionais[[#This Row],[Lista 2]]))</f>
        <v>#N/A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e">
        <f>IF(ItensNaoFuncionais[[#This Row],[Lista 1]]="","",IF(AND(FabricaTestes=TRUE,ItensNaoFuncionais[[#This Row],[Fabrica Testes 1]]=TRUE),"",ItensNaoFuncionais[[#This Row],[Lista 1]]))</f>
        <v>#N/A</v>
      </c>
      <c r="B10" s="142" t="b">
        <v>0</v>
      </c>
      <c r="C10" s="142" t="b">
        <v>0</v>
      </c>
      <c r="D10" s="142" t="s">
        <v>16</v>
      </c>
      <c r="E10" s="86" t="e">
        <f>IF(ItensNaoFuncionais[[#This Row],[Lista 2]]="","",IF(AND(FabricaTestes=TRUE,ItensNaoFuncionais[[#This Row],[Fabrica Testes 2]]=TRUE),"",ItensNaoFuncionais[[#This Row],[Lista 2]]))</f>
        <v>#N/A</v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e">
        <f>IF(ItensNaoFuncionais[[#This Row],[Lista 1]]="","",IF(AND(FabricaTestes=TRUE,ItensNaoFuncionais[[#This Row],[Fabrica Testes 1]]=TRUE),"",ItensNaoFuncionais[[#This Row],[Lista 1]]))</f>
        <v>#N/A</v>
      </c>
      <c r="B11" s="142" t="b">
        <v>0</v>
      </c>
      <c r="C11" s="142" t="b">
        <v>0</v>
      </c>
      <c r="D11" s="142" t="s">
        <v>80</v>
      </c>
      <c r="E11" s="86" t="e">
        <f>IF(ItensNaoFuncionais[[#This Row],[Lista 2]]="","",IF(AND(FabricaTestes=TRUE,ItensNaoFuncionais[[#This Row],[Fabrica Testes 2]]=TRUE),"",ItensNaoFuncionais[[#This Row],[Lista 2]]))</f>
        <v>#N/A</v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e">
        <f>IF(ItensNaoFuncionais[[#This Row],[Lista 1]]="","",IF(AND(FabricaTestes=TRUE,ItensNaoFuncionais[[#This Row],[Fabrica Testes 1]]=TRUE),"",ItensNaoFuncionais[[#This Row],[Lista 1]]))</f>
        <v>#N/A</v>
      </c>
      <c r="B12" s="142" t="b">
        <v>0</v>
      </c>
      <c r="C12" s="142" t="b">
        <v>0</v>
      </c>
      <c r="D12" s="142" t="s">
        <v>17</v>
      </c>
      <c r="E12" s="86" t="e">
        <f>IF(ItensNaoFuncionais[[#This Row],[Lista 2]]="","",IF(AND(FabricaTestes=TRUE,ItensNaoFuncionais[[#This Row],[Fabrica Testes 2]]=TRUE),"",ItensNaoFuncionais[[#This Row],[Lista 2]]))</f>
        <v>#N/A</v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e">
        <f>IF(ItensNaoFuncionais[[#This Row],[Lista 1]]="","",IF(AND(FabricaTestes=TRUE,ItensNaoFuncionais[[#This Row],[Fabrica Testes 1]]=TRUE),"",ItensNaoFuncionais[[#This Row],[Lista 1]]))</f>
        <v>#N/A</v>
      </c>
      <c r="B13" s="142" t="b">
        <v>0</v>
      </c>
      <c r="C13" s="186" t="b">
        <v>0</v>
      </c>
      <c r="D13" s="187" t="s">
        <v>278</v>
      </c>
      <c r="E13" s="86" t="e">
        <f>IF(ItensNaoFuncionais[[#This Row],[Lista 2]]="","",IF(AND(FabricaTestes=TRUE,ItensNaoFuncionais[[#This Row],[Fabrica Testes 2]]=TRUE),"",ItensNaoFuncionais[[#This Row],[Lista 2]]))</f>
        <v>#N/A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e">
        <f>IF(ItensNaoFuncionais[[#This Row],[Lista 1]]="","",IF(AND(FabricaTestes=TRUE,ItensNaoFuncionais[[#This Row],[Fabrica Testes 1]]=TRUE),"",ItensNaoFuncionais[[#This Row],[Lista 1]]))</f>
        <v>#N/A</v>
      </c>
      <c r="B14" s="142" t="b">
        <v>0</v>
      </c>
      <c r="C14" s="142" t="b">
        <v>0</v>
      </c>
      <c r="D14" s="188" t="s">
        <v>279</v>
      </c>
      <c r="E14" s="86" t="e">
        <f>IF(ItensNaoFuncionais[[#This Row],[Lista 2]]="","",IF(AND(FabricaTestes=TRUE,ItensNaoFuncionais[[#This Row],[Fabrica Testes 2]]=TRUE),"",ItensNaoFuncionais[[#This Row],[Lista 2]]))</f>
        <v>#N/A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e">
        <f>IF(ItensNaoFuncionais[[#This Row],[Lista 1]]="","",IF(AND(FabricaTestes=TRUE,ItensNaoFuncionais[[#This Row],[Fabrica Testes 1]]=TRUE),"",ItensNaoFuncionais[[#This Row],[Lista 1]]))</f>
        <v>#N/A</v>
      </c>
      <c r="B15" s="142" t="b">
        <v>0</v>
      </c>
      <c r="C15" s="142" t="b">
        <v>0</v>
      </c>
      <c r="D15" s="188" t="s">
        <v>185</v>
      </c>
      <c r="E15" s="86" t="e">
        <f>IF(ItensNaoFuncionais[[#This Row],[Lista 2]]="","",IF(AND(FabricaTestes=TRUE,ItensNaoFuncionais[[#This Row],[Fabrica Testes 2]]=TRUE),"",ItensNaoFuncionais[[#This Row],[Lista 2]]))</f>
        <v>#N/A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zBITCqUU4AzEzSt9mEW4besetZZo4LsqobL5pe1WMPyIkTiYfW4HsVpLsMCGU7ovLVyl/8QnPnl+jIiY9scVTg==" saltValue="1OTNexOyAPacT1jrYpk12g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Sergio Gdanski</cp:lastModifiedBy>
  <dcterms:created xsi:type="dcterms:W3CDTF">2006-09-25T12:47:36Z</dcterms:created>
  <dcterms:modified xsi:type="dcterms:W3CDTF">2018-01-08T19:17:09Z</dcterms:modified>
</cp:coreProperties>
</file>