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 Métricas 42\Desktop\PRJ17711 - PROP00024384\"/>
    </mc:Choice>
  </mc:AlternateContent>
  <workbookProtection workbookAlgorithmName="SHA-512" workbookHashValue="pCUeJN2UjlV76QPIIKcMl5gFPq17JUuglG+O1/SdEkIZWytVNj9w+Ev+tgO4WwQK+fZq5Nf8zkS5ocUkTwl9kA==" workbookSaltValue="a59VdXmw9LPKH0wxyu3HCw==" workbookSpinCount="100000" lockStructure="1"/>
  <bookViews>
    <workbookView xWindow="0" yWindow="0" windowWidth="5865" windowHeight="3330" tabRatio="942" activeTab="1" xr2:uid="{00000000-000D-0000-FFFF-FFFF00000000}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J17" i="36"/>
  <c r="J11" i="36"/>
  <c r="J13" i="36"/>
  <c r="J21" i="36"/>
  <c r="J22" i="36"/>
  <c r="J20" i="36"/>
  <c r="J25" i="36"/>
  <c r="J16" i="36"/>
  <c r="J24" i="36"/>
  <c r="J12" i="36"/>
  <c r="J23" i="36"/>
  <c r="K7" i="38"/>
  <c r="J7" i="36"/>
  <c r="J8" i="36"/>
  <c r="J10" i="36"/>
  <c r="J15" i="36"/>
  <c r="J18" i="36"/>
  <c r="J19" i="36"/>
  <c r="J9" i="36"/>
  <c r="J14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12" i="36"/>
  <c r="L16" i="36"/>
  <c r="L25" i="36"/>
  <c r="L24" i="36"/>
  <c r="L13" i="36"/>
  <c r="L22" i="36"/>
  <c r="L21" i="36"/>
  <c r="L20" i="36"/>
  <c r="L23" i="36"/>
  <c r="L11" i="36"/>
  <c r="E5" i="38"/>
  <c r="N7" i="38" s="1"/>
  <c r="E5" i="36"/>
  <c r="L18" i="36" s="1"/>
  <c r="AA34" i="30"/>
  <c r="G8" i="16"/>
  <c r="L14" i="36" l="1"/>
  <c r="L15" i="36"/>
  <c r="L19" i="36"/>
  <c r="L10" i="36"/>
  <c r="L9" i="36"/>
  <c r="L8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AA35" i="30"/>
  <c r="L8" i="21"/>
  <c r="M8" i="21"/>
  <c r="L27" i="36" l="1"/>
  <c r="N27" i="38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AA45" i="30" l="1"/>
  <c r="R30" i="12"/>
  <c r="S30" i="12"/>
  <c r="AA46" i="30" l="1"/>
  <c r="R31" i="12"/>
  <c r="S31" i="12"/>
  <c r="AA47" i="30" l="1"/>
  <c r="R32" i="12"/>
  <c r="S32" i="12"/>
  <c r="AA48" i="30" l="1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P27" i="12"/>
  <c r="F19" i="4"/>
  <c r="C19" i="8" s="1"/>
  <c r="Q30" i="12"/>
  <c r="Q31" i="12"/>
  <c r="Q32" i="12"/>
  <c r="Q29" i="12"/>
  <c r="T29" i="12" l="1"/>
  <c r="P29" i="12"/>
  <c r="Q25" i="12"/>
  <c r="P32" i="12"/>
  <c r="T32" i="12"/>
  <c r="P31" i="12"/>
  <c r="T31" i="12"/>
  <c r="T30" i="12"/>
  <c r="P30" i="12"/>
  <c r="S10" i="4"/>
  <c r="S14" i="4"/>
  <c r="S15" i="4"/>
  <c r="U28" i="12"/>
  <c r="U29" i="12" s="1"/>
  <c r="G15" i="4"/>
  <c r="G18" i="4"/>
  <c r="G14" i="4"/>
  <c r="G12" i="4"/>
  <c r="G7" i="4"/>
  <c r="G17" i="4"/>
  <c r="G9" i="4"/>
  <c r="G10" i="4"/>
  <c r="Y3" i="18"/>
  <c r="X3" i="18"/>
  <c r="U30" i="12" l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T25" i="12" s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F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G5" authorId="0" shapeId="0" xr:uid="{00000000-0006-0000-0A00-000001000000}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I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<sst xmlns="http://schemas.openxmlformats.org/spreadsheetml/2006/main" count="1917" uniqueCount="530">
  <si>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</si>
  <si>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</si>
  <si>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</si>
  <si>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</si>
  <si>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</si>
  <si>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</si>
  <si>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</si>
  <si>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</si>
  <si>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</si>
  <si>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</si>
  <si>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</si>
  <si>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</si>
  <si>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</si>
  <si>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</si>
  <si>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</si>
  <si>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</si>
  <si>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</si>
  <si>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</si>
  <si>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</si>
  <si>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</si>
  <si>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</si>
  <si>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</si>
  <si>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</si>
  <si>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</si>
  <si>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</si>
  <si>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</si>
  <si>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</si>
  <si>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</si>
  <si>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</si>
  <si>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</si>
  <si>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</si>
  <si>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</si>
  <si>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</si>
  <si>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</si>
  <si>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</si>
  <si>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</si>
  <si>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</si>
  <si>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</si>
  <si>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</si>
  <si>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</si>
  <si>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</si>
  <si>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</si>
  <si>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</si>
  <si>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</si>
  <si>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</si>
  <si>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</si>
  <si>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</si>
  <si>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</si>
  <si>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</si>
  <si>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</si>
  <si>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</si>
  <si>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</si>
  <si>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</si>
  <si>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</si>
  <si>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</si>
  <si>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</si>
  <si>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</si>
  <si>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</si>
  <si>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</si>
  <si>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</si>
  <si>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</si>
  <si>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</si>
  <si>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</si>
  <si>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</si>
  <si>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</si>
  <si>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</si>
  <si>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</si>
  <si>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</si>
  <si>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</si>
  <si>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</si>
  <si>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</si>
  <si>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</si>
  <si>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</si>
  <si>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</si>
  <si>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</si>
  <si>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</si>
  <si>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</si>
  <si>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</si>
  <si>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</si>
  <si>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</si>
  <si>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</si>
  <si>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</si>
  <si>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</si>
  <si>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</si>
  <si>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</si>
  <si>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</si>
  <si>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</si>
  <si>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</si>
  <si>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</si>
  <si>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</si>
  <si>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</si>
  <si>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</si>
  <si>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</si>
  <si>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</si>
  <si>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</si>
  <si>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</si>
  <si>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</si>
  <si>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</si>
  <si>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</si>
  <si>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</si>
  <si>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</si>
  <si>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</si>
  <si>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</si>
  <si>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</si>
  <si>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</si>
  <si>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</si>
  <si>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</si>
  <si>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</si>
  <si>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</si>
  <si>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</si>
  <si>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</si>
  <si>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</si>
  <si>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</si>
  <si>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</si>
  <si>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</si>
  <si>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</si>
  <si>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</si>
  <si>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</si>
  <si>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</si>
  <si>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</si>
  <si>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</si>
  <si>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</si>
  <si>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</si>
  <si>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</si>
  <si>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</si>
  <si>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</si>
  <si>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</si>
  <si>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</si>
  <si>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</si>
  <si>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</si>
  <si>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</si>
  <si>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</si>
  <si>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</si>
  <si>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</si>
  <si>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</si>
  <si>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</si>
  <si>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</si>
  <si>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</si>
  <si>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</si>
  <si>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</si>
  <si>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</si>
  <si>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</si>
  <si>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</si>
  <si>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</si>
  <si>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</si>
  <si>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</si>
  <si>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</si>
  <si>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</si>
  <si>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</si>
  <si>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</si>
  <si>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</si>
  <si>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</si>
  <si>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</si>
  <si>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</si>
  <si>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</si>
  <si>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</si>
  <si>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</si>
  <si>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</si>
  <si>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</si>
  <si>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</si>
  <si>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</si>
  <si>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</si>
  <si>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</si>
  <si>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</si>
  <si>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</si>
  <si>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</si>
  <si>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</si>
  <si>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</si>
  <si>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</si>
  <si>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</si>
  <si>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</si>
  <si>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</si>
  <si>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</si>
  <si>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</si>
  <si>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</si>
  <si>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</si>
  <si>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</si>
  <si>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</si>
  <si>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</si>
  <si>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</si>
  <si>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</si>
  <si>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</si>
  <si>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</si>
  <si>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</si>
  <si>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</si>
  <si>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</si>
  <si>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</si>
  <si>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</si>
  <si>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</si>
  <si>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</si>
  <si>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</si>
  <si>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</si>
  <si>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</si>
  <si>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</si>
  <si>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</si>
  <si>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</si>
  <si>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</si>
  <si>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</si>
  <si>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</si>
  <si>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</si>
  <si>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</si>
  <si>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</si>
  <si>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</si>
  <si>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</si>
  <si>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</si>
  <si>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</si>
  <si>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</si>
  <si>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</si>
  <si>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</si>
  <si>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</si>
  <si>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</si>
  <si>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</si>
  <si>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</si>
  <si>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</si>
  <si>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</si>
  <si>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</si>
  <si>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</si>
  <si>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</si>
  <si>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</si>
  <si>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</si>
  <si>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</si>
  <si>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</si>
  <si>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</si>
  <si>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</si>
  <si>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</si>
  <si>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</si>
  <si>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</si>
  <si>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</si>
  <si>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</si>
  <si>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</si>
  <si>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</si>
  <si>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</si>
  <si>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</si>
  <si>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</si>
  <si>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</si>
  <si>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</si>
  <si>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</si>
  <si>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</si>
  <si>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</si>
  <si>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</si>
  <si>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</si>
  <si>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</si>
  <si>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</si>
  <si>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</si>
  <si>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</si>
  <si>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</si>
  <si>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</si>
  <si>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</si>
  <si>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</si>
  <si>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</si>
  <si>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</si>
  <si>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</si>
  <si>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</si>
  <si>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</si>
  <si>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</si>
  <si>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</si>
  <si>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</si>
  <si>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</si>
  <si>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</si>
  <si>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</si>
  <si>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</si>
  <si>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</si>
  <si>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</si>
  <si>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</si>
  <si>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</si>
  <si>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</si>
  <si>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</si>
  <si>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</si>
  <si>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</si>
  <si>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</si>
  <si>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</si>
  <si>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</si>
  <si>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</si>
  <si>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</si>
  <si>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</si>
  <si>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</si>
  <si>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</si>
  <si>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</si>
  <si>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</si>
  <si>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</si>
  <si>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</si>
  <si>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</si>
  <si>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</si>
  <si>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</si>
  <si>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</si>
  <si>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</si>
  <si>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</si>
  <si>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</si>
  <si>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</si>
  <si>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</si>
  <si>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</si>
  <si>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</si>
  <si>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</si>
  <si>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</si>
  <si>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</si>
  <si>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</si>
  <si>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</si>
  <si>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</si>
  <si>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</si>
  <si>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</si>
  <si>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</si>
  <si>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</si>
  <si>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</si>
  <si>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</si>
  <si>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</si>
  <si>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</si>
  <si>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</si>
  <si>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</si>
  <si>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</si>
  <si>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</si>
  <si>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</si>
  <si>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</si>
  <si>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</si>
  <si>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</si>
  <si>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</si>
  <si>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</si>
  <si>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</si>
  <si>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</si>
  <si>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</si>
  <si>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</si>
  <si>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</si>
  <si>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</si>
  <si>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</si>
  <si>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</si>
  <si>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</si>
  <si>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</si>
  <si>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</si>
  <si>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</si>
  <si>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</si>
  <si>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</si>
  <si>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</si>
  <si>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</si>
  <si>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</si>
  <si>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</si>
  <si>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</si>
  <si>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</si>
  <si>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</si>
  <si>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</si>
  <si>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</si>
  <si>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</si>
  <si>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</si>
  <si>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</si>
  <si>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</si>
  <si>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</si>
  <si>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</si>
  <si>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</si>
  <si>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</si>
  <si>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</si>
  <si>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</si>
  <si>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</si>
  <si>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</si>
  <si>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</si>
  <si>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</si>
  <si>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</si>
  <si>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</si>
  <si>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</si>
  <si>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</si>
  <si>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</si>
  <si>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</si>
  <si>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</si>
  <si>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</si>
  <si>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</si>
  <si>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</si>
  <si>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</si>
  <si>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</si>
  <si>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</si>
  <si>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</si>
  <si>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</si>
  <si>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</si>
  <si>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</si>
  <si>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</si>
  <si>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</si>
  <si>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</si>
  <si>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</si>
  <si>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</si>
  <si>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</si>
  <si>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</si>
  <si>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</si>
  <si>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</si>
  <si>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</si>
  <si>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</si>
  <si>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</si>
  <si>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</si>
  <si>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</si>
  <si>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</si>
  <si>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</si>
  <si>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</si>
  <si>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</si>
  <si>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</si>
  <si>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</si>
  <si>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</si>
  <si>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</si>
  <si>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</si>
  <si>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</si>
  <si>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</si>
  <si>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</si>
  <si>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</si>
  <si>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</si>
  <si>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</si>
  <si>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</si>
  <si>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</si>
  <si>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</si>
  <si>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</si>
  <si>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</si>
  <si>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</si>
  <si>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</si>
  <si>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</si>
  <si>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</si>
  <si>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</si>
  <si>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</si>
  <si>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</si>
  <si>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</si>
  <si>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</si>
  <si>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</si>
  <si>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</si>
  <si>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</si>
  <si>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</si>
  <si>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</si>
  <si>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</si>
  <si>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</si>
  <si>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</si>
  <si>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</si>
  <si>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</si>
  <si>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</si>
  <si>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</si>
  <si>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</si>
  <si>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</si>
  <si>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</si>
  <si>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</si>
  <si>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</si>
  <si>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</si>
  <si>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</si>
  <si>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</si>
  <si>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</si>
  <si>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</si>
  <si>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</si>
  <si>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</si>
  <si>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</si>
  <si>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</si>
  <si>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</si>
  <si>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</si>
  <si>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</si>
  <si>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</si>
  <si>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</si>
  <si>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</si>
  <si>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</si>
  <si>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</si>
  <si>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</si>
  <si>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</si>
  <si>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</si>
  <si>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</si>
  <si>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</si>
  <si>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</si>
  <si>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</si>
  <si>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</si>
  <si>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</si>
  <si>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</si>
  <si>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</si>
  <si>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</si>
  <si>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</si>
  <si>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</si>
  <si>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</si>
  <si>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</si>
  <si>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</si>
  <si>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</si>
  <si>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</si>
  <si>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</si>
  <si>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</si>
  <si>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</si>
  <si>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</si>
  <si>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</si>
  <si>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</si>
  <si>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</si>
  <si>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</si>
  <si>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</si>
  <si>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</si>
  <si>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</si>
  <si>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</si>
  <si>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</si>
  <si>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</si>
  <si>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</si>
  <si>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</si>
  <si>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</si>
  <si>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</si>
  <si>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</si>
  <si>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</si>
  <si>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</si>
  <si>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</si>
  <si>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</si>
  <si>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</si>
  <si>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</si>
  <si>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</si>
  <si>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</si>
  <si>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</si>
  <si>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Pagamento PSB</t>
  </si>
  <si>
    <t>ATF ---&gt; PSB - Conulta Faturas por MSISDN</t>
  </si>
  <si>
    <t>Fatura/MSISDN/Cliente/Arrecadação</t>
  </si>
  <si>
    <t>DDD, TELEFONE, NOME_CLIENTE, CPF_CNPJ, MES_ANO_REFERENCIA, DATA_VENCIMENTO, CODIGO_BARRAS, NUMERO_DA_FATURA, DATA_DE_ATIVACAO</t>
  </si>
  <si>
    <t>PSB ---&gt; ATF - Informe de Pgto no PSB</t>
  </si>
  <si>
    <t>Fatura, Agente Arrecadador, Operação e Cod Resposta</t>
  </si>
  <si>
    <t>ATF ----&gt; ICS - Informe de Pgto PSB para desbloqueio</t>
  </si>
  <si>
    <t>ATF ----&gt; Arbor - Aprovionamento de NRC a la carte para cobrança da Tx de Pgto pelo PSB</t>
  </si>
  <si>
    <t>Banco ----&gt; MIF Carga do novo valor de Forma de arrecadação</t>
  </si>
  <si>
    <t>Cliente/fatura/pagamento</t>
  </si>
  <si>
    <t xml:space="preserve">Identificação da empresa/Data do pagamento/Data do crédito/Informações do Código de Barras/Valor efetivamente recebido/Valor da tarifa referente/Identificação do registro/Código da agência/Forma de arrecadação/Número de autenticação/Forma de Pagamento </t>
  </si>
  <si>
    <t>Siebel ----&gt; Arbor Carga dos Fixo associados as Conta Fatura com data de entrada e saida na conta fatura</t>
  </si>
  <si>
    <t>Cliente/Bundle/MSISDN</t>
  </si>
  <si>
    <t>TERMINAL_FIXO/TERMINAL_PRINC/IND_TIPO_TERMINAL/DATA_INI_VIGENCIA/DATA_FIM_VIGENCIA/ULTIMA_ATUALIZACAO/ID_MEIO_DE_ACESSO/CPF_CNPJ/CONTA_FATURA/NUM_CONTRATO_TV</t>
  </si>
  <si>
    <t>Suspensão de franquia por inadimplencia</t>
  </si>
  <si>
    <t>Cliente/Instancia/Suspensão/RC/NRC/Franquia</t>
  </si>
  <si>
    <t>SUSPENSAO_FRANQUIA_CICLO:ACCOUNT_NO,SUBSCR_NO,EXTERNAL_ID,PLANO_PRECO,AMOUNT,BILL_PERIOD,STATEMENT_DATE,DATA_SUSPENSAO,ASSOCIATION_TYPE,DATA_PROC,IND_PROF,SUBSCR_NO_RESETS
SUSPENSAO_FRANQUIA_HIST:ACCOUNT_NO,SUBSCR_NO,EXTERNAL_ID,PLANO_PRECO,AMOUNT,BILL_PERIOD,STATEMENT_DATE,DATA_SUSPENSAO,ASSOCIATION_TYPE,DATA_PROC,IND_PROF,SUBSCR_NO_RESETS
SUSPENSAO_FRANQUIA_ITENS:ACCOUNT_NO,SUBSCR_NO,SUBSCR_NO_RESETS
S_ORG_EXT_SUSPF:OU_NUM,OU_NUM,ROW_ID,ROW_ID,PR_ADDR_ID,PR_ADDR_ID,ACCNT_TYPE_CD,ACCNT_TYPE_CD,PAR_OU_ID,PAR_OU_ID
S_QUOTE_SOLN_SUSPF:INV_ACCNT_ID,INV_ACCNT_ID,STATUS_CD,STATUS_CD,COPIED_FLG,COPIED_FLG,X_DATA_SUSP_INAD,X_DATA_SUSP_INAD,ASSET_NUM,ASSET_NUM</t>
  </si>
  <si>
    <t>Suspensão de franquia</t>
  </si>
  <si>
    <t>Suspensão</t>
  </si>
  <si>
    <t>NRC: Tracking_id da NRC suspensa
SUSPENSAO_FRANQUIA_CICLO:ACCOUNT_NO,SUBSCR_NO,EXTERNAL_ID,PLANO_PRECO,AMOUNT,BILL_PERIOD,STATEMENT_DATE,DATA_SUSPENSAO,ASSOCIATION_TYPE,DATA_PROC,IND_PROF,SUBSCR_NO_RESETS
SUSPENSAO_FRANQUIA_HIST:ACCOUNT_NO,SUBSCR_NO,EXTERNAL_ID,PLANO_PRECO,AMOUNT,BILL_PERIOD,STATEMENT_DATE,DATA_SUSPENSAO,ASSOCIATION_TYPE,DATA_PROC,IND_PROF,SUBSCR_NO_RESETS
SUSPENSAO_FRANQUIA_ITENS:ACCOUNT_NO,SUBSCR_NO,SUBSCR_NO_RESETS
S_ORG_EXT_SUSPF:OU_NUM,OU_NUM,ROW_ID,ROW_ID,PR_ADDR_ID,PR_ADDR_ID,ACCNT_TYPE_CD,ACCNT_TYPE_CD,PAR_OU_ID,PAR_OU_ID
S_QUOTE_SOLN_SUSPF:INV_ACCNT_ID,INV_ACCNT_ID,STATUS_CD,STATUS_CD,COPIED_FLG,COPIED_FLG,X_DATA_SUSP_INAD,X_DATA_SUSP_INAD,ASSET_NUM,ASSET_NUM</t>
  </si>
  <si>
    <t>RGN1, RGN3 e RGN20 - Criação de interface nova para receber as informações de telefone fixo atrelado a conta fatura</t>
  </si>
  <si>
    <t>RGN49 - Alterações nos processo de suspensão de franquia por inandiplencia prebip e pos bip para colocar a nova NRC em no_bill antes do ciclo e retirar o no_bill após o ciclo</t>
  </si>
  <si>
    <t>RGN49 - Alterações nas tabelas do suspensão de franquia para armazezar a NRC que foi removida do faturamento para que posteriormente posso retirar de no_bille faturar para quando o cliente sair de suspensão</t>
  </si>
  <si>
    <t>RGN08, RGN09, RGN11, RGN12, RGN48 e RGN51:  Configuração de Nova Taxa de pgto pelo PSB</t>
  </si>
  <si>
    <t>RGN07 - Configuração de Nova Msg informando que pagamento pelo PSB gera cobrança</t>
  </si>
  <si>
    <t>RGN38, RGN39, RGN42, RGN43, RGN44 e RGN46:  Configuração de 2 novos convenios para o PSB (uma para R1 e outro para R2)</t>
  </si>
  <si>
    <t>RGN47 - Configuração de tabela com a nova forma de Forma de Arrecadação no MIF</t>
  </si>
  <si>
    <t>RGN13 - Configuração contabil</t>
  </si>
  <si>
    <t>TS relacionado ao escopo de configuração</t>
  </si>
  <si>
    <t>RGN-1, RGN02 e RGN03 - Alteração na procedure PR_CAS_LOT_BUSCA_FATURA, para buscar faturas da móvel, pelo fixo e inativas em 180 dias
TI Métricas - não há evidências de ser uma SE</t>
  </si>
  <si>
    <t>RGN04 - Realizar o informe de pagamento PSB para o ICS atraves de interface nova no informatica
TI Métricas - faz parte da lógica de processamento do retorno do PSB</t>
  </si>
  <si>
    <t>RGN06 - Realizar o agendamento de taxa para a fatura seguinte sempre que o informe de pagamento pelo PSB for confirmado
TI Métricas - faz parte da lógica de processamento do retorno do PSB</t>
  </si>
  <si>
    <t>Fatura/MSISDN/Cliente/Arrecadação/taxa/ICS</t>
  </si>
  <si>
    <t>RGN38 - alterações na procedure PR_CAS_LOT_PGTO_EST receber o informe de pagamento aceitando os novos convenios
TI Métricas - este processo elementar só está completo quando recebe o retorno do PSB, grava na tabela do ICS e grava a tabela da taxa de serviço</t>
  </si>
  <si>
    <t>mais um dominio no tipo de pagamento
se PSB então 7</t>
  </si>
  <si>
    <t>RGN47 - Alteração do FEB para carregar no MIF o valor 7 para os casos de pagamento PSB
TI Métricas - inclusão de dominio - cosmética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</si>
</sst>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" xfId="8" builtinId="26"/>
    <cellStyle name="Bom 2" xfId="17" xr:uid="{00000000-0005-0000-0000-000000000000}"/>
    <cellStyle name="Hiperlink" xfId="1" builtinId="8"/>
    <cellStyle name="Hiperlink 2" xfId="24" xr:uid="{00000000-0005-0000-0000-000003000000}"/>
    <cellStyle name="Moeda 2" xfId="19" xr:uid="{00000000-0005-0000-0000-000005000000}"/>
    <cellStyle name="Normal" xfId="0" builtinId="0"/>
    <cellStyle name="Normal 10" xfId="21" xr:uid="{00000000-0005-0000-0000-000007000000}"/>
    <cellStyle name="Normal 11" xfId="22" xr:uid="{00000000-0005-0000-0000-000008000000}"/>
    <cellStyle name="Normal 2" xfId="11" xr:uid="{00000000-0005-0000-0000-000009000000}"/>
    <cellStyle name="Normal 3" xfId="9" xr:uid="{00000000-0005-0000-0000-00000A000000}"/>
    <cellStyle name="Normal 4" xfId="14" xr:uid="{00000000-0005-0000-0000-00000B000000}"/>
    <cellStyle name="Normal 5" xfId="2" xr:uid="{00000000-0005-0000-0000-00000C000000}"/>
    <cellStyle name="Normal 6" xfId="3" xr:uid="{00000000-0005-0000-0000-00000D000000}"/>
    <cellStyle name="Normal 6 2" xfId="23" xr:uid="{00000000-0005-0000-0000-00000E000000}"/>
    <cellStyle name="Normal 7" xfId="13" xr:uid="{00000000-0005-0000-0000-00000F000000}"/>
    <cellStyle name="Normal 8" xfId="18" xr:uid="{00000000-0005-0000-0000-000010000000}"/>
    <cellStyle name="Normal 9" xfId="4" xr:uid="{00000000-0005-0000-0000-000011000000}"/>
    <cellStyle name="Porcentagem" xfId="5" builtinId="5"/>
    <cellStyle name="Porcentagem 2" xfId="10" xr:uid="{00000000-0005-0000-0000-000013000000}"/>
    <cellStyle name="Porcentagem 3" xfId="15" xr:uid="{00000000-0005-0000-0000-000014000000}"/>
    <cellStyle name="Vírgula" xfId="6" builtinId="3"/>
    <cellStyle name="Vírgula 2" xfId="7" xr:uid="{00000000-0005-0000-0000-000015000000}"/>
    <cellStyle name="Vírgula 2 2" xfId="12" xr:uid="{00000000-0005-0000-0000-000016000000}"/>
    <cellStyle name="Vírgula 2 3" xfId="20" xr:uid="{00000000-0005-0000-0000-000017000000}"/>
    <cellStyle name="Vírgula 3" xfId="16" xr:uid="{00000000-0005-0000-0000-000018000000}"/>
  </cellStyles>
  <dxfs count="2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0000000}" name="PontosFuncao" displayName="PontosFuncao" ref="B6:M27" totalsRowCount="1" headerRowDxfId="201" dataDxfId="199" totalsRowDxfId="197" headerRowBorderDxfId="200" tableBorderDxfId="198" totalsRowBorderDxfId="196">
  <autoFilter ref="B6:M26" xr:uid="{00000000-0009-0000-0100-000013000000}"/>
  <tableColumns count="12">
    <tableColumn id="1" xr3:uid="{00000000-0010-0000-0000-000001000000}" name="Fronteira" totalsRowLabel="Total" dataDxfId="195" totalsRowDxfId="11"/>
    <tableColumn id="2" xr3:uid="{00000000-0010-0000-0000-000002000000}" name="Nome da Função" dataDxfId="194" totalsRowDxfId="10" dataCellStyle="Normal 6"/>
    <tableColumn id="3" xr3:uid="{00000000-0010-0000-0000-000003000000}" name="Tipo de Manutenção" dataDxfId="193" totalsRowDxfId="9" dataCellStyle="Normal 6"/>
    <tableColumn id="4" xr3:uid="{00000000-0010-0000-0000-000004000000}" name="Tipo de Função" dataDxfId="192" totalsRowDxfId="8" dataCellStyle="Normal 6"/>
    <tableColumn id="5" xr3:uid="{00000000-0010-0000-0000-000005000000}" name="Qtde Registros Lógicos/ Arquivos Referenciados" dataDxfId="191" totalsRowDxfId="7" dataCellStyle="Normal 6"/>
    <tableColumn id="6" xr3:uid="{00000000-0010-0000-0000-000006000000}" name="Qtde de Itens" dataDxfId="190" totalsRowDxfId="6" dataCellStyle="Normal 6"/>
    <tableColumn id="11" xr3:uid="{00000000-0010-0000-0000-00000B000000}" name="Descrição dos Registros Lógicos/Arquivos Referenciados" dataDxfId="189" totalsRowDxfId="5" dataCellStyle="Normal 6"/>
    <tableColumn id="10" xr3:uid="{00000000-0010-0000-0000-00000A000000}" name="Descrição dos Itens de Dados" dataDxfId="188" totalsRowDxfId="4" dataCellStyle="Normal 6"/>
    <tableColumn id="7" xr3:uid="{00000000-0010-0000-0000-000007000000}" name="Complexidade" dataDxfId="187" totalsRowDxfId="3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xr3:uid="{00000000-0010-0000-0000-000008000000}" name="PF" totalsRowFunction="sum" dataDxfId="186" totalsRowDxfId="2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xr3:uid="{00000000-0010-0000-0000-00000C000000}" name="Esforço" totalsRowFunction="sum" dataDxfId="185" totalsRowDxfId="1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xr3:uid="{00000000-0010-0000-0000-000009000000}" name="Requisito / Justificativas / Observações" dataDxfId="184" totalsRowDxfId="0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1000000}" name="Analogia" displayName="Analogia" ref="B6:P27" totalsRowCount="1" headerRowDxfId="183" dataDxfId="181" totalsRowDxfId="179" headerRowBorderDxfId="182" tableBorderDxfId="180" totalsRowBorderDxfId="178">
  <autoFilter ref="B6:P26" xr:uid="{00000000-0009-0000-0100-000015000000}"/>
  <tableColumns count="15">
    <tableColumn id="1" xr3:uid="{00000000-0010-0000-0100-000001000000}" name="Fronteira" totalsRowLabel="Total" dataDxfId="177" totalsRowDxfId="26"/>
    <tableColumn id="10" xr3:uid="{00000000-0010-0000-0100-00000A000000}" name="Analogia" dataDxfId="176" totalsRowDxfId="25" dataCellStyle="Normal 6"/>
    <tableColumn id="2" xr3:uid="{00000000-0010-0000-0100-000002000000}" name="Nome da Função" dataDxfId="175" totalsRowDxfId="24" dataCellStyle="Normal 6"/>
    <tableColumn id="3" xr3:uid="{00000000-0010-0000-0100-000003000000}" name="Tipo de Manutenção" dataDxfId="174" totalsRowDxfId="23" dataCellStyle="Normal 6"/>
    <tableColumn id="4" xr3:uid="{00000000-0010-0000-0100-000004000000}" name="Tipo de Função" dataDxfId="173" totalsRowDxfId="22" dataCellStyle="Normal 6"/>
    <tableColumn id="5" xr3:uid="{00000000-0010-0000-0100-000005000000}" name="Qtde Registros Lógicos/ Arquivos Referenciados" dataDxfId="172" totalsRowDxfId="21" dataCellStyle="Normal 6"/>
    <tableColumn id="6" xr3:uid="{00000000-0010-0000-0100-000006000000}" name="Qtde de Itens" dataDxfId="171" totalsRowDxfId="20" dataCellStyle="Normal 6"/>
    <tableColumn id="13" xr3:uid="{00000000-0010-0000-0100-00000D000000}" name="Descrição dos Registros Lógicos/Arquivos Referenciados" dataDxfId="170" totalsRowDxfId="19" dataCellStyle="Normal 6"/>
    <tableColumn id="12" xr3:uid="{00000000-0010-0000-0100-00000C000000}" name="Descrição dos Itens de Dados" dataDxfId="169" totalsRowDxfId="18" dataCellStyle="Normal 6"/>
    <tableColumn id="7" xr3:uid="{00000000-0010-0000-0100-000007000000}" name="Complexidade" dataDxfId="168" totalsRowDxfId="17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xr3:uid="{00000000-0010-0000-0100-00000B000000}" name="PF s/ Fator de Impacto" totalsRowFunction="sum" dataDxfId="167" totalsRowDxfId="16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xr3:uid="{00000000-0010-0000-0100-000008000000}" name="Pontos" totalsRowFunction="sum" dataDxfId="166" totalsRowDxfId="15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xr3:uid="{00000000-0010-0000-0100-00000E000000}" name="Esforço com Impacto" totalsRowFunction="sum" dataDxfId="165" totalsRowDxfId="14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xr3:uid="{00000000-0010-0000-0100-00000F000000}" name="Esforço sem Impacto" totalsRowFunction="sum" dataDxfId="164" totalsRowDxfId="13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xr3:uid="{00000000-0010-0000-0100-000009000000}" name="Requisito / Justificativas / Observações" dataDxfId="163" totalsRowDxfId="12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EsforcoFases" displayName="EsforcoFases" ref="B5:L19" totalsRowCount="1" headerRowDxfId="162" dataDxfId="160" totalsRowDxfId="158" headerRowBorderDxfId="161" tableBorderDxfId="159" headerRowCellStyle="Normal 6">
  <autoFilter ref="B5:L18" xr:uid="{00000000-0009-0000-0100-000006000000}"/>
  <tableColumns count="11">
    <tableColumn id="8" xr3:uid="{00000000-0010-0000-0200-000008000000}" name="Id" dataDxfId="157" totalsRowDxfId="156"/>
    <tableColumn id="1" xr3:uid="{00000000-0010-0000-0200-000001000000}" name="Fases do Ciclo de Vida / Artefatos" totalsRowLabel="Total" dataDxfId="155" totalsRowDxfId="154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xr3:uid="{00000000-0010-0000-0200-000002000000}" name="Contratação" dataDxfId="153" totalsRowDxfId="152" dataCellStyle="Normal 5"/>
    <tableColumn id="3" xr3:uid="{00000000-0010-0000-0200-000003000000}" name="Esforço em Horas (calculado)" totalsRowFunction="custom" dataDxfId="151" totalsRowDxfId="150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xr3:uid="{00000000-0010-0000-0200-000004000000}" name="Esforço em Horas (preenchido)" totalsRowFunction="sum" dataDxfId="149" totalsRowDxfId="148" dataCellStyle="Normal 5"/>
    <tableColumn id="5" xr3:uid="{00000000-0010-0000-0200-000005000000}" name="Percentual Calculado da Fase" totalsRowFunction="sum" dataDxfId="147" totalsRowDxfId="146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xr3:uid="{00000000-0010-0000-0200-000006000000}" name="Descrição/Observações/Justificativas" dataDxfId="145" totalsRowDxfId="144" dataCellStyle="Normal 5">
      <calculatedColumnFormula>(Pontos_APF+IF(EsforcoFases[[#This Row],[Man Cosmetica Especial]]=FALSE,Pontos_Analogia,Pontos_Analogia_SemFatorImpacto))*0</calculatedColumnFormula>
    </tableColumn>
    <tableColumn id="7" xr3:uid="{00000000-0010-0000-0200-000007000000}" name="checks" dataDxfId="143" totalsRowDxfId="142">
      <calculatedColumnFormula>IF(EsforcoFases[[#This Row],[Contratação]]=Sim,TRUE,FALSE)</calculatedColumnFormula>
    </tableColumn>
    <tableColumn id="9" xr3:uid="{00000000-0010-0000-0200-000009000000}" name="Ativ. Fabrica Testes" dataDxfId="141" totalsRowDxfId="140">
      <calculatedColumnFormula>AND(FabricaTestes,VLOOKUP(B6,PercentuaisFases[],VLOOKUP(Fornecedor,MapFasesFornecedores[#All],4,FALSE),FALSE))</calculatedColumnFormula>
    </tableColumn>
    <tableColumn id="10" xr3:uid="{00000000-0010-0000-0200-00000A000000}" name="Max" dataDxfId="139" totalsRowDxfId="138">
      <calculatedColumnFormula>IF(C6="",0)</calculatedColumnFormula>
    </tableColumn>
    <tableColumn id="11" xr3:uid="{00000000-0010-0000-0200-00000B000000}" name="Man Cosmetica Especial" dataDxfId="137" totalsRowDxfId="136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Produtividades" displayName="Produtividades" ref="B4:L40" totalsRowShown="0" headerRowDxfId="135" dataDxfId="133" headerRowBorderDxfId="134" tableBorderDxfId="132" totalsRowBorderDxfId="131" headerRowCellStyle="Normal 6" dataCellStyle="Normal 9">
  <autoFilter ref="B4:L40" xr:uid="{00000000-0009-0000-0100-000001000000}"/>
  <tableColumns count="11">
    <tableColumn id="1" xr3:uid="{00000000-0010-0000-0300-000001000000}" name="Nome Sistema ou Tecnologia" dataDxfId="130" dataCellStyle="Normal 9"/>
    <tableColumn id="2" xr3:uid="{00000000-0010-0000-0300-000002000000}" name="Produtividade Inclusão" dataDxfId="129" dataCellStyle="Normal 9"/>
    <tableColumn id="10" xr3:uid="{00000000-0010-0000-0300-00000A000000}" name="Produtividade Alteração" dataDxfId="128" dataCellStyle="Normal 9">
      <calculatedColumnFormula>Produtividades[[#This Row],[Produtividade Inclusão]]</calculatedColumnFormula>
    </tableColumn>
    <tableColumn id="11" xr3:uid="{00000000-0010-0000-0300-00000B000000}" name="Produtividade Exclusão" dataDxfId="127" dataCellStyle="Normal 9">
      <calculatedColumnFormula>Produtividades[[#This Row],[Produtividade Inclusão]]</calculatedColumnFormula>
    </tableColumn>
    <tableColumn id="8" xr3:uid="{00000000-0010-0000-0300-000008000000}" name="Taxa horária" dataDxfId="126" dataCellStyle="Normal 9"/>
    <tableColumn id="6" xr3:uid="{00000000-0010-0000-0300-000006000000}" name="Contrato" dataDxfId="125" dataCellStyle="Normal 9"/>
    <tableColumn id="7" xr3:uid="{00000000-0010-0000-0300-000007000000}" name="Fornecedor" dataDxfId="124" dataCellStyle="Normal 9"/>
    <tableColumn id="3" xr3:uid="{00000000-0010-0000-0300-000003000000}" name="Aba Itens configuração" dataDxfId="123" dataCellStyle="Normal 9"/>
    <tableColumn id="9" xr3:uid="{00000000-0010-0000-0300-000009000000}" name="Aba Estimator" dataDxfId="122" dataCellStyle="Normal 9"/>
    <tableColumn id="4" xr3:uid="{00000000-0010-0000-0300-000004000000}" name="Sistema/Tecnologia" dataDxfId="121" dataCellStyle="Normal 9"/>
    <tableColumn id="5" xr3:uid="{00000000-0010-0000-0300-000005000000}" name="Fábrica Testes" dataDxfId="120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Motivos" displayName="Motivos" ref="J4:J16" totalsRowShown="0" headerRowDxfId="119" dataDxfId="118">
  <autoFilter ref="J4:J16" xr:uid="{00000000-0009-0000-0100-000007000000}"/>
  <sortState ref="J5:J16">
    <sortCondition ref="J6"/>
  </sortState>
  <tableColumns count="1">
    <tableColumn id="1" xr3:uid="{00000000-0010-0000-0400-000001000000}" name="Motivo" dataDxfId="117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iposContagem" displayName="TiposContagem" ref="I4:I6" totalsRowShown="0" headerRowDxfId="116" dataDxfId="114" headerRowBorderDxfId="115" tableBorderDxfId="113" totalsRowBorderDxfId="112" headerRowCellStyle="Normal 6">
  <autoFilter ref="I4:I6" xr:uid="{00000000-0009-0000-0100-000008000000}"/>
  <tableColumns count="1">
    <tableColumn id="1" xr3:uid="{00000000-0010-0000-0500-000001000000}" name="Tipo Contagem" dataDxfId="11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Complexidades" displayName="Complexidades" ref="H4:H7" totalsRowShown="0" headerRowDxfId="110" dataDxfId="108" headerRowBorderDxfId="109" tableBorderDxfId="107" totalsRowBorderDxfId="106" headerRowCellStyle="Normal 6">
  <autoFilter ref="H4:H7" xr:uid="{00000000-0009-0000-0100-00000B000000}"/>
  <tableColumns count="1">
    <tableColumn id="1" xr3:uid="{00000000-0010-0000-0600-000001000000}" name="Complexidade" dataDxfId="105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iposFuncao" displayName="TiposFuncao" ref="G4:G9" totalsRowShown="0" headerRowDxfId="104" dataDxfId="102" headerRowBorderDxfId="103" tableBorderDxfId="101" totalsRowBorderDxfId="100" headerRowCellStyle="Normal 6">
  <autoFilter ref="G4:G9" xr:uid="{00000000-0009-0000-0100-00000C000000}"/>
  <tableColumns count="1">
    <tableColumn id="1" xr3:uid="{00000000-0010-0000-0700-000001000000}" name="Tipo de Função (ALI/AIE/EE/SE/CE)" dataDxfId="99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iposManutencao" displayName="TiposManutencao" ref="F4:F7" totalsRowShown="0" headerRowDxfId="98" dataDxfId="96" headerRowBorderDxfId="97" tableBorderDxfId="95" totalsRowBorderDxfId="94" headerRowCellStyle="Normal 6">
  <autoFilter ref="F4:F7" xr:uid="{00000000-0009-0000-0100-00000D000000}"/>
  <tableColumns count="1">
    <tableColumn id="1" xr3:uid="{00000000-0010-0000-0800-000001000000}" name="Tipo de Manutenção (I/A/E)" dataDxfId="93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Fornecedores" displayName="Fornecedores" ref="E4:E29" totalsRowShown="0" headerRowDxfId="92" headerRowBorderDxfId="91" tableBorderDxfId="90" totalsRowBorderDxfId="89">
  <autoFilter ref="E4:E29" xr:uid="{00000000-0009-0000-0100-00000E000000}"/>
  <tableColumns count="1">
    <tableColumn id="1" xr3:uid="{00000000-0010-0000-0900-000001000000}" name="Fornecedor" dataDxfId="88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A000000}" name="Contratos" displayName="Contratos" ref="D4:D7" totalsRowShown="0" headerRowDxfId="87" headerRowBorderDxfId="86" tableBorderDxfId="85" totalsRowBorderDxfId="84">
  <autoFilter ref="D4:D7" xr:uid="{00000000-0009-0000-0100-00000F000000}"/>
  <tableColumns count="1">
    <tableColumn id="1" xr3:uid="{00000000-0010-0000-0A00-000001000000}" name="Contrato" dataDxfId="83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Sistema_Tecnologia" displayName="Sistema_Tecnologia" ref="P4:P6" totalsRowShown="0" headerRowDxfId="82">
  <autoFilter ref="P4:P6" xr:uid="{00000000-0009-0000-0100-000011000000}"/>
  <tableColumns count="1">
    <tableColumn id="1" xr3:uid="{00000000-0010-0000-0B00-000001000000}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FatoresAjuste_Analogia_" displayName="FatoresAjuste_Analogia_" ref="Q1:R8" totalsRowShown="0" headerRowDxfId="81" dataDxfId="80">
  <autoFilter ref="Q1:R8" xr:uid="{00000000-0009-0000-0100-000010000000}"/>
  <tableColumns count="2">
    <tableColumn id="1" xr3:uid="{00000000-0010-0000-0C00-000001000000}" name="Analogia" dataDxfId="79"/>
    <tableColumn id="2" xr3:uid="{00000000-0010-0000-0C00-000002000000}" name="Fator de ajuste" dataDxfId="78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PercentuaisFases" displayName="PercentuaisFases" ref="A2:W21" totalsRowShown="0" headerRowDxfId="77" dataDxfId="75" headerRowBorderDxfId="76" tableBorderDxfId="74" totalsRowBorderDxfId="73" headerRowCellStyle="Normal 6">
  <autoFilter ref="A2:W21" xr:uid="{00000000-0009-0000-0100-000002000000}"/>
  <tableColumns count="23">
    <tableColumn id="4" xr3:uid="{00000000-0010-0000-0D00-000004000000}" name="Id" dataDxfId="72"/>
    <tableColumn id="8" xr3:uid="{00000000-0010-0000-0D00-000008000000}" name="Man Cosmetica Especial" dataDxfId="71"/>
    <tableColumn id="1" xr3:uid="{00000000-0010-0000-0D00-000001000000}" name="Fases do Ciclo de Vida / Artefatos 1" dataDxfId="70"/>
    <tableColumn id="2" xr3:uid="{00000000-0010-0000-0D00-000002000000}" name="Percentual 1" dataDxfId="69"/>
    <tableColumn id="6" xr3:uid="{00000000-0010-0000-0D00-000006000000}" name="Fábrica testes 1" dataDxfId="68"/>
    <tableColumn id="5" xr3:uid="{00000000-0010-0000-0D00-000005000000}" name="Fases do Ciclo de Vida / Artefatos 2" dataDxfId="67"/>
    <tableColumn id="3" xr3:uid="{00000000-0010-0000-0D00-000003000000}" name="Percentual 2" dataDxfId="66"/>
    <tableColumn id="7" xr3:uid="{00000000-0010-0000-0D00-000007000000}" name="Fábrica testes 2" dataDxfId="65"/>
    <tableColumn id="9" xr3:uid="{00000000-0010-0000-0D00-000009000000}" name="Fases do Ciclo de Vida / Artefatos 3" dataDxfId="64"/>
    <tableColumn id="10" xr3:uid="{00000000-0010-0000-0D00-00000A000000}" name="Percentual 3" dataDxfId="63"/>
    <tableColumn id="11" xr3:uid="{00000000-0010-0000-0D00-00000B000000}" name="Fábrica testes 3" dataDxfId="62"/>
    <tableColumn id="12" xr3:uid="{00000000-0010-0000-0D00-00000C000000}" name="Fases do Ciclo de Vida / Artefatos 4" dataDxfId="61"/>
    <tableColumn id="13" xr3:uid="{00000000-0010-0000-0D00-00000D000000}" name="Percentual 4" dataDxfId="60"/>
    <tableColumn id="14" xr3:uid="{00000000-0010-0000-0D00-00000E000000}" name="Fábrica testes 4" dataDxfId="59"/>
    <tableColumn id="15" xr3:uid="{00000000-0010-0000-0D00-00000F000000}" name="Fases do Ciclo de Vida / Artefatos 5" dataDxfId="58"/>
    <tableColumn id="16" xr3:uid="{00000000-0010-0000-0D00-000010000000}" name="Percentual 5" dataDxfId="57"/>
    <tableColumn id="17" xr3:uid="{00000000-0010-0000-0D00-000011000000}" name="Fábrica testes 5" dataDxfId="56"/>
    <tableColumn id="18" xr3:uid="{00000000-0010-0000-0D00-000012000000}" name="Fases do Ciclo de Vida / Artefatos 6" dataDxfId="55"/>
    <tableColumn id="19" xr3:uid="{00000000-0010-0000-0D00-000013000000}" name="Percentual 6" dataDxfId="54"/>
    <tableColumn id="20" xr3:uid="{00000000-0010-0000-0D00-000014000000}" name="Fábrica testes 6" dataDxfId="53"/>
    <tableColumn id="21" xr3:uid="{00000000-0010-0000-0D00-000015000000}" name="Fases do Ciclo de Vida / Artefatos 7" dataDxfId="52"/>
    <tableColumn id="22" xr3:uid="{00000000-0010-0000-0D00-000016000000}" name="Percentual 7" dataDxfId="51"/>
    <tableColumn id="23" xr3:uid="{00000000-0010-0000-0D00-000017000000}" name="Fábrica testes 7" dataDxfId="50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MapFasesFornecedores" displayName="MapFasesFornecedores" ref="Y2:AD27" totalsRowShown="0" headerRowDxfId="49" dataDxfId="48">
  <autoFilter ref="Y2:AD27" xr:uid="{00000000-0009-0000-0100-000003000000}"/>
  <tableColumns count="6">
    <tableColumn id="1" xr3:uid="{00000000-0010-0000-0E00-000001000000}" name="Fornecedor" dataDxfId="47">
      <calculatedColumnFormula>Parâmetros!E5</calculatedColumnFormula>
    </tableColumn>
    <tableColumn id="3" xr3:uid="{00000000-0010-0000-0E00-000003000000}" name="Descrição" dataDxfId="46"/>
    <tableColumn id="2" xr3:uid="{00000000-0010-0000-0E00-000002000000}" name="Percentual" dataDxfId="45"/>
    <tableColumn id="4" xr3:uid="{00000000-0010-0000-0E00-000004000000}" name="Fábrica testes" dataDxfId="44"/>
    <tableColumn id="5" xr3:uid="{00000000-0010-0000-0E00-000005000000}" name="Man Cosmetica Especial" dataDxfId="43"/>
    <tableColumn id="6" xr3:uid="{00000000-0010-0000-0E00-000006000000}" name="Variacao Gestao" dataDxfId="42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F000000}" name="ItensNaoFuncionais" displayName="ItensNaoFuncionais" ref="A2:H15" totalsRowShown="0" headerRowDxfId="41" dataDxfId="39" headerRowBorderDxfId="40" tableBorderDxfId="38" totalsRowBorderDxfId="37">
  <autoFilter ref="A2:H15" xr:uid="{00000000-0009-0000-0100-000009000000}"/>
  <sortState ref="A3:H13">
    <sortCondition ref="A2:A13"/>
  </sortState>
  <tableColumns count="8">
    <tableColumn id="2" xr3:uid="{00000000-0010-0000-0F00-000002000000}" name="Itens 1" dataDxfId="36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xr3:uid="{00000000-0010-0000-0F00-000001000000}" name="Descrição obrigatoria item 1?" dataDxfId="35"/>
    <tableColumn id="6" xr3:uid="{00000000-0010-0000-0F00-000006000000}" name="Fabrica Testes 1" dataDxfId="34"/>
    <tableColumn id="4" xr3:uid="{00000000-0010-0000-0F00-000004000000}" name="Lista 1" dataDxfId="33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xr3:uid="{00000000-0010-0000-0F00-000003000000}" name="Itens 2" dataDxfId="32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xr3:uid="{00000000-0010-0000-0F00-000005000000}" name="Descrição obrigatoria item 2?" dataDxfId="31"/>
    <tableColumn id="7" xr3:uid="{00000000-0010-0000-0F00-000007000000}" name="Fabrica Testes 2" dataDxfId="30"/>
    <tableColumn id="8" xr3:uid="{00000000-0010-0000-0F00-000008000000}" name="Lista 2" dataDxfId="29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0000000}" name="MapItensNFuncFornecedores" displayName="MapItensNFuncFornecedores" ref="K2:M27" totalsRowShown="0">
  <autoFilter ref="K2:M27" xr:uid="{00000000-0009-0000-0100-00000A000000}"/>
  <tableColumns count="3">
    <tableColumn id="1" xr3:uid="{00000000-0010-0000-1000-000001000000}" name="Fornecedor">
      <calculatedColumnFormula>Parâmetros!E5</calculatedColumnFormula>
    </tableColumn>
    <tableColumn id="2" xr3:uid="{00000000-0010-0000-1000-000002000000}" name="Itens" dataDxfId="28">
      <calculatedColumnFormula>ItensNaoFuncionais[[#Headers],[Itens 1]]</calculatedColumnFormula>
    </tableColumn>
    <tableColumn id="3" xr3:uid="{00000000-0010-0000-1000-000003000000}" name="Coluna obrigtório" dataDxfId="27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WrLnj2cTZcA4vowTnz1sTHbcoEN2rWV6ub2GO5tJHnA0paan/Ye8+/bFPe98i51w3xP8nd2mrCvNSEA64lWAiw==" saltValue="bl7tIlcekAFSb7z9S0k3x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B1:F44"/>
  <sheetViews>
    <sheetView showGridLines="0" showRowColHeaders="0" tabSelected="1" topLeftCell="A25" zoomScale="90" zoomScaleNormal="90" workbookViewId="0">
      <selection activeCell="C36" sqref="C36:D36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9" t="s">
        <v>25</v>
      </c>
      <c r="C2" s="429"/>
      <c r="D2" s="429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0" t="s">
        <v>143</v>
      </c>
      <c r="D4" s="431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4">
        <v>17711</v>
      </c>
      <c r="D6" s="435"/>
      <c r="E6" s="61"/>
      <c r="F6" s="161"/>
    </row>
    <row r="7" spans="2:6" ht="18" customHeight="1" x14ac:dyDescent="0.2">
      <c r="B7" s="189" t="s">
        <v>280</v>
      </c>
      <c r="C7" s="434">
        <v>24384</v>
      </c>
      <c r="D7" s="435"/>
      <c r="E7" s="61"/>
      <c r="F7" s="161"/>
    </row>
    <row r="8" spans="2:6" ht="54" customHeight="1" x14ac:dyDescent="0.2">
      <c r="B8" s="52" t="s">
        <v>21</v>
      </c>
      <c r="C8" s="436" t="s">
        <v>494</v>
      </c>
      <c r="D8" s="437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8" t="str">
        <f>IFERROR(VLOOKUP(Sistema,Produtividades[],COLUMN(Produtividades[[#Headers],[Contrato]])-1,FALSE),"")</f>
        <v>Uso comercial</v>
      </c>
      <c r="D11" s="439"/>
      <c r="F11" s="158"/>
    </row>
    <row r="12" spans="2:6" x14ac:dyDescent="0.2">
      <c r="F12" s="158"/>
    </row>
    <row r="13" spans="2:6" x14ac:dyDescent="0.2">
      <c r="B13" s="179" t="s">
        <v>271</v>
      </c>
      <c r="C13" s="438" t="s">
        <v>167</v>
      </c>
      <c r="D13" s="439"/>
      <c r="F13" s="158"/>
    </row>
    <row r="14" spans="2:6" x14ac:dyDescent="0.2">
      <c r="F14" s="158"/>
    </row>
    <row r="15" spans="2:6" x14ac:dyDescent="0.2">
      <c r="B15" s="53" t="s">
        <v>166</v>
      </c>
      <c r="C15" s="444" t="s">
        <v>96</v>
      </c>
      <c r="D15" s="445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6" t="s">
        <v>156</v>
      </c>
      <c r="D17" s="447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8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39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 ca="1">PontosFuncao[[#Totals],[PF]]</f>
        <v>29</v>
      </c>
      <c r="D22" s="23">
        <f ca="1">IF(Pontos_APF=0,0,IF(Contrato="Uso comercial",IF(Fornecedor="Accenture - Torre II",'Fases Contratadas'!$Q$19,$D$24*Pontos_APF/(Pontos_APF+Pontos_Analogia)),$D$24*Pontos_APF/(Pontos_APF+Pontos_Analogia)))</f>
        <v>541.41999999999996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 ca="1">Analogia[[#Totals],[Pontos]]</f>
        <v>1.5</v>
      </c>
      <c r="D23" s="23">
        <f ca="1">IF(Pontos_Analogia=0,0,IF(Contrato="Uso comercial",IF(Fornecedor="Accenture - Torre II",'Fases Contratadas'!$R$19,$D$24*Pontos_Analogia/(Pontos_APF+Pontos_Analogia)),$D$24*Pontos_Analogia/(Pontos_APF+Pontos_Analogia)))</f>
        <v>41.61</v>
      </c>
      <c r="E23" s="20" t="s">
        <v>47</v>
      </c>
      <c r="F23" s="5">
        <f ca="1">Analogia[[#Totals],[PF s/ Fator de Impacto]]</f>
        <v>6</v>
      </c>
    </row>
    <row r="24" spans="2:6" ht="18" customHeight="1" x14ac:dyDescent="0.2">
      <c r="B24" s="52" t="s">
        <v>72</v>
      </c>
      <c r="C24" s="380"/>
      <c r="D24" s="24">
        <f ca="1">ROUND(IF(RespostaContagem=Sim,MAX(EsforcoFases[[#Totals],[Esforço em Horas (calculado)]],EsforcoFases[[#Totals],[Esforço em Horas (preenchido)]]),0),2)</f>
        <v>583.03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0">
        <f ca="1">Horas_APF</f>
        <v>541.41999999999996</v>
      </c>
      <c r="D26" s="441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2" t="s">
        <v>24</v>
      </c>
      <c r="D28" s="443"/>
      <c r="E28" s="19"/>
      <c r="F28" s="19"/>
    </row>
    <row r="29" spans="2:6" ht="18" customHeight="1" x14ac:dyDescent="0.2">
      <c r="B29" s="52" t="s">
        <v>29</v>
      </c>
      <c r="C29" s="438">
        <f ca="1">ROUND(IF(RespostaContagem=Sim,Horas_HH_Total,Horas_HH_Total+EsforcoFases[[#Totals],[Esforço em Horas (preenchido)]]),2)</f>
        <v>446.73</v>
      </c>
      <c r="D29" s="439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185.36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2" t="e">
        <f ca="1">ROUND((Horas_APF+Horas_Analogia+Horas_HH+Horas_Gestao)*Flip,2)</f>
        <v>#VALUE!</v>
      </c>
      <c r="D34" s="433"/>
      <c r="E34" s="16"/>
      <c r="F34" s="16"/>
    </row>
    <row r="36" spans="2:6" x14ac:dyDescent="0.2">
      <c r="B36" s="53" t="s">
        <v>175</v>
      </c>
      <c r="C36" s="448">
        <f>VLOOKUP(Sistema,Produtividades[],COLUMN(Produtividades[[#Headers],[Taxa horária]])-1,FALSE)</f>
        <v>154.36000000000001</v>
      </c>
      <c r="D36" s="449"/>
    </row>
    <row r="38" spans="2:6" x14ac:dyDescent="0.2">
      <c r="B38" s="53" t="s">
        <v>179</v>
      </c>
      <c r="C38" s="448" t="e">
        <f ca="1">Horas_Total*Taxa_Horaria</f>
        <v>#VALUE!</v>
      </c>
      <c r="D38" s="449"/>
    </row>
    <row r="40" spans="2:6" x14ac:dyDescent="0.2">
      <c r="B40" s="53" t="s">
        <v>178</v>
      </c>
      <c r="C40" s="450"/>
      <c r="D40" s="451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4"/>
      <c r="D42" s="455"/>
    </row>
    <row r="44" spans="2:6" ht="15.75" x14ac:dyDescent="0.2">
      <c r="B44" s="53" t="s">
        <v>180</v>
      </c>
      <c r="C44" s="452" t="e">
        <f ca="1">Custo-Desconto</f>
        <v>#VALUE!</v>
      </c>
      <c r="D44" s="453"/>
    </row>
  </sheetData>
  <sheetProtection algorithmName="SHA-512" hashValue="ajENsuLNX8KuQZJObUOFv27mq3oNC2uxs9JOE9JjgbCNBws7qc4zr21iWpHPYnLD1wmeQ6ZbvyrurbiIpXyNbg==" saltValue="i/Bh4qNXRN9pUDKSKe6fmw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 xr:uid="{00000000-0002-0000-0100-000000000000}">
      <formula1>0</formula1>
      <formula2>1000000000</formula2>
    </dataValidation>
    <dataValidation type="list" allowBlank="1" showInputMessage="1" showErrorMessage="1" sqref="C15:D15" xr:uid="{00000000-0002-0000-0100-000001000000}">
      <formula1>INDIRECT($F$15)</formula1>
    </dataValidation>
    <dataValidation type="list" allowBlank="1" showInputMessage="1" showErrorMessage="1" error="Tem que selecionar um valor da lista disponível" sqref="C32" xr:uid="{00000000-0002-0000-0100-000002000000}">
      <formula1>Sim_Nao</formula1>
    </dataValidation>
    <dataValidation type="decimal" allowBlank="1" showInputMessage="1" showErrorMessage="1" error="O valor do desconto não pode ser superior ao custo" sqref="C40:D40" xr:uid="{00000000-0002-0000-0100-000003000000}">
      <formula1>0</formula1>
      <formula2>C38</formula2>
    </dataValidation>
    <dataValidation type="list" allowBlank="1" showInputMessage="1" showErrorMessage="1" error="Tem que selecionar um valor da lista disponível" sqref="C17:D17" xr:uid="{00000000-0002-0000-0100-000004000000}">
      <formula1>INDIRECT($F$17)</formula1>
    </dataValidation>
    <dataValidation type="list" allowBlank="1" showInputMessage="1" showErrorMessage="1" error="Tem que selecionar um valor da lista disponível" sqref="D9" xr:uid="{00000000-0002-0000-0100-000005000000}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 xr:uid="{00000000-0002-0000-0100-000006000000}">
      <formula1>0</formula1>
      <formula2>99999</formula2>
    </dataValidation>
    <dataValidation type="list" allowBlank="1" showInputMessage="1" showErrorMessage="1" sqref="C4:D4" xr:uid="{00000000-0002-0000-0100-000007000000}">
      <formula1>INDIRECT($F$4)</formula1>
    </dataValidation>
    <dataValidation type="list" allowBlank="1" showInputMessage="1" showErrorMessage="1" sqref="F32" xr:uid="{00000000-0002-0000-0100-000008000000}">
      <formula1>"&gt; 700 h,&lt; 700 h"</formula1>
    </dataValidation>
  </dataValidations>
  <hyperlinks>
    <hyperlink ref="E22" location="'Pontos de Função'!A1" display="&gt;&gt; Identificar PF - IFPUG" xr:uid="{00000000-0004-0000-0100-000000000000}"/>
    <hyperlink ref="E23" location="Analogia!A1" display="&gt;&gt; Identificar PF - Analogia" xr:uid="{00000000-0004-0000-0100-000001000000}"/>
    <hyperlink ref="E29" location="'Itens Não Funcionais'!A1" display="&gt;&gt; Identificar Itens Não Funcionais" xr:uid="{00000000-0004-0000-0100-000002000000}"/>
    <hyperlink ref="E19" location="Produtividade!B2" display="&gt;&gt; Ver Produtividades " xr:uid="{00000000-0004-0000-0100-000003000000}"/>
    <hyperlink ref="E24" location="'Fases Contratadas'!B2" display="&gt;&gt; Fases Contratadas" xr:uid="{00000000-0004-0000-0100-000004000000}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 xr:uid="{00000000-0002-0000-0100-000009000000}">
          <x14:formula1>
            <xm:f>Parâmetros!$I$5:$I$6</xm:f>
          </x14:formula1>
          <xm:sqref>C17:D17</xm:sqref>
        </x14:dataValidation>
        <x14:dataValidation type="list" allowBlank="1" showInputMessage="1" showErrorMessage="1" xr:uid="{00000000-0002-0000-0100-00000A000000}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1" sqref="B1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9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ht="63.75" x14ac:dyDescent="0.2">
      <c r="B7" s="268" t="s">
        <v>283</v>
      </c>
      <c r="C7" s="269" t="s">
        <v>495</v>
      </c>
      <c r="D7" s="270" t="s">
        <v>149</v>
      </c>
      <c r="E7" s="270" t="s">
        <v>57</v>
      </c>
      <c r="F7" s="270">
        <v>4</v>
      </c>
      <c r="G7" s="270">
        <v>9</v>
      </c>
      <c r="H7" s="412" t="s">
        <v>496</v>
      </c>
      <c r="I7" s="412" t="s">
        <v>497</v>
      </c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7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7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7" s="219" t="s">
        <v>523</v>
      </c>
      <c r="P7" s="272"/>
    </row>
    <row r="8" spans="2:16" s="271" customFormat="1" ht="76.5" x14ac:dyDescent="0.2">
      <c r="B8" s="268" t="s">
        <v>283</v>
      </c>
      <c r="C8" s="269" t="s">
        <v>498</v>
      </c>
      <c r="D8" s="270" t="s">
        <v>149</v>
      </c>
      <c r="E8" s="270" t="s">
        <v>55</v>
      </c>
      <c r="F8" s="270">
        <v>6</v>
      </c>
      <c r="G8" s="270">
        <v>4</v>
      </c>
      <c r="H8" s="412" t="s">
        <v>526</v>
      </c>
      <c r="I8" s="412" t="s">
        <v>499</v>
      </c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Média</v>
      </c>
      <c r="K8" s="218">
        <f ca="1">IF(PontosFuncao[[#This Row],[Tipo de Função]]="",0,INDEX(Pesos_IFPUG,MATCH(PontosFuncao[[#This Row],[Tipo de Função]],Pesos_IFPUG_Objetos,0),MATCH(PontosFuncao[[#This Row],[Complexidade]],Pesos_IFPUG_Complexidade,0)))</f>
        <v>4</v>
      </c>
      <c r="L8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83.44</v>
      </c>
      <c r="M8" s="219" t="s">
        <v>527</v>
      </c>
      <c r="P8" s="272" t="s">
        <v>258</v>
      </c>
    </row>
    <row r="9" spans="2:16" s="271" customFormat="1" ht="51" x14ac:dyDescent="0.2">
      <c r="B9" s="268" t="s">
        <v>283</v>
      </c>
      <c r="C9" s="269" t="s">
        <v>500</v>
      </c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 t="s">
        <v>524</v>
      </c>
      <c r="P9" s="272" t="s">
        <v>259</v>
      </c>
    </row>
    <row r="10" spans="2:16" s="271" customFormat="1" ht="51" x14ac:dyDescent="0.2">
      <c r="B10" s="268" t="s">
        <v>283</v>
      </c>
      <c r="C10" s="269" t="s">
        <v>501</v>
      </c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 t="s">
        <v>525</v>
      </c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ht="51" x14ac:dyDescent="0.2">
      <c r="B14" s="268" t="s">
        <v>283</v>
      </c>
      <c r="C14" s="269" t="s">
        <v>502</v>
      </c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 t="s">
        <v>529</v>
      </c>
    </row>
    <row r="15" spans="2:16" s="271" customFormat="1" ht="63.75" x14ac:dyDescent="0.2">
      <c r="B15" s="268" t="s">
        <v>283</v>
      </c>
      <c r="C15" s="269" t="s">
        <v>505</v>
      </c>
      <c r="D15" s="270" t="s">
        <v>149</v>
      </c>
      <c r="E15" s="270" t="s">
        <v>55</v>
      </c>
      <c r="F15" s="270">
        <v>3</v>
      </c>
      <c r="G15" s="270">
        <v>10</v>
      </c>
      <c r="H15" s="412" t="s">
        <v>506</v>
      </c>
      <c r="I15" s="412" t="s">
        <v>507</v>
      </c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5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15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15" s="219" t="s">
        <v>514</v>
      </c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ht="293.25" x14ac:dyDescent="0.2">
      <c r="B18" s="268" t="s">
        <v>283</v>
      </c>
      <c r="C18" s="269" t="s">
        <v>508</v>
      </c>
      <c r="D18" s="270" t="s">
        <v>149</v>
      </c>
      <c r="E18" s="270" t="s">
        <v>55</v>
      </c>
      <c r="F18" s="270">
        <v>6</v>
      </c>
      <c r="G18" s="270">
        <v>47</v>
      </c>
      <c r="H18" s="412" t="s">
        <v>509</v>
      </c>
      <c r="I18" s="412" t="s">
        <v>510</v>
      </c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8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18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18" s="219" t="s">
        <v>515</v>
      </c>
    </row>
    <row r="19" spans="2:13" s="271" customFormat="1" ht="306" x14ac:dyDescent="0.2">
      <c r="B19" s="268" t="s">
        <v>283</v>
      </c>
      <c r="C19" s="269" t="s">
        <v>511</v>
      </c>
      <c r="D19" s="270" t="s">
        <v>149</v>
      </c>
      <c r="E19" s="270" t="s">
        <v>53</v>
      </c>
      <c r="F19" s="270">
        <v>1</v>
      </c>
      <c r="G19" s="270">
        <v>47</v>
      </c>
      <c r="H19" s="412" t="s">
        <v>512</v>
      </c>
      <c r="I19" s="412" t="s">
        <v>513</v>
      </c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9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19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19" s="219" t="s">
        <v>516</v>
      </c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ht="15" x14ac:dyDescent="0.25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 ca="1">SUBTOTAL(109,PontosFuncao[PF])</f>
        <v>29</v>
      </c>
      <c r="L27" s="359">
        <f ca="1">SUBTOTAL(109,PontosFuncao[Esforço])</f>
        <v>604.93999999999994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T2y+bK0vUFIpuI9lXfF08Byqr3RT+MUUjwNPAu5wgT1fpZdJz4S7s6ckuH9wBOU9KHEp7bcqeUnLioYi0mj0iw==" saltValue="Kh3y7pSZFVc3FcTtcoxl7Q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 xr:uid="{00000000-0002-0000-0200-000000000000}">
      <formula1>INDIRECT($P$8)</formula1>
    </dataValidation>
    <dataValidation type="list" allowBlank="1" showInputMessage="1" showErrorMessage="1" error="Tem que selecionar um valor da lista disponível" sqref="E7:E26" xr:uid="{00000000-0002-0000-0200-000001000000}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 xr:uid="{00000000-0002-0000-0200-000002000000}">
      <formula1>0</formula1>
    </dataValidation>
    <dataValidation type="whole" operator="greaterThan" allowBlank="1" showDropDown="1" showInputMessage="1" showErrorMessage="1" errorTitle="Valores Válidos" error="Célula aceita apenas números inteiros." sqref="G7:G26" xr:uid="{00000000-0002-0000-0200-000003000000}">
      <formula1>0</formula1>
    </dataValidation>
    <dataValidation operator="greaterThan" allowBlank="1" showDropDown="1" showInputMessage="1" showErrorMessage="1" errorTitle="Valores Válidos" error="Célula aceita apenas números inteiros." sqref="H7:I26" xr:uid="{00000000-0002-0000-0200-000004000000}"/>
    <dataValidation allowBlank="1" showInputMessage="1" showErrorMessage="1" error="Tem que selecionar um valor da lista disponível" sqref="J7:J26" xr:uid="{00000000-0002-0000-0200-000005000000}"/>
  </dataValidations>
  <hyperlinks>
    <hyperlink ref="M3" location="Resumo!C15" display="&lt;&lt; Voltar para RESUMO" xr:uid="{00000000-0004-0000-0200-000000000000}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 xr:uid="{00000000-0002-0000-0200-000006000000}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 xr:uid="{00000000-0002-0000-0200-000007000000}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A8" sqref="A8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9" t="s">
        <v>71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ht="89.25" x14ac:dyDescent="0.2">
      <c r="B7" s="223"/>
      <c r="C7" s="269" t="s">
        <v>355</v>
      </c>
      <c r="D7" s="269" t="s">
        <v>502</v>
      </c>
      <c r="E7" s="270" t="s">
        <v>149</v>
      </c>
      <c r="F7" s="270" t="s">
        <v>55</v>
      </c>
      <c r="G7" s="270">
        <v>3</v>
      </c>
      <c r="H7" s="270">
        <v>11</v>
      </c>
      <c r="I7" s="412" t="s">
        <v>503</v>
      </c>
      <c r="J7" s="412" t="s">
        <v>504</v>
      </c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>Alta</v>
      </c>
      <c r="L7" s="358">
        <f ca="1">IF(Analogia[[#This Row],[Tipo de Função]]="",0,INDEX(Pesos_IFPUG,MATCH(Analogia[[#This Row],[Tipo de Função]],Pesos_IFPUG_Objetos,0),MATCH(Analogia[[#This Row],[Complexidade]],Pesos_IFPUG_Complexidade,0)))</f>
        <v>6</v>
      </c>
      <c r="M7" s="218">
        <f ca="1">ROUND(IF(Analogia[[#This Row],[Tipo de Função]]="",0,Analogia[[#This Row],[PF s/ Fator de Impacto]]*VLOOKUP(Analogia[[#This Row],[Analogia]],FatoresAjuste_Analogia_[],2,FALSE)),2)</f>
        <v>1.5</v>
      </c>
      <c r="N7" s="358">
        <f ca="1"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31.29</v>
      </c>
      <c r="O7" s="358">
        <f ca="1"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125.16</v>
      </c>
      <c r="P7" s="219" t="s">
        <v>528</v>
      </c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ht="15" x14ac:dyDescent="0.25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 ca="1">SUBTOTAL(109,Analogia[PF s/ Fator de Impacto])</f>
        <v>6</v>
      </c>
      <c r="M27" s="205">
        <f ca="1">SUBTOTAL(109,Analogia[Pontos])</f>
        <v>1.5</v>
      </c>
      <c r="N27" s="359">
        <f ca="1">SUBTOTAL(109,Analogia[Esforço com Impacto])</f>
        <v>31.29</v>
      </c>
      <c r="O27" s="359">
        <f ca="1">SUBTOTAL(109,Analogia[Esforço sem Impacto])</f>
        <v>125.16</v>
      </c>
      <c r="P27" s="273"/>
    </row>
  </sheetData>
  <sheetProtection algorithmName="SHA-512" hashValue="9wVIRjUTGsHIZLIOG9GhpodCt0lUtPIS6gBSQ2I1nG8QYCnSwnpnRttXrK5whhb1joO7CbZLzlBKOvuPYy31GA==" saltValue="ZvjaTiXF2cZ2uTq9fH7nzg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 xr:uid="{00000000-0002-0000-0300-000000000000}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 xr:uid="{00000000-0002-0000-0300-000001000000}">
      <formula1>0</formula1>
    </dataValidation>
    <dataValidation operator="greaterThan" allowBlank="1" showDropDown="1" showInputMessage="1" showErrorMessage="1" errorTitle="Valores Válidos" error="Célula aceita apenas números inteiros." sqref="I7:J26" xr:uid="{00000000-0002-0000-0300-000002000000}"/>
    <dataValidation type="list" allowBlank="1" showInputMessage="1" showErrorMessage="1" error="Tem que selecionar um valor da lista disponível" sqref="C7:C26" xr:uid="{00000000-0002-0000-0300-000003000000}">
      <formula1>INDIRECT($S$7)</formula1>
    </dataValidation>
    <dataValidation type="list" allowBlank="1" showInputMessage="1" showErrorMessage="1" error="Tem que selecionar um valor da lista disponível" sqref="E7:E26" xr:uid="{00000000-0002-0000-0300-000004000000}">
      <formula1>INDIRECT($S$8)</formula1>
    </dataValidation>
    <dataValidation type="list" allowBlank="1" showInputMessage="1" showErrorMessage="1" error="Tem que selecionar um valor da lista disponível" sqref="F7:F26" xr:uid="{00000000-0002-0000-0300-000005000000}">
      <formula1>INDIRECT($S$9)</formula1>
    </dataValidation>
  </dataValidations>
  <hyperlinks>
    <hyperlink ref="P3" location="Resumo!C15" display="&lt;&lt; Voltar para RESUMO" xr:uid="{00000000-0004-0000-0300-000000000000}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 xr:uid="{00000000-0002-0000-0300-000006000000}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 xr:uid="{00000000-0002-0000-0300-000007000000}">
          <x14:formula1>
            <xm:f>Parâmetros!$F$5:$F$7</xm:f>
          </x14:formula1>
          <xm:sqref>E7:E26</xm:sqref>
        </x14:dataValidation>
        <x14:dataValidation type="list" allowBlank="1" showInputMessage="1" showErrorMessage="1" xr:uid="{00000000-0002-0000-0300-000008000000}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9" t="s">
        <v>98</v>
      </c>
      <c r="D2" s="429"/>
      <c r="E2" s="429"/>
      <c r="F2" s="429"/>
      <c r="G2" s="429"/>
      <c r="H2" s="429"/>
      <c r="I2" s="429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Niw4dPL4SmSQUOJMEQIxjwSSml79XXhOwaCrkKJ2AaoF4esESJGhg6FSE8dYsXBCXX353QnOhAQuHU5TuPSgXw==" saltValue="tTt5bPeZRAYcs+x200gwX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 xr:uid="{00000000-0002-0000-0400-000000000000}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410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aecigINji3423qR3xsqSzPOvqCPckKX4Gemstdjpto7Jm8fITBWsf3M1HODD4PS7rKnI/TMF/wzxa7kSCkV4+w==" saltValue="vCN5X+M3mSLnHi4sP2SwN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 xr:uid="{00000000-0002-0000-0500-000000000000}">
      <formula1>IF($I$10=Sim,Nao,Sim_Nao)</formula1>
    </dataValidation>
    <dataValidation type="decimal" allowBlank="1" showInputMessage="1" showErrorMessage="1" errorTitle="Somente números." error="Deve ser informada a quantidade de horas." sqref="D11:D37" xr:uid="{00000000-0002-0000-0500-000001000000}">
      <formula1>0</formula1>
      <formula2>1000000</formula2>
    </dataValidation>
    <dataValidation type="list" allowBlank="1" showInputMessage="1" showErrorMessage="1" sqref="F11:F37" xr:uid="{00000000-0002-0000-0500-000002000000}">
      <formula1>"I,A,E"</formula1>
    </dataValidation>
    <dataValidation type="list" allowBlank="1" showInputMessage="1" showErrorMessage="1" sqref="G11:G37" xr:uid="{00000000-0002-0000-0500-000003000000}">
      <formula1>"SE,CE,EE,ALI,AIE"</formula1>
    </dataValidation>
    <dataValidation type="list" allowBlank="1" showInputMessage="1" showErrorMessage="1" sqref="H11:H37" xr:uid="{00000000-0002-0000-0500-000004000000}">
      <formula1>$N$11:$N$15</formula1>
    </dataValidation>
    <dataValidation allowBlank="1" showInputMessage="1" showErrorMessage="1" errorTitle="Somente números." error="Deve ser informada a quantidade de horas." sqref="E11:E37" xr:uid="{00000000-0002-0000-0500-000005000000}"/>
    <dataValidation type="list" allowBlank="1" showInputMessage="1" showErrorMessage="1" sqref="K10:L10" xr:uid="{00000000-0002-0000-0500-000006000000}">
      <formula1>"Sim,Não"</formula1>
    </dataValidation>
    <dataValidation type="list" allowBlank="1" showInputMessage="1" showErrorMessage="1" sqref="I10" xr:uid="{00000000-0002-0000-0500-000007000000}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411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lHqR0XEwLAMZYAAvkYr2W7O3AYePvpT8lL3kwXM+FZwr6Ep9bqENnLaAzBtjCTrusyDiLGgB6KSfKRT8r6fvPg==" saltValue="o7TBbCLeRNT/4K+BYPvvrQ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 xr:uid="{00000000-0002-0000-0600-000000000000}">
      <formula1>IF($J$10=Sim,Nao,Sim_Nao)</formula1>
    </dataValidation>
    <dataValidation type="list" allowBlank="1" showInputMessage="1" showErrorMessage="1" sqref="H11:H36" xr:uid="{00000000-0002-0000-0600-000001000000}">
      <formula1>$N$11:$N$15</formula1>
    </dataValidation>
    <dataValidation type="list" allowBlank="1" showInputMessage="1" showErrorMessage="1" sqref="G11:G36" xr:uid="{00000000-0002-0000-0600-000002000000}">
      <formula1>"SE,CE,EE,ALI,AIE"</formula1>
    </dataValidation>
    <dataValidation type="list" allowBlank="1" showInputMessage="1" showErrorMessage="1" sqref="F11:F36" xr:uid="{00000000-0002-0000-0600-000003000000}">
      <formula1>"I,A,E"</formula1>
    </dataValidation>
    <dataValidation type="list" allowBlank="1" showInputMessage="1" showErrorMessage="1" sqref="J10" xr:uid="{00000000-0002-0000-0600-000004000000}">
      <formula1>IF($I$10=Sim,Nao,Sim_Nao)</formula1>
    </dataValidation>
    <dataValidation type="list" allowBlank="1" showInputMessage="1" showErrorMessage="1" sqref="K10:L10" xr:uid="{00000000-0002-0000-0600-000005000000}">
      <formula1>"Sim,Não"</formula1>
    </dataValidation>
    <dataValidation type="decimal" allowBlank="1" showInputMessage="1" showErrorMessage="1" errorTitle="Somente números." error="Deve ser informada a quantidade de horas." sqref="D7:E7 D11:D36" xr:uid="{00000000-0002-0000-0600-000006000000}">
      <formula1>0</formula1>
      <formula2>1000000</formula2>
    </dataValidation>
    <dataValidation allowBlank="1" showInputMessage="1" showErrorMessage="1" errorTitle="Somente números." error="Deve ser informada a quantidade de horas." sqref="E11:E36" xr:uid="{00000000-0002-0000-0600-000007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47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7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0"/>
      <c r="M11" s="501"/>
      <c r="N11" s="346" t="str">
        <f t="shared" ref="N11:N28" si="0">IF(L11="","",$AC$12&amp;L11)</f>
        <v/>
      </c>
      <c r="O11" s="500"/>
      <c r="P11" s="501"/>
      <c r="Q11" s="346" t="str">
        <f t="shared" ref="Q11:Q27" si="1">IF(O11="","",$AC$15&amp;O11)</f>
        <v/>
      </c>
      <c r="R11" s="500"/>
      <c r="S11" s="502"/>
      <c r="T11" s="50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ref="Q28:Q38" si="13">IF(O28="","",$AC$15&amp;O28)</f>
        <v/>
      </c>
      <c r="R28" s="500"/>
      <c r="S28" s="502"/>
      <c r="T28" s="50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0"/>
      <c r="M29" s="501"/>
      <c r="N29" s="346" t="str">
        <f t="shared" ref="N29:N40" si="14">IF(L29="","",$AC$12&amp;L29)</f>
        <v/>
      </c>
      <c r="O29" s="500"/>
      <c r="P29" s="501"/>
      <c r="Q29" s="346" t="str">
        <f t="shared" si="13"/>
        <v/>
      </c>
      <c r="R29" s="500"/>
      <c r="S29" s="502"/>
      <c r="T29" s="50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0"/>
      <c r="M30" s="501"/>
      <c r="N30" s="346" t="str">
        <f t="shared" si="14"/>
        <v/>
      </c>
      <c r="O30" s="500"/>
      <c r="P30" s="501"/>
      <c r="Q30" s="346" t="str">
        <f t="shared" si="13"/>
        <v/>
      </c>
      <c r="R30" s="500"/>
      <c r="S30" s="502"/>
      <c r="T30" s="50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0"/>
      <c r="M31" s="501"/>
      <c r="N31" s="346" t="str">
        <f t="shared" si="14"/>
        <v/>
      </c>
      <c r="O31" s="500"/>
      <c r="P31" s="501"/>
      <c r="Q31" s="346" t="str">
        <f t="shared" si="13"/>
        <v/>
      </c>
      <c r="R31" s="500"/>
      <c r="S31" s="502"/>
      <c r="T31" s="50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0"/>
      <c r="M32" s="501"/>
      <c r="N32" s="346" t="str">
        <f t="shared" si="14"/>
        <v/>
      </c>
      <c r="O32" s="500"/>
      <c r="P32" s="501"/>
      <c r="Q32" s="346" t="str">
        <f t="shared" si="13"/>
        <v/>
      </c>
      <c r="R32" s="500"/>
      <c r="S32" s="502"/>
      <c r="T32" s="50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0"/>
      <c r="M33" s="501"/>
      <c r="N33" s="346" t="str">
        <f t="shared" si="14"/>
        <v/>
      </c>
      <c r="O33" s="500"/>
      <c r="P33" s="501"/>
      <c r="Q33" s="346" t="str">
        <f t="shared" si="13"/>
        <v/>
      </c>
      <c r="R33" s="500"/>
      <c r="S33" s="502"/>
      <c r="T33" s="50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0"/>
      <c r="M34" s="501"/>
      <c r="N34" s="346" t="str">
        <f t="shared" si="14"/>
        <v/>
      </c>
      <c r="O34" s="500"/>
      <c r="P34" s="501"/>
      <c r="Q34" s="346" t="str">
        <f t="shared" si="13"/>
        <v/>
      </c>
      <c r="R34" s="500"/>
      <c r="S34" s="502"/>
      <c r="T34" s="50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0"/>
      <c r="M35" s="501"/>
      <c r="N35" s="346" t="str">
        <f t="shared" si="14"/>
        <v/>
      </c>
      <c r="O35" s="500"/>
      <c r="P35" s="501"/>
      <c r="Q35" s="346" t="str">
        <f t="shared" si="13"/>
        <v/>
      </c>
      <c r="R35" s="500"/>
      <c r="S35" s="502"/>
      <c r="T35" s="50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0"/>
      <c r="M36" s="501"/>
      <c r="N36" s="346" t="str">
        <f t="shared" si="14"/>
        <v/>
      </c>
      <c r="O36" s="500"/>
      <c r="P36" s="501"/>
      <c r="Q36" s="346" t="str">
        <f t="shared" si="13"/>
        <v/>
      </c>
      <c r="R36" s="500"/>
      <c r="S36" s="502"/>
      <c r="T36" s="50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0"/>
      <c r="M37" s="501"/>
      <c r="N37" s="346" t="str">
        <f t="shared" si="14"/>
        <v/>
      </c>
      <c r="O37" s="500"/>
      <c r="P37" s="501"/>
      <c r="Q37" s="346" t="str">
        <f t="shared" si="13"/>
        <v/>
      </c>
      <c r="R37" s="500"/>
      <c r="S37" s="502"/>
      <c r="T37" s="50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0"/>
      <c r="M38" s="501"/>
      <c r="N38" s="346" t="str">
        <f t="shared" si="14"/>
        <v/>
      </c>
      <c r="O38" s="500"/>
      <c r="P38" s="501"/>
      <c r="Q38" s="346" t="str">
        <f t="shared" si="13"/>
        <v/>
      </c>
      <c r="R38" s="500"/>
      <c r="S38" s="502"/>
      <c r="T38" s="50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0"/>
      <c r="M39" s="501"/>
      <c r="N39" s="346" t="str">
        <f t="shared" si="14"/>
        <v/>
      </c>
      <c r="O39" s="500"/>
      <c r="P39" s="501"/>
      <c r="Q39" s="346" t="str">
        <f t="shared" ref="Q39:Q50" si="16">IF(O39="","",$AC$15&amp;O39)</f>
        <v/>
      </c>
      <c r="R39" s="500"/>
      <c r="S39" s="502"/>
      <c r="T39" s="50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0"/>
      <c r="M40" s="501"/>
      <c r="N40" s="346" t="str">
        <f t="shared" si="14"/>
        <v/>
      </c>
      <c r="O40" s="500"/>
      <c r="P40" s="501"/>
      <c r="Q40" s="346" t="str">
        <f t="shared" si="16"/>
        <v/>
      </c>
      <c r="R40" s="500"/>
      <c r="S40" s="502"/>
      <c r="T40" s="50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0"/>
      <c r="M41" s="501"/>
      <c r="N41" s="346" t="str">
        <f t="shared" ref="N41:N50" si="17">IF(L41="","",$AC$12&amp;L41)</f>
        <v/>
      </c>
      <c r="O41" s="500"/>
      <c r="P41" s="501"/>
      <c r="Q41" s="346" t="str">
        <f t="shared" si="16"/>
        <v/>
      </c>
      <c r="R41" s="500"/>
      <c r="S41" s="502"/>
      <c r="T41" s="50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0"/>
      <c r="M42" s="501"/>
      <c r="N42" s="346" t="str">
        <f t="shared" si="17"/>
        <v/>
      </c>
      <c r="O42" s="500"/>
      <c r="P42" s="501"/>
      <c r="Q42" s="346" t="str">
        <f t="shared" si="16"/>
        <v/>
      </c>
      <c r="R42" s="500"/>
      <c r="S42" s="502"/>
      <c r="T42" s="50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0"/>
      <c r="M43" s="501"/>
      <c r="N43" s="346" t="str">
        <f t="shared" si="17"/>
        <v/>
      </c>
      <c r="O43" s="500"/>
      <c r="P43" s="501"/>
      <c r="Q43" s="346" t="str">
        <f t="shared" si="16"/>
        <v/>
      </c>
      <c r="R43" s="500"/>
      <c r="S43" s="502"/>
      <c r="T43" s="50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0"/>
      <c r="M44" s="501"/>
      <c r="N44" s="346" t="str">
        <f t="shared" si="17"/>
        <v/>
      </c>
      <c r="O44" s="500"/>
      <c r="P44" s="501"/>
      <c r="Q44" s="346" t="str">
        <f t="shared" si="16"/>
        <v/>
      </c>
      <c r="R44" s="500"/>
      <c r="S44" s="502"/>
      <c r="T44" s="50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0"/>
      <c r="M45" s="501"/>
      <c r="N45" s="346" t="str">
        <f t="shared" si="17"/>
        <v/>
      </c>
      <c r="O45" s="500"/>
      <c r="P45" s="501"/>
      <c r="Q45" s="346" t="str">
        <f t="shared" si="16"/>
        <v/>
      </c>
      <c r="R45" s="500"/>
      <c r="S45" s="502"/>
      <c r="T45" s="50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0"/>
      <c r="M46" s="501"/>
      <c r="N46" s="346" t="str">
        <f t="shared" si="17"/>
        <v/>
      </c>
      <c r="O46" s="500"/>
      <c r="P46" s="501"/>
      <c r="Q46" s="346" t="str">
        <f t="shared" si="16"/>
        <v/>
      </c>
      <c r="R46" s="500"/>
      <c r="S46" s="502"/>
      <c r="T46" s="50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0"/>
      <c r="M47" s="501"/>
      <c r="N47" s="346" t="str">
        <f t="shared" si="17"/>
        <v/>
      </c>
      <c r="O47" s="500"/>
      <c r="P47" s="501"/>
      <c r="Q47" s="346" t="str">
        <f t="shared" si="16"/>
        <v/>
      </c>
      <c r="R47" s="500"/>
      <c r="S47" s="502"/>
      <c r="T47" s="50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0"/>
      <c r="M48" s="501"/>
      <c r="N48" s="346" t="str">
        <f t="shared" si="17"/>
        <v/>
      </c>
      <c r="O48" s="500"/>
      <c r="P48" s="501"/>
      <c r="Q48" s="346" t="str">
        <f t="shared" si="16"/>
        <v/>
      </c>
      <c r="R48" s="500"/>
      <c r="S48" s="502"/>
      <c r="T48" s="50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0"/>
      <c r="M49" s="501"/>
      <c r="N49" s="346" t="str">
        <f t="shared" si="17"/>
        <v/>
      </c>
      <c r="O49" s="500"/>
      <c r="P49" s="501"/>
      <c r="Q49" s="346" t="str">
        <f t="shared" si="16"/>
        <v/>
      </c>
      <c r="R49" s="500"/>
      <c r="S49" s="502"/>
      <c r="T49" s="50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0"/>
      <c r="M50" s="501"/>
      <c r="N50" s="346" t="str">
        <f t="shared" si="17"/>
        <v/>
      </c>
      <c r="O50" s="500"/>
      <c r="P50" s="501"/>
      <c r="Q50" s="346" t="str">
        <f t="shared" si="16"/>
        <v/>
      </c>
      <c r="R50" s="500"/>
      <c r="S50" s="502"/>
      <c r="T50" s="50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3"/>
      <c r="M51" s="504"/>
      <c r="N51" s="346" t="str">
        <f t="shared" ref="N51" si="18">IF(AND(L51&lt;&gt;"",M51&lt;&gt;""),CONCATENATE($AC$12,L51,M51),"")</f>
        <v/>
      </c>
      <c r="O51" s="503"/>
      <c r="P51" s="504"/>
      <c r="Q51" s="346" t="str">
        <f t="shared" ref="Q51" si="19">IF(AND(O51&lt;&gt;"",P51&lt;&gt;""),CONCATENATE($AC$15,O51,P51),"")</f>
        <v/>
      </c>
      <c r="R51" s="503"/>
      <c r="S51" s="505"/>
      <c r="T51" s="504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7TibW1SLke+dy1NUPozYtAjnFIvMWM1utFmirHZy4CiyAJj7osEuuiK3vFHWhNnS4oFhIs/0nDsLL6pYja5CQ==" saltValue="ZDNOLArzn+UKPLVUsH4f0g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 xr:uid="{00000000-0002-0000-0700-000000000000}"/>
    <dataValidation operator="greaterThan" allowBlank="1" showDropDown="1" showInputMessage="1" showErrorMessage="1" errorTitle="Valores Válidos" error="Célula aceita apenas números inteiros." sqref="H10:I50" xr:uid="{00000000-0002-0000-0700-000001000000}"/>
    <dataValidation type="whole" operator="greaterThan" allowBlank="1" showDropDown="1" showInputMessage="1" showErrorMessage="1" errorTitle="Valores Válidos" error="Célula aceita apenas números inteiros." sqref="G10:G50" xr:uid="{00000000-0002-0000-0700-000002000000}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 xr:uid="{00000000-0002-0000-0700-000003000000}">
      <formula1>0</formula1>
    </dataValidation>
    <dataValidation type="list" allowBlank="1" showInputMessage="1" showErrorMessage="1" error="Tem que selecionar um valor da lista disponível" sqref="E11:E36" xr:uid="{00000000-0002-0000-0700-000004000000}">
      <formula1>INDIRECT($AN$13)</formula1>
    </dataValidation>
    <dataValidation type="list" allowBlank="1" showInputMessage="1" showErrorMessage="1" error="Tem que selecionar um valor da lista disponível" sqref="D11:D36" xr:uid="{00000000-0002-0000-0700-000005000000}">
      <formula1>INDIRECT($AN$12)</formula1>
    </dataValidation>
    <dataValidation type="list" allowBlank="1" showInputMessage="1" showErrorMessage="1" sqref="Z10" xr:uid="{00000000-0002-0000-0700-000006000000}">
      <formula1>"Sim,Não"</formula1>
    </dataValidation>
    <dataValidation type="list" allowBlank="1" showInputMessage="1" showErrorMessage="1" sqref="L11:M50 O11:P50" xr:uid="{00000000-0002-0000-0700-000007000000}">
      <formula1>$AC$32:$AC$34</formula1>
    </dataValidation>
    <dataValidation type="list" allowBlank="1" showInputMessage="1" showErrorMessage="1" sqref="R11:T50" xr:uid="{00000000-0002-0000-0700-000008000000}">
      <formula1>$AC$37:$AC$45</formula1>
    </dataValidation>
    <dataValidation type="list" allowBlank="1" showInputMessage="1" showErrorMessage="1" sqref="W10" xr:uid="{00000000-0002-0000-0700-000009000000}">
      <formula1>IF($X$10=Sim,Nao,Sim_Nao)</formula1>
    </dataValidation>
    <dataValidation type="list" allowBlank="1" showInputMessage="1" showErrorMessage="1" sqref="X10" xr:uid="{00000000-0002-0000-0700-00000A000000}">
      <formula1>IF($W$10=Sim,Nao,Sim_Nao)</formula1>
    </dataValidation>
    <dataValidation type="list" allowBlank="1" showInputMessage="1" showErrorMessage="1" sqref="Y10" xr:uid="{00000000-0002-0000-0700-00000B000000}">
      <formula1>"Sim,Não"</formula1>
    </dataValidation>
  </dataValidations>
  <hyperlinks>
    <hyperlink ref="L3" location="Resumo!C15" display="&lt;&lt; Voltar para RESUMO" xr:uid="{00000000-0004-0000-0700-000000000000}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 xr:uid="{00000000-0002-0000-0700-00000C000000}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 xr:uid="{00000000-0002-0000-0700-00000D000000}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0"/>
      <c r="M11" s="501"/>
      <c r="N11" s="346" t="str">
        <f t="shared" ref="N11:N50" si="0">IF(L11="","",$AC$12&amp;L11)</f>
        <v/>
      </c>
      <c r="O11" s="500"/>
      <c r="P11" s="501"/>
      <c r="Q11" s="346" t="str">
        <f t="shared" ref="Q11:Q50" si="1">IF(O11="","",$AC$15&amp;O11)</f>
        <v/>
      </c>
      <c r="R11" s="500"/>
      <c r="S11" s="502"/>
      <c r="T11" s="50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si="1"/>
        <v/>
      </c>
      <c r="R28" s="500"/>
      <c r="S28" s="502"/>
      <c r="T28" s="50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0"/>
      <c r="M29" s="501"/>
      <c r="N29" s="346" t="str">
        <f t="shared" si="0"/>
        <v/>
      </c>
      <c r="O29" s="500"/>
      <c r="P29" s="501"/>
      <c r="Q29" s="346" t="str">
        <f t="shared" si="1"/>
        <v/>
      </c>
      <c r="R29" s="500"/>
      <c r="S29" s="502"/>
      <c r="T29" s="50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0"/>
      <c r="M30" s="501"/>
      <c r="N30" s="346" t="str">
        <f t="shared" si="0"/>
        <v/>
      </c>
      <c r="O30" s="500"/>
      <c r="P30" s="501"/>
      <c r="Q30" s="346" t="str">
        <f t="shared" si="1"/>
        <v/>
      </c>
      <c r="R30" s="500"/>
      <c r="S30" s="502"/>
      <c r="T30" s="50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0"/>
      <c r="M31" s="501"/>
      <c r="N31" s="346" t="str">
        <f t="shared" si="0"/>
        <v/>
      </c>
      <c r="O31" s="500"/>
      <c r="P31" s="501"/>
      <c r="Q31" s="346" t="str">
        <f t="shared" si="1"/>
        <v/>
      </c>
      <c r="R31" s="500"/>
      <c r="S31" s="502"/>
      <c r="T31" s="50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0"/>
      <c r="M32" s="501"/>
      <c r="N32" s="346" t="str">
        <f t="shared" si="0"/>
        <v/>
      </c>
      <c r="O32" s="500"/>
      <c r="P32" s="501"/>
      <c r="Q32" s="346" t="str">
        <f t="shared" si="1"/>
        <v/>
      </c>
      <c r="R32" s="500"/>
      <c r="S32" s="502"/>
      <c r="T32" s="50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0"/>
      <c r="M33" s="501"/>
      <c r="N33" s="346" t="str">
        <f t="shared" si="0"/>
        <v/>
      </c>
      <c r="O33" s="500"/>
      <c r="P33" s="501"/>
      <c r="Q33" s="346" t="str">
        <f t="shared" si="1"/>
        <v/>
      </c>
      <c r="R33" s="500"/>
      <c r="S33" s="502"/>
      <c r="T33" s="50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0"/>
      <c r="M34" s="501"/>
      <c r="N34" s="346" t="str">
        <f t="shared" si="0"/>
        <v/>
      </c>
      <c r="O34" s="500"/>
      <c r="P34" s="501"/>
      <c r="Q34" s="346" t="str">
        <f t="shared" si="1"/>
        <v/>
      </c>
      <c r="R34" s="500"/>
      <c r="S34" s="502"/>
      <c r="T34" s="50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0"/>
      <c r="M35" s="501"/>
      <c r="N35" s="346" t="str">
        <f t="shared" si="0"/>
        <v/>
      </c>
      <c r="O35" s="500"/>
      <c r="P35" s="501"/>
      <c r="Q35" s="346" t="str">
        <f t="shared" si="1"/>
        <v/>
      </c>
      <c r="R35" s="500"/>
      <c r="S35" s="502"/>
      <c r="T35" s="50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0"/>
      <c r="M36" s="501"/>
      <c r="N36" s="346" t="str">
        <f t="shared" si="0"/>
        <v/>
      </c>
      <c r="O36" s="500"/>
      <c r="P36" s="501"/>
      <c r="Q36" s="346" t="str">
        <f t="shared" si="1"/>
        <v/>
      </c>
      <c r="R36" s="500"/>
      <c r="S36" s="502"/>
      <c r="T36" s="50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0"/>
      <c r="M37" s="501"/>
      <c r="N37" s="346" t="str">
        <f t="shared" si="0"/>
        <v/>
      </c>
      <c r="O37" s="500"/>
      <c r="P37" s="501"/>
      <c r="Q37" s="346" t="str">
        <f t="shared" si="1"/>
        <v/>
      </c>
      <c r="R37" s="500"/>
      <c r="S37" s="502"/>
      <c r="T37" s="50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0"/>
      <c r="M38" s="501"/>
      <c r="N38" s="346" t="str">
        <f t="shared" si="0"/>
        <v/>
      </c>
      <c r="O38" s="500"/>
      <c r="P38" s="501"/>
      <c r="Q38" s="346" t="str">
        <f t="shared" si="1"/>
        <v/>
      </c>
      <c r="R38" s="500"/>
      <c r="S38" s="502"/>
      <c r="T38" s="50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0"/>
      <c r="M39" s="501"/>
      <c r="N39" s="346" t="str">
        <f t="shared" si="0"/>
        <v/>
      </c>
      <c r="O39" s="500"/>
      <c r="P39" s="501"/>
      <c r="Q39" s="346" t="str">
        <f t="shared" si="1"/>
        <v/>
      </c>
      <c r="R39" s="500"/>
      <c r="S39" s="502"/>
      <c r="T39" s="50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0"/>
      <c r="M40" s="501"/>
      <c r="N40" s="346" t="str">
        <f t="shared" si="0"/>
        <v/>
      </c>
      <c r="O40" s="500"/>
      <c r="P40" s="501"/>
      <c r="Q40" s="346" t="str">
        <f t="shared" si="1"/>
        <v/>
      </c>
      <c r="R40" s="500"/>
      <c r="S40" s="502"/>
      <c r="T40" s="50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0"/>
      <c r="M41" s="501"/>
      <c r="N41" s="346" t="str">
        <f t="shared" si="0"/>
        <v/>
      </c>
      <c r="O41" s="500"/>
      <c r="P41" s="501"/>
      <c r="Q41" s="346" t="str">
        <f t="shared" si="1"/>
        <v/>
      </c>
      <c r="R41" s="500"/>
      <c r="S41" s="502"/>
      <c r="T41" s="50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0"/>
      <c r="M42" s="501"/>
      <c r="N42" s="346" t="str">
        <f t="shared" si="0"/>
        <v/>
      </c>
      <c r="O42" s="500"/>
      <c r="P42" s="501"/>
      <c r="Q42" s="346" t="str">
        <f t="shared" si="1"/>
        <v/>
      </c>
      <c r="R42" s="500"/>
      <c r="S42" s="502"/>
      <c r="T42" s="50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0"/>
      <c r="M43" s="501"/>
      <c r="N43" s="346" t="str">
        <f t="shared" si="0"/>
        <v/>
      </c>
      <c r="O43" s="500"/>
      <c r="P43" s="501"/>
      <c r="Q43" s="346" t="str">
        <f t="shared" si="1"/>
        <v/>
      </c>
      <c r="R43" s="500"/>
      <c r="S43" s="502"/>
      <c r="T43" s="50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0"/>
      <c r="M44" s="501"/>
      <c r="N44" s="346" t="str">
        <f t="shared" si="0"/>
        <v/>
      </c>
      <c r="O44" s="500"/>
      <c r="P44" s="501"/>
      <c r="Q44" s="346" t="str">
        <f t="shared" si="1"/>
        <v/>
      </c>
      <c r="R44" s="500"/>
      <c r="S44" s="502"/>
      <c r="T44" s="50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0"/>
      <c r="M45" s="501"/>
      <c r="N45" s="346" t="str">
        <f t="shared" si="0"/>
        <v/>
      </c>
      <c r="O45" s="500"/>
      <c r="P45" s="501"/>
      <c r="Q45" s="346" t="str">
        <f t="shared" si="1"/>
        <v/>
      </c>
      <c r="R45" s="500"/>
      <c r="S45" s="502"/>
      <c r="T45" s="50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0"/>
      <c r="M46" s="501"/>
      <c r="N46" s="346" t="str">
        <f t="shared" si="0"/>
        <v/>
      </c>
      <c r="O46" s="500"/>
      <c r="P46" s="501"/>
      <c r="Q46" s="346" t="str">
        <f t="shared" si="1"/>
        <v/>
      </c>
      <c r="R46" s="500"/>
      <c r="S46" s="502"/>
      <c r="T46" s="50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0"/>
      <c r="M47" s="501"/>
      <c r="N47" s="346" t="str">
        <f t="shared" si="0"/>
        <v/>
      </c>
      <c r="O47" s="500"/>
      <c r="P47" s="501"/>
      <c r="Q47" s="346" t="str">
        <f t="shared" si="1"/>
        <v/>
      </c>
      <c r="R47" s="500"/>
      <c r="S47" s="502"/>
      <c r="T47" s="50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0"/>
      <c r="M48" s="501"/>
      <c r="N48" s="346" t="str">
        <f t="shared" si="0"/>
        <v/>
      </c>
      <c r="O48" s="500"/>
      <c r="P48" s="501"/>
      <c r="Q48" s="346" t="str">
        <f t="shared" si="1"/>
        <v/>
      </c>
      <c r="R48" s="500"/>
      <c r="S48" s="502"/>
      <c r="T48" s="50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0"/>
      <c r="M49" s="501"/>
      <c r="N49" s="346" t="str">
        <f t="shared" si="0"/>
        <v/>
      </c>
      <c r="O49" s="500"/>
      <c r="P49" s="501"/>
      <c r="Q49" s="346" t="str">
        <f t="shared" si="1"/>
        <v/>
      </c>
      <c r="R49" s="500"/>
      <c r="S49" s="502"/>
      <c r="T49" s="50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0"/>
      <c r="M50" s="501"/>
      <c r="N50" s="346" t="str">
        <f t="shared" si="0"/>
        <v/>
      </c>
      <c r="O50" s="500"/>
      <c r="P50" s="501"/>
      <c r="Q50" s="346" t="str">
        <f t="shared" si="1"/>
        <v/>
      </c>
      <c r="R50" s="500"/>
      <c r="S50" s="502"/>
      <c r="T50" s="50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3"/>
      <c r="M51" s="504"/>
      <c r="N51" s="346" t="str">
        <f>IF(AND(L51&lt;&gt;"",M51&lt;&gt;""),CONCATENATE($AC$12,L51,M51),"")</f>
        <v/>
      </c>
      <c r="O51" s="503"/>
      <c r="P51" s="504"/>
      <c r="Q51" s="346" t="str">
        <f>IF(AND(O51&lt;&gt;"",P51&lt;&gt;""),CONCATENATE($AC$15,O51,P51),"")</f>
        <v/>
      </c>
      <c r="R51" s="503"/>
      <c r="S51" s="505"/>
      <c r="T51" s="504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N80QQ/vU/sL7gjbHxr9ljIVsT5vZGE1sze+h162FFp1bFhmsx4oVYTuGXXmzKEz6haLYOXM2nDnv9CycnjI0hA==" saltValue="WpV9Tf6ycvHfqpWGXuag0g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 xr:uid="{00000000-0002-0000-0800-000000000000}">
      <formula1>$AC$37:$AC$45</formula1>
    </dataValidation>
    <dataValidation type="list" allowBlank="1" showInputMessage="1" showErrorMessage="1" sqref="L11:M50 O11:P50" xr:uid="{00000000-0002-0000-0800-000001000000}">
      <formula1>$AC$32:$AC$34</formula1>
    </dataValidation>
    <dataValidation type="list" allowBlank="1" showInputMessage="1" showErrorMessage="1" sqref="Z10" xr:uid="{00000000-0002-0000-0800-000002000000}">
      <formula1>"Sim,Não"</formula1>
    </dataValidation>
    <dataValidation type="list" allowBlank="1" showInputMessage="1" showErrorMessage="1" error="Tem que selecionar um valor da lista disponível" sqref="D11:D21" xr:uid="{00000000-0002-0000-0800-000003000000}">
      <formula1>INDIRECT($AN$12)</formula1>
    </dataValidation>
    <dataValidation type="list" allowBlank="1" showInputMessage="1" showErrorMessage="1" error="Tem que selecionar um valor da lista disponível" sqref="E11:E21" xr:uid="{00000000-0002-0000-0800-000004000000}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 xr:uid="{00000000-0002-0000-0800-000005000000}">
      <formula1>0</formula1>
    </dataValidation>
    <dataValidation type="whole" operator="greaterThan" allowBlank="1" showDropDown="1" showInputMessage="1" showErrorMessage="1" errorTitle="Valores Válidos" error="Célula aceita apenas números inteiros." sqref="G10:G50" xr:uid="{00000000-0002-0000-0800-000006000000}">
      <formula1>0</formula1>
    </dataValidation>
    <dataValidation operator="greaterThan" allowBlank="1" showDropDown="1" showInputMessage="1" showErrorMessage="1" errorTitle="Valores Válidos" error="Célula aceita apenas números inteiros." sqref="H10:I50" xr:uid="{00000000-0002-0000-0800-000007000000}"/>
    <dataValidation allowBlank="1" showInputMessage="1" showErrorMessage="1" error="Tem que selecionar um valor da lista disponível" sqref="J11:J50" xr:uid="{00000000-0002-0000-0800-000008000000}"/>
    <dataValidation type="list" allowBlank="1" showInputMessage="1" showErrorMessage="1" sqref="W10" xr:uid="{00000000-0002-0000-0800-000009000000}">
      <formula1>IF($X$10=Sim,Nao,Sim_Nao)</formula1>
    </dataValidation>
    <dataValidation type="list" allowBlank="1" showInputMessage="1" showErrorMessage="1" sqref="X10" xr:uid="{00000000-0002-0000-0800-00000A000000}">
      <formula1>IF($W$10=Sim,Nao,Sim_Nao)</formula1>
    </dataValidation>
    <dataValidation type="list" allowBlank="1" showInputMessage="1" showErrorMessage="1" sqref="Y10" xr:uid="{00000000-0002-0000-0800-00000B000000}">
      <formula1>"Sim,Não"</formula1>
    </dataValidation>
  </dataValidations>
  <hyperlinks>
    <hyperlink ref="L3" location="Resumo!C15" display="&lt;&lt; Voltar para RESUMO" xr:uid="{00000000-0004-0000-0800-000000000000}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 xr:uid="{00000000-0002-0000-0800-00000C000000}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 xr:uid="{00000000-0002-0000-0800-00000D000000}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H76"/>
  <sheetViews>
    <sheetView showGridLines="0" showRowColHeaders="0" topLeftCell="A25" zoomScale="85" zoomScaleNormal="85" workbookViewId="0">
      <selection activeCell="W37" sqref="W3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9" t="s">
        <v>38</v>
      </c>
      <c r="D2" s="429"/>
      <c r="E2" s="429"/>
      <c r="F2" s="429"/>
      <c r="G2" s="429"/>
      <c r="H2" s="429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1" t="s">
        <v>39</v>
      </c>
      <c r="D3" s="521"/>
      <c r="E3" s="521"/>
      <c r="F3" s="521"/>
      <c r="G3" s="521"/>
      <c r="H3" s="521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446.73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9" t="s">
        <v>90</v>
      </c>
      <c r="E7" s="429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3"/>
      <c r="E8" s="523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5"/>
      <c r="E9" s="515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5"/>
      <c r="E10" s="515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5"/>
      <c r="E11" s="515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9"/>
      <c r="E12" s="50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5"/>
      <c r="E13" s="515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5"/>
      <c r="E14" s="515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5"/>
      <c r="E15" s="515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9"/>
      <c r="E16" s="50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6"/>
      <c r="E17" s="516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1029.76</v>
      </c>
      <c r="M17" s="103">
        <f ca="1">L17*Acomp_PosProducao_Perc</f>
        <v>20.595200000000002</v>
      </c>
      <c r="N17" s="103">
        <f ca="1">MIN(M17,Acomp_PosProducao_Max)</f>
        <v>20.595200000000002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9"/>
      <c r="E18" s="50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0"/>
      <c r="E19" s="511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09"/>
      <c r="E20" s="509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0"/>
      <c r="E21" s="511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09"/>
      <c r="E22" s="50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0"/>
      <c r="E23" s="511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8" t="s">
        <v>432</v>
      </c>
      <c r="D24" s="518"/>
      <c r="E24" s="518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42" t="s">
        <v>409</v>
      </c>
      <c r="D26" s="522"/>
      <c r="E26" s="443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2" t="s">
        <v>278</v>
      </c>
      <c r="D27" s="513"/>
      <c r="E27" s="514"/>
      <c r="F27" s="351">
        <v>91</v>
      </c>
      <c r="G27" s="351"/>
      <c r="H27" s="227" t="s">
        <v>517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2" t="s">
        <v>278</v>
      </c>
      <c r="D28" s="513"/>
      <c r="E28" s="514"/>
      <c r="F28" s="351">
        <v>89</v>
      </c>
      <c r="G28" s="351"/>
      <c r="H28" s="227" t="s">
        <v>518</v>
      </c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2" t="s">
        <v>278</v>
      </c>
      <c r="D29" s="513"/>
      <c r="E29" s="514"/>
      <c r="F29" s="351">
        <v>98</v>
      </c>
      <c r="G29" s="351"/>
      <c r="H29" s="227" t="s">
        <v>519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0</v>
      </c>
      <c r="R29" s="88" t="b">
        <f t="shared" si="3"/>
        <v>1</v>
      </c>
      <c r="S29" s="88" t="b">
        <f t="shared" si="4"/>
        <v>1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2" t="s">
        <v>278</v>
      </c>
      <c r="D30" s="513"/>
      <c r="E30" s="514"/>
      <c r="F30" s="351">
        <v>21</v>
      </c>
      <c r="G30" s="351"/>
      <c r="H30" s="227" t="s">
        <v>520</v>
      </c>
      <c r="I30" s="97"/>
      <c r="J30" s="30"/>
      <c r="K30" s="30"/>
      <c r="L30" s="88"/>
      <c r="M30" s="88"/>
      <c r="N30" s="88"/>
      <c r="O30" s="88"/>
      <c r="P30" s="88" t="b">
        <f t="shared" ca="1" si="1"/>
        <v>1</v>
      </c>
      <c r="Q30" s="88" t="b">
        <f t="shared" ca="1" si="2"/>
        <v>0</v>
      </c>
      <c r="R30" s="88" t="b">
        <f t="shared" si="3"/>
        <v>1</v>
      </c>
      <c r="S30" s="88" t="b">
        <f t="shared" si="4"/>
        <v>1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2" t="s">
        <v>278</v>
      </c>
      <c r="D31" s="513"/>
      <c r="E31" s="514"/>
      <c r="F31" s="351">
        <v>33</v>
      </c>
      <c r="G31" s="351"/>
      <c r="H31" s="227" t="s">
        <v>521</v>
      </c>
      <c r="I31" s="97"/>
      <c r="J31" s="30"/>
      <c r="K31" s="30"/>
      <c r="L31" s="88"/>
      <c r="M31" s="88"/>
      <c r="N31" s="88"/>
      <c r="O31" s="88"/>
      <c r="P31" s="88" t="b">
        <f t="shared" ca="1" si="1"/>
        <v>1</v>
      </c>
      <c r="Q31" s="88" t="b">
        <f t="shared" ca="1" si="2"/>
        <v>0</v>
      </c>
      <c r="R31" s="88" t="b">
        <f t="shared" si="3"/>
        <v>1</v>
      </c>
      <c r="S31" s="88" t="b">
        <f t="shared" si="4"/>
        <v>1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2" t="s">
        <v>212</v>
      </c>
      <c r="D32" s="513"/>
      <c r="E32" s="514"/>
      <c r="F32" s="351">
        <v>114.73</v>
      </c>
      <c r="G32" s="351"/>
      <c r="H32" s="227" t="s">
        <v>522</v>
      </c>
      <c r="I32" s="97"/>
      <c r="J32" s="30"/>
      <c r="K32" s="30"/>
      <c r="L32" s="88"/>
      <c r="M32" s="88"/>
      <c r="N32" s="88"/>
      <c r="O32" s="88"/>
      <c r="P32" s="88" t="b">
        <f t="shared" ca="1" si="1"/>
        <v>1</v>
      </c>
      <c r="Q32" s="88" t="b">
        <f t="shared" ca="1" si="2"/>
        <v>1</v>
      </c>
      <c r="R32" s="88" t="b">
        <f t="shared" si="3"/>
        <v>1</v>
      </c>
      <c r="S32" s="88" t="b">
        <f t="shared" si="4"/>
        <v>1</v>
      </c>
      <c r="T32" s="88" t="str">
        <f t="shared" ca="1" si="5"/>
        <v>•Alocação de recursos / Serviços de consultoria _x000D_</v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2"/>
      <c r="D33" s="513"/>
      <c r="E33" s="514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2"/>
      <c r="D34" s="513"/>
      <c r="E34" s="514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2"/>
      <c r="D35" s="513"/>
      <c r="E35" s="514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2"/>
      <c r="D36" s="513"/>
      <c r="E36" s="514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2"/>
      <c r="D37" s="513"/>
      <c r="E37" s="514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2"/>
      <c r="D38" s="513"/>
      <c r="E38" s="514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2"/>
      <c r="D39" s="513"/>
      <c r="E39" s="514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2"/>
      <c r="D40" s="513"/>
      <c r="E40" s="514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2"/>
      <c r="D41" s="513"/>
      <c r="E41" s="514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2"/>
      <c r="D42" s="513"/>
      <c r="E42" s="514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18" t="s">
        <v>41</v>
      </c>
      <c r="D43" s="518"/>
      <c r="E43" s="518"/>
      <c r="F43" s="221">
        <f>SUM(F27:F42)</f>
        <v>446.73</v>
      </c>
      <c r="G43" s="221">
        <f>SUM(G27:G42)</f>
        <v>0</v>
      </c>
      <c r="H43" s="137"/>
      <c r="I43" s="34"/>
      <c r="J43" s="88"/>
      <c r="K43" s="88"/>
      <c r="L43" s="102">
        <f>MAX(F43:G43)</f>
        <v>446.73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2" t="s">
        <v>62</v>
      </c>
      <c r="E55" s="443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7"/>
      <c r="E56" s="517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9"/>
      <c r="E57" s="52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9" t="s">
        <v>69</v>
      </c>
      <c r="E60" s="429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7"/>
      <c r="E61" s="517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9"/>
      <c r="E62" s="52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dlkkZowDTY+bBU2rko9rxniwjDhzaC7cnsJlbOS4HxNIkOqSUSKGI+Ry3iuGoyUApSKHT2kDL/PthlAVpMBYRg==" saltValue="xpLaT07DcpKUn3K5PYVVOw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 xr:uid="{00000000-0002-0000-0900-000000000000}">
      <formula1>P27=TRUE</formula1>
    </dataValidation>
    <dataValidation type="custom" allowBlank="1" showInputMessage="1" showErrorMessage="1" error="Primeiro tem que preencher a Fase/Actividade a que o esforço se refere e a descrição" sqref="F27:F42" xr:uid="{00000000-0002-0000-0900-000001000000}">
      <formula1>P27=TRUE</formula1>
    </dataValidation>
    <dataValidation type="decimal" allowBlank="1" showInputMessage="1" showErrorMessage="1" errorTitle="Somente números." error="Deve ser informada a quantidade de horas." sqref="D58:E59 D53:E54 D18 D16" xr:uid="{00000000-0002-0000-0900-000002000000}">
      <formula1>0</formula1>
      <formula2>1000000</formula2>
    </dataValidation>
    <dataValidation type="whole" allowBlank="1" showErrorMessage="1" errorTitle="Somente números." error="Deve ser informada a quantidade _x000a_(número inteiro) de cenários." sqref="D56" xr:uid="{00000000-0002-0000-0900-000003000000}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 xr:uid="{00000000-0002-0000-0900-000004000000}">
      <formula1>0</formula1>
      <formula2>1000000</formula2>
    </dataValidation>
    <dataValidation type="list" allowBlank="1" showInputMessage="1" showErrorMessage="1" error="Tem que selecionar um valor da lista disponível" sqref="C27:E42" xr:uid="{00000000-0002-0000-0900-000005000000}">
      <formula1>INDIRECT($M$27)</formula1>
    </dataValidation>
    <dataValidation type="list" allowBlank="1" showInputMessage="1" showErrorMessage="1" sqref="D17:E17" xr:uid="{00000000-0002-0000-0900-000006000000}">
      <formula1>Sim_Nao</formula1>
    </dataValidation>
    <dataValidation allowBlank="1" showInputMessage="1" showErrorMessage="1" errorTitle="Somente números." error="Deve ser informada a quantidade de horas." sqref="D12:E12 D8:E8 G8 G12" xr:uid="{00000000-0002-0000-0900-000007000000}"/>
    <dataValidation type="decimal" allowBlank="1" showInputMessage="1" showErrorMessage="1" errorTitle="Somente números." error="Deve ser informada a quantidade de horas." sqref="G13:G15 G9:G11" xr:uid="{00000000-0002-0000-0900-000008000000}">
      <formula1>0</formula1>
      <formula2>L9</formula2>
    </dataValidation>
    <dataValidation type="whole" allowBlank="1" showInputMessage="1" showErrorMessage="1" sqref="D13:E15 D9:E11" xr:uid="{00000000-0002-0000-0900-000009000000}">
      <formula1>0</formula1>
      <formula2>L9</formula2>
    </dataValidation>
  </dataValidations>
  <hyperlinks>
    <hyperlink ref="H5" location="Resumo!D17" display="&lt;&lt; Voltar para RESUMO" xr:uid="{00000000-0004-0000-0900-000000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 xr:uid="{00000000-0002-0000-0900-00000A000000}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"/>
  <dimension ref="A1:V21"/>
  <sheetViews>
    <sheetView showGridLines="0" showRowColHeaders="0" topLeftCell="A4" zoomScale="85" zoomScaleNormal="85" workbookViewId="0">
      <selection activeCell="D19" sqref="D19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29" t="s">
        <v>26</v>
      </c>
      <c r="C2" s="429"/>
      <c r="D2" s="429"/>
      <c r="E2" s="429"/>
      <c r="F2" s="429"/>
      <c r="G2" s="429"/>
      <c r="H2" s="429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 ca="1">ROUND(Analogia[[#Totals],[Esforço com Impacto]]*'Fases Contratadas'!U6,2)</f>
        <v>2.5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 ca="1">ROUND(Analogia[[#Totals],[Esforço com Impacto]]*'Fases Contratadas'!U7,2)</f>
        <v>0.94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 ca="1">ROUND(Analogia[[#Totals],[Esforço com Impacto]]*'Fases Contratadas'!U8,2)</f>
        <v>0.94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167</v>
      </c>
      <c r="E9" s="82">
        <f ca="1"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101.8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1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 ca="1">ROUND(IF(EsforcoFases[[#This Row],[checks]]=FALSE,0,PontosFuncao[[#Totals],[Esforço]]*IF(C9="","",VLOOKUP(B9,PercentuaisFases[],VLOOKUP(Fornecedor,MapFasesFornecedores[#All],3,FALSE),FALSE))),2)</f>
        <v>96.79</v>
      </c>
      <c r="R9" s="396">
        <f ca="1"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5.01</v>
      </c>
      <c r="S9" s="397">
        <f ca="1">Q9+R9</f>
        <v>101.80000000000001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 ca="1">ROUND(Analogia[[#Totals],[Esforço com Impacto]]*'Fases Contratadas'!U10,2)</f>
        <v>14.08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 ca="1">ROUND(Analogia[[#Totals],[Esforço sem Impacto]]*'Fases Contratadas'!U11,2)</f>
        <v>3.75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459.33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1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 ca="1">ROUND(IF(EsforcoFases[[#This Row],[checks]]=FALSE,0,PontosFuncao[[#Totals],[Esforço]]*IF(C12="","",VLOOKUP(B12,PercentuaisFases[],VLOOKUP(Fornecedor,MapFasesFornecedores[#All],3,FALSE),FALSE))),2)</f>
        <v>426.48</v>
      </c>
      <c r="R12" s="396">
        <f ca="1">ROUND(IF(EsforcoFases[[#This Row],[checks]]=FALSE,0,V15),2)</f>
        <v>32.85</v>
      </c>
      <c r="S12" s="397">
        <f ca="1">Q12+R12</f>
        <v>459.33000000000004</v>
      </c>
      <c r="T12" s="409" t="s">
        <v>460</v>
      </c>
      <c r="U12" s="407">
        <v>1.4999999999999999E-2</v>
      </c>
      <c r="V12" s="408">
        <f ca="1">ROUND(Analogia[[#Totals],[Esforço sem Impacto]]*'Fases Contratadas'!U12,2)</f>
        <v>1.88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 ca="1">ROUND(Analogia[[#Totals],[Esforço sem Impacto]]*'Fases Contratadas'!U13,2)</f>
        <v>1.25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 ca="1">ROUND(Analogia[[#Totals],[Esforço sem Impacto]]*'Fases Contratadas'!U14,2)</f>
        <v>7.51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 ca="1">SUM(V6:V14)</f>
        <v>32.85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167</v>
      </c>
      <c r="E17" s="82">
        <f ca="1"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21.9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1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 ca="1">ROUND(IF(EsforcoFases[[#This Row],[checks]]=FALSE,0,PontosFuncao[[#Totals],[Esforço]]*IF(C17="","",VLOOKUP(B17,PercentuaisFases[],VLOOKUP(Fornecedor,MapFasesFornecedores[#All],3,FALSE),FALSE))),2)</f>
        <v>18.149999999999999</v>
      </c>
      <c r="R17" s="396">
        <f ca="1"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3.75</v>
      </c>
      <c r="S17" s="397">
        <f t="shared" ref="S17:S18" ca="1" si="1">Q17+R17</f>
        <v>21.9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 ca="1">ROUND(SUBTOTAL(109,EsforcoFases[Esforço em Horas (calculado)]),2)</f>
        <v>583.03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 ca="1">SUBTOTAL(109,Q6:Q18)</f>
        <v>541.41999999999996</v>
      </c>
      <c r="R19" s="399">
        <f ca="1">SUBTOTAL(109,R6:R18)</f>
        <v>41.61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cFWfjjRVu2klb0BwYsvHDGgF3jDx/9IHq/0SVYpxvoz+nNH6AQl2C5dCYbe9BBsDjecwqfOaRS2gI78HYRRgwA==" saltValue="laMoseKD0P9+AKjpbHzqtA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 xr:uid="{00000000-0002-0000-0A00-000000000000}">
      <formula1>N9=TRUE</formula1>
    </dataValidation>
    <dataValidation type="custom" allowBlank="1" showInputMessage="1" showErrorMessage="1" sqref="F8" xr:uid="{00000000-0002-0000-0A00-000001000000}">
      <formula1>M9&lt;2</formula1>
    </dataValidation>
    <dataValidation type="decimal" allowBlank="1" showInputMessage="1" showErrorMessage="1" error="Apenas pode selecionar a elaboração ou a validação. Não pode colocar esforço em ambos" sqref="F9:F10" xr:uid="{00000000-0002-0000-0A00-000002000000}">
      <formula1>0</formula1>
      <formula2>M9</formula2>
    </dataValidation>
    <dataValidation type="decimal" allowBlank="1" showInputMessage="1" showErrorMessage="1" sqref="F17:F18 F12 F14:F15" xr:uid="{00000000-0002-0000-0A00-000003000000}">
      <formula1>0</formula1>
      <formula2>K12</formula2>
    </dataValidation>
    <dataValidation type="decimal" allowBlank="1" showInputMessage="1" showErrorMessage="1" error="Só pode inserir esforço nas atividades permitidas" sqref="F7" xr:uid="{00000000-0002-0000-0A00-000004000000}">
      <formula1>0</formula1>
      <formula2>K7</formula2>
    </dataValidation>
    <dataValidation type="list" allowBlank="1" showInputMessage="1" showErrorMessage="1" error="Tem que selecionar um valor da lista disponível" sqref="D10" xr:uid="{00000000-0002-0000-0A00-000005000000}">
      <formula1>IF(OR($D$9=Sim,$C$10=""),Nao,Sim_Nao)</formula1>
    </dataValidation>
    <dataValidation type="list" allowBlank="1" showInputMessage="1" showErrorMessage="1" error="Tem que selecionar um valor da lista disponível" sqref="D9" xr:uid="{00000000-0002-0000-0A00-000006000000}">
      <formula1>IF(OR($D$10=Sim,$C$9=""),Nao,Sim_Nao)</formula1>
    </dataValidation>
    <dataValidation type="list" allowBlank="1" showInputMessage="1" showErrorMessage="1" error="Tem que selecionar um valor da lista disponível" sqref="D7" xr:uid="{00000000-0002-0000-0A00-000007000000}">
      <formula1>IF($C$7="",Nao,Sim_Nao)</formula1>
    </dataValidation>
    <dataValidation type="list" allowBlank="1" showInputMessage="1" showErrorMessage="1" error="Tem que selecionar um valor da lista disponível" sqref="D12" xr:uid="{00000000-0002-0000-0A00-000008000000}">
      <formula1>IF($C$12="",Nao,Sim_Nao)</formula1>
    </dataValidation>
    <dataValidation type="list" allowBlank="1" showInputMessage="1" showErrorMessage="1" error="Tem que selecionar um valor da lista disponível" sqref="D14" xr:uid="{00000000-0002-0000-0A00-000009000000}">
      <formula1>IF($C$14="",Nao,Sim_Nao)</formula1>
    </dataValidation>
    <dataValidation type="list" allowBlank="1" showInputMessage="1" showErrorMessage="1" error="Tem que selecionar um valor da lista disponível" sqref="D15" xr:uid="{00000000-0002-0000-0A00-00000A000000}">
      <formula1>IF($C$15="",Nao,Sim_Nao)</formula1>
    </dataValidation>
    <dataValidation type="list" allowBlank="1" showInputMessage="1" showErrorMessage="1" error="Tem que selecionar um valor da lista disponível" sqref="D17" xr:uid="{00000000-0002-0000-0A00-00000B000000}">
      <formula1>IF($C$17="",Nao,Sim_Nao)</formula1>
    </dataValidation>
    <dataValidation type="list" allowBlank="1" showInputMessage="1" showErrorMessage="1" error="Tem que selecionar um valor da lista disponível" sqref="D18" xr:uid="{00000000-0002-0000-0A00-00000C000000}">
      <formula1>IF($C$18="",Nao,Sim_Nao)</formula1>
    </dataValidation>
  </dataValidations>
  <hyperlinks>
    <hyperlink ref="H4" location="Resumo!D17" display="&lt;&lt; Voltar para RESUMO" xr:uid="{00000000-0004-0000-0A00-000000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9" t="s">
        <v>23</v>
      </c>
      <c r="C2" s="429"/>
      <c r="D2" s="429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gwjzuipasKkff1ft8O8UyCxxAX7mcr+kAqsuXMa3DIsXR5mA48pTfUO6AIbCLHp7EyrP3lbhN+/ESWVwRbBr/A==" saltValue="QjKDXy/wBaR9Rpfe9zecbQ==" spinCount="100000" sheet="1" objects="1" scenarios="1"/>
  <mergeCells count="1">
    <mergeCell ref="B2:D2"/>
  </mergeCells>
  <phoneticPr fontId="0" type="noConversion"/>
  <hyperlinks>
    <hyperlink ref="D3" location="Resumo!C12" display="&lt;&lt; Voltar para RESUMO" xr:uid="{00000000-0004-0000-0B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rgb="FFFFFF00"/>
  </sheetPr>
  <dimension ref="B1:O40"/>
  <sheetViews>
    <sheetView showGridLines="0" showRowColHeaders="0" zoomScaleNormal="100" workbookViewId="0">
      <selection activeCell="B15" sqref="B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9" t="s">
        <v>22</v>
      </c>
      <c r="C2" s="429"/>
      <c r="D2" s="429"/>
      <c r="E2" s="429"/>
      <c r="F2" s="429"/>
      <c r="G2" s="429"/>
      <c r="H2" s="429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125.9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154.36000000000001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154.36000000000001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125.9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125.9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125.9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154.36000000000001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154.36000000000001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154.36000000000001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154.36000000000001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170.64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125.9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125.9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154.36000000000001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125.9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125.9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154.36000000000001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154.36000000000001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154.36000000000001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125.9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125.9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125.9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125.9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154.36000000000001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154.36000000000001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154.36000000000001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154.36000000000001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154.36000000000001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125.9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125.9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154.36000000000001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154.36000000000001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125.9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125.9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154.36000000000001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125.9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bio5R3NvMOFAwIq8gZ6rB9vgiYbpcBFZ3MEdTMb0VunodeRGbVy+gD/eWabow4P+Kc+iSIdxhPmKj0dFtR5DgA==" saltValue="6x8ajeH1xpRdEMUI1MmmE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 xr:uid="{00000000-0002-0000-0C00-000000000000}">
      <formula1>INDIRECT(#REF!)</formula1>
    </dataValidation>
    <dataValidation type="list" allowBlank="1" showInputMessage="1" showErrorMessage="1" sqref="L5:L40" xr:uid="{00000000-0002-0000-0C00-000001000000}">
      <formula1>True_False</formula1>
    </dataValidation>
  </dataValidations>
  <hyperlinks>
    <hyperlink ref="H3" location="Resumo!C12" display="&lt;&lt; Voltar para RESUMO" xr:uid="{00000000-0004-0000-0C00-000000000000}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C00-000002000000}">
          <x14:formula1>
            <xm:f>Parâmetros!$D$5:$D$7</xm:f>
          </x14:formula1>
          <xm:sqref>G5:G40</xm:sqref>
        </x14:dataValidation>
        <x14:dataValidation type="list" allowBlank="1" showInputMessage="1" showErrorMessage="1" xr:uid="{00000000-0002-0000-0C00-000003000000}">
          <x14:formula1>
            <xm:f>Parâmetros!$P$5:$P$6</xm:f>
          </x14:formula1>
          <xm:sqref>K5:K40</xm:sqref>
        </x14:dataValidation>
        <x14:dataValidation type="list" allowBlank="1" showInputMessage="1" showErrorMessage="1" xr:uid="{00000000-0002-0000-0C00-000004000000}">
          <x14:formula1>
            <xm:f>Parâmetros!E110:E115</xm:f>
          </x14:formula1>
          <xm:sqref>H35:H40 H16:H22</xm:sqref>
        </x14:dataValidation>
        <x14:dataValidation type="list" allowBlank="1" showInputMessage="1" showErrorMessage="1" xr:uid="{00000000-0002-0000-0C00-000005000000}">
          <x14:formula1>
            <xm:f>Parâmetros!E100:E105</xm:f>
          </x14:formula1>
          <xm:sqref>H5:H15</xm:sqref>
        </x14:dataValidation>
        <x14:dataValidation type="list" allowBlank="1" showInputMessage="1" showErrorMessage="1" xr:uid="{00000000-0002-0000-0C00-000006000000}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g9KWzUe8gYlSVcMGQfR1CbOtBqW5cw+e/5Dpa3a+HIkvsZ97OyUmiIQsywFNtaN1vsRhYJ7eZjDP0c1FpVD9Gg==" saltValue="54XDG/vPwUqyvEyptGj9l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5g+5AcBwpxTzhN4pknNobI/0kQzR12g6s27CAU9YBzvF3FIniEhXIJFb6pT4JXi51M6O2PKmL0WiQPA0kjViPg==" saltValue="2yElYEbIyD1udZEhCEEYs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 xr:uid="{00000000-0002-0000-0E00-000000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i++i10xrAsglBwjHfNPCllX4/aE1ODOnvxQv8IKgLpxY387Rc6UrjUO3ZyWamZc4XkTjW/tWQ0d5wbrfnnFx5Q==" saltValue="umOxStyEBXtU2BozcJvJO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0000000}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 xr:uid="{00000000-0002-0000-0F00-000001000000}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3XrO0ijpIwsrDSJ43MFmlY3HOUUV1/cOoun2qDjSBoZTy2V8nvZyXEWT4U3zjbgMXkLsM33WxOrkDfwAcdWqIg==" saltValue="tlWRS+VLiE2A4WHpR44sUw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 xr:uid="{00000000-0002-0000-1000-000000000000}">
      <formula1>True_False</formula1>
    </dataValidation>
    <dataValidation showDropDown="1" showInputMessage="1" showErrorMessage="1" sqref="J4" xr:uid="{00000000-0002-0000-1000-000001000000}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EJ0SCdNO/e9aAM4IQZcDW3LiL9nPplWGQOdS1gbCTXiVrpK9fGExYZJLmvbYipQRSYIlsmlDoIyLzps/lbAtsg==" saltValue="YSeuvKKLiBY55wz1vJOvNg==" spinCount="100000" sheet="1" objects="1" scenarios="1"/>
  <sortState ref="J24:J41">
    <sortCondition ref="J24"/>
  </sortState>
  <dataValidations count="1">
    <dataValidation type="list" allowBlank="1" showInputMessage="1" showErrorMessage="1" sqref="F3:G15 B3:C15" xr:uid="{00000000-0002-0000-1100-000000000000}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TI Métricas 42</cp:lastModifiedBy>
  <dcterms:created xsi:type="dcterms:W3CDTF">2006-09-25T12:47:36Z</dcterms:created>
  <dcterms:modified xsi:type="dcterms:W3CDTF">2017-12-26T20:08:50Z</dcterms:modified>
</cp:coreProperties>
</file>