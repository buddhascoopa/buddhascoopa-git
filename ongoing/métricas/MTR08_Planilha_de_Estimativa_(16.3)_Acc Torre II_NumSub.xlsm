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gio.gdanski\Documents\Template 16.1 para 16.2 - Copy\"/>
    </mc:Choice>
  </mc:AlternateContent>
  <workbookProtection workbookAlgorithmName="SHA-512" workbookHashValue="YGs/v69k7v58kP1ZgNa0XtAYN5mWls7Xaqy9WKYyqHlheRxXQA6pllB8ZlUtxbTnhPop0yWsTBjLKjt2F3NOjw==" workbookSaltValue="16oPg0MD2prs9wyKuKoqjQ==" workbookSpinCount="100000" lockStructure="1"/>
  <bookViews>
    <workbookView xWindow="0" yWindow="0" windowWidth="5865" windowHeight="3330" tabRatio="942" firstSheet="1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alcOnSave="0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N19" i="12"/>
  <c r="F21" i="12"/>
  <c r="G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<sst xmlns="http://schemas.openxmlformats.org/spreadsheetml/2006/main" count="1852" uniqueCount="495">
  <si>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</si>
  <si>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</si>
  <si>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</si>
  <si>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</si>
  <si>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</si>
  <si>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</si>
  <si>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</si>
  <si>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</si>
  <si>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</si>
  <si>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</si>
  <si>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</si>
  <si>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</si>
  <si>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</si>
  <si>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</si>
  <si>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</si>
  <si>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</si>
  <si>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</si>
  <si>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</si>
  <si>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</si>
  <si>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</si>
  <si>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</si>
  <si>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</si>
  <si>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</si>
  <si>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</si>
  <si>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</si>
  <si>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</si>
  <si>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</si>
  <si>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</si>
  <si>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</si>
  <si>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</si>
  <si>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</si>
  <si>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</si>
  <si>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</si>
  <si>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</si>
  <si>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</si>
  <si>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</si>
  <si>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</si>
  <si>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</si>
  <si>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</si>
  <si>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</si>
  <si>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</si>
  <si>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</si>
  <si>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</si>
  <si>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</si>
  <si>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</si>
  <si>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</si>
  <si>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</si>
  <si>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</si>
  <si>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</si>
  <si>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</si>
  <si>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</si>
  <si>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</si>
  <si>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</si>
  <si>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</si>
  <si>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</si>
  <si>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</si>
  <si>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</si>
  <si>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</si>
  <si>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</si>
  <si>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</si>
  <si>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</si>
  <si>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</si>
  <si>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</si>
  <si>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</si>
  <si>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</si>
  <si>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</si>
  <si>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</si>
  <si>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</si>
  <si>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</si>
  <si>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</si>
  <si>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</si>
  <si>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</si>
  <si>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</si>
  <si>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</si>
  <si>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</si>
  <si>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</si>
  <si>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</si>
  <si>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</si>
  <si>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</si>
  <si>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</si>
  <si>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</si>
  <si>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</si>
  <si>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</si>
  <si>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</si>
  <si>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</si>
  <si>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</si>
  <si>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</si>
  <si>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</si>
  <si>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</si>
  <si>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</si>
  <si>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</si>
  <si>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</si>
  <si>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</si>
  <si>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</si>
  <si>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</si>
  <si>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</si>
  <si>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</si>
  <si>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</si>
  <si>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</si>
  <si>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</si>
  <si>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</si>
  <si>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</si>
  <si>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</si>
  <si>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</si>
  <si>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</si>
  <si>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</si>
  <si>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</si>
  <si>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</si>
  <si>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</si>
  <si>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</si>
  <si>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</si>
  <si>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</si>
  <si>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</si>
  <si>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</si>
  <si>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</si>
  <si>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</si>
  <si>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</si>
  <si>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</si>
  <si>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</si>
  <si>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</si>
  <si>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</si>
  <si>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</si>
  <si>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</si>
  <si>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</si>
  <si>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</si>
  <si>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</si>
  <si>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</si>
  <si>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</si>
  <si>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</si>
  <si>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</si>
  <si>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</si>
  <si>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</si>
  <si>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</si>
  <si>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</si>
  <si>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</si>
  <si>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</si>
  <si>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</si>
  <si>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</si>
  <si>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</si>
  <si>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</si>
  <si>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</si>
  <si>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</si>
  <si>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</si>
  <si>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</si>
  <si>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</si>
  <si>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</si>
  <si>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</si>
  <si>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</si>
  <si>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</si>
  <si>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</si>
  <si>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</si>
  <si>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</si>
  <si>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</si>
  <si>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</si>
  <si>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</si>
  <si>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</si>
  <si>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</si>
  <si>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</si>
  <si>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</si>
  <si>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</si>
  <si>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</si>
  <si>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</si>
  <si>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</si>
  <si>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</si>
  <si>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</si>
  <si>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</si>
  <si>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</si>
  <si>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</si>
  <si>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</si>
  <si>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</si>
  <si>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</si>
  <si>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</si>
  <si>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</si>
  <si>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</si>
  <si>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</si>
  <si>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</si>
  <si>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</si>
  <si>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</si>
  <si>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</si>
  <si>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</si>
  <si>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</si>
  <si>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</si>
  <si>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</si>
  <si>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</si>
  <si>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</si>
  <si>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</si>
  <si>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</si>
  <si>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</si>
  <si>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</si>
  <si>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</si>
  <si>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</si>
  <si>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</si>
  <si>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</si>
  <si>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</si>
  <si>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</si>
  <si>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</si>
  <si>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</si>
  <si>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</si>
  <si>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</si>
  <si>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</si>
  <si>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</si>
  <si>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</si>
  <si>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</si>
  <si>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</si>
  <si>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</si>
  <si>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</si>
  <si>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</si>
  <si>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</si>
  <si>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</si>
  <si>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</si>
  <si>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</si>
  <si>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</si>
  <si>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</si>
  <si>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</si>
  <si>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</si>
  <si>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</si>
  <si>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</si>
  <si>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</si>
  <si>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</si>
  <si>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</si>
  <si>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</si>
  <si>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</si>
  <si>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</si>
  <si>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</si>
  <si>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</si>
  <si>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</si>
  <si>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</si>
  <si>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</si>
  <si>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</si>
  <si>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</si>
  <si>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</si>
  <si>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</si>
  <si>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</si>
  <si>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</si>
  <si>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</si>
  <si>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</si>
  <si>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</si>
  <si>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</si>
  <si>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</si>
  <si>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</si>
  <si>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</si>
  <si>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</si>
  <si>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</si>
  <si>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</si>
  <si>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</si>
  <si>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</si>
  <si>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</si>
  <si>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</si>
  <si>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</si>
  <si>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</si>
  <si>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</si>
  <si>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</si>
  <si>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</si>
  <si>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</si>
  <si>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</si>
  <si>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</si>
  <si>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</si>
  <si>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</si>
  <si>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</si>
  <si>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</si>
  <si>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</si>
  <si>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</si>
  <si>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</si>
  <si>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</si>
  <si>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</si>
  <si>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</si>
  <si>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</si>
  <si>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</si>
  <si>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</si>
  <si>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</si>
  <si>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</si>
  <si>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</si>
  <si>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</si>
  <si>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</si>
  <si>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</si>
  <si>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</si>
  <si>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</si>
  <si>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</si>
  <si>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</si>
  <si>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</si>
  <si>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</si>
  <si>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</si>
  <si>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</si>
  <si>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</si>
  <si>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</si>
  <si>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</si>
  <si>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</si>
  <si>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</si>
  <si>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</si>
  <si>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</si>
  <si>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</si>
  <si>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</si>
  <si>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</si>
  <si>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</si>
  <si>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</si>
  <si>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</si>
  <si>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</si>
  <si>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</si>
  <si>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</si>
  <si>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</si>
  <si>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</si>
  <si>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</si>
  <si>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</si>
  <si>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</si>
  <si>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</si>
  <si>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</si>
  <si>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</si>
  <si>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</si>
  <si>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</si>
  <si>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</si>
  <si>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</si>
  <si>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</si>
  <si>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</si>
  <si>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</si>
  <si>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</si>
  <si>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</si>
  <si>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</si>
  <si>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</si>
  <si>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</si>
  <si>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</si>
  <si>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</si>
  <si>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</si>
  <si>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</si>
  <si>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</si>
  <si>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</si>
  <si>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</si>
  <si>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</si>
  <si>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</si>
  <si>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</si>
  <si>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</si>
  <si>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</si>
  <si>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</si>
  <si>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</si>
  <si>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</si>
  <si>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</si>
  <si>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</si>
  <si>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</si>
  <si>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</si>
  <si>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</si>
  <si>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</si>
  <si>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</si>
  <si>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</si>
  <si>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</si>
  <si>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</si>
  <si>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</si>
  <si>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</si>
  <si>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</si>
  <si>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</si>
  <si>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</si>
  <si>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</si>
  <si>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</si>
  <si>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</si>
  <si>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</si>
  <si>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</si>
  <si>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</si>
  <si>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</si>
  <si>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</si>
  <si>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</si>
  <si>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</si>
  <si>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</si>
  <si>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</si>
  <si>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</si>
  <si>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</si>
  <si>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</si>
  <si>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</si>
  <si>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</si>
  <si>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</si>
  <si>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</si>
  <si>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</si>
  <si>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</si>
  <si>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</si>
  <si>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</si>
  <si>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</si>
  <si>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</si>
  <si>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</si>
  <si>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</si>
  <si>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</si>
  <si>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</si>
  <si>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</si>
  <si>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</si>
  <si>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</si>
  <si>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</si>
  <si>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</si>
  <si>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</si>
  <si>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</si>
  <si>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</si>
  <si>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</si>
  <si>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</si>
  <si>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</si>
  <si>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</si>
  <si>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</si>
  <si>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</si>
  <si>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</si>
  <si>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</si>
  <si>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</si>
  <si>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</si>
  <si>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</si>
  <si>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</si>
  <si>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</si>
  <si>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</si>
  <si>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</si>
  <si>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</si>
  <si>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</si>
  <si>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</si>
  <si>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</si>
  <si>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</si>
  <si>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</si>
  <si>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</si>
  <si>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</si>
  <si>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</si>
  <si>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</si>
  <si>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</si>
  <si>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</si>
  <si>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</si>
  <si>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</si>
  <si>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</si>
  <si>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</si>
  <si>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</si>
  <si>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</si>
  <si>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</si>
  <si>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</si>
  <si>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</si>
  <si>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</si>
  <si>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</si>
  <si>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</si>
  <si>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</si>
  <si>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</si>
  <si>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</si>
  <si>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</si>
  <si>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</si>
  <si>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</si>
  <si>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</si>
  <si>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</si>
  <si>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</si>
  <si>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</si>
  <si>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</si>
  <si>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</si>
  <si>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</si>
  <si>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</si>
  <si>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</si>
  <si>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</si>
  <si>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</si>
  <si>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</si>
  <si>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</si>
  <si>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</si>
  <si>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</si>
  <si>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</si>
  <si>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</si>
  <si>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</si>
  <si>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</si>
  <si>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</si>
  <si>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</si>
  <si>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</si>
  <si>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</si>
  <si>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</si>
  <si>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</si>
  <si>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</si>
  <si>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</si>
  <si>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</si>
  <si>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</si>
  <si>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</si>
  <si>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</si>
  <si>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</si>
  <si>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</si>
  <si>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</si>
  <si>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</si>
  <si>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</si>
  <si>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</si>
  <si>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</si>
  <si>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</si>
  <si>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</si>
  <si>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</si>
  <si>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</si>
  <si>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</si>
  <si>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</si>
  <si>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</si>
  <si>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</si>
  <si>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</si>
  <si>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</si>
  <si>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</si>
  <si>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</si>
  <si>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</si>
  <si>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</si>
  <si>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</si>
  <si>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</si>
  <si>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</si>
  <si>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</si>
  <si>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</si>
  <si>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</si>
  <si>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</si>
  <si>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</si>
  <si>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</si>
  <si>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</si>
  <si>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</si>
  <si>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16.3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</si>
</sst>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" xfId="8" builtinId="26"/>
    <cellStyle name="Bom 2" xfId="17"/>
    <cellStyle name="Hiperlink" xfId="1" builtinId="8"/>
    <cellStyle name="Hiperlink 2" xfId="24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orcentagem" xfId="5" builtinId="5"/>
    <cellStyle name="Porcentagem 2" xfId="10"/>
    <cellStyle name="Porcentagem 3" xfId="15"/>
    <cellStyle name="Vírgula" xfId="6" builtinId="3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 dataCellStyle="Porcentagem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t7pgSMRYybMZWn8vSfzg36v3Pti4gEbdGN5GQhvnNlvTCBOrIjNon0VpSwH9f+QRhCkozA3x5WoopAobWpSs7A==" saltValue="u/VFAvQtXIsqLoVNXG8S+w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B2" sqref="B2:D2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9" t="s">
        <v>25</v>
      </c>
      <c r="C2" s="429"/>
      <c r="D2" s="42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0" t="s">
        <v>143</v>
      </c>
      <c r="D4" s="43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4"/>
      <c r="D6" s="435"/>
      <c r="E6" s="61"/>
      <c r="F6" s="161"/>
    </row>
    <row r="7" spans="2:6" ht="18" customHeight="1" x14ac:dyDescent="0.2">
      <c r="B7" s="189" t="s">
        <v>280</v>
      </c>
      <c r="C7" s="434"/>
      <c r="D7" s="435"/>
      <c r="E7" s="61"/>
      <c r="F7" s="161"/>
    </row>
    <row r="8" spans="2:6" ht="54" customHeight="1" x14ac:dyDescent="0.2">
      <c r="B8" s="52" t="s">
        <v>21</v>
      </c>
      <c r="C8" s="436"/>
      <c r="D8" s="43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/>
      </c>
      <c r="D9" s="378"/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8" t="str">
        <f>IFERROR(VLOOKUP(Sistema,Produtividades[],COLUMN(Produtividades[[#Headers],[Contrato]])-1,FALSE),"")</f>
        <v/>
      </c>
      <c r="D11" s="439"/>
      <c r="F11" s="158"/>
    </row>
    <row r="12" spans="2:6" x14ac:dyDescent="0.2">
      <c r="F12" s="158"/>
    </row>
    <row r="13" spans="2:6" x14ac:dyDescent="0.2">
      <c r="B13" s="179" t="s">
        <v>271</v>
      </c>
      <c r="C13" s="438" t="s">
        <v>167</v>
      </c>
      <c r="D13" s="439"/>
      <c r="F13" s="158"/>
    </row>
    <row r="14" spans="2:6" x14ac:dyDescent="0.2">
      <c r="F14" s="158"/>
    </row>
    <row r="15" spans="2:6" x14ac:dyDescent="0.2">
      <c r="B15" s="53" t="s">
        <v>166</v>
      </c>
      <c r="C15" s="444" t="s">
        <v>96</v>
      </c>
      <c r="D15" s="44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6" t="s">
        <v>156</v>
      </c>
      <c r="D17" s="44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3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0">
        <f>Horas_APF</f>
        <v>0</v>
      </c>
      <c r="D26" s="44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2" t="s">
        <v>24</v>
      </c>
      <c r="D28" s="443"/>
      <c r="E28" s="19"/>
      <c r="F28" s="19"/>
    </row>
    <row r="29" spans="2:6" ht="18" customHeight="1" x14ac:dyDescent="0.2">
      <c r="B29" s="52" t="s">
        <v>29</v>
      </c>
      <c r="C29" s="438">
        <f ca="1">ROUND(IF(RespostaContagem=Sim,Horas_HH_Total,Horas_HH_Total+EsforcoFases[[#Totals],[Esforço em Horas (preenchido)]]),2)</f>
        <v>0</v>
      </c>
      <c r="D29" s="43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0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2" t="e">
        <f ca="1">ROUND((Horas_APF+Horas_Analogia+Horas_HH+Horas_Gestao)*Flip,2)</f>
        <v>#VALUE!</v>
      </c>
      <c r="D34" s="433"/>
      <c r="E34" s="16"/>
      <c r="F34" s="16"/>
    </row>
    <row r="36" spans="2:6" x14ac:dyDescent="0.2">
      <c r="B36" s="53" t="s">
        <v>175</v>
      </c>
      <c r="C36" s="448" t="e">
        <f>VLOOKUP(Sistema,Produtividades[],COLUMN(Produtividades[[#Headers],[Taxa horária]])-1,FALSE)</f>
        <v>#N/A</v>
      </c>
      <c r="D36" s="449"/>
    </row>
    <row r="38" spans="2:6" x14ac:dyDescent="0.2">
      <c r="B38" s="53" t="s">
        <v>179</v>
      </c>
      <c r="C38" s="448" t="e">
        <f ca="1">Horas_Total*Taxa_Horaria</f>
        <v>#VALUE!</v>
      </c>
      <c r="D38" s="449"/>
    </row>
    <row r="40" spans="2:6" x14ac:dyDescent="0.2">
      <c r="B40" s="53" t="s">
        <v>178</v>
      </c>
      <c r="C40" s="450"/>
      <c r="D40" s="451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4"/>
      <c r="D42" s="455"/>
    </row>
    <row r="44" spans="2:6" ht="15.75" x14ac:dyDescent="0.2">
      <c r="B44" s="53" t="s">
        <v>180</v>
      </c>
      <c r="C44" s="452" t="e">
        <f ca="1">Custo-Desconto</f>
        <v>#VALUE!</v>
      </c>
      <c r="D44" s="453"/>
    </row>
  </sheetData>
  <sheetProtection algorithmName="SHA-512" hashValue="WGc8O04a0M4M6xavZtJ39ap2tDF/ZxOhYl8P+XNA6wlY29R5yAK1IIUUOtwzfS0DRbA91tnAALSYWDDt/5KzoA==" saltValue="LGb71RtNJZKsPDqbxlbnAg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>
        <f>Sistema</f>
        <v>0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 t="e">
        <f>VLOOKUP(C4,Produtividades[#All],2,0)</f>
        <v>#N/A</v>
      </c>
      <c r="E5" s="384" t="e">
        <f>VLOOKUP(C4,Produtividades[#All],3,0)</f>
        <v>#N/A</v>
      </c>
      <c r="F5" s="384" t="e">
        <f>VLOOKUP(C4,Produtividades[#All],4,0)</f>
        <v>#N/A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aDBfSPaNY6+u9nLC7VQJHUGqHXKB9kbaSdJB/zhq6YoJ6MlRTr71H9OjI/yR6OaCjSr/Pn+2SHXLiYi53zkmtA==" saltValue="zkVuLMrFmbN83Ww8i20JWQ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9" t="s">
        <v>71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>
        <f>Sistema</f>
        <v>0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 t="e">
        <f>VLOOKUP(C4,Produtividades[#All],2,0)</f>
        <v>#N/A</v>
      </c>
      <c r="E5" s="384" t="e">
        <f>VLOOKUP(C4,Produtividades[#All],3,0)</f>
        <v>#N/A</v>
      </c>
      <c r="F5" s="384" t="e">
        <f>VLOOKUP(C4,Produtividades[#All],4,0)</f>
        <v>#N/A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k+81q07LHqGmxFJSHd3HnEiVqT/XqsKc7yITR0o8De+i43WJxj2hfEV83loTRcylCkOFNp4Y0su5ve5tpVNZjQ==" saltValue="16LVTxjkYDswoXc1WcpFC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9" t="s">
        <v>98</v>
      </c>
      <c r="D2" s="429"/>
      <c r="E2" s="429"/>
      <c r="F2" s="429"/>
      <c r="G2" s="429"/>
      <c r="H2" s="429"/>
      <c r="I2" s="429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+p8ry6KkGIV+w9yzBgQl/Pil/oN0ORe6jo1AATcBK+IOFG0dmxiDT7YAd91gGxd/K90mjiHI+N1U0iCGCRYDsw==" saltValue="SjY8ROh802FrbkcJbki2h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410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hMDaU7rGcWiY6fSPQH1bO2j6+Ahpw0tD65cZT66ov0NNDi/zPuKk9PYFoRNHZGgKkl8pweARVtrE1C4v2nJ7Tw==" saltValue="l7O4I9e9aS+FSZGh+Pn06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411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nN7nQ6ChIueLgBN7oGGP5uhYcIAmX2vY6SWQZs5c+/B95HiLKqAbWRf1hzkk7bhE+V9TdGJeNG0chnGztLGc9Q==" saltValue="IZnBSbRVbIN6p1g6QYeDw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47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7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0"/>
      <c r="M11" s="501"/>
      <c r="N11" s="346" t="str">
        <f t="shared" ref="N11:N28" si="0">IF(L11="","",$AC$12&amp;L11)</f>
        <v/>
      </c>
      <c r="O11" s="500"/>
      <c r="P11" s="501"/>
      <c r="Q11" s="346" t="str">
        <f t="shared" ref="Q11:Q27" si="1">IF(O11="","",$AC$15&amp;O11)</f>
        <v/>
      </c>
      <c r="R11" s="500"/>
      <c r="S11" s="502"/>
      <c r="T11" s="50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ref="Q28:Q38" si="13">IF(O28="","",$AC$15&amp;O28)</f>
        <v/>
      </c>
      <c r="R28" s="500"/>
      <c r="S28" s="502"/>
      <c r="T28" s="50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0"/>
      <c r="M29" s="501"/>
      <c r="N29" s="346" t="str">
        <f t="shared" ref="N29:N40" si="14">IF(L29="","",$AC$12&amp;L29)</f>
        <v/>
      </c>
      <c r="O29" s="500"/>
      <c r="P29" s="501"/>
      <c r="Q29" s="346" t="str">
        <f t="shared" si="13"/>
        <v/>
      </c>
      <c r="R29" s="500"/>
      <c r="S29" s="502"/>
      <c r="T29" s="50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0"/>
      <c r="M30" s="501"/>
      <c r="N30" s="346" t="str">
        <f t="shared" si="14"/>
        <v/>
      </c>
      <c r="O30" s="500"/>
      <c r="P30" s="501"/>
      <c r="Q30" s="346" t="str">
        <f t="shared" si="13"/>
        <v/>
      </c>
      <c r="R30" s="500"/>
      <c r="S30" s="502"/>
      <c r="T30" s="50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0"/>
      <c r="M31" s="501"/>
      <c r="N31" s="346" t="str">
        <f t="shared" si="14"/>
        <v/>
      </c>
      <c r="O31" s="500"/>
      <c r="P31" s="501"/>
      <c r="Q31" s="346" t="str">
        <f t="shared" si="13"/>
        <v/>
      </c>
      <c r="R31" s="500"/>
      <c r="S31" s="502"/>
      <c r="T31" s="50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0"/>
      <c r="M32" s="501"/>
      <c r="N32" s="346" t="str">
        <f t="shared" si="14"/>
        <v/>
      </c>
      <c r="O32" s="500"/>
      <c r="P32" s="501"/>
      <c r="Q32" s="346" t="str">
        <f t="shared" si="13"/>
        <v/>
      </c>
      <c r="R32" s="500"/>
      <c r="S32" s="502"/>
      <c r="T32" s="50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0"/>
      <c r="M33" s="501"/>
      <c r="N33" s="346" t="str">
        <f t="shared" si="14"/>
        <v/>
      </c>
      <c r="O33" s="500"/>
      <c r="P33" s="501"/>
      <c r="Q33" s="346" t="str">
        <f t="shared" si="13"/>
        <v/>
      </c>
      <c r="R33" s="500"/>
      <c r="S33" s="502"/>
      <c r="T33" s="50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0"/>
      <c r="M34" s="501"/>
      <c r="N34" s="346" t="str">
        <f t="shared" si="14"/>
        <v/>
      </c>
      <c r="O34" s="500"/>
      <c r="P34" s="501"/>
      <c r="Q34" s="346" t="str">
        <f t="shared" si="13"/>
        <v/>
      </c>
      <c r="R34" s="500"/>
      <c r="S34" s="502"/>
      <c r="T34" s="50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0"/>
      <c r="M35" s="501"/>
      <c r="N35" s="346" t="str">
        <f t="shared" si="14"/>
        <v/>
      </c>
      <c r="O35" s="500"/>
      <c r="P35" s="501"/>
      <c r="Q35" s="346" t="str">
        <f t="shared" si="13"/>
        <v/>
      </c>
      <c r="R35" s="500"/>
      <c r="S35" s="502"/>
      <c r="T35" s="50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0"/>
      <c r="M36" s="501"/>
      <c r="N36" s="346" t="str">
        <f t="shared" si="14"/>
        <v/>
      </c>
      <c r="O36" s="500"/>
      <c r="P36" s="501"/>
      <c r="Q36" s="346" t="str">
        <f t="shared" si="13"/>
        <v/>
      </c>
      <c r="R36" s="500"/>
      <c r="S36" s="502"/>
      <c r="T36" s="50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0"/>
      <c r="M37" s="501"/>
      <c r="N37" s="346" t="str">
        <f t="shared" si="14"/>
        <v/>
      </c>
      <c r="O37" s="500"/>
      <c r="P37" s="501"/>
      <c r="Q37" s="346" t="str">
        <f t="shared" si="13"/>
        <v/>
      </c>
      <c r="R37" s="500"/>
      <c r="S37" s="502"/>
      <c r="T37" s="50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0"/>
      <c r="M38" s="501"/>
      <c r="N38" s="346" t="str">
        <f t="shared" si="14"/>
        <v/>
      </c>
      <c r="O38" s="500"/>
      <c r="P38" s="501"/>
      <c r="Q38" s="346" t="str">
        <f t="shared" si="13"/>
        <v/>
      </c>
      <c r="R38" s="500"/>
      <c r="S38" s="502"/>
      <c r="T38" s="50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0"/>
      <c r="M39" s="501"/>
      <c r="N39" s="346" t="str">
        <f t="shared" si="14"/>
        <v/>
      </c>
      <c r="O39" s="500"/>
      <c r="P39" s="501"/>
      <c r="Q39" s="346" t="str">
        <f t="shared" ref="Q39:Q50" si="16">IF(O39="","",$AC$15&amp;O39)</f>
        <v/>
      </c>
      <c r="R39" s="500"/>
      <c r="S39" s="502"/>
      <c r="T39" s="50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0"/>
      <c r="M40" s="501"/>
      <c r="N40" s="346" t="str">
        <f t="shared" si="14"/>
        <v/>
      </c>
      <c r="O40" s="500"/>
      <c r="P40" s="501"/>
      <c r="Q40" s="346" t="str">
        <f t="shared" si="16"/>
        <v/>
      </c>
      <c r="R40" s="500"/>
      <c r="S40" s="502"/>
      <c r="T40" s="50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0"/>
      <c r="M41" s="501"/>
      <c r="N41" s="346" t="str">
        <f t="shared" ref="N41:N50" si="17">IF(L41="","",$AC$12&amp;L41)</f>
        <v/>
      </c>
      <c r="O41" s="500"/>
      <c r="P41" s="501"/>
      <c r="Q41" s="346" t="str">
        <f t="shared" si="16"/>
        <v/>
      </c>
      <c r="R41" s="500"/>
      <c r="S41" s="502"/>
      <c r="T41" s="50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0"/>
      <c r="M42" s="501"/>
      <c r="N42" s="346" t="str">
        <f t="shared" si="17"/>
        <v/>
      </c>
      <c r="O42" s="500"/>
      <c r="P42" s="501"/>
      <c r="Q42" s="346" t="str">
        <f t="shared" si="16"/>
        <v/>
      </c>
      <c r="R42" s="500"/>
      <c r="S42" s="502"/>
      <c r="T42" s="50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0"/>
      <c r="M43" s="501"/>
      <c r="N43" s="346" t="str">
        <f t="shared" si="17"/>
        <v/>
      </c>
      <c r="O43" s="500"/>
      <c r="P43" s="501"/>
      <c r="Q43" s="346" t="str">
        <f t="shared" si="16"/>
        <v/>
      </c>
      <c r="R43" s="500"/>
      <c r="S43" s="502"/>
      <c r="T43" s="50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0"/>
      <c r="M44" s="501"/>
      <c r="N44" s="346" t="str">
        <f t="shared" si="17"/>
        <v/>
      </c>
      <c r="O44" s="500"/>
      <c r="P44" s="501"/>
      <c r="Q44" s="346" t="str">
        <f t="shared" si="16"/>
        <v/>
      </c>
      <c r="R44" s="500"/>
      <c r="S44" s="502"/>
      <c r="T44" s="50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0"/>
      <c r="M45" s="501"/>
      <c r="N45" s="346" t="str">
        <f t="shared" si="17"/>
        <v/>
      </c>
      <c r="O45" s="500"/>
      <c r="P45" s="501"/>
      <c r="Q45" s="346" t="str">
        <f t="shared" si="16"/>
        <v/>
      </c>
      <c r="R45" s="500"/>
      <c r="S45" s="502"/>
      <c r="T45" s="50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0"/>
      <c r="M46" s="501"/>
      <c r="N46" s="346" t="str">
        <f t="shared" si="17"/>
        <v/>
      </c>
      <c r="O46" s="500"/>
      <c r="P46" s="501"/>
      <c r="Q46" s="346" t="str">
        <f t="shared" si="16"/>
        <v/>
      </c>
      <c r="R46" s="500"/>
      <c r="S46" s="502"/>
      <c r="T46" s="50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0"/>
      <c r="M47" s="501"/>
      <c r="N47" s="346" t="str">
        <f t="shared" si="17"/>
        <v/>
      </c>
      <c r="O47" s="500"/>
      <c r="P47" s="501"/>
      <c r="Q47" s="346" t="str">
        <f t="shared" si="16"/>
        <v/>
      </c>
      <c r="R47" s="500"/>
      <c r="S47" s="502"/>
      <c r="T47" s="50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0"/>
      <c r="M48" s="501"/>
      <c r="N48" s="346" t="str">
        <f t="shared" si="17"/>
        <v/>
      </c>
      <c r="O48" s="500"/>
      <c r="P48" s="501"/>
      <c r="Q48" s="346" t="str">
        <f t="shared" si="16"/>
        <v/>
      </c>
      <c r="R48" s="500"/>
      <c r="S48" s="502"/>
      <c r="T48" s="50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0"/>
      <c r="M49" s="501"/>
      <c r="N49" s="346" t="str">
        <f t="shared" si="17"/>
        <v/>
      </c>
      <c r="O49" s="500"/>
      <c r="P49" s="501"/>
      <c r="Q49" s="346" t="str">
        <f t="shared" si="16"/>
        <v/>
      </c>
      <c r="R49" s="500"/>
      <c r="S49" s="502"/>
      <c r="T49" s="50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0"/>
      <c r="M50" s="501"/>
      <c r="N50" s="346" t="str">
        <f t="shared" si="17"/>
        <v/>
      </c>
      <c r="O50" s="500"/>
      <c r="P50" s="501"/>
      <c r="Q50" s="346" t="str">
        <f t="shared" si="16"/>
        <v/>
      </c>
      <c r="R50" s="500"/>
      <c r="S50" s="502"/>
      <c r="T50" s="50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3"/>
      <c r="M51" s="504"/>
      <c r="N51" s="346" t="str">
        <f t="shared" ref="N51" si="18">IF(AND(L51&lt;&gt;"",M51&lt;&gt;""),CONCATENATE($AC$12,L51,M51),"")</f>
        <v/>
      </c>
      <c r="O51" s="503"/>
      <c r="P51" s="504"/>
      <c r="Q51" s="346" t="str">
        <f t="shared" ref="Q51" si="19">IF(AND(O51&lt;&gt;"",P51&lt;&gt;""),CONCATENATE($AC$15,O51,P51),"")</f>
        <v/>
      </c>
      <c r="R51" s="503"/>
      <c r="S51" s="505"/>
      <c r="T51" s="504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5+N+8/WgPIwjwjvxflpy1ClP6yKdCtgimlOlu0aYeElwxU8mNIX2AQnZxgIpLPyHHn3VOuCQJ3dLKJY0rti4UA==" saltValue="/7h5W8lUUaoXtS++jhndUQ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0"/>
      <c r="M11" s="501"/>
      <c r="N11" s="346" t="str">
        <f t="shared" ref="N11:N50" si="0">IF(L11="","",$AC$12&amp;L11)</f>
        <v/>
      </c>
      <c r="O11" s="500"/>
      <c r="P11" s="501"/>
      <c r="Q11" s="346" t="str">
        <f t="shared" ref="Q11:Q50" si="1">IF(O11="","",$AC$15&amp;O11)</f>
        <v/>
      </c>
      <c r="R11" s="500"/>
      <c r="S11" s="502"/>
      <c r="T11" s="50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si="1"/>
        <v/>
      </c>
      <c r="R28" s="500"/>
      <c r="S28" s="502"/>
      <c r="T28" s="50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0"/>
      <c r="M29" s="501"/>
      <c r="N29" s="346" t="str">
        <f t="shared" si="0"/>
        <v/>
      </c>
      <c r="O29" s="500"/>
      <c r="P29" s="501"/>
      <c r="Q29" s="346" t="str">
        <f t="shared" si="1"/>
        <v/>
      </c>
      <c r="R29" s="500"/>
      <c r="S29" s="502"/>
      <c r="T29" s="50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0"/>
      <c r="M30" s="501"/>
      <c r="N30" s="346" t="str">
        <f t="shared" si="0"/>
        <v/>
      </c>
      <c r="O30" s="500"/>
      <c r="P30" s="501"/>
      <c r="Q30" s="346" t="str">
        <f t="shared" si="1"/>
        <v/>
      </c>
      <c r="R30" s="500"/>
      <c r="S30" s="502"/>
      <c r="T30" s="50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0"/>
      <c r="M31" s="501"/>
      <c r="N31" s="346" t="str">
        <f t="shared" si="0"/>
        <v/>
      </c>
      <c r="O31" s="500"/>
      <c r="P31" s="501"/>
      <c r="Q31" s="346" t="str">
        <f t="shared" si="1"/>
        <v/>
      </c>
      <c r="R31" s="500"/>
      <c r="S31" s="502"/>
      <c r="T31" s="50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0"/>
      <c r="M32" s="501"/>
      <c r="N32" s="346" t="str">
        <f t="shared" si="0"/>
        <v/>
      </c>
      <c r="O32" s="500"/>
      <c r="P32" s="501"/>
      <c r="Q32" s="346" t="str">
        <f t="shared" si="1"/>
        <v/>
      </c>
      <c r="R32" s="500"/>
      <c r="S32" s="502"/>
      <c r="T32" s="50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0"/>
      <c r="M33" s="501"/>
      <c r="N33" s="346" t="str">
        <f t="shared" si="0"/>
        <v/>
      </c>
      <c r="O33" s="500"/>
      <c r="P33" s="501"/>
      <c r="Q33" s="346" t="str">
        <f t="shared" si="1"/>
        <v/>
      </c>
      <c r="R33" s="500"/>
      <c r="S33" s="502"/>
      <c r="T33" s="50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0"/>
      <c r="M34" s="501"/>
      <c r="N34" s="346" t="str">
        <f t="shared" si="0"/>
        <v/>
      </c>
      <c r="O34" s="500"/>
      <c r="P34" s="501"/>
      <c r="Q34" s="346" t="str">
        <f t="shared" si="1"/>
        <v/>
      </c>
      <c r="R34" s="500"/>
      <c r="S34" s="502"/>
      <c r="T34" s="50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0"/>
      <c r="M35" s="501"/>
      <c r="N35" s="346" t="str">
        <f t="shared" si="0"/>
        <v/>
      </c>
      <c r="O35" s="500"/>
      <c r="P35" s="501"/>
      <c r="Q35" s="346" t="str">
        <f t="shared" si="1"/>
        <v/>
      </c>
      <c r="R35" s="500"/>
      <c r="S35" s="502"/>
      <c r="T35" s="50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0"/>
      <c r="M36" s="501"/>
      <c r="N36" s="346" t="str">
        <f t="shared" si="0"/>
        <v/>
      </c>
      <c r="O36" s="500"/>
      <c r="P36" s="501"/>
      <c r="Q36" s="346" t="str">
        <f t="shared" si="1"/>
        <v/>
      </c>
      <c r="R36" s="500"/>
      <c r="S36" s="502"/>
      <c r="T36" s="50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0"/>
      <c r="M37" s="501"/>
      <c r="N37" s="346" t="str">
        <f t="shared" si="0"/>
        <v/>
      </c>
      <c r="O37" s="500"/>
      <c r="P37" s="501"/>
      <c r="Q37" s="346" t="str">
        <f t="shared" si="1"/>
        <v/>
      </c>
      <c r="R37" s="500"/>
      <c r="S37" s="502"/>
      <c r="T37" s="50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0"/>
      <c r="M38" s="501"/>
      <c r="N38" s="346" t="str">
        <f t="shared" si="0"/>
        <v/>
      </c>
      <c r="O38" s="500"/>
      <c r="P38" s="501"/>
      <c r="Q38" s="346" t="str">
        <f t="shared" si="1"/>
        <v/>
      </c>
      <c r="R38" s="500"/>
      <c r="S38" s="502"/>
      <c r="T38" s="50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0"/>
      <c r="M39" s="501"/>
      <c r="N39" s="346" t="str">
        <f t="shared" si="0"/>
        <v/>
      </c>
      <c r="O39" s="500"/>
      <c r="P39" s="501"/>
      <c r="Q39" s="346" t="str">
        <f t="shared" si="1"/>
        <v/>
      </c>
      <c r="R39" s="500"/>
      <c r="S39" s="502"/>
      <c r="T39" s="50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0"/>
      <c r="M40" s="501"/>
      <c r="N40" s="346" t="str">
        <f t="shared" si="0"/>
        <v/>
      </c>
      <c r="O40" s="500"/>
      <c r="P40" s="501"/>
      <c r="Q40" s="346" t="str">
        <f t="shared" si="1"/>
        <v/>
      </c>
      <c r="R40" s="500"/>
      <c r="S40" s="502"/>
      <c r="T40" s="50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0"/>
      <c r="M41" s="501"/>
      <c r="N41" s="346" t="str">
        <f t="shared" si="0"/>
        <v/>
      </c>
      <c r="O41" s="500"/>
      <c r="P41" s="501"/>
      <c r="Q41" s="346" t="str">
        <f t="shared" si="1"/>
        <v/>
      </c>
      <c r="R41" s="500"/>
      <c r="S41" s="502"/>
      <c r="T41" s="50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0"/>
      <c r="M42" s="501"/>
      <c r="N42" s="346" t="str">
        <f t="shared" si="0"/>
        <v/>
      </c>
      <c r="O42" s="500"/>
      <c r="P42" s="501"/>
      <c r="Q42" s="346" t="str">
        <f t="shared" si="1"/>
        <v/>
      </c>
      <c r="R42" s="500"/>
      <c r="S42" s="502"/>
      <c r="T42" s="50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0"/>
      <c r="M43" s="501"/>
      <c r="N43" s="346" t="str">
        <f t="shared" si="0"/>
        <v/>
      </c>
      <c r="O43" s="500"/>
      <c r="P43" s="501"/>
      <c r="Q43" s="346" t="str">
        <f t="shared" si="1"/>
        <v/>
      </c>
      <c r="R43" s="500"/>
      <c r="S43" s="502"/>
      <c r="T43" s="50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0"/>
      <c r="M44" s="501"/>
      <c r="N44" s="346" t="str">
        <f t="shared" si="0"/>
        <v/>
      </c>
      <c r="O44" s="500"/>
      <c r="P44" s="501"/>
      <c r="Q44" s="346" t="str">
        <f t="shared" si="1"/>
        <v/>
      </c>
      <c r="R44" s="500"/>
      <c r="S44" s="502"/>
      <c r="T44" s="50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0"/>
      <c r="M45" s="501"/>
      <c r="N45" s="346" t="str">
        <f t="shared" si="0"/>
        <v/>
      </c>
      <c r="O45" s="500"/>
      <c r="P45" s="501"/>
      <c r="Q45" s="346" t="str">
        <f t="shared" si="1"/>
        <v/>
      </c>
      <c r="R45" s="500"/>
      <c r="S45" s="502"/>
      <c r="T45" s="50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0"/>
      <c r="M46" s="501"/>
      <c r="N46" s="346" t="str">
        <f t="shared" si="0"/>
        <v/>
      </c>
      <c r="O46" s="500"/>
      <c r="P46" s="501"/>
      <c r="Q46" s="346" t="str">
        <f t="shared" si="1"/>
        <v/>
      </c>
      <c r="R46" s="500"/>
      <c r="S46" s="502"/>
      <c r="T46" s="50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0"/>
      <c r="M47" s="501"/>
      <c r="N47" s="346" t="str">
        <f t="shared" si="0"/>
        <v/>
      </c>
      <c r="O47" s="500"/>
      <c r="P47" s="501"/>
      <c r="Q47" s="346" t="str">
        <f t="shared" si="1"/>
        <v/>
      </c>
      <c r="R47" s="500"/>
      <c r="S47" s="502"/>
      <c r="T47" s="50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0"/>
      <c r="M48" s="501"/>
      <c r="N48" s="346" t="str">
        <f t="shared" si="0"/>
        <v/>
      </c>
      <c r="O48" s="500"/>
      <c r="P48" s="501"/>
      <c r="Q48" s="346" t="str">
        <f t="shared" si="1"/>
        <v/>
      </c>
      <c r="R48" s="500"/>
      <c r="S48" s="502"/>
      <c r="T48" s="50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0"/>
      <c r="M49" s="501"/>
      <c r="N49" s="346" t="str">
        <f t="shared" si="0"/>
        <v/>
      </c>
      <c r="O49" s="500"/>
      <c r="P49" s="501"/>
      <c r="Q49" s="346" t="str">
        <f t="shared" si="1"/>
        <v/>
      </c>
      <c r="R49" s="500"/>
      <c r="S49" s="502"/>
      <c r="T49" s="50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0"/>
      <c r="M50" s="501"/>
      <c r="N50" s="346" t="str">
        <f t="shared" si="0"/>
        <v/>
      </c>
      <c r="O50" s="500"/>
      <c r="P50" s="501"/>
      <c r="Q50" s="346" t="str">
        <f t="shared" si="1"/>
        <v/>
      </c>
      <c r="R50" s="500"/>
      <c r="S50" s="502"/>
      <c r="T50" s="50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3"/>
      <c r="M51" s="504"/>
      <c r="N51" s="346" t="str">
        <f>IF(AND(L51&lt;&gt;"",M51&lt;&gt;""),CONCATENATE($AC$12,L51,M51),"")</f>
        <v/>
      </c>
      <c r="O51" s="503"/>
      <c r="P51" s="504"/>
      <c r="Q51" s="346" t="str">
        <f>IF(AND(O51&lt;&gt;"",P51&lt;&gt;""),CONCATENATE($AC$15,O51,P51),"")</f>
        <v/>
      </c>
      <c r="R51" s="503"/>
      <c r="S51" s="505"/>
      <c r="T51" s="50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mCeB6xu9BjRnepeTQ+t1z6z9D1jnlATb8hphBbD9eRZLU7+v8+yqbSy3bw1EfzlnT/kf3414IENRaHCJTbG1A==" saltValue="qacgwPYbQcN+AJ7P4PYPCQ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D13" sqref="D13:E13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9" t="s">
        <v>38</v>
      </c>
      <c r="D2" s="429"/>
      <c r="E2" s="429"/>
      <c r="F2" s="429"/>
      <c r="G2" s="429"/>
      <c r="H2" s="42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1" t="s">
        <v>39</v>
      </c>
      <c r="D3" s="521"/>
      <c r="E3" s="521"/>
      <c r="F3" s="521"/>
      <c r="G3" s="521"/>
      <c r="H3" s="521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9" t="s">
        <v>90</v>
      </c>
      <c r="E7" s="42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3"/>
      <c r="E8" s="523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e">
        <f>IF(K9=TRUE,"","Ciclo extra de Teste Integrado (entre fornecedores distintos)")</f>
        <v>#N/A</v>
      </c>
      <c r="D9" s="515"/>
      <c r="E9" s="515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e">
        <f>AND(FabricaTestes,VLOOKUP(B9,PercentuaisFases[],VLOOKUP(Fornecedor,MapFasesFornecedores[#All],4,FALSE),FALSE))</f>
        <v>#N/A</v>
      </c>
      <c r="L9" s="166" t="e">
        <f>IF(C9="",0)</f>
        <v>#N/A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e">
        <f>IF(K10=TRUE,"","Ciclo extra de UAT")</f>
        <v>#N/A</v>
      </c>
      <c r="D10" s="515"/>
      <c r="E10" s="515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e">
        <f>AND(FabricaTestes,VLOOKUP(B10,PercentuaisFases[],VLOOKUP(Fornecedor,MapFasesFornecedores[#All],4,FALSE),FALSE))</f>
        <v>#N/A</v>
      </c>
      <c r="L10" s="166" t="e">
        <f t="shared" ref="L10:L15" si="0">IF(C10="",0)</f>
        <v>#N/A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e">
        <f>IF(K11=TRUE,"","Ciclo extra de Teste de Sistema")</f>
        <v>#N/A</v>
      </c>
      <c r="D11" s="515"/>
      <c r="E11" s="515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e">
        <f>AND(FabricaTestes,VLOOKUP(B11,PercentuaisFases[],VLOOKUP(Fornecedor,MapFasesFornecedores[#All],4,FALSE),FALSE))</f>
        <v>#N/A</v>
      </c>
      <c r="L11" s="166" t="e">
        <f t="shared" si="0"/>
        <v>#N/A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9"/>
      <c r="E12" s="50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e">
        <f>IF(K13=TRUE,"","Site extra de Teste Integrado (entre fornecedores distintos)")</f>
        <v>#N/A</v>
      </c>
      <c r="D13" s="515"/>
      <c r="E13" s="515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e">
        <f>AND(FabricaTestes,VLOOKUP(B13,PercentuaisFases[],VLOOKUP(Fornecedor,MapFasesFornecedores[#All],4,FALSE),FALSE))</f>
        <v>#N/A</v>
      </c>
      <c r="L13" s="166" t="e">
        <f>IF(C13="",0)</f>
        <v>#N/A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e">
        <f>IF(K14=TRUE,"","Site extra de UAT")</f>
        <v>#N/A</v>
      </c>
      <c r="D14" s="515"/>
      <c r="E14" s="515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e">
        <f>AND(FabricaTestes,VLOOKUP(B14,PercentuaisFases[],VLOOKUP(Fornecedor,MapFasesFornecedores[#All],4,FALSE),FALSE))</f>
        <v>#N/A</v>
      </c>
      <c r="L14" s="166" t="e">
        <f t="shared" si="0"/>
        <v>#N/A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e">
        <f>IF(K15=TRUE,"","Site extra de Teste de Sistema")</f>
        <v>#N/A</v>
      </c>
      <c r="D15" s="515"/>
      <c r="E15" s="515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e">
        <f>AND(FabricaTestes,VLOOKUP(B15,PercentuaisFases[],VLOOKUP(Fornecedor,MapFasesFornecedores[#All],4,FALSE),FALSE))</f>
        <v>#N/A</v>
      </c>
      <c r="L15" s="166" t="e">
        <f t="shared" si="0"/>
        <v>#N/A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9"/>
      <c r="E16" s="50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6"/>
      <c r="E17" s="516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0</v>
      </c>
      <c r="M17" s="103">
        <f ca="1">L17*Acomp_PosProducao_Perc</f>
        <v>0</v>
      </c>
      <c r="N17" s="103">
        <f ca="1">MIN(M17,Acomp_PosProducao_Max)</f>
        <v>0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9"/>
      <c r="E18" s="50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0"/>
      <c r="E19" s="511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 t="e">
        <f>VLOOKUP(Sistema,Produtividades[],COLUMN(Produtividades[[#Headers],[Aba Itens configuração]])-1,FALSE)</f>
        <v>#N/A</v>
      </c>
      <c r="M19" s="131" t="e">
        <f>"'"&amp;L19&amp;"'!D5"</f>
        <v>#N/A</v>
      </c>
      <c r="N19" s="106" t="e">
        <f ca="1">INDIRECT(M19)</f>
        <v>#N/A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09"/>
      <c r="E20" s="509"/>
      <c r="F20" s="350"/>
      <c r="G20" s="7"/>
      <c r="H20" s="226"/>
      <c r="I20" s="94"/>
      <c r="J20" s="173"/>
      <c r="K20" s="174"/>
      <c r="L20" s="103" t="e">
        <f>VLOOKUP(Sistema,Produtividades[],COLUMN(Produtividades[[#Headers],[Aba Itens configuração]])-1,FALSE)</f>
        <v>#N/A</v>
      </c>
      <c r="M20" s="131" t="e">
        <f>"'"&amp;L20&amp;"'!E5"</f>
        <v>#N/A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0"/>
      <c r="E21" s="511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 t="e">
        <f>VLOOKUP(Sistema,Produtividades[],COLUMN(Produtividades[[#Headers],[Aba Estimator]])-1,FALSE)</f>
        <v>#N/A</v>
      </c>
      <c r="M21" s="131" t="e">
        <f>"'"&amp;L21&amp;"'!C7"</f>
        <v>#N/A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09"/>
      <c r="E22" s="50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0"/>
      <c r="E23" s="511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8" t="s">
        <v>432</v>
      </c>
      <c r="D24" s="518"/>
      <c r="E24" s="518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2" t="s">
        <v>409</v>
      </c>
      <c r="D26" s="522"/>
      <c r="E26" s="44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2"/>
      <c r="D27" s="513"/>
      <c r="E27" s="514"/>
      <c r="F27" s="351"/>
      <c r="G27" s="351"/>
      <c r="H27" s="227"/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2"/>
      <c r="D28" s="513"/>
      <c r="E28" s="514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2"/>
      <c r="D29" s="513"/>
      <c r="E29" s="514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2"/>
      <c r="D30" s="513"/>
      <c r="E30" s="514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2"/>
      <c r="D31" s="513"/>
      <c r="E31" s="514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2"/>
      <c r="D32" s="513"/>
      <c r="E32" s="514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2"/>
      <c r="D33" s="513"/>
      <c r="E33" s="514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2"/>
      <c r="D34" s="513"/>
      <c r="E34" s="514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2"/>
      <c r="D35" s="513"/>
      <c r="E35" s="514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2"/>
      <c r="D36" s="513"/>
      <c r="E36" s="514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8" t="s">
        <v>41</v>
      </c>
      <c r="D43" s="518"/>
      <c r="E43" s="518"/>
      <c r="F43" s="221">
        <f>SUM(F27:F42)</f>
        <v>0</v>
      </c>
      <c r="G43" s="221">
        <f>SUM(G27:G42)</f>
        <v>0</v>
      </c>
      <c r="H43" s="137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2" t="s">
        <v>62</v>
      </c>
      <c r="E55" s="44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7"/>
      <c r="E56" s="517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9"/>
      <c r="E57" s="52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9" t="s">
        <v>69</v>
      </c>
      <c r="E60" s="42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7"/>
      <c r="E61" s="517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9"/>
      <c r="E62" s="52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hkxHFKwATXa3j00CmN3KP55e4qr+lH852AyqbjAOf8JJUcTOWBbo56ZH/Cl3m8IJFRMhVjsC5oV+FYnr3VG2Xw==" saltValue="j4wBuTGsjTQKwoMkObHl9A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29" t="s">
        <v>26</v>
      </c>
      <c r="C2" s="429"/>
      <c r="D2" s="429"/>
      <c r="E2" s="429"/>
      <c r="F2" s="429"/>
      <c r="G2" s="429"/>
      <c r="H2" s="42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e">
        <f>VLOOKUP(Sistema,Produtividades[],COLUMN(Produtividades[[#Headers],[Fábrica Testes]])-1,FALSE)</f>
        <v>#N/A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e">
        <f>IF(OR(EsforcoFases[[#This Row],[Ativ. Fabrica Testes]],VLOOKUP(B6,PercentuaisFases[],VLOOKUP(Fornecedor,MapFasesFornecedores[#All],2,FALSE),FALSE)=0),"",VLOOKUP(B6,PercentuaisFases[],VLOOKUP(Fornecedor,MapFasesFornecedores[#All],2,FALSE),FALSE))</f>
        <v>#N/A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e">
        <f>AND(FabricaTestes,VLOOKUP(B6,PercentuaisFases[],VLOOKUP(Fornecedor,MapFasesFornecedores[#All],4,FALSE),FALSE))</f>
        <v>#N/A</v>
      </c>
      <c r="K6" s="166" t="e">
        <f t="shared" ref="K6:K18" si="0">IF(C6="",0)</f>
        <v>#N/A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e">
        <f>IF(OR(EsforcoFases[[#This Row],[Ativ. Fabrica Testes]],VLOOKUP(B7,PercentuaisFases[],VLOOKUP(Fornecedor,MapFasesFornecedores[#All],2,FALSE),FALSE)=0),"",VLOOKUP(B7,PercentuaisFases[],VLOOKUP(Fornecedor,MapFasesFornecedores[#All],2,FALSE),FALSE))</f>
        <v>#N/A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e">
        <f>AND(FabricaTestes,VLOOKUP(B7,PercentuaisFases[],VLOOKUP(Fornecedor,MapFasesFornecedores[#All],4,FALSE),FALSE))</f>
        <v>#N/A</v>
      </c>
      <c r="K7" s="166" t="e">
        <f t="shared" si="0"/>
        <v>#N/A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e">
        <f>IF(OR(EsforcoFases[[#This Row],[Ativ. Fabrica Testes]],VLOOKUP(B8,PercentuaisFases[],VLOOKUP(Fornecedor,MapFasesFornecedores[#All],2,FALSE),FALSE)=0),"",VLOOKUP(B8,PercentuaisFases[],VLOOKUP(Fornecedor,MapFasesFornecedores[#All],2,FALSE),FALSE))</f>
        <v>#N/A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e">
        <f>AND(FabricaTestes,VLOOKUP(B8,PercentuaisFases[],VLOOKUP(Fornecedor,MapFasesFornecedores[#All],4,FALSE),FALSE))</f>
        <v>#N/A</v>
      </c>
      <c r="K8" s="166" t="e">
        <f t="shared" si="0"/>
        <v>#N/A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e">
        <f>IF(OR(EsforcoFases[[#This Row],[Ativ. Fabrica Testes]],VLOOKUP(B9,PercentuaisFases[],VLOOKUP(Fornecedor,MapFasesFornecedores[#All],2,FALSE),FALSE)=0),"",VLOOKUP(B9,PercentuaisFases[],VLOOKUP(Fornecedor,MapFasesFornecedores[#All],2,FALSE),FALSE))</f>
        <v>#N/A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e">
        <f>AND(FabricaTestes,VLOOKUP(B9,PercentuaisFases[],VLOOKUP(Fornecedor,MapFasesFornecedores[#All],4,FALSE),FALSE))</f>
        <v>#N/A</v>
      </c>
      <c r="K9" s="166" t="e">
        <f>IF(OR(F10&gt;0,C9=""),0)</f>
        <v>#N/A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e">
        <f>IF(OR(EsforcoFases[[#This Row],[Ativ. Fabrica Testes]],VLOOKUP(B10,PercentuaisFases[],VLOOKUP(Fornecedor,MapFasesFornecedores[#All],2,FALSE),FALSE)=0),"",VLOOKUP(B10,PercentuaisFases[],VLOOKUP(Fornecedor,MapFasesFornecedores[#All],2,FALSE),FALSE))</f>
        <v>#N/A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e">
        <f>AND(FabricaTestes,VLOOKUP(B10,PercentuaisFases[],VLOOKUP(Fornecedor,MapFasesFornecedores[#All],4,FALSE),FALSE))</f>
        <v>#N/A</v>
      </c>
      <c r="K10" s="166" t="e">
        <f>IF(OR(F9&gt;0,C10=""),0)</f>
        <v>#N/A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e">
        <f>IF(OR(EsforcoFases[[#This Row],[Ativ. Fabrica Testes]],VLOOKUP(B11,PercentuaisFases[],VLOOKUP(Fornecedor,MapFasesFornecedores[#All],2,FALSE),FALSE)=0),"",VLOOKUP(B11,PercentuaisFases[],VLOOKUP(Fornecedor,MapFasesFornecedores[#All],2,FALSE),FALSE))</f>
        <v>#N/A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e">
        <f>AND(FabricaTestes,VLOOKUP(B11,PercentuaisFases[],VLOOKUP(Fornecedor,MapFasesFornecedores[#All],4,FALSE),FALSE))</f>
        <v>#N/A</v>
      </c>
      <c r="K11" s="166" t="e">
        <f t="shared" si="0"/>
        <v>#N/A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e">
        <f>IF(OR(EsforcoFases[[#This Row],[Ativ. Fabrica Testes]],VLOOKUP(B12,PercentuaisFases[],VLOOKUP(Fornecedor,MapFasesFornecedores[#All],2,FALSE),FALSE)=0),"",VLOOKUP(B12,PercentuaisFases[],VLOOKUP(Fornecedor,MapFasesFornecedores[#All],2,FALSE),FALSE))</f>
        <v>#N/A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e">
        <f>AND(FabricaTestes,VLOOKUP(B12,PercentuaisFases[],VLOOKUP(Fornecedor,MapFasesFornecedores[#All],4,FALSE),FALSE))</f>
        <v>#N/A</v>
      </c>
      <c r="K12" s="166" t="e">
        <f t="shared" si="0"/>
        <v>#N/A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e">
        <f>IF(OR(EsforcoFases[[#This Row],[Ativ. Fabrica Testes]],VLOOKUP(B13,PercentuaisFases[],VLOOKUP(Fornecedor,MapFasesFornecedores[#All],2,FALSE),FALSE)=0),"",VLOOKUP(B13,PercentuaisFases[],VLOOKUP(Fornecedor,MapFasesFornecedores[#All],2,FALSE),FALSE))</f>
        <v>#N/A</v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e">
        <f>AND(FabricaTestes,VLOOKUP(B13,PercentuaisFases[],VLOOKUP(Fornecedor,MapFasesFornecedores[#All],4,FALSE),FALSE))</f>
        <v>#N/A</v>
      </c>
      <c r="K13" s="374" t="e">
        <f t="shared" si="0"/>
        <v>#N/A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e">
        <f>IF(OR(EsforcoFases[[#This Row],[Ativ. Fabrica Testes]],VLOOKUP(B14,PercentuaisFases[],VLOOKUP(Fornecedor,MapFasesFornecedores[#All],2,FALSE),FALSE)=0),"",VLOOKUP(B14,PercentuaisFases[],VLOOKUP(Fornecedor,MapFasesFornecedores[#All],2,FALSE),FALSE))</f>
        <v>#N/A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e">
        <f>AND(FabricaTestes,VLOOKUP(B14,PercentuaisFases[],VLOOKUP(Fornecedor,MapFasesFornecedores[#All],4,FALSE),FALSE))</f>
        <v>#N/A</v>
      </c>
      <c r="K14" s="374" t="e">
        <f t="shared" si="0"/>
        <v>#N/A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e">
        <f>IF(OR(EsforcoFases[[#This Row],[Ativ. Fabrica Testes]],VLOOKUP(B15,PercentuaisFases[],VLOOKUP(Fornecedor,MapFasesFornecedores[#All],2,FALSE),FALSE)=0),"",VLOOKUP(B15,PercentuaisFases[],VLOOKUP(Fornecedor,MapFasesFornecedores[#All],2,FALSE),FALSE))</f>
        <v>#N/A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e">
        <f>AND(FabricaTestes,VLOOKUP(B15,PercentuaisFases[],VLOOKUP(Fornecedor,MapFasesFornecedores[#All],4,FALSE),FALSE))</f>
        <v>#N/A</v>
      </c>
      <c r="K15" s="374" t="e">
        <f t="shared" si="0"/>
        <v>#N/A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e">
        <f>IF(OR(EsforcoFases[[#This Row],[Ativ. Fabrica Testes]],VLOOKUP(B16,PercentuaisFases[],VLOOKUP(Fornecedor,MapFasesFornecedores[#All],2,FALSE),FALSE)=0),"",VLOOKUP(B16,PercentuaisFases[],VLOOKUP(Fornecedor,MapFasesFornecedores[#All],2,FALSE),FALSE))</f>
        <v>#N/A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e">
        <f>AND(FabricaTestes,VLOOKUP(B16,PercentuaisFases[],VLOOKUP(Fornecedor,MapFasesFornecedores[#All],4,FALSE),FALSE))</f>
        <v>#N/A</v>
      </c>
      <c r="K16" s="166" t="e">
        <f t="shared" si="0"/>
        <v>#N/A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e">
        <f>IF(OR(EsforcoFases[[#This Row],[Ativ. Fabrica Testes]],VLOOKUP(B17,PercentuaisFases[],VLOOKUP(Fornecedor,MapFasesFornecedores[#All],2,FALSE),FALSE)=0),"",VLOOKUP(B17,PercentuaisFases[],VLOOKUP(Fornecedor,MapFasesFornecedores[#All],2,FALSE),FALSE))</f>
        <v>#N/A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e">
        <f>AND(FabricaTestes,VLOOKUP(B17,PercentuaisFases[],VLOOKUP(Fornecedor,MapFasesFornecedores[#All],4,FALSE),FALSE))</f>
        <v>#N/A</v>
      </c>
      <c r="K17" s="166" t="e">
        <f t="shared" si="0"/>
        <v>#N/A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e">
        <f>IF(OR(EsforcoFases[[#This Row],[Ativ. Fabrica Testes]],VLOOKUP(B18,PercentuaisFases[],VLOOKUP(Fornecedor,MapFasesFornecedores[#All],2,FALSE),FALSE)=0),"",VLOOKUP(B18,PercentuaisFases[],VLOOKUP(Fornecedor,MapFasesFornecedores[#All],2,FALSE),FALSE))</f>
        <v>#N/A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e">
        <f>AND(FabricaTestes,VLOOKUP(B18,PercentuaisFases[],VLOOKUP(Fornecedor,MapFasesFornecedores[#All],4,FALSE),FALSE))</f>
        <v>#N/A</v>
      </c>
      <c r="K18" s="103" t="e">
        <f t="shared" si="0"/>
        <v>#N/A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fPklEvxkf8yzhI/3Y3Jru6Sq141tobsCpfYT5n29v2WvKRE8sM2jC2yzKRl9s59pIn4nr6C64UHKZLCupVf/IA==" saltValue="UK2AvO81/PYfrpr7T2IIT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9" t="s">
        <v>23</v>
      </c>
      <c r="C2" s="429"/>
      <c r="D2" s="42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icvXy/8sBQdmH6Jfua2jGIhB2mTpy4Qm/VKlfnuESESCPSf/BWUnxyYUwgsWpwPEctLYLEl34uUaFQznxQtwJQ==" saltValue="WKQqfLMhxAsp9caY0drSq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F15" sqref="F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9" t="s">
        <v>22</v>
      </c>
      <c r="C2" s="429"/>
      <c r="D2" s="429"/>
      <c r="E2" s="429"/>
      <c r="F2" s="429"/>
      <c r="G2" s="429"/>
      <c r="H2" s="42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129.66999999999999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158.99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158.99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129.66999999999999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129.66999999999999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129.66999999999999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158.99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158.99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158.99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158.99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175.76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129.66999999999999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129.66999999999999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158.99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129.66999999999999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129.66999999999999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158.99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158.99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158.99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129.66999999999999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129.66999999999999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129.66999999999999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129.66999999999999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158.99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158.99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158.99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158.99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158.99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129.66999999999999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129.66999999999999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158.99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158.99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129.66999999999999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129.66999999999999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158.99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129.66999999999999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kM8z9vhR1cLXthrx6n3giApodUmIttZ2u3x9b+azHDq3Z1AOxWf+nlHh8q7bOoMC32ZCGo4FukQpFAOL+eMPeQ==" saltValue="ADQPs+oXnp+RSU6fcyGWbA==" spinCount="100000" sheet="1" objects="1" scenarios="1"/>
  <mergeCells count="1">
    <mergeCell ref="B2:H2"/>
  </mergeCells>
  <phoneticPr fontId="0" type="noConversion"/>
  <dataValidations disablePrompts="1"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8"/>
  <sheetViews>
    <sheetView showGridLines="0" showRowColHeaders="0" zoomScale="85" zoomScaleNormal="85" workbookViewId="0">
      <selection activeCell="E18" sqref="E18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  <row r="18" spans="2:5" x14ac:dyDescent="0.25">
      <c r="B18" s="125" t="s">
        <v>494</v>
      </c>
      <c r="C18" s="239">
        <v>0</v>
      </c>
      <c r="D18" s="125" t="s">
        <v>467</v>
      </c>
      <c r="E18" s="242" t="s">
        <v>493</v>
      </c>
    </row>
  </sheetData>
  <sheetProtection algorithmName="SHA-512" hashValue="WzMif/fL3sVLJzCxiRx0ncNAoThJkNQOgnQMisi5SUdPC/z19g0c3Qf1yQhYisXJEoOSCWfVBbJVvahkjG0Osg==" saltValue="AMb3gIHRNZOWvVBw+Rgt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uQlFozEteZfzA3SBr4PIWOjVhPv2PS6+gOhr1rCSQkaAjdSdAlvAthxTa/p7jG9PY4+z8SMGAhN1vwz4UwvjQg==" saltValue="ci65zNreyJ0CEU7GZtrBF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jVTkJLzsKAN8v+7p4/IIsXAon/S5qInsrn5uakYjBcVh5AxAI5l+V2cbssBq8sk6WUHkpzI8lxOvsjS52wO8Rw==" saltValue="tJCAzRKdu2Elt30J8zLqa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kn9uAyJo1iuGsdlgiECiSPG43snOdjfQkAfD8dFbFFlC1OWyS0ZcpGWWt+QFonkSVCZK6n8pWQlgiOf0yxkWLQ==" saltValue="YhSuR38diTelW+5Ad1oXcQ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e">
        <f>IF(ItensNaoFuncionais[[#This Row],[Lista 1]]="","",IF(AND(FabricaTestes=TRUE,ItensNaoFuncionais[[#This Row],[Fabrica Testes 1]]=TRUE),"",ItensNaoFuncionais[[#This Row],[Lista 1]]))</f>
        <v>#N/A</v>
      </c>
      <c r="B3" s="86" t="b">
        <v>1</v>
      </c>
      <c r="C3" s="86" t="b">
        <v>0</v>
      </c>
      <c r="D3" s="86" t="s">
        <v>212</v>
      </c>
      <c r="E3" s="86" t="e">
        <f>IF(ItensNaoFuncionais[[#This Row],[Lista 2]]="","",IF(AND(FabricaTestes=TRUE,ItensNaoFuncionais[[#This Row],[Fabrica Testes 2]]=TRUE),"",ItensNaoFuncionais[[#This Row],[Lista 2]]))</f>
        <v>#N/A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e">
        <f>IF(ItensNaoFuncionais[[#This Row],[Lista 1]]="","",IF(AND(FabricaTestes=TRUE,ItensNaoFuncionais[[#This Row],[Fabrica Testes 1]]=TRUE),"",ItensNaoFuncionais[[#This Row],[Lista 1]]))</f>
        <v>#N/A</v>
      </c>
      <c r="B4" s="86" t="b">
        <v>0</v>
      </c>
      <c r="C4" s="86" t="b">
        <v>0</v>
      </c>
      <c r="D4" s="86" t="s">
        <v>213</v>
      </c>
      <c r="E4" s="86" t="e">
        <f>IF(ItensNaoFuncionais[[#This Row],[Lista 2]]="","",IF(AND(FabricaTestes=TRUE,ItensNaoFuncionais[[#This Row],[Fabrica Testes 2]]=TRUE),"",ItensNaoFuncionais[[#This Row],[Lista 2]]))</f>
        <v>#N/A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e">
        <f>IF(ItensNaoFuncionais[[#This Row],[Lista 1]]="","",IF(AND(FabricaTestes=TRUE,ItensNaoFuncionais[[#This Row],[Fabrica Testes 1]]=TRUE),"",ItensNaoFuncionais[[#This Row],[Lista 1]]))</f>
        <v>#N/A</v>
      </c>
      <c r="B5" s="86" t="b">
        <v>0</v>
      </c>
      <c r="C5" s="86" t="b">
        <v>0</v>
      </c>
      <c r="D5" s="86" t="s">
        <v>214</v>
      </c>
      <c r="E5" s="86" t="e">
        <f>IF(ItensNaoFuncionais[[#This Row],[Lista 2]]="","",IF(AND(FabricaTestes=TRUE,ItensNaoFuncionais[[#This Row],[Fabrica Testes 2]]=TRUE),"",ItensNaoFuncionais[[#This Row],[Lista 2]]))</f>
        <v>#N/A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e">
        <f>IF(ItensNaoFuncionais[[#This Row],[Lista 1]]="","",IF(AND(FabricaTestes=TRUE,ItensNaoFuncionais[[#This Row],[Fabrica Testes 1]]=TRUE),"",ItensNaoFuncionais[[#This Row],[Lista 1]]))</f>
        <v>#N/A</v>
      </c>
      <c r="B6" s="86" t="b">
        <v>0</v>
      </c>
      <c r="C6" s="86" t="b">
        <v>0</v>
      </c>
      <c r="D6" s="86" t="s">
        <v>11</v>
      </c>
      <c r="E6" s="86" t="e">
        <f>IF(ItensNaoFuncionais[[#This Row],[Lista 2]]="","",IF(AND(FabricaTestes=TRUE,ItensNaoFuncionais[[#This Row],[Fabrica Testes 2]]=TRUE),"",ItensNaoFuncionais[[#This Row],[Lista 2]]))</f>
        <v>#N/A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e">
        <f>IF(ItensNaoFuncionais[[#This Row],[Lista 1]]="","",IF(AND(FabricaTestes=TRUE,ItensNaoFuncionais[[#This Row],[Fabrica Testes 1]]=TRUE),"",ItensNaoFuncionais[[#This Row],[Lista 1]]))</f>
        <v>#N/A</v>
      </c>
      <c r="B7" s="142" t="b">
        <v>0</v>
      </c>
      <c r="C7" s="142" t="b">
        <v>0</v>
      </c>
      <c r="D7" s="142" t="s">
        <v>277</v>
      </c>
      <c r="E7" s="86" t="e">
        <f>IF(ItensNaoFuncionais[[#This Row],[Lista 2]]="","",IF(AND(FabricaTestes=TRUE,ItensNaoFuncionais[[#This Row],[Fabrica Testes 2]]=TRUE),"",ItensNaoFuncionais[[#This Row],[Lista 2]]))</f>
        <v>#N/A</v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e">
        <f>IF(ItensNaoFuncionais[[#This Row],[Lista 1]]="","",IF(AND(FabricaTestes=TRUE,ItensNaoFuncionais[[#This Row],[Fabrica Testes 1]]=TRUE),"",ItensNaoFuncionais[[#This Row],[Lista 1]]))</f>
        <v>#N/A</v>
      </c>
      <c r="B8" s="142" t="b">
        <v>0</v>
      </c>
      <c r="C8" s="142" t="b">
        <v>0</v>
      </c>
      <c r="D8" s="142" t="s">
        <v>36</v>
      </c>
      <c r="E8" s="86" t="e">
        <f>IF(ItensNaoFuncionais[[#This Row],[Lista 2]]="","",IF(AND(FabricaTestes=TRUE,ItensNaoFuncionais[[#This Row],[Fabrica Testes 2]]=TRUE),"",ItensNaoFuncionais[[#This Row],[Lista 2]]))</f>
        <v>#N/A</v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e">
        <f>IF(ItensNaoFuncionais[[#This Row],[Lista 1]]="","",IF(AND(FabricaTestes=TRUE,ItensNaoFuncionais[[#This Row],[Fabrica Testes 1]]=TRUE),"",ItensNaoFuncionais[[#This Row],[Lista 1]]))</f>
        <v>#N/A</v>
      </c>
      <c r="B9" s="142" t="b">
        <v>0</v>
      </c>
      <c r="C9" s="142" t="b">
        <v>0</v>
      </c>
      <c r="D9" s="142" t="s">
        <v>276</v>
      </c>
      <c r="E9" s="86" t="e">
        <f>IF(ItensNaoFuncionais[[#This Row],[Lista 2]]="","",IF(AND(FabricaTestes=TRUE,ItensNaoFuncionais[[#This Row],[Fabrica Testes 2]]=TRUE),"",ItensNaoFuncionais[[#This Row],[Lista 2]]))</f>
        <v>#N/A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e">
        <f>IF(ItensNaoFuncionais[[#This Row],[Lista 1]]="","",IF(AND(FabricaTestes=TRUE,ItensNaoFuncionais[[#This Row],[Fabrica Testes 1]]=TRUE),"",ItensNaoFuncionais[[#This Row],[Lista 1]]))</f>
        <v>#N/A</v>
      </c>
      <c r="B10" s="142" t="b">
        <v>0</v>
      </c>
      <c r="C10" s="142" t="b">
        <v>0</v>
      </c>
      <c r="D10" s="142" t="s">
        <v>16</v>
      </c>
      <c r="E10" s="86" t="e">
        <f>IF(ItensNaoFuncionais[[#This Row],[Lista 2]]="","",IF(AND(FabricaTestes=TRUE,ItensNaoFuncionais[[#This Row],[Fabrica Testes 2]]=TRUE),"",ItensNaoFuncionais[[#This Row],[Lista 2]]))</f>
        <v>#N/A</v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e">
        <f>IF(ItensNaoFuncionais[[#This Row],[Lista 1]]="","",IF(AND(FabricaTestes=TRUE,ItensNaoFuncionais[[#This Row],[Fabrica Testes 1]]=TRUE),"",ItensNaoFuncionais[[#This Row],[Lista 1]]))</f>
        <v>#N/A</v>
      </c>
      <c r="B11" s="142" t="b">
        <v>0</v>
      </c>
      <c r="C11" s="142" t="b">
        <v>0</v>
      </c>
      <c r="D11" s="142" t="s">
        <v>80</v>
      </c>
      <c r="E11" s="86" t="e">
        <f>IF(ItensNaoFuncionais[[#This Row],[Lista 2]]="","",IF(AND(FabricaTestes=TRUE,ItensNaoFuncionais[[#This Row],[Fabrica Testes 2]]=TRUE),"",ItensNaoFuncionais[[#This Row],[Lista 2]]))</f>
        <v>#N/A</v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e">
        <f>IF(ItensNaoFuncionais[[#This Row],[Lista 1]]="","",IF(AND(FabricaTestes=TRUE,ItensNaoFuncionais[[#This Row],[Fabrica Testes 1]]=TRUE),"",ItensNaoFuncionais[[#This Row],[Lista 1]]))</f>
        <v>#N/A</v>
      </c>
      <c r="B12" s="142" t="b">
        <v>0</v>
      </c>
      <c r="C12" s="142" t="b">
        <v>0</v>
      </c>
      <c r="D12" s="142" t="s">
        <v>17</v>
      </c>
      <c r="E12" s="86" t="e">
        <f>IF(ItensNaoFuncionais[[#This Row],[Lista 2]]="","",IF(AND(FabricaTestes=TRUE,ItensNaoFuncionais[[#This Row],[Fabrica Testes 2]]=TRUE),"",ItensNaoFuncionais[[#This Row],[Lista 2]]))</f>
        <v>#N/A</v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e">
        <f>IF(ItensNaoFuncionais[[#This Row],[Lista 1]]="","",IF(AND(FabricaTestes=TRUE,ItensNaoFuncionais[[#This Row],[Fabrica Testes 1]]=TRUE),"",ItensNaoFuncionais[[#This Row],[Lista 1]]))</f>
        <v>#N/A</v>
      </c>
      <c r="B13" s="142" t="b">
        <v>0</v>
      </c>
      <c r="C13" s="186" t="b">
        <v>0</v>
      </c>
      <c r="D13" s="187" t="s">
        <v>278</v>
      </c>
      <c r="E13" s="86" t="e">
        <f>IF(ItensNaoFuncionais[[#This Row],[Lista 2]]="","",IF(AND(FabricaTestes=TRUE,ItensNaoFuncionais[[#This Row],[Fabrica Testes 2]]=TRUE),"",ItensNaoFuncionais[[#This Row],[Lista 2]]))</f>
        <v>#N/A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e">
        <f>IF(ItensNaoFuncionais[[#This Row],[Lista 1]]="","",IF(AND(FabricaTestes=TRUE,ItensNaoFuncionais[[#This Row],[Fabrica Testes 1]]=TRUE),"",ItensNaoFuncionais[[#This Row],[Lista 1]]))</f>
        <v>#N/A</v>
      </c>
      <c r="B14" s="142" t="b">
        <v>0</v>
      </c>
      <c r="C14" s="142" t="b">
        <v>0</v>
      </c>
      <c r="D14" s="188" t="s">
        <v>279</v>
      </c>
      <c r="E14" s="86" t="e">
        <f>IF(ItensNaoFuncionais[[#This Row],[Lista 2]]="","",IF(AND(FabricaTestes=TRUE,ItensNaoFuncionais[[#This Row],[Fabrica Testes 2]]=TRUE),"",ItensNaoFuncionais[[#This Row],[Lista 2]]))</f>
        <v>#N/A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e">
        <f>IF(ItensNaoFuncionais[[#This Row],[Lista 1]]="","",IF(AND(FabricaTestes=TRUE,ItensNaoFuncionais[[#This Row],[Fabrica Testes 1]]=TRUE),"",ItensNaoFuncionais[[#This Row],[Lista 1]]))</f>
        <v>#N/A</v>
      </c>
      <c r="B15" s="142" t="b">
        <v>0</v>
      </c>
      <c r="C15" s="142" t="b">
        <v>0</v>
      </c>
      <c r="D15" s="188" t="s">
        <v>185</v>
      </c>
      <c r="E15" s="86" t="e">
        <f>IF(ItensNaoFuncionais[[#This Row],[Lista 2]]="","",IF(AND(FabricaTestes=TRUE,ItensNaoFuncionais[[#This Row],[Fabrica Testes 2]]=TRUE),"",ItensNaoFuncionais[[#This Row],[Lista 2]]))</f>
        <v>#N/A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82iQhon9uAQADyuaXeVWKFjykHv27bxAsUJv3++pDXgIRoZR6KPfGHrk/jSmQRQDkxcS3n8anxpfvzeTBfl0A==" saltValue="0R1olw7PQr0k1gO5Jo++0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Sergio Gdanski</cp:lastModifiedBy>
  <dcterms:created xsi:type="dcterms:W3CDTF">2006-09-25T12:47:36Z</dcterms:created>
  <dcterms:modified xsi:type="dcterms:W3CDTF">2018-01-08T19:16:21Z</dcterms:modified>
</cp:coreProperties>
</file>