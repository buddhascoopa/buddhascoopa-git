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\PROJETOS DE FATURAMENTO\REVERSAO DO GANHO\Projetos\Cadastro de Provedores\"/>
    </mc:Choice>
  </mc:AlternateContent>
  <bookViews>
    <workbookView xWindow="0" yWindow="0" windowWidth="20490" windowHeight="7455" tabRatio="929" activeTab="3"/>
  </bookViews>
  <sheets>
    <sheet name="INSTRUÇÕES" sheetId="2" r:id="rId1"/>
    <sheet name="Defesa" sheetId="3" r:id="rId2"/>
    <sheet name="Propostas" sheetId="10" r:id="rId3"/>
    <sheet name="Projeto" sheetId="32" r:id="rId4"/>
    <sheet name="Projeto_OLD" sheetId="31" state="hidden" r:id="rId5"/>
    <sheet name="FICHA" sheetId="27" state="hidden" r:id="rId6"/>
    <sheet name="CONTRATOS" sheetId="29" state="hidden" r:id="rId7"/>
    <sheet name="SISTEMA" sheetId="26" state="hidden" r:id="rId8"/>
    <sheet name="TABELAS" sheetId="5" state="hidden" r:id="rId9"/>
    <sheet name="VW_GO" sheetId="21" state="hidden" r:id="rId10"/>
    <sheet name="VW_RC" sheetId="22" state="hidden" r:id="rId11"/>
    <sheet name="VW_PROJETO" sheetId="28" state="hidden" r:id="rId12"/>
    <sheet name="TB_DEFESA" sheetId="19" state="hidden" r:id="rId13"/>
    <sheet name="TB_PROPOSTA" sheetId="14" state="hidden" r:id="rId14"/>
    <sheet name="TB_MENSALIZACAO" sheetId="15" state="hidden" r:id="rId15"/>
  </sheets>
  <functionGroups builtInGroupCount="18"/>
  <definedNames>
    <definedName name="_xlnm._FilterDatabase" localSheetId="6" hidden="1">CONTRATOS!$B$1:$L$69</definedName>
    <definedName name="_xlnm._FilterDatabase" localSheetId="2" hidden="1">Propostas!$H$7:$AD$7</definedName>
    <definedName name="_xlnm._FilterDatabase" localSheetId="7" hidden="1">SISTEMA!$A$1:$B$492</definedName>
    <definedName name="_xlnm._FilterDatabase" localSheetId="8" hidden="1">TABELAS!$M$1:$O$26</definedName>
    <definedName name="_xlnm.Print_Area" localSheetId="1">Defesa!$E$2:$O$30</definedName>
    <definedName name="_xlnm.Print_Area" localSheetId="5">FICHA!$A$1:$AF$143</definedName>
    <definedName name="_xlnm.Print_Area" localSheetId="0">INSTRUÇÕES!$A$1:$F$32</definedName>
    <definedName name="_xlnm.Print_Area" localSheetId="3">Projeto!$A$1:$AF$143</definedName>
    <definedName name="_xlnm.Print_Area" localSheetId="4">Projeto_OLD!$A$1:$AF$143</definedName>
  </definedNames>
  <calcPr calcId="152511"/>
</workbook>
</file>

<file path=xl/calcChain.xml><?xml version="1.0" encoding="utf-8"?>
<calcChain xmlns="http://schemas.openxmlformats.org/spreadsheetml/2006/main">
  <c r="AD10" i="10" l="1"/>
  <c r="AD9" i="10"/>
  <c r="AD8" i="10"/>
  <c r="AK2" i="19" l="1"/>
  <c r="N26" i="3" l="1"/>
  <c r="M26" i="3"/>
  <c r="BF207" i="10"/>
  <c r="BF206" i="10"/>
  <c r="BF205" i="10"/>
  <c r="BF204" i="10"/>
  <c r="BF203" i="10"/>
  <c r="BF202" i="10"/>
  <c r="BF201" i="10"/>
  <c r="BF200" i="10"/>
  <c r="BF199" i="10"/>
  <c r="BF198" i="10"/>
  <c r="BF197" i="10"/>
  <c r="BF196" i="10"/>
  <c r="BF195" i="10"/>
  <c r="BF194" i="10"/>
  <c r="BF193" i="10"/>
  <c r="BF192" i="10"/>
  <c r="BF191" i="10"/>
  <c r="BF190" i="10"/>
  <c r="BF189" i="10"/>
  <c r="BF188" i="10"/>
  <c r="BF187" i="10"/>
  <c r="BF186" i="10"/>
  <c r="BF185" i="10"/>
  <c r="BF184" i="10"/>
  <c r="BF183" i="10"/>
  <c r="BF182" i="10"/>
  <c r="BF181" i="10"/>
  <c r="BF180" i="10"/>
  <c r="BF179" i="10"/>
  <c r="BF178" i="10"/>
  <c r="BF177" i="10"/>
  <c r="BF176" i="10"/>
  <c r="BF175" i="10"/>
  <c r="BF174" i="10"/>
  <c r="BF173" i="10"/>
  <c r="BF172" i="10"/>
  <c r="BF171" i="10"/>
  <c r="BF170" i="10"/>
  <c r="BF169" i="10"/>
  <c r="BF168" i="10"/>
  <c r="BF167" i="10"/>
  <c r="BF166" i="10"/>
  <c r="BF165" i="10"/>
  <c r="BF164" i="10"/>
  <c r="BF163" i="10"/>
  <c r="BF162" i="10"/>
  <c r="BF161" i="10"/>
  <c r="BF160" i="10"/>
  <c r="BF159" i="10"/>
  <c r="BF158" i="10"/>
  <c r="BF157" i="10"/>
  <c r="BF156" i="10"/>
  <c r="BF155" i="10"/>
  <c r="BF154" i="10"/>
  <c r="BF153" i="10"/>
  <c r="BF152" i="10"/>
  <c r="BF151" i="10"/>
  <c r="BF150" i="10"/>
  <c r="BF149" i="10"/>
  <c r="BF148" i="10"/>
  <c r="BF147" i="10"/>
  <c r="BF146" i="10"/>
  <c r="BF145" i="10"/>
  <c r="BF144" i="10"/>
  <c r="BF143" i="10"/>
  <c r="BF142" i="10"/>
  <c r="BF141" i="10"/>
  <c r="BF140" i="10"/>
  <c r="BF139" i="10"/>
  <c r="BF138" i="10"/>
  <c r="BF137" i="10"/>
  <c r="BF136" i="10"/>
  <c r="BF135" i="10"/>
  <c r="BF134" i="10"/>
  <c r="BF133" i="10"/>
  <c r="BF132" i="10"/>
  <c r="BF131" i="10"/>
  <c r="BF130" i="10"/>
  <c r="BF129" i="10"/>
  <c r="BF128" i="10"/>
  <c r="BF127" i="10"/>
  <c r="BF126" i="10"/>
  <c r="BF125" i="10"/>
  <c r="BF124" i="10"/>
  <c r="BF123" i="10"/>
  <c r="BF122" i="10"/>
  <c r="BF121" i="10"/>
  <c r="BF120" i="10"/>
  <c r="BF119" i="10"/>
  <c r="BF118" i="10"/>
  <c r="BF117" i="10"/>
  <c r="BF116" i="10"/>
  <c r="BF115" i="10"/>
  <c r="BF114" i="10"/>
  <c r="BF113" i="10"/>
  <c r="BF112" i="10"/>
  <c r="BF111" i="10"/>
  <c r="BF110" i="10"/>
  <c r="BF109" i="10"/>
  <c r="BF108" i="10"/>
  <c r="BF107" i="10"/>
  <c r="BF106" i="10"/>
  <c r="BF105" i="10"/>
  <c r="BF104" i="10"/>
  <c r="BF103" i="10"/>
  <c r="BF102" i="10"/>
  <c r="BF101" i="10"/>
  <c r="BF100" i="10"/>
  <c r="BF99" i="10"/>
  <c r="BF98" i="10"/>
  <c r="BF97" i="10"/>
  <c r="BF96" i="10"/>
  <c r="BF95" i="10"/>
  <c r="BF94" i="10"/>
  <c r="BF93" i="10"/>
  <c r="BF92" i="10"/>
  <c r="BF91" i="10"/>
  <c r="BF90" i="10"/>
  <c r="BF89" i="10"/>
  <c r="BF88" i="10"/>
  <c r="BF87" i="10"/>
  <c r="BF86" i="10"/>
  <c r="BF85" i="10"/>
  <c r="BF84" i="10"/>
  <c r="BF83" i="10"/>
  <c r="BF82" i="10"/>
  <c r="BF81" i="10"/>
  <c r="BF80" i="10"/>
  <c r="BF79" i="10"/>
  <c r="BF78" i="10"/>
  <c r="BF77" i="10"/>
  <c r="BF76" i="10"/>
  <c r="BF75" i="10"/>
  <c r="BF74" i="10"/>
  <c r="BF73" i="10"/>
  <c r="BF72" i="10"/>
  <c r="BF71" i="10"/>
  <c r="BF70" i="10"/>
  <c r="BF69" i="10"/>
  <c r="BF68" i="10"/>
  <c r="BF67" i="10"/>
  <c r="BF66" i="10"/>
  <c r="BF65" i="10"/>
  <c r="BF64" i="10"/>
  <c r="BF63" i="10"/>
  <c r="BF62" i="10"/>
  <c r="BF61" i="10"/>
  <c r="BF60" i="10"/>
  <c r="BF59" i="10"/>
  <c r="BF58" i="10"/>
  <c r="BF57" i="10"/>
  <c r="BF56" i="10"/>
  <c r="BF55" i="10"/>
  <c r="BF54" i="10"/>
  <c r="BF53" i="10"/>
  <c r="BF52" i="10"/>
  <c r="BF51" i="10"/>
  <c r="BF50" i="10"/>
  <c r="BF49" i="10"/>
  <c r="BF48" i="10"/>
  <c r="BF47" i="10"/>
  <c r="BF46" i="10"/>
  <c r="BF45" i="10"/>
  <c r="BF44" i="10"/>
  <c r="BF43" i="10"/>
  <c r="BF42" i="10"/>
  <c r="BF41" i="10"/>
  <c r="BF40" i="10"/>
  <c r="BF39" i="10"/>
  <c r="BF38" i="10"/>
  <c r="BF37" i="10"/>
  <c r="BF36" i="10"/>
  <c r="BF35" i="10"/>
  <c r="BF34" i="10"/>
  <c r="BF33" i="10"/>
  <c r="BF32" i="10"/>
  <c r="BF31" i="10"/>
  <c r="BF30" i="10"/>
  <c r="BF29" i="10"/>
  <c r="BF28" i="10"/>
  <c r="BF27" i="10"/>
  <c r="BF26" i="10"/>
  <c r="BF25" i="10"/>
  <c r="BF24" i="10"/>
  <c r="BF23" i="10"/>
  <c r="BF22" i="10"/>
  <c r="BF21" i="10"/>
  <c r="BF20" i="10"/>
  <c r="BF19" i="10"/>
  <c r="BF18" i="10"/>
  <c r="BF17" i="10"/>
  <c r="BF16" i="10"/>
  <c r="BF15" i="10"/>
  <c r="BF14" i="10"/>
  <c r="BF13" i="10"/>
  <c r="BF12" i="10"/>
  <c r="BF11" i="10"/>
  <c r="BF10" i="10"/>
  <c r="BF9" i="10"/>
  <c r="BF8" i="10"/>
  <c r="E5" i="3"/>
  <c r="D3" i="27" s="1"/>
  <c r="R31" i="27" l="1"/>
  <c r="T31" i="27" s="1"/>
  <c r="J201" i="14" l="1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U207" i="10" l="1"/>
  <c r="U206" i="10"/>
  <c r="U205" i="10"/>
  <c r="U204" i="10"/>
  <c r="U203" i="10"/>
  <c r="U202" i="10"/>
  <c r="U201" i="10"/>
  <c r="U200" i="10"/>
  <c r="U199" i="10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86" i="10"/>
  <c r="U185" i="10"/>
  <c r="U184" i="10"/>
  <c r="U183" i="10"/>
  <c r="U182" i="10"/>
  <c r="U181" i="10"/>
  <c r="U180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62" i="10"/>
  <c r="U161" i="10"/>
  <c r="U160" i="10"/>
  <c r="U159" i="10"/>
  <c r="U158" i="10"/>
  <c r="U157" i="10"/>
  <c r="U156" i="10"/>
  <c r="U155" i="10"/>
  <c r="U154" i="10"/>
  <c r="U153" i="10"/>
  <c r="U152" i="10"/>
  <c r="U151" i="10"/>
  <c r="U150" i="10"/>
  <c r="U149" i="10"/>
  <c r="U148" i="10"/>
  <c r="U147" i="10"/>
  <c r="U146" i="10"/>
  <c r="U145" i="10"/>
  <c r="U144" i="10"/>
  <c r="U143" i="10"/>
  <c r="U142" i="10"/>
  <c r="U141" i="10"/>
  <c r="U140" i="10"/>
  <c r="U139" i="10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BM207" i="10" l="1"/>
  <c r="BC207" i="10"/>
  <c r="BM206" i="10"/>
  <c r="BC206" i="10"/>
  <c r="BM205" i="10"/>
  <c r="BC205" i="10"/>
  <c r="BM204" i="10"/>
  <c r="BC204" i="10"/>
  <c r="BM203" i="10"/>
  <c r="BC203" i="10"/>
  <c r="BM202" i="10"/>
  <c r="BC202" i="10"/>
  <c r="BM201" i="10"/>
  <c r="BC201" i="10"/>
  <c r="BM200" i="10"/>
  <c r="BC200" i="10"/>
  <c r="BM199" i="10"/>
  <c r="BC199" i="10"/>
  <c r="BM198" i="10"/>
  <c r="BC198" i="10"/>
  <c r="BM197" i="10"/>
  <c r="BC197" i="10"/>
  <c r="BM196" i="10"/>
  <c r="BC196" i="10"/>
  <c r="BM195" i="10"/>
  <c r="BC195" i="10"/>
  <c r="BM194" i="10"/>
  <c r="BC194" i="10"/>
  <c r="BM193" i="10"/>
  <c r="BC193" i="10"/>
  <c r="BM192" i="10"/>
  <c r="BC192" i="10"/>
  <c r="BM191" i="10"/>
  <c r="BC191" i="10"/>
  <c r="BM190" i="10"/>
  <c r="BC190" i="10"/>
  <c r="BM189" i="10"/>
  <c r="BC189" i="10"/>
  <c r="BM188" i="10"/>
  <c r="BC188" i="10"/>
  <c r="BM187" i="10"/>
  <c r="BC187" i="10"/>
  <c r="BM186" i="10"/>
  <c r="BC186" i="10"/>
  <c r="BM185" i="10"/>
  <c r="BC185" i="10"/>
  <c r="BM184" i="10"/>
  <c r="BC184" i="10"/>
  <c r="BM183" i="10"/>
  <c r="BC183" i="10"/>
  <c r="BM182" i="10"/>
  <c r="BC182" i="10"/>
  <c r="BM181" i="10"/>
  <c r="BC181" i="10"/>
  <c r="BM180" i="10"/>
  <c r="BC180" i="10"/>
  <c r="BM179" i="10"/>
  <c r="BC179" i="10"/>
  <c r="BM178" i="10"/>
  <c r="BC178" i="10"/>
  <c r="BM177" i="10"/>
  <c r="BC177" i="10"/>
  <c r="BM176" i="10"/>
  <c r="BC176" i="10"/>
  <c r="BM175" i="10"/>
  <c r="BC175" i="10"/>
  <c r="BM174" i="10"/>
  <c r="BC174" i="10"/>
  <c r="BM173" i="10"/>
  <c r="BC173" i="10"/>
  <c r="BM172" i="10"/>
  <c r="BC172" i="10"/>
  <c r="BM171" i="10"/>
  <c r="BC171" i="10"/>
  <c r="BM170" i="10"/>
  <c r="BC170" i="10"/>
  <c r="BM169" i="10"/>
  <c r="BC169" i="10"/>
  <c r="BM168" i="10"/>
  <c r="BC168" i="10"/>
  <c r="BM167" i="10"/>
  <c r="BC167" i="10"/>
  <c r="BM166" i="10"/>
  <c r="BC166" i="10"/>
  <c r="BM165" i="10"/>
  <c r="BC165" i="10"/>
  <c r="BM164" i="10"/>
  <c r="BC164" i="10"/>
  <c r="BM163" i="10"/>
  <c r="BC163" i="10"/>
  <c r="BM162" i="10"/>
  <c r="BC162" i="10"/>
  <c r="BM161" i="10"/>
  <c r="BC161" i="10"/>
  <c r="BM160" i="10"/>
  <c r="BC160" i="10"/>
  <c r="BM159" i="10"/>
  <c r="BC159" i="10"/>
  <c r="BM158" i="10"/>
  <c r="BC158" i="10"/>
  <c r="BM157" i="10"/>
  <c r="BC157" i="10"/>
  <c r="BM156" i="10"/>
  <c r="BC156" i="10"/>
  <c r="BM155" i="10"/>
  <c r="BC155" i="10"/>
  <c r="BM154" i="10"/>
  <c r="BC154" i="10"/>
  <c r="BM153" i="10"/>
  <c r="BC153" i="10"/>
  <c r="BM152" i="10"/>
  <c r="BC152" i="10"/>
  <c r="BM151" i="10"/>
  <c r="BC151" i="10"/>
  <c r="BM150" i="10"/>
  <c r="BC150" i="10"/>
  <c r="BM149" i="10"/>
  <c r="BC149" i="10"/>
  <c r="BM148" i="10"/>
  <c r="BC148" i="10"/>
  <c r="BM147" i="10"/>
  <c r="BC147" i="10"/>
  <c r="BM146" i="10"/>
  <c r="BC146" i="10"/>
  <c r="BM145" i="10"/>
  <c r="BC145" i="10"/>
  <c r="BM144" i="10"/>
  <c r="BC144" i="10"/>
  <c r="BM143" i="10"/>
  <c r="BC143" i="10"/>
  <c r="BM142" i="10"/>
  <c r="BC142" i="10"/>
  <c r="BM141" i="10"/>
  <c r="BC141" i="10"/>
  <c r="BM140" i="10"/>
  <c r="BC140" i="10"/>
  <c r="BM139" i="10"/>
  <c r="BC139" i="10"/>
  <c r="BM138" i="10"/>
  <c r="BC138" i="10"/>
  <c r="BM137" i="10"/>
  <c r="BC137" i="10"/>
  <c r="BM136" i="10"/>
  <c r="BC136" i="10"/>
  <c r="BM135" i="10"/>
  <c r="BC135" i="10"/>
  <c r="BM134" i="10"/>
  <c r="BC134" i="10"/>
  <c r="BM133" i="10"/>
  <c r="BC133" i="10"/>
  <c r="BM132" i="10"/>
  <c r="BC132" i="10"/>
  <c r="BM131" i="10"/>
  <c r="BC131" i="10"/>
  <c r="BM130" i="10"/>
  <c r="BC130" i="10"/>
  <c r="BM129" i="10"/>
  <c r="BC129" i="10"/>
  <c r="BM128" i="10"/>
  <c r="BC128" i="10"/>
  <c r="BM127" i="10"/>
  <c r="BC127" i="10"/>
  <c r="BM126" i="10"/>
  <c r="BC126" i="10"/>
  <c r="BM125" i="10"/>
  <c r="BC125" i="10"/>
  <c r="BM124" i="10"/>
  <c r="BC124" i="10"/>
  <c r="BM123" i="10"/>
  <c r="BC123" i="10"/>
  <c r="BM122" i="10"/>
  <c r="BC122" i="10"/>
  <c r="BM121" i="10"/>
  <c r="BC121" i="10"/>
  <c r="BM120" i="10"/>
  <c r="BC120" i="10"/>
  <c r="BM119" i="10"/>
  <c r="BC119" i="10"/>
  <c r="BM118" i="10"/>
  <c r="BC118" i="10"/>
  <c r="BM117" i="10"/>
  <c r="BC117" i="10"/>
  <c r="BM116" i="10"/>
  <c r="BC116" i="10"/>
  <c r="BM115" i="10"/>
  <c r="BC115" i="10"/>
  <c r="BM114" i="10"/>
  <c r="BC114" i="10"/>
  <c r="BM113" i="10"/>
  <c r="BC113" i="10"/>
  <c r="BM112" i="10"/>
  <c r="BC112" i="10"/>
  <c r="BM111" i="10"/>
  <c r="BC111" i="10"/>
  <c r="BM110" i="10"/>
  <c r="BC110" i="10"/>
  <c r="BM109" i="10"/>
  <c r="BC109" i="10"/>
  <c r="BM108" i="10"/>
  <c r="BC108" i="10"/>
  <c r="BM107" i="10"/>
  <c r="BC107" i="10"/>
  <c r="BM106" i="10"/>
  <c r="BC106" i="10"/>
  <c r="BM105" i="10"/>
  <c r="BC105" i="10"/>
  <c r="BM104" i="10"/>
  <c r="BC104" i="10"/>
  <c r="BM103" i="10"/>
  <c r="BC103" i="10"/>
  <c r="BM102" i="10"/>
  <c r="BC102" i="10"/>
  <c r="BM101" i="10"/>
  <c r="BC101" i="10"/>
  <c r="BM100" i="10"/>
  <c r="BC100" i="10"/>
  <c r="BM99" i="10"/>
  <c r="BC99" i="10"/>
  <c r="BM98" i="10"/>
  <c r="BC98" i="10"/>
  <c r="BM97" i="10"/>
  <c r="BC97" i="10"/>
  <c r="BM96" i="10"/>
  <c r="BC96" i="10"/>
  <c r="BM95" i="10"/>
  <c r="BC95" i="10"/>
  <c r="BM94" i="10"/>
  <c r="BC94" i="10"/>
  <c r="BM93" i="10"/>
  <c r="BC93" i="10"/>
  <c r="BM92" i="10"/>
  <c r="BC92" i="10"/>
  <c r="BM91" i="10"/>
  <c r="BC91" i="10"/>
  <c r="BM90" i="10"/>
  <c r="BC90" i="10"/>
  <c r="BM89" i="10"/>
  <c r="BC89" i="10"/>
  <c r="BM88" i="10"/>
  <c r="BC88" i="10"/>
  <c r="BM87" i="10"/>
  <c r="BC87" i="10"/>
  <c r="BM86" i="10"/>
  <c r="BC86" i="10"/>
  <c r="BM85" i="10"/>
  <c r="BC85" i="10"/>
  <c r="BM84" i="10"/>
  <c r="BC84" i="10"/>
  <c r="BM83" i="10"/>
  <c r="BC83" i="10"/>
  <c r="BM82" i="10"/>
  <c r="BC82" i="10"/>
  <c r="BM81" i="10"/>
  <c r="BC81" i="10"/>
  <c r="BM80" i="10"/>
  <c r="BC80" i="10"/>
  <c r="BM79" i="10"/>
  <c r="BC79" i="10"/>
  <c r="BM78" i="10"/>
  <c r="BC78" i="10"/>
  <c r="BM77" i="10"/>
  <c r="BC77" i="10"/>
  <c r="BM76" i="10"/>
  <c r="BC76" i="10"/>
  <c r="BM75" i="10"/>
  <c r="BC75" i="10"/>
  <c r="BM74" i="10"/>
  <c r="BC74" i="10"/>
  <c r="BM73" i="10"/>
  <c r="BC73" i="10"/>
  <c r="BM72" i="10"/>
  <c r="BC72" i="10"/>
  <c r="BM71" i="10"/>
  <c r="BC71" i="10"/>
  <c r="BM70" i="10"/>
  <c r="BC70" i="10"/>
  <c r="BM69" i="10"/>
  <c r="BC69" i="10"/>
  <c r="BM68" i="10"/>
  <c r="BC68" i="10"/>
  <c r="BM67" i="10"/>
  <c r="BC67" i="10"/>
  <c r="BM66" i="10"/>
  <c r="BC66" i="10"/>
  <c r="BM65" i="10"/>
  <c r="BC65" i="10"/>
  <c r="BM64" i="10"/>
  <c r="BC64" i="10"/>
  <c r="BM63" i="10"/>
  <c r="BC63" i="10"/>
  <c r="BM62" i="10"/>
  <c r="BC62" i="10"/>
  <c r="BM61" i="10"/>
  <c r="BC61" i="10"/>
  <c r="BM60" i="10"/>
  <c r="BC60" i="10"/>
  <c r="BM59" i="10"/>
  <c r="BC59" i="10"/>
  <c r="BM58" i="10"/>
  <c r="BC58" i="10"/>
  <c r="BM57" i="10"/>
  <c r="BC57" i="10"/>
  <c r="BM56" i="10"/>
  <c r="BC56" i="10"/>
  <c r="BM55" i="10"/>
  <c r="BC55" i="10"/>
  <c r="BM54" i="10"/>
  <c r="BC54" i="10"/>
  <c r="BM53" i="10"/>
  <c r="BC53" i="10"/>
  <c r="BM52" i="10"/>
  <c r="BC52" i="10"/>
  <c r="BM51" i="10"/>
  <c r="BC51" i="10"/>
  <c r="BM50" i="10"/>
  <c r="BC50" i="10"/>
  <c r="BM49" i="10"/>
  <c r="BC49" i="10"/>
  <c r="BM48" i="10"/>
  <c r="BC48" i="10"/>
  <c r="BM47" i="10"/>
  <c r="BC47" i="10"/>
  <c r="BM46" i="10"/>
  <c r="BC46" i="10"/>
  <c r="BM45" i="10"/>
  <c r="BC45" i="10"/>
  <c r="BM44" i="10"/>
  <c r="BC44" i="10"/>
  <c r="BM43" i="10"/>
  <c r="BC43" i="10"/>
  <c r="BM42" i="10"/>
  <c r="BC42" i="10"/>
  <c r="BM41" i="10"/>
  <c r="BC41" i="10"/>
  <c r="BM40" i="10"/>
  <c r="BC40" i="10"/>
  <c r="BM39" i="10"/>
  <c r="BC39" i="10"/>
  <c r="BM38" i="10"/>
  <c r="BC38" i="10"/>
  <c r="BM37" i="10"/>
  <c r="BC37" i="10"/>
  <c r="BM36" i="10"/>
  <c r="BC36" i="10"/>
  <c r="BM35" i="10"/>
  <c r="BC35" i="10"/>
  <c r="BM34" i="10"/>
  <c r="BC34" i="10"/>
  <c r="BM33" i="10"/>
  <c r="BC33" i="10"/>
  <c r="BM32" i="10"/>
  <c r="BC32" i="10"/>
  <c r="BM31" i="10"/>
  <c r="BC31" i="10"/>
  <c r="BM30" i="10"/>
  <c r="BC30" i="10"/>
  <c r="BM29" i="10"/>
  <c r="BC29" i="10"/>
  <c r="BM28" i="10"/>
  <c r="BC28" i="10"/>
  <c r="BM27" i="10"/>
  <c r="BC27" i="10"/>
  <c r="BM26" i="10"/>
  <c r="BC26" i="10"/>
  <c r="BM25" i="10"/>
  <c r="BC25" i="10"/>
  <c r="BM24" i="10"/>
  <c r="BC24" i="10"/>
  <c r="BM23" i="10"/>
  <c r="BC23" i="10"/>
  <c r="BM22" i="10"/>
  <c r="BC22" i="10"/>
  <c r="BM21" i="10"/>
  <c r="BC21" i="10"/>
  <c r="BM20" i="10"/>
  <c r="BC20" i="10"/>
  <c r="BM19" i="10"/>
  <c r="BC19" i="10"/>
  <c r="BM18" i="10"/>
  <c r="BC18" i="10"/>
  <c r="BM17" i="10"/>
  <c r="BC17" i="10"/>
  <c r="BM16" i="10"/>
  <c r="BC16" i="10"/>
  <c r="BM15" i="10"/>
  <c r="BC15" i="10"/>
  <c r="BC14" i="10"/>
  <c r="BC13" i="10"/>
  <c r="BC12" i="10"/>
  <c r="BC11" i="10"/>
  <c r="BC10" i="10"/>
  <c r="BM9" i="10"/>
  <c r="BC9" i="10"/>
  <c r="AA5" i="10" l="1"/>
  <c r="V139" i="27" l="1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B139" i="27" l="1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AD55" i="27" l="1"/>
  <c r="BC8" i="10" l="1"/>
  <c r="AC5" i="27"/>
  <c r="L6" i="27" s="1"/>
  <c r="M5" i="3"/>
  <c r="Y15" i="27"/>
  <c r="AD26" i="27" l="1"/>
  <c r="X2" i="19" l="1"/>
  <c r="N154" i="27" l="1"/>
  <c r="M139" i="27"/>
  <c r="M138" i="27"/>
  <c r="M137" i="27"/>
  <c r="M136" i="27"/>
  <c r="M135" i="27"/>
  <c r="M134" i="27"/>
  <c r="M133" i="27"/>
  <c r="M132" i="27"/>
  <c r="M131" i="27"/>
  <c r="M130" i="27"/>
  <c r="M129" i="27"/>
  <c r="M128" i="27"/>
  <c r="M127" i="27"/>
  <c r="M126" i="27"/>
  <c r="M125" i="27"/>
  <c r="AD139" i="27"/>
  <c r="AD138" i="27"/>
  <c r="AD137" i="27"/>
  <c r="AD136" i="27"/>
  <c r="AD135" i="27"/>
  <c r="AD134" i="27"/>
  <c r="AD133" i="27"/>
  <c r="AD132" i="27"/>
  <c r="AD131" i="27"/>
  <c r="AD130" i="27"/>
  <c r="AD129" i="27"/>
  <c r="AD128" i="27"/>
  <c r="AD127" i="27"/>
  <c r="AD126" i="27"/>
  <c r="AD125" i="27"/>
  <c r="H139" i="27"/>
  <c r="H138" i="27"/>
  <c r="H137" i="27"/>
  <c r="H136" i="27"/>
  <c r="H135" i="27"/>
  <c r="H134" i="27"/>
  <c r="H133" i="27"/>
  <c r="H132" i="27"/>
  <c r="H131" i="27"/>
  <c r="H130" i="27"/>
  <c r="H129" i="27"/>
  <c r="H128" i="27"/>
  <c r="H127" i="27"/>
  <c r="H126" i="27"/>
  <c r="H125" i="27"/>
  <c r="F139" i="27"/>
  <c r="D139" i="27"/>
  <c r="F138" i="27"/>
  <c r="D138" i="27"/>
  <c r="F137" i="27"/>
  <c r="D137" i="27"/>
  <c r="F136" i="27"/>
  <c r="D136" i="27"/>
  <c r="F135" i="27"/>
  <c r="D135" i="27"/>
  <c r="F134" i="27"/>
  <c r="D134" i="27"/>
  <c r="F133" i="27"/>
  <c r="D133" i="27"/>
  <c r="F132" i="27"/>
  <c r="D132" i="27"/>
  <c r="F131" i="27"/>
  <c r="D131" i="27"/>
  <c r="F130" i="27"/>
  <c r="D130" i="27"/>
  <c r="F129" i="27"/>
  <c r="D129" i="27"/>
  <c r="F128" i="27"/>
  <c r="D128" i="27"/>
  <c r="F127" i="27"/>
  <c r="D127" i="27"/>
  <c r="F126" i="27"/>
  <c r="D126" i="27"/>
  <c r="F125" i="27"/>
  <c r="D125" i="27"/>
  <c r="J138" i="27"/>
  <c r="J137" i="27"/>
  <c r="J136" i="27"/>
  <c r="J135" i="27"/>
  <c r="J134" i="27"/>
  <c r="J133" i="27"/>
  <c r="J132" i="27"/>
  <c r="J131" i="27"/>
  <c r="J130" i="27"/>
  <c r="J129" i="27"/>
  <c r="J128" i="27"/>
  <c r="J127" i="27"/>
  <c r="J126" i="27"/>
  <c r="J125" i="27"/>
  <c r="AD115" i="27"/>
  <c r="AB115" i="27"/>
  <c r="Z115" i="27"/>
  <c r="T115" i="27"/>
  <c r="M115" i="27"/>
  <c r="J115" i="27"/>
  <c r="AD114" i="27"/>
  <c r="AB114" i="27"/>
  <c r="Z114" i="27"/>
  <c r="T114" i="27"/>
  <c r="M114" i="27"/>
  <c r="J114" i="27"/>
  <c r="AD113" i="27"/>
  <c r="AB113" i="27"/>
  <c r="Z113" i="27"/>
  <c r="T113" i="27"/>
  <c r="M113" i="27"/>
  <c r="J113" i="27"/>
  <c r="AD112" i="27"/>
  <c r="AB112" i="27"/>
  <c r="Z112" i="27"/>
  <c r="T112" i="27"/>
  <c r="M112" i="27"/>
  <c r="J112" i="27"/>
  <c r="AD111" i="27"/>
  <c r="AB111" i="27"/>
  <c r="Z111" i="27"/>
  <c r="T111" i="27"/>
  <c r="M111" i="27"/>
  <c r="J111" i="27"/>
  <c r="AD110" i="27"/>
  <c r="AB110" i="27"/>
  <c r="Z110" i="27"/>
  <c r="T110" i="27"/>
  <c r="M110" i="27"/>
  <c r="J110" i="27"/>
  <c r="AD109" i="27"/>
  <c r="AB109" i="27"/>
  <c r="Z109" i="27"/>
  <c r="T109" i="27"/>
  <c r="M109" i="27"/>
  <c r="J109" i="27"/>
  <c r="AD108" i="27"/>
  <c r="AB108" i="27"/>
  <c r="Z108" i="27"/>
  <c r="T108" i="27"/>
  <c r="M108" i="27"/>
  <c r="J108" i="27"/>
  <c r="AD107" i="27"/>
  <c r="AB107" i="27"/>
  <c r="Z107" i="27"/>
  <c r="T107" i="27"/>
  <c r="M107" i="27"/>
  <c r="J107" i="27"/>
  <c r="AD106" i="27"/>
  <c r="AB106" i="27"/>
  <c r="Z106" i="27"/>
  <c r="T106" i="27"/>
  <c r="M106" i="27"/>
  <c r="J106" i="27"/>
  <c r="AD105" i="27"/>
  <c r="AB105" i="27"/>
  <c r="Z105" i="27"/>
  <c r="T105" i="27"/>
  <c r="M105" i="27"/>
  <c r="J105" i="27"/>
  <c r="AD104" i="27"/>
  <c r="AB104" i="27"/>
  <c r="Z104" i="27"/>
  <c r="T104" i="27"/>
  <c r="M104" i="27"/>
  <c r="J104" i="27"/>
  <c r="AD103" i="27"/>
  <c r="AB103" i="27"/>
  <c r="Z103" i="27"/>
  <c r="T103" i="27"/>
  <c r="M103" i="27"/>
  <c r="J103" i="27"/>
  <c r="AD102" i="27"/>
  <c r="AB102" i="27"/>
  <c r="Z102" i="27"/>
  <c r="T102" i="27"/>
  <c r="M102" i="27"/>
  <c r="J102" i="27"/>
  <c r="AD101" i="27"/>
  <c r="AB101" i="27"/>
  <c r="Z101" i="27"/>
  <c r="T101" i="27"/>
  <c r="M101" i="27"/>
  <c r="J101" i="27"/>
  <c r="AD100" i="27"/>
  <c r="AB100" i="27"/>
  <c r="Z100" i="27"/>
  <c r="T100" i="27"/>
  <c r="M100" i="27"/>
  <c r="J100" i="27"/>
  <c r="AD99" i="27"/>
  <c r="AB99" i="27"/>
  <c r="Z99" i="27"/>
  <c r="T99" i="27"/>
  <c r="M99" i="27"/>
  <c r="J99" i="27"/>
  <c r="AD98" i="27"/>
  <c r="AB98" i="27"/>
  <c r="Z98" i="27"/>
  <c r="T98" i="27"/>
  <c r="M98" i="27"/>
  <c r="J98" i="27"/>
  <c r="AD97" i="27"/>
  <c r="AB97" i="27"/>
  <c r="Z97" i="27"/>
  <c r="T97" i="27"/>
  <c r="M97" i="27"/>
  <c r="J97" i="27"/>
  <c r="AD96" i="27"/>
  <c r="AB96" i="27"/>
  <c r="Z96" i="27"/>
  <c r="T96" i="27"/>
  <c r="M96" i="27"/>
  <c r="J96" i="27"/>
  <c r="AD95" i="27"/>
  <c r="AB95" i="27"/>
  <c r="Z95" i="27"/>
  <c r="T95" i="27"/>
  <c r="M95" i="27"/>
  <c r="J95" i="27"/>
  <c r="H115" i="27"/>
  <c r="H114" i="27"/>
  <c r="H113" i="27"/>
  <c r="H112" i="27"/>
  <c r="H111" i="27"/>
  <c r="H110" i="27"/>
  <c r="H109" i="27"/>
  <c r="H108" i="27"/>
  <c r="H107" i="27"/>
  <c r="H106" i="27"/>
  <c r="H105" i="27"/>
  <c r="H104" i="27"/>
  <c r="H103" i="27"/>
  <c r="H102" i="27"/>
  <c r="H101" i="27"/>
  <c r="H100" i="27"/>
  <c r="H99" i="27"/>
  <c r="H98" i="27"/>
  <c r="H97" i="27"/>
  <c r="H96" i="27"/>
  <c r="H95" i="27"/>
  <c r="F115" i="27"/>
  <c r="D115" i="27"/>
  <c r="F114" i="27"/>
  <c r="D114" i="27"/>
  <c r="F113" i="27"/>
  <c r="D113" i="27"/>
  <c r="F112" i="27"/>
  <c r="D112" i="27"/>
  <c r="F111" i="27"/>
  <c r="D111" i="27"/>
  <c r="F110" i="27"/>
  <c r="D110" i="27"/>
  <c r="F109" i="27"/>
  <c r="D109" i="27"/>
  <c r="F108" i="27"/>
  <c r="D108" i="27"/>
  <c r="F107" i="27"/>
  <c r="D107" i="27"/>
  <c r="F106" i="27"/>
  <c r="D106" i="27"/>
  <c r="F105" i="27"/>
  <c r="D105" i="27"/>
  <c r="F104" i="27"/>
  <c r="D104" i="27"/>
  <c r="F103" i="27"/>
  <c r="D103" i="27"/>
  <c r="F102" i="27"/>
  <c r="D102" i="27"/>
  <c r="F101" i="27"/>
  <c r="D101" i="27"/>
  <c r="F100" i="27"/>
  <c r="D100" i="27"/>
  <c r="F99" i="27"/>
  <c r="D99" i="27"/>
  <c r="F98" i="27"/>
  <c r="D98" i="27"/>
  <c r="F97" i="27"/>
  <c r="D97" i="27"/>
  <c r="F96" i="27"/>
  <c r="D96" i="27"/>
  <c r="F95" i="27"/>
  <c r="D95" i="27"/>
  <c r="Z201" i="14"/>
  <c r="Z200" i="14"/>
  <c r="Z199" i="14"/>
  <c r="Z198" i="14"/>
  <c r="Z197" i="14"/>
  <c r="Z196" i="14"/>
  <c r="Z195" i="14"/>
  <c r="Z194" i="14"/>
  <c r="Z193" i="14"/>
  <c r="Z192" i="14"/>
  <c r="Z191" i="14"/>
  <c r="Z190" i="14"/>
  <c r="Z189" i="14"/>
  <c r="Z188" i="14"/>
  <c r="Z187" i="14"/>
  <c r="Z186" i="14"/>
  <c r="Z185" i="14"/>
  <c r="Z184" i="14"/>
  <c r="Z183" i="14"/>
  <c r="Z182" i="14"/>
  <c r="Z181" i="14"/>
  <c r="Z180" i="14"/>
  <c r="Z179" i="14"/>
  <c r="Z178" i="14"/>
  <c r="Z177" i="14"/>
  <c r="Z176" i="14"/>
  <c r="Z175" i="14"/>
  <c r="Z174" i="14"/>
  <c r="Z173" i="14"/>
  <c r="Z172" i="14"/>
  <c r="Z171" i="14"/>
  <c r="Z170" i="14"/>
  <c r="Z169" i="14"/>
  <c r="Z168" i="14"/>
  <c r="Z167" i="14"/>
  <c r="Z166" i="14"/>
  <c r="Z165" i="14"/>
  <c r="Z164" i="14"/>
  <c r="Z163" i="14"/>
  <c r="Z162" i="14"/>
  <c r="Z161" i="14"/>
  <c r="Z160" i="14"/>
  <c r="Z159" i="14"/>
  <c r="Z158" i="14"/>
  <c r="Z157" i="14"/>
  <c r="Z156" i="14"/>
  <c r="Z155" i="14"/>
  <c r="Z154" i="14"/>
  <c r="Z153" i="14"/>
  <c r="Z152" i="14"/>
  <c r="Z151" i="14"/>
  <c r="Z150" i="14"/>
  <c r="Z149" i="14"/>
  <c r="Z148" i="14"/>
  <c r="Z147" i="14"/>
  <c r="Z146" i="14"/>
  <c r="Z145" i="14"/>
  <c r="Z144" i="14"/>
  <c r="Z143" i="14"/>
  <c r="Z142" i="14"/>
  <c r="Z141" i="14"/>
  <c r="Z140" i="14"/>
  <c r="Z139" i="14"/>
  <c r="Z138" i="14"/>
  <c r="Z137" i="14"/>
  <c r="Z136" i="14"/>
  <c r="Z135" i="14"/>
  <c r="Z134" i="14"/>
  <c r="Z133" i="14"/>
  <c r="Z132" i="14"/>
  <c r="Z131" i="14"/>
  <c r="Z130" i="14"/>
  <c r="Z129" i="14"/>
  <c r="Z128" i="14"/>
  <c r="Z127" i="14"/>
  <c r="Z126" i="14"/>
  <c r="Z125" i="14"/>
  <c r="Z124" i="14"/>
  <c r="Z123" i="14"/>
  <c r="Z122" i="14"/>
  <c r="Z121" i="14"/>
  <c r="Z120" i="14"/>
  <c r="Z119" i="14"/>
  <c r="Z118" i="14"/>
  <c r="Z117" i="14"/>
  <c r="Z116" i="14"/>
  <c r="Z115" i="14"/>
  <c r="Z114" i="14"/>
  <c r="Z113" i="14"/>
  <c r="Z112" i="14"/>
  <c r="Z111" i="14"/>
  <c r="Z110" i="14"/>
  <c r="Z109" i="14"/>
  <c r="Z108" i="14"/>
  <c r="Z107" i="14"/>
  <c r="Z106" i="14"/>
  <c r="Z105" i="14"/>
  <c r="Z104" i="14"/>
  <c r="Z103" i="14"/>
  <c r="Z102" i="14"/>
  <c r="Z101" i="14"/>
  <c r="Z100" i="14"/>
  <c r="Z99" i="14"/>
  <c r="Z98" i="14"/>
  <c r="Z97" i="14"/>
  <c r="Z96" i="14"/>
  <c r="Z95" i="14"/>
  <c r="Z94" i="14"/>
  <c r="Z93" i="14"/>
  <c r="Z92" i="14"/>
  <c r="Z91" i="14"/>
  <c r="Z90" i="14"/>
  <c r="Z89" i="14"/>
  <c r="Z88" i="14"/>
  <c r="Z87" i="14"/>
  <c r="Z86" i="14"/>
  <c r="Z85" i="14"/>
  <c r="Z84" i="14"/>
  <c r="Z83" i="14"/>
  <c r="Z82" i="14"/>
  <c r="Z81" i="14"/>
  <c r="Z80" i="14"/>
  <c r="Z79" i="14"/>
  <c r="Z78" i="14"/>
  <c r="Z77" i="14"/>
  <c r="Z76" i="14"/>
  <c r="Z75" i="14"/>
  <c r="Z74" i="14"/>
  <c r="Z73" i="14"/>
  <c r="Z72" i="14"/>
  <c r="Z71" i="14"/>
  <c r="Z70" i="14"/>
  <c r="Z69" i="14"/>
  <c r="Z68" i="14"/>
  <c r="Z67" i="14"/>
  <c r="Z66" i="14"/>
  <c r="Z65" i="14"/>
  <c r="Z64" i="14"/>
  <c r="Z63" i="14"/>
  <c r="Z62" i="14"/>
  <c r="Z61" i="14"/>
  <c r="Z60" i="14"/>
  <c r="Z59" i="14"/>
  <c r="Z58" i="14"/>
  <c r="Z57" i="14"/>
  <c r="Z56" i="14"/>
  <c r="Z55" i="14"/>
  <c r="Z54" i="14"/>
  <c r="Z53" i="14"/>
  <c r="Z52" i="14"/>
  <c r="Z51" i="14"/>
  <c r="Z50" i="14"/>
  <c r="Z49" i="14"/>
  <c r="Z48" i="14"/>
  <c r="Z47" i="14"/>
  <c r="Z46" i="14"/>
  <c r="Z45" i="14"/>
  <c r="Z44" i="14"/>
  <c r="Z43" i="14"/>
  <c r="Z42" i="14"/>
  <c r="Z41" i="14"/>
  <c r="Z40" i="14"/>
  <c r="Z39" i="14"/>
  <c r="Z38" i="14"/>
  <c r="Z37" i="14"/>
  <c r="Z36" i="14"/>
  <c r="Z35" i="14"/>
  <c r="Z34" i="14"/>
  <c r="Z33" i="14"/>
  <c r="Z32" i="14"/>
  <c r="Z31" i="14"/>
  <c r="Z30" i="14"/>
  <c r="Z29" i="14"/>
  <c r="Z28" i="14"/>
  <c r="Z27" i="14"/>
  <c r="Z26" i="14"/>
  <c r="Z25" i="14"/>
  <c r="Z24" i="14"/>
  <c r="Z23" i="14"/>
  <c r="Z22" i="14"/>
  <c r="Z21" i="14"/>
  <c r="Z20" i="14"/>
  <c r="Z19" i="14"/>
  <c r="Z18" i="14"/>
  <c r="Z17" i="14"/>
  <c r="Z16" i="14"/>
  <c r="B3" i="28"/>
  <c r="C3" i="28"/>
  <c r="B4" i="28"/>
  <c r="C4" i="28"/>
  <c r="B5" i="28"/>
  <c r="C5" i="28"/>
  <c r="B6" i="28"/>
  <c r="C6" i="28"/>
  <c r="B7" i="28"/>
  <c r="C7" i="28"/>
  <c r="B8" i="28"/>
  <c r="C8" i="28"/>
  <c r="B9" i="28"/>
  <c r="C9" i="28"/>
  <c r="B10" i="28"/>
  <c r="C10" i="28"/>
  <c r="B11" i="28"/>
  <c r="C11" i="28"/>
  <c r="B12" i="28"/>
  <c r="C12" i="28"/>
  <c r="B13" i="28"/>
  <c r="C13" i="28"/>
  <c r="B14" i="28"/>
  <c r="C14" i="28"/>
  <c r="B15" i="28"/>
  <c r="C15" i="28"/>
  <c r="B16" i="28"/>
  <c r="C16" i="28"/>
  <c r="B17" i="28"/>
  <c r="C17" i="28"/>
  <c r="B18" i="28"/>
  <c r="C18" i="28"/>
  <c r="B19" i="28"/>
  <c r="C19" i="28"/>
  <c r="B20" i="28"/>
  <c r="C20" i="28"/>
  <c r="B21" i="28"/>
  <c r="C21" i="28"/>
  <c r="C2" i="28"/>
  <c r="B2" i="28"/>
  <c r="E9" i="27"/>
  <c r="E8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N153" i="27"/>
  <c r="L153" i="27"/>
  <c r="J153" i="27"/>
  <c r="H153" i="27"/>
  <c r="F153" i="27"/>
  <c r="D153" i="27"/>
  <c r="N157" i="27"/>
  <c r="L157" i="27"/>
  <c r="J157" i="27"/>
  <c r="H157" i="27"/>
  <c r="F157" i="27"/>
  <c r="D157" i="27"/>
  <c r="E157" i="27"/>
  <c r="I157" i="27"/>
  <c r="G157" i="27"/>
  <c r="AD64" i="27" l="1"/>
  <c r="AD72" i="27"/>
  <c r="AD76" i="27"/>
  <c r="AD61" i="27"/>
  <c r="AD69" i="27"/>
  <c r="AD77" i="27"/>
  <c r="AD59" i="27"/>
  <c r="AD63" i="27"/>
  <c r="B166" i="27"/>
  <c r="AD67" i="27"/>
  <c r="AD71" i="27"/>
  <c r="AD75" i="27"/>
  <c r="AD79" i="27"/>
  <c r="AD60" i="27"/>
  <c r="AD68" i="27"/>
  <c r="AD80" i="27"/>
  <c r="AD65" i="27"/>
  <c r="AD73" i="27"/>
  <c r="AD81" i="27"/>
  <c r="B161" i="27"/>
  <c r="AD62" i="27"/>
  <c r="B165" i="27"/>
  <c r="AD66" i="27"/>
  <c r="AD70" i="27"/>
  <c r="AD74" i="27"/>
  <c r="AD78" i="27"/>
  <c r="B167" i="27"/>
  <c r="B179" i="27"/>
  <c r="B175" i="27"/>
  <c r="B160" i="27"/>
  <c r="B164" i="27"/>
  <c r="B168" i="27"/>
  <c r="B176" i="27"/>
  <c r="B180" i="27"/>
  <c r="B163" i="27"/>
  <c r="B171" i="27"/>
  <c r="B169" i="27"/>
  <c r="B173" i="27"/>
  <c r="B177" i="27"/>
  <c r="B159" i="27"/>
  <c r="B172" i="27"/>
  <c r="B158" i="27"/>
  <c r="B162" i="27"/>
  <c r="B170" i="27"/>
  <c r="B174" i="27"/>
  <c r="B178" i="27"/>
  <c r="V159" i="27"/>
  <c r="Y201" i="14"/>
  <c r="X201" i="14"/>
  <c r="W201" i="14"/>
  <c r="V201" i="14"/>
  <c r="T201" i="14"/>
  <c r="S201" i="14"/>
  <c r="R201" i="14"/>
  <c r="Q201" i="14"/>
  <c r="P201" i="14"/>
  <c r="O201" i="14"/>
  <c r="N201" i="14"/>
  <c r="M201" i="14"/>
  <c r="L201" i="14"/>
  <c r="K201" i="14"/>
  <c r="I201" i="14"/>
  <c r="H201" i="14"/>
  <c r="G201" i="14"/>
  <c r="F201" i="14"/>
  <c r="E201" i="14"/>
  <c r="D201" i="14"/>
  <c r="C201" i="14"/>
  <c r="Y200" i="14"/>
  <c r="X200" i="14"/>
  <c r="W200" i="14"/>
  <c r="V200" i="14"/>
  <c r="T200" i="14"/>
  <c r="S200" i="14"/>
  <c r="R200" i="14"/>
  <c r="Q200" i="14"/>
  <c r="P200" i="14"/>
  <c r="O200" i="14"/>
  <c r="N200" i="14"/>
  <c r="M200" i="14"/>
  <c r="L200" i="14"/>
  <c r="K200" i="14"/>
  <c r="I200" i="14"/>
  <c r="H200" i="14"/>
  <c r="G200" i="14"/>
  <c r="F200" i="14"/>
  <c r="E200" i="14"/>
  <c r="D200" i="14"/>
  <c r="C200" i="14"/>
  <c r="Y199" i="14"/>
  <c r="X199" i="14"/>
  <c r="W199" i="14"/>
  <c r="V199" i="14"/>
  <c r="T199" i="14"/>
  <c r="S199" i="14"/>
  <c r="R199" i="14"/>
  <c r="Q199" i="14"/>
  <c r="P199" i="14"/>
  <c r="O199" i="14"/>
  <c r="N199" i="14"/>
  <c r="M199" i="14"/>
  <c r="L199" i="14"/>
  <c r="K199" i="14"/>
  <c r="I199" i="14"/>
  <c r="H199" i="14"/>
  <c r="G199" i="14"/>
  <c r="F199" i="14"/>
  <c r="E199" i="14"/>
  <c r="D199" i="14"/>
  <c r="C199" i="14"/>
  <c r="Y198" i="14"/>
  <c r="X198" i="14"/>
  <c r="W198" i="14"/>
  <c r="V198" i="14"/>
  <c r="T198" i="14"/>
  <c r="S198" i="14"/>
  <c r="R198" i="14"/>
  <c r="Q198" i="14"/>
  <c r="P198" i="14"/>
  <c r="O198" i="14"/>
  <c r="N198" i="14"/>
  <c r="M198" i="14"/>
  <c r="L198" i="14"/>
  <c r="K198" i="14"/>
  <c r="I198" i="14"/>
  <c r="H198" i="14"/>
  <c r="G198" i="14"/>
  <c r="F198" i="14"/>
  <c r="E198" i="14"/>
  <c r="D198" i="14"/>
  <c r="C198" i="14"/>
  <c r="Y197" i="14"/>
  <c r="X197" i="14"/>
  <c r="W197" i="14"/>
  <c r="V197" i="14"/>
  <c r="T197" i="14"/>
  <c r="S197" i="14"/>
  <c r="R197" i="14"/>
  <c r="Q197" i="14"/>
  <c r="P197" i="14"/>
  <c r="O197" i="14"/>
  <c r="N197" i="14"/>
  <c r="M197" i="14"/>
  <c r="L197" i="14"/>
  <c r="K197" i="14"/>
  <c r="I197" i="14"/>
  <c r="H197" i="14"/>
  <c r="G197" i="14"/>
  <c r="F197" i="14"/>
  <c r="E197" i="14"/>
  <c r="D197" i="14"/>
  <c r="C197" i="14"/>
  <c r="Y196" i="14"/>
  <c r="X196" i="14"/>
  <c r="W196" i="14"/>
  <c r="V196" i="14"/>
  <c r="T196" i="14"/>
  <c r="S196" i="14"/>
  <c r="R196" i="14"/>
  <c r="Q196" i="14"/>
  <c r="P196" i="14"/>
  <c r="O196" i="14"/>
  <c r="N196" i="14"/>
  <c r="M196" i="14"/>
  <c r="L196" i="14"/>
  <c r="K196" i="14"/>
  <c r="I196" i="14"/>
  <c r="H196" i="14"/>
  <c r="G196" i="14"/>
  <c r="F196" i="14"/>
  <c r="E196" i="14"/>
  <c r="D196" i="14"/>
  <c r="C196" i="14"/>
  <c r="Y195" i="14"/>
  <c r="X195" i="14"/>
  <c r="W195" i="14"/>
  <c r="V195" i="14"/>
  <c r="T195" i="14"/>
  <c r="S195" i="14"/>
  <c r="R195" i="14"/>
  <c r="Q195" i="14"/>
  <c r="P195" i="14"/>
  <c r="O195" i="14"/>
  <c r="N195" i="14"/>
  <c r="M195" i="14"/>
  <c r="L195" i="14"/>
  <c r="K195" i="14"/>
  <c r="I195" i="14"/>
  <c r="H195" i="14"/>
  <c r="G195" i="14"/>
  <c r="F195" i="14"/>
  <c r="E195" i="14"/>
  <c r="D195" i="14"/>
  <c r="C195" i="14"/>
  <c r="Y194" i="14"/>
  <c r="X194" i="14"/>
  <c r="W194" i="14"/>
  <c r="V194" i="14"/>
  <c r="T194" i="14"/>
  <c r="S194" i="14"/>
  <c r="R194" i="14"/>
  <c r="Q194" i="14"/>
  <c r="P194" i="14"/>
  <c r="O194" i="14"/>
  <c r="N194" i="14"/>
  <c r="M194" i="14"/>
  <c r="L194" i="14"/>
  <c r="K194" i="14"/>
  <c r="I194" i="14"/>
  <c r="H194" i="14"/>
  <c r="G194" i="14"/>
  <c r="F194" i="14"/>
  <c r="E194" i="14"/>
  <c r="D194" i="14"/>
  <c r="C194" i="14"/>
  <c r="Y193" i="14"/>
  <c r="X193" i="14"/>
  <c r="W193" i="14"/>
  <c r="V193" i="14"/>
  <c r="T193" i="14"/>
  <c r="S193" i="14"/>
  <c r="R193" i="14"/>
  <c r="Q193" i="14"/>
  <c r="P193" i="14"/>
  <c r="O193" i="14"/>
  <c r="N193" i="14"/>
  <c r="M193" i="14"/>
  <c r="L193" i="14"/>
  <c r="K193" i="14"/>
  <c r="I193" i="14"/>
  <c r="H193" i="14"/>
  <c r="G193" i="14"/>
  <c r="F193" i="14"/>
  <c r="E193" i="14"/>
  <c r="D193" i="14"/>
  <c r="C193" i="14"/>
  <c r="Y192" i="14"/>
  <c r="X192" i="14"/>
  <c r="W192" i="14"/>
  <c r="V192" i="14"/>
  <c r="T192" i="14"/>
  <c r="S192" i="14"/>
  <c r="R192" i="14"/>
  <c r="Q192" i="14"/>
  <c r="P192" i="14"/>
  <c r="O192" i="14"/>
  <c r="N192" i="14"/>
  <c r="M192" i="14"/>
  <c r="L192" i="14"/>
  <c r="K192" i="14"/>
  <c r="I192" i="14"/>
  <c r="H192" i="14"/>
  <c r="G192" i="14"/>
  <c r="F192" i="14"/>
  <c r="E192" i="14"/>
  <c r="D192" i="14"/>
  <c r="C192" i="14"/>
  <c r="Y191" i="14"/>
  <c r="X191" i="14"/>
  <c r="W191" i="14"/>
  <c r="V191" i="14"/>
  <c r="T191" i="14"/>
  <c r="S191" i="14"/>
  <c r="R191" i="14"/>
  <c r="Q191" i="14"/>
  <c r="P191" i="14"/>
  <c r="O191" i="14"/>
  <c r="N191" i="14"/>
  <c r="M191" i="14"/>
  <c r="L191" i="14"/>
  <c r="K191" i="14"/>
  <c r="I191" i="14"/>
  <c r="H191" i="14"/>
  <c r="G191" i="14"/>
  <c r="F191" i="14"/>
  <c r="E191" i="14"/>
  <c r="D191" i="14"/>
  <c r="C191" i="14"/>
  <c r="Y190" i="14"/>
  <c r="X190" i="14"/>
  <c r="W190" i="14"/>
  <c r="V190" i="14"/>
  <c r="T190" i="14"/>
  <c r="S190" i="14"/>
  <c r="R190" i="14"/>
  <c r="Q190" i="14"/>
  <c r="P190" i="14"/>
  <c r="O190" i="14"/>
  <c r="N190" i="14"/>
  <c r="M190" i="14"/>
  <c r="L190" i="14"/>
  <c r="K190" i="14"/>
  <c r="I190" i="14"/>
  <c r="H190" i="14"/>
  <c r="G190" i="14"/>
  <c r="F190" i="14"/>
  <c r="E190" i="14"/>
  <c r="D190" i="14"/>
  <c r="C190" i="14"/>
  <c r="Y189" i="14"/>
  <c r="X189" i="14"/>
  <c r="W189" i="14"/>
  <c r="V189" i="14"/>
  <c r="T189" i="14"/>
  <c r="S189" i="14"/>
  <c r="R189" i="14"/>
  <c r="Q189" i="14"/>
  <c r="P189" i="14"/>
  <c r="O189" i="14"/>
  <c r="N189" i="14"/>
  <c r="M189" i="14"/>
  <c r="L189" i="14"/>
  <c r="K189" i="14"/>
  <c r="I189" i="14"/>
  <c r="H189" i="14"/>
  <c r="G189" i="14"/>
  <c r="F189" i="14"/>
  <c r="E189" i="14"/>
  <c r="D189" i="14"/>
  <c r="C189" i="14"/>
  <c r="Y188" i="14"/>
  <c r="X188" i="14"/>
  <c r="W188" i="14"/>
  <c r="V188" i="14"/>
  <c r="T188" i="14"/>
  <c r="S188" i="14"/>
  <c r="R188" i="14"/>
  <c r="Q188" i="14"/>
  <c r="P188" i="14"/>
  <c r="O188" i="14"/>
  <c r="N188" i="14"/>
  <c r="M188" i="14"/>
  <c r="L188" i="14"/>
  <c r="K188" i="14"/>
  <c r="I188" i="14"/>
  <c r="H188" i="14"/>
  <c r="G188" i="14"/>
  <c r="F188" i="14"/>
  <c r="E188" i="14"/>
  <c r="D188" i="14"/>
  <c r="C188" i="14"/>
  <c r="Y187" i="14"/>
  <c r="X187" i="14"/>
  <c r="W187" i="14"/>
  <c r="V187" i="14"/>
  <c r="T187" i="14"/>
  <c r="S187" i="14"/>
  <c r="R187" i="14"/>
  <c r="Q187" i="14"/>
  <c r="P187" i="14"/>
  <c r="O187" i="14"/>
  <c r="N187" i="14"/>
  <c r="M187" i="14"/>
  <c r="L187" i="14"/>
  <c r="K187" i="14"/>
  <c r="I187" i="14"/>
  <c r="H187" i="14"/>
  <c r="G187" i="14"/>
  <c r="F187" i="14"/>
  <c r="E187" i="14"/>
  <c r="D187" i="14"/>
  <c r="C187" i="14"/>
  <c r="Y186" i="14"/>
  <c r="X186" i="14"/>
  <c r="W186" i="14"/>
  <c r="V186" i="14"/>
  <c r="T186" i="14"/>
  <c r="S186" i="14"/>
  <c r="R186" i="14"/>
  <c r="Q186" i="14"/>
  <c r="P186" i="14"/>
  <c r="O186" i="14"/>
  <c r="N186" i="14"/>
  <c r="M186" i="14"/>
  <c r="L186" i="14"/>
  <c r="K186" i="14"/>
  <c r="I186" i="14"/>
  <c r="H186" i="14"/>
  <c r="G186" i="14"/>
  <c r="F186" i="14"/>
  <c r="E186" i="14"/>
  <c r="D186" i="14"/>
  <c r="C186" i="14"/>
  <c r="Y185" i="14"/>
  <c r="X185" i="14"/>
  <c r="W185" i="14"/>
  <c r="V185" i="14"/>
  <c r="T185" i="14"/>
  <c r="S185" i="14"/>
  <c r="R185" i="14"/>
  <c r="Q185" i="14"/>
  <c r="P185" i="14"/>
  <c r="O185" i="14"/>
  <c r="N185" i="14"/>
  <c r="M185" i="14"/>
  <c r="L185" i="14"/>
  <c r="K185" i="14"/>
  <c r="I185" i="14"/>
  <c r="H185" i="14"/>
  <c r="G185" i="14"/>
  <c r="F185" i="14"/>
  <c r="E185" i="14"/>
  <c r="D185" i="14"/>
  <c r="C185" i="14"/>
  <c r="Y184" i="14"/>
  <c r="X184" i="14"/>
  <c r="W184" i="14"/>
  <c r="V184" i="14"/>
  <c r="T184" i="14"/>
  <c r="S184" i="14"/>
  <c r="R184" i="14"/>
  <c r="Q184" i="14"/>
  <c r="P184" i="14"/>
  <c r="O184" i="14"/>
  <c r="N184" i="14"/>
  <c r="M184" i="14"/>
  <c r="L184" i="14"/>
  <c r="K184" i="14"/>
  <c r="I184" i="14"/>
  <c r="H184" i="14"/>
  <c r="G184" i="14"/>
  <c r="F184" i="14"/>
  <c r="E184" i="14"/>
  <c r="D184" i="14"/>
  <c r="C184" i="14"/>
  <c r="Y183" i="14"/>
  <c r="X183" i="14"/>
  <c r="W183" i="14"/>
  <c r="V183" i="14"/>
  <c r="T183" i="14"/>
  <c r="S183" i="14"/>
  <c r="R183" i="14"/>
  <c r="Q183" i="14"/>
  <c r="P183" i="14"/>
  <c r="O183" i="14"/>
  <c r="N183" i="14"/>
  <c r="M183" i="14"/>
  <c r="L183" i="14"/>
  <c r="K183" i="14"/>
  <c r="I183" i="14"/>
  <c r="H183" i="14"/>
  <c r="G183" i="14"/>
  <c r="F183" i="14"/>
  <c r="E183" i="14"/>
  <c r="D183" i="14"/>
  <c r="C183" i="14"/>
  <c r="Y182" i="14"/>
  <c r="X182" i="14"/>
  <c r="W182" i="14"/>
  <c r="V182" i="14"/>
  <c r="T182" i="14"/>
  <c r="S182" i="14"/>
  <c r="R182" i="14"/>
  <c r="Q182" i="14"/>
  <c r="P182" i="14"/>
  <c r="O182" i="14"/>
  <c r="N182" i="14"/>
  <c r="M182" i="14"/>
  <c r="L182" i="14"/>
  <c r="K182" i="14"/>
  <c r="I182" i="14"/>
  <c r="H182" i="14"/>
  <c r="G182" i="14"/>
  <c r="F182" i="14"/>
  <c r="E182" i="14"/>
  <c r="D182" i="14"/>
  <c r="C182" i="14"/>
  <c r="Y181" i="14"/>
  <c r="X181" i="14"/>
  <c r="W181" i="14"/>
  <c r="V181" i="14"/>
  <c r="T181" i="14"/>
  <c r="S181" i="14"/>
  <c r="R181" i="14"/>
  <c r="Q181" i="14"/>
  <c r="P181" i="14"/>
  <c r="O181" i="14"/>
  <c r="N181" i="14"/>
  <c r="M181" i="14"/>
  <c r="L181" i="14"/>
  <c r="K181" i="14"/>
  <c r="I181" i="14"/>
  <c r="H181" i="14"/>
  <c r="G181" i="14"/>
  <c r="F181" i="14"/>
  <c r="E181" i="14"/>
  <c r="D181" i="14"/>
  <c r="C181" i="14"/>
  <c r="Y180" i="14"/>
  <c r="X180" i="14"/>
  <c r="W180" i="14"/>
  <c r="V180" i="14"/>
  <c r="T180" i="14"/>
  <c r="S180" i="14"/>
  <c r="R180" i="14"/>
  <c r="Q180" i="14"/>
  <c r="P180" i="14"/>
  <c r="O180" i="14"/>
  <c r="N180" i="14"/>
  <c r="M180" i="14"/>
  <c r="L180" i="14"/>
  <c r="K180" i="14"/>
  <c r="I180" i="14"/>
  <c r="H180" i="14"/>
  <c r="G180" i="14"/>
  <c r="F180" i="14"/>
  <c r="E180" i="14"/>
  <c r="D180" i="14"/>
  <c r="C180" i="14"/>
  <c r="Y179" i="14"/>
  <c r="X179" i="14"/>
  <c r="W179" i="14"/>
  <c r="V179" i="14"/>
  <c r="T179" i="14"/>
  <c r="S179" i="14"/>
  <c r="R179" i="14"/>
  <c r="Q179" i="14"/>
  <c r="P179" i="14"/>
  <c r="O179" i="14"/>
  <c r="N179" i="14"/>
  <c r="M179" i="14"/>
  <c r="L179" i="14"/>
  <c r="K179" i="14"/>
  <c r="I179" i="14"/>
  <c r="H179" i="14"/>
  <c r="G179" i="14"/>
  <c r="F179" i="14"/>
  <c r="E179" i="14"/>
  <c r="D179" i="14"/>
  <c r="C179" i="14"/>
  <c r="Y178" i="14"/>
  <c r="X178" i="14"/>
  <c r="W178" i="14"/>
  <c r="V178" i="14"/>
  <c r="T178" i="14"/>
  <c r="S178" i="14"/>
  <c r="R178" i="14"/>
  <c r="Q178" i="14"/>
  <c r="P178" i="14"/>
  <c r="O178" i="14"/>
  <c r="N178" i="14"/>
  <c r="M178" i="14"/>
  <c r="L178" i="14"/>
  <c r="K178" i="14"/>
  <c r="I178" i="14"/>
  <c r="H178" i="14"/>
  <c r="G178" i="14"/>
  <c r="F178" i="14"/>
  <c r="E178" i="14"/>
  <c r="D178" i="14"/>
  <c r="C178" i="14"/>
  <c r="Y177" i="14"/>
  <c r="X177" i="14"/>
  <c r="W177" i="14"/>
  <c r="V177" i="14"/>
  <c r="T177" i="14"/>
  <c r="S177" i="14"/>
  <c r="R177" i="14"/>
  <c r="Q177" i="14"/>
  <c r="P177" i="14"/>
  <c r="O177" i="14"/>
  <c r="N177" i="14"/>
  <c r="M177" i="14"/>
  <c r="L177" i="14"/>
  <c r="K177" i="14"/>
  <c r="I177" i="14"/>
  <c r="H177" i="14"/>
  <c r="G177" i="14"/>
  <c r="F177" i="14"/>
  <c r="E177" i="14"/>
  <c r="D177" i="14"/>
  <c r="C177" i="14"/>
  <c r="Y176" i="14"/>
  <c r="X176" i="14"/>
  <c r="W176" i="14"/>
  <c r="V176" i="14"/>
  <c r="T176" i="14"/>
  <c r="S176" i="14"/>
  <c r="R176" i="14"/>
  <c r="Q176" i="14"/>
  <c r="P176" i="14"/>
  <c r="O176" i="14"/>
  <c r="N176" i="14"/>
  <c r="M176" i="14"/>
  <c r="L176" i="14"/>
  <c r="K176" i="14"/>
  <c r="I176" i="14"/>
  <c r="H176" i="14"/>
  <c r="G176" i="14"/>
  <c r="F176" i="14"/>
  <c r="E176" i="14"/>
  <c r="D176" i="14"/>
  <c r="C176" i="14"/>
  <c r="Y175" i="14"/>
  <c r="X175" i="14"/>
  <c r="W175" i="14"/>
  <c r="V175" i="14"/>
  <c r="T175" i="14"/>
  <c r="S175" i="14"/>
  <c r="R175" i="14"/>
  <c r="Q175" i="14"/>
  <c r="P175" i="14"/>
  <c r="O175" i="14"/>
  <c r="N175" i="14"/>
  <c r="M175" i="14"/>
  <c r="L175" i="14"/>
  <c r="K175" i="14"/>
  <c r="I175" i="14"/>
  <c r="H175" i="14"/>
  <c r="G175" i="14"/>
  <c r="F175" i="14"/>
  <c r="E175" i="14"/>
  <c r="D175" i="14"/>
  <c r="C175" i="14"/>
  <c r="Y174" i="14"/>
  <c r="X174" i="14"/>
  <c r="W174" i="14"/>
  <c r="V174" i="14"/>
  <c r="T174" i="14"/>
  <c r="S174" i="14"/>
  <c r="R174" i="14"/>
  <c r="Q174" i="14"/>
  <c r="P174" i="14"/>
  <c r="O174" i="14"/>
  <c r="N174" i="14"/>
  <c r="M174" i="14"/>
  <c r="L174" i="14"/>
  <c r="K174" i="14"/>
  <c r="I174" i="14"/>
  <c r="H174" i="14"/>
  <c r="G174" i="14"/>
  <c r="F174" i="14"/>
  <c r="E174" i="14"/>
  <c r="D174" i="14"/>
  <c r="C174" i="14"/>
  <c r="Y173" i="14"/>
  <c r="X173" i="14"/>
  <c r="W173" i="14"/>
  <c r="V173" i="14"/>
  <c r="T173" i="14"/>
  <c r="S173" i="14"/>
  <c r="R173" i="14"/>
  <c r="Q173" i="14"/>
  <c r="P173" i="14"/>
  <c r="O173" i="14"/>
  <c r="N173" i="14"/>
  <c r="M173" i="14"/>
  <c r="L173" i="14"/>
  <c r="K173" i="14"/>
  <c r="I173" i="14"/>
  <c r="H173" i="14"/>
  <c r="G173" i="14"/>
  <c r="F173" i="14"/>
  <c r="E173" i="14"/>
  <c r="D173" i="14"/>
  <c r="C173" i="14"/>
  <c r="Y172" i="14"/>
  <c r="X172" i="14"/>
  <c r="W172" i="14"/>
  <c r="V172" i="14"/>
  <c r="T172" i="14"/>
  <c r="S172" i="14"/>
  <c r="R172" i="14"/>
  <c r="Q172" i="14"/>
  <c r="P172" i="14"/>
  <c r="O172" i="14"/>
  <c r="N172" i="14"/>
  <c r="M172" i="14"/>
  <c r="L172" i="14"/>
  <c r="K172" i="14"/>
  <c r="I172" i="14"/>
  <c r="H172" i="14"/>
  <c r="G172" i="14"/>
  <c r="F172" i="14"/>
  <c r="E172" i="14"/>
  <c r="D172" i="14"/>
  <c r="C172" i="14"/>
  <c r="Y171" i="14"/>
  <c r="X171" i="14"/>
  <c r="W171" i="14"/>
  <c r="V171" i="14"/>
  <c r="T171" i="14"/>
  <c r="S171" i="14"/>
  <c r="R171" i="14"/>
  <c r="Q171" i="14"/>
  <c r="P171" i="14"/>
  <c r="O171" i="14"/>
  <c r="N171" i="14"/>
  <c r="M171" i="14"/>
  <c r="L171" i="14"/>
  <c r="K171" i="14"/>
  <c r="I171" i="14"/>
  <c r="H171" i="14"/>
  <c r="G171" i="14"/>
  <c r="F171" i="14"/>
  <c r="E171" i="14"/>
  <c r="D171" i="14"/>
  <c r="C171" i="14"/>
  <c r="Y170" i="14"/>
  <c r="X170" i="14"/>
  <c r="W170" i="14"/>
  <c r="V170" i="14"/>
  <c r="T170" i="14"/>
  <c r="S170" i="14"/>
  <c r="R170" i="14"/>
  <c r="Q170" i="14"/>
  <c r="P170" i="14"/>
  <c r="O170" i="14"/>
  <c r="N170" i="14"/>
  <c r="M170" i="14"/>
  <c r="L170" i="14"/>
  <c r="K170" i="14"/>
  <c r="I170" i="14"/>
  <c r="H170" i="14"/>
  <c r="G170" i="14"/>
  <c r="F170" i="14"/>
  <c r="E170" i="14"/>
  <c r="D170" i="14"/>
  <c r="C170" i="14"/>
  <c r="Y169" i="14"/>
  <c r="X169" i="14"/>
  <c r="W169" i="14"/>
  <c r="V169" i="14"/>
  <c r="T169" i="14"/>
  <c r="S169" i="14"/>
  <c r="R169" i="14"/>
  <c r="Q169" i="14"/>
  <c r="P169" i="14"/>
  <c r="O169" i="14"/>
  <c r="N169" i="14"/>
  <c r="M169" i="14"/>
  <c r="L169" i="14"/>
  <c r="K169" i="14"/>
  <c r="I169" i="14"/>
  <c r="H169" i="14"/>
  <c r="G169" i="14"/>
  <c r="F169" i="14"/>
  <c r="E169" i="14"/>
  <c r="D169" i="14"/>
  <c r="C169" i="14"/>
  <c r="Y168" i="14"/>
  <c r="X168" i="14"/>
  <c r="W168" i="14"/>
  <c r="V168" i="14"/>
  <c r="T168" i="14"/>
  <c r="S168" i="14"/>
  <c r="R168" i="14"/>
  <c r="Q168" i="14"/>
  <c r="P168" i="14"/>
  <c r="O168" i="14"/>
  <c r="N168" i="14"/>
  <c r="M168" i="14"/>
  <c r="L168" i="14"/>
  <c r="K168" i="14"/>
  <c r="I168" i="14"/>
  <c r="H168" i="14"/>
  <c r="G168" i="14"/>
  <c r="F168" i="14"/>
  <c r="E168" i="14"/>
  <c r="D168" i="14"/>
  <c r="C168" i="14"/>
  <c r="Y167" i="14"/>
  <c r="X167" i="14"/>
  <c r="W167" i="14"/>
  <c r="V167" i="14"/>
  <c r="T167" i="14"/>
  <c r="S167" i="14"/>
  <c r="R167" i="14"/>
  <c r="Q167" i="14"/>
  <c r="P167" i="14"/>
  <c r="O167" i="14"/>
  <c r="N167" i="14"/>
  <c r="M167" i="14"/>
  <c r="L167" i="14"/>
  <c r="K167" i="14"/>
  <c r="I167" i="14"/>
  <c r="H167" i="14"/>
  <c r="G167" i="14"/>
  <c r="F167" i="14"/>
  <c r="E167" i="14"/>
  <c r="D167" i="14"/>
  <c r="C167" i="14"/>
  <c r="Y166" i="14"/>
  <c r="X166" i="14"/>
  <c r="W166" i="14"/>
  <c r="V166" i="14"/>
  <c r="T166" i="14"/>
  <c r="S166" i="14"/>
  <c r="R166" i="14"/>
  <c r="Q166" i="14"/>
  <c r="P166" i="14"/>
  <c r="O166" i="14"/>
  <c r="N166" i="14"/>
  <c r="M166" i="14"/>
  <c r="L166" i="14"/>
  <c r="K166" i="14"/>
  <c r="I166" i="14"/>
  <c r="H166" i="14"/>
  <c r="G166" i="14"/>
  <c r="F166" i="14"/>
  <c r="E166" i="14"/>
  <c r="D166" i="14"/>
  <c r="C166" i="14"/>
  <c r="Y165" i="14"/>
  <c r="X165" i="14"/>
  <c r="W165" i="14"/>
  <c r="V165" i="14"/>
  <c r="T165" i="14"/>
  <c r="S165" i="14"/>
  <c r="R165" i="14"/>
  <c r="Q165" i="14"/>
  <c r="P165" i="14"/>
  <c r="O165" i="14"/>
  <c r="N165" i="14"/>
  <c r="M165" i="14"/>
  <c r="L165" i="14"/>
  <c r="K165" i="14"/>
  <c r="I165" i="14"/>
  <c r="H165" i="14"/>
  <c r="G165" i="14"/>
  <c r="F165" i="14"/>
  <c r="E165" i="14"/>
  <c r="D165" i="14"/>
  <c r="C165" i="14"/>
  <c r="Y164" i="14"/>
  <c r="X164" i="14"/>
  <c r="W164" i="14"/>
  <c r="V164" i="14"/>
  <c r="T164" i="14"/>
  <c r="S164" i="14"/>
  <c r="R164" i="14"/>
  <c r="Q164" i="14"/>
  <c r="P164" i="14"/>
  <c r="O164" i="14"/>
  <c r="N164" i="14"/>
  <c r="M164" i="14"/>
  <c r="L164" i="14"/>
  <c r="K164" i="14"/>
  <c r="I164" i="14"/>
  <c r="H164" i="14"/>
  <c r="G164" i="14"/>
  <c r="F164" i="14"/>
  <c r="E164" i="14"/>
  <c r="D164" i="14"/>
  <c r="C164" i="14"/>
  <c r="Y163" i="14"/>
  <c r="X163" i="14"/>
  <c r="W163" i="14"/>
  <c r="V163" i="14"/>
  <c r="T163" i="14"/>
  <c r="S163" i="14"/>
  <c r="R163" i="14"/>
  <c r="Q163" i="14"/>
  <c r="P163" i="14"/>
  <c r="O163" i="14"/>
  <c r="N163" i="14"/>
  <c r="M163" i="14"/>
  <c r="L163" i="14"/>
  <c r="K163" i="14"/>
  <c r="I163" i="14"/>
  <c r="H163" i="14"/>
  <c r="G163" i="14"/>
  <c r="F163" i="14"/>
  <c r="E163" i="14"/>
  <c r="D163" i="14"/>
  <c r="C163" i="14"/>
  <c r="Y162" i="14"/>
  <c r="X162" i="14"/>
  <c r="W162" i="14"/>
  <c r="V162" i="14"/>
  <c r="T162" i="14"/>
  <c r="S162" i="14"/>
  <c r="R162" i="14"/>
  <c r="Q162" i="14"/>
  <c r="P162" i="14"/>
  <c r="O162" i="14"/>
  <c r="N162" i="14"/>
  <c r="M162" i="14"/>
  <c r="L162" i="14"/>
  <c r="K162" i="14"/>
  <c r="I162" i="14"/>
  <c r="H162" i="14"/>
  <c r="G162" i="14"/>
  <c r="F162" i="14"/>
  <c r="E162" i="14"/>
  <c r="D162" i="14"/>
  <c r="C162" i="14"/>
  <c r="Y161" i="14"/>
  <c r="X161" i="14"/>
  <c r="W161" i="14"/>
  <c r="V161" i="14"/>
  <c r="T161" i="14"/>
  <c r="S161" i="14"/>
  <c r="R161" i="14"/>
  <c r="Q161" i="14"/>
  <c r="P161" i="14"/>
  <c r="O161" i="14"/>
  <c r="N161" i="14"/>
  <c r="M161" i="14"/>
  <c r="L161" i="14"/>
  <c r="K161" i="14"/>
  <c r="I161" i="14"/>
  <c r="H161" i="14"/>
  <c r="G161" i="14"/>
  <c r="F161" i="14"/>
  <c r="E161" i="14"/>
  <c r="D161" i="14"/>
  <c r="C161" i="14"/>
  <c r="Y160" i="14"/>
  <c r="X160" i="14"/>
  <c r="W160" i="14"/>
  <c r="V160" i="14"/>
  <c r="T160" i="14"/>
  <c r="S160" i="14"/>
  <c r="R160" i="14"/>
  <c r="Q160" i="14"/>
  <c r="P160" i="14"/>
  <c r="O160" i="14"/>
  <c r="N160" i="14"/>
  <c r="M160" i="14"/>
  <c r="L160" i="14"/>
  <c r="K160" i="14"/>
  <c r="I160" i="14"/>
  <c r="H160" i="14"/>
  <c r="G160" i="14"/>
  <c r="F160" i="14"/>
  <c r="E160" i="14"/>
  <c r="D160" i="14"/>
  <c r="C160" i="14"/>
  <c r="Y159" i="14"/>
  <c r="X159" i="14"/>
  <c r="W159" i="14"/>
  <c r="V159" i="14"/>
  <c r="T159" i="14"/>
  <c r="S159" i="14"/>
  <c r="R159" i="14"/>
  <c r="Q159" i="14"/>
  <c r="P159" i="14"/>
  <c r="O159" i="14"/>
  <c r="N159" i="14"/>
  <c r="M159" i="14"/>
  <c r="L159" i="14"/>
  <c r="K159" i="14"/>
  <c r="I159" i="14"/>
  <c r="H159" i="14"/>
  <c r="G159" i="14"/>
  <c r="F159" i="14"/>
  <c r="E159" i="14"/>
  <c r="D159" i="14"/>
  <c r="C159" i="14"/>
  <c r="Y158" i="14"/>
  <c r="X158" i="14"/>
  <c r="W158" i="14"/>
  <c r="V158" i="14"/>
  <c r="T158" i="14"/>
  <c r="S158" i="14"/>
  <c r="R158" i="14"/>
  <c r="Q158" i="14"/>
  <c r="P158" i="14"/>
  <c r="O158" i="14"/>
  <c r="N158" i="14"/>
  <c r="M158" i="14"/>
  <c r="L158" i="14"/>
  <c r="K158" i="14"/>
  <c r="I158" i="14"/>
  <c r="H158" i="14"/>
  <c r="G158" i="14"/>
  <c r="F158" i="14"/>
  <c r="E158" i="14"/>
  <c r="D158" i="14"/>
  <c r="C158" i="14"/>
  <c r="Y157" i="14"/>
  <c r="X157" i="14"/>
  <c r="W157" i="14"/>
  <c r="V157" i="14"/>
  <c r="T157" i="14"/>
  <c r="S157" i="14"/>
  <c r="R157" i="14"/>
  <c r="Q157" i="14"/>
  <c r="P157" i="14"/>
  <c r="O157" i="14"/>
  <c r="N157" i="14"/>
  <c r="M157" i="14"/>
  <c r="L157" i="14"/>
  <c r="K157" i="14"/>
  <c r="I157" i="14"/>
  <c r="H157" i="14"/>
  <c r="G157" i="14"/>
  <c r="F157" i="14"/>
  <c r="E157" i="14"/>
  <c r="D157" i="14"/>
  <c r="C157" i="14"/>
  <c r="Y156" i="14"/>
  <c r="X156" i="14"/>
  <c r="W156" i="14"/>
  <c r="V156" i="14"/>
  <c r="T156" i="14"/>
  <c r="S156" i="14"/>
  <c r="R156" i="14"/>
  <c r="Q156" i="14"/>
  <c r="P156" i="14"/>
  <c r="O156" i="14"/>
  <c r="N156" i="14"/>
  <c r="M156" i="14"/>
  <c r="L156" i="14"/>
  <c r="K156" i="14"/>
  <c r="I156" i="14"/>
  <c r="H156" i="14"/>
  <c r="G156" i="14"/>
  <c r="F156" i="14"/>
  <c r="E156" i="14"/>
  <c r="D156" i="14"/>
  <c r="C156" i="14"/>
  <c r="Y155" i="14"/>
  <c r="X155" i="14"/>
  <c r="W155" i="14"/>
  <c r="V155" i="14"/>
  <c r="T155" i="14"/>
  <c r="S155" i="14"/>
  <c r="R155" i="14"/>
  <c r="Q155" i="14"/>
  <c r="P155" i="14"/>
  <c r="O155" i="14"/>
  <c r="N155" i="14"/>
  <c r="M155" i="14"/>
  <c r="L155" i="14"/>
  <c r="K155" i="14"/>
  <c r="I155" i="14"/>
  <c r="H155" i="14"/>
  <c r="G155" i="14"/>
  <c r="F155" i="14"/>
  <c r="E155" i="14"/>
  <c r="D155" i="14"/>
  <c r="C155" i="14"/>
  <c r="Y154" i="14"/>
  <c r="X154" i="14"/>
  <c r="W154" i="14"/>
  <c r="V154" i="14"/>
  <c r="T154" i="14"/>
  <c r="S154" i="14"/>
  <c r="R154" i="14"/>
  <c r="Q154" i="14"/>
  <c r="P154" i="14"/>
  <c r="O154" i="14"/>
  <c r="N154" i="14"/>
  <c r="M154" i="14"/>
  <c r="L154" i="14"/>
  <c r="K154" i="14"/>
  <c r="I154" i="14"/>
  <c r="H154" i="14"/>
  <c r="G154" i="14"/>
  <c r="F154" i="14"/>
  <c r="E154" i="14"/>
  <c r="D154" i="14"/>
  <c r="C154" i="14"/>
  <c r="Y153" i="14"/>
  <c r="X153" i="14"/>
  <c r="W153" i="14"/>
  <c r="V153" i="14"/>
  <c r="T153" i="14"/>
  <c r="S153" i="14"/>
  <c r="R153" i="14"/>
  <c r="Q153" i="14"/>
  <c r="P153" i="14"/>
  <c r="O153" i="14"/>
  <c r="N153" i="14"/>
  <c r="M153" i="14"/>
  <c r="L153" i="14"/>
  <c r="K153" i="14"/>
  <c r="I153" i="14"/>
  <c r="H153" i="14"/>
  <c r="G153" i="14"/>
  <c r="F153" i="14"/>
  <c r="E153" i="14"/>
  <c r="D153" i="14"/>
  <c r="C153" i="14"/>
  <c r="Y152" i="14"/>
  <c r="X152" i="14"/>
  <c r="W152" i="14"/>
  <c r="V152" i="14"/>
  <c r="T152" i="14"/>
  <c r="S152" i="14"/>
  <c r="R152" i="14"/>
  <c r="Q152" i="14"/>
  <c r="P152" i="14"/>
  <c r="O152" i="14"/>
  <c r="N152" i="14"/>
  <c r="M152" i="14"/>
  <c r="L152" i="14"/>
  <c r="K152" i="14"/>
  <c r="I152" i="14"/>
  <c r="H152" i="14"/>
  <c r="G152" i="14"/>
  <c r="F152" i="14"/>
  <c r="E152" i="14"/>
  <c r="D152" i="14"/>
  <c r="C152" i="14"/>
  <c r="Y151" i="14"/>
  <c r="X151" i="14"/>
  <c r="W151" i="14"/>
  <c r="V151" i="14"/>
  <c r="T151" i="14"/>
  <c r="S151" i="14"/>
  <c r="R151" i="14"/>
  <c r="Q151" i="14"/>
  <c r="P151" i="14"/>
  <c r="O151" i="14"/>
  <c r="N151" i="14"/>
  <c r="M151" i="14"/>
  <c r="L151" i="14"/>
  <c r="K151" i="14"/>
  <c r="I151" i="14"/>
  <c r="H151" i="14"/>
  <c r="G151" i="14"/>
  <c r="F151" i="14"/>
  <c r="E151" i="14"/>
  <c r="D151" i="14"/>
  <c r="C151" i="14"/>
  <c r="Y150" i="14"/>
  <c r="X150" i="14"/>
  <c r="W150" i="14"/>
  <c r="V150" i="14"/>
  <c r="T150" i="14"/>
  <c r="S150" i="14"/>
  <c r="R150" i="14"/>
  <c r="Q150" i="14"/>
  <c r="P150" i="14"/>
  <c r="O150" i="14"/>
  <c r="N150" i="14"/>
  <c r="M150" i="14"/>
  <c r="L150" i="14"/>
  <c r="K150" i="14"/>
  <c r="I150" i="14"/>
  <c r="H150" i="14"/>
  <c r="G150" i="14"/>
  <c r="F150" i="14"/>
  <c r="E150" i="14"/>
  <c r="D150" i="14"/>
  <c r="C150" i="14"/>
  <c r="Y149" i="14"/>
  <c r="X149" i="14"/>
  <c r="W149" i="14"/>
  <c r="V149" i="14"/>
  <c r="T149" i="14"/>
  <c r="S149" i="14"/>
  <c r="R149" i="14"/>
  <c r="Q149" i="14"/>
  <c r="P149" i="14"/>
  <c r="O149" i="14"/>
  <c r="N149" i="14"/>
  <c r="M149" i="14"/>
  <c r="L149" i="14"/>
  <c r="K149" i="14"/>
  <c r="I149" i="14"/>
  <c r="H149" i="14"/>
  <c r="G149" i="14"/>
  <c r="F149" i="14"/>
  <c r="E149" i="14"/>
  <c r="D149" i="14"/>
  <c r="C149" i="14"/>
  <c r="Y148" i="14"/>
  <c r="X148" i="14"/>
  <c r="W148" i="14"/>
  <c r="V148" i="14"/>
  <c r="T148" i="14"/>
  <c r="S148" i="14"/>
  <c r="R148" i="14"/>
  <c r="Q148" i="14"/>
  <c r="P148" i="14"/>
  <c r="O148" i="14"/>
  <c r="N148" i="14"/>
  <c r="M148" i="14"/>
  <c r="L148" i="14"/>
  <c r="K148" i="14"/>
  <c r="I148" i="14"/>
  <c r="H148" i="14"/>
  <c r="G148" i="14"/>
  <c r="F148" i="14"/>
  <c r="E148" i="14"/>
  <c r="D148" i="14"/>
  <c r="C148" i="14"/>
  <c r="Y147" i="14"/>
  <c r="X147" i="14"/>
  <c r="W147" i="14"/>
  <c r="V147" i="14"/>
  <c r="T147" i="14"/>
  <c r="S147" i="14"/>
  <c r="R147" i="14"/>
  <c r="Q147" i="14"/>
  <c r="P147" i="14"/>
  <c r="O147" i="14"/>
  <c r="N147" i="14"/>
  <c r="M147" i="14"/>
  <c r="L147" i="14"/>
  <c r="K147" i="14"/>
  <c r="I147" i="14"/>
  <c r="H147" i="14"/>
  <c r="G147" i="14"/>
  <c r="F147" i="14"/>
  <c r="E147" i="14"/>
  <c r="D147" i="14"/>
  <c r="C147" i="14"/>
  <c r="Y146" i="14"/>
  <c r="X146" i="14"/>
  <c r="W146" i="14"/>
  <c r="V146" i="14"/>
  <c r="T146" i="14"/>
  <c r="S146" i="14"/>
  <c r="R146" i="14"/>
  <c r="Q146" i="14"/>
  <c r="P146" i="14"/>
  <c r="O146" i="14"/>
  <c r="N146" i="14"/>
  <c r="M146" i="14"/>
  <c r="L146" i="14"/>
  <c r="K146" i="14"/>
  <c r="I146" i="14"/>
  <c r="H146" i="14"/>
  <c r="G146" i="14"/>
  <c r="F146" i="14"/>
  <c r="E146" i="14"/>
  <c r="D146" i="14"/>
  <c r="C146" i="14"/>
  <c r="Y145" i="14"/>
  <c r="X145" i="14"/>
  <c r="W145" i="14"/>
  <c r="V145" i="14"/>
  <c r="T145" i="14"/>
  <c r="S145" i="14"/>
  <c r="R145" i="14"/>
  <c r="Q145" i="14"/>
  <c r="P145" i="14"/>
  <c r="O145" i="14"/>
  <c r="N145" i="14"/>
  <c r="M145" i="14"/>
  <c r="L145" i="14"/>
  <c r="K145" i="14"/>
  <c r="I145" i="14"/>
  <c r="H145" i="14"/>
  <c r="G145" i="14"/>
  <c r="F145" i="14"/>
  <c r="E145" i="14"/>
  <c r="D145" i="14"/>
  <c r="C145" i="14"/>
  <c r="Y144" i="14"/>
  <c r="X144" i="14"/>
  <c r="W144" i="14"/>
  <c r="V144" i="14"/>
  <c r="T144" i="14"/>
  <c r="S144" i="14"/>
  <c r="R144" i="14"/>
  <c r="Q144" i="14"/>
  <c r="P144" i="14"/>
  <c r="O144" i="14"/>
  <c r="N144" i="14"/>
  <c r="M144" i="14"/>
  <c r="L144" i="14"/>
  <c r="K144" i="14"/>
  <c r="I144" i="14"/>
  <c r="H144" i="14"/>
  <c r="G144" i="14"/>
  <c r="F144" i="14"/>
  <c r="E144" i="14"/>
  <c r="D144" i="14"/>
  <c r="C144" i="14"/>
  <c r="Y143" i="14"/>
  <c r="X143" i="14"/>
  <c r="W143" i="14"/>
  <c r="V143" i="14"/>
  <c r="T143" i="14"/>
  <c r="S143" i="14"/>
  <c r="R143" i="14"/>
  <c r="Q143" i="14"/>
  <c r="P143" i="14"/>
  <c r="O143" i="14"/>
  <c r="N143" i="14"/>
  <c r="M143" i="14"/>
  <c r="L143" i="14"/>
  <c r="K143" i="14"/>
  <c r="I143" i="14"/>
  <c r="H143" i="14"/>
  <c r="G143" i="14"/>
  <c r="F143" i="14"/>
  <c r="E143" i="14"/>
  <c r="D143" i="14"/>
  <c r="C143" i="14"/>
  <c r="Y142" i="14"/>
  <c r="X142" i="14"/>
  <c r="W142" i="14"/>
  <c r="V142" i="14"/>
  <c r="T142" i="14"/>
  <c r="S142" i="14"/>
  <c r="R142" i="14"/>
  <c r="Q142" i="14"/>
  <c r="P142" i="14"/>
  <c r="O142" i="14"/>
  <c r="N142" i="14"/>
  <c r="M142" i="14"/>
  <c r="L142" i="14"/>
  <c r="K142" i="14"/>
  <c r="I142" i="14"/>
  <c r="H142" i="14"/>
  <c r="G142" i="14"/>
  <c r="F142" i="14"/>
  <c r="E142" i="14"/>
  <c r="D142" i="14"/>
  <c r="C142" i="14"/>
  <c r="Y141" i="14"/>
  <c r="X141" i="14"/>
  <c r="W141" i="14"/>
  <c r="V141" i="14"/>
  <c r="T141" i="14"/>
  <c r="S141" i="14"/>
  <c r="R141" i="14"/>
  <c r="Q141" i="14"/>
  <c r="P141" i="14"/>
  <c r="O141" i="14"/>
  <c r="N141" i="14"/>
  <c r="M141" i="14"/>
  <c r="L141" i="14"/>
  <c r="K141" i="14"/>
  <c r="I141" i="14"/>
  <c r="H141" i="14"/>
  <c r="G141" i="14"/>
  <c r="F141" i="14"/>
  <c r="E141" i="14"/>
  <c r="D141" i="14"/>
  <c r="C141" i="14"/>
  <c r="Y140" i="14"/>
  <c r="X140" i="14"/>
  <c r="W140" i="14"/>
  <c r="V140" i="14"/>
  <c r="T140" i="14"/>
  <c r="S140" i="14"/>
  <c r="R140" i="14"/>
  <c r="Q140" i="14"/>
  <c r="P140" i="14"/>
  <c r="O140" i="14"/>
  <c r="N140" i="14"/>
  <c r="M140" i="14"/>
  <c r="L140" i="14"/>
  <c r="K140" i="14"/>
  <c r="I140" i="14"/>
  <c r="H140" i="14"/>
  <c r="G140" i="14"/>
  <c r="F140" i="14"/>
  <c r="E140" i="14"/>
  <c r="D140" i="14"/>
  <c r="C140" i="14"/>
  <c r="Y139" i="14"/>
  <c r="X139" i="14"/>
  <c r="W139" i="14"/>
  <c r="V139" i="14"/>
  <c r="T139" i="14"/>
  <c r="S139" i="14"/>
  <c r="R139" i="14"/>
  <c r="Q139" i="14"/>
  <c r="P139" i="14"/>
  <c r="O139" i="14"/>
  <c r="N139" i="14"/>
  <c r="M139" i="14"/>
  <c r="L139" i="14"/>
  <c r="K139" i="14"/>
  <c r="I139" i="14"/>
  <c r="H139" i="14"/>
  <c r="G139" i="14"/>
  <c r="F139" i="14"/>
  <c r="E139" i="14"/>
  <c r="D139" i="14"/>
  <c r="C139" i="14"/>
  <c r="Y138" i="14"/>
  <c r="X138" i="14"/>
  <c r="W138" i="14"/>
  <c r="V138" i="14"/>
  <c r="T138" i="14"/>
  <c r="S138" i="14"/>
  <c r="R138" i="14"/>
  <c r="Q138" i="14"/>
  <c r="P138" i="14"/>
  <c r="O138" i="14"/>
  <c r="N138" i="14"/>
  <c r="M138" i="14"/>
  <c r="L138" i="14"/>
  <c r="K138" i="14"/>
  <c r="I138" i="14"/>
  <c r="H138" i="14"/>
  <c r="G138" i="14"/>
  <c r="F138" i="14"/>
  <c r="E138" i="14"/>
  <c r="D138" i="14"/>
  <c r="C138" i="14"/>
  <c r="Y137" i="14"/>
  <c r="X137" i="14"/>
  <c r="W137" i="14"/>
  <c r="V137" i="14"/>
  <c r="T137" i="14"/>
  <c r="S137" i="14"/>
  <c r="R137" i="14"/>
  <c r="Q137" i="14"/>
  <c r="P137" i="14"/>
  <c r="O137" i="14"/>
  <c r="N137" i="14"/>
  <c r="M137" i="14"/>
  <c r="L137" i="14"/>
  <c r="K137" i="14"/>
  <c r="I137" i="14"/>
  <c r="H137" i="14"/>
  <c r="G137" i="14"/>
  <c r="F137" i="14"/>
  <c r="E137" i="14"/>
  <c r="D137" i="14"/>
  <c r="C137" i="14"/>
  <c r="Y136" i="14"/>
  <c r="X136" i="14"/>
  <c r="W136" i="14"/>
  <c r="V136" i="14"/>
  <c r="T136" i="14"/>
  <c r="S136" i="14"/>
  <c r="R136" i="14"/>
  <c r="Q136" i="14"/>
  <c r="P136" i="14"/>
  <c r="O136" i="14"/>
  <c r="N136" i="14"/>
  <c r="M136" i="14"/>
  <c r="L136" i="14"/>
  <c r="K136" i="14"/>
  <c r="I136" i="14"/>
  <c r="H136" i="14"/>
  <c r="G136" i="14"/>
  <c r="F136" i="14"/>
  <c r="E136" i="14"/>
  <c r="D136" i="14"/>
  <c r="C136" i="14"/>
  <c r="Y135" i="14"/>
  <c r="X135" i="14"/>
  <c r="W135" i="14"/>
  <c r="V135" i="14"/>
  <c r="T135" i="14"/>
  <c r="S135" i="14"/>
  <c r="R135" i="14"/>
  <c r="Q135" i="14"/>
  <c r="P135" i="14"/>
  <c r="O135" i="14"/>
  <c r="N135" i="14"/>
  <c r="M135" i="14"/>
  <c r="L135" i="14"/>
  <c r="K135" i="14"/>
  <c r="I135" i="14"/>
  <c r="H135" i="14"/>
  <c r="G135" i="14"/>
  <c r="F135" i="14"/>
  <c r="E135" i="14"/>
  <c r="D135" i="14"/>
  <c r="C135" i="14"/>
  <c r="Y134" i="14"/>
  <c r="X134" i="14"/>
  <c r="W134" i="14"/>
  <c r="V134" i="14"/>
  <c r="T134" i="14"/>
  <c r="S134" i="14"/>
  <c r="R134" i="14"/>
  <c r="Q134" i="14"/>
  <c r="P134" i="14"/>
  <c r="O134" i="14"/>
  <c r="N134" i="14"/>
  <c r="M134" i="14"/>
  <c r="L134" i="14"/>
  <c r="K134" i="14"/>
  <c r="I134" i="14"/>
  <c r="H134" i="14"/>
  <c r="G134" i="14"/>
  <c r="F134" i="14"/>
  <c r="E134" i="14"/>
  <c r="D134" i="14"/>
  <c r="C134" i="14"/>
  <c r="Y133" i="14"/>
  <c r="X133" i="14"/>
  <c r="W133" i="14"/>
  <c r="V133" i="14"/>
  <c r="T133" i="14"/>
  <c r="S133" i="14"/>
  <c r="R133" i="14"/>
  <c r="Q133" i="14"/>
  <c r="P133" i="14"/>
  <c r="O133" i="14"/>
  <c r="N133" i="14"/>
  <c r="M133" i="14"/>
  <c r="L133" i="14"/>
  <c r="K133" i="14"/>
  <c r="I133" i="14"/>
  <c r="H133" i="14"/>
  <c r="G133" i="14"/>
  <c r="F133" i="14"/>
  <c r="E133" i="14"/>
  <c r="D133" i="14"/>
  <c r="C133" i="14"/>
  <c r="Y132" i="14"/>
  <c r="X132" i="14"/>
  <c r="W132" i="14"/>
  <c r="V132" i="14"/>
  <c r="T132" i="14"/>
  <c r="S132" i="14"/>
  <c r="R132" i="14"/>
  <c r="Q132" i="14"/>
  <c r="P132" i="14"/>
  <c r="O132" i="14"/>
  <c r="N132" i="14"/>
  <c r="M132" i="14"/>
  <c r="L132" i="14"/>
  <c r="K132" i="14"/>
  <c r="I132" i="14"/>
  <c r="H132" i="14"/>
  <c r="G132" i="14"/>
  <c r="F132" i="14"/>
  <c r="E132" i="14"/>
  <c r="D132" i="14"/>
  <c r="C132" i="14"/>
  <c r="Y131" i="14"/>
  <c r="X131" i="14"/>
  <c r="W131" i="14"/>
  <c r="V131" i="14"/>
  <c r="T131" i="14"/>
  <c r="S131" i="14"/>
  <c r="R131" i="14"/>
  <c r="Q131" i="14"/>
  <c r="P131" i="14"/>
  <c r="O131" i="14"/>
  <c r="N131" i="14"/>
  <c r="M131" i="14"/>
  <c r="L131" i="14"/>
  <c r="K131" i="14"/>
  <c r="I131" i="14"/>
  <c r="H131" i="14"/>
  <c r="G131" i="14"/>
  <c r="F131" i="14"/>
  <c r="E131" i="14"/>
  <c r="D131" i="14"/>
  <c r="C131" i="14"/>
  <c r="Y130" i="14"/>
  <c r="X130" i="14"/>
  <c r="W130" i="14"/>
  <c r="V130" i="14"/>
  <c r="T130" i="14"/>
  <c r="S130" i="14"/>
  <c r="R130" i="14"/>
  <c r="Q130" i="14"/>
  <c r="P130" i="14"/>
  <c r="O130" i="14"/>
  <c r="N130" i="14"/>
  <c r="M130" i="14"/>
  <c r="L130" i="14"/>
  <c r="K130" i="14"/>
  <c r="I130" i="14"/>
  <c r="H130" i="14"/>
  <c r="G130" i="14"/>
  <c r="F130" i="14"/>
  <c r="E130" i="14"/>
  <c r="D130" i="14"/>
  <c r="C130" i="14"/>
  <c r="Y129" i="14"/>
  <c r="X129" i="14"/>
  <c r="W129" i="14"/>
  <c r="V129" i="14"/>
  <c r="T129" i="14"/>
  <c r="S129" i="14"/>
  <c r="R129" i="14"/>
  <c r="Q129" i="14"/>
  <c r="P129" i="14"/>
  <c r="O129" i="14"/>
  <c r="N129" i="14"/>
  <c r="M129" i="14"/>
  <c r="L129" i="14"/>
  <c r="K129" i="14"/>
  <c r="I129" i="14"/>
  <c r="H129" i="14"/>
  <c r="G129" i="14"/>
  <c r="F129" i="14"/>
  <c r="E129" i="14"/>
  <c r="D129" i="14"/>
  <c r="C129" i="14"/>
  <c r="Y128" i="14"/>
  <c r="X128" i="14"/>
  <c r="W128" i="14"/>
  <c r="V128" i="14"/>
  <c r="T128" i="14"/>
  <c r="S128" i="14"/>
  <c r="R128" i="14"/>
  <c r="Q128" i="14"/>
  <c r="P128" i="14"/>
  <c r="O128" i="14"/>
  <c r="N128" i="14"/>
  <c r="M128" i="14"/>
  <c r="L128" i="14"/>
  <c r="K128" i="14"/>
  <c r="I128" i="14"/>
  <c r="H128" i="14"/>
  <c r="G128" i="14"/>
  <c r="F128" i="14"/>
  <c r="E128" i="14"/>
  <c r="D128" i="14"/>
  <c r="C128" i="14"/>
  <c r="Y127" i="14"/>
  <c r="X127" i="14"/>
  <c r="W127" i="14"/>
  <c r="V127" i="14"/>
  <c r="T127" i="14"/>
  <c r="S127" i="14"/>
  <c r="R127" i="14"/>
  <c r="Q127" i="14"/>
  <c r="P127" i="14"/>
  <c r="O127" i="14"/>
  <c r="N127" i="14"/>
  <c r="M127" i="14"/>
  <c r="L127" i="14"/>
  <c r="K127" i="14"/>
  <c r="I127" i="14"/>
  <c r="H127" i="14"/>
  <c r="G127" i="14"/>
  <c r="F127" i="14"/>
  <c r="E127" i="14"/>
  <c r="D127" i="14"/>
  <c r="C127" i="14"/>
  <c r="Y126" i="14"/>
  <c r="X126" i="14"/>
  <c r="W126" i="14"/>
  <c r="V126" i="14"/>
  <c r="T126" i="14"/>
  <c r="S126" i="14"/>
  <c r="R126" i="14"/>
  <c r="Q126" i="14"/>
  <c r="P126" i="14"/>
  <c r="O126" i="14"/>
  <c r="N126" i="14"/>
  <c r="M126" i="14"/>
  <c r="L126" i="14"/>
  <c r="K126" i="14"/>
  <c r="I126" i="14"/>
  <c r="H126" i="14"/>
  <c r="G126" i="14"/>
  <c r="F126" i="14"/>
  <c r="E126" i="14"/>
  <c r="D126" i="14"/>
  <c r="C126" i="14"/>
  <c r="Y125" i="14"/>
  <c r="X125" i="14"/>
  <c r="W125" i="14"/>
  <c r="V125" i="14"/>
  <c r="T125" i="14"/>
  <c r="S125" i="14"/>
  <c r="R125" i="14"/>
  <c r="Q125" i="14"/>
  <c r="P125" i="14"/>
  <c r="O125" i="14"/>
  <c r="N125" i="14"/>
  <c r="M125" i="14"/>
  <c r="L125" i="14"/>
  <c r="K125" i="14"/>
  <c r="I125" i="14"/>
  <c r="H125" i="14"/>
  <c r="G125" i="14"/>
  <c r="F125" i="14"/>
  <c r="E125" i="14"/>
  <c r="D125" i="14"/>
  <c r="C125" i="14"/>
  <c r="Y124" i="14"/>
  <c r="X124" i="14"/>
  <c r="W124" i="14"/>
  <c r="V124" i="14"/>
  <c r="T124" i="14"/>
  <c r="S124" i="14"/>
  <c r="R124" i="14"/>
  <c r="Q124" i="14"/>
  <c r="P124" i="14"/>
  <c r="O124" i="14"/>
  <c r="N124" i="14"/>
  <c r="M124" i="14"/>
  <c r="L124" i="14"/>
  <c r="K124" i="14"/>
  <c r="I124" i="14"/>
  <c r="H124" i="14"/>
  <c r="G124" i="14"/>
  <c r="F124" i="14"/>
  <c r="E124" i="14"/>
  <c r="D124" i="14"/>
  <c r="C124" i="14"/>
  <c r="Y123" i="14"/>
  <c r="X123" i="14"/>
  <c r="W123" i="14"/>
  <c r="V123" i="14"/>
  <c r="T123" i="14"/>
  <c r="S123" i="14"/>
  <c r="R123" i="14"/>
  <c r="Q123" i="14"/>
  <c r="P123" i="14"/>
  <c r="O123" i="14"/>
  <c r="N123" i="14"/>
  <c r="M123" i="14"/>
  <c r="L123" i="14"/>
  <c r="K123" i="14"/>
  <c r="I123" i="14"/>
  <c r="H123" i="14"/>
  <c r="G123" i="14"/>
  <c r="F123" i="14"/>
  <c r="E123" i="14"/>
  <c r="D123" i="14"/>
  <c r="C123" i="14"/>
  <c r="Y122" i="14"/>
  <c r="X122" i="14"/>
  <c r="W122" i="14"/>
  <c r="V122" i="14"/>
  <c r="T122" i="14"/>
  <c r="S122" i="14"/>
  <c r="R122" i="14"/>
  <c r="Q122" i="14"/>
  <c r="P122" i="14"/>
  <c r="O122" i="14"/>
  <c r="N122" i="14"/>
  <c r="M122" i="14"/>
  <c r="L122" i="14"/>
  <c r="K122" i="14"/>
  <c r="I122" i="14"/>
  <c r="H122" i="14"/>
  <c r="G122" i="14"/>
  <c r="F122" i="14"/>
  <c r="E122" i="14"/>
  <c r="D122" i="14"/>
  <c r="C122" i="14"/>
  <c r="Y121" i="14"/>
  <c r="X121" i="14"/>
  <c r="W121" i="14"/>
  <c r="V121" i="14"/>
  <c r="T121" i="14"/>
  <c r="S121" i="14"/>
  <c r="R121" i="14"/>
  <c r="Q121" i="14"/>
  <c r="P121" i="14"/>
  <c r="O121" i="14"/>
  <c r="N121" i="14"/>
  <c r="M121" i="14"/>
  <c r="L121" i="14"/>
  <c r="K121" i="14"/>
  <c r="I121" i="14"/>
  <c r="H121" i="14"/>
  <c r="G121" i="14"/>
  <c r="F121" i="14"/>
  <c r="E121" i="14"/>
  <c r="D121" i="14"/>
  <c r="C121" i="14"/>
  <c r="Y120" i="14"/>
  <c r="X120" i="14"/>
  <c r="W120" i="14"/>
  <c r="V120" i="14"/>
  <c r="T120" i="14"/>
  <c r="S120" i="14"/>
  <c r="R120" i="14"/>
  <c r="Q120" i="14"/>
  <c r="P120" i="14"/>
  <c r="O120" i="14"/>
  <c r="N120" i="14"/>
  <c r="M120" i="14"/>
  <c r="L120" i="14"/>
  <c r="K120" i="14"/>
  <c r="I120" i="14"/>
  <c r="H120" i="14"/>
  <c r="G120" i="14"/>
  <c r="F120" i="14"/>
  <c r="E120" i="14"/>
  <c r="D120" i="14"/>
  <c r="C120" i="14"/>
  <c r="Y119" i="14"/>
  <c r="X119" i="14"/>
  <c r="W119" i="14"/>
  <c r="V119" i="14"/>
  <c r="T119" i="14"/>
  <c r="S119" i="14"/>
  <c r="R119" i="14"/>
  <c r="Q119" i="14"/>
  <c r="P119" i="14"/>
  <c r="O119" i="14"/>
  <c r="N119" i="14"/>
  <c r="M119" i="14"/>
  <c r="L119" i="14"/>
  <c r="K119" i="14"/>
  <c r="I119" i="14"/>
  <c r="H119" i="14"/>
  <c r="G119" i="14"/>
  <c r="F119" i="14"/>
  <c r="E119" i="14"/>
  <c r="D119" i="14"/>
  <c r="C119" i="14"/>
  <c r="Y118" i="14"/>
  <c r="X118" i="14"/>
  <c r="W118" i="14"/>
  <c r="V118" i="14"/>
  <c r="T118" i="14"/>
  <c r="S118" i="14"/>
  <c r="R118" i="14"/>
  <c r="Q118" i="14"/>
  <c r="P118" i="14"/>
  <c r="O118" i="14"/>
  <c r="N118" i="14"/>
  <c r="M118" i="14"/>
  <c r="L118" i="14"/>
  <c r="K118" i="14"/>
  <c r="I118" i="14"/>
  <c r="H118" i="14"/>
  <c r="G118" i="14"/>
  <c r="F118" i="14"/>
  <c r="E118" i="14"/>
  <c r="D118" i="14"/>
  <c r="C118" i="14"/>
  <c r="Y117" i="14"/>
  <c r="X117" i="14"/>
  <c r="W117" i="14"/>
  <c r="V117" i="14"/>
  <c r="T117" i="14"/>
  <c r="S117" i="14"/>
  <c r="R117" i="14"/>
  <c r="Q117" i="14"/>
  <c r="P117" i="14"/>
  <c r="O117" i="14"/>
  <c r="N117" i="14"/>
  <c r="M117" i="14"/>
  <c r="L117" i="14"/>
  <c r="K117" i="14"/>
  <c r="I117" i="14"/>
  <c r="H117" i="14"/>
  <c r="G117" i="14"/>
  <c r="F117" i="14"/>
  <c r="E117" i="14"/>
  <c r="D117" i="14"/>
  <c r="C117" i="14"/>
  <c r="Y116" i="14"/>
  <c r="X116" i="14"/>
  <c r="W116" i="14"/>
  <c r="V116" i="14"/>
  <c r="T116" i="14"/>
  <c r="S116" i="14"/>
  <c r="R116" i="14"/>
  <c r="Q116" i="14"/>
  <c r="P116" i="14"/>
  <c r="O116" i="14"/>
  <c r="N116" i="14"/>
  <c r="M116" i="14"/>
  <c r="L116" i="14"/>
  <c r="K116" i="14"/>
  <c r="I116" i="14"/>
  <c r="H116" i="14"/>
  <c r="G116" i="14"/>
  <c r="F116" i="14"/>
  <c r="E116" i="14"/>
  <c r="D116" i="14"/>
  <c r="C116" i="14"/>
  <c r="Y115" i="14"/>
  <c r="X115" i="14"/>
  <c r="W115" i="14"/>
  <c r="V115" i="14"/>
  <c r="T115" i="14"/>
  <c r="S115" i="14"/>
  <c r="R115" i="14"/>
  <c r="Q115" i="14"/>
  <c r="P115" i="14"/>
  <c r="O115" i="14"/>
  <c r="N115" i="14"/>
  <c r="M115" i="14"/>
  <c r="L115" i="14"/>
  <c r="K115" i="14"/>
  <c r="I115" i="14"/>
  <c r="H115" i="14"/>
  <c r="G115" i="14"/>
  <c r="F115" i="14"/>
  <c r="E115" i="14"/>
  <c r="D115" i="14"/>
  <c r="C115" i="14"/>
  <c r="Y114" i="14"/>
  <c r="X114" i="14"/>
  <c r="W114" i="14"/>
  <c r="V114" i="14"/>
  <c r="T114" i="14"/>
  <c r="S114" i="14"/>
  <c r="R114" i="14"/>
  <c r="Q114" i="14"/>
  <c r="P114" i="14"/>
  <c r="O114" i="14"/>
  <c r="N114" i="14"/>
  <c r="M114" i="14"/>
  <c r="L114" i="14"/>
  <c r="K114" i="14"/>
  <c r="I114" i="14"/>
  <c r="H114" i="14"/>
  <c r="G114" i="14"/>
  <c r="F114" i="14"/>
  <c r="E114" i="14"/>
  <c r="D114" i="14"/>
  <c r="C114" i="14"/>
  <c r="Y113" i="14"/>
  <c r="X113" i="14"/>
  <c r="W113" i="14"/>
  <c r="V113" i="14"/>
  <c r="T113" i="14"/>
  <c r="S113" i="14"/>
  <c r="R113" i="14"/>
  <c r="Q113" i="14"/>
  <c r="P113" i="14"/>
  <c r="O113" i="14"/>
  <c r="N113" i="14"/>
  <c r="M113" i="14"/>
  <c r="L113" i="14"/>
  <c r="K113" i="14"/>
  <c r="I113" i="14"/>
  <c r="H113" i="14"/>
  <c r="G113" i="14"/>
  <c r="F113" i="14"/>
  <c r="E113" i="14"/>
  <c r="D113" i="14"/>
  <c r="C113" i="14"/>
  <c r="Y112" i="14"/>
  <c r="X112" i="14"/>
  <c r="W112" i="14"/>
  <c r="V112" i="14"/>
  <c r="T112" i="14"/>
  <c r="S112" i="14"/>
  <c r="R112" i="14"/>
  <c r="Q112" i="14"/>
  <c r="P112" i="14"/>
  <c r="O112" i="14"/>
  <c r="N112" i="14"/>
  <c r="M112" i="14"/>
  <c r="L112" i="14"/>
  <c r="K112" i="14"/>
  <c r="I112" i="14"/>
  <c r="H112" i="14"/>
  <c r="G112" i="14"/>
  <c r="F112" i="14"/>
  <c r="E112" i="14"/>
  <c r="D112" i="14"/>
  <c r="C112" i="14"/>
  <c r="Y111" i="14"/>
  <c r="X111" i="14"/>
  <c r="W111" i="14"/>
  <c r="V111" i="14"/>
  <c r="T111" i="14"/>
  <c r="S111" i="14"/>
  <c r="R111" i="14"/>
  <c r="Q111" i="14"/>
  <c r="P111" i="14"/>
  <c r="O111" i="14"/>
  <c r="N111" i="14"/>
  <c r="M111" i="14"/>
  <c r="L111" i="14"/>
  <c r="K111" i="14"/>
  <c r="I111" i="14"/>
  <c r="H111" i="14"/>
  <c r="G111" i="14"/>
  <c r="F111" i="14"/>
  <c r="E111" i="14"/>
  <c r="D111" i="14"/>
  <c r="C111" i="14"/>
  <c r="Y110" i="14"/>
  <c r="X110" i="14"/>
  <c r="W110" i="14"/>
  <c r="V110" i="14"/>
  <c r="T110" i="14"/>
  <c r="S110" i="14"/>
  <c r="R110" i="14"/>
  <c r="Q110" i="14"/>
  <c r="P110" i="14"/>
  <c r="O110" i="14"/>
  <c r="N110" i="14"/>
  <c r="M110" i="14"/>
  <c r="L110" i="14"/>
  <c r="K110" i="14"/>
  <c r="I110" i="14"/>
  <c r="H110" i="14"/>
  <c r="G110" i="14"/>
  <c r="F110" i="14"/>
  <c r="E110" i="14"/>
  <c r="D110" i="14"/>
  <c r="C110" i="14"/>
  <c r="Y109" i="14"/>
  <c r="X109" i="14"/>
  <c r="W109" i="14"/>
  <c r="V109" i="14"/>
  <c r="T109" i="14"/>
  <c r="S109" i="14"/>
  <c r="R109" i="14"/>
  <c r="Q109" i="14"/>
  <c r="P109" i="14"/>
  <c r="O109" i="14"/>
  <c r="N109" i="14"/>
  <c r="M109" i="14"/>
  <c r="L109" i="14"/>
  <c r="K109" i="14"/>
  <c r="I109" i="14"/>
  <c r="H109" i="14"/>
  <c r="G109" i="14"/>
  <c r="F109" i="14"/>
  <c r="E109" i="14"/>
  <c r="D109" i="14"/>
  <c r="C109" i="14"/>
  <c r="Y108" i="14"/>
  <c r="X108" i="14"/>
  <c r="W108" i="14"/>
  <c r="V108" i="14"/>
  <c r="T108" i="14"/>
  <c r="S108" i="14"/>
  <c r="R108" i="14"/>
  <c r="Q108" i="14"/>
  <c r="P108" i="14"/>
  <c r="O108" i="14"/>
  <c r="N108" i="14"/>
  <c r="M108" i="14"/>
  <c r="L108" i="14"/>
  <c r="K108" i="14"/>
  <c r="I108" i="14"/>
  <c r="H108" i="14"/>
  <c r="G108" i="14"/>
  <c r="F108" i="14"/>
  <c r="E108" i="14"/>
  <c r="D108" i="14"/>
  <c r="C108" i="14"/>
  <c r="Y107" i="14"/>
  <c r="X107" i="14"/>
  <c r="W107" i="14"/>
  <c r="V107" i="14"/>
  <c r="T107" i="14"/>
  <c r="S107" i="14"/>
  <c r="R107" i="14"/>
  <c r="Q107" i="14"/>
  <c r="P107" i="14"/>
  <c r="O107" i="14"/>
  <c r="N107" i="14"/>
  <c r="M107" i="14"/>
  <c r="L107" i="14"/>
  <c r="K107" i="14"/>
  <c r="I107" i="14"/>
  <c r="H107" i="14"/>
  <c r="G107" i="14"/>
  <c r="F107" i="14"/>
  <c r="E107" i="14"/>
  <c r="D107" i="14"/>
  <c r="C107" i="14"/>
  <c r="Y106" i="14"/>
  <c r="X106" i="14"/>
  <c r="W106" i="14"/>
  <c r="V106" i="14"/>
  <c r="T106" i="14"/>
  <c r="S106" i="14"/>
  <c r="R106" i="14"/>
  <c r="Q106" i="14"/>
  <c r="P106" i="14"/>
  <c r="O106" i="14"/>
  <c r="N106" i="14"/>
  <c r="M106" i="14"/>
  <c r="L106" i="14"/>
  <c r="K106" i="14"/>
  <c r="I106" i="14"/>
  <c r="H106" i="14"/>
  <c r="G106" i="14"/>
  <c r="F106" i="14"/>
  <c r="E106" i="14"/>
  <c r="D106" i="14"/>
  <c r="C106" i="14"/>
  <c r="Y105" i="14"/>
  <c r="X105" i="14"/>
  <c r="W105" i="14"/>
  <c r="V105" i="14"/>
  <c r="T105" i="14"/>
  <c r="S105" i="14"/>
  <c r="R105" i="14"/>
  <c r="Q105" i="14"/>
  <c r="P105" i="14"/>
  <c r="O105" i="14"/>
  <c r="N105" i="14"/>
  <c r="M105" i="14"/>
  <c r="L105" i="14"/>
  <c r="K105" i="14"/>
  <c r="I105" i="14"/>
  <c r="H105" i="14"/>
  <c r="G105" i="14"/>
  <c r="F105" i="14"/>
  <c r="E105" i="14"/>
  <c r="D105" i="14"/>
  <c r="C105" i="14"/>
  <c r="Y104" i="14"/>
  <c r="X104" i="14"/>
  <c r="W104" i="14"/>
  <c r="V104" i="14"/>
  <c r="T104" i="14"/>
  <c r="S104" i="14"/>
  <c r="R104" i="14"/>
  <c r="Q104" i="14"/>
  <c r="P104" i="14"/>
  <c r="O104" i="14"/>
  <c r="N104" i="14"/>
  <c r="M104" i="14"/>
  <c r="L104" i="14"/>
  <c r="K104" i="14"/>
  <c r="I104" i="14"/>
  <c r="H104" i="14"/>
  <c r="G104" i="14"/>
  <c r="F104" i="14"/>
  <c r="E104" i="14"/>
  <c r="D104" i="14"/>
  <c r="C104" i="14"/>
  <c r="Y103" i="14"/>
  <c r="X103" i="14"/>
  <c r="W103" i="14"/>
  <c r="V103" i="14"/>
  <c r="T103" i="14"/>
  <c r="S103" i="14"/>
  <c r="R103" i="14"/>
  <c r="Q103" i="14"/>
  <c r="P103" i="14"/>
  <c r="O103" i="14"/>
  <c r="N103" i="14"/>
  <c r="M103" i="14"/>
  <c r="L103" i="14"/>
  <c r="K103" i="14"/>
  <c r="I103" i="14"/>
  <c r="H103" i="14"/>
  <c r="G103" i="14"/>
  <c r="F103" i="14"/>
  <c r="E103" i="14"/>
  <c r="D103" i="14"/>
  <c r="C103" i="14"/>
  <c r="Y102" i="14"/>
  <c r="X102" i="14"/>
  <c r="W102" i="14"/>
  <c r="V102" i="14"/>
  <c r="T102" i="14"/>
  <c r="S102" i="14"/>
  <c r="R102" i="14"/>
  <c r="Q102" i="14"/>
  <c r="P102" i="14"/>
  <c r="O102" i="14"/>
  <c r="N102" i="14"/>
  <c r="M102" i="14"/>
  <c r="L102" i="14"/>
  <c r="K102" i="14"/>
  <c r="I102" i="14"/>
  <c r="H102" i="14"/>
  <c r="G102" i="14"/>
  <c r="F102" i="14"/>
  <c r="E102" i="14"/>
  <c r="D102" i="14"/>
  <c r="C102" i="14"/>
  <c r="Y101" i="14"/>
  <c r="X101" i="14"/>
  <c r="W101" i="14"/>
  <c r="V101" i="14"/>
  <c r="T101" i="14"/>
  <c r="S101" i="14"/>
  <c r="R101" i="14"/>
  <c r="Q101" i="14"/>
  <c r="P101" i="14"/>
  <c r="O101" i="14"/>
  <c r="N101" i="14"/>
  <c r="M101" i="14"/>
  <c r="L101" i="14"/>
  <c r="K101" i="14"/>
  <c r="I101" i="14"/>
  <c r="H101" i="14"/>
  <c r="G101" i="14"/>
  <c r="F101" i="14"/>
  <c r="E101" i="14"/>
  <c r="D101" i="14"/>
  <c r="C101" i="14"/>
  <c r="Y100" i="14"/>
  <c r="X100" i="14"/>
  <c r="W100" i="14"/>
  <c r="V100" i="14"/>
  <c r="T100" i="14"/>
  <c r="S100" i="14"/>
  <c r="R100" i="14"/>
  <c r="Q100" i="14"/>
  <c r="P100" i="14"/>
  <c r="O100" i="14"/>
  <c r="N100" i="14"/>
  <c r="M100" i="14"/>
  <c r="L100" i="14"/>
  <c r="K100" i="14"/>
  <c r="I100" i="14"/>
  <c r="H100" i="14"/>
  <c r="G100" i="14"/>
  <c r="F100" i="14"/>
  <c r="E100" i="14"/>
  <c r="D100" i="14"/>
  <c r="C100" i="14"/>
  <c r="Y99" i="14"/>
  <c r="X99" i="14"/>
  <c r="W99" i="14"/>
  <c r="V99" i="14"/>
  <c r="T99" i="14"/>
  <c r="S99" i="14"/>
  <c r="R99" i="14"/>
  <c r="Q99" i="14"/>
  <c r="P99" i="14"/>
  <c r="O99" i="14"/>
  <c r="N99" i="14"/>
  <c r="M99" i="14"/>
  <c r="L99" i="14"/>
  <c r="K99" i="14"/>
  <c r="I99" i="14"/>
  <c r="H99" i="14"/>
  <c r="G99" i="14"/>
  <c r="F99" i="14"/>
  <c r="E99" i="14"/>
  <c r="D99" i="14"/>
  <c r="C99" i="14"/>
  <c r="Y98" i="14"/>
  <c r="X98" i="14"/>
  <c r="W98" i="14"/>
  <c r="V98" i="14"/>
  <c r="T98" i="14"/>
  <c r="S98" i="14"/>
  <c r="R98" i="14"/>
  <c r="Q98" i="14"/>
  <c r="P98" i="14"/>
  <c r="O98" i="14"/>
  <c r="N98" i="14"/>
  <c r="M98" i="14"/>
  <c r="L98" i="14"/>
  <c r="K98" i="14"/>
  <c r="I98" i="14"/>
  <c r="H98" i="14"/>
  <c r="G98" i="14"/>
  <c r="F98" i="14"/>
  <c r="E98" i="14"/>
  <c r="D98" i="14"/>
  <c r="C98" i="14"/>
  <c r="Y97" i="14"/>
  <c r="X97" i="14"/>
  <c r="W97" i="14"/>
  <c r="V97" i="14"/>
  <c r="T97" i="14"/>
  <c r="S97" i="14"/>
  <c r="R97" i="14"/>
  <c r="Q97" i="14"/>
  <c r="P97" i="14"/>
  <c r="O97" i="14"/>
  <c r="N97" i="14"/>
  <c r="M97" i="14"/>
  <c r="L97" i="14"/>
  <c r="K97" i="14"/>
  <c r="I97" i="14"/>
  <c r="H97" i="14"/>
  <c r="G97" i="14"/>
  <c r="F97" i="14"/>
  <c r="E97" i="14"/>
  <c r="D97" i="14"/>
  <c r="C97" i="14"/>
  <c r="Y96" i="14"/>
  <c r="X96" i="14"/>
  <c r="W96" i="14"/>
  <c r="V96" i="14"/>
  <c r="T96" i="14"/>
  <c r="S96" i="14"/>
  <c r="R96" i="14"/>
  <c r="Q96" i="14"/>
  <c r="P96" i="14"/>
  <c r="O96" i="14"/>
  <c r="N96" i="14"/>
  <c r="M96" i="14"/>
  <c r="L96" i="14"/>
  <c r="K96" i="14"/>
  <c r="I96" i="14"/>
  <c r="H96" i="14"/>
  <c r="G96" i="14"/>
  <c r="F96" i="14"/>
  <c r="E96" i="14"/>
  <c r="D96" i="14"/>
  <c r="C96" i="14"/>
  <c r="Y95" i="14"/>
  <c r="X95" i="14"/>
  <c r="W95" i="14"/>
  <c r="V95" i="14"/>
  <c r="T95" i="14"/>
  <c r="S95" i="14"/>
  <c r="R95" i="14"/>
  <c r="Q95" i="14"/>
  <c r="P95" i="14"/>
  <c r="O95" i="14"/>
  <c r="N95" i="14"/>
  <c r="M95" i="14"/>
  <c r="L95" i="14"/>
  <c r="K95" i="14"/>
  <c r="I95" i="14"/>
  <c r="H95" i="14"/>
  <c r="G95" i="14"/>
  <c r="F95" i="14"/>
  <c r="E95" i="14"/>
  <c r="D95" i="14"/>
  <c r="C95" i="14"/>
  <c r="Y94" i="14"/>
  <c r="X94" i="14"/>
  <c r="W94" i="14"/>
  <c r="V94" i="14"/>
  <c r="T94" i="14"/>
  <c r="S94" i="14"/>
  <c r="R94" i="14"/>
  <c r="Q94" i="14"/>
  <c r="P94" i="14"/>
  <c r="O94" i="14"/>
  <c r="N94" i="14"/>
  <c r="M94" i="14"/>
  <c r="L94" i="14"/>
  <c r="K94" i="14"/>
  <c r="I94" i="14"/>
  <c r="H94" i="14"/>
  <c r="G94" i="14"/>
  <c r="F94" i="14"/>
  <c r="E94" i="14"/>
  <c r="D94" i="14"/>
  <c r="C94" i="14"/>
  <c r="Y93" i="14"/>
  <c r="X93" i="14"/>
  <c r="W93" i="14"/>
  <c r="V93" i="14"/>
  <c r="T93" i="14"/>
  <c r="S93" i="14"/>
  <c r="R93" i="14"/>
  <c r="Q93" i="14"/>
  <c r="P93" i="14"/>
  <c r="O93" i="14"/>
  <c r="N93" i="14"/>
  <c r="M93" i="14"/>
  <c r="L93" i="14"/>
  <c r="K93" i="14"/>
  <c r="I93" i="14"/>
  <c r="H93" i="14"/>
  <c r="G93" i="14"/>
  <c r="F93" i="14"/>
  <c r="E93" i="14"/>
  <c r="D93" i="14"/>
  <c r="C93" i="14"/>
  <c r="Y92" i="14"/>
  <c r="X92" i="14"/>
  <c r="W92" i="14"/>
  <c r="V92" i="14"/>
  <c r="T92" i="14"/>
  <c r="S92" i="14"/>
  <c r="R92" i="14"/>
  <c r="Q92" i="14"/>
  <c r="P92" i="14"/>
  <c r="O92" i="14"/>
  <c r="N92" i="14"/>
  <c r="M92" i="14"/>
  <c r="L92" i="14"/>
  <c r="K92" i="14"/>
  <c r="I92" i="14"/>
  <c r="H92" i="14"/>
  <c r="G92" i="14"/>
  <c r="F92" i="14"/>
  <c r="E92" i="14"/>
  <c r="D92" i="14"/>
  <c r="C92" i="14"/>
  <c r="Y91" i="14"/>
  <c r="X91" i="14"/>
  <c r="W91" i="14"/>
  <c r="V91" i="14"/>
  <c r="T91" i="14"/>
  <c r="S91" i="14"/>
  <c r="R91" i="14"/>
  <c r="Q91" i="14"/>
  <c r="P91" i="14"/>
  <c r="O91" i="14"/>
  <c r="N91" i="14"/>
  <c r="M91" i="14"/>
  <c r="L91" i="14"/>
  <c r="K91" i="14"/>
  <c r="I91" i="14"/>
  <c r="H91" i="14"/>
  <c r="G91" i="14"/>
  <c r="F91" i="14"/>
  <c r="E91" i="14"/>
  <c r="D91" i="14"/>
  <c r="C91" i="14"/>
  <c r="Y90" i="14"/>
  <c r="X90" i="14"/>
  <c r="W90" i="14"/>
  <c r="V90" i="14"/>
  <c r="T90" i="14"/>
  <c r="S90" i="14"/>
  <c r="R90" i="14"/>
  <c r="Q90" i="14"/>
  <c r="P90" i="14"/>
  <c r="O90" i="14"/>
  <c r="N90" i="14"/>
  <c r="M90" i="14"/>
  <c r="L90" i="14"/>
  <c r="K90" i="14"/>
  <c r="I90" i="14"/>
  <c r="H90" i="14"/>
  <c r="G90" i="14"/>
  <c r="F90" i="14"/>
  <c r="E90" i="14"/>
  <c r="D90" i="14"/>
  <c r="C90" i="14"/>
  <c r="Y89" i="14"/>
  <c r="X89" i="14"/>
  <c r="W89" i="14"/>
  <c r="V89" i="14"/>
  <c r="T89" i="14"/>
  <c r="S89" i="14"/>
  <c r="R89" i="14"/>
  <c r="Q89" i="14"/>
  <c r="P89" i="14"/>
  <c r="O89" i="14"/>
  <c r="N89" i="14"/>
  <c r="M89" i="14"/>
  <c r="L89" i="14"/>
  <c r="K89" i="14"/>
  <c r="I89" i="14"/>
  <c r="H89" i="14"/>
  <c r="G89" i="14"/>
  <c r="F89" i="14"/>
  <c r="E89" i="14"/>
  <c r="D89" i="14"/>
  <c r="C89" i="14"/>
  <c r="Y88" i="14"/>
  <c r="X88" i="14"/>
  <c r="W88" i="14"/>
  <c r="V88" i="14"/>
  <c r="T88" i="14"/>
  <c r="S88" i="14"/>
  <c r="R88" i="14"/>
  <c r="Q88" i="14"/>
  <c r="P88" i="14"/>
  <c r="O88" i="14"/>
  <c r="N88" i="14"/>
  <c r="M88" i="14"/>
  <c r="L88" i="14"/>
  <c r="K88" i="14"/>
  <c r="I88" i="14"/>
  <c r="H88" i="14"/>
  <c r="G88" i="14"/>
  <c r="F88" i="14"/>
  <c r="E88" i="14"/>
  <c r="D88" i="14"/>
  <c r="C88" i="14"/>
  <c r="Y87" i="14"/>
  <c r="X87" i="14"/>
  <c r="W87" i="14"/>
  <c r="V87" i="14"/>
  <c r="T87" i="14"/>
  <c r="S87" i="14"/>
  <c r="R87" i="14"/>
  <c r="Q87" i="14"/>
  <c r="P87" i="14"/>
  <c r="O87" i="14"/>
  <c r="N87" i="14"/>
  <c r="M87" i="14"/>
  <c r="L87" i="14"/>
  <c r="K87" i="14"/>
  <c r="I87" i="14"/>
  <c r="H87" i="14"/>
  <c r="G87" i="14"/>
  <c r="F87" i="14"/>
  <c r="E87" i="14"/>
  <c r="D87" i="14"/>
  <c r="C87" i="14"/>
  <c r="Y86" i="14"/>
  <c r="X86" i="14"/>
  <c r="W86" i="14"/>
  <c r="V86" i="14"/>
  <c r="T86" i="14"/>
  <c r="S86" i="14"/>
  <c r="R86" i="14"/>
  <c r="Q86" i="14"/>
  <c r="P86" i="14"/>
  <c r="O86" i="14"/>
  <c r="N86" i="14"/>
  <c r="M86" i="14"/>
  <c r="L86" i="14"/>
  <c r="K86" i="14"/>
  <c r="I86" i="14"/>
  <c r="H86" i="14"/>
  <c r="G86" i="14"/>
  <c r="F86" i="14"/>
  <c r="E86" i="14"/>
  <c r="D86" i="14"/>
  <c r="C86" i="14"/>
  <c r="Y85" i="14"/>
  <c r="X85" i="14"/>
  <c r="W85" i="14"/>
  <c r="V85" i="14"/>
  <c r="T85" i="14"/>
  <c r="S85" i="14"/>
  <c r="R85" i="14"/>
  <c r="Q85" i="14"/>
  <c r="P85" i="14"/>
  <c r="O85" i="14"/>
  <c r="N85" i="14"/>
  <c r="M85" i="14"/>
  <c r="L85" i="14"/>
  <c r="K85" i="14"/>
  <c r="I85" i="14"/>
  <c r="H85" i="14"/>
  <c r="G85" i="14"/>
  <c r="F85" i="14"/>
  <c r="E85" i="14"/>
  <c r="D85" i="14"/>
  <c r="C85" i="14"/>
  <c r="Y84" i="14"/>
  <c r="X84" i="14"/>
  <c r="W84" i="14"/>
  <c r="V84" i="14"/>
  <c r="T84" i="14"/>
  <c r="S84" i="14"/>
  <c r="R84" i="14"/>
  <c r="Q84" i="14"/>
  <c r="P84" i="14"/>
  <c r="O84" i="14"/>
  <c r="N84" i="14"/>
  <c r="M84" i="14"/>
  <c r="L84" i="14"/>
  <c r="K84" i="14"/>
  <c r="I84" i="14"/>
  <c r="H84" i="14"/>
  <c r="G84" i="14"/>
  <c r="F84" i="14"/>
  <c r="E84" i="14"/>
  <c r="D84" i="14"/>
  <c r="C84" i="14"/>
  <c r="Y83" i="14"/>
  <c r="X83" i="14"/>
  <c r="W83" i="14"/>
  <c r="V83" i="14"/>
  <c r="T83" i="14"/>
  <c r="S83" i="14"/>
  <c r="R83" i="14"/>
  <c r="Q83" i="14"/>
  <c r="P83" i="14"/>
  <c r="O83" i="14"/>
  <c r="N83" i="14"/>
  <c r="M83" i="14"/>
  <c r="L83" i="14"/>
  <c r="K83" i="14"/>
  <c r="I83" i="14"/>
  <c r="H83" i="14"/>
  <c r="G83" i="14"/>
  <c r="F83" i="14"/>
  <c r="E83" i="14"/>
  <c r="D83" i="14"/>
  <c r="C83" i="14"/>
  <c r="Y82" i="14"/>
  <c r="X82" i="14"/>
  <c r="W82" i="14"/>
  <c r="V82" i="14"/>
  <c r="T82" i="14"/>
  <c r="S82" i="14"/>
  <c r="R82" i="14"/>
  <c r="Q82" i="14"/>
  <c r="P82" i="14"/>
  <c r="O82" i="14"/>
  <c r="N82" i="14"/>
  <c r="M82" i="14"/>
  <c r="L82" i="14"/>
  <c r="K82" i="14"/>
  <c r="I82" i="14"/>
  <c r="H82" i="14"/>
  <c r="G82" i="14"/>
  <c r="F82" i="14"/>
  <c r="E82" i="14"/>
  <c r="D82" i="14"/>
  <c r="C82" i="14"/>
  <c r="Y81" i="14"/>
  <c r="X81" i="14"/>
  <c r="W81" i="14"/>
  <c r="V81" i="14"/>
  <c r="T81" i="14"/>
  <c r="S81" i="14"/>
  <c r="R81" i="14"/>
  <c r="Q81" i="14"/>
  <c r="P81" i="14"/>
  <c r="O81" i="14"/>
  <c r="N81" i="14"/>
  <c r="M81" i="14"/>
  <c r="L81" i="14"/>
  <c r="K81" i="14"/>
  <c r="I81" i="14"/>
  <c r="H81" i="14"/>
  <c r="G81" i="14"/>
  <c r="F81" i="14"/>
  <c r="E81" i="14"/>
  <c r="D81" i="14"/>
  <c r="C81" i="14"/>
  <c r="Y80" i="14"/>
  <c r="X80" i="14"/>
  <c r="W80" i="14"/>
  <c r="V80" i="14"/>
  <c r="T80" i="14"/>
  <c r="S80" i="14"/>
  <c r="R80" i="14"/>
  <c r="Q80" i="14"/>
  <c r="P80" i="14"/>
  <c r="O80" i="14"/>
  <c r="N80" i="14"/>
  <c r="M80" i="14"/>
  <c r="L80" i="14"/>
  <c r="K80" i="14"/>
  <c r="I80" i="14"/>
  <c r="H80" i="14"/>
  <c r="G80" i="14"/>
  <c r="F80" i="14"/>
  <c r="E80" i="14"/>
  <c r="D80" i="14"/>
  <c r="C80" i="14"/>
  <c r="Y79" i="14"/>
  <c r="X79" i="14"/>
  <c r="W79" i="14"/>
  <c r="V79" i="14"/>
  <c r="T79" i="14"/>
  <c r="S79" i="14"/>
  <c r="R79" i="14"/>
  <c r="Q79" i="14"/>
  <c r="P79" i="14"/>
  <c r="O79" i="14"/>
  <c r="N79" i="14"/>
  <c r="M79" i="14"/>
  <c r="L79" i="14"/>
  <c r="K79" i="14"/>
  <c r="I79" i="14"/>
  <c r="H79" i="14"/>
  <c r="G79" i="14"/>
  <c r="F79" i="14"/>
  <c r="E79" i="14"/>
  <c r="D79" i="14"/>
  <c r="C79" i="14"/>
  <c r="Y78" i="14"/>
  <c r="X78" i="14"/>
  <c r="W78" i="14"/>
  <c r="V78" i="14"/>
  <c r="T78" i="14"/>
  <c r="S78" i="14"/>
  <c r="R78" i="14"/>
  <c r="Q78" i="14"/>
  <c r="P78" i="14"/>
  <c r="O78" i="14"/>
  <c r="N78" i="14"/>
  <c r="M78" i="14"/>
  <c r="L78" i="14"/>
  <c r="K78" i="14"/>
  <c r="I78" i="14"/>
  <c r="H78" i="14"/>
  <c r="G78" i="14"/>
  <c r="F78" i="14"/>
  <c r="E78" i="14"/>
  <c r="D78" i="14"/>
  <c r="C78" i="14"/>
  <c r="Y77" i="14"/>
  <c r="X77" i="14"/>
  <c r="W77" i="14"/>
  <c r="V77" i="14"/>
  <c r="T77" i="14"/>
  <c r="S77" i="14"/>
  <c r="R77" i="14"/>
  <c r="Q77" i="14"/>
  <c r="P77" i="14"/>
  <c r="O77" i="14"/>
  <c r="N77" i="14"/>
  <c r="M77" i="14"/>
  <c r="L77" i="14"/>
  <c r="K77" i="14"/>
  <c r="I77" i="14"/>
  <c r="H77" i="14"/>
  <c r="G77" i="14"/>
  <c r="F77" i="14"/>
  <c r="E77" i="14"/>
  <c r="D77" i="14"/>
  <c r="C77" i="14"/>
  <c r="Y76" i="14"/>
  <c r="X76" i="14"/>
  <c r="W76" i="14"/>
  <c r="V76" i="14"/>
  <c r="T76" i="14"/>
  <c r="S76" i="14"/>
  <c r="R76" i="14"/>
  <c r="Q76" i="14"/>
  <c r="P76" i="14"/>
  <c r="O76" i="14"/>
  <c r="N76" i="14"/>
  <c r="M76" i="14"/>
  <c r="L76" i="14"/>
  <c r="K76" i="14"/>
  <c r="I76" i="14"/>
  <c r="H76" i="14"/>
  <c r="G76" i="14"/>
  <c r="F76" i="14"/>
  <c r="E76" i="14"/>
  <c r="D76" i="14"/>
  <c r="C76" i="14"/>
  <c r="Y75" i="14"/>
  <c r="X75" i="14"/>
  <c r="W75" i="14"/>
  <c r="V75" i="14"/>
  <c r="T75" i="14"/>
  <c r="S75" i="14"/>
  <c r="R75" i="14"/>
  <c r="Q75" i="14"/>
  <c r="P75" i="14"/>
  <c r="O75" i="14"/>
  <c r="N75" i="14"/>
  <c r="M75" i="14"/>
  <c r="L75" i="14"/>
  <c r="K75" i="14"/>
  <c r="I75" i="14"/>
  <c r="H75" i="14"/>
  <c r="G75" i="14"/>
  <c r="F75" i="14"/>
  <c r="E75" i="14"/>
  <c r="D75" i="14"/>
  <c r="C75" i="14"/>
  <c r="Y74" i="14"/>
  <c r="X74" i="14"/>
  <c r="W74" i="14"/>
  <c r="V74" i="14"/>
  <c r="T74" i="14"/>
  <c r="S74" i="14"/>
  <c r="R74" i="14"/>
  <c r="Q74" i="14"/>
  <c r="P74" i="14"/>
  <c r="O74" i="14"/>
  <c r="N74" i="14"/>
  <c r="M74" i="14"/>
  <c r="L74" i="14"/>
  <c r="K74" i="14"/>
  <c r="I74" i="14"/>
  <c r="H74" i="14"/>
  <c r="G74" i="14"/>
  <c r="F74" i="14"/>
  <c r="E74" i="14"/>
  <c r="D74" i="14"/>
  <c r="C74" i="14"/>
  <c r="Y73" i="14"/>
  <c r="X73" i="14"/>
  <c r="W73" i="14"/>
  <c r="V73" i="14"/>
  <c r="T73" i="14"/>
  <c r="S73" i="14"/>
  <c r="R73" i="14"/>
  <c r="Q73" i="14"/>
  <c r="P73" i="14"/>
  <c r="O73" i="14"/>
  <c r="N73" i="14"/>
  <c r="M73" i="14"/>
  <c r="L73" i="14"/>
  <c r="K73" i="14"/>
  <c r="I73" i="14"/>
  <c r="H73" i="14"/>
  <c r="G73" i="14"/>
  <c r="F73" i="14"/>
  <c r="E73" i="14"/>
  <c r="D73" i="14"/>
  <c r="C73" i="14"/>
  <c r="Y72" i="14"/>
  <c r="X72" i="14"/>
  <c r="W72" i="14"/>
  <c r="V72" i="14"/>
  <c r="T72" i="14"/>
  <c r="S72" i="14"/>
  <c r="R72" i="14"/>
  <c r="Q72" i="14"/>
  <c r="P72" i="14"/>
  <c r="O72" i="14"/>
  <c r="N72" i="14"/>
  <c r="M72" i="14"/>
  <c r="L72" i="14"/>
  <c r="K72" i="14"/>
  <c r="I72" i="14"/>
  <c r="H72" i="14"/>
  <c r="G72" i="14"/>
  <c r="F72" i="14"/>
  <c r="E72" i="14"/>
  <c r="D72" i="14"/>
  <c r="C72" i="14"/>
  <c r="Y71" i="14"/>
  <c r="X71" i="14"/>
  <c r="W71" i="14"/>
  <c r="V71" i="14"/>
  <c r="T71" i="14"/>
  <c r="S71" i="14"/>
  <c r="R71" i="14"/>
  <c r="Q71" i="14"/>
  <c r="P71" i="14"/>
  <c r="O71" i="14"/>
  <c r="N71" i="14"/>
  <c r="M71" i="14"/>
  <c r="L71" i="14"/>
  <c r="K71" i="14"/>
  <c r="I71" i="14"/>
  <c r="H71" i="14"/>
  <c r="G71" i="14"/>
  <c r="F71" i="14"/>
  <c r="E71" i="14"/>
  <c r="D71" i="14"/>
  <c r="C71" i="14"/>
  <c r="Y70" i="14"/>
  <c r="X70" i="14"/>
  <c r="W70" i="14"/>
  <c r="V70" i="14"/>
  <c r="T70" i="14"/>
  <c r="S70" i="14"/>
  <c r="R70" i="14"/>
  <c r="Q70" i="14"/>
  <c r="P70" i="14"/>
  <c r="O70" i="14"/>
  <c r="N70" i="14"/>
  <c r="M70" i="14"/>
  <c r="L70" i="14"/>
  <c r="K70" i="14"/>
  <c r="I70" i="14"/>
  <c r="H70" i="14"/>
  <c r="G70" i="14"/>
  <c r="F70" i="14"/>
  <c r="E70" i="14"/>
  <c r="D70" i="14"/>
  <c r="C70" i="14"/>
  <c r="Y69" i="14"/>
  <c r="X69" i="14"/>
  <c r="W69" i="14"/>
  <c r="V69" i="14"/>
  <c r="T69" i="14"/>
  <c r="S69" i="14"/>
  <c r="R69" i="14"/>
  <c r="Q69" i="14"/>
  <c r="P69" i="14"/>
  <c r="O69" i="14"/>
  <c r="N69" i="14"/>
  <c r="M69" i="14"/>
  <c r="L69" i="14"/>
  <c r="K69" i="14"/>
  <c r="I69" i="14"/>
  <c r="H69" i="14"/>
  <c r="G69" i="14"/>
  <c r="F69" i="14"/>
  <c r="E69" i="14"/>
  <c r="D69" i="14"/>
  <c r="C69" i="14"/>
  <c r="Y68" i="14"/>
  <c r="X68" i="14"/>
  <c r="W68" i="14"/>
  <c r="V68" i="14"/>
  <c r="T68" i="14"/>
  <c r="S68" i="14"/>
  <c r="R68" i="14"/>
  <c r="Q68" i="14"/>
  <c r="P68" i="14"/>
  <c r="O68" i="14"/>
  <c r="N68" i="14"/>
  <c r="M68" i="14"/>
  <c r="L68" i="14"/>
  <c r="K68" i="14"/>
  <c r="I68" i="14"/>
  <c r="H68" i="14"/>
  <c r="G68" i="14"/>
  <c r="F68" i="14"/>
  <c r="E68" i="14"/>
  <c r="D68" i="14"/>
  <c r="C68" i="14"/>
  <c r="Y67" i="14"/>
  <c r="X67" i="14"/>
  <c r="W67" i="14"/>
  <c r="V67" i="14"/>
  <c r="T67" i="14"/>
  <c r="S67" i="14"/>
  <c r="R67" i="14"/>
  <c r="Q67" i="14"/>
  <c r="P67" i="14"/>
  <c r="O67" i="14"/>
  <c r="N67" i="14"/>
  <c r="M67" i="14"/>
  <c r="L67" i="14"/>
  <c r="K67" i="14"/>
  <c r="I67" i="14"/>
  <c r="H67" i="14"/>
  <c r="G67" i="14"/>
  <c r="F67" i="14"/>
  <c r="E67" i="14"/>
  <c r="D67" i="14"/>
  <c r="C67" i="14"/>
  <c r="Y66" i="14"/>
  <c r="X66" i="14"/>
  <c r="W66" i="14"/>
  <c r="V66" i="14"/>
  <c r="T66" i="14"/>
  <c r="S66" i="14"/>
  <c r="R66" i="14"/>
  <c r="Q66" i="14"/>
  <c r="P66" i="14"/>
  <c r="O66" i="14"/>
  <c r="N66" i="14"/>
  <c r="M66" i="14"/>
  <c r="L66" i="14"/>
  <c r="K66" i="14"/>
  <c r="I66" i="14"/>
  <c r="H66" i="14"/>
  <c r="G66" i="14"/>
  <c r="F66" i="14"/>
  <c r="E66" i="14"/>
  <c r="D66" i="14"/>
  <c r="C66" i="14"/>
  <c r="Y65" i="14"/>
  <c r="X65" i="14"/>
  <c r="W65" i="14"/>
  <c r="V65" i="14"/>
  <c r="T65" i="14"/>
  <c r="S65" i="14"/>
  <c r="R65" i="14"/>
  <c r="Q65" i="14"/>
  <c r="P65" i="14"/>
  <c r="O65" i="14"/>
  <c r="N65" i="14"/>
  <c r="M65" i="14"/>
  <c r="L65" i="14"/>
  <c r="K65" i="14"/>
  <c r="I65" i="14"/>
  <c r="H65" i="14"/>
  <c r="G65" i="14"/>
  <c r="F65" i="14"/>
  <c r="E65" i="14"/>
  <c r="D65" i="14"/>
  <c r="C65" i="14"/>
  <c r="Y64" i="14"/>
  <c r="X64" i="14"/>
  <c r="W64" i="14"/>
  <c r="V64" i="14"/>
  <c r="T64" i="14"/>
  <c r="S64" i="14"/>
  <c r="R64" i="14"/>
  <c r="Q64" i="14"/>
  <c r="P64" i="14"/>
  <c r="O64" i="14"/>
  <c r="N64" i="14"/>
  <c r="M64" i="14"/>
  <c r="L64" i="14"/>
  <c r="K64" i="14"/>
  <c r="I64" i="14"/>
  <c r="H64" i="14"/>
  <c r="G64" i="14"/>
  <c r="F64" i="14"/>
  <c r="E64" i="14"/>
  <c r="D64" i="14"/>
  <c r="C64" i="14"/>
  <c r="Y63" i="14"/>
  <c r="X63" i="14"/>
  <c r="W63" i="14"/>
  <c r="V63" i="14"/>
  <c r="T63" i="14"/>
  <c r="S63" i="14"/>
  <c r="R63" i="14"/>
  <c r="Q63" i="14"/>
  <c r="P63" i="14"/>
  <c r="O63" i="14"/>
  <c r="N63" i="14"/>
  <c r="M63" i="14"/>
  <c r="L63" i="14"/>
  <c r="K63" i="14"/>
  <c r="I63" i="14"/>
  <c r="H63" i="14"/>
  <c r="G63" i="14"/>
  <c r="F63" i="14"/>
  <c r="E63" i="14"/>
  <c r="D63" i="14"/>
  <c r="C63" i="14"/>
  <c r="Y62" i="14"/>
  <c r="X62" i="14"/>
  <c r="W62" i="14"/>
  <c r="V62" i="14"/>
  <c r="T62" i="14"/>
  <c r="S62" i="14"/>
  <c r="R62" i="14"/>
  <c r="Q62" i="14"/>
  <c r="P62" i="14"/>
  <c r="O62" i="14"/>
  <c r="N62" i="14"/>
  <c r="M62" i="14"/>
  <c r="L62" i="14"/>
  <c r="K62" i="14"/>
  <c r="I62" i="14"/>
  <c r="H62" i="14"/>
  <c r="G62" i="14"/>
  <c r="F62" i="14"/>
  <c r="E62" i="14"/>
  <c r="D62" i="14"/>
  <c r="C62" i="14"/>
  <c r="Y61" i="14"/>
  <c r="X61" i="14"/>
  <c r="W61" i="14"/>
  <c r="V61" i="14"/>
  <c r="T61" i="14"/>
  <c r="S61" i="14"/>
  <c r="R61" i="14"/>
  <c r="Q61" i="14"/>
  <c r="P61" i="14"/>
  <c r="O61" i="14"/>
  <c r="N61" i="14"/>
  <c r="M61" i="14"/>
  <c r="L61" i="14"/>
  <c r="K61" i="14"/>
  <c r="I61" i="14"/>
  <c r="H61" i="14"/>
  <c r="G61" i="14"/>
  <c r="F61" i="14"/>
  <c r="E61" i="14"/>
  <c r="D61" i="14"/>
  <c r="C61" i="14"/>
  <c r="Y60" i="14"/>
  <c r="X60" i="14"/>
  <c r="W60" i="14"/>
  <c r="V60" i="14"/>
  <c r="T60" i="14"/>
  <c r="S60" i="14"/>
  <c r="R60" i="14"/>
  <c r="Q60" i="14"/>
  <c r="P60" i="14"/>
  <c r="O60" i="14"/>
  <c r="N60" i="14"/>
  <c r="M60" i="14"/>
  <c r="L60" i="14"/>
  <c r="K60" i="14"/>
  <c r="I60" i="14"/>
  <c r="H60" i="14"/>
  <c r="G60" i="14"/>
  <c r="F60" i="14"/>
  <c r="E60" i="14"/>
  <c r="D60" i="14"/>
  <c r="C60" i="14"/>
  <c r="Y59" i="14"/>
  <c r="X59" i="14"/>
  <c r="W59" i="14"/>
  <c r="V59" i="14"/>
  <c r="T59" i="14"/>
  <c r="S59" i="14"/>
  <c r="R59" i="14"/>
  <c r="Q59" i="14"/>
  <c r="P59" i="14"/>
  <c r="O59" i="14"/>
  <c r="N59" i="14"/>
  <c r="M59" i="14"/>
  <c r="L59" i="14"/>
  <c r="K59" i="14"/>
  <c r="I59" i="14"/>
  <c r="H59" i="14"/>
  <c r="G59" i="14"/>
  <c r="F59" i="14"/>
  <c r="E59" i="14"/>
  <c r="D59" i="14"/>
  <c r="C59" i="14"/>
  <c r="Y58" i="14"/>
  <c r="X58" i="14"/>
  <c r="W58" i="14"/>
  <c r="V58" i="14"/>
  <c r="T58" i="14"/>
  <c r="S58" i="14"/>
  <c r="R58" i="14"/>
  <c r="Q58" i="14"/>
  <c r="P58" i="14"/>
  <c r="O58" i="14"/>
  <c r="N58" i="14"/>
  <c r="M58" i="14"/>
  <c r="L58" i="14"/>
  <c r="K58" i="14"/>
  <c r="I58" i="14"/>
  <c r="H58" i="14"/>
  <c r="G58" i="14"/>
  <c r="F58" i="14"/>
  <c r="E58" i="14"/>
  <c r="D58" i="14"/>
  <c r="C58" i="14"/>
  <c r="Y57" i="14"/>
  <c r="X57" i="14"/>
  <c r="W57" i="14"/>
  <c r="V57" i="14"/>
  <c r="T57" i="14"/>
  <c r="S57" i="14"/>
  <c r="R57" i="14"/>
  <c r="Q57" i="14"/>
  <c r="P57" i="14"/>
  <c r="O57" i="14"/>
  <c r="N57" i="14"/>
  <c r="M57" i="14"/>
  <c r="L57" i="14"/>
  <c r="K57" i="14"/>
  <c r="I57" i="14"/>
  <c r="H57" i="14"/>
  <c r="G57" i="14"/>
  <c r="F57" i="14"/>
  <c r="E57" i="14"/>
  <c r="D57" i="14"/>
  <c r="C57" i="14"/>
  <c r="Y56" i="14"/>
  <c r="X56" i="14"/>
  <c r="W56" i="14"/>
  <c r="V56" i="14"/>
  <c r="T56" i="14"/>
  <c r="S56" i="14"/>
  <c r="R56" i="14"/>
  <c r="Q56" i="14"/>
  <c r="P56" i="14"/>
  <c r="O56" i="14"/>
  <c r="N56" i="14"/>
  <c r="M56" i="14"/>
  <c r="L56" i="14"/>
  <c r="K56" i="14"/>
  <c r="I56" i="14"/>
  <c r="H56" i="14"/>
  <c r="G56" i="14"/>
  <c r="F56" i="14"/>
  <c r="E56" i="14"/>
  <c r="D56" i="14"/>
  <c r="C56" i="14"/>
  <c r="Y55" i="14"/>
  <c r="X55" i="14"/>
  <c r="W55" i="14"/>
  <c r="V55" i="14"/>
  <c r="T55" i="14"/>
  <c r="S55" i="14"/>
  <c r="R55" i="14"/>
  <c r="Q55" i="14"/>
  <c r="P55" i="14"/>
  <c r="O55" i="14"/>
  <c r="N55" i="14"/>
  <c r="M55" i="14"/>
  <c r="L55" i="14"/>
  <c r="K55" i="14"/>
  <c r="I55" i="14"/>
  <c r="H55" i="14"/>
  <c r="G55" i="14"/>
  <c r="F55" i="14"/>
  <c r="E55" i="14"/>
  <c r="D55" i="14"/>
  <c r="C55" i="14"/>
  <c r="Y54" i="14"/>
  <c r="X54" i="14"/>
  <c r="W54" i="14"/>
  <c r="V54" i="14"/>
  <c r="T54" i="14"/>
  <c r="S54" i="14"/>
  <c r="R54" i="14"/>
  <c r="Q54" i="14"/>
  <c r="P54" i="14"/>
  <c r="O54" i="14"/>
  <c r="N54" i="14"/>
  <c r="M54" i="14"/>
  <c r="L54" i="14"/>
  <c r="K54" i="14"/>
  <c r="I54" i="14"/>
  <c r="H54" i="14"/>
  <c r="G54" i="14"/>
  <c r="F54" i="14"/>
  <c r="E54" i="14"/>
  <c r="D54" i="14"/>
  <c r="C54" i="14"/>
  <c r="Y53" i="14"/>
  <c r="X53" i="14"/>
  <c r="W53" i="14"/>
  <c r="V53" i="14"/>
  <c r="T53" i="14"/>
  <c r="S53" i="14"/>
  <c r="R53" i="14"/>
  <c r="Q53" i="14"/>
  <c r="P53" i="14"/>
  <c r="O53" i="14"/>
  <c r="N53" i="14"/>
  <c r="M53" i="14"/>
  <c r="L53" i="14"/>
  <c r="K53" i="14"/>
  <c r="I53" i="14"/>
  <c r="H53" i="14"/>
  <c r="G53" i="14"/>
  <c r="F53" i="14"/>
  <c r="E53" i="14"/>
  <c r="D53" i="14"/>
  <c r="C53" i="14"/>
  <c r="Y52" i="14"/>
  <c r="X52" i="14"/>
  <c r="W52" i="14"/>
  <c r="V52" i="14"/>
  <c r="T52" i="14"/>
  <c r="S52" i="14"/>
  <c r="R52" i="14"/>
  <c r="Q52" i="14"/>
  <c r="P52" i="14"/>
  <c r="O52" i="14"/>
  <c r="N52" i="14"/>
  <c r="M52" i="14"/>
  <c r="L52" i="14"/>
  <c r="K52" i="14"/>
  <c r="I52" i="14"/>
  <c r="H52" i="14"/>
  <c r="G52" i="14"/>
  <c r="F52" i="14"/>
  <c r="E52" i="14"/>
  <c r="D52" i="14"/>
  <c r="C52" i="14"/>
  <c r="Y51" i="14"/>
  <c r="X51" i="14"/>
  <c r="W51" i="14"/>
  <c r="V51" i="14"/>
  <c r="T51" i="14"/>
  <c r="S51" i="14"/>
  <c r="R51" i="14"/>
  <c r="Q51" i="14"/>
  <c r="P51" i="14"/>
  <c r="O51" i="14"/>
  <c r="N51" i="14"/>
  <c r="M51" i="14"/>
  <c r="L51" i="14"/>
  <c r="K51" i="14"/>
  <c r="I51" i="14"/>
  <c r="H51" i="14"/>
  <c r="G51" i="14"/>
  <c r="F51" i="14"/>
  <c r="E51" i="14"/>
  <c r="D51" i="14"/>
  <c r="C51" i="14"/>
  <c r="Y50" i="14"/>
  <c r="X50" i="14"/>
  <c r="W50" i="14"/>
  <c r="V50" i="14"/>
  <c r="T50" i="14"/>
  <c r="S50" i="14"/>
  <c r="R50" i="14"/>
  <c r="Q50" i="14"/>
  <c r="P50" i="14"/>
  <c r="O50" i="14"/>
  <c r="N50" i="14"/>
  <c r="M50" i="14"/>
  <c r="L50" i="14"/>
  <c r="K50" i="14"/>
  <c r="I50" i="14"/>
  <c r="H50" i="14"/>
  <c r="G50" i="14"/>
  <c r="F50" i="14"/>
  <c r="E50" i="14"/>
  <c r="D50" i="14"/>
  <c r="C50" i="14"/>
  <c r="Y49" i="14"/>
  <c r="X49" i="14"/>
  <c r="W49" i="14"/>
  <c r="V49" i="14"/>
  <c r="T49" i="14"/>
  <c r="S49" i="14"/>
  <c r="R49" i="14"/>
  <c r="Q49" i="14"/>
  <c r="P49" i="14"/>
  <c r="O49" i="14"/>
  <c r="N49" i="14"/>
  <c r="M49" i="14"/>
  <c r="L49" i="14"/>
  <c r="K49" i="14"/>
  <c r="I49" i="14"/>
  <c r="H49" i="14"/>
  <c r="G49" i="14"/>
  <c r="F49" i="14"/>
  <c r="E49" i="14"/>
  <c r="D49" i="14"/>
  <c r="C49" i="14"/>
  <c r="Y48" i="14"/>
  <c r="X48" i="14"/>
  <c r="W48" i="14"/>
  <c r="V48" i="14"/>
  <c r="T48" i="14"/>
  <c r="S48" i="14"/>
  <c r="R48" i="14"/>
  <c r="Q48" i="14"/>
  <c r="P48" i="14"/>
  <c r="O48" i="14"/>
  <c r="N48" i="14"/>
  <c r="M48" i="14"/>
  <c r="L48" i="14"/>
  <c r="K48" i="14"/>
  <c r="I48" i="14"/>
  <c r="H48" i="14"/>
  <c r="G48" i="14"/>
  <c r="F48" i="14"/>
  <c r="E48" i="14"/>
  <c r="D48" i="14"/>
  <c r="C48" i="14"/>
  <c r="Y47" i="14"/>
  <c r="X47" i="14"/>
  <c r="W47" i="14"/>
  <c r="V47" i="14"/>
  <c r="T47" i="14"/>
  <c r="S47" i="14"/>
  <c r="R47" i="14"/>
  <c r="Q47" i="14"/>
  <c r="P47" i="14"/>
  <c r="O47" i="14"/>
  <c r="N47" i="14"/>
  <c r="M47" i="14"/>
  <c r="L47" i="14"/>
  <c r="K47" i="14"/>
  <c r="I47" i="14"/>
  <c r="H47" i="14"/>
  <c r="G47" i="14"/>
  <c r="F47" i="14"/>
  <c r="E47" i="14"/>
  <c r="D47" i="14"/>
  <c r="C47" i="14"/>
  <c r="Y46" i="14"/>
  <c r="X46" i="14"/>
  <c r="W46" i="14"/>
  <c r="V46" i="14"/>
  <c r="T46" i="14"/>
  <c r="S46" i="14"/>
  <c r="R46" i="14"/>
  <c r="Q46" i="14"/>
  <c r="P46" i="14"/>
  <c r="O46" i="14"/>
  <c r="N46" i="14"/>
  <c r="M46" i="14"/>
  <c r="L46" i="14"/>
  <c r="K46" i="14"/>
  <c r="I46" i="14"/>
  <c r="H46" i="14"/>
  <c r="G46" i="14"/>
  <c r="F46" i="14"/>
  <c r="E46" i="14"/>
  <c r="D46" i="14"/>
  <c r="C46" i="14"/>
  <c r="Y45" i="14"/>
  <c r="X45" i="14"/>
  <c r="W45" i="14"/>
  <c r="V45" i="14"/>
  <c r="T45" i="14"/>
  <c r="S45" i="14"/>
  <c r="R45" i="14"/>
  <c r="Q45" i="14"/>
  <c r="P45" i="14"/>
  <c r="O45" i="14"/>
  <c r="N45" i="14"/>
  <c r="M45" i="14"/>
  <c r="L45" i="14"/>
  <c r="K45" i="14"/>
  <c r="I45" i="14"/>
  <c r="H45" i="14"/>
  <c r="G45" i="14"/>
  <c r="F45" i="14"/>
  <c r="E45" i="14"/>
  <c r="D45" i="14"/>
  <c r="C45" i="14"/>
  <c r="Y44" i="14"/>
  <c r="X44" i="14"/>
  <c r="W44" i="14"/>
  <c r="V44" i="14"/>
  <c r="T44" i="14"/>
  <c r="S44" i="14"/>
  <c r="R44" i="14"/>
  <c r="Q44" i="14"/>
  <c r="P44" i="14"/>
  <c r="O44" i="14"/>
  <c r="N44" i="14"/>
  <c r="M44" i="14"/>
  <c r="L44" i="14"/>
  <c r="K44" i="14"/>
  <c r="I44" i="14"/>
  <c r="H44" i="14"/>
  <c r="G44" i="14"/>
  <c r="F44" i="14"/>
  <c r="E44" i="14"/>
  <c r="D44" i="14"/>
  <c r="C44" i="14"/>
  <c r="Y43" i="14"/>
  <c r="X43" i="14"/>
  <c r="W43" i="14"/>
  <c r="V43" i="14"/>
  <c r="T43" i="14"/>
  <c r="S43" i="14"/>
  <c r="R43" i="14"/>
  <c r="Q43" i="14"/>
  <c r="P43" i="14"/>
  <c r="O43" i="14"/>
  <c r="N43" i="14"/>
  <c r="M43" i="14"/>
  <c r="L43" i="14"/>
  <c r="K43" i="14"/>
  <c r="I43" i="14"/>
  <c r="H43" i="14"/>
  <c r="G43" i="14"/>
  <c r="F43" i="14"/>
  <c r="E43" i="14"/>
  <c r="D43" i="14"/>
  <c r="C43" i="14"/>
  <c r="Y42" i="14"/>
  <c r="X42" i="14"/>
  <c r="W42" i="14"/>
  <c r="V42" i="14"/>
  <c r="T42" i="14"/>
  <c r="S42" i="14"/>
  <c r="R42" i="14"/>
  <c r="Q42" i="14"/>
  <c r="P42" i="14"/>
  <c r="O42" i="14"/>
  <c r="N42" i="14"/>
  <c r="M42" i="14"/>
  <c r="L42" i="14"/>
  <c r="K42" i="14"/>
  <c r="I42" i="14"/>
  <c r="H42" i="14"/>
  <c r="G42" i="14"/>
  <c r="F42" i="14"/>
  <c r="E42" i="14"/>
  <c r="D42" i="14"/>
  <c r="C42" i="14"/>
  <c r="Y41" i="14"/>
  <c r="X41" i="14"/>
  <c r="W41" i="14"/>
  <c r="V41" i="14"/>
  <c r="T41" i="14"/>
  <c r="S41" i="14"/>
  <c r="R41" i="14"/>
  <c r="Q41" i="14"/>
  <c r="P41" i="14"/>
  <c r="O41" i="14"/>
  <c r="N41" i="14"/>
  <c r="M41" i="14"/>
  <c r="L41" i="14"/>
  <c r="K41" i="14"/>
  <c r="I41" i="14"/>
  <c r="H41" i="14"/>
  <c r="G41" i="14"/>
  <c r="F41" i="14"/>
  <c r="E41" i="14"/>
  <c r="D41" i="14"/>
  <c r="C41" i="14"/>
  <c r="Y40" i="14"/>
  <c r="X40" i="14"/>
  <c r="W40" i="14"/>
  <c r="V40" i="14"/>
  <c r="T40" i="14"/>
  <c r="S40" i="14"/>
  <c r="R40" i="14"/>
  <c r="Q40" i="14"/>
  <c r="P40" i="14"/>
  <c r="O40" i="14"/>
  <c r="N40" i="14"/>
  <c r="M40" i="14"/>
  <c r="L40" i="14"/>
  <c r="K40" i="14"/>
  <c r="I40" i="14"/>
  <c r="H40" i="14"/>
  <c r="G40" i="14"/>
  <c r="F40" i="14"/>
  <c r="E40" i="14"/>
  <c r="D40" i="14"/>
  <c r="C40" i="14"/>
  <c r="Y39" i="14"/>
  <c r="X39" i="14"/>
  <c r="W39" i="14"/>
  <c r="V39" i="14"/>
  <c r="T39" i="14"/>
  <c r="S39" i="14"/>
  <c r="R39" i="14"/>
  <c r="Q39" i="14"/>
  <c r="P39" i="14"/>
  <c r="O39" i="14"/>
  <c r="N39" i="14"/>
  <c r="M39" i="14"/>
  <c r="L39" i="14"/>
  <c r="K39" i="14"/>
  <c r="I39" i="14"/>
  <c r="H39" i="14"/>
  <c r="G39" i="14"/>
  <c r="F39" i="14"/>
  <c r="E39" i="14"/>
  <c r="D39" i="14"/>
  <c r="C39" i="14"/>
  <c r="Y38" i="14"/>
  <c r="X38" i="14"/>
  <c r="W38" i="14"/>
  <c r="V38" i="14"/>
  <c r="T38" i="14"/>
  <c r="S38" i="14"/>
  <c r="R38" i="14"/>
  <c r="Q38" i="14"/>
  <c r="P38" i="14"/>
  <c r="O38" i="14"/>
  <c r="N38" i="14"/>
  <c r="M38" i="14"/>
  <c r="L38" i="14"/>
  <c r="K38" i="14"/>
  <c r="I38" i="14"/>
  <c r="H38" i="14"/>
  <c r="G38" i="14"/>
  <c r="F38" i="14"/>
  <c r="E38" i="14"/>
  <c r="D38" i="14"/>
  <c r="C38" i="14"/>
  <c r="Y37" i="14"/>
  <c r="X37" i="14"/>
  <c r="W37" i="14"/>
  <c r="V37" i="14"/>
  <c r="T37" i="14"/>
  <c r="S37" i="14"/>
  <c r="R37" i="14"/>
  <c r="Q37" i="14"/>
  <c r="P37" i="14"/>
  <c r="O37" i="14"/>
  <c r="N37" i="14"/>
  <c r="M37" i="14"/>
  <c r="L37" i="14"/>
  <c r="K37" i="14"/>
  <c r="I37" i="14"/>
  <c r="H37" i="14"/>
  <c r="G37" i="14"/>
  <c r="F37" i="14"/>
  <c r="E37" i="14"/>
  <c r="D37" i="14"/>
  <c r="C37" i="14"/>
  <c r="Y36" i="14"/>
  <c r="X36" i="14"/>
  <c r="W36" i="14"/>
  <c r="V36" i="14"/>
  <c r="T36" i="14"/>
  <c r="S36" i="14"/>
  <c r="R36" i="14"/>
  <c r="Q36" i="14"/>
  <c r="P36" i="14"/>
  <c r="O36" i="14"/>
  <c r="N36" i="14"/>
  <c r="M36" i="14"/>
  <c r="L36" i="14"/>
  <c r="K36" i="14"/>
  <c r="I36" i="14"/>
  <c r="H36" i="14"/>
  <c r="G36" i="14"/>
  <c r="F36" i="14"/>
  <c r="E36" i="14"/>
  <c r="D36" i="14"/>
  <c r="C36" i="14"/>
  <c r="Y35" i="14"/>
  <c r="X35" i="14"/>
  <c r="W35" i="14"/>
  <c r="V35" i="14"/>
  <c r="T35" i="14"/>
  <c r="S35" i="14"/>
  <c r="R35" i="14"/>
  <c r="Q35" i="14"/>
  <c r="P35" i="14"/>
  <c r="O35" i="14"/>
  <c r="N35" i="14"/>
  <c r="M35" i="14"/>
  <c r="L35" i="14"/>
  <c r="K35" i="14"/>
  <c r="I35" i="14"/>
  <c r="H35" i="14"/>
  <c r="G35" i="14"/>
  <c r="F35" i="14"/>
  <c r="E35" i="14"/>
  <c r="D35" i="14"/>
  <c r="C35" i="14"/>
  <c r="Y34" i="14"/>
  <c r="X34" i="14"/>
  <c r="W34" i="14"/>
  <c r="V34" i="14"/>
  <c r="T34" i="14"/>
  <c r="S34" i="14"/>
  <c r="R34" i="14"/>
  <c r="Q34" i="14"/>
  <c r="P34" i="14"/>
  <c r="O34" i="14"/>
  <c r="N34" i="14"/>
  <c r="M34" i="14"/>
  <c r="L34" i="14"/>
  <c r="K34" i="14"/>
  <c r="I34" i="14"/>
  <c r="H34" i="14"/>
  <c r="G34" i="14"/>
  <c r="F34" i="14"/>
  <c r="E34" i="14"/>
  <c r="D34" i="14"/>
  <c r="C34" i="14"/>
  <c r="Y33" i="14"/>
  <c r="X33" i="14"/>
  <c r="W33" i="14"/>
  <c r="V33" i="14"/>
  <c r="T33" i="14"/>
  <c r="S33" i="14"/>
  <c r="R33" i="14"/>
  <c r="Q33" i="14"/>
  <c r="P33" i="14"/>
  <c r="O33" i="14"/>
  <c r="N33" i="14"/>
  <c r="M33" i="14"/>
  <c r="L33" i="14"/>
  <c r="K33" i="14"/>
  <c r="I33" i="14"/>
  <c r="H33" i="14"/>
  <c r="G33" i="14"/>
  <c r="F33" i="14"/>
  <c r="E33" i="14"/>
  <c r="D33" i="14"/>
  <c r="C33" i="14"/>
  <c r="Y32" i="14"/>
  <c r="X32" i="14"/>
  <c r="W32" i="14"/>
  <c r="V32" i="14"/>
  <c r="T32" i="14"/>
  <c r="S32" i="14"/>
  <c r="R32" i="14"/>
  <c r="Q32" i="14"/>
  <c r="P32" i="14"/>
  <c r="O32" i="14"/>
  <c r="N32" i="14"/>
  <c r="M32" i="14"/>
  <c r="L32" i="14"/>
  <c r="K32" i="14"/>
  <c r="I32" i="14"/>
  <c r="H32" i="14"/>
  <c r="G32" i="14"/>
  <c r="F32" i="14"/>
  <c r="E32" i="14"/>
  <c r="D32" i="14"/>
  <c r="C32" i="14"/>
  <c r="Y31" i="14"/>
  <c r="X31" i="14"/>
  <c r="W31" i="14"/>
  <c r="V31" i="14"/>
  <c r="T31" i="14"/>
  <c r="S31" i="14"/>
  <c r="R31" i="14"/>
  <c r="Q31" i="14"/>
  <c r="P31" i="14"/>
  <c r="O31" i="14"/>
  <c r="N31" i="14"/>
  <c r="M31" i="14"/>
  <c r="L31" i="14"/>
  <c r="K31" i="14"/>
  <c r="I31" i="14"/>
  <c r="H31" i="14"/>
  <c r="G31" i="14"/>
  <c r="F31" i="14"/>
  <c r="E31" i="14"/>
  <c r="D31" i="14"/>
  <c r="C31" i="14"/>
  <c r="Y30" i="14"/>
  <c r="X30" i="14"/>
  <c r="W30" i="14"/>
  <c r="V30" i="14"/>
  <c r="T30" i="14"/>
  <c r="S30" i="14"/>
  <c r="R30" i="14"/>
  <c r="Q30" i="14"/>
  <c r="P30" i="14"/>
  <c r="O30" i="14"/>
  <c r="N30" i="14"/>
  <c r="M30" i="14"/>
  <c r="L30" i="14"/>
  <c r="K30" i="14"/>
  <c r="I30" i="14"/>
  <c r="H30" i="14"/>
  <c r="G30" i="14"/>
  <c r="F30" i="14"/>
  <c r="E30" i="14"/>
  <c r="D30" i="14"/>
  <c r="C30" i="14"/>
  <c r="Y29" i="14"/>
  <c r="X29" i="14"/>
  <c r="W29" i="14"/>
  <c r="V29" i="14"/>
  <c r="T29" i="14"/>
  <c r="S29" i="14"/>
  <c r="R29" i="14"/>
  <c r="Q29" i="14"/>
  <c r="P29" i="14"/>
  <c r="O29" i="14"/>
  <c r="N29" i="14"/>
  <c r="M29" i="14"/>
  <c r="L29" i="14"/>
  <c r="K29" i="14"/>
  <c r="I29" i="14"/>
  <c r="H29" i="14"/>
  <c r="G29" i="14"/>
  <c r="F29" i="14"/>
  <c r="E29" i="14"/>
  <c r="D29" i="14"/>
  <c r="C29" i="14"/>
  <c r="Y28" i="14"/>
  <c r="X28" i="14"/>
  <c r="W28" i="14"/>
  <c r="V28" i="14"/>
  <c r="T28" i="14"/>
  <c r="S28" i="14"/>
  <c r="R28" i="14"/>
  <c r="Q28" i="14"/>
  <c r="P28" i="14"/>
  <c r="O28" i="14"/>
  <c r="N28" i="14"/>
  <c r="M28" i="14"/>
  <c r="L28" i="14"/>
  <c r="K28" i="14"/>
  <c r="I28" i="14"/>
  <c r="H28" i="14"/>
  <c r="G28" i="14"/>
  <c r="F28" i="14"/>
  <c r="E28" i="14"/>
  <c r="D28" i="14"/>
  <c r="C28" i="14"/>
  <c r="Y27" i="14"/>
  <c r="X27" i="14"/>
  <c r="W27" i="14"/>
  <c r="V27" i="14"/>
  <c r="T27" i="14"/>
  <c r="S27" i="14"/>
  <c r="R27" i="14"/>
  <c r="Q27" i="14"/>
  <c r="P27" i="14"/>
  <c r="O27" i="14"/>
  <c r="N27" i="14"/>
  <c r="M27" i="14"/>
  <c r="L27" i="14"/>
  <c r="K27" i="14"/>
  <c r="I27" i="14"/>
  <c r="H27" i="14"/>
  <c r="G27" i="14"/>
  <c r="F27" i="14"/>
  <c r="E27" i="14"/>
  <c r="D27" i="14"/>
  <c r="C27" i="14"/>
  <c r="Y26" i="14"/>
  <c r="X26" i="14"/>
  <c r="W26" i="14"/>
  <c r="V26" i="14"/>
  <c r="T26" i="14"/>
  <c r="S26" i="14"/>
  <c r="R26" i="14"/>
  <c r="Q26" i="14"/>
  <c r="P26" i="14"/>
  <c r="O26" i="14"/>
  <c r="N26" i="14"/>
  <c r="M26" i="14"/>
  <c r="L26" i="14"/>
  <c r="K26" i="14"/>
  <c r="I26" i="14"/>
  <c r="H26" i="14"/>
  <c r="G26" i="14"/>
  <c r="F26" i="14"/>
  <c r="E26" i="14"/>
  <c r="D26" i="14"/>
  <c r="C26" i="14"/>
  <c r="Y25" i="14"/>
  <c r="X25" i="14"/>
  <c r="W25" i="14"/>
  <c r="V25" i="14"/>
  <c r="T25" i="14"/>
  <c r="S25" i="14"/>
  <c r="R25" i="14"/>
  <c r="Q25" i="14"/>
  <c r="P25" i="14"/>
  <c r="O25" i="14"/>
  <c r="N25" i="14"/>
  <c r="M25" i="14"/>
  <c r="L25" i="14"/>
  <c r="K25" i="14"/>
  <c r="I25" i="14"/>
  <c r="H25" i="14"/>
  <c r="G25" i="14"/>
  <c r="F25" i="14"/>
  <c r="E25" i="14"/>
  <c r="D25" i="14"/>
  <c r="C25" i="14"/>
  <c r="Y24" i="14"/>
  <c r="X24" i="14"/>
  <c r="W24" i="14"/>
  <c r="V24" i="14"/>
  <c r="T24" i="14"/>
  <c r="S24" i="14"/>
  <c r="R24" i="14"/>
  <c r="Q24" i="14"/>
  <c r="P24" i="14"/>
  <c r="O24" i="14"/>
  <c r="N24" i="14"/>
  <c r="M24" i="14"/>
  <c r="L24" i="14"/>
  <c r="K24" i="14"/>
  <c r="I24" i="14"/>
  <c r="H24" i="14"/>
  <c r="G24" i="14"/>
  <c r="F24" i="14"/>
  <c r="E24" i="14"/>
  <c r="D24" i="14"/>
  <c r="C24" i="14"/>
  <c r="Y23" i="14"/>
  <c r="X23" i="14"/>
  <c r="W23" i="14"/>
  <c r="V23" i="14"/>
  <c r="T23" i="14"/>
  <c r="S23" i="14"/>
  <c r="R23" i="14"/>
  <c r="Q23" i="14"/>
  <c r="P23" i="14"/>
  <c r="O23" i="14"/>
  <c r="N23" i="14"/>
  <c r="M23" i="14"/>
  <c r="L23" i="14"/>
  <c r="K23" i="14"/>
  <c r="I23" i="14"/>
  <c r="H23" i="14"/>
  <c r="G23" i="14"/>
  <c r="F23" i="14"/>
  <c r="E23" i="14"/>
  <c r="D23" i="14"/>
  <c r="C23" i="14"/>
  <c r="Y22" i="14"/>
  <c r="X22" i="14"/>
  <c r="W22" i="14"/>
  <c r="V22" i="14"/>
  <c r="T22" i="14"/>
  <c r="S22" i="14"/>
  <c r="R22" i="14"/>
  <c r="Q22" i="14"/>
  <c r="P22" i="14"/>
  <c r="O22" i="14"/>
  <c r="N22" i="14"/>
  <c r="M22" i="14"/>
  <c r="L22" i="14"/>
  <c r="K22" i="14"/>
  <c r="I22" i="14"/>
  <c r="H22" i="14"/>
  <c r="G22" i="14"/>
  <c r="F22" i="14"/>
  <c r="E22" i="14"/>
  <c r="D22" i="14"/>
  <c r="C22" i="14"/>
  <c r="Y21" i="14"/>
  <c r="X21" i="14"/>
  <c r="W21" i="14"/>
  <c r="V21" i="14"/>
  <c r="T21" i="14"/>
  <c r="S21" i="14"/>
  <c r="R21" i="14"/>
  <c r="Q21" i="14"/>
  <c r="P21" i="14"/>
  <c r="O21" i="14"/>
  <c r="N21" i="14"/>
  <c r="M21" i="14"/>
  <c r="L21" i="14"/>
  <c r="K21" i="14"/>
  <c r="I21" i="14"/>
  <c r="H21" i="14"/>
  <c r="G21" i="14"/>
  <c r="F21" i="14"/>
  <c r="E21" i="14"/>
  <c r="D21" i="14"/>
  <c r="C21" i="14"/>
  <c r="Y20" i="14"/>
  <c r="X20" i="14"/>
  <c r="W20" i="14"/>
  <c r="V20" i="14"/>
  <c r="T20" i="14"/>
  <c r="S20" i="14"/>
  <c r="R20" i="14"/>
  <c r="Q20" i="14"/>
  <c r="P20" i="14"/>
  <c r="O20" i="14"/>
  <c r="N20" i="14"/>
  <c r="M20" i="14"/>
  <c r="L20" i="14"/>
  <c r="K20" i="14"/>
  <c r="I20" i="14"/>
  <c r="H20" i="14"/>
  <c r="G20" i="14"/>
  <c r="F20" i="14"/>
  <c r="E20" i="14"/>
  <c r="D20" i="14"/>
  <c r="C20" i="14"/>
  <c r="Y19" i="14"/>
  <c r="X19" i="14"/>
  <c r="W19" i="14"/>
  <c r="V19" i="14"/>
  <c r="T19" i="14"/>
  <c r="S19" i="14"/>
  <c r="R19" i="14"/>
  <c r="Q19" i="14"/>
  <c r="P19" i="14"/>
  <c r="O19" i="14"/>
  <c r="N19" i="14"/>
  <c r="M19" i="14"/>
  <c r="L19" i="14"/>
  <c r="K19" i="14"/>
  <c r="I19" i="14"/>
  <c r="H19" i="14"/>
  <c r="G19" i="14"/>
  <c r="F19" i="14"/>
  <c r="E19" i="14"/>
  <c r="D19" i="14"/>
  <c r="C19" i="14"/>
  <c r="Y18" i="14"/>
  <c r="X18" i="14"/>
  <c r="W18" i="14"/>
  <c r="V18" i="14"/>
  <c r="T18" i="14"/>
  <c r="S18" i="14"/>
  <c r="R18" i="14"/>
  <c r="Q18" i="14"/>
  <c r="P18" i="14"/>
  <c r="O18" i="14"/>
  <c r="N18" i="14"/>
  <c r="M18" i="14"/>
  <c r="L18" i="14"/>
  <c r="K18" i="14"/>
  <c r="I18" i="14"/>
  <c r="H18" i="14"/>
  <c r="G18" i="14"/>
  <c r="F18" i="14"/>
  <c r="E18" i="14"/>
  <c r="D18" i="14"/>
  <c r="C18" i="14"/>
  <c r="Y17" i="14"/>
  <c r="X17" i="14"/>
  <c r="W17" i="14"/>
  <c r="V17" i="14"/>
  <c r="T17" i="14"/>
  <c r="S17" i="14"/>
  <c r="R17" i="14"/>
  <c r="Q17" i="14"/>
  <c r="P17" i="14"/>
  <c r="O17" i="14"/>
  <c r="N17" i="14"/>
  <c r="M17" i="14"/>
  <c r="L17" i="14"/>
  <c r="K17" i="14"/>
  <c r="I17" i="14"/>
  <c r="H17" i="14"/>
  <c r="G17" i="14"/>
  <c r="F17" i="14"/>
  <c r="E17" i="14"/>
  <c r="D17" i="14"/>
  <c r="C17" i="14"/>
  <c r="Y16" i="14"/>
  <c r="X16" i="14"/>
  <c r="W16" i="14"/>
  <c r="V16" i="14"/>
  <c r="T16" i="14"/>
  <c r="S16" i="14"/>
  <c r="R16" i="14"/>
  <c r="Q16" i="14"/>
  <c r="P16" i="14"/>
  <c r="O16" i="14"/>
  <c r="N16" i="14"/>
  <c r="M16" i="14"/>
  <c r="L16" i="14"/>
  <c r="K16" i="14"/>
  <c r="I16" i="14"/>
  <c r="H16" i="14"/>
  <c r="G16" i="14"/>
  <c r="F16" i="14"/>
  <c r="E16" i="14"/>
  <c r="D16" i="14"/>
  <c r="C16" i="14"/>
  <c r="D2" i="27" l="1"/>
  <c r="C207" i="10" l="1"/>
  <c r="E207" i="10" s="1"/>
  <c r="C206" i="10"/>
  <c r="E206" i="10" s="1"/>
  <c r="C205" i="10"/>
  <c r="E205" i="10" s="1"/>
  <c r="C204" i="10"/>
  <c r="E204" i="10" s="1"/>
  <c r="C203" i="10"/>
  <c r="E203" i="10" s="1"/>
  <c r="C202" i="10"/>
  <c r="E202" i="10" s="1"/>
  <c r="C201" i="10"/>
  <c r="E201" i="10" s="1"/>
  <c r="C200" i="10"/>
  <c r="E200" i="10" s="1"/>
  <c r="C199" i="10"/>
  <c r="E199" i="10" s="1"/>
  <c r="C198" i="10"/>
  <c r="E198" i="10" s="1"/>
  <c r="C197" i="10"/>
  <c r="E197" i="10" s="1"/>
  <c r="C196" i="10"/>
  <c r="E196" i="10" s="1"/>
  <c r="C195" i="10"/>
  <c r="E195" i="10" s="1"/>
  <c r="C194" i="10"/>
  <c r="E194" i="10" s="1"/>
  <c r="C193" i="10"/>
  <c r="E193" i="10" s="1"/>
  <c r="C192" i="10"/>
  <c r="E192" i="10" s="1"/>
  <c r="C191" i="10"/>
  <c r="E191" i="10" s="1"/>
  <c r="C190" i="10"/>
  <c r="E190" i="10" s="1"/>
  <c r="C189" i="10"/>
  <c r="E189" i="10" s="1"/>
  <c r="C188" i="10"/>
  <c r="E188" i="10" s="1"/>
  <c r="C187" i="10"/>
  <c r="E187" i="10" s="1"/>
  <c r="C186" i="10"/>
  <c r="E186" i="10" s="1"/>
  <c r="C185" i="10"/>
  <c r="E185" i="10" s="1"/>
  <c r="C184" i="10"/>
  <c r="E184" i="10" s="1"/>
  <c r="C183" i="10"/>
  <c r="E183" i="10" s="1"/>
  <c r="C182" i="10"/>
  <c r="E182" i="10" s="1"/>
  <c r="C181" i="10"/>
  <c r="E181" i="10" s="1"/>
  <c r="C180" i="10"/>
  <c r="E180" i="10" s="1"/>
  <c r="C179" i="10"/>
  <c r="E179" i="10" s="1"/>
  <c r="C178" i="10"/>
  <c r="E178" i="10" s="1"/>
  <c r="C177" i="10"/>
  <c r="E177" i="10" s="1"/>
  <c r="C176" i="10"/>
  <c r="E176" i="10" s="1"/>
  <c r="C175" i="10"/>
  <c r="E175" i="10" s="1"/>
  <c r="C174" i="10"/>
  <c r="E174" i="10" s="1"/>
  <c r="C173" i="10"/>
  <c r="E173" i="10" s="1"/>
  <c r="C172" i="10"/>
  <c r="E172" i="10" s="1"/>
  <c r="C171" i="10"/>
  <c r="E171" i="10" s="1"/>
  <c r="C170" i="10"/>
  <c r="E170" i="10" s="1"/>
  <c r="C169" i="10"/>
  <c r="E169" i="10" s="1"/>
  <c r="C168" i="10"/>
  <c r="E168" i="10" s="1"/>
  <c r="C167" i="10"/>
  <c r="E167" i="10" s="1"/>
  <c r="C166" i="10"/>
  <c r="E166" i="10" s="1"/>
  <c r="C165" i="10"/>
  <c r="E165" i="10" s="1"/>
  <c r="C164" i="10"/>
  <c r="E164" i="10" s="1"/>
  <c r="C163" i="10"/>
  <c r="E163" i="10" s="1"/>
  <c r="C162" i="10"/>
  <c r="E162" i="10" s="1"/>
  <c r="C161" i="10"/>
  <c r="E161" i="10" s="1"/>
  <c r="C160" i="10"/>
  <c r="E160" i="10" s="1"/>
  <c r="C159" i="10"/>
  <c r="E159" i="10" s="1"/>
  <c r="C158" i="10"/>
  <c r="E158" i="10" s="1"/>
  <c r="C157" i="10"/>
  <c r="E157" i="10" s="1"/>
  <c r="C156" i="10"/>
  <c r="E156" i="10" s="1"/>
  <c r="C155" i="10"/>
  <c r="E155" i="10" s="1"/>
  <c r="C154" i="10"/>
  <c r="E154" i="10" s="1"/>
  <c r="C153" i="10"/>
  <c r="E153" i="10" s="1"/>
  <c r="C152" i="10"/>
  <c r="E152" i="10" s="1"/>
  <c r="C151" i="10"/>
  <c r="E151" i="10" s="1"/>
  <c r="C150" i="10"/>
  <c r="E150" i="10" s="1"/>
  <c r="C149" i="10"/>
  <c r="E149" i="10" s="1"/>
  <c r="C148" i="10"/>
  <c r="E148" i="10" s="1"/>
  <c r="C147" i="10"/>
  <c r="E147" i="10" s="1"/>
  <c r="C146" i="10"/>
  <c r="E146" i="10" s="1"/>
  <c r="C145" i="10"/>
  <c r="E145" i="10" s="1"/>
  <c r="C144" i="10"/>
  <c r="E144" i="10" s="1"/>
  <c r="C143" i="10"/>
  <c r="E143" i="10" s="1"/>
  <c r="C142" i="10"/>
  <c r="E142" i="10" s="1"/>
  <c r="C141" i="10"/>
  <c r="E141" i="10" s="1"/>
  <c r="C140" i="10"/>
  <c r="E140" i="10" s="1"/>
  <c r="C139" i="10"/>
  <c r="E139" i="10" s="1"/>
  <c r="C138" i="10"/>
  <c r="E138" i="10" s="1"/>
  <c r="C137" i="10"/>
  <c r="E137" i="10" s="1"/>
  <c r="C136" i="10"/>
  <c r="E136" i="10" s="1"/>
  <c r="C135" i="10"/>
  <c r="E135" i="10" s="1"/>
  <c r="C134" i="10"/>
  <c r="E134" i="10" s="1"/>
  <c r="C133" i="10"/>
  <c r="E133" i="10" s="1"/>
  <c r="C132" i="10"/>
  <c r="E132" i="10" s="1"/>
  <c r="C131" i="10"/>
  <c r="E131" i="10" s="1"/>
  <c r="C130" i="10"/>
  <c r="E130" i="10" s="1"/>
  <c r="C129" i="10"/>
  <c r="E129" i="10" s="1"/>
  <c r="C128" i="10"/>
  <c r="E128" i="10" s="1"/>
  <c r="C127" i="10"/>
  <c r="E127" i="10" s="1"/>
  <c r="C126" i="10"/>
  <c r="E126" i="10" s="1"/>
  <c r="C125" i="10"/>
  <c r="E125" i="10" s="1"/>
  <c r="C124" i="10"/>
  <c r="E124" i="10" s="1"/>
  <c r="C123" i="10"/>
  <c r="E123" i="10" s="1"/>
  <c r="C122" i="10"/>
  <c r="E122" i="10" s="1"/>
  <c r="C121" i="10"/>
  <c r="E121" i="10" s="1"/>
  <c r="C120" i="10"/>
  <c r="E120" i="10" s="1"/>
  <c r="C119" i="10"/>
  <c r="E119" i="10" s="1"/>
  <c r="C118" i="10"/>
  <c r="E118" i="10" s="1"/>
  <c r="C117" i="10"/>
  <c r="E117" i="10" s="1"/>
  <c r="C116" i="10"/>
  <c r="E116" i="10" s="1"/>
  <c r="C115" i="10"/>
  <c r="E115" i="10" s="1"/>
  <c r="C114" i="10"/>
  <c r="E114" i="10" s="1"/>
  <c r="C113" i="10"/>
  <c r="E113" i="10" s="1"/>
  <c r="C112" i="10"/>
  <c r="E112" i="10" s="1"/>
  <c r="C111" i="10"/>
  <c r="E111" i="10" s="1"/>
  <c r="C110" i="10"/>
  <c r="E110" i="10" s="1"/>
  <c r="C109" i="10"/>
  <c r="E109" i="10" s="1"/>
  <c r="C108" i="10"/>
  <c r="E108" i="10" s="1"/>
  <c r="C107" i="10"/>
  <c r="E107" i="10" s="1"/>
  <c r="C106" i="10"/>
  <c r="E106" i="10" s="1"/>
  <c r="C105" i="10"/>
  <c r="E105" i="10" s="1"/>
  <c r="C104" i="10"/>
  <c r="E104" i="10" s="1"/>
  <c r="C103" i="10"/>
  <c r="E103" i="10" s="1"/>
  <c r="C102" i="10"/>
  <c r="E102" i="10" s="1"/>
  <c r="C101" i="10"/>
  <c r="E101" i="10" s="1"/>
  <c r="C100" i="10"/>
  <c r="E100" i="10" s="1"/>
  <c r="C99" i="10"/>
  <c r="E99" i="10" s="1"/>
  <c r="C98" i="10"/>
  <c r="E98" i="10" s="1"/>
  <c r="C97" i="10"/>
  <c r="E97" i="10" s="1"/>
  <c r="C96" i="10"/>
  <c r="E96" i="10" s="1"/>
  <c r="C95" i="10"/>
  <c r="E95" i="10" s="1"/>
  <c r="C94" i="10"/>
  <c r="E94" i="10" s="1"/>
  <c r="C93" i="10"/>
  <c r="E93" i="10" s="1"/>
  <c r="C92" i="10"/>
  <c r="E92" i="10" s="1"/>
  <c r="C91" i="10"/>
  <c r="E91" i="10" s="1"/>
  <c r="C90" i="10"/>
  <c r="E90" i="10" s="1"/>
  <c r="C89" i="10"/>
  <c r="E89" i="10" s="1"/>
  <c r="C88" i="10"/>
  <c r="E88" i="10" s="1"/>
  <c r="C87" i="10"/>
  <c r="E87" i="10" s="1"/>
  <c r="C86" i="10"/>
  <c r="E86" i="10" s="1"/>
  <c r="C85" i="10"/>
  <c r="E85" i="10" s="1"/>
  <c r="C84" i="10"/>
  <c r="E84" i="10" s="1"/>
  <c r="C83" i="10"/>
  <c r="E83" i="10" s="1"/>
  <c r="C82" i="10"/>
  <c r="E82" i="10" s="1"/>
  <c r="C81" i="10"/>
  <c r="E81" i="10" s="1"/>
  <c r="C80" i="10"/>
  <c r="E80" i="10" s="1"/>
  <c r="C79" i="10"/>
  <c r="E79" i="10" s="1"/>
  <c r="C78" i="10"/>
  <c r="E78" i="10" s="1"/>
  <c r="C77" i="10"/>
  <c r="E77" i="10" s="1"/>
  <c r="C76" i="10"/>
  <c r="E76" i="10" s="1"/>
  <c r="C75" i="10"/>
  <c r="E75" i="10" s="1"/>
  <c r="C74" i="10"/>
  <c r="E74" i="10" s="1"/>
  <c r="C73" i="10"/>
  <c r="E73" i="10" s="1"/>
  <c r="C72" i="10"/>
  <c r="E72" i="10" s="1"/>
  <c r="C71" i="10"/>
  <c r="E71" i="10" s="1"/>
  <c r="C70" i="10"/>
  <c r="E70" i="10" s="1"/>
  <c r="C69" i="10"/>
  <c r="E69" i="10" s="1"/>
  <c r="C68" i="10"/>
  <c r="E68" i="10" s="1"/>
  <c r="C67" i="10"/>
  <c r="E67" i="10" s="1"/>
  <c r="C66" i="10"/>
  <c r="E66" i="10" s="1"/>
  <c r="C65" i="10"/>
  <c r="E65" i="10" s="1"/>
  <c r="C64" i="10"/>
  <c r="E64" i="10" s="1"/>
  <c r="C63" i="10"/>
  <c r="E63" i="10" s="1"/>
  <c r="C62" i="10"/>
  <c r="E62" i="10" s="1"/>
  <c r="C61" i="10"/>
  <c r="E61" i="10" s="1"/>
  <c r="C60" i="10"/>
  <c r="E60" i="10" s="1"/>
  <c r="C59" i="10"/>
  <c r="E59" i="10" s="1"/>
  <c r="C58" i="10"/>
  <c r="E58" i="10" s="1"/>
  <c r="C57" i="10"/>
  <c r="E57" i="10" s="1"/>
  <c r="C56" i="10"/>
  <c r="E56" i="10" s="1"/>
  <c r="C55" i="10"/>
  <c r="E55" i="10" s="1"/>
  <c r="C54" i="10"/>
  <c r="E54" i="10" s="1"/>
  <c r="C53" i="10"/>
  <c r="E53" i="10" s="1"/>
  <c r="C52" i="10"/>
  <c r="E52" i="10" s="1"/>
  <c r="C50" i="10"/>
  <c r="E50" i="10" s="1"/>
  <c r="C18" i="10"/>
  <c r="C8" i="10"/>
  <c r="D8" i="10" l="1"/>
  <c r="E8" i="10" s="1"/>
  <c r="D58" i="10"/>
  <c r="D66" i="10"/>
  <c r="D74" i="10"/>
  <c r="D82" i="10"/>
  <c r="D90" i="10"/>
  <c r="D98" i="10"/>
  <c r="D106" i="10"/>
  <c r="D114" i="10"/>
  <c r="D122" i="10"/>
  <c r="D134" i="10"/>
  <c r="D142" i="10"/>
  <c r="D150" i="10"/>
  <c r="D158" i="10"/>
  <c r="D166" i="10"/>
  <c r="D174" i="10"/>
  <c r="D182" i="10"/>
  <c r="D190" i="10"/>
  <c r="D198" i="10"/>
  <c r="D206" i="10"/>
  <c r="D55" i="10"/>
  <c r="D63" i="10"/>
  <c r="D71" i="10"/>
  <c r="D79" i="10"/>
  <c r="D87" i="10"/>
  <c r="D95" i="10"/>
  <c r="D103" i="10"/>
  <c r="D107" i="10"/>
  <c r="D115" i="10"/>
  <c r="D123" i="10"/>
  <c r="D131" i="10"/>
  <c r="D139" i="10"/>
  <c r="D147" i="10"/>
  <c r="D155" i="10"/>
  <c r="D163" i="10"/>
  <c r="D175" i="10"/>
  <c r="D179" i="10"/>
  <c r="D191" i="10"/>
  <c r="D195" i="10"/>
  <c r="D203" i="10"/>
  <c r="D52" i="10"/>
  <c r="D56" i="10"/>
  <c r="D60" i="10"/>
  <c r="D64" i="10"/>
  <c r="D68" i="10"/>
  <c r="D72" i="10"/>
  <c r="D76" i="10"/>
  <c r="D80" i="10"/>
  <c r="D84" i="10"/>
  <c r="D88" i="10"/>
  <c r="D92" i="10"/>
  <c r="D96" i="10"/>
  <c r="D100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54" i="10"/>
  <c r="D62" i="10"/>
  <c r="D70" i="10"/>
  <c r="D78" i="10"/>
  <c r="D86" i="10"/>
  <c r="D94" i="10"/>
  <c r="D102" i="10"/>
  <c r="D110" i="10"/>
  <c r="D118" i="10"/>
  <c r="D126" i="10"/>
  <c r="D130" i="10"/>
  <c r="D138" i="10"/>
  <c r="D146" i="10"/>
  <c r="D154" i="10"/>
  <c r="D162" i="10"/>
  <c r="D170" i="10"/>
  <c r="D178" i="10"/>
  <c r="D186" i="10"/>
  <c r="D194" i="10"/>
  <c r="D202" i="10"/>
  <c r="D59" i="10"/>
  <c r="D67" i="10"/>
  <c r="D75" i="10"/>
  <c r="D83" i="10"/>
  <c r="D91" i="10"/>
  <c r="D99" i="10"/>
  <c r="D111" i="10"/>
  <c r="D119" i="10"/>
  <c r="D127" i="10"/>
  <c r="D135" i="10"/>
  <c r="D143" i="10"/>
  <c r="D151" i="10"/>
  <c r="D159" i="10"/>
  <c r="D167" i="10"/>
  <c r="D171" i="10"/>
  <c r="D183" i="10"/>
  <c r="D187" i="10"/>
  <c r="D199" i="10"/>
  <c r="D207" i="10"/>
  <c r="D53" i="10"/>
  <c r="D57" i="10"/>
  <c r="D61" i="10"/>
  <c r="D65" i="10"/>
  <c r="D69" i="10"/>
  <c r="D73" i="10"/>
  <c r="D77" i="10"/>
  <c r="D81" i="10"/>
  <c r="D85" i="10"/>
  <c r="D89" i="10"/>
  <c r="D93" i="10"/>
  <c r="D97" i="10"/>
  <c r="D101" i="10"/>
  <c r="D105" i="10"/>
  <c r="D109" i="10"/>
  <c r="D113" i="10"/>
  <c r="D117" i="10"/>
  <c r="D121" i="10"/>
  <c r="D125" i="10"/>
  <c r="D129" i="10"/>
  <c r="D133" i="10"/>
  <c r="D137" i="10"/>
  <c r="D141" i="10"/>
  <c r="D145" i="10"/>
  <c r="D149" i="10"/>
  <c r="D153" i="10"/>
  <c r="D157" i="10"/>
  <c r="D161" i="10"/>
  <c r="D165" i="10"/>
  <c r="D169" i="10"/>
  <c r="D173" i="10"/>
  <c r="D177" i="10"/>
  <c r="D181" i="10"/>
  <c r="D185" i="10"/>
  <c r="D189" i="10"/>
  <c r="D193" i="10"/>
  <c r="D197" i="10"/>
  <c r="D201" i="10"/>
  <c r="D205" i="10"/>
  <c r="C51" i="10"/>
  <c r="E51" i="10" s="1"/>
  <c r="D50" i="10"/>
  <c r="C19" i="10"/>
  <c r="D18" i="10"/>
  <c r="E18" i="10" s="1"/>
  <c r="C9" i="10"/>
  <c r="C40" i="10"/>
  <c r="E40" i="10" s="1"/>
  <c r="C20" i="10"/>
  <c r="E20" i="10" s="1"/>
  <c r="D19" i="10" l="1"/>
  <c r="E19" i="10" s="1"/>
  <c r="D20" i="10"/>
  <c r="D40" i="10"/>
  <c r="D51" i="10"/>
  <c r="C10" i="10"/>
  <c r="C11" i="10" s="1"/>
  <c r="D9" i="10"/>
  <c r="E9" i="10" s="1"/>
  <c r="C21" i="10"/>
  <c r="E21" i="10" s="1"/>
  <c r="C41" i="10"/>
  <c r="E41" i="10" s="1"/>
  <c r="D21" i="10" l="1"/>
  <c r="D41" i="10"/>
  <c r="D10" i="10"/>
  <c r="E10" i="10" s="1"/>
  <c r="C12" i="10"/>
  <c r="C42" i="10"/>
  <c r="E42" i="10" s="1"/>
  <c r="C22" i="10"/>
  <c r="E22" i="10" s="1"/>
  <c r="D11" i="10" l="1"/>
  <c r="E11" i="10" s="1"/>
  <c r="D42" i="10"/>
  <c r="C23" i="10"/>
  <c r="E23" i="10" s="1"/>
  <c r="D22" i="10"/>
  <c r="C13" i="10"/>
  <c r="D12" i="10"/>
  <c r="E12" i="10" s="1"/>
  <c r="C24" i="10"/>
  <c r="C43" i="10"/>
  <c r="E43" i="10" s="1"/>
  <c r="Y26" i="27"/>
  <c r="M46" i="27" s="1"/>
  <c r="Y25" i="27"/>
  <c r="M45" i="27" s="1"/>
  <c r="Y21" i="27"/>
  <c r="M41" i="27" s="1"/>
  <c r="Y22" i="27"/>
  <c r="M42" i="27" s="1"/>
  <c r="Y23" i="27"/>
  <c r="M43" i="27" s="1"/>
  <c r="Y24" i="27"/>
  <c r="M44" i="27" s="1"/>
  <c r="Y20" i="27"/>
  <c r="M40" i="27" s="1"/>
  <c r="Y19" i="27"/>
  <c r="M39" i="27" s="1"/>
  <c r="Y18" i="27"/>
  <c r="M38" i="27" s="1"/>
  <c r="Y17" i="27"/>
  <c r="M37" i="27" s="1"/>
  <c r="Y16" i="27"/>
  <c r="M36" i="27" s="1"/>
  <c r="M35" i="27"/>
  <c r="C2" i="27"/>
  <c r="Z1" i="27"/>
  <c r="D43" i="10" l="1"/>
  <c r="D23" i="10"/>
  <c r="C14" i="10"/>
  <c r="D13" i="10"/>
  <c r="E13" i="10" s="1"/>
  <c r="C25" i="10"/>
  <c r="E25" i="10" s="1"/>
  <c r="D24" i="10"/>
  <c r="E24" i="10" s="1"/>
  <c r="C26" i="10"/>
  <c r="E26" i="10" s="1"/>
  <c r="C44" i="10"/>
  <c r="E44" i="10" s="1"/>
  <c r="A1" i="26"/>
  <c r="C45" i="10" l="1"/>
  <c r="E45" i="10" s="1"/>
  <c r="D44" i="10"/>
  <c r="D25" i="10"/>
  <c r="C27" i="10"/>
  <c r="E27" i="10" s="1"/>
  <c r="D26" i="10"/>
  <c r="C15" i="10"/>
  <c r="D14" i="10"/>
  <c r="E14" i="10" s="1"/>
  <c r="C31" i="10"/>
  <c r="E31" i="10" s="1"/>
  <c r="C46" i="10"/>
  <c r="E46" i="10" s="1"/>
  <c r="D45" i="10" l="1"/>
  <c r="C16" i="10"/>
  <c r="D15" i="10"/>
  <c r="E15" i="10" s="1"/>
  <c r="C47" i="10"/>
  <c r="E47" i="10" s="1"/>
  <c r="D46" i="10"/>
  <c r="D31" i="10"/>
  <c r="C28" i="10"/>
  <c r="E28" i="10" s="1"/>
  <c r="D27" i="10"/>
  <c r="C32" i="10"/>
  <c r="E32" i="10" s="1"/>
  <c r="C34" i="10"/>
  <c r="E34" i="10" s="1"/>
  <c r="C48" i="10"/>
  <c r="E48" i="10" s="1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C17" i="10" l="1"/>
  <c r="D34" i="10"/>
  <c r="D47" i="10"/>
  <c r="C33" i="10"/>
  <c r="E33" i="10" s="1"/>
  <c r="D32" i="10"/>
  <c r="C29" i="10"/>
  <c r="E29" i="10" s="1"/>
  <c r="D28" i="10"/>
  <c r="D48" i="10"/>
  <c r="D16" i="10"/>
  <c r="E16" i="10" s="1"/>
  <c r="C35" i="10"/>
  <c r="E35" i="10" s="1"/>
  <c r="C49" i="10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E49" i="10" l="1"/>
  <c r="D17" i="10"/>
  <c r="E17" i="10" s="1"/>
  <c r="C30" i="10"/>
  <c r="E30" i="10" s="1"/>
  <c r="D29" i="10"/>
  <c r="D49" i="10"/>
  <c r="C36" i="10"/>
  <c r="E36" i="10" s="1"/>
  <c r="D35" i="10"/>
  <c r="D33" i="10"/>
  <c r="D30" i="10" l="1"/>
  <c r="C37" i="10"/>
  <c r="E37" i="10" s="1"/>
  <c r="D36" i="10"/>
  <c r="B30" i="3"/>
  <c r="C38" i="10" l="1"/>
  <c r="E38" i="10" s="1"/>
  <c r="D37" i="10"/>
  <c r="C30" i="3"/>
  <c r="A1" i="28"/>
  <c r="AJ2" i="19"/>
  <c r="E4" i="27" s="1"/>
  <c r="C39" i="10" l="1"/>
  <c r="E39" i="10" s="1"/>
  <c r="D38" i="10"/>
  <c r="D39" i="10" l="1"/>
  <c r="A1" i="15"/>
  <c r="A1" i="22" l="1"/>
  <c r="E2" i="19" l="1"/>
  <c r="Q3" i="27" s="1"/>
  <c r="A1" i="21" l="1"/>
  <c r="AF2" i="19" l="1"/>
  <c r="AG2" i="19"/>
  <c r="E5" i="27" s="1"/>
  <c r="A7" i="14" l="1"/>
  <c r="A1" i="14"/>
  <c r="AD2" i="19" l="1"/>
  <c r="AC2" i="19"/>
  <c r="AB2" i="19"/>
  <c r="AB10" i="27" s="1"/>
  <c r="AA2" i="19"/>
  <c r="Y148" i="27" s="1"/>
  <c r="Z2" i="19"/>
  <c r="Y147" i="27" s="1"/>
  <c r="W2" i="19"/>
  <c r="V2" i="19"/>
  <c r="U2" i="19"/>
  <c r="Q19" i="27" s="1"/>
  <c r="T2" i="19"/>
  <c r="Q18" i="27" s="1"/>
  <c r="S2" i="19"/>
  <c r="Q17" i="27" s="1"/>
  <c r="Q2" i="19"/>
  <c r="P2" i="19"/>
  <c r="E149" i="27" s="1"/>
  <c r="O2" i="19"/>
  <c r="P27" i="27" s="1"/>
  <c r="J150" i="27" s="1"/>
  <c r="N2" i="19"/>
  <c r="U26" i="27" s="1"/>
  <c r="M2" i="19"/>
  <c r="P26" i="27" s="1"/>
  <c r="AB11" i="27" l="1"/>
  <c r="AB12" i="27"/>
  <c r="E147" i="27"/>
  <c r="W19" i="27"/>
  <c r="Q6" i="27"/>
  <c r="E148" i="27" s="1"/>
  <c r="L2" i="19"/>
  <c r="V153" i="27" s="1"/>
  <c r="K2" i="19"/>
  <c r="B19" i="27" s="1"/>
  <c r="J2" i="19"/>
  <c r="B12" i="27" s="1"/>
  <c r="I2" i="19"/>
  <c r="Q15" i="27" s="1"/>
  <c r="O151" i="27" s="1"/>
  <c r="H2" i="19"/>
  <c r="Q12" i="27" s="1"/>
  <c r="O147" i="27" s="1"/>
  <c r="G2" i="19"/>
  <c r="S11" i="27" s="1"/>
  <c r="Q146" i="27" s="1"/>
  <c r="F2" i="19"/>
  <c r="Q11" i="27" s="1"/>
  <c r="O146" i="27" s="1"/>
  <c r="D2" i="19"/>
  <c r="F154" i="27" l="1"/>
  <c r="L154" i="27"/>
  <c r="D154" i="27"/>
  <c r="J154" i="27"/>
  <c r="H154" i="27"/>
  <c r="E3" i="27"/>
  <c r="E146" i="27" s="1"/>
  <c r="C2" i="19"/>
  <c r="V207" i="10" l="1"/>
  <c r="V203" i="10"/>
  <c r="V199" i="10"/>
  <c r="V195" i="10"/>
  <c r="V191" i="10"/>
  <c r="V187" i="10"/>
  <c r="V183" i="10"/>
  <c r="V179" i="10"/>
  <c r="V175" i="10"/>
  <c r="V171" i="10"/>
  <c r="V167" i="10"/>
  <c r="V163" i="10"/>
  <c r="V159" i="10"/>
  <c r="V155" i="10"/>
  <c r="V151" i="10"/>
  <c r="V147" i="10"/>
  <c r="V143" i="10"/>
  <c r="V139" i="10"/>
  <c r="V135" i="10"/>
  <c r="V131" i="10"/>
  <c r="V127" i="10"/>
  <c r="V123" i="10"/>
  <c r="V119" i="10"/>
  <c r="V115" i="10"/>
  <c r="V111" i="10"/>
  <c r="V107" i="10"/>
  <c r="V103" i="10"/>
  <c r="V99" i="10"/>
  <c r="V95" i="10"/>
  <c r="V91" i="10"/>
  <c r="V87" i="10"/>
  <c r="V83" i="10"/>
  <c r="V79" i="10"/>
  <c r="V75" i="10"/>
  <c r="V71" i="10"/>
  <c r="V67" i="10"/>
  <c r="V63" i="10"/>
  <c r="V59" i="10"/>
  <c r="V55" i="10"/>
  <c r="V51" i="10"/>
  <c r="V47" i="10"/>
  <c r="V43" i="10"/>
  <c r="V39" i="10"/>
  <c r="V35" i="10"/>
  <c r="V31" i="10"/>
  <c r="V27" i="10"/>
  <c r="V19" i="10"/>
  <c r="V206" i="10"/>
  <c r="V202" i="10"/>
  <c r="V198" i="10"/>
  <c r="V194" i="10"/>
  <c r="V190" i="10"/>
  <c r="V186" i="10"/>
  <c r="V182" i="10"/>
  <c r="V178" i="10"/>
  <c r="V174" i="10"/>
  <c r="V170" i="10"/>
  <c r="V166" i="10"/>
  <c r="V162" i="10"/>
  <c r="V158" i="10"/>
  <c r="V154" i="10"/>
  <c r="V150" i="10"/>
  <c r="V146" i="10"/>
  <c r="V142" i="10"/>
  <c r="V138" i="10"/>
  <c r="V134" i="10"/>
  <c r="V130" i="10"/>
  <c r="V126" i="10"/>
  <c r="V122" i="10"/>
  <c r="V118" i="10"/>
  <c r="V114" i="10"/>
  <c r="V110" i="10"/>
  <c r="V106" i="10"/>
  <c r="V102" i="10"/>
  <c r="V98" i="10"/>
  <c r="V94" i="10"/>
  <c r="V90" i="10"/>
  <c r="V86" i="10"/>
  <c r="V82" i="10"/>
  <c r="V78" i="10"/>
  <c r="V74" i="10"/>
  <c r="V70" i="10"/>
  <c r="V66" i="10"/>
  <c r="V62" i="10"/>
  <c r="V58" i="10"/>
  <c r="V54" i="10"/>
  <c r="V50" i="10"/>
  <c r="V46" i="10"/>
  <c r="V42" i="10"/>
  <c r="V38" i="10"/>
  <c r="V34" i="10"/>
  <c r="V30" i="10"/>
  <c r="V26" i="10"/>
  <c r="V22" i="10"/>
  <c r="V18" i="10"/>
  <c r="V14" i="10"/>
  <c r="V10" i="10"/>
  <c r="V21" i="10"/>
  <c r="V13" i="10"/>
  <c r="V11" i="10"/>
  <c r="V205" i="10"/>
  <c r="V201" i="10"/>
  <c r="V197" i="10"/>
  <c r="V193" i="10"/>
  <c r="V189" i="10"/>
  <c r="V185" i="10"/>
  <c r="V181" i="10"/>
  <c r="V177" i="10"/>
  <c r="V173" i="10"/>
  <c r="V169" i="10"/>
  <c r="V165" i="10"/>
  <c r="V161" i="10"/>
  <c r="V157" i="10"/>
  <c r="V153" i="10"/>
  <c r="V149" i="10"/>
  <c r="V145" i="10"/>
  <c r="V141" i="10"/>
  <c r="V137" i="10"/>
  <c r="V133" i="10"/>
  <c r="V129" i="10"/>
  <c r="V125" i="10"/>
  <c r="V121" i="10"/>
  <c r="V117" i="10"/>
  <c r="V113" i="10"/>
  <c r="V109" i="10"/>
  <c r="V105" i="10"/>
  <c r="V101" i="10"/>
  <c r="V97" i="10"/>
  <c r="V93" i="10"/>
  <c r="V89" i="10"/>
  <c r="V85" i="10"/>
  <c r="V81" i="10"/>
  <c r="V77" i="10"/>
  <c r="V73" i="10"/>
  <c r="V69" i="10"/>
  <c r="V65" i="10"/>
  <c r="V61" i="10"/>
  <c r="V57" i="10"/>
  <c r="V53" i="10"/>
  <c r="V49" i="10"/>
  <c r="V45" i="10"/>
  <c r="V41" i="10"/>
  <c r="V37" i="10"/>
  <c r="V33" i="10"/>
  <c r="V29" i="10"/>
  <c r="V25" i="10"/>
  <c r="V17" i="10"/>
  <c r="V9" i="10"/>
  <c r="V204" i="10"/>
  <c r="V200" i="10"/>
  <c r="V196" i="10"/>
  <c r="V192" i="10"/>
  <c r="V188" i="10"/>
  <c r="V184" i="10"/>
  <c r="V180" i="10"/>
  <c r="V176" i="10"/>
  <c r="V172" i="10"/>
  <c r="V168" i="10"/>
  <c r="V164" i="10"/>
  <c r="V160" i="10"/>
  <c r="V156" i="10"/>
  <c r="V152" i="10"/>
  <c r="V148" i="10"/>
  <c r="V144" i="10"/>
  <c r="V140" i="10"/>
  <c r="V136" i="10"/>
  <c r="V132" i="10"/>
  <c r="V128" i="10"/>
  <c r="V124" i="10"/>
  <c r="V120" i="10"/>
  <c r="V116" i="10"/>
  <c r="V112" i="10"/>
  <c r="V108" i="10"/>
  <c r="V104" i="10"/>
  <c r="V100" i="10"/>
  <c r="V96" i="10"/>
  <c r="V92" i="10"/>
  <c r="V88" i="10"/>
  <c r="V84" i="10"/>
  <c r="V80" i="10"/>
  <c r="V76" i="10"/>
  <c r="V72" i="10"/>
  <c r="V68" i="10"/>
  <c r="V64" i="10"/>
  <c r="V60" i="10"/>
  <c r="V56" i="10"/>
  <c r="V52" i="10"/>
  <c r="V48" i="10"/>
  <c r="V44" i="10"/>
  <c r="V40" i="10"/>
  <c r="V36" i="10"/>
  <c r="V32" i="10"/>
  <c r="V28" i="10"/>
  <c r="V24" i="10"/>
  <c r="V20" i="10"/>
  <c r="V16" i="10"/>
  <c r="V12" i="10"/>
  <c r="V8" i="10"/>
  <c r="V23" i="10"/>
  <c r="V15" i="10"/>
  <c r="E6" i="27"/>
  <c r="E150" i="27" s="1"/>
  <c r="A1" i="19"/>
  <c r="N7" i="3" l="1"/>
  <c r="AN2" i="19" s="1"/>
  <c r="N8" i="3"/>
  <c r="AO2" i="19" s="1"/>
  <c r="AA3" i="10"/>
  <c r="AC6" i="27"/>
  <c r="AA4" i="10"/>
  <c r="BF6" i="10" l="1"/>
  <c r="BF5" i="10" l="1"/>
  <c r="B8" i="10"/>
  <c r="BK8" i="10" l="1"/>
  <c r="AJ8" i="10"/>
  <c r="BB8" i="10"/>
  <c r="BD8" i="10"/>
  <c r="AO8" i="10"/>
  <c r="AK8" i="10"/>
  <c r="AQ8" i="10"/>
  <c r="AP8" i="10"/>
  <c r="CD8" i="10" s="1"/>
  <c r="AM8" i="10"/>
  <c r="AH8" i="10"/>
  <c r="AN8" i="10"/>
  <c r="BV8" i="10" s="1"/>
  <c r="BS8" i="10"/>
  <c r="BH8" i="10"/>
  <c r="BO8" i="10"/>
  <c r="BL8" i="10"/>
  <c r="BI8" i="10"/>
  <c r="AZ8" i="10"/>
  <c r="AT8" i="10"/>
  <c r="AW8" i="10" s="1"/>
  <c r="AY8" i="10"/>
  <c r="BA8" i="10"/>
  <c r="AX8" i="10"/>
  <c r="BZ8" i="10" s="1"/>
  <c r="AS8" i="10"/>
  <c r="AI8" i="10"/>
  <c r="BQ8" i="10" s="1"/>
  <c r="AR8" i="10"/>
  <c r="BW8" i="10" l="1"/>
  <c r="BJ8" i="10"/>
  <c r="CC8" i="10"/>
  <c r="AU8" i="10"/>
  <c r="BG8" i="10" s="1"/>
  <c r="AV8" i="10"/>
  <c r="BY8" i="10"/>
  <c r="BU8" i="10"/>
  <c r="CB8" i="10"/>
  <c r="CA8" i="10"/>
  <c r="BX8" i="10"/>
  <c r="BT8" i="10"/>
  <c r="BR8" i="10"/>
  <c r="BP8" i="10"/>
  <c r="AE8" i="10"/>
  <c r="AB26" i="27"/>
  <c r="R46" i="27" s="1"/>
  <c r="X46" i="27" s="1"/>
  <c r="B9" i="10"/>
  <c r="Q8" i="5"/>
  <c r="P55" i="27" s="1"/>
  <c r="Q7" i="5"/>
  <c r="N55" i="27" s="1"/>
  <c r="Q14" i="5"/>
  <c r="AB55" i="27" s="1"/>
  <c r="Q12" i="5"/>
  <c r="X55" i="27" s="1"/>
  <c r="Q4" i="5"/>
  <c r="H55" i="27" s="1"/>
  <c r="Q11" i="5"/>
  <c r="V55" i="27" s="1"/>
  <c r="Q3" i="5"/>
  <c r="F55" i="27" s="1"/>
  <c r="Q2" i="5"/>
  <c r="Q5" i="5"/>
  <c r="J55" i="27" s="1"/>
  <c r="Q9" i="5"/>
  <c r="R55" i="27" s="1"/>
  <c r="Q13" i="5"/>
  <c r="Z55" i="27" s="1"/>
  <c r="Q6" i="5"/>
  <c r="L55" i="27" s="1"/>
  <c r="Q10" i="5"/>
  <c r="T55" i="27" s="1"/>
  <c r="D55" i="27" l="1"/>
  <c r="BM13" i="10"/>
  <c r="BM14" i="10"/>
  <c r="BM10" i="10"/>
  <c r="BM11" i="10"/>
  <c r="BM12" i="10"/>
  <c r="BM8" i="10"/>
  <c r="BI9" i="10"/>
  <c r="AY9" i="10"/>
  <c r="AT9" i="10"/>
  <c r="AW9" i="10" s="1"/>
  <c r="AP9" i="10"/>
  <c r="AV9" i="10" s="1"/>
  <c r="BO9" i="10"/>
  <c r="BH9" i="10"/>
  <c r="BB9" i="10"/>
  <c r="AX9" i="10"/>
  <c r="BZ9" i="10" s="1"/>
  <c r="AS9" i="10"/>
  <c r="AO9" i="10"/>
  <c r="AK9" i="10"/>
  <c r="BS9" i="10"/>
  <c r="BD9" i="10"/>
  <c r="AM9" i="10"/>
  <c r="CA9" i="10" s="1"/>
  <c r="BA9" i="10"/>
  <c r="AR9" i="10"/>
  <c r="AN9" i="10"/>
  <c r="BV9" i="10" s="1"/>
  <c r="AI9" i="10"/>
  <c r="BY9" i="10" s="1"/>
  <c r="AZ9" i="10"/>
  <c r="AQ9" i="10"/>
  <c r="AH9" i="10"/>
  <c r="BL9" i="10"/>
  <c r="AJ9" i="10"/>
  <c r="T69" i="27"/>
  <c r="T62" i="27"/>
  <c r="T74" i="27"/>
  <c r="T64" i="27"/>
  <c r="T72" i="27"/>
  <c r="T59" i="27"/>
  <c r="T67" i="27"/>
  <c r="T75" i="27"/>
  <c r="T60" i="27"/>
  <c r="T80" i="27"/>
  <c r="T77" i="27"/>
  <c r="T70" i="27"/>
  <c r="T78" i="27"/>
  <c r="T76" i="27"/>
  <c r="T61" i="27"/>
  <c r="T63" i="27"/>
  <c r="T71" i="27"/>
  <c r="T68" i="27"/>
  <c r="T73" i="27"/>
  <c r="T66" i="27"/>
  <c r="T79" i="27"/>
  <c r="T81" i="27"/>
  <c r="T65" i="27"/>
  <c r="J72" i="27"/>
  <c r="J61" i="27"/>
  <c r="J77" i="27"/>
  <c r="J71" i="27"/>
  <c r="J75" i="27"/>
  <c r="J62" i="27"/>
  <c r="J59" i="27"/>
  <c r="J68" i="27"/>
  <c r="J76" i="27"/>
  <c r="J69" i="27"/>
  <c r="J67" i="27"/>
  <c r="J79" i="27"/>
  <c r="J60" i="27"/>
  <c r="J81" i="27"/>
  <c r="J64" i="27"/>
  <c r="J63" i="27"/>
  <c r="J65" i="27"/>
  <c r="J66" i="27"/>
  <c r="J74" i="27"/>
  <c r="J73" i="27"/>
  <c r="J80" i="27"/>
  <c r="J70" i="27"/>
  <c r="J78" i="27"/>
  <c r="H64" i="27"/>
  <c r="H62" i="27"/>
  <c r="H59" i="27"/>
  <c r="H80" i="27"/>
  <c r="H77" i="27"/>
  <c r="H60" i="27"/>
  <c r="H61" i="27"/>
  <c r="H70" i="27"/>
  <c r="H75" i="27"/>
  <c r="H66" i="27"/>
  <c r="H67" i="27"/>
  <c r="H65" i="27"/>
  <c r="H63" i="27"/>
  <c r="H78" i="27"/>
  <c r="H73" i="27"/>
  <c r="H74" i="27"/>
  <c r="H71" i="27"/>
  <c r="H81" i="27"/>
  <c r="H68" i="27"/>
  <c r="H76" i="27"/>
  <c r="H69" i="27"/>
  <c r="H72" i="27"/>
  <c r="H79" i="27"/>
  <c r="P76" i="27"/>
  <c r="P69" i="27"/>
  <c r="P59" i="27"/>
  <c r="P67" i="27"/>
  <c r="P73" i="27"/>
  <c r="P81" i="27"/>
  <c r="P63" i="27"/>
  <c r="P71" i="27"/>
  <c r="P79" i="27"/>
  <c r="P80" i="27"/>
  <c r="P72" i="27"/>
  <c r="P61" i="27"/>
  <c r="P60" i="27"/>
  <c r="P64" i="27"/>
  <c r="P77" i="27"/>
  <c r="P75" i="27"/>
  <c r="P65" i="27"/>
  <c r="P62" i="27"/>
  <c r="P66" i="27"/>
  <c r="P74" i="27"/>
  <c r="P68" i="27"/>
  <c r="P70" i="27"/>
  <c r="P78" i="27"/>
  <c r="L81" i="27"/>
  <c r="L78" i="27"/>
  <c r="L73" i="27"/>
  <c r="L62" i="27"/>
  <c r="L65" i="27"/>
  <c r="L74" i="27"/>
  <c r="L76" i="27"/>
  <c r="L79" i="27"/>
  <c r="L80" i="27"/>
  <c r="L75" i="27"/>
  <c r="L66" i="27"/>
  <c r="L70" i="27"/>
  <c r="L69" i="27"/>
  <c r="L68" i="27"/>
  <c r="L59" i="27"/>
  <c r="L72" i="27"/>
  <c r="L60" i="27"/>
  <c r="L64" i="27"/>
  <c r="L77" i="27"/>
  <c r="L63" i="27"/>
  <c r="L71" i="27"/>
  <c r="L61" i="27"/>
  <c r="L67" i="27"/>
  <c r="D77" i="27"/>
  <c r="D80" i="27"/>
  <c r="D76" i="27"/>
  <c r="D65" i="27"/>
  <c r="D69" i="27"/>
  <c r="D78" i="27"/>
  <c r="D59" i="27"/>
  <c r="D61" i="27"/>
  <c r="D70" i="27"/>
  <c r="D71" i="27"/>
  <c r="D73" i="27"/>
  <c r="D75" i="27"/>
  <c r="D67" i="27"/>
  <c r="D63" i="27"/>
  <c r="D64" i="27"/>
  <c r="D81" i="27"/>
  <c r="D79" i="27"/>
  <c r="D60" i="27"/>
  <c r="D74" i="27"/>
  <c r="D68" i="27"/>
  <c r="D72" i="27"/>
  <c r="D66" i="27"/>
  <c r="D62" i="27"/>
  <c r="X80" i="27"/>
  <c r="X66" i="27"/>
  <c r="X74" i="27"/>
  <c r="X72" i="27"/>
  <c r="X69" i="27"/>
  <c r="X77" i="27"/>
  <c r="X75" i="27"/>
  <c r="X60" i="27"/>
  <c r="X64" i="27"/>
  <c r="X63" i="27"/>
  <c r="X68" i="27"/>
  <c r="X65" i="27"/>
  <c r="X62" i="27"/>
  <c r="X70" i="27"/>
  <c r="X78" i="27"/>
  <c r="X76" i="27"/>
  <c r="X61" i="27"/>
  <c r="X59" i="27"/>
  <c r="X67" i="27"/>
  <c r="X71" i="27"/>
  <c r="X79" i="27"/>
  <c r="X73" i="27"/>
  <c r="X81" i="27"/>
  <c r="Z64" i="27"/>
  <c r="Z76" i="27"/>
  <c r="Z63" i="27"/>
  <c r="Z79" i="27"/>
  <c r="Z65" i="27"/>
  <c r="Z81" i="27"/>
  <c r="Z61" i="27"/>
  <c r="Z69" i="27"/>
  <c r="Z67" i="27"/>
  <c r="Z80" i="27"/>
  <c r="Z72" i="27"/>
  <c r="Z71" i="27"/>
  <c r="Z75" i="27"/>
  <c r="Z73" i="27"/>
  <c r="Z77" i="27"/>
  <c r="Z59" i="27"/>
  <c r="Z70" i="27"/>
  <c r="Z78" i="27"/>
  <c r="Z68" i="27"/>
  <c r="Z62" i="27"/>
  <c r="Z60" i="27"/>
  <c r="Z66" i="27"/>
  <c r="Z74" i="27"/>
  <c r="F64" i="27"/>
  <c r="F72" i="27"/>
  <c r="F77" i="27"/>
  <c r="F80" i="27"/>
  <c r="F70" i="27"/>
  <c r="F59" i="27"/>
  <c r="F63" i="27"/>
  <c r="F71" i="27"/>
  <c r="F79" i="27"/>
  <c r="F68" i="27"/>
  <c r="F76" i="27"/>
  <c r="F61" i="27"/>
  <c r="F69" i="27"/>
  <c r="F60" i="27"/>
  <c r="F66" i="27"/>
  <c r="F67" i="27"/>
  <c r="F75" i="27"/>
  <c r="F81" i="27"/>
  <c r="F62" i="27"/>
  <c r="F78" i="27"/>
  <c r="F65" i="27"/>
  <c r="F73" i="27"/>
  <c r="F74" i="27"/>
  <c r="AB76" i="27"/>
  <c r="AB59" i="27"/>
  <c r="AB67" i="27"/>
  <c r="AB75" i="27"/>
  <c r="AB60" i="27"/>
  <c r="AB73" i="27"/>
  <c r="AB77" i="27"/>
  <c r="AB64" i="27"/>
  <c r="AB61" i="27"/>
  <c r="AB63" i="27"/>
  <c r="AB71" i="27"/>
  <c r="AB79" i="27"/>
  <c r="AB68" i="27"/>
  <c r="AB80" i="27"/>
  <c r="AB65" i="27"/>
  <c r="AB81" i="27"/>
  <c r="AB62" i="27"/>
  <c r="AB72" i="27"/>
  <c r="AB69" i="27"/>
  <c r="AB74" i="27"/>
  <c r="AB70" i="27"/>
  <c r="AB78" i="27"/>
  <c r="AB66" i="27"/>
  <c r="R61" i="27"/>
  <c r="R63" i="27"/>
  <c r="R71" i="27"/>
  <c r="R79" i="27"/>
  <c r="R68" i="27"/>
  <c r="R65" i="27"/>
  <c r="R70" i="27"/>
  <c r="R78" i="27"/>
  <c r="R64" i="27"/>
  <c r="R76" i="27"/>
  <c r="R60" i="27"/>
  <c r="R77" i="27"/>
  <c r="R59" i="27"/>
  <c r="R67" i="27"/>
  <c r="R75" i="27"/>
  <c r="R80" i="27"/>
  <c r="R73" i="27"/>
  <c r="R66" i="27"/>
  <c r="R74" i="27"/>
  <c r="R72" i="27"/>
  <c r="R69" i="27"/>
  <c r="R62" i="27"/>
  <c r="R81" i="27"/>
  <c r="V64" i="27"/>
  <c r="V59" i="27"/>
  <c r="V71" i="27"/>
  <c r="V79" i="27"/>
  <c r="V68" i="27"/>
  <c r="V65" i="27"/>
  <c r="V81" i="27"/>
  <c r="V66" i="27"/>
  <c r="V78" i="27"/>
  <c r="V76" i="27"/>
  <c r="V69" i="27"/>
  <c r="V63" i="27"/>
  <c r="V67" i="27"/>
  <c r="V75" i="27"/>
  <c r="V73" i="27"/>
  <c r="V62" i="27"/>
  <c r="V74" i="27"/>
  <c r="V72" i="27"/>
  <c r="V61" i="27"/>
  <c r="V77" i="27"/>
  <c r="V60" i="27"/>
  <c r="V80" i="27"/>
  <c r="V70" i="27"/>
  <c r="N59" i="27"/>
  <c r="N66" i="27"/>
  <c r="N70" i="27"/>
  <c r="N69" i="27"/>
  <c r="N65" i="27"/>
  <c r="N80" i="27"/>
  <c r="N71" i="27"/>
  <c r="N72" i="27"/>
  <c r="N64" i="27"/>
  <c r="N63" i="27"/>
  <c r="N74" i="27"/>
  <c r="N73" i="27"/>
  <c r="N60" i="27"/>
  <c r="N75" i="27"/>
  <c r="N76" i="27"/>
  <c r="N79" i="27"/>
  <c r="N77" i="27"/>
  <c r="N78" i="27"/>
  <c r="N81" i="27"/>
  <c r="N62" i="27"/>
  <c r="N61" i="27"/>
  <c r="N68" i="27"/>
  <c r="N67" i="27"/>
  <c r="B10" i="10"/>
  <c r="BW9" i="10" l="1"/>
  <c r="BJ9" i="10"/>
  <c r="CD9" i="10"/>
  <c r="BK9" i="10"/>
  <c r="BT9" i="10"/>
  <c r="BP9" i="10"/>
  <c r="BQ9" i="10"/>
  <c r="CC9" i="10"/>
  <c r="BR9" i="10"/>
  <c r="CB9" i="10"/>
  <c r="AJ10" i="10"/>
  <c r="AU9" i="10"/>
  <c r="BG9" i="10" s="1"/>
  <c r="BU9" i="10"/>
  <c r="BI10" i="10"/>
  <c r="AY10" i="10"/>
  <c r="AS10" i="10"/>
  <c r="AO10" i="10"/>
  <c r="AK10" i="10"/>
  <c r="BS10" i="10"/>
  <c r="AT10" i="10"/>
  <c r="AW10" i="10" s="1"/>
  <c r="BH10" i="10"/>
  <c r="BB10" i="10"/>
  <c r="AX10" i="10"/>
  <c r="BZ10" i="10" s="1"/>
  <c r="AR10" i="10"/>
  <c r="AN10" i="10"/>
  <c r="BV10" i="10" s="1"/>
  <c r="AI10" i="10"/>
  <c r="BY10" i="10" s="1"/>
  <c r="BD10" i="10"/>
  <c r="BA10" i="10"/>
  <c r="AQ10" i="10"/>
  <c r="AM10" i="10"/>
  <c r="CA10" i="10" s="1"/>
  <c r="AH10" i="10"/>
  <c r="BO10" i="10"/>
  <c r="AZ10" i="10"/>
  <c r="AP10" i="10"/>
  <c r="CD10" i="10" s="1"/>
  <c r="BL10" i="10"/>
  <c r="BX9" i="10"/>
  <c r="AE9" i="10"/>
  <c r="BW10" i="10" l="1"/>
  <c r="BJ10" i="10"/>
  <c r="CC10" i="10"/>
  <c r="BX10" i="10"/>
  <c r="BR10" i="10"/>
  <c r="BU10" i="10"/>
  <c r="CB10" i="10"/>
  <c r="BP10" i="10"/>
  <c r="BQ10" i="10"/>
  <c r="AU10" i="10"/>
  <c r="BG10" i="10" s="1"/>
  <c r="AV10" i="10"/>
  <c r="BT10" i="10"/>
  <c r="AE10" i="10"/>
  <c r="B13" i="10" l="1"/>
  <c r="BJ13" i="10" l="1"/>
  <c r="BW13" i="10"/>
  <c r="BS13" i="10"/>
  <c r="BO13" i="10"/>
  <c r="BI13" i="10"/>
  <c r="BK13" i="10"/>
  <c r="BH13" i="10"/>
  <c r="BB13" i="10"/>
  <c r="BL13" i="10"/>
  <c r="B14" i="10"/>
  <c r="BM6" i="10"/>
  <c r="BM5" i="10" s="1"/>
  <c r="BJ14" i="10" l="1"/>
  <c r="BW14" i="10"/>
  <c r="BH14" i="10"/>
  <c r="BB14" i="10"/>
  <c r="BI14" i="10"/>
  <c r="BS14" i="10"/>
  <c r="BO14" i="10"/>
  <c r="BL14" i="10"/>
  <c r="B15" i="10"/>
  <c r="BW15" i="10" s="1"/>
  <c r="CD15" i="10" l="1"/>
  <c r="BJ15" i="10"/>
  <c r="BZ15" i="10"/>
  <c r="BV15" i="10"/>
  <c r="BQ15" i="10"/>
  <c r="BH15" i="10"/>
  <c r="BB15" i="10"/>
  <c r="AX15" i="10"/>
  <c r="AS15" i="10"/>
  <c r="AO15" i="10"/>
  <c r="AK15" i="10"/>
  <c r="BN15" i="10"/>
  <c r="AY15" i="10"/>
  <c r="CC15" i="10"/>
  <c r="BY15" i="10"/>
  <c r="BP15" i="10"/>
  <c r="BK15" i="10"/>
  <c r="BA15" i="10"/>
  <c r="AW15" i="10"/>
  <c r="AR15" i="10"/>
  <c r="AN15" i="10"/>
  <c r="AI15" i="10"/>
  <c r="AP15" i="10"/>
  <c r="BU15" i="10" s="1"/>
  <c r="CB15" i="10"/>
  <c r="BS15" i="10"/>
  <c r="BO15" i="10"/>
  <c r="BD15" i="10"/>
  <c r="AZ15" i="10"/>
  <c r="AQ15" i="10"/>
  <c r="AM15" i="10"/>
  <c r="AH15" i="10"/>
  <c r="CA15" i="10"/>
  <c r="BR15" i="10"/>
  <c r="BI15" i="10"/>
  <c r="AT15" i="10"/>
  <c r="BL15" i="10"/>
  <c r="AF15" i="10"/>
  <c r="B16" i="10"/>
  <c r="BW16" i="10" s="1"/>
  <c r="CD16" i="10" l="1"/>
  <c r="BJ16" i="10"/>
  <c r="BX15" i="10"/>
  <c r="AV15" i="10"/>
  <c r="AU15" i="10"/>
  <c r="BG15" i="10" s="1"/>
  <c r="BZ16" i="10"/>
  <c r="BV16" i="10"/>
  <c r="BR16" i="10"/>
  <c r="BN16" i="10"/>
  <c r="BI16" i="10"/>
  <c r="AY16" i="10"/>
  <c r="AQ16" i="10"/>
  <c r="AM16" i="10"/>
  <c r="AH16" i="10"/>
  <c r="CA16" i="10"/>
  <c r="BO16" i="10"/>
  <c r="AZ16" i="10"/>
  <c r="AI16" i="10"/>
  <c r="CC16" i="10"/>
  <c r="BY16" i="10"/>
  <c r="BQ16" i="10"/>
  <c r="BH16" i="10"/>
  <c r="BB16" i="10"/>
  <c r="AX16" i="10"/>
  <c r="AT16" i="10"/>
  <c r="AP16" i="10"/>
  <c r="BU16" i="10" s="1"/>
  <c r="CB16" i="10"/>
  <c r="BP16" i="10"/>
  <c r="BK16" i="10"/>
  <c r="BA16" i="10"/>
  <c r="AW16" i="10"/>
  <c r="AS16" i="10"/>
  <c r="AO16" i="10"/>
  <c r="AK16" i="10"/>
  <c r="BS16" i="10"/>
  <c r="BD16" i="10"/>
  <c r="AR16" i="10"/>
  <c r="AN16" i="10"/>
  <c r="BL16" i="10"/>
  <c r="BT15" i="10"/>
  <c r="AF16" i="10"/>
  <c r="B17" i="10"/>
  <c r="BW17" i="10" s="1"/>
  <c r="CD17" i="10" l="1"/>
  <c r="BJ17" i="10"/>
  <c r="BX16" i="10"/>
  <c r="AV16" i="10"/>
  <c r="BT16" i="10"/>
  <c r="AU16" i="10"/>
  <c r="BG16" i="10" s="1"/>
  <c r="BZ17" i="10"/>
  <c r="BV17" i="10"/>
  <c r="BR17" i="10"/>
  <c r="BN17" i="10"/>
  <c r="BI17" i="10"/>
  <c r="AY17" i="10"/>
  <c r="AQ17" i="10"/>
  <c r="AM17" i="10"/>
  <c r="AH17" i="10"/>
  <c r="CC17" i="10"/>
  <c r="BY17" i="10"/>
  <c r="BQ17" i="10"/>
  <c r="BH17" i="10"/>
  <c r="BB17" i="10"/>
  <c r="AX17" i="10"/>
  <c r="AT17" i="10"/>
  <c r="AP17" i="10"/>
  <c r="BU17" i="10" s="1"/>
  <c r="BS17" i="10"/>
  <c r="BD17" i="10"/>
  <c r="AN17" i="10"/>
  <c r="CB17" i="10"/>
  <c r="BP17" i="10"/>
  <c r="BK17" i="10"/>
  <c r="BA17" i="10"/>
  <c r="AW17" i="10"/>
  <c r="AS17" i="10"/>
  <c r="AO17" i="10"/>
  <c r="AK17" i="10"/>
  <c r="CA17" i="10"/>
  <c r="BO17" i="10"/>
  <c r="AZ17" i="10"/>
  <c r="AR17" i="10"/>
  <c r="AI17" i="10"/>
  <c r="BL17" i="10"/>
  <c r="AF17" i="10"/>
  <c r="B18" i="10"/>
  <c r="BW18" i="10" s="1"/>
  <c r="CD18" i="10" l="1"/>
  <c r="BJ18" i="10"/>
  <c r="AV17" i="10"/>
  <c r="BT17" i="10"/>
  <c r="CA18" i="10"/>
  <c r="BV18" i="10"/>
  <c r="BP18" i="10"/>
  <c r="BK18" i="10"/>
  <c r="BA18" i="10"/>
  <c r="AW18" i="10"/>
  <c r="AQ18" i="10"/>
  <c r="AM18" i="10"/>
  <c r="AH18" i="10"/>
  <c r="BB18" i="10"/>
  <c r="AN18" i="10"/>
  <c r="BZ18" i="10"/>
  <c r="BS18" i="10"/>
  <c r="BO18" i="10"/>
  <c r="BD18" i="10"/>
  <c r="AZ18" i="10"/>
  <c r="AT18" i="10"/>
  <c r="AE18" i="10" s="1"/>
  <c r="AP18" i="10"/>
  <c r="BU18" i="10" s="1"/>
  <c r="AX18" i="10"/>
  <c r="AI18" i="10"/>
  <c r="CC18" i="10"/>
  <c r="BY18" i="10"/>
  <c r="BR18" i="10"/>
  <c r="BN18" i="10"/>
  <c r="BI18" i="10"/>
  <c r="AY18" i="10"/>
  <c r="AS18" i="10"/>
  <c r="AO18" i="10"/>
  <c r="AK18" i="10"/>
  <c r="CB18" i="10"/>
  <c r="BQ18" i="10"/>
  <c r="BH18" i="10"/>
  <c r="AR18" i="10"/>
  <c r="BL18" i="10"/>
  <c r="BX17" i="10"/>
  <c r="AU17" i="10"/>
  <c r="BG17" i="10" s="1"/>
  <c r="AF18" i="10"/>
  <c r="AE17" i="10"/>
  <c r="B19" i="10"/>
  <c r="BW19" i="10" s="1"/>
  <c r="CD19" i="10" l="1"/>
  <c r="BJ19" i="10"/>
  <c r="BX18" i="10"/>
  <c r="AV18" i="10"/>
  <c r="AU18" i="10"/>
  <c r="BG18" i="10" s="1"/>
  <c r="CC19" i="10"/>
  <c r="BY19" i="10"/>
  <c r="BP19" i="10"/>
  <c r="BK19" i="10"/>
  <c r="BA19" i="10"/>
  <c r="AW19" i="10"/>
  <c r="AR19" i="10"/>
  <c r="AN19" i="10"/>
  <c r="AI19" i="10"/>
  <c r="BQ19" i="10"/>
  <c r="BH19" i="10"/>
  <c r="AK19" i="10"/>
  <c r="CB19" i="10"/>
  <c r="BS19" i="10"/>
  <c r="BO19" i="10"/>
  <c r="BD19" i="10"/>
  <c r="AZ19" i="10"/>
  <c r="AQ19" i="10"/>
  <c r="AM19" i="10"/>
  <c r="AH19" i="10"/>
  <c r="BV19" i="10"/>
  <c r="AX19" i="10"/>
  <c r="AO19" i="10"/>
  <c r="CA19" i="10"/>
  <c r="BR19" i="10"/>
  <c r="BN19" i="10"/>
  <c r="BI19" i="10"/>
  <c r="AY19" i="10"/>
  <c r="AT19" i="10"/>
  <c r="AE19" i="10" s="1"/>
  <c r="AP19" i="10"/>
  <c r="BU19" i="10" s="1"/>
  <c r="BZ19" i="10"/>
  <c r="BB19" i="10"/>
  <c r="AS19" i="10"/>
  <c r="BL19" i="10"/>
  <c r="BT18" i="10"/>
  <c r="AF19" i="10"/>
  <c r="AE2" i="19"/>
  <c r="AV19" i="10" l="1"/>
  <c r="BX19" i="10"/>
  <c r="BT19" i="10"/>
  <c r="AU19" i="10"/>
  <c r="BG19" i="10" s="1"/>
  <c r="B25" i="10"/>
  <c r="BW25" i="10" s="1"/>
  <c r="CD25" i="10" l="1"/>
  <c r="BJ25" i="10"/>
  <c r="BZ25" i="10"/>
  <c r="BP25" i="10"/>
  <c r="BK25" i="10"/>
  <c r="BA25" i="10"/>
  <c r="AW25" i="10"/>
  <c r="AR25" i="10"/>
  <c r="AN25" i="10"/>
  <c r="AI25" i="10"/>
  <c r="CC25" i="10"/>
  <c r="BQ25" i="10"/>
  <c r="BD25" i="10"/>
  <c r="AY25" i="10"/>
  <c r="AS25" i="10"/>
  <c r="AM25" i="10"/>
  <c r="AT25" i="10"/>
  <c r="CB25" i="10"/>
  <c r="BV25" i="10"/>
  <c r="BO25" i="10"/>
  <c r="BI25" i="10"/>
  <c r="AX25" i="10"/>
  <c r="AQ25" i="10"/>
  <c r="BY25" i="10"/>
  <c r="AZ25" i="10"/>
  <c r="AH25" i="10"/>
  <c r="CA25" i="10"/>
  <c r="BS25" i="10"/>
  <c r="BN25" i="10"/>
  <c r="BH25" i="10"/>
  <c r="BB25" i="10"/>
  <c r="AP25" i="10"/>
  <c r="AK25" i="10"/>
  <c r="BR25" i="10"/>
  <c r="AO25" i="10"/>
  <c r="BL25" i="10"/>
  <c r="AF25" i="10"/>
  <c r="B26" i="10"/>
  <c r="BW26" i="10" s="1"/>
  <c r="CD26" i="10" l="1"/>
  <c r="BJ26" i="10"/>
  <c r="BT25" i="10"/>
  <c r="BX25" i="10"/>
  <c r="AU25" i="10"/>
  <c r="BG25" i="10" s="1"/>
  <c r="BU25" i="10"/>
  <c r="CA26" i="10"/>
  <c r="BV26" i="10"/>
  <c r="BP26" i="10"/>
  <c r="BK26" i="10"/>
  <c r="BA26" i="10"/>
  <c r="AW26" i="10"/>
  <c r="AQ26" i="10"/>
  <c r="AM26" i="10"/>
  <c r="AH26" i="10"/>
  <c r="BZ26" i="10"/>
  <c r="BR26" i="10"/>
  <c r="AZ26" i="10"/>
  <c r="AS26" i="10"/>
  <c r="AN26" i="10"/>
  <c r="BS26" i="10"/>
  <c r="BB26" i="10"/>
  <c r="AI26" i="10"/>
  <c r="BY26" i="10"/>
  <c r="BQ26" i="10"/>
  <c r="BD26" i="10"/>
  <c r="AY26" i="10"/>
  <c r="AR26" i="10"/>
  <c r="BN26" i="10"/>
  <c r="AT26" i="10"/>
  <c r="CC26" i="10"/>
  <c r="BO26" i="10"/>
  <c r="BI26" i="10"/>
  <c r="AX26" i="10"/>
  <c r="AP26" i="10"/>
  <c r="BU26" i="10" s="1"/>
  <c r="AK26" i="10"/>
  <c r="CB26" i="10"/>
  <c r="BH26" i="10"/>
  <c r="AO26" i="10"/>
  <c r="BL26" i="10"/>
  <c r="AV25" i="10"/>
  <c r="AF26" i="10"/>
  <c r="B28" i="10"/>
  <c r="BW28" i="10" s="1"/>
  <c r="B27" i="10"/>
  <c r="BW27" i="10" s="1"/>
  <c r="CD28" i="10" l="1"/>
  <c r="BJ28" i="10"/>
  <c r="CD27" i="10"/>
  <c r="BJ27" i="10"/>
  <c r="BX26" i="10"/>
  <c r="BT26" i="10"/>
  <c r="CC28" i="10"/>
  <c r="BY28" i="10"/>
  <c r="BQ28" i="10"/>
  <c r="BH28" i="10"/>
  <c r="BB28" i="10"/>
  <c r="AX28" i="10"/>
  <c r="AT28" i="10"/>
  <c r="AP28" i="10"/>
  <c r="BU28" i="10" s="1"/>
  <c r="CB28" i="10"/>
  <c r="BR28" i="10"/>
  <c r="AZ28" i="10"/>
  <c r="AO28" i="10"/>
  <c r="AI28" i="10"/>
  <c r="BS28" i="10"/>
  <c r="BI28" i="10"/>
  <c r="AQ28" i="10"/>
  <c r="CA28" i="10"/>
  <c r="BV28" i="10"/>
  <c r="BP28" i="10"/>
  <c r="BK28" i="10"/>
  <c r="BD28" i="10"/>
  <c r="AY28" i="10"/>
  <c r="AS28" i="10"/>
  <c r="AN28" i="10"/>
  <c r="AH28" i="10"/>
  <c r="AK28" i="10"/>
  <c r="BZ28" i="10"/>
  <c r="BO28" i="10"/>
  <c r="AW28" i="10"/>
  <c r="AR28" i="10"/>
  <c r="AM28" i="10"/>
  <c r="BN28" i="10"/>
  <c r="BA28" i="10"/>
  <c r="BL28" i="10"/>
  <c r="AU26" i="10"/>
  <c r="BG26" i="10" s="1"/>
  <c r="CC27" i="10"/>
  <c r="BY27" i="10"/>
  <c r="BP27" i="10"/>
  <c r="BK27" i="10"/>
  <c r="BA27" i="10"/>
  <c r="AW27" i="10"/>
  <c r="AR27" i="10"/>
  <c r="AN27" i="10"/>
  <c r="AI27" i="10"/>
  <c r="BZ27" i="10"/>
  <c r="BS27" i="10"/>
  <c r="BN27" i="10"/>
  <c r="BH27" i="10"/>
  <c r="BB27" i="10"/>
  <c r="AP27" i="10"/>
  <c r="BU27" i="10" s="1"/>
  <c r="AK27" i="10"/>
  <c r="BV27" i="10"/>
  <c r="AX27" i="10"/>
  <c r="BR27" i="10"/>
  <c r="AZ27" i="10"/>
  <c r="AT27" i="10"/>
  <c r="AO27" i="10"/>
  <c r="AH27" i="10"/>
  <c r="BI27" i="10"/>
  <c r="CB27" i="10"/>
  <c r="BQ27" i="10"/>
  <c r="BD27" i="10"/>
  <c r="AY27" i="10"/>
  <c r="AS27" i="10"/>
  <c r="AM27" i="10"/>
  <c r="CA27" i="10"/>
  <c r="BO27" i="10"/>
  <c r="AQ27" i="10"/>
  <c r="BL27" i="10"/>
  <c r="AV26" i="10"/>
  <c r="AF27" i="10"/>
  <c r="AF28" i="10"/>
  <c r="B29" i="10"/>
  <c r="BW29" i="10" s="1"/>
  <c r="CD29" i="10" l="1"/>
  <c r="BJ29" i="10"/>
  <c r="AU27" i="10"/>
  <c r="BG27" i="10" s="1"/>
  <c r="AV27" i="10"/>
  <c r="AV28" i="10"/>
  <c r="CB29" i="10"/>
  <c r="BR29" i="10"/>
  <c r="BN29" i="10"/>
  <c r="BI29" i="10"/>
  <c r="AY29" i="10"/>
  <c r="AT29" i="10"/>
  <c r="AP29" i="10"/>
  <c r="AV29" i="10" s="1"/>
  <c r="CC29" i="10"/>
  <c r="BV29" i="10"/>
  <c r="BP29" i="10"/>
  <c r="AX29" i="10"/>
  <c r="AR29" i="10"/>
  <c r="AM29" i="10"/>
  <c r="BQ29" i="10"/>
  <c r="AZ29" i="10"/>
  <c r="AH29" i="10"/>
  <c r="CA29" i="10"/>
  <c r="BO29" i="10"/>
  <c r="BH29" i="10"/>
  <c r="BB29" i="10"/>
  <c r="AW29" i="10"/>
  <c r="AQ29" i="10"/>
  <c r="AK29" i="10"/>
  <c r="BZ29" i="10"/>
  <c r="BS29" i="10"/>
  <c r="BA29" i="10"/>
  <c r="AO29" i="10"/>
  <c r="AI29" i="10"/>
  <c r="BY29" i="10"/>
  <c r="BK29" i="10"/>
  <c r="BD29" i="10"/>
  <c r="AS29" i="10"/>
  <c r="AN29" i="10"/>
  <c r="BL29" i="10"/>
  <c r="BX27" i="10"/>
  <c r="BT28" i="10"/>
  <c r="AU28" i="10"/>
  <c r="BG28" i="10" s="1"/>
  <c r="BT27" i="10"/>
  <c r="BX28" i="10"/>
  <c r="AF29" i="10"/>
  <c r="B30" i="10"/>
  <c r="BW30" i="10" s="1"/>
  <c r="CD30" i="10" l="1"/>
  <c r="BJ30" i="10"/>
  <c r="BX29" i="10"/>
  <c r="CC30" i="10"/>
  <c r="BY30" i="10"/>
  <c r="BR30" i="10"/>
  <c r="BN30" i="10"/>
  <c r="BI30" i="10"/>
  <c r="AY30" i="10"/>
  <c r="AS30" i="10"/>
  <c r="AO30" i="10"/>
  <c r="AK30" i="10"/>
  <c r="BZ30" i="10"/>
  <c r="BQ30" i="10"/>
  <c r="BK30" i="10"/>
  <c r="BD30" i="10"/>
  <c r="AZ30" i="10"/>
  <c r="AR30" i="10"/>
  <c r="AM30" i="10"/>
  <c r="BA30" i="10"/>
  <c r="AN30" i="10"/>
  <c r="BP30" i="10"/>
  <c r="AX30" i="10"/>
  <c r="AQ30" i="10"/>
  <c r="CA30" i="10"/>
  <c r="CB30" i="10"/>
  <c r="BV30" i="10"/>
  <c r="BO30" i="10"/>
  <c r="BH30" i="10"/>
  <c r="BB30" i="10"/>
  <c r="AW30" i="10"/>
  <c r="AP30" i="10"/>
  <c r="BU30" i="10" s="1"/>
  <c r="AI30" i="10"/>
  <c r="BS30" i="10"/>
  <c r="AT30" i="10"/>
  <c r="AH30" i="10"/>
  <c r="BL30" i="10"/>
  <c r="BT29" i="10"/>
  <c r="AU29" i="10"/>
  <c r="BG29" i="10" s="1"/>
  <c r="BU29" i="10"/>
  <c r="AF30" i="10"/>
  <c r="AE28" i="10"/>
  <c r="AE29" i="10"/>
  <c r="B31" i="10"/>
  <c r="BW31" i="10" s="1"/>
  <c r="CD31" i="10" l="1"/>
  <c r="BJ31" i="10"/>
  <c r="BX30" i="10"/>
  <c r="AU30" i="10"/>
  <c r="BG30" i="10" s="1"/>
  <c r="AV30" i="10"/>
  <c r="CA31" i="10"/>
  <c r="BR31" i="10"/>
  <c r="BN31" i="10"/>
  <c r="BI31" i="10"/>
  <c r="AY31" i="10"/>
  <c r="AT31" i="10"/>
  <c r="AP31" i="10"/>
  <c r="BU31" i="10" s="1"/>
  <c r="BY31" i="10"/>
  <c r="BS31" i="10"/>
  <c r="BA31" i="10"/>
  <c r="AO31" i="10"/>
  <c r="AI31" i="10"/>
  <c r="BZ31" i="10"/>
  <c r="BB31" i="10"/>
  <c r="AK31" i="10"/>
  <c r="CC31" i="10"/>
  <c r="BQ31" i="10"/>
  <c r="BK31" i="10"/>
  <c r="BD31" i="10"/>
  <c r="AZ31" i="10"/>
  <c r="AS31" i="10"/>
  <c r="AN31" i="10"/>
  <c r="AH31" i="10"/>
  <c r="AW31" i="10"/>
  <c r="CB31" i="10"/>
  <c r="BV31" i="10"/>
  <c r="BP31" i="10"/>
  <c r="AX31" i="10"/>
  <c r="AR31" i="10"/>
  <c r="AM31" i="10"/>
  <c r="BO31" i="10"/>
  <c r="BH31" i="10"/>
  <c r="AQ31" i="10"/>
  <c r="BL31" i="10"/>
  <c r="BT30" i="10"/>
  <c r="AF31" i="10"/>
  <c r="AE30" i="10"/>
  <c r="B32" i="10"/>
  <c r="BW32" i="10" s="1"/>
  <c r="CD32" i="10" l="1"/>
  <c r="BJ32" i="10"/>
  <c r="BX31" i="10"/>
  <c r="AV31" i="10"/>
  <c r="BT31" i="10"/>
  <c r="CA32" i="10"/>
  <c r="BS32" i="10"/>
  <c r="BO32" i="10"/>
  <c r="BD32" i="10"/>
  <c r="AZ32" i="10"/>
  <c r="AR32" i="10"/>
  <c r="AN32" i="10"/>
  <c r="AI32" i="10"/>
  <c r="CC32" i="10"/>
  <c r="BR32" i="10"/>
  <c r="AY32" i="10"/>
  <c r="AT32" i="10"/>
  <c r="AO32" i="10"/>
  <c r="AH32" i="10"/>
  <c r="BY32" i="10"/>
  <c r="BA32" i="10"/>
  <c r="CB32" i="10"/>
  <c r="BV32" i="10"/>
  <c r="BQ32" i="10"/>
  <c r="BK32" i="10"/>
  <c r="AX32" i="10"/>
  <c r="AS32" i="10"/>
  <c r="AM32" i="10"/>
  <c r="BN32" i="10"/>
  <c r="AP32" i="10"/>
  <c r="BU32" i="10" s="1"/>
  <c r="BZ32" i="10"/>
  <c r="BP32" i="10"/>
  <c r="BI32" i="10"/>
  <c r="BB32" i="10"/>
  <c r="AW32" i="10"/>
  <c r="AQ32" i="10"/>
  <c r="BH32" i="10"/>
  <c r="AK32" i="10"/>
  <c r="BL32" i="10"/>
  <c r="AU31" i="10"/>
  <c r="BG31" i="10" s="1"/>
  <c r="AF32" i="10"/>
  <c r="B33" i="10"/>
  <c r="BW33" i="10" s="1"/>
  <c r="AE31" i="10"/>
  <c r="CD33" i="10" l="1"/>
  <c r="BJ33" i="10"/>
  <c r="BT32" i="10"/>
  <c r="AU32" i="10"/>
  <c r="BG32" i="10" s="1"/>
  <c r="BX32" i="10"/>
  <c r="CC33" i="10"/>
  <c r="BY33" i="10"/>
  <c r="BS33" i="10"/>
  <c r="BO33" i="10"/>
  <c r="BD33" i="10"/>
  <c r="AZ33" i="10"/>
  <c r="AR33" i="10"/>
  <c r="AN33" i="10"/>
  <c r="AI33" i="10"/>
  <c r="BQ33" i="10"/>
  <c r="BK33" i="10"/>
  <c r="AX33" i="10"/>
  <c r="AS33" i="10"/>
  <c r="AM33" i="10"/>
  <c r="BR33" i="10"/>
  <c r="AY33" i="10"/>
  <c r="AT33" i="10"/>
  <c r="AO33" i="10"/>
  <c r="AH33" i="10"/>
  <c r="BT33" i="10" s="1"/>
  <c r="CB33" i="10"/>
  <c r="BV33" i="10"/>
  <c r="BP33" i="10"/>
  <c r="BI33" i="10"/>
  <c r="BB33" i="10"/>
  <c r="AW33" i="10"/>
  <c r="AQ33" i="10"/>
  <c r="CA33" i="10"/>
  <c r="BN33" i="10"/>
  <c r="BH33" i="10"/>
  <c r="BA33" i="10"/>
  <c r="AP33" i="10"/>
  <c r="BU33" i="10" s="1"/>
  <c r="AK33" i="10"/>
  <c r="BZ33" i="10"/>
  <c r="BL33" i="10"/>
  <c r="AV32" i="10"/>
  <c r="AF33" i="10"/>
  <c r="B34" i="10"/>
  <c r="BW34" i="10" s="1"/>
  <c r="AE32" i="10"/>
  <c r="CD34" i="10" l="1"/>
  <c r="BJ34" i="10"/>
  <c r="AV33" i="10"/>
  <c r="BZ34" i="10"/>
  <c r="BS34" i="10"/>
  <c r="BO34" i="10"/>
  <c r="BD34" i="10"/>
  <c r="AZ34" i="10"/>
  <c r="AT34" i="10"/>
  <c r="AP34" i="10"/>
  <c r="BU34" i="10" s="1"/>
  <c r="CB34" i="10"/>
  <c r="BV34" i="10"/>
  <c r="BN34" i="10"/>
  <c r="BH34" i="10"/>
  <c r="BA34" i="10"/>
  <c r="AS34" i="10"/>
  <c r="AN34" i="10"/>
  <c r="AH34" i="10"/>
  <c r="BT34" i="10" s="1"/>
  <c r="BB34" i="10"/>
  <c r="AO34" i="10"/>
  <c r="CA34" i="10"/>
  <c r="BR34" i="10"/>
  <c r="AY34" i="10"/>
  <c r="AR34" i="10"/>
  <c r="AM34" i="10"/>
  <c r="BY34" i="10"/>
  <c r="BQ34" i="10"/>
  <c r="BK34" i="10"/>
  <c r="AX34" i="10"/>
  <c r="AQ34" i="10"/>
  <c r="AK34" i="10"/>
  <c r="CC34" i="10"/>
  <c r="BP34" i="10"/>
  <c r="BI34" i="10"/>
  <c r="AW34" i="10"/>
  <c r="AI34" i="10"/>
  <c r="BL34" i="10"/>
  <c r="AU33" i="10"/>
  <c r="BG33" i="10" s="1"/>
  <c r="BX33" i="10"/>
  <c r="AF34" i="10"/>
  <c r="B35" i="10"/>
  <c r="BW35" i="10" s="1"/>
  <c r="AE33" i="10"/>
  <c r="CD35" i="10" l="1"/>
  <c r="BJ35" i="10"/>
  <c r="BX34" i="10"/>
  <c r="AU34" i="10"/>
  <c r="BG34" i="10" s="1"/>
  <c r="AV34" i="10"/>
  <c r="CB35" i="10"/>
  <c r="BS35" i="10"/>
  <c r="BO35" i="10"/>
  <c r="BD35" i="10"/>
  <c r="AZ35" i="10"/>
  <c r="AQ35" i="10"/>
  <c r="AM35" i="10"/>
  <c r="AH35" i="10"/>
  <c r="CC35" i="10"/>
  <c r="BQ35" i="10"/>
  <c r="BK35" i="10"/>
  <c r="AX35" i="10"/>
  <c r="AR35" i="10"/>
  <c r="BY35" i="10"/>
  <c r="AS35" i="10"/>
  <c r="CA35" i="10"/>
  <c r="BV35" i="10"/>
  <c r="BP35" i="10"/>
  <c r="BI35" i="10"/>
  <c r="BB35" i="10"/>
  <c r="AW35" i="10"/>
  <c r="AP35" i="10"/>
  <c r="BU35" i="10" s="1"/>
  <c r="AK35" i="10"/>
  <c r="BZ35" i="10"/>
  <c r="BN35" i="10"/>
  <c r="BH35" i="10"/>
  <c r="BA35" i="10"/>
  <c r="AT35" i="10"/>
  <c r="AO35" i="10"/>
  <c r="AI35" i="10"/>
  <c r="BR35" i="10"/>
  <c r="AY35" i="10"/>
  <c r="AN35" i="10"/>
  <c r="BL35" i="10"/>
  <c r="AF35" i="10"/>
  <c r="AE34" i="10"/>
  <c r="B36" i="10"/>
  <c r="BW36" i="10" s="1"/>
  <c r="CD36" i="10" l="1"/>
  <c r="BJ36" i="10"/>
  <c r="BT35" i="10"/>
  <c r="AV35" i="10"/>
  <c r="AU35" i="10"/>
  <c r="BG35" i="10" s="1"/>
  <c r="CB36" i="10"/>
  <c r="BP36" i="10"/>
  <c r="BK36" i="10"/>
  <c r="BA36" i="10"/>
  <c r="AW36" i="10"/>
  <c r="AS36" i="10"/>
  <c r="AO36" i="10"/>
  <c r="AK36" i="10"/>
  <c r="BZ36" i="10"/>
  <c r="BO36" i="10"/>
  <c r="BI36" i="10"/>
  <c r="AX36" i="10"/>
  <c r="AR36" i="10"/>
  <c r="AM36" i="10"/>
  <c r="CA36" i="10"/>
  <c r="AT36" i="10"/>
  <c r="BY36" i="10"/>
  <c r="BS36" i="10"/>
  <c r="BN36" i="10"/>
  <c r="BH36" i="10"/>
  <c r="BB36" i="10"/>
  <c r="AQ36" i="10"/>
  <c r="BV36" i="10"/>
  <c r="AN36" i="10"/>
  <c r="CC36" i="10"/>
  <c r="BR36" i="10"/>
  <c r="AZ36" i="10"/>
  <c r="AP36" i="10"/>
  <c r="BU36" i="10" s="1"/>
  <c r="AI36" i="10"/>
  <c r="BQ36" i="10"/>
  <c r="BD36" i="10"/>
  <c r="AY36" i="10"/>
  <c r="AH36" i="10"/>
  <c r="BL36" i="10"/>
  <c r="BX35" i="10"/>
  <c r="AF36" i="10"/>
  <c r="AE35" i="10"/>
  <c r="B37" i="10"/>
  <c r="BW37" i="10" s="1"/>
  <c r="CD37" i="10" l="1"/>
  <c r="BJ37" i="10"/>
  <c r="AU36" i="10"/>
  <c r="BG36" i="10" s="1"/>
  <c r="BT36" i="10"/>
  <c r="BX36" i="10"/>
  <c r="BZ37" i="10"/>
  <c r="BP37" i="10"/>
  <c r="BK37" i="10"/>
  <c r="BA37" i="10"/>
  <c r="AW37" i="10"/>
  <c r="AS37" i="10"/>
  <c r="AO37" i="10"/>
  <c r="AK37" i="10"/>
  <c r="BY37" i="10"/>
  <c r="BR37" i="10"/>
  <c r="AZ37" i="10"/>
  <c r="AP37" i="10"/>
  <c r="BU37" i="10" s="1"/>
  <c r="AI37" i="10"/>
  <c r="CA37" i="10"/>
  <c r="BB37" i="10"/>
  <c r="CC37" i="10"/>
  <c r="BQ37" i="10"/>
  <c r="BD37" i="10"/>
  <c r="AY37" i="10"/>
  <c r="AT37" i="10"/>
  <c r="AN37" i="10"/>
  <c r="AH37" i="10"/>
  <c r="BS37" i="10"/>
  <c r="BH37" i="10"/>
  <c r="CB37" i="10"/>
  <c r="BV37" i="10"/>
  <c r="BO37" i="10"/>
  <c r="BI37" i="10"/>
  <c r="AX37" i="10"/>
  <c r="AR37" i="10"/>
  <c r="AM37" i="10"/>
  <c r="BN37" i="10"/>
  <c r="AQ37" i="10"/>
  <c r="BL37" i="10"/>
  <c r="AV36" i="10"/>
  <c r="AF37" i="10"/>
  <c r="AE36" i="10"/>
  <c r="B38" i="10"/>
  <c r="BW38" i="10" s="1"/>
  <c r="CD38" i="10" l="1"/>
  <c r="BJ38" i="10"/>
  <c r="AV37" i="10"/>
  <c r="BX37" i="10"/>
  <c r="AU37" i="10"/>
  <c r="BG37" i="10" s="1"/>
  <c r="CA38" i="10"/>
  <c r="BV38" i="10"/>
  <c r="BP38" i="10"/>
  <c r="BK38" i="10"/>
  <c r="BA38" i="10"/>
  <c r="AW38" i="10"/>
  <c r="AQ38" i="10"/>
  <c r="AM38" i="10"/>
  <c r="AH38" i="10"/>
  <c r="CB38" i="10"/>
  <c r="BS38" i="10"/>
  <c r="BN38" i="10"/>
  <c r="BH38" i="10"/>
  <c r="BB38" i="10"/>
  <c r="AT38" i="10"/>
  <c r="AO38" i="10"/>
  <c r="AI38" i="10"/>
  <c r="CC38" i="10"/>
  <c r="BI38" i="10"/>
  <c r="BZ38" i="10"/>
  <c r="BR38" i="10"/>
  <c r="AZ38" i="10"/>
  <c r="AS38" i="10"/>
  <c r="AN38" i="10"/>
  <c r="AP38" i="10"/>
  <c r="BU38" i="10" s="1"/>
  <c r="BY38" i="10"/>
  <c r="BQ38" i="10"/>
  <c r="BD38" i="10"/>
  <c r="AY38" i="10"/>
  <c r="AR38" i="10"/>
  <c r="BO38" i="10"/>
  <c r="AX38" i="10"/>
  <c r="AK38" i="10"/>
  <c r="BL38" i="10"/>
  <c r="BT37" i="10"/>
  <c r="AF38" i="10"/>
  <c r="AE37" i="10"/>
  <c r="B39" i="10"/>
  <c r="BW39" i="10" s="1"/>
  <c r="CD39" i="10" l="1"/>
  <c r="BJ39" i="10"/>
  <c r="BX38" i="10"/>
  <c r="BT38" i="10"/>
  <c r="AV38" i="10"/>
  <c r="AU38" i="10"/>
  <c r="BG38" i="10" s="1"/>
  <c r="CC39" i="10"/>
  <c r="BY39" i="10"/>
  <c r="BP39" i="10"/>
  <c r="BK39" i="10"/>
  <c r="BA39" i="10"/>
  <c r="AW39" i="10"/>
  <c r="AR39" i="10"/>
  <c r="AN39" i="10"/>
  <c r="AI39" i="10"/>
  <c r="CA39" i="10"/>
  <c r="BV39" i="10"/>
  <c r="BO39" i="10"/>
  <c r="BI39" i="10"/>
  <c r="AX39" i="10"/>
  <c r="AQ39" i="10"/>
  <c r="BQ39" i="10"/>
  <c r="AY39" i="10"/>
  <c r="BZ39" i="10"/>
  <c r="BS39" i="10"/>
  <c r="BN39" i="10"/>
  <c r="BH39" i="10"/>
  <c r="BB39" i="10"/>
  <c r="AP39" i="10"/>
  <c r="BU39" i="10" s="1"/>
  <c r="AK39" i="10"/>
  <c r="AS39" i="10"/>
  <c r="BR39" i="10"/>
  <c r="AZ39" i="10"/>
  <c r="AT39" i="10"/>
  <c r="AO39" i="10"/>
  <c r="AH39" i="10"/>
  <c r="CB39" i="10"/>
  <c r="BD39" i="10"/>
  <c r="AM39" i="10"/>
  <c r="BL39" i="10"/>
  <c r="AF39" i="10"/>
  <c r="AE38" i="10"/>
  <c r="B40" i="10"/>
  <c r="BW40" i="10" s="1"/>
  <c r="CD40" i="10" l="1"/>
  <c r="BJ40" i="10"/>
  <c r="BT39" i="10"/>
  <c r="AV39" i="10"/>
  <c r="CC40" i="10"/>
  <c r="BY40" i="10"/>
  <c r="BQ40" i="10"/>
  <c r="BH40" i="10"/>
  <c r="BB40" i="10"/>
  <c r="AX40" i="10"/>
  <c r="AT40" i="10"/>
  <c r="AP40" i="10"/>
  <c r="BU40" i="10" s="1"/>
  <c r="BS40" i="10"/>
  <c r="BN40" i="10"/>
  <c r="BI40" i="10"/>
  <c r="BA40" i="10"/>
  <c r="AQ40" i="10"/>
  <c r="AK40" i="10"/>
  <c r="AW40" i="10"/>
  <c r="AM40" i="10"/>
  <c r="CB40" i="10"/>
  <c r="BR40" i="10"/>
  <c r="AZ40" i="10"/>
  <c r="AO40" i="10"/>
  <c r="AI40" i="10"/>
  <c r="BZ40" i="10"/>
  <c r="BO40" i="10"/>
  <c r="AR40" i="10"/>
  <c r="CA40" i="10"/>
  <c r="BV40" i="10"/>
  <c r="BP40" i="10"/>
  <c r="BK40" i="10"/>
  <c r="BD40" i="10"/>
  <c r="AY40" i="10"/>
  <c r="AS40" i="10"/>
  <c r="AN40" i="10"/>
  <c r="AH40" i="10"/>
  <c r="BL40" i="10"/>
  <c r="BX39" i="10"/>
  <c r="AU39" i="10"/>
  <c r="BG39" i="10" s="1"/>
  <c r="AF40" i="10"/>
  <c r="B41" i="10"/>
  <c r="BW41" i="10" s="1"/>
  <c r="AE39" i="10"/>
  <c r="CD41" i="10" l="1"/>
  <c r="BJ41" i="10"/>
  <c r="AV40" i="10"/>
  <c r="CA41" i="10"/>
  <c r="BV41" i="10"/>
  <c r="BQ41" i="10"/>
  <c r="BH41" i="10"/>
  <c r="BB41" i="10"/>
  <c r="AX41" i="10"/>
  <c r="AT41" i="10"/>
  <c r="AP41" i="10"/>
  <c r="BU41" i="10" s="1"/>
  <c r="CC41" i="10"/>
  <c r="BP41" i="10"/>
  <c r="BK41" i="10"/>
  <c r="BD41" i="10"/>
  <c r="AY41" i="10"/>
  <c r="AS41" i="10"/>
  <c r="AN41" i="10"/>
  <c r="AH41" i="10"/>
  <c r="BY41" i="10"/>
  <c r="AZ41" i="10"/>
  <c r="AO41" i="10"/>
  <c r="AI41" i="10"/>
  <c r="CB41" i="10"/>
  <c r="BO41" i="10"/>
  <c r="AW41" i="10"/>
  <c r="AR41" i="10"/>
  <c r="AM41" i="10"/>
  <c r="BR41" i="10"/>
  <c r="BZ41" i="10"/>
  <c r="BS41" i="10"/>
  <c r="BN41" i="10"/>
  <c r="BI41" i="10"/>
  <c r="BA41" i="10"/>
  <c r="AQ41" i="10"/>
  <c r="AK41" i="10"/>
  <c r="BL41" i="10"/>
  <c r="BT40" i="10"/>
  <c r="BX40" i="10"/>
  <c r="AU40" i="10"/>
  <c r="BG40" i="10" s="1"/>
  <c r="AF41" i="10"/>
  <c r="AE40" i="10"/>
  <c r="B42" i="10"/>
  <c r="BW42" i="10" s="1"/>
  <c r="CD42" i="10" l="1"/>
  <c r="BJ42" i="10"/>
  <c r="AV41" i="10"/>
  <c r="AU41" i="10"/>
  <c r="BG41" i="10" s="1"/>
  <c r="BX41" i="10"/>
  <c r="CB42" i="10"/>
  <c r="BQ42" i="10"/>
  <c r="BH42" i="10"/>
  <c r="BB42" i="10"/>
  <c r="AX42" i="10"/>
  <c r="AR42" i="10"/>
  <c r="AN42" i="10"/>
  <c r="AI42" i="10"/>
  <c r="BZ42" i="10"/>
  <c r="BR42" i="10"/>
  <c r="AZ42" i="10"/>
  <c r="AS42" i="10"/>
  <c r="AM42" i="10"/>
  <c r="BS42" i="10"/>
  <c r="BI42" i="10"/>
  <c r="AO42" i="10"/>
  <c r="BY42" i="10"/>
  <c r="BP42" i="10"/>
  <c r="BK42" i="10"/>
  <c r="BD42" i="10"/>
  <c r="AY42" i="10"/>
  <c r="AQ42" i="10"/>
  <c r="CC42" i="10"/>
  <c r="BV42" i="10"/>
  <c r="BO42" i="10"/>
  <c r="AW42" i="10"/>
  <c r="AP42" i="10"/>
  <c r="BU42" i="10" s="1"/>
  <c r="AK42" i="10"/>
  <c r="CA42" i="10"/>
  <c r="BN42" i="10"/>
  <c r="BA42" i="10"/>
  <c r="AT42" i="10"/>
  <c r="AH42" i="10"/>
  <c r="BL42" i="10"/>
  <c r="BT41" i="10"/>
  <c r="AF42" i="10"/>
  <c r="AE41" i="10"/>
  <c r="B43" i="10"/>
  <c r="BW43" i="10" s="1"/>
  <c r="CD43" i="10" l="1"/>
  <c r="BJ43" i="10"/>
  <c r="BX42" i="10"/>
  <c r="AV42" i="10"/>
  <c r="BT42" i="10"/>
  <c r="BZ43" i="10"/>
  <c r="BV43" i="10"/>
  <c r="BQ43" i="10"/>
  <c r="BH43" i="10"/>
  <c r="BB43" i="10"/>
  <c r="AX43" i="10"/>
  <c r="AS43" i="10"/>
  <c r="AO43" i="10"/>
  <c r="AK43" i="10"/>
  <c r="BY43" i="10"/>
  <c r="BS43" i="10"/>
  <c r="BN43" i="10"/>
  <c r="BI43" i="10"/>
  <c r="BA43" i="10"/>
  <c r="AP43" i="10"/>
  <c r="BU43" i="10" s="1"/>
  <c r="AI43" i="10"/>
  <c r="CA43" i="10"/>
  <c r="BO43" i="10"/>
  <c r="AQ43" i="10"/>
  <c r="CC43" i="10"/>
  <c r="BR43" i="10"/>
  <c r="AZ43" i="10"/>
  <c r="AT43" i="10"/>
  <c r="AN43" i="10"/>
  <c r="AH43" i="10"/>
  <c r="CB43" i="10"/>
  <c r="BP43" i="10"/>
  <c r="BK43" i="10"/>
  <c r="BD43" i="10"/>
  <c r="AY43" i="10"/>
  <c r="AR43" i="10"/>
  <c r="AM43" i="10"/>
  <c r="AW43" i="10"/>
  <c r="BL43" i="10"/>
  <c r="AU42" i="10"/>
  <c r="BG42" i="10" s="1"/>
  <c r="AF43" i="10"/>
  <c r="AE42" i="10"/>
  <c r="B44" i="10"/>
  <c r="BW44" i="10" s="1"/>
  <c r="CD44" i="10" l="1"/>
  <c r="BJ44" i="10"/>
  <c r="AU43" i="10"/>
  <c r="BG43" i="10" s="1"/>
  <c r="AV43" i="10"/>
  <c r="BX43" i="10"/>
  <c r="BZ44" i="10"/>
  <c r="BV44" i="10"/>
  <c r="BR44" i="10"/>
  <c r="BN44" i="10"/>
  <c r="BI44" i="10"/>
  <c r="AY44" i="10"/>
  <c r="AQ44" i="10"/>
  <c r="AM44" i="10"/>
  <c r="AH44" i="10"/>
  <c r="CB44" i="10"/>
  <c r="BQ44" i="10"/>
  <c r="BK44" i="10"/>
  <c r="BD44" i="10"/>
  <c r="AZ44" i="10"/>
  <c r="AT44" i="10"/>
  <c r="AO44" i="10"/>
  <c r="AI44" i="10"/>
  <c r="BS44" i="10"/>
  <c r="CA44" i="10"/>
  <c r="BP44" i="10"/>
  <c r="AX44" i="10"/>
  <c r="AS44" i="10"/>
  <c r="AN44" i="10"/>
  <c r="CC44" i="10"/>
  <c r="BY44" i="10"/>
  <c r="BO44" i="10"/>
  <c r="BH44" i="10"/>
  <c r="BB44" i="10"/>
  <c r="AW44" i="10"/>
  <c r="AR44" i="10"/>
  <c r="BA44" i="10"/>
  <c r="AP44" i="10"/>
  <c r="BU44" i="10" s="1"/>
  <c r="AK44" i="10"/>
  <c r="BL44" i="10"/>
  <c r="BT43" i="10"/>
  <c r="AF44" i="10"/>
  <c r="B45" i="10"/>
  <c r="BW45" i="10" s="1"/>
  <c r="AE43" i="10"/>
  <c r="CD45" i="10" l="1"/>
  <c r="BJ45" i="10"/>
  <c r="BX44" i="10"/>
  <c r="BT44" i="10"/>
  <c r="AU44" i="10"/>
  <c r="BG44" i="10" s="1"/>
  <c r="AV44" i="10"/>
  <c r="CC45" i="10"/>
  <c r="BY45" i="10"/>
  <c r="BS45" i="10"/>
  <c r="BO45" i="10"/>
  <c r="BD45" i="10"/>
  <c r="AZ45" i="10"/>
  <c r="AQ45" i="10"/>
  <c r="AM45" i="10"/>
  <c r="AH45" i="10"/>
  <c r="BQ45" i="10"/>
  <c r="BK45" i="10"/>
  <c r="AX45" i="10"/>
  <c r="AR45" i="10"/>
  <c r="CB45" i="10"/>
  <c r="BV45" i="10"/>
  <c r="BP45" i="10"/>
  <c r="BI45" i="10"/>
  <c r="BB45" i="10"/>
  <c r="AW45" i="10"/>
  <c r="AP45" i="10"/>
  <c r="AK45" i="10"/>
  <c r="BR45" i="10"/>
  <c r="AY45" i="10"/>
  <c r="AS45" i="10"/>
  <c r="AN45" i="10"/>
  <c r="CA45" i="10"/>
  <c r="BN45" i="10"/>
  <c r="BH45" i="10"/>
  <c r="BA45" i="10"/>
  <c r="AT45" i="10"/>
  <c r="AO45" i="10"/>
  <c r="AI45" i="10"/>
  <c r="BZ45" i="10"/>
  <c r="BL45" i="10"/>
  <c r="AF45" i="10"/>
  <c r="AE44" i="10"/>
  <c r="B46" i="10"/>
  <c r="BW46" i="10" s="1"/>
  <c r="CD46" i="10" l="1"/>
  <c r="BJ46" i="10"/>
  <c r="AU45" i="10"/>
  <c r="BG45" i="10" s="1"/>
  <c r="BU45" i="10"/>
  <c r="AV45" i="10"/>
  <c r="BX45" i="10"/>
  <c r="BZ46" i="10"/>
  <c r="BS46" i="10"/>
  <c r="BO46" i="10"/>
  <c r="BD46" i="10"/>
  <c r="AZ46" i="10"/>
  <c r="AT46" i="10"/>
  <c r="AP46" i="10"/>
  <c r="BU46" i="10" s="1"/>
  <c r="CB46" i="10"/>
  <c r="BV46" i="10"/>
  <c r="BN46" i="10"/>
  <c r="BH46" i="10"/>
  <c r="BA46" i="10"/>
  <c r="AS46" i="10"/>
  <c r="AN46" i="10"/>
  <c r="AH46" i="10"/>
  <c r="BT46" i="10" s="1"/>
  <c r="CA46" i="10"/>
  <c r="BR46" i="10"/>
  <c r="AY46" i="10"/>
  <c r="AR46" i="10"/>
  <c r="AM46" i="10"/>
  <c r="CC46" i="10"/>
  <c r="BI46" i="10"/>
  <c r="AO46" i="10"/>
  <c r="BY46" i="10"/>
  <c r="BQ46" i="10"/>
  <c r="BK46" i="10"/>
  <c r="AX46" i="10"/>
  <c r="AQ46" i="10"/>
  <c r="AK46" i="10"/>
  <c r="BP46" i="10"/>
  <c r="BB46" i="10"/>
  <c r="AW46" i="10"/>
  <c r="AI46" i="10"/>
  <c r="BL46" i="10"/>
  <c r="BT45" i="10"/>
  <c r="AF46" i="10"/>
  <c r="B47" i="10"/>
  <c r="BW47" i="10" s="1"/>
  <c r="AE45" i="10"/>
  <c r="CD47" i="10" l="1"/>
  <c r="BJ47" i="10"/>
  <c r="BX46" i="10"/>
  <c r="AU46" i="10"/>
  <c r="BG46" i="10" s="1"/>
  <c r="AV46" i="10"/>
  <c r="CB47" i="10"/>
  <c r="BS47" i="10"/>
  <c r="BO47" i="10"/>
  <c r="BD47" i="10"/>
  <c r="AZ47" i="10"/>
  <c r="AQ47" i="10"/>
  <c r="AM47" i="10"/>
  <c r="AH47" i="10"/>
  <c r="CC47" i="10"/>
  <c r="BQ47" i="10"/>
  <c r="BK47" i="10"/>
  <c r="AX47" i="10"/>
  <c r="AR47" i="10"/>
  <c r="CA47" i="10"/>
  <c r="BV47" i="10"/>
  <c r="BP47" i="10"/>
  <c r="BI47" i="10"/>
  <c r="BB47" i="10"/>
  <c r="AW47" i="10"/>
  <c r="AP47" i="10"/>
  <c r="BU47" i="10" s="1"/>
  <c r="AK47" i="10"/>
  <c r="BY47" i="10"/>
  <c r="AS47" i="10"/>
  <c r="BZ47" i="10"/>
  <c r="BN47" i="10"/>
  <c r="BH47" i="10"/>
  <c r="BA47" i="10"/>
  <c r="AT47" i="10"/>
  <c r="AO47" i="10"/>
  <c r="AI47" i="10"/>
  <c r="BR47" i="10"/>
  <c r="AY47" i="10"/>
  <c r="AN47" i="10"/>
  <c r="BL47" i="10"/>
  <c r="AF47" i="10"/>
  <c r="AE46" i="10"/>
  <c r="B48" i="10"/>
  <c r="BW48" i="10" s="1"/>
  <c r="CD48" i="10" l="1"/>
  <c r="BJ48" i="10"/>
  <c r="BT47" i="10"/>
  <c r="AV47" i="10"/>
  <c r="AU47" i="10"/>
  <c r="BG47" i="10" s="1"/>
  <c r="CB48" i="10"/>
  <c r="BP48" i="10"/>
  <c r="BK48" i="10"/>
  <c r="BA48" i="10"/>
  <c r="AW48" i="10"/>
  <c r="AS48" i="10"/>
  <c r="AO48" i="10"/>
  <c r="AK48" i="10"/>
  <c r="BZ48" i="10"/>
  <c r="BO48" i="10"/>
  <c r="BI48" i="10"/>
  <c r="AX48" i="10"/>
  <c r="AR48" i="10"/>
  <c r="AM48" i="10"/>
  <c r="BQ48" i="10"/>
  <c r="BD48" i="10"/>
  <c r="AT48" i="10"/>
  <c r="AH48" i="10"/>
  <c r="BY48" i="10"/>
  <c r="BS48" i="10"/>
  <c r="BN48" i="10"/>
  <c r="BH48" i="10"/>
  <c r="BB48" i="10"/>
  <c r="AQ48" i="10"/>
  <c r="CA48" i="10"/>
  <c r="AY48" i="10"/>
  <c r="CC48" i="10"/>
  <c r="BR48" i="10"/>
  <c r="AZ48" i="10"/>
  <c r="AP48" i="10"/>
  <c r="BU48" i="10" s="1"/>
  <c r="AI48" i="10"/>
  <c r="BV48" i="10"/>
  <c r="AN48" i="10"/>
  <c r="BL48" i="10"/>
  <c r="BX47" i="10"/>
  <c r="AF48" i="10"/>
  <c r="B49" i="10"/>
  <c r="BW49" i="10" s="1"/>
  <c r="AE47" i="10"/>
  <c r="CD49" i="10" l="1"/>
  <c r="BJ49" i="10"/>
  <c r="AU48" i="10"/>
  <c r="BG48" i="10" s="1"/>
  <c r="BT48" i="10"/>
  <c r="AV48" i="10"/>
  <c r="BX48" i="10"/>
  <c r="CA49" i="10"/>
  <c r="BV49" i="10"/>
  <c r="BQ49" i="10"/>
  <c r="BH49" i="10"/>
  <c r="BB49" i="10"/>
  <c r="AX49" i="10"/>
  <c r="AS49" i="10"/>
  <c r="AO49" i="10"/>
  <c r="AK49" i="10"/>
  <c r="BZ49" i="10"/>
  <c r="BS49" i="10"/>
  <c r="BN49" i="10"/>
  <c r="BI49" i="10"/>
  <c r="BA49" i="10"/>
  <c r="AP49" i="10"/>
  <c r="AI49" i="10"/>
  <c r="CB49" i="10"/>
  <c r="BO49" i="10"/>
  <c r="AW49" i="10"/>
  <c r="BY49" i="10"/>
  <c r="BR49" i="10"/>
  <c r="AZ49" i="10"/>
  <c r="AT49" i="10"/>
  <c r="AN49" i="10"/>
  <c r="AH49" i="10"/>
  <c r="AQ49" i="10"/>
  <c r="CC49" i="10"/>
  <c r="BP49" i="10"/>
  <c r="BK49" i="10"/>
  <c r="BD49" i="10"/>
  <c r="AY49" i="10"/>
  <c r="AR49" i="10"/>
  <c r="AM49" i="10"/>
  <c r="BL49" i="10"/>
  <c r="AF49" i="10"/>
  <c r="B50" i="10"/>
  <c r="BW50" i="10" s="1"/>
  <c r="AE48" i="10"/>
  <c r="CD50" i="10" l="1"/>
  <c r="BJ50" i="10"/>
  <c r="BT49" i="10"/>
  <c r="AU49" i="10"/>
  <c r="BG49" i="10" s="1"/>
  <c r="BU49" i="10"/>
  <c r="BX49" i="10"/>
  <c r="AV49" i="10"/>
  <c r="CB50" i="10"/>
  <c r="BQ50" i="10"/>
  <c r="BH50" i="10"/>
  <c r="BB50" i="10"/>
  <c r="AX50" i="10"/>
  <c r="AR50" i="10"/>
  <c r="AN50" i="10"/>
  <c r="AI50" i="10"/>
  <c r="BZ50" i="10"/>
  <c r="BS50" i="10"/>
  <c r="BO50" i="10"/>
  <c r="BD50" i="10"/>
  <c r="AZ50" i="10"/>
  <c r="AT50" i="10"/>
  <c r="AP50" i="10"/>
  <c r="BU50" i="10" s="1"/>
  <c r="BV50" i="10"/>
  <c r="AS50" i="10"/>
  <c r="AK50" i="10"/>
  <c r="BN50" i="10"/>
  <c r="AW50" i="10"/>
  <c r="CC50" i="10"/>
  <c r="BR50" i="10"/>
  <c r="BK50" i="10"/>
  <c r="BA50" i="10"/>
  <c r="AQ50" i="10"/>
  <c r="AH50" i="10"/>
  <c r="BY50" i="10"/>
  <c r="AM50" i="10"/>
  <c r="CA50" i="10"/>
  <c r="BP50" i="10"/>
  <c r="BI50" i="10"/>
  <c r="AY50" i="10"/>
  <c r="AO50" i="10"/>
  <c r="BL50" i="10"/>
  <c r="AF50" i="10"/>
  <c r="AE49" i="10"/>
  <c r="B51" i="10"/>
  <c r="BW51" i="10" s="1"/>
  <c r="CD51" i="10" l="1"/>
  <c r="BJ51" i="10"/>
  <c r="BX50" i="10"/>
  <c r="BT50" i="10"/>
  <c r="AU50" i="10"/>
  <c r="BG50" i="10" s="1"/>
  <c r="AV50" i="10"/>
  <c r="BZ51" i="10"/>
  <c r="BV51" i="10"/>
  <c r="BQ51" i="10"/>
  <c r="BH51" i="10"/>
  <c r="BB51" i="10"/>
  <c r="AX51" i="10"/>
  <c r="AS51" i="10"/>
  <c r="AO51" i="10"/>
  <c r="AK51" i="10"/>
  <c r="CC51" i="10"/>
  <c r="BY51" i="10"/>
  <c r="BP51" i="10"/>
  <c r="BK51" i="10"/>
  <c r="BA51" i="10"/>
  <c r="AW51" i="10"/>
  <c r="AR51" i="10"/>
  <c r="AN51" i="10"/>
  <c r="CB51" i="10"/>
  <c r="BS51" i="10"/>
  <c r="BO51" i="10"/>
  <c r="BD51" i="10"/>
  <c r="AZ51" i="10"/>
  <c r="AQ51" i="10"/>
  <c r="AM51" i="10"/>
  <c r="AH51" i="10"/>
  <c r="CA51" i="10"/>
  <c r="AY51" i="10"/>
  <c r="AI51" i="10"/>
  <c r="BI51" i="10"/>
  <c r="AT51" i="10"/>
  <c r="BR51" i="10"/>
  <c r="AP51" i="10"/>
  <c r="BU51" i="10" s="1"/>
  <c r="BN51" i="10"/>
  <c r="BL51" i="10"/>
  <c r="AF51" i="10"/>
  <c r="AE50" i="10"/>
  <c r="B52" i="10"/>
  <c r="BW52" i="10" s="1"/>
  <c r="CD52" i="10" l="1"/>
  <c r="BJ52" i="10"/>
  <c r="BT51" i="10"/>
  <c r="BX51" i="10"/>
  <c r="AV51" i="10"/>
  <c r="BZ52" i="10"/>
  <c r="BV52" i="10"/>
  <c r="BR52" i="10"/>
  <c r="BN52" i="10"/>
  <c r="BI52" i="10"/>
  <c r="AY52" i="10"/>
  <c r="AQ52" i="10"/>
  <c r="AM52" i="10"/>
  <c r="AH52" i="10"/>
  <c r="CC52" i="10"/>
  <c r="BY52" i="10"/>
  <c r="BQ52" i="10"/>
  <c r="BH52" i="10"/>
  <c r="BB52" i="10"/>
  <c r="AX52" i="10"/>
  <c r="AT52" i="10"/>
  <c r="AP52" i="10"/>
  <c r="BU52" i="10" s="1"/>
  <c r="CB52" i="10"/>
  <c r="BP52" i="10"/>
  <c r="BK52" i="10"/>
  <c r="BA52" i="10"/>
  <c r="AW52" i="10"/>
  <c r="AS52" i="10"/>
  <c r="AO52" i="10"/>
  <c r="AK52" i="10"/>
  <c r="BS52" i="10"/>
  <c r="BO52" i="10"/>
  <c r="BD52" i="10"/>
  <c r="AR52" i="10"/>
  <c r="CA52" i="10"/>
  <c r="AN52" i="10"/>
  <c r="AZ52" i="10"/>
  <c r="AI52" i="10"/>
  <c r="BL52" i="10"/>
  <c r="AU51" i="10"/>
  <c r="BG51" i="10" s="1"/>
  <c r="AF52" i="10"/>
  <c r="AE51" i="10"/>
  <c r="B53" i="10"/>
  <c r="BW53" i="10" s="1"/>
  <c r="CD53" i="10" l="1"/>
  <c r="BJ53" i="10"/>
  <c r="BX52" i="10"/>
  <c r="AV52" i="10"/>
  <c r="BT52" i="10"/>
  <c r="AU52" i="10"/>
  <c r="BG52" i="10" s="1"/>
  <c r="CC53" i="10"/>
  <c r="BY53" i="10"/>
  <c r="BS53" i="10"/>
  <c r="BO53" i="10"/>
  <c r="BD53" i="10"/>
  <c r="AZ53" i="10"/>
  <c r="AQ53" i="10"/>
  <c r="AM53" i="10"/>
  <c r="AH53" i="10"/>
  <c r="CB53" i="10"/>
  <c r="BR53" i="10"/>
  <c r="BN53" i="10"/>
  <c r="BI53" i="10"/>
  <c r="AY53" i="10"/>
  <c r="AT53" i="10"/>
  <c r="AP53" i="10"/>
  <c r="CA53" i="10"/>
  <c r="BV53" i="10"/>
  <c r="BQ53" i="10"/>
  <c r="BH53" i="10"/>
  <c r="BB53" i="10"/>
  <c r="AX53" i="10"/>
  <c r="AS53" i="10"/>
  <c r="AO53" i="10"/>
  <c r="AK53" i="10"/>
  <c r="BP53" i="10"/>
  <c r="AN53" i="10"/>
  <c r="BA53" i="10"/>
  <c r="AI53" i="10"/>
  <c r="BZ53" i="10"/>
  <c r="BK53" i="10"/>
  <c r="AW53" i="10"/>
  <c r="AR53" i="10"/>
  <c r="BL53" i="10"/>
  <c r="AF53" i="10"/>
  <c r="AE52" i="10"/>
  <c r="B54" i="10"/>
  <c r="BW54" i="10" s="1"/>
  <c r="CD54" i="10" l="1"/>
  <c r="BJ54" i="10"/>
  <c r="BZ54" i="10"/>
  <c r="BS54" i="10"/>
  <c r="BO54" i="10"/>
  <c r="BD54" i="10"/>
  <c r="AZ54" i="10"/>
  <c r="AT54" i="10"/>
  <c r="AP54" i="10"/>
  <c r="BU54" i="10" s="1"/>
  <c r="CC54" i="10"/>
  <c r="BY54" i="10"/>
  <c r="BR54" i="10"/>
  <c r="BN54" i="10"/>
  <c r="BI54" i="10"/>
  <c r="AY54" i="10"/>
  <c r="AS54" i="10"/>
  <c r="AO54" i="10"/>
  <c r="AK54" i="10"/>
  <c r="CB54" i="10"/>
  <c r="BQ54" i="10"/>
  <c r="BH54" i="10"/>
  <c r="BB54" i="10"/>
  <c r="AX54" i="10"/>
  <c r="AR54" i="10"/>
  <c r="AN54" i="10"/>
  <c r="AI54" i="10"/>
  <c r="BP54" i="10"/>
  <c r="AM54" i="10"/>
  <c r="BA54" i="10"/>
  <c r="AH54" i="10"/>
  <c r="CA54" i="10"/>
  <c r="BK54" i="10"/>
  <c r="AW54" i="10"/>
  <c r="BV54" i="10"/>
  <c r="AQ54" i="10"/>
  <c r="BL54" i="10"/>
  <c r="AU53" i="10"/>
  <c r="BG53" i="10" s="1"/>
  <c r="BU53" i="10"/>
  <c r="BX53" i="10"/>
  <c r="BT53" i="10"/>
  <c r="AV53" i="10"/>
  <c r="AF54" i="10"/>
  <c r="B55" i="10"/>
  <c r="BW55" i="10" s="1"/>
  <c r="AE53" i="10"/>
  <c r="CD55" i="10" l="1"/>
  <c r="BJ55" i="10"/>
  <c r="BX54" i="10"/>
  <c r="CB55" i="10"/>
  <c r="BS55" i="10"/>
  <c r="BO55" i="10"/>
  <c r="BD55" i="10"/>
  <c r="AZ55" i="10"/>
  <c r="AQ55" i="10"/>
  <c r="AM55" i="10"/>
  <c r="AH55" i="10"/>
  <c r="BT55" i="10" s="1"/>
  <c r="CA55" i="10"/>
  <c r="BR55" i="10"/>
  <c r="BN55" i="10"/>
  <c r="BI55" i="10"/>
  <c r="AY55" i="10"/>
  <c r="AT55" i="10"/>
  <c r="AP55" i="10"/>
  <c r="BU55" i="10" s="1"/>
  <c r="BZ55" i="10"/>
  <c r="BV55" i="10"/>
  <c r="BQ55" i="10"/>
  <c r="BH55" i="10"/>
  <c r="BB55" i="10"/>
  <c r="AX55" i="10"/>
  <c r="AS55" i="10"/>
  <c r="AO55" i="10"/>
  <c r="AK55" i="10"/>
  <c r="BP55" i="10"/>
  <c r="AN55" i="10"/>
  <c r="CC55" i="10"/>
  <c r="BA55" i="10"/>
  <c r="AI55" i="10"/>
  <c r="BY55" i="10"/>
  <c r="BK55" i="10"/>
  <c r="AW55" i="10"/>
  <c r="AR55" i="10"/>
  <c r="BL55" i="10"/>
  <c r="AU54" i="10"/>
  <c r="BG54" i="10" s="1"/>
  <c r="AV54" i="10"/>
  <c r="BT54" i="10"/>
  <c r="AF55" i="10"/>
  <c r="B56" i="10"/>
  <c r="BW56" i="10" s="1"/>
  <c r="AE54" i="10"/>
  <c r="CD56" i="10" l="1"/>
  <c r="BJ56" i="10"/>
  <c r="AV55" i="10"/>
  <c r="AU55" i="10"/>
  <c r="BG55" i="10" s="1"/>
  <c r="CB56" i="10"/>
  <c r="BP56" i="10"/>
  <c r="BK56" i="10"/>
  <c r="BA56" i="10"/>
  <c r="AW56" i="10"/>
  <c r="AS56" i="10"/>
  <c r="AO56" i="10"/>
  <c r="AK56" i="10"/>
  <c r="CA56" i="10"/>
  <c r="BS56" i="10"/>
  <c r="BO56" i="10"/>
  <c r="BD56" i="10"/>
  <c r="AZ56" i="10"/>
  <c r="AR56" i="10"/>
  <c r="AN56" i="10"/>
  <c r="AI56" i="10"/>
  <c r="BZ56" i="10"/>
  <c r="BV56" i="10"/>
  <c r="BR56" i="10"/>
  <c r="BN56" i="10"/>
  <c r="BI56" i="10"/>
  <c r="AY56" i="10"/>
  <c r="AQ56" i="10"/>
  <c r="AM56" i="10"/>
  <c r="AH56" i="10"/>
  <c r="CC56" i="10"/>
  <c r="BB56" i="10"/>
  <c r="BQ56" i="10"/>
  <c r="BY56" i="10"/>
  <c r="BH56" i="10"/>
  <c r="AX56" i="10"/>
  <c r="AT56" i="10"/>
  <c r="AP56" i="10"/>
  <c r="BU56" i="10" s="1"/>
  <c r="BL56" i="10"/>
  <c r="BX55" i="10"/>
  <c r="AF56" i="10"/>
  <c r="AE55" i="10"/>
  <c r="B57" i="10"/>
  <c r="BW57" i="10" s="1"/>
  <c r="CD57" i="10" l="1"/>
  <c r="BJ57" i="10"/>
  <c r="BX56" i="10"/>
  <c r="BT56" i="10"/>
  <c r="AV56" i="10"/>
  <c r="CA57" i="10"/>
  <c r="BV57" i="10"/>
  <c r="BQ57" i="10"/>
  <c r="BH57" i="10"/>
  <c r="BB57" i="10"/>
  <c r="AX57" i="10"/>
  <c r="AS57" i="10"/>
  <c r="AO57" i="10"/>
  <c r="AK57" i="10"/>
  <c r="BZ57" i="10"/>
  <c r="BP57" i="10"/>
  <c r="BK57" i="10"/>
  <c r="BA57" i="10"/>
  <c r="AW57" i="10"/>
  <c r="AR57" i="10"/>
  <c r="AN57" i="10"/>
  <c r="AI57" i="10"/>
  <c r="CC57" i="10"/>
  <c r="BY57" i="10"/>
  <c r="BS57" i="10"/>
  <c r="BO57" i="10"/>
  <c r="BD57" i="10"/>
  <c r="AZ57" i="10"/>
  <c r="AQ57" i="10"/>
  <c r="AM57" i="10"/>
  <c r="AH57" i="10"/>
  <c r="CB57" i="10"/>
  <c r="AY57" i="10"/>
  <c r="BI57" i="10"/>
  <c r="AT57" i="10"/>
  <c r="BR57" i="10"/>
  <c r="AP57" i="10"/>
  <c r="AV57" i="10" s="1"/>
  <c r="BN57" i="10"/>
  <c r="BL57" i="10"/>
  <c r="AU56" i="10"/>
  <c r="BG56" i="10" s="1"/>
  <c r="AF57" i="10"/>
  <c r="B58" i="10"/>
  <c r="BW58" i="10" s="1"/>
  <c r="AE56" i="10"/>
  <c r="CD58" i="10" l="1"/>
  <c r="BJ58" i="10"/>
  <c r="BT57" i="10"/>
  <c r="BX57" i="10"/>
  <c r="CB58" i="10"/>
  <c r="BQ58" i="10"/>
  <c r="BH58" i="10"/>
  <c r="BB58" i="10"/>
  <c r="AX58" i="10"/>
  <c r="AR58" i="10"/>
  <c r="AN58" i="10"/>
  <c r="AI58" i="10"/>
  <c r="CA58" i="10"/>
  <c r="BV58" i="10"/>
  <c r="BP58" i="10"/>
  <c r="BK58" i="10"/>
  <c r="BA58" i="10"/>
  <c r="AW58" i="10"/>
  <c r="AQ58" i="10"/>
  <c r="AM58" i="10"/>
  <c r="AH58" i="10"/>
  <c r="BZ58" i="10"/>
  <c r="BS58" i="10"/>
  <c r="BO58" i="10"/>
  <c r="BD58" i="10"/>
  <c r="AZ58" i="10"/>
  <c r="AT58" i="10"/>
  <c r="AP58" i="10"/>
  <c r="BU58" i="10" s="1"/>
  <c r="CC58" i="10"/>
  <c r="AY58" i="10"/>
  <c r="AK58" i="10"/>
  <c r="BY58" i="10"/>
  <c r="BI58" i="10"/>
  <c r="AS58" i="10"/>
  <c r="BN58" i="10"/>
  <c r="BR58" i="10"/>
  <c r="AO58" i="10"/>
  <c r="BL58" i="10"/>
  <c r="AU57" i="10"/>
  <c r="BG57" i="10" s="1"/>
  <c r="BU57" i="10"/>
  <c r="AF58" i="10"/>
  <c r="B59" i="10"/>
  <c r="BW59" i="10" s="1"/>
  <c r="AE57" i="10"/>
  <c r="CD59" i="10" l="1"/>
  <c r="BJ59" i="10"/>
  <c r="BX58" i="10"/>
  <c r="AV58" i="10"/>
  <c r="BT58" i="10"/>
  <c r="BZ59" i="10"/>
  <c r="BV59" i="10"/>
  <c r="BQ59" i="10"/>
  <c r="BH59" i="10"/>
  <c r="BB59" i="10"/>
  <c r="AX59" i="10"/>
  <c r="AS59" i="10"/>
  <c r="AO59" i="10"/>
  <c r="AK59" i="10"/>
  <c r="CC59" i="10"/>
  <c r="BY59" i="10"/>
  <c r="BP59" i="10"/>
  <c r="BK59" i="10"/>
  <c r="BA59" i="10"/>
  <c r="AW59" i="10"/>
  <c r="AR59" i="10"/>
  <c r="AN59" i="10"/>
  <c r="AI59" i="10"/>
  <c r="CB59" i="10"/>
  <c r="BS59" i="10"/>
  <c r="BO59" i="10"/>
  <c r="BD59" i="10"/>
  <c r="AZ59" i="10"/>
  <c r="AQ59" i="10"/>
  <c r="AM59" i="10"/>
  <c r="AH59" i="10"/>
  <c r="CA59" i="10"/>
  <c r="AY59" i="10"/>
  <c r="BI59" i="10"/>
  <c r="AT59" i="10"/>
  <c r="BR59" i="10"/>
  <c r="AP59" i="10"/>
  <c r="BU59" i="10" s="1"/>
  <c r="BN59" i="10"/>
  <c r="BL59" i="10"/>
  <c r="AU58" i="10"/>
  <c r="BG58" i="10" s="1"/>
  <c r="AF59" i="10"/>
  <c r="AE58" i="10"/>
  <c r="B60" i="10"/>
  <c r="BW60" i="10" s="1"/>
  <c r="CD60" i="10" l="1"/>
  <c r="BJ60" i="10"/>
  <c r="AV59" i="10"/>
  <c r="AU59" i="10"/>
  <c r="BG59" i="10" s="1"/>
  <c r="BZ60" i="10"/>
  <c r="BV60" i="10"/>
  <c r="BR60" i="10"/>
  <c r="BN60" i="10"/>
  <c r="BI60" i="10"/>
  <c r="AY60" i="10"/>
  <c r="AQ60" i="10"/>
  <c r="AM60" i="10"/>
  <c r="AH60" i="10"/>
  <c r="CC60" i="10"/>
  <c r="BY60" i="10"/>
  <c r="BQ60" i="10"/>
  <c r="BH60" i="10"/>
  <c r="BB60" i="10"/>
  <c r="AX60" i="10"/>
  <c r="AT60" i="10"/>
  <c r="AP60" i="10"/>
  <c r="BU60" i="10" s="1"/>
  <c r="CB60" i="10"/>
  <c r="BP60" i="10"/>
  <c r="BK60" i="10"/>
  <c r="BA60" i="10"/>
  <c r="AW60" i="10"/>
  <c r="AS60" i="10"/>
  <c r="AO60" i="10"/>
  <c r="AK60" i="10"/>
  <c r="BS60" i="10"/>
  <c r="BO60" i="10"/>
  <c r="BD60" i="10"/>
  <c r="AR60" i="10"/>
  <c r="AI60" i="10"/>
  <c r="CA60" i="10"/>
  <c r="AN60" i="10"/>
  <c r="AZ60" i="10"/>
  <c r="BL60" i="10"/>
  <c r="BX59" i="10"/>
  <c r="BT59" i="10"/>
  <c r="AF60" i="10"/>
  <c r="AE59" i="10"/>
  <c r="B61" i="10"/>
  <c r="BW61" i="10" s="1"/>
  <c r="CD61" i="10" l="1"/>
  <c r="BJ61" i="10"/>
  <c r="BX60" i="10"/>
  <c r="BT60" i="10"/>
  <c r="AV60" i="10"/>
  <c r="AU60" i="10"/>
  <c r="BG60" i="10" s="1"/>
  <c r="CC61" i="10"/>
  <c r="BY61" i="10"/>
  <c r="BS61" i="10"/>
  <c r="BO61" i="10"/>
  <c r="BD61" i="10"/>
  <c r="AZ61" i="10"/>
  <c r="AQ61" i="10"/>
  <c r="AM61" i="10"/>
  <c r="AH61" i="10"/>
  <c r="CB61" i="10"/>
  <c r="BR61" i="10"/>
  <c r="BN61" i="10"/>
  <c r="BI61" i="10"/>
  <c r="AY61" i="10"/>
  <c r="AT61" i="10"/>
  <c r="AP61" i="10"/>
  <c r="CA61" i="10"/>
  <c r="BV61" i="10"/>
  <c r="BQ61" i="10"/>
  <c r="BH61" i="10"/>
  <c r="BB61" i="10"/>
  <c r="AX61" i="10"/>
  <c r="AS61" i="10"/>
  <c r="AO61" i="10"/>
  <c r="AK61" i="10"/>
  <c r="BP61" i="10"/>
  <c r="AN61" i="10"/>
  <c r="BA61" i="10"/>
  <c r="AI61" i="10"/>
  <c r="BZ61" i="10"/>
  <c r="BK61" i="10"/>
  <c r="AW61" i="10"/>
  <c r="AR61" i="10"/>
  <c r="BL61" i="10"/>
  <c r="AF61" i="10"/>
  <c r="AE60" i="10"/>
  <c r="B62" i="10"/>
  <c r="BW62" i="10" s="1"/>
  <c r="CD62" i="10" l="1"/>
  <c r="BJ62" i="10"/>
  <c r="BT61" i="10"/>
  <c r="AU61" i="10"/>
  <c r="BG61" i="10" s="1"/>
  <c r="BU61" i="10"/>
  <c r="BZ62" i="10"/>
  <c r="BS62" i="10"/>
  <c r="BO62" i="10"/>
  <c r="BD62" i="10"/>
  <c r="AZ62" i="10"/>
  <c r="AT62" i="10"/>
  <c r="AP62" i="10"/>
  <c r="BU62" i="10" s="1"/>
  <c r="CC62" i="10"/>
  <c r="BY62" i="10"/>
  <c r="BR62" i="10"/>
  <c r="BN62" i="10"/>
  <c r="BI62" i="10"/>
  <c r="AY62" i="10"/>
  <c r="AS62" i="10"/>
  <c r="AO62" i="10"/>
  <c r="AK62" i="10"/>
  <c r="CB62" i="10"/>
  <c r="BQ62" i="10"/>
  <c r="BH62" i="10"/>
  <c r="BB62" i="10"/>
  <c r="AX62" i="10"/>
  <c r="AR62" i="10"/>
  <c r="AN62" i="10"/>
  <c r="AI62" i="10"/>
  <c r="BP62" i="10"/>
  <c r="AM62" i="10"/>
  <c r="BA62" i="10"/>
  <c r="AH62" i="10"/>
  <c r="CA62" i="10"/>
  <c r="BK62" i="10"/>
  <c r="AW62" i="10"/>
  <c r="BV62" i="10"/>
  <c r="AQ62" i="10"/>
  <c r="BL62" i="10"/>
  <c r="BX61" i="10"/>
  <c r="AV61" i="10"/>
  <c r="AF62" i="10"/>
  <c r="B63" i="10"/>
  <c r="BW63" i="10" s="1"/>
  <c r="AE61" i="10"/>
  <c r="CD63" i="10" l="1"/>
  <c r="BJ63" i="10"/>
  <c r="BX62" i="10"/>
  <c r="AU62" i="10"/>
  <c r="BG62" i="10" s="1"/>
  <c r="AV62" i="10"/>
  <c r="CB63" i="10"/>
  <c r="BS63" i="10"/>
  <c r="BO63" i="10"/>
  <c r="BD63" i="10"/>
  <c r="AZ63" i="10"/>
  <c r="AQ63" i="10"/>
  <c r="AM63" i="10"/>
  <c r="AH63" i="10"/>
  <c r="CA63" i="10"/>
  <c r="BR63" i="10"/>
  <c r="BN63" i="10"/>
  <c r="BI63" i="10"/>
  <c r="AY63" i="10"/>
  <c r="AT63" i="10"/>
  <c r="AP63" i="10"/>
  <c r="BU63" i="10" s="1"/>
  <c r="BZ63" i="10"/>
  <c r="BV63" i="10"/>
  <c r="BQ63" i="10"/>
  <c r="BH63" i="10"/>
  <c r="BB63" i="10"/>
  <c r="AX63" i="10"/>
  <c r="AS63" i="10"/>
  <c r="AO63" i="10"/>
  <c r="AK63" i="10"/>
  <c r="BP63" i="10"/>
  <c r="AN63" i="10"/>
  <c r="CC63" i="10"/>
  <c r="BA63" i="10"/>
  <c r="AI63" i="10"/>
  <c r="BY63" i="10"/>
  <c r="BK63" i="10"/>
  <c r="AW63" i="10"/>
  <c r="AR63" i="10"/>
  <c r="BL63" i="10"/>
  <c r="BT62" i="10"/>
  <c r="AF63" i="10"/>
  <c r="AE62" i="10"/>
  <c r="B64" i="10"/>
  <c r="BW64" i="10" s="1"/>
  <c r="CD64" i="10" l="1"/>
  <c r="BJ64" i="10"/>
  <c r="BT63" i="10"/>
  <c r="AV63" i="10"/>
  <c r="AU63" i="10"/>
  <c r="BG63" i="10" s="1"/>
  <c r="BX63" i="10"/>
  <c r="CB64" i="10"/>
  <c r="BP64" i="10"/>
  <c r="BK64" i="10"/>
  <c r="BA64" i="10"/>
  <c r="AW64" i="10"/>
  <c r="AS64" i="10"/>
  <c r="AO64" i="10"/>
  <c r="AK64" i="10"/>
  <c r="CA64" i="10"/>
  <c r="BS64" i="10"/>
  <c r="BO64" i="10"/>
  <c r="BD64" i="10"/>
  <c r="AZ64" i="10"/>
  <c r="AR64" i="10"/>
  <c r="AN64" i="10"/>
  <c r="AI64" i="10"/>
  <c r="BZ64" i="10"/>
  <c r="BV64" i="10"/>
  <c r="BR64" i="10"/>
  <c r="BN64" i="10"/>
  <c r="BI64" i="10"/>
  <c r="AY64" i="10"/>
  <c r="AQ64" i="10"/>
  <c r="AM64" i="10"/>
  <c r="AH64" i="10"/>
  <c r="CC64" i="10"/>
  <c r="BB64" i="10"/>
  <c r="BY64" i="10"/>
  <c r="BH64" i="10"/>
  <c r="AX64" i="10"/>
  <c r="BQ64" i="10"/>
  <c r="AT64" i="10"/>
  <c r="AP64" i="10"/>
  <c r="BU64" i="10" s="1"/>
  <c r="BL64" i="10"/>
  <c r="AF64" i="10"/>
  <c r="AE63" i="10"/>
  <c r="B65" i="10"/>
  <c r="BW65" i="10" s="1"/>
  <c r="CD65" i="10" l="1"/>
  <c r="BJ65" i="10"/>
  <c r="BX64" i="10"/>
  <c r="AV64" i="10"/>
  <c r="CA65" i="10"/>
  <c r="BV65" i="10"/>
  <c r="BQ65" i="10"/>
  <c r="BH65" i="10"/>
  <c r="BB65" i="10"/>
  <c r="AX65" i="10"/>
  <c r="AS65" i="10"/>
  <c r="AO65" i="10"/>
  <c r="AK65" i="10"/>
  <c r="BZ65" i="10"/>
  <c r="BP65" i="10"/>
  <c r="BK65" i="10"/>
  <c r="BA65" i="10"/>
  <c r="AW65" i="10"/>
  <c r="AR65" i="10"/>
  <c r="AN65" i="10"/>
  <c r="AI65" i="10"/>
  <c r="CC65" i="10"/>
  <c r="BY65" i="10"/>
  <c r="BS65" i="10"/>
  <c r="BO65" i="10"/>
  <c r="BD65" i="10"/>
  <c r="AZ65" i="10"/>
  <c r="AQ65" i="10"/>
  <c r="AM65" i="10"/>
  <c r="AH65" i="10"/>
  <c r="CB65" i="10"/>
  <c r="AY65" i="10"/>
  <c r="BI65" i="10"/>
  <c r="AT65" i="10"/>
  <c r="BR65" i="10"/>
  <c r="AP65" i="10"/>
  <c r="BN65" i="10"/>
  <c r="BL65" i="10"/>
  <c r="AU64" i="10"/>
  <c r="BG64" i="10" s="1"/>
  <c r="BT64" i="10"/>
  <c r="AF65" i="10"/>
  <c r="B66" i="10"/>
  <c r="BW66" i="10" s="1"/>
  <c r="AE64" i="10"/>
  <c r="CD66" i="10" l="1"/>
  <c r="BJ66" i="10"/>
  <c r="BT65" i="10"/>
  <c r="AU65" i="10"/>
  <c r="BG65" i="10" s="1"/>
  <c r="BU65" i="10"/>
  <c r="AV65" i="10"/>
  <c r="CB66" i="10"/>
  <c r="BQ66" i="10"/>
  <c r="BH66" i="10"/>
  <c r="BB66" i="10"/>
  <c r="AX66" i="10"/>
  <c r="AR66" i="10"/>
  <c r="AN66" i="10"/>
  <c r="AI66" i="10"/>
  <c r="CA66" i="10"/>
  <c r="BV66" i="10"/>
  <c r="BP66" i="10"/>
  <c r="BK66" i="10"/>
  <c r="BA66" i="10"/>
  <c r="AW66" i="10"/>
  <c r="AQ66" i="10"/>
  <c r="AM66" i="10"/>
  <c r="AH66" i="10"/>
  <c r="BZ66" i="10"/>
  <c r="BS66" i="10"/>
  <c r="BO66" i="10"/>
  <c r="BD66" i="10"/>
  <c r="AZ66" i="10"/>
  <c r="AT66" i="10"/>
  <c r="AP66" i="10"/>
  <c r="BU66" i="10" s="1"/>
  <c r="CC66" i="10"/>
  <c r="AY66" i="10"/>
  <c r="BY66" i="10"/>
  <c r="BI66" i="10"/>
  <c r="AS66" i="10"/>
  <c r="BN66" i="10"/>
  <c r="BR66" i="10"/>
  <c r="AO66" i="10"/>
  <c r="AK66" i="10"/>
  <c r="BL66" i="10"/>
  <c r="BX65" i="10"/>
  <c r="AF66" i="10"/>
  <c r="AE65" i="10"/>
  <c r="B67" i="10"/>
  <c r="BW67" i="10" s="1"/>
  <c r="CD67" i="10" l="1"/>
  <c r="BJ67" i="10"/>
  <c r="BX66" i="10"/>
  <c r="AV66" i="10"/>
  <c r="BT66" i="10"/>
  <c r="AU66" i="10"/>
  <c r="BG66" i="10" s="1"/>
  <c r="BZ67" i="10"/>
  <c r="BV67" i="10"/>
  <c r="BQ67" i="10"/>
  <c r="BH67" i="10"/>
  <c r="BB67" i="10"/>
  <c r="AX67" i="10"/>
  <c r="AS67" i="10"/>
  <c r="AO67" i="10"/>
  <c r="AK67" i="10"/>
  <c r="CC67" i="10"/>
  <c r="BY67" i="10"/>
  <c r="BP67" i="10"/>
  <c r="BK67" i="10"/>
  <c r="BA67" i="10"/>
  <c r="AW67" i="10"/>
  <c r="AR67" i="10"/>
  <c r="AN67" i="10"/>
  <c r="AI67" i="10"/>
  <c r="CB67" i="10"/>
  <c r="BS67" i="10"/>
  <c r="BO67" i="10"/>
  <c r="BD67" i="10"/>
  <c r="AZ67" i="10"/>
  <c r="AQ67" i="10"/>
  <c r="AM67" i="10"/>
  <c r="AH67" i="10"/>
  <c r="CA67" i="10"/>
  <c r="AY67" i="10"/>
  <c r="BI67" i="10"/>
  <c r="AT67" i="10"/>
  <c r="BR67" i="10"/>
  <c r="AP67" i="10"/>
  <c r="BU67" i="10" s="1"/>
  <c r="BN67" i="10"/>
  <c r="BL67" i="10"/>
  <c r="AF67" i="10"/>
  <c r="B68" i="10"/>
  <c r="BW68" i="10" s="1"/>
  <c r="AE66" i="10"/>
  <c r="CD68" i="10" l="1"/>
  <c r="BJ68" i="10"/>
  <c r="AV67" i="10"/>
  <c r="AU67" i="10"/>
  <c r="BG67" i="10" s="1"/>
  <c r="BZ68" i="10"/>
  <c r="BV68" i="10"/>
  <c r="BR68" i="10"/>
  <c r="BN68" i="10"/>
  <c r="BI68" i="10"/>
  <c r="AY68" i="10"/>
  <c r="AQ68" i="10"/>
  <c r="AM68" i="10"/>
  <c r="AH68" i="10"/>
  <c r="CC68" i="10"/>
  <c r="BY68" i="10"/>
  <c r="BQ68" i="10"/>
  <c r="BH68" i="10"/>
  <c r="BB68" i="10"/>
  <c r="AX68" i="10"/>
  <c r="AT68" i="10"/>
  <c r="AP68" i="10"/>
  <c r="BU68" i="10" s="1"/>
  <c r="CB68" i="10"/>
  <c r="BP68" i="10"/>
  <c r="BK68" i="10"/>
  <c r="BA68" i="10"/>
  <c r="AW68" i="10"/>
  <c r="AS68" i="10"/>
  <c r="AO68" i="10"/>
  <c r="AK68" i="10"/>
  <c r="BS68" i="10"/>
  <c r="BO68" i="10"/>
  <c r="BD68" i="10"/>
  <c r="AR68" i="10"/>
  <c r="CA68" i="10"/>
  <c r="AN68" i="10"/>
  <c r="AZ68" i="10"/>
  <c r="AI68" i="10"/>
  <c r="BL68" i="10"/>
  <c r="BX67" i="10"/>
  <c r="BT67" i="10"/>
  <c r="AF68" i="10"/>
  <c r="AE67" i="10"/>
  <c r="B69" i="10"/>
  <c r="BW69" i="10" s="1"/>
  <c r="CD69" i="10" l="1"/>
  <c r="BJ69" i="10"/>
  <c r="BX68" i="10"/>
  <c r="BT68" i="10"/>
  <c r="AV68" i="10"/>
  <c r="AU68" i="10"/>
  <c r="BG68" i="10" s="1"/>
  <c r="CC69" i="10"/>
  <c r="BY69" i="10"/>
  <c r="BS69" i="10"/>
  <c r="BO69" i="10"/>
  <c r="BD69" i="10"/>
  <c r="AZ69" i="10"/>
  <c r="AQ69" i="10"/>
  <c r="AM69" i="10"/>
  <c r="AH69" i="10"/>
  <c r="CB69" i="10"/>
  <c r="BR69" i="10"/>
  <c r="BN69" i="10"/>
  <c r="BI69" i="10"/>
  <c r="AY69" i="10"/>
  <c r="AT69" i="10"/>
  <c r="AP69" i="10"/>
  <c r="AV69" i="10" s="1"/>
  <c r="CA69" i="10"/>
  <c r="BV69" i="10"/>
  <c r="BQ69" i="10"/>
  <c r="BH69" i="10"/>
  <c r="BB69" i="10"/>
  <c r="AX69" i="10"/>
  <c r="AS69" i="10"/>
  <c r="AO69" i="10"/>
  <c r="AK69" i="10"/>
  <c r="BP69" i="10"/>
  <c r="AN69" i="10"/>
  <c r="BA69" i="10"/>
  <c r="AI69" i="10"/>
  <c r="BZ69" i="10"/>
  <c r="BK69" i="10"/>
  <c r="AW69" i="10"/>
  <c r="AR69" i="10"/>
  <c r="BL69" i="10"/>
  <c r="AF69" i="10"/>
  <c r="AE68" i="10"/>
  <c r="B70" i="10"/>
  <c r="BW70" i="10" s="1"/>
  <c r="CD70" i="10" l="1"/>
  <c r="BJ70" i="10"/>
  <c r="BT69" i="10"/>
  <c r="BZ70" i="10"/>
  <c r="BS70" i="10"/>
  <c r="BO70" i="10"/>
  <c r="BD70" i="10"/>
  <c r="AZ70" i="10"/>
  <c r="AT70" i="10"/>
  <c r="AP70" i="10"/>
  <c r="BU70" i="10" s="1"/>
  <c r="CC70" i="10"/>
  <c r="BY70" i="10"/>
  <c r="BR70" i="10"/>
  <c r="BN70" i="10"/>
  <c r="BI70" i="10"/>
  <c r="AY70" i="10"/>
  <c r="AS70" i="10"/>
  <c r="AO70" i="10"/>
  <c r="AK70" i="10"/>
  <c r="CB70" i="10"/>
  <c r="BQ70" i="10"/>
  <c r="BH70" i="10"/>
  <c r="BB70" i="10"/>
  <c r="AX70" i="10"/>
  <c r="AR70" i="10"/>
  <c r="AN70" i="10"/>
  <c r="AI70" i="10"/>
  <c r="BP70" i="10"/>
  <c r="AM70" i="10"/>
  <c r="BV70" i="10"/>
  <c r="AQ70" i="10"/>
  <c r="BA70" i="10"/>
  <c r="AH70" i="10"/>
  <c r="CA70" i="10"/>
  <c r="BK70" i="10"/>
  <c r="AW70" i="10"/>
  <c r="BL70" i="10"/>
  <c r="AU69" i="10"/>
  <c r="BG69" i="10" s="1"/>
  <c r="BU69" i="10"/>
  <c r="BX69" i="10"/>
  <c r="AF70" i="10"/>
  <c r="AE69" i="10"/>
  <c r="B71" i="10"/>
  <c r="BW71" i="10" s="1"/>
  <c r="CD71" i="10" l="1"/>
  <c r="BJ71" i="10"/>
  <c r="BX70" i="10"/>
  <c r="BT70" i="10"/>
  <c r="AV70" i="10"/>
  <c r="CB71" i="10"/>
  <c r="BS71" i="10"/>
  <c r="BO71" i="10"/>
  <c r="BD71" i="10"/>
  <c r="AZ71" i="10"/>
  <c r="AQ71" i="10"/>
  <c r="AM71" i="10"/>
  <c r="AH71" i="10"/>
  <c r="CA71" i="10"/>
  <c r="BR71" i="10"/>
  <c r="BN71" i="10"/>
  <c r="BI71" i="10"/>
  <c r="AY71" i="10"/>
  <c r="AT71" i="10"/>
  <c r="AP71" i="10"/>
  <c r="BU71" i="10" s="1"/>
  <c r="BZ71" i="10"/>
  <c r="BV71" i="10"/>
  <c r="BQ71" i="10"/>
  <c r="BH71" i="10"/>
  <c r="BB71" i="10"/>
  <c r="AX71" i="10"/>
  <c r="AS71" i="10"/>
  <c r="AO71" i="10"/>
  <c r="AK71" i="10"/>
  <c r="BP71" i="10"/>
  <c r="AN71" i="10"/>
  <c r="CC71" i="10"/>
  <c r="BA71" i="10"/>
  <c r="AI71" i="10"/>
  <c r="BY71" i="10"/>
  <c r="BK71" i="10"/>
  <c r="AW71" i="10"/>
  <c r="AR71" i="10"/>
  <c r="BL71" i="10"/>
  <c r="AU70" i="10"/>
  <c r="BG70" i="10" s="1"/>
  <c r="AF71" i="10"/>
  <c r="AE70" i="10"/>
  <c r="B72" i="10"/>
  <c r="BW72" i="10" s="1"/>
  <c r="CD72" i="10" l="1"/>
  <c r="BJ72" i="10"/>
  <c r="BT71" i="10"/>
  <c r="AV71" i="10"/>
  <c r="AU71" i="10"/>
  <c r="BG71" i="10" s="1"/>
  <c r="BX71" i="10"/>
  <c r="CB72" i="10"/>
  <c r="BP72" i="10"/>
  <c r="BK72" i="10"/>
  <c r="BA72" i="10"/>
  <c r="AW72" i="10"/>
  <c r="AS72" i="10"/>
  <c r="AO72" i="10"/>
  <c r="AK72" i="10"/>
  <c r="CA72" i="10"/>
  <c r="BS72" i="10"/>
  <c r="BO72" i="10"/>
  <c r="BD72" i="10"/>
  <c r="AZ72" i="10"/>
  <c r="AR72" i="10"/>
  <c r="AN72" i="10"/>
  <c r="AI72" i="10"/>
  <c r="BZ72" i="10"/>
  <c r="BV72" i="10"/>
  <c r="BR72" i="10"/>
  <c r="BN72" i="10"/>
  <c r="BI72" i="10"/>
  <c r="AY72" i="10"/>
  <c r="AQ72" i="10"/>
  <c r="AM72" i="10"/>
  <c r="AH72" i="10"/>
  <c r="CC72" i="10"/>
  <c r="BB72" i="10"/>
  <c r="AP72" i="10"/>
  <c r="BU72" i="10" s="1"/>
  <c r="BY72" i="10"/>
  <c r="BH72" i="10"/>
  <c r="AX72" i="10"/>
  <c r="AT72" i="10"/>
  <c r="BQ72" i="10"/>
  <c r="BL72" i="10"/>
  <c r="AF72" i="10"/>
  <c r="AE71" i="10"/>
  <c r="B73" i="10"/>
  <c r="BW73" i="10" s="1"/>
  <c r="CD73" i="10" l="1"/>
  <c r="BJ73" i="10"/>
  <c r="BX72" i="10"/>
  <c r="AV72" i="10"/>
  <c r="CA73" i="10"/>
  <c r="BV73" i="10"/>
  <c r="BQ73" i="10"/>
  <c r="BH73" i="10"/>
  <c r="BB73" i="10"/>
  <c r="AX73" i="10"/>
  <c r="AS73" i="10"/>
  <c r="AO73" i="10"/>
  <c r="AK73" i="10"/>
  <c r="BZ73" i="10"/>
  <c r="BP73" i="10"/>
  <c r="BK73" i="10"/>
  <c r="BA73" i="10"/>
  <c r="AW73" i="10"/>
  <c r="AR73" i="10"/>
  <c r="AN73" i="10"/>
  <c r="AI73" i="10"/>
  <c r="CC73" i="10"/>
  <c r="BY73" i="10"/>
  <c r="BS73" i="10"/>
  <c r="BO73" i="10"/>
  <c r="BD73" i="10"/>
  <c r="AZ73" i="10"/>
  <c r="AQ73" i="10"/>
  <c r="AM73" i="10"/>
  <c r="AH73" i="10"/>
  <c r="CB73" i="10"/>
  <c r="AY73" i="10"/>
  <c r="BI73" i="10"/>
  <c r="AT73" i="10"/>
  <c r="BR73" i="10"/>
  <c r="AP73" i="10"/>
  <c r="BN73" i="10"/>
  <c r="BL73" i="10"/>
  <c r="AU72" i="10"/>
  <c r="BG72" i="10" s="1"/>
  <c r="BT72" i="10"/>
  <c r="AF73" i="10"/>
  <c r="AE72" i="10"/>
  <c r="B74" i="10"/>
  <c r="BW74" i="10" s="1"/>
  <c r="CD74" i="10" l="1"/>
  <c r="BJ74" i="10"/>
  <c r="BT73" i="10"/>
  <c r="AU73" i="10"/>
  <c r="BG73" i="10" s="1"/>
  <c r="BU73" i="10"/>
  <c r="BX73" i="10"/>
  <c r="CB74" i="10"/>
  <c r="BQ74" i="10"/>
  <c r="BH74" i="10"/>
  <c r="BB74" i="10"/>
  <c r="AX74" i="10"/>
  <c r="AR74" i="10"/>
  <c r="AN74" i="10"/>
  <c r="AI74" i="10"/>
  <c r="CA74" i="10"/>
  <c r="BV74" i="10"/>
  <c r="BP74" i="10"/>
  <c r="BK74" i="10"/>
  <c r="BA74" i="10"/>
  <c r="AW74" i="10"/>
  <c r="AQ74" i="10"/>
  <c r="AM74" i="10"/>
  <c r="AH74" i="10"/>
  <c r="BZ74" i="10"/>
  <c r="BS74" i="10"/>
  <c r="BO74" i="10"/>
  <c r="BD74" i="10"/>
  <c r="AZ74" i="10"/>
  <c r="AT74" i="10"/>
  <c r="AP74" i="10"/>
  <c r="BU74" i="10" s="1"/>
  <c r="CC74" i="10"/>
  <c r="AY74" i="10"/>
  <c r="BY74" i="10"/>
  <c r="BI74" i="10"/>
  <c r="AS74" i="10"/>
  <c r="BR74" i="10"/>
  <c r="AO74" i="10"/>
  <c r="BN74" i="10"/>
  <c r="AK74" i="10"/>
  <c r="BL74" i="10"/>
  <c r="AV73" i="10"/>
  <c r="AF74" i="10"/>
  <c r="AE73" i="10"/>
  <c r="B75" i="10"/>
  <c r="BW75" i="10" s="1"/>
  <c r="CD75" i="10" l="1"/>
  <c r="BJ75" i="10"/>
  <c r="BX74" i="10"/>
  <c r="BT74" i="10"/>
  <c r="AU74" i="10"/>
  <c r="BG74" i="10" s="1"/>
  <c r="BZ75" i="10"/>
  <c r="BV75" i="10"/>
  <c r="BQ75" i="10"/>
  <c r="BH75" i="10"/>
  <c r="BB75" i="10"/>
  <c r="AX75" i="10"/>
  <c r="AS75" i="10"/>
  <c r="AO75" i="10"/>
  <c r="AK75" i="10"/>
  <c r="CC75" i="10"/>
  <c r="BY75" i="10"/>
  <c r="BP75" i="10"/>
  <c r="BK75" i="10"/>
  <c r="BA75" i="10"/>
  <c r="AW75" i="10"/>
  <c r="AR75" i="10"/>
  <c r="AN75" i="10"/>
  <c r="AI75" i="10"/>
  <c r="CB75" i="10"/>
  <c r="BS75" i="10"/>
  <c r="BO75" i="10"/>
  <c r="BD75" i="10"/>
  <c r="AZ75" i="10"/>
  <c r="AQ75" i="10"/>
  <c r="AM75" i="10"/>
  <c r="AH75" i="10"/>
  <c r="CA75" i="10"/>
  <c r="AY75" i="10"/>
  <c r="BI75" i="10"/>
  <c r="AT75" i="10"/>
  <c r="BR75" i="10"/>
  <c r="AP75" i="10"/>
  <c r="BU75" i="10" s="1"/>
  <c r="BN75" i="10"/>
  <c r="BL75" i="10"/>
  <c r="AV74" i="10"/>
  <c r="AF75" i="10"/>
  <c r="AE74" i="10"/>
  <c r="B76" i="10"/>
  <c r="BW76" i="10" s="1"/>
  <c r="CD76" i="10" l="1"/>
  <c r="BJ76" i="10"/>
  <c r="BT75" i="10"/>
  <c r="AV75" i="10"/>
  <c r="AU75" i="10"/>
  <c r="BG75" i="10" s="1"/>
  <c r="BZ76" i="10"/>
  <c r="BV76" i="10"/>
  <c r="BR76" i="10"/>
  <c r="BN76" i="10"/>
  <c r="BI76" i="10"/>
  <c r="AY76" i="10"/>
  <c r="AQ76" i="10"/>
  <c r="AM76" i="10"/>
  <c r="AH76" i="10"/>
  <c r="CC76" i="10"/>
  <c r="BY76" i="10"/>
  <c r="BQ76" i="10"/>
  <c r="BH76" i="10"/>
  <c r="BB76" i="10"/>
  <c r="AX76" i="10"/>
  <c r="AT76" i="10"/>
  <c r="AP76" i="10"/>
  <c r="BU76" i="10" s="1"/>
  <c r="CB76" i="10"/>
  <c r="BP76" i="10"/>
  <c r="BK76" i="10"/>
  <c r="BA76" i="10"/>
  <c r="AW76" i="10"/>
  <c r="AS76" i="10"/>
  <c r="AO76" i="10"/>
  <c r="AK76" i="10"/>
  <c r="BS76" i="10"/>
  <c r="BO76" i="10"/>
  <c r="BD76" i="10"/>
  <c r="AR76" i="10"/>
  <c r="CA76" i="10"/>
  <c r="AN76" i="10"/>
  <c r="AZ76" i="10"/>
  <c r="AI76" i="10"/>
  <c r="BL76" i="10"/>
  <c r="BX75" i="10"/>
  <c r="AF76" i="10"/>
  <c r="AE75" i="10"/>
  <c r="B77" i="10"/>
  <c r="BW77" i="10" s="1"/>
  <c r="CD77" i="10" l="1"/>
  <c r="BJ77" i="10"/>
  <c r="BX76" i="10"/>
  <c r="BT76" i="10"/>
  <c r="CC77" i="10"/>
  <c r="BY77" i="10"/>
  <c r="BS77" i="10"/>
  <c r="BO77" i="10"/>
  <c r="BD77" i="10"/>
  <c r="AZ77" i="10"/>
  <c r="AQ77" i="10"/>
  <c r="AM77" i="10"/>
  <c r="AH77" i="10"/>
  <c r="CB77" i="10"/>
  <c r="BR77" i="10"/>
  <c r="BN77" i="10"/>
  <c r="BI77" i="10"/>
  <c r="AY77" i="10"/>
  <c r="AT77" i="10"/>
  <c r="AP77" i="10"/>
  <c r="CA77" i="10"/>
  <c r="BV77" i="10"/>
  <c r="BQ77" i="10"/>
  <c r="BH77" i="10"/>
  <c r="BB77" i="10"/>
  <c r="AX77" i="10"/>
  <c r="AS77" i="10"/>
  <c r="AO77" i="10"/>
  <c r="AK77" i="10"/>
  <c r="BP77" i="10"/>
  <c r="AN77" i="10"/>
  <c r="BA77" i="10"/>
  <c r="AI77" i="10"/>
  <c r="BZ77" i="10"/>
  <c r="BK77" i="10"/>
  <c r="AW77" i="10"/>
  <c r="AR77" i="10"/>
  <c r="BL77" i="10"/>
  <c r="AV76" i="10"/>
  <c r="AU76" i="10"/>
  <c r="BG76" i="10" s="1"/>
  <c r="AF77" i="10"/>
  <c r="AE76" i="10"/>
  <c r="B78" i="10"/>
  <c r="BW78" i="10" s="1"/>
  <c r="CD78" i="10" l="1"/>
  <c r="BJ78" i="10"/>
  <c r="BX77" i="10"/>
  <c r="BT77" i="10"/>
  <c r="AU77" i="10"/>
  <c r="BG77" i="10" s="1"/>
  <c r="BU77" i="10"/>
  <c r="BZ78" i="10"/>
  <c r="BS78" i="10"/>
  <c r="BO78" i="10"/>
  <c r="BD78" i="10"/>
  <c r="AZ78" i="10"/>
  <c r="AT78" i="10"/>
  <c r="AP78" i="10"/>
  <c r="BU78" i="10" s="1"/>
  <c r="CC78" i="10"/>
  <c r="BY78" i="10"/>
  <c r="BR78" i="10"/>
  <c r="BN78" i="10"/>
  <c r="BI78" i="10"/>
  <c r="AY78" i="10"/>
  <c r="AS78" i="10"/>
  <c r="AO78" i="10"/>
  <c r="AK78" i="10"/>
  <c r="CB78" i="10"/>
  <c r="BQ78" i="10"/>
  <c r="BH78" i="10"/>
  <c r="BB78" i="10"/>
  <c r="AX78" i="10"/>
  <c r="AR78" i="10"/>
  <c r="AN78" i="10"/>
  <c r="AI78" i="10"/>
  <c r="BP78" i="10"/>
  <c r="AM78" i="10"/>
  <c r="BV78" i="10"/>
  <c r="AQ78" i="10"/>
  <c r="BA78" i="10"/>
  <c r="AH78" i="10"/>
  <c r="CA78" i="10"/>
  <c r="BK78" i="10"/>
  <c r="AW78" i="10"/>
  <c r="BL78" i="10"/>
  <c r="AV77" i="10"/>
  <c r="AF78" i="10"/>
  <c r="AE77" i="10"/>
  <c r="B79" i="10"/>
  <c r="BW79" i="10" s="1"/>
  <c r="CD79" i="10" l="1"/>
  <c r="BJ79" i="10"/>
  <c r="BX78" i="10"/>
  <c r="AU78" i="10"/>
  <c r="BG78" i="10" s="1"/>
  <c r="AV78" i="10"/>
  <c r="BT78" i="10"/>
  <c r="CB79" i="10"/>
  <c r="BS79" i="10"/>
  <c r="BO79" i="10"/>
  <c r="BD79" i="10"/>
  <c r="AZ79" i="10"/>
  <c r="AQ79" i="10"/>
  <c r="AM79" i="10"/>
  <c r="AH79" i="10"/>
  <c r="BT79" i="10" s="1"/>
  <c r="CA79" i="10"/>
  <c r="BR79" i="10"/>
  <c r="BN79" i="10"/>
  <c r="BI79" i="10"/>
  <c r="AY79" i="10"/>
  <c r="AT79" i="10"/>
  <c r="AP79" i="10"/>
  <c r="BU79" i="10" s="1"/>
  <c r="BZ79" i="10"/>
  <c r="BV79" i="10"/>
  <c r="BQ79" i="10"/>
  <c r="BH79" i="10"/>
  <c r="BB79" i="10"/>
  <c r="AX79" i="10"/>
  <c r="AS79" i="10"/>
  <c r="AO79" i="10"/>
  <c r="AK79" i="10"/>
  <c r="BP79" i="10"/>
  <c r="AN79" i="10"/>
  <c r="CC79" i="10"/>
  <c r="BA79" i="10"/>
  <c r="AI79" i="10"/>
  <c r="AR79" i="10"/>
  <c r="BY79" i="10"/>
  <c r="BK79" i="10"/>
  <c r="AW79" i="10"/>
  <c r="BL79" i="10"/>
  <c r="AF79" i="10"/>
  <c r="AE78" i="10"/>
  <c r="B80" i="10"/>
  <c r="BW80" i="10" s="1"/>
  <c r="CD80" i="10" l="1"/>
  <c r="BJ80" i="10"/>
  <c r="AV79" i="10"/>
  <c r="AU79" i="10"/>
  <c r="BG79" i="10" s="1"/>
  <c r="CB80" i="10"/>
  <c r="BP80" i="10"/>
  <c r="BK80" i="10"/>
  <c r="BA80" i="10"/>
  <c r="AW80" i="10"/>
  <c r="AS80" i="10"/>
  <c r="AO80" i="10"/>
  <c r="AK80" i="10"/>
  <c r="CA80" i="10"/>
  <c r="BS80" i="10"/>
  <c r="BO80" i="10"/>
  <c r="BD80" i="10"/>
  <c r="AZ80" i="10"/>
  <c r="AR80" i="10"/>
  <c r="AN80" i="10"/>
  <c r="AI80" i="10"/>
  <c r="BZ80" i="10"/>
  <c r="BV80" i="10"/>
  <c r="BR80" i="10"/>
  <c r="BN80" i="10"/>
  <c r="BI80" i="10"/>
  <c r="AY80" i="10"/>
  <c r="AQ80" i="10"/>
  <c r="AM80" i="10"/>
  <c r="AH80" i="10"/>
  <c r="CC80" i="10"/>
  <c r="BB80" i="10"/>
  <c r="BQ80" i="10"/>
  <c r="BY80" i="10"/>
  <c r="BH80" i="10"/>
  <c r="AX80" i="10"/>
  <c r="AP80" i="10"/>
  <c r="BU80" i="10" s="1"/>
  <c r="AT80" i="10"/>
  <c r="BL80" i="10"/>
  <c r="BX79" i="10"/>
  <c r="AF80" i="10"/>
  <c r="AE79" i="10"/>
  <c r="B81" i="10"/>
  <c r="BW81" i="10" s="1"/>
  <c r="CD81" i="10" l="1"/>
  <c r="BJ81" i="10"/>
  <c r="BT80" i="10"/>
  <c r="AV80" i="10"/>
  <c r="BX80" i="10"/>
  <c r="CA81" i="10"/>
  <c r="BV81" i="10"/>
  <c r="BQ81" i="10"/>
  <c r="BH81" i="10"/>
  <c r="BB81" i="10"/>
  <c r="AX81" i="10"/>
  <c r="AS81" i="10"/>
  <c r="AO81" i="10"/>
  <c r="AK81" i="10"/>
  <c r="BZ81" i="10"/>
  <c r="BP81" i="10"/>
  <c r="BK81" i="10"/>
  <c r="BA81" i="10"/>
  <c r="AW81" i="10"/>
  <c r="AR81" i="10"/>
  <c r="AN81" i="10"/>
  <c r="AI81" i="10"/>
  <c r="CC81" i="10"/>
  <c r="BY81" i="10"/>
  <c r="BS81" i="10"/>
  <c r="BO81" i="10"/>
  <c r="BD81" i="10"/>
  <c r="AZ81" i="10"/>
  <c r="AQ81" i="10"/>
  <c r="AM81" i="10"/>
  <c r="AH81" i="10"/>
  <c r="CB81" i="10"/>
  <c r="AY81" i="10"/>
  <c r="BI81" i="10"/>
  <c r="AT81" i="10"/>
  <c r="BN81" i="10"/>
  <c r="BR81" i="10"/>
  <c r="AP81" i="10"/>
  <c r="BL81" i="10"/>
  <c r="AU80" i="10"/>
  <c r="BG80" i="10" s="1"/>
  <c r="AF81" i="10"/>
  <c r="AE80" i="10"/>
  <c r="B82" i="10"/>
  <c r="BW82" i="10" s="1"/>
  <c r="CD82" i="10" l="1"/>
  <c r="BJ82" i="10"/>
  <c r="BX81" i="10"/>
  <c r="CB82" i="10"/>
  <c r="BQ82" i="10"/>
  <c r="BH82" i="10"/>
  <c r="BB82" i="10"/>
  <c r="AX82" i="10"/>
  <c r="AR82" i="10"/>
  <c r="AN82" i="10"/>
  <c r="AI82" i="10"/>
  <c r="CA82" i="10"/>
  <c r="BV82" i="10"/>
  <c r="BP82" i="10"/>
  <c r="BK82" i="10"/>
  <c r="BA82" i="10"/>
  <c r="AW82" i="10"/>
  <c r="AQ82" i="10"/>
  <c r="AM82" i="10"/>
  <c r="AH82" i="10"/>
  <c r="BZ82" i="10"/>
  <c r="BS82" i="10"/>
  <c r="BO82" i="10"/>
  <c r="BD82" i="10"/>
  <c r="AZ82" i="10"/>
  <c r="AT82" i="10"/>
  <c r="AP82" i="10"/>
  <c r="BU82" i="10" s="1"/>
  <c r="CC82" i="10"/>
  <c r="AY82" i="10"/>
  <c r="BY82" i="10"/>
  <c r="BI82" i="10"/>
  <c r="AS82" i="10"/>
  <c r="BN82" i="10"/>
  <c r="BR82" i="10"/>
  <c r="AO82" i="10"/>
  <c r="AK82" i="10"/>
  <c r="BL82" i="10"/>
  <c r="AU81" i="10"/>
  <c r="BG81" i="10" s="1"/>
  <c r="BU81" i="10"/>
  <c r="BT81" i="10"/>
  <c r="AV81" i="10"/>
  <c r="AF82" i="10"/>
  <c r="AE81" i="10"/>
  <c r="B83" i="10"/>
  <c r="BW83" i="10" s="1"/>
  <c r="CD83" i="10" l="1"/>
  <c r="BJ83" i="10"/>
  <c r="AU82" i="10"/>
  <c r="BG82" i="10" s="1"/>
  <c r="AV82" i="10"/>
  <c r="BX82" i="10"/>
  <c r="BZ83" i="10"/>
  <c r="BV83" i="10"/>
  <c r="BQ83" i="10"/>
  <c r="BH83" i="10"/>
  <c r="BB83" i="10"/>
  <c r="AX83" i="10"/>
  <c r="AS83" i="10"/>
  <c r="AO83" i="10"/>
  <c r="AK83" i="10"/>
  <c r="CC83" i="10"/>
  <c r="BY83" i="10"/>
  <c r="BP83" i="10"/>
  <c r="BK83" i="10"/>
  <c r="BA83" i="10"/>
  <c r="AW83" i="10"/>
  <c r="AR83" i="10"/>
  <c r="AN83" i="10"/>
  <c r="AI83" i="10"/>
  <c r="CB83" i="10"/>
  <c r="BS83" i="10"/>
  <c r="BO83" i="10"/>
  <c r="BD83" i="10"/>
  <c r="AZ83" i="10"/>
  <c r="AQ83" i="10"/>
  <c r="AM83" i="10"/>
  <c r="AH83" i="10"/>
  <c r="CA83" i="10"/>
  <c r="AY83" i="10"/>
  <c r="BI83" i="10"/>
  <c r="AT83" i="10"/>
  <c r="BN83" i="10"/>
  <c r="BR83" i="10"/>
  <c r="AP83" i="10"/>
  <c r="BU83" i="10" s="1"/>
  <c r="BL83" i="10"/>
  <c r="BT82" i="10"/>
  <c r="AF83" i="10"/>
  <c r="AE82" i="10"/>
  <c r="B84" i="10"/>
  <c r="BW84" i="10" s="1"/>
  <c r="CD84" i="10" l="1"/>
  <c r="BJ84" i="10"/>
  <c r="BT83" i="10"/>
  <c r="AV83" i="10"/>
  <c r="BX83" i="10"/>
  <c r="AU83" i="10"/>
  <c r="BG83" i="10" s="1"/>
  <c r="BZ84" i="10"/>
  <c r="BV84" i="10"/>
  <c r="BR84" i="10"/>
  <c r="BN84" i="10"/>
  <c r="BI84" i="10"/>
  <c r="AY84" i="10"/>
  <c r="AQ84" i="10"/>
  <c r="AM84" i="10"/>
  <c r="AH84" i="10"/>
  <c r="CC84" i="10"/>
  <c r="BY84" i="10"/>
  <c r="BQ84" i="10"/>
  <c r="BH84" i="10"/>
  <c r="BB84" i="10"/>
  <c r="AX84" i="10"/>
  <c r="AT84" i="10"/>
  <c r="AP84" i="10"/>
  <c r="BU84" i="10" s="1"/>
  <c r="CB84" i="10"/>
  <c r="BP84" i="10"/>
  <c r="BK84" i="10"/>
  <c r="BA84" i="10"/>
  <c r="AW84" i="10"/>
  <c r="AS84" i="10"/>
  <c r="AO84" i="10"/>
  <c r="AK84" i="10"/>
  <c r="BS84" i="10"/>
  <c r="BO84" i="10"/>
  <c r="BD84" i="10"/>
  <c r="AR84" i="10"/>
  <c r="CA84" i="10"/>
  <c r="AN84" i="10"/>
  <c r="AZ84" i="10"/>
  <c r="AI84" i="10"/>
  <c r="BL84" i="10"/>
  <c r="AF84" i="10"/>
  <c r="AE83" i="10"/>
  <c r="B85" i="10"/>
  <c r="BW85" i="10" s="1"/>
  <c r="CD85" i="10" l="1"/>
  <c r="BJ85" i="10"/>
  <c r="BT84" i="10"/>
  <c r="AV84" i="10"/>
  <c r="AU84" i="10"/>
  <c r="BG84" i="10" s="1"/>
  <c r="CB85" i="10"/>
  <c r="BR85" i="10"/>
  <c r="BN85" i="10"/>
  <c r="BI85" i="10"/>
  <c r="AY85" i="10"/>
  <c r="AQ85" i="10"/>
  <c r="AM85" i="10"/>
  <c r="AH85" i="10"/>
  <c r="CA85" i="10"/>
  <c r="BV85" i="10"/>
  <c r="BQ85" i="10"/>
  <c r="BH85" i="10"/>
  <c r="BB85" i="10"/>
  <c r="AX85" i="10"/>
  <c r="AT85" i="10"/>
  <c r="AP85" i="10"/>
  <c r="BU85" i="10" s="1"/>
  <c r="BZ85" i="10"/>
  <c r="BP85" i="10"/>
  <c r="BK85" i="10"/>
  <c r="BA85" i="10"/>
  <c r="AW85" i="10"/>
  <c r="AS85" i="10"/>
  <c r="AO85" i="10"/>
  <c r="AK85" i="10"/>
  <c r="CC85" i="10"/>
  <c r="AN85" i="10"/>
  <c r="BY85" i="10"/>
  <c r="AZ85" i="10"/>
  <c r="AI85" i="10"/>
  <c r="BO85" i="10"/>
  <c r="BS85" i="10"/>
  <c r="BD85" i="10"/>
  <c r="AR85" i="10"/>
  <c r="BL85" i="10"/>
  <c r="BX84" i="10"/>
  <c r="AF85" i="10"/>
  <c r="AE84" i="10"/>
  <c r="B86" i="10"/>
  <c r="BW86" i="10" s="1"/>
  <c r="CD86" i="10" l="1"/>
  <c r="BJ86" i="10"/>
  <c r="BT85" i="10"/>
  <c r="AV85" i="10"/>
  <c r="AU85" i="10"/>
  <c r="BG85" i="10" s="1"/>
  <c r="CC86" i="10"/>
  <c r="BY86" i="10"/>
  <c r="BR86" i="10"/>
  <c r="BN86" i="10"/>
  <c r="BI86" i="10"/>
  <c r="AY86" i="10"/>
  <c r="AS86" i="10"/>
  <c r="AO86" i="10"/>
  <c r="AK86" i="10"/>
  <c r="CB86" i="10"/>
  <c r="BQ86" i="10"/>
  <c r="BH86" i="10"/>
  <c r="BB86" i="10"/>
  <c r="AX86" i="10"/>
  <c r="AR86" i="10"/>
  <c r="AN86" i="10"/>
  <c r="AI86" i="10"/>
  <c r="CA86" i="10"/>
  <c r="BV86" i="10"/>
  <c r="BP86" i="10"/>
  <c r="BK86" i="10"/>
  <c r="BA86" i="10"/>
  <c r="AW86" i="10"/>
  <c r="AQ86" i="10"/>
  <c r="AM86" i="10"/>
  <c r="AH86" i="10"/>
  <c r="BZ86" i="10"/>
  <c r="AZ86" i="10"/>
  <c r="BS86" i="10"/>
  <c r="AT86" i="10"/>
  <c r="BO86" i="10"/>
  <c r="BD86" i="10"/>
  <c r="AP86" i="10"/>
  <c r="BU86" i="10" s="1"/>
  <c r="BL86" i="10"/>
  <c r="BX85" i="10"/>
  <c r="AF86" i="10"/>
  <c r="AE85" i="10"/>
  <c r="B87" i="10"/>
  <c r="BW87" i="10" s="1"/>
  <c r="CD87" i="10" l="1"/>
  <c r="BJ87" i="10"/>
  <c r="BX86" i="10"/>
  <c r="AV86" i="10"/>
  <c r="BT86" i="10"/>
  <c r="CA87" i="10"/>
  <c r="BR87" i="10"/>
  <c r="BN87" i="10"/>
  <c r="BI87" i="10"/>
  <c r="AY87" i="10"/>
  <c r="AT87" i="10"/>
  <c r="AP87" i="10"/>
  <c r="BU87" i="10" s="1"/>
  <c r="BZ87" i="10"/>
  <c r="BV87" i="10"/>
  <c r="BQ87" i="10"/>
  <c r="BH87" i="10"/>
  <c r="BB87" i="10"/>
  <c r="AX87" i="10"/>
  <c r="AS87" i="10"/>
  <c r="AO87" i="10"/>
  <c r="AK87" i="10"/>
  <c r="CC87" i="10"/>
  <c r="BY87" i="10"/>
  <c r="BP87" i="10"/>
  <c r="BK87" i="10"/>
  <c r="BA87" i="10"/>
  <c r="AW87" i="10"/>
  <c r="AR87" i="10"/>
  <c r="AN87" i="10"/>
  <c r="AI87" i="10"/>
  <c r="BS87" i="10"/>
  <c r="BO87" i="10"/>
  <c r="BD87" i="10"/>
  <c r="AQ87" i="10"/>
  <c r="AH87" i="10"/>
  <c r="CB87" i="10"/>
  <c r="AM87" i="10"/>
  <c r="AZ87" i="10"/>
  <c r="BL87" i="10"/>
  <c r="AU86" i="10"/>
  <c r="BG86" i="10" s="1"/>
  <c r="AF87" i="10"/>
  <c r="AE86" i="10"/>
  <c r="B88" i="10"/>
  <c r="BW88" i="10" s="1"/>
  <c r="CD88" i="10" l="1"/>
  <c r="BJ88" i="10"/>
  <c r="AV87" i="10"/>
  <c r="AU87" i="10"/>
  <c r="BG87" i="10" s="1"/>
  <c r="CA88" i="10"/>
  <c r="BS88" i="10"/>
  <c r="BO88" i="10"/>
  <c r="BD88" i="10"/>
  <c r="AZ88" i="10"/>
  <c r="AR88" i="10"/>
  <c r="AN88" i="10"/>
  <c r="AI88" i="10"/>
  <c r="BZ88" i="10"/>
  <c r="BV88" i="10"/>
  <c r="BR88" i="10"/>
  <c r="BN88" i="10"/>
  <c r="BI88" i="10"/>
  <c r="AY88" i="10"/>
  <c r="AQ88" i="10"/>
  <c r="AM88" i="10"/>
  <c r="AH88" i="10"/>
  <c r="CC88" i="10"/>
  <c r="BY88" i="10"/>
  <c r="BQ88" i="10"/>
  <c r="BH88" i="10"/>
  <c r="BB88" i="10"/>
  <c r="AX88" i="10"/>
  <c r="AT88" i="10"/>
  <c r="AP88" i="10"/>
  <c r="BU88" i="10" s="1"/>
  <c r="BP88" i="10"/>
  <c r="AO88" i="10"/>
  <c r="CB88" i="10"/>
  <c r="BA88" i="10"/>
  <c r="AK88" i="10"/>
  <c r="BK88" i="10"/>
  <c r="AW88" i="10"/>
  <c r="AS88" i="10"/>
  <c r="BL88" i="10"/>
  <c r="BT87" i="10"/>
  <c r="BX87" i="10"/>
  <c r="AF88" i="10"/>
  <c r="AE87" i="10"/>
  <c r="B89" i="10"/>
  <c r="BW89" i="10" s="1"/>
  <c r="CD89" i="10" l="1"/>
  <c r="BJ89" i="10"/>
  <c r="BT88" i="10"/>
  <c r="BX88" i="10"/>
  <c r="AV88" i="10"/>
  <c r="CC89" i="10"/>
  <c r="BY89" i="10"/>
  <c r="BS89" i="10"/>
  <c r="BO89" i="10"/>
  <c r="BD89" i="10"/>
  <c r="AZ89" i="10"/>
  <c r="AR89" i="10"/>
  <c r="AN89" i="10"/>
  <c r="AI89" i="10"/>
  <c r="CB89" i="10"/>
  <c r="BR89" i="10"/>
  <c r="BN89" i="10"/>
  <c r="BI89" i="10"/>
  <c r="AY89" i="10"/>
  <c r="AQ89" i="10"/>
  <c r="AM89" i="10"/>
  <c r="AH89" i="10"/>
  <c r="CA89" i="10"/>
  <c r="BV89" i="10"/>
  <c r="BQ89" i="10"/>
  <c r="BH89" i="10"/>
  <c r="BB89" i="10"/>
  <c r="AX89" i="10"/>
  <c r="AT89" i="10"/>
  <c r="AP89" i="10"/>
  <c r="BU89" i="10" s="1"/>
  <c r="BA89" i="10"/>
  <c r="AK89" i="10"/>
  <c r="BZ89" i="10"/>
  <c r="BK89" i="10"/>
  <c r="AW89" i="10"/>
  <c r="AS89" i="10"/>
  <c r="BP89" i="10"/>
  <c r="AO89" i="10"/>
  <c r="BL89" i="10"/>
  <c r="AU88" i="10"/>
  <c r="BG88" i="10" s="1"/>
  <c r="AF89" i="10"/>
  <c r="AE88" i="10"/>
  <c r="B90" i="10"/>
  <c r="BW90" i="10" s="1"/>
  <c r="CD90" i="10" l="1"/>
  <c r="BJ90" i="10"/>
  <c r="BT89" i="10"/>
  <c r="AU89" i="10"/>
  <c r="BG89" i="10" s="1"/>
  <c r="BX89" i="10"/>
  <c r="BZ90" i="10"/>
  <c r="BS90" i="10"/>
  <c r="BO90" i="10"/>
  <c r="BD90" i="10"/>
  <c r="AZ90" i="10"/>
  <c r="AT90" i="10"/>
  <c r="AP90" i="10"/>
  <c r="BU90" i="10" s="1"/>
  <c r="CC90" i="10"/>
  <c r="BY90" i="10"/>
  <c r="BR90" i="10"/>
  <c r="BN90" i="10"/>
  <c r="BI90" i="10"/>
  <c r="AY90" i="10"/>
  <c r="AS90" i="10"/>
  <c r="AO90" i="10"/>
  <c r="AK90" i="10"/>
  <c r="CB90" i="10"/>
  <c r="BQ90" i="10"/>
  <c r="BH90" i="10"/>
  <c r="BB90" i="10"/>
  <c r="AX90" i="10"/>
  <c r="AR90" i="10"/>
  <c r="AN90" i="10"/>
  <c r="AI90" i="10"/>
  <c r="BA90" i="10"/>
  <c r="AH90" i="10"/>
  <c r="AM90" i="10"/>
  <c r="CA90" i="10"/>
  <c r="BK90" i="10"/>
  <c r="AW90" i="10"/>
  <c r="BP90" i="10"/>
  <c r="BV90" i="10"/>
  <c r="AQ90" i="10"/>
  <c r="BL90" i="10"/>
  <c r="AV89" i="10"/>
  <c r="AF90" i="10"/>
  <c r="AE89" i="10"/>
  <c r="B91" i="10"/>
  <c r="BW91" i="10" s="1"/>
  <c r="CD91" i="10" l="1"/>
  <c r="BJ91" i="10"/>
  <c r="BT90" i="10"/>
  <c r="AV90" i="10"/>
  <c r="AU90" i="10"/>
  <c r="BG90" i="10" s="1"/>
  <c r="BX90" i="10"/>
  <c r="CB91" i="10"/>
  <c r="BS91" i="10"/>
  <c r="BO91" i="10"/>
  <c r="BD91" i="10"/>
  <c r="AZ91" i="10"/>
  <c r="AQ91" i="10"/>
  <c r="AM91" i="10"/>
  <c r="AH91" i="10"/>
  <c r="CA91" i="10"/>
  <c r="BR91" i="10"/>
  <c r="BN91" i="10"/>
  <c r="BI91" i="10"/>
  <c r="AY91" i="10"/>
  <c r="AT91" i="10"/>
  <c r="AP91" i="10"/>
  <c r="BU91" i="10" s="1"/>
  <c r="BZ91" i="10"/>
  <c r="BV91" i="10"/>
  <c r="BQ91" i="10"/>
  <c r="BH91" i="10"/>
  <c r="BB91" i="10"/>
  <c r="AX91" i="10"/>
  <c r="AS91" i="10"/>
  <c r="AO91" i="10"/>
  <c r="AK91" i="10"/>
  <c r="CC91" i="10"/>
  <c r="BA91" i="10"/>
  <c r="AI91" i="10"/>
  <c r="BP91" i="10"/>
  <c r="BY91" i="10"/>
  <c r="BK91" i="10"/>
  <c r="AW91" i="10"/>
  <c r="AR91" i="10"/>
  <c r="AN91" i="10"/>
  <c r="BL91" i="10"/>
  <c r="AF91" i="10"/>
  <c r="AE90" i="10"/>
  <c r="B92" i="10"/>
  <c r="BW92" i="10" s="1"/>
  <c r="CD92" i="10" l="1"/>
  <c r="BJ92" i="10"/>
  <c r="BX91" i="10"/>
  <c r="CB92" i="10"/>
  <c r="BP92" i="10"/>
  <c r="BK92" i="10"/>
  <c r="BA92" i="10"/>
  <c r="AW92" i="10"/>
  <c r="AS92" i="10"/>
  <c r="AO92" i="10"/>
  <c r="AK92" i="10"/>
  <c r="CA92" i="10"/>
  <c r="BS92" i="10"/>
  <c r="BO92" i="10"/>
  <c r="BD92" i="10"/>
  <c r="AZ92" i="10"/>
  <c r="AR92" i="10"/>
  <c r="AN92" i="10"/>
  <c r="AI92" i="10"/>
  <c r="BZ92" i="10"/>
  <c r="BV92" i="10"/>
  <c r="BR92" i="10"/>
  <c r="BN92" i="10"/>
  <c r="BI92" i="10"/>
  <c r="AY92" i="10"/>
  <c r="AQ92" i="10"/>
  <c r="AM92" i="10"/>
  <c r="AH92" i="10"/>
  <c r="BY92" i="10"/>
  <c r="BH92" i="10"/>
  <c r="AX92" i="10"/>
  <c r="AT92" i="10"/>
  <c r="BQ92" i="10"/>
  <c r="AP92" i="10"/>
  <c r="BU92" i="10" s="1"/>
  <c r="CC92" i="10"/>
  <c r="BB92" i="10"/>
  <c r="BL92" i="10"/>
  <c r="BT91" i="10"/>
  <c r="AV91" i="10"/>
  <c r="AU91" i="10"/>
  <c r="BG91" i="10" s="1"/>
  <c r="AF92" i="10"/>
  <c r="AE91" i="10"/>
  <c r="B93" i="10"/>
  <c r="BW93" i="10" s="1"/>
  <c r="CD93" i="10" l="1"/>
  <c r="BJ93" i="10"/>
  <c r="AU92" i="10"/>
  <c r="BG92" i="10" s="1"/>
  <c r="BZ93" i="10"/>
  <c r="BP93" i="10"/>
  <c r="BK93" i="10"/>
  <c r="BA93" i="10"/>
  <c r="AW93" i="10"/>
  <c r="AS93" i="10"/>
  <c r="AO93" i="10"/>
  <c r="AK93" i="10"/>
  <c r="CC93" i="10"/>
  <c r="BY93" i="10"/>
  <c r="BS93" i="10"/>
  <c r="BO93" i="10"/>
  <c r="BD93" i="10"/>
  <c r="AZ93" i="10"/>
  <c r="AR93" i="10"/>
  <c r="AN93" i="10"/>
  <c r="AI93" i="10"/>
  <c r="CB93" i="10"/>
  <c r="BR93" i="10"/>
  <c r="BN93" i="10"/>
  <c r="BI93" i="10"/>
  <c r="AY93" i="10"/>
  <c r="AQ93" i="10"/>
  <c r="AM93" i="10"/>
  <c r="AH93" i="10"/>
  <c r="BV93" i="10"/>
  <c r="AT93" i="10"/>
  <c r="AX93" i="10"/>
  <c r="BQ93" i="10"/>
  <c r="AP93" i="10"/>
  <c r="BU93" i="10" s="1"/>
  <c r="BB93" i="10"/>
  <c r="CA93" i="10"/>
  <c r="BH93" i="10"/>
  <c r="BL93" i="10"/>
  <c r="BT92" i="10"/>
  <c r="AV92" i="10"/>
  <c r="BX92" i="10"/>
  <c r="AF93" i="10"/>
  <c r="AE92" i="10"/>
  <c r="B94" i="10"/>
  <c r="BW94" i="10" s="1"/>
  <c r="CD94" i="10" l="1"/>
  <c r="BJ94" i="10"/>
  <c r="BT93" i="10"/>
  <c r="AV93" i="10"/>
  <c r="CA94" i="10"/>
  <c r="BV94" i="10"/>
  <c r="BP94" i="10"/>
  <c r="BK94" i="10"/>
  <c r="BA94" i="10"/>
  <c r="AW94" i="10"/>
  <c r="AQ94" i="10"/>
  <c r="AM94" i="10"/>
  <c r="AH94" i="10"/>
  <c r="BZ94" i="10"/>
  <c r="BS94" i="10"/>
  <c r="BO94" i="10"/>
  <c r="BD94" i="10"/>
  <c r="AZ94" i="10"/>
  <c r="AT94" i="10"/>
  <c r="AP94" i="10"/>
  <c r="BU94" i="10" s="1"/>
  <c r="CC94" i="10"/>
  <c r="BY94" i="10"/>
  <c r="BR94" i="10"/>
  <c r="BN94" i="10"/>
  <c r="BI94" i="10"/>
  <c r="AY94" i="10"/>
  <c r="AS94" i="10"/>
  <c r="AO94" i="10"/>
  <c r="AK94" i="10"/>
  <c r="AR94" i="10"/>
  <c r="BH94" i="10"/>
  <c r="BQ94" i="10"/>
  <c r="AN94" i="10"/>
  <c r="AX94" i="10"/>
  <c r="BB94" i="10"/>
  <c r="AI94" i="10"/>
  <c r="CB94" i="10"/>
  <c r="BL94" i="10"/>
  <c r="AU93" i="10"/>
  <c r="BG93" i="10" s="1"/>
  <c r="BX93" i="10"/>
  <c r="AF94" i="10"/>
  <c r="AE93" i="10"/>
  <c r="B95" i="10"/>
  <c r="BW95" i="10" s="1"/>
  <c r="CD95" i="10" l="1"/>
  <c r="BJ95" i="10"/>
  <c r="BT94" i="10"/>
  <c r="BX94" i="10"/>
  <c r="AV94" i="10"/>
  <c r="AU94" i="10"/>
  <c r="BG94" i="10" s="1"/>
  <c r="CC95" i="10"/>
  <c r="BY95" i="10"/>
  <c r="BP95" i="10"/>
  <c r="BK95" i="10"/>
  <c r="BA95" i="10"/>
  <c r="AW95" i="10"/>
  <c r="AR95" i="10"/>
  <c r="AN95" i="10"/>
  <c r="AI95" i="10"/>
  <c r="CB95" i="10"/>
  <c r="BS95" i="10"/>
  <c r="BO95" i="10"/>
  <c r="BD95" i="10"/>
  <c r="AZ95" i="10"/>
  <c r="AQ95" i="10"/>
  <c r="AM95" i="10"/>
  <c r="AH95" i="10"/>
  <c r="CA95" i="10"/>
  <c r="BR95" i="10"/>
  <c r="BN95" i="10"/>
  <c r="BI95" i="10"/>
  <c r="AY95" i="10"/>
  <c r="AT95" i="10"/>
  <c r="AP95" i="10"/>
  <c r="BU95" i="10" s="1"/>
  <c r="BV95" i="10"/>
  <c r="AS95" i="10"/>
  <c r="BZ95" i="10"/>
  <c r="AX95" i="10"/>
  <c r="BQ95" i="10"/>
  <c r="AO95" i="10"/>
  <c r="BB95" i="10"/>
  <c r="AK95" i="10"/>
  <c r="BH95" i="10"/>
  <c r="BL95" i="10"/>
  <c r="AF95" i="10"/>
  <c r="AE94" i="10"/>
  <c r="B96" i="10"/>
  <c r="BW96" i="10" s="1"/>
  <c r="CD96" i="10" l="1"/>
  <c r="BJ96" i="10"/>
  <c r="BT95" i="10"/>
  <c r="BX95" i="10"/>
  <c r="AV95" i="10"/>
  <c r="CC96" i="10"/>
  <c r="BY96" i="10"/>
  <c r="BQ96" i="10"/>
  <c r="BH96" i="10"/>
  <c r="BB96" i="10"/>
  <c r="AX96" i="10"/>
  <c r="AT96" i="10"/>
  <c r="AP96" i="10"/>
  <c r="BU96" i="10" s="1"/>
  <c r="CB96" i="10"/>
  <c r="BP96" i="10"/>
  <c r="BK96" i="10"/>
  <c r="BA96" i="10"/>
  <c r="AW96" i="10"/>
  <c r="AS96" i="10"/>
  <c r="AO96" i="10"/>
  <c r="AK96" i="10"/>
  <c r="CA96" i="10"/>
  <c r="BS96" i="10"/>
  <c r="BO96" i="10"/>
  <c r="BD96" i="10"/>
  <c r="AZ96" i="10"/>
  <c r="AR96" i="10"/>
  <c r="AN96" i="10"/>
  <c r="AI96" i="10"/>
  <c r="BR96" i="10"/>
  <c r="AQ96" i="10"/>
  <c r="BV96" i="10"/>
  <c r="BN96" i="10"/>
  <c r="AM96" i="10"/>
  <c r="BZ96" i="10"/>
  <c r="AY96" i="10"/>
  <c r="AH96" i="10"/>
  <c r="BI96" i="10"/>
  <c r="BL96" i="10"/>
  <c r="AU95" i="10"/>
  <c r="BG95" i="10" s="1"/>
  <c r="AF96" i="10"/>
  <c r="AE95" i="10"/>
  <c r="B97" i="10"/>
  <c r="BW97" i="10" s="1"/>
  <c r="CD97" i="10" l="1"/>
  <c r="BJ97" i="10"/>
  <c r="BX96" i="10"/>
  <c r="BT96" i="10"/>
  <c r="AU96" i="10"/>
  <c r="BG96" i="10" s="1"/>
  <c r="AV96" i="10"/>
  <c r="CB97" i="10"/>
  <c r="BR97" i="10"/>
  <c r="BN97" i="10"/>
  <c r="BI97" i="10"/>
  <c r="AY97" i="10"/>
  <c r="AT97" i="10"/>
  <c r="AP97" i="10"/>
  <c r="CA97" i="10"/>
  <c r="BV97" i="10"/>
  <c r="BQ97" i="10"/>
  <c r="BH97" i="10"/>
  <c r="BB97" i="10"/>
  <c r="AX97" i="10"/>
  <c r="AS97" i="10"/>
  <c r="AO97" i="10"/>
  <c r="AK97" i="10"/>
  <c r="BZ97" i="10"/>
  <c r="BP97" i="10"/>
  <c r="BK97" i="10"/>
  <c r="BA97" i="10"/>
  <c r="AW97" i="10"/>
  <c r="AR97" i="10"/>
  <c r="AN97" i="10"/>
  <c r="AI97" i="10"/>
  <c r="CC97" i="10"/>
  <c r="AM97" i="10"/>
  <c r="BO97" i="10"/>
  <c r="BY97" i="10"/>
  <c r="AZ97" i="10"/>
  <c r="AH97" i="10"/>
  <c r="BS97" i="10"/>
  <c r="BD97" i="10"/>
  <c r="AQ97" i="10"/>
  <c r="BL97" i="10"/>
  <c r="AF97" i="10"/>
  <c r="AE96" i="10"/>
  <c r="B98" i="10"/>
  <c r="BW98" i="10" s="1"/>
  <c r="CD98" i="10" l="1"/>
  <c r="BJ98" i="10"/>
  <c r="BT97" i="10"/>
  <c r="BX97" i="10"/>
  <c r="AU97" i="10"/>
  <c r="BG97" i="10" s="1"/>
  <c r="BU97" i="10"/>
  <c r="CC98" i="10"/>
  <c r="BY98" i="10"/>
  <c r="BR98" i="10"/>
  <c r="BN98" i="10"/>
  <c r="BI98" i="10"/>
  <c r="AY98" i="10"/>
  <c r="AS98" i="10"/>
  <c r="AO98" i="10"/>
  <c r="AK98" i="10"/>
  <c r="CB98" i="10"/>
  <c r="BQ98" i="10"/>
  <c r="BH98" i="10"/>
  <c r="BB98" i="10"/>
  <c r="AX98" i="10"/>
  <c r="AR98" i="10"/>
  <c r="AN98" i="10"/>
  <c r="AI98" i="10"/>
  <c r="CA98" i="10"/>
  <c r="BV98" i="10"/>
  <c r="BP98" i="10"/>
  <c r="BK98" i="10"/>
  <c r="BA98" i="10"/>
  <c r="AW98" i="10"/>
  <c r="AQ98" i="10"/>
  <c r="AM98" i="10"/>
  <c r="AH98" i="10"/>
  <c r="BZ98" i="10"/>
  <c r="AZ98" i="10"/>
  <c r="BS98" i="10"/>
  <c r="AT98" i="10"/>
  <c r="BO98" i="10"/>
  <c r="BD98" i="10"/>
  <c r="AP98" i="10"/>
  <c r="BU98" i="10" s="1"/>
  <c r="BL98" i="10"/>
  <c r="AV97" i="10"/>
  <c r="AF98" i="10"/>
  <c r="AE97" i="10"/>
  <c r="B99" i="10"/>
  <c r="BW99" i="10" s="1"/>
  <c r="CD99" i="10" l="1"/>
  <c r="BJ99" i="10"/>
  <c r="BX98" i="10"/>
  <c r="BT98" i="10"/>
  <c r="AU98" i="10"/>
  <c r="BG98" i="10" s="1"/>
  <c r="AV98" i="10"/>
  <c r="CA99" i="10"/>
  <c r="BR99" i="10"/>
  <c r="BN99" i="10"/>
  <c r="BI99" i="10"/>
  <c r="AY99" i="10"/>
  <c r="AT99" i="10"/>
  <c r="AP99" i="10"/>
  <c r="BU99" i="10" s="1"/>
  <c r="BZ99" i="10"/>
  <c r="BV99" i="10"/>
  <c r="BQ99" i="10"/>
  <c r="BH99" i="10"/>
  <c r="BB99" i="10"/>
  <c r="AX99" i="10"/>
  <c r="AS99" i="10"/>
  <c r="AO99" i="10"/>
  <c r="AK99" i="10"/>
  <c r="CC99" i="10"/>
  <c r="BY99" i="10"/>
  <c r="BP99" i="10"/>
  <c r="BK99" i="10"/>
  <c r="BA99" i="10"/>
  <c r="AW99" i="10"/>
  <c r="AR99" i="10"/>
  <c r="AN99" i="10"/>
  <c r="AI99" i="10"/>
  <c r="BS99" i="10"/>
  <c r="BO99" i="10"/>
  <c r="BD99" i="10"/>
  <c r="AQ99" i="10"/>
  <c r="CB99" i="10"/>
  <c r="AM99" i="10"/>
  <c r="AZ99" i="10"/>
  <c r="AH99" i="10"/>
  <c r="BL99" i="10"/>
  <c r="AF99" i="10"/>
  <c r="AE98" i="10"/>
  <c r="B100" i="10"/>
  <c r="BW100" i="10" s="1"/>
  <c r="CD100" i="10" l="1"/>
  <c r="BJ100" i="10"/>
  <c r="AV99" i="10"/>
  <c r="BX99" i="10"/>
  <c r="AU99" i="10"/>
  <c r="BG99" i="10" s="1"/>
  <c r="CA100" i="10"/>
  <c r="BS100" i="10"/>
  <c r="BO100" i="10"/>
  <c r="BD100" i="10"/>
  <c r="AZ100" i="10"/>
  <c r="AR100" i="10"/>
  <c r="AN100" i="10"/>
  <c r="AI100" i="10"/>
  <c r="BZ100" i="10"/>
  <c r="BV100" i="10"/>
  <c r="BR100" i="10"/>
  <c r="BN100" i="10"/>
  <c r="BI100" i="10"/>
  <c r="AY100" i="10"/>
  <c r="AQ100" i="10"/>
  <c r="AM100" i="10"/>
  <c r="AH100" i="10"/>
  <c r="CC100" i="10"/>
  <c r="BY100" i="10"/>
  <c r="BQ100" i="10"/>
  <c r="BH100" i="10"/>
  <c r="BB100" i="10"/>
  <c r="AX100" i="10"/>
  <c r="AT100" i="10"/>
  <c r="AP100" i="10"/>
  <c r="BU100" i="10" s="1"/>
  <c r="BP100" i="10"/>
  <c r="AO100" i="10"/>
  <c r="CB100" i="10"/>
  <c r="BA100" i="10"/>
  <c r="AK100" i="10"/>
  <c r="BK100" i="10"/>
  <c r="AW100" i="10"/>
  <c r="AS100" i="10"/>
  <c r="BL100" i="10"/>
  <c r="BT99" i="10"/>
  <c r="AF100" i="10"/>
  <c r="AE99" i="10"/>
  <c r="B101" i="10"/>
  <c r="BW101" i="10" s="1"/>
  <c r="CD101" i="10" l="1"/>
  <c r="BJ101" i="10"/>
  <c r="BT100" i="10"/>
  <c r="BX100" i="10"/>
  <c r="AV100" i="10"/>
  <c r="BZ101" i="10"/>
  <c r="BP101" i="10"/>
  <c r="BK101" i="10"/>
  <c r="BA101" i="10"/>
  <c r="AW101" i="10"/>
  <c r="AR101" i="10"/>
  <c r="AN101" i="10"/>
  <c r="AI101" i="10"/>
  <c r="CC101" i="10"/>
  <c r="BY101" i="10"/>
  <c r="BS101" i="10"/>
  <c r="BO101" i="10"/>
  <c r="BD101" i="10"/>
  <c r="AZ101" i="10"/>
  <c r="AQ101" i="10"/>
  <c r="AM101" i="10"/>
  <c r="AH101" i="10"/>
  <c r="CB101" i="10"/>
  <c r="BR101" i="10"/>
  <c r="BN101" i="10"/>
  <c r="BI101" i="10"/>
  <c r="AY101" i="10"/>
  <c r="AT101" i="10"/>
  <c r="AP101" i="10"/>
  <c r="AV101" i="10" s="1"/>
  <c r="BB101" i="10"/>
  <c r="AK101" i="10"/>
  <c r="BQ101" i="10"/>
  <c r="CA101" i="10"/>
  <c r="BH101" i="10"/>
  <c r="AX101" i="10"/>
  <c r="BV101" i="10"/>
  <c r="AS101" i="10"/>
  <c r="AO101" i="10"/>
  <c r="BL101" i="10"/>
  <c r="AU100" i="10"/>
  <c r="BG100" i="10" s="1"/>
  <c r="AF101" i="10"/>
  <c r="AE100" i="10"/>
  <c r="B102" i="10"/>
  <c r="BW102" i="10" s="1"/>
  <c r="CD102" i="10" l="1"/>
  <c r="BJ102" i="10"/>
  <c r="BT101" i="10"/>
  <c r="CA102" i="10"/>
  <c r="BV102" i="10"/>
  <c r="BP102" i="10"/>
  <c r="BK102" i="10"/>
  <c r="BA102" i="10"/>
  <c r="AW102" i="10"/>
  <c r="AQ102" i="10"/>
  <c r="AM102" i="10"/>
  <c r="AH102" i="10"/>
  <c r="BZ102" i="10"/>
  <c r="BS102" i="10"/>
  <c r="BO102" i="10"/>
  <c r="BD102" i="10"/>
  <c r="AZ102" i="10"/>
  <c r="AT102" i="10"/>
  <c r="AP102" i="10"/>
  <c r="BU102" i="10" s="1"/>
  <c r="CC102" i="10"/>
  <c r="BY102" i="10"/>
  <c r="BR102" i="10"/>
  <c r="BN102" i="10"/>
  <c r="BI102" i="10"/>
  <c r="AY102" i="10"/>
  <c r="AS102" i="10"/>
  <c r="AO102" i="10"/>
  <c r="AK102" i="10"/>
  <c r="BB102" i="10"/>
  <c r="AI102" i="10"/>
  <c r="CB102" i="10"/>
  <c r="BH102" i="10"/>
  <c r="AX102" i="10"/>
  <c r="BQ102" i="10"/>
  <c r="AR102" i="10"/>
  <c r="AN102" i="10"/>
  <c r="BL102" i="10"/>
  <c r="AU101" i="10"/>
  <c r="BG101" i="10" s="1"/>
  <c r="BU101" i="10"/>
  <c r="BX101" i="10"/>
  <c r="AF102" i="10"/>
  <c r="AE101" i="10"/>
  <c r="B103" i="10"/>
  <c r="BW103" i="10" s="1"/>
  <c r="CD103" i="10" l="1"/>
  <c r="BJ103" i="10"/>
  <c r="BX102" i="10"/>
  <c r="BT102" i="10"/>
  <c r="AV102" i="10"/>
  <c r="AU102" i="10"/>
  <c r="BG102" i="10" s="1"/>
  <c r="CC103" i="10"/>
  <c r="BY103" i="10"/>
  <c r="BP103" i="10"/>
  <c r="BK103" i="10"/>
  <c r="BA103" i="10"/>
  <c r="AW103" i="10"/>
  <c r="AR103" i="10"/>
  <c r="AN103" i="10"/>
  <c r="AI103" i="10"/>
  <c r="CB103" i="10"/>
  <c r="BS103" i="10"/>
  <c r="BO103" i="10"/>
  <c r="BD103" i="10"/>
  <c r="AZ103" i="10"/>
  <c r="AQ103" i="10"/>
  <c r="AM103" i="10"/>
  <c r="AH103" i="10"/>
  <c r="CA103" i="10"/>
  <c r="BR103" i="10"/>
  <c r="BN103" i="10"/>
  <c r="BI103" i="10"/>
  <c r="AY103" i="10"/>
  <c r="AT103" i="10"/>
  <c r="AP103" i="10"/>
  <c r="BU103" i="10" s="1"/>
  <c r="BB103" i="10"/>
  <c r="AK103" i="10"/>
  <c r="BZ103" i="10"/>
  <c r="BH103" i="10"/>
  <c r="AX103" i="10"/>
  <c r="BV103" i="10"/>
  <c r="AS103" i="10"/>
  <c r="BQ103" i="10"/>
  <c r="AO103" i="10"/>
  <c r="BL103" i="10"/>
  <c r="AF103" i="10"/>
  <c r="AE102" i="10"/>
  <c r="B104" i="10"/>
  <c r="BW104" i="10" s="1"/>
  <c r="CD104" i="10" l="1"/>
  <c r="BJ104" i="10"/>
  <c r="BT103" i="10"/>
  <c r="BX103" i="10"/>
  <c r="AV103" i="10"/>
  <c r="CC104" i="10"/>
  <c r="BY104" i="10"/>
  <c r="BQ104" i="10"/>
  <c r="BH104" i="10"/>
  <c r="BB104" i="10"/>
  <c r="AX104" i="10"/>
  <c r="AT104" i="10"/>
  <c r="AP104" i="10"/>
  <c r="BU104" i="10" s="1"/>
  <c r="CB104" i="10"/>
  <c r="BP104" i="10"/>
  <c r="BK104" i="10"/>
  <c r="BA104" i="10"/>
  <c r="AW104" i="10"/>
  <c r="AS104" i="10"/>
  <c r="AO104" i="10"/>
  <c r="AK104" i="10"/>
  <c r="CA104" i="10"/>
  <c r="BS104" i="10"/>
  <c r="BO104" i="10"/>
  <c r="BD104" i="10"/>
  <c r="AZ104" i="10"/>
  <c r="AR104" i="10"/>
  <c r="AN104" i="10"/>
  <c r="AI104" i="10"/>
  <c r="BZ104" i="10"/>
  <c r="AY104" i="10"/>
  <c r="AH104" i="10"/>
  <c r="AM104" i="10"/>
  <c r="BV104" i="10"/>
  <c r="BI104" i="10"/>
  <c r="BN104" i="10"/>
  <c r="BR104" i="10"/>
  <c r="AQ104" i="10"/>
  <c r="BL104" i="10"/>
  <c r="AU103" i="10"/>
  <c r="BG103" i="10" s="1"/>
  <c r="AF104" i="10"/>
  <c r="AE103" i="10"/>
  <c r="B105" i="10"/>
  <c r="BW105" i="10" s="1"/>
  <c r="CD105" i="10" l="1"/>
  <c r="BJ105" i="10"/>
  <c r="BX104" i="10"/>
  <c r="BT104" i="10"/>
  <c r="AV104" i="10"/>
  <c r="CB105" i="10"/>
  <c r="BR105" i="10"/>
  <c r="BN105" i="10"/>
  <c r="BI105" i="10"/>
  <c r="AY105" i="10"/>
  <c r="AT105" i="10"/>
  <c r="AP105" i="10"/>
  <c r="AV105" i="10" s="1"/>
  <c r="CA105" i="10"/>
  <c r="BV105" i="10"/>
  <c r="BQ105" i="10"/>
  <c r="BH105" i="10"/>
  <c r="BB105" i="10"/>
  <c r="AX105" i="10"/>
  <c r="AS105" i="10"/>
  <c r="AO105" i="10"/>
  <c r="AK105" i="10"/>
  <c r="BZ105" i="10"/>
  <c r="BP105" i="10"/>
  <c r="BK105" i="10"/>
  <c r="BA105" i="10"/>
  <c r="AW105" i="10"/>
  <c r="AR105" i="10"/>
  <c r="AN105" i="10"/>
  <c r="AI105" i="10"/>
  <c r="BS105" i="10"/>
  <c r="AZ105" i="10"/>
  <c r="BO105" i="10"/>
  <c r="BD105" i="10"/>
  <c r="AQ105" i="10"/>
  <c r="CC105" i="10"/>
  <c r="AM105" i="10"/>
  <c r="BY105" i="10"/>
  <c r="AH105" i="10"/>
  <c r="BL105" i="10"/>
  <c r="AU104" i="10"/>
  <c r="BG104" i="10" s="1"/>
  <c r="AF105" i="10"/>
  <c r="AE104" i="10"/>
  <c r="B106" i="10"/>
  <c r="BW106" i="10" s="1"/>
  <c r="CD106" i="10" l="1"/>
  <c r="BJ106" i="10"/>
  <c r="BT105" i="10"/>
  <c r="BX105" i="10"/>
  <c r="CC106" i="10"/>
  <c r="BY106" i="10"/>
  <c r="BR106" i="10"/>
  <c r="BN106" i="10"/>
  <c r="BI106" i="10"/>
  <c r="AY106" i="10"/>
  <c r="AS106" i="10"/>
  <c r="AO106" i="10"/>
  <c r="AK106" i="10"/>
  <c r="CB106" i="10"/>
  <c r="BQ106" i="10"/>
  <c r="BH106" i="10"/>
  <c r="BB106" i="10"/>
  <c r="AX106" i="10"/>
  <c r="AR106" i="10"/>
  <c r="AN106" i="10"/>
  <c r="AI106" i="10"/>
  <c r="CA106" i="10"/>
  <c r="BV106" i="10"/>
  <c r="BP106" i="10"/>
  <c r="BK106" i="10"/>
  <c r="BA106" i="10"/>
  <c r="AW106" i="10"/>
  <c r="AQ106" i="10"/>
  <c r="AM106" i="10"/>
  <c r="AH106" i="10"/>
  <c r="BO106" i="10"/>
  <c r="BD106" i="10"/>
  <c r="AP106" i="10"/>
  <c r="BU106" i="10" s="1"/>
  <c r="AT106" i="10"/>
  <c r="BZ106" i="10"/>
  <c r="AZ106" i="10"/>
  <c r="BS106" i="10"/>
  <c r="BL106" i="10"/>
  <c r="AU105" i="10"/>
  <c r="BG105" i="10" s="1"/>
  <c r="BU105" i="10"/>
  <c r="AF106" i="10"/>
  <c r="AE105" i="10"/>
  <c r="B107" i="10"/>
  <c r="BW107" i="10" s="1"/>
  <c r="CD107" i="10" l="1"/>
  <c r="BJ107" i="10"/>
  <c r="BT106" i="10"/>
  <c r="BX106" i="10"/>
  <c r="AV106" i="10"/>
  <c r="AU106" i="10"/>
  <c r="BG106" i="10" s="1"/>
  <c r="CA107" i="10"/>
  <c r="BR107" i="10"/>
  <c r="BN107" i="10"/>
  <c r="BI107" i="10"/>
  <c r="AY107" i="10"/>
  <c r="AT107" i="10"/>
  <c r="AP107" i="10"/>
  <c r="BU107" i="10" s="1"/>
  <c r="BZ107" i="10"/>
  <c r="BV107" i="10"/>
  <c r="BQ107" i="10"/>
  <c r="BH107" i="10"/>
  <c r="BB107" i="10"/>
  <c r="AX107" i="10"/>
  <c r="AS107" i="10"/>
  <c r="AO107" i="10"/>
  <c r="AK107" i="10"/>
  <c r="CC107" i="10"/>
  <c r="BY107" i="10"/>
  <c r="BP107" i="10"/>
  <c r="BK107" i="10"/>
  <c r="BA107" i="10"/>
  <c r="AW107" i="10"/>
  <c r="AR107" i="10"/>
  <c r="AN107" i="10"/>
  <c r="AI107" i="10"/>
  <c r="CB107" i="10"/>
  <c r="AM107" i="10"/>
  <c r="AQ107" i="10"/>
  <c r="AZ107" i="10"/>
  <c r="AH107" i="10"/>
  <c r="BO107" i="10"/>
  <c r="BS107" i="10"/>
  <c r="BD107" i="10"/>
  <c r="BL107" i="10"/>
  <c r="AF107" i="10"/>
  <c r="AE106" i="10"/>
  <c r="B108" i="10"/>
  <c r="BW108" i="10" s="1"/>
  <c r="CD108" i="10" l="1"/>
  <c r="BJ108" i="10"/>
  <c r="AU107" i="10"/>
  <c r="BG107" i="10" s="1"/>
  <c r="AV107" i="10"/>
  <c r="BT107" i="10"/>
  <c r="CA108" i="10"/>
  <c r="BS108" i="10"/>
  <c r="BO108" i="10"/>
  <c r="BD108" i="10"/>
  <c r="AZ108" i="10"/>
  <c r="AR108" i="10"/>
  <c r="AN108" i="10"/>
  <c r="AI108" i="10"/>
  <c r="BZ108" i="10"/>
  <c r="BV108" i="10"/>
  <c r="BR108" i="10"/>
  <c r="BN108" i="10"/>
  <c r="BI108" i="10"/>
  <c r="AY108" i="10"/>
  <c r="AQ108" i="10"/>
  <c r="AM108" i="10"/>
  <c r="AH108" i="10"/>
  <c r="CC108" i="10"/>
  <c r="BY108" i="10"/>
  <c r="BQ108" i="10"/>
  <c r="BH108" i="10"/>
  <c r="BB108" i="10"/>
  <c r="AX108" i="10"/>
  <c r="AT108" i="10"/>
  <c r="AP108" i="10"/>
  <c r="BU108" i="10" s="1"/>
  <c r="BK108" i="10"/>
  <c r="AW108" i="10"/>
  <c r="BA108" i="10"/>
  <c r="AS108" i="10"/>
  <c r="BP108" i="10"/>
  <c r="AO108" i="10"/>
  <c r="CB108" i="10"/>
  <c r="AK108" i="10"/>
  <c r="BL108" i="10"/>
  <c r="BX107" i="10"/>
  <c r="AF108" i="10"/>
  <c r="AE107" i="10"/>
  <c r="B109" i="10"/>
  <c r="BW109" i="10" s="1"/>
  <c r="CD109" i="10" l="1"/>
  <c r="BJ109" i="10"/>
  <c r="BX108" i="10"/>
  <c r="BT108" i="10"/>
  <c r="AU108" i="10"/>
  <c r="BG108" i="10" s="1"/>
  <c r="BZ109" i="10"/>
  <c r="BP109" i="10"/>
  <c r="BK109" i="10"/>
  <c r="BA109" i="10"/>
  <c r="AW109" i="10"/>
  <c r="AR109" i="10"/>
  <c r="AN109" i="10"/>
  <c r="AI109" i="10"/>
  <c r="CC109" i="10"/>
  <c r="BY109" i="10"/>
  <c r="BS109" i="10"/>
  <c r="BO109" i="10"/>
  <c r="BD109" i="10"/>
  <c r="AZ109" i="10"/>
  <c r="AQ109" i="10"/>
  <c r="AM109" i="10"/>
  <c r="AH109" i="10"/>
  <c r="CB109" i="10"/>
  <c r="BR109" i="10"/>
  <c r="BN109" i="10"/>
  <c r="BI109" i="10"/>
  <c r="AY109" i="10"/>
  <c r="AT109" i="10"/>
  <c r="AP109" i="10"/>
  <c r="BV109" i="10"/>
  <c r="AS109" i="10"/>
  <c r="AX109" i="10"/>
  <c r="BQ109" i="10"/>
  <c r="AO109" i="10"/>
  <c r="CA109" i="10"/>
  <c r="BB109" i="10"/>
  <c r="AK109" i="10"/>
  <c r="BH109" i="10"/>
  <c r="BL109" i="10"/>
  <c r="AV108" i="10"/>
  <c r="AF109" i="10"/>
  <c r="AE108" i="10"/>
  <c r="B110" i="10"/>
  <c r="BW110" i="10" s="1"/>
  <c r="CD110" i="10" l="1"/>
  <c r="BJ110" i="10"/>
  <c r="BT109" i="10"/>
  <c r="AU109" i="10"/>
  <c r="BG109" i="10" s="1"/>
  <c r="BU109" i="10"/>
  <c r="BX109" i="10"/>
  <c r="CA110" i="10"/>
  <c r="BV110" i="10"/>
  <c r="BP110" i="10"/>
  <c r="BK110" i="10"/>
  <c r="BA110" i="10"/>
  <c r="AW110" i="10"/>
  <c r="AQ110" i="10"/>
  <c r="AM110" i="10"/>
  <c r="AH110" i="10"/>
  <c r="BZ110" i="10"/>
  <c r="BS110" i="10"/>
  <c r="BO110" i="10"/>
  <c r="BD110" i="10"/>
  <c r="AZ110" i="10"/>
  <c r="AT110" i="10"/>
  <c r="AP110" i="10"/>
  <c r="BU110" i="10" s="1"/>
  <c r="CC110" i="10"/>
  <c r="BY110" i="10"/>
  <c r="BR110" i="10"/>
  <c r="BN110" i="10"/>
  <c r="BI110" i="10"/>
  <c r="AY110" i="10"/>
  <c r="AS110" i="10"/>
  <c r="AO110" i="10"/>
  <c r="AK110" i="10"/>
  <c r="AR110" i="10"/>
  <c r="BH110" i="10"/>
  <c r="BQ110" i="10"/>
  <c r="AN110" i="10"/>
  <c r="BB110" i="10"/>
  <c r="AI110" i="10"/>
  <c r="CB110" i="10"/>
  <c r="AX110" i="10"/>
  <c r="BL110" i="10"/>
  <c r="AV109" i="10"/>
  <c r="AF110" i="10"/>
  <c r="AE109" i="10"/>
  <c r="B111" i="10"/>
  <c r="BW111" i="10" s="1"/>
  <c r="AU110" i="10" l="1"/>
  <c r="BG110" i="10" s="1"/>
  <c r="CD111" i="10"/>
  <c r="BJ111" i="10"/>
  <c r="BX110" i="10"/>
  <c r="BT110" i="10"/>
  <c r="AV110" i="10"/>
  <c r="CC111" i="10"/>
  <c r="BY111" i="10"/>
  <c r="BP111" i="10"/>
  <c r="BK111" i="10"/>
  <c r="BA111" i="10"/>
  <c r="AW111" i="10"/>
  <c r="AR111" i="10"/>
  <c r="AN111" i="10"/>
  <c r="AI111" i="10"/>
  <c r="CB111" i="10"/>
  <c r="BS111" i="10"/>
  <c r="BO111" i="10"/>
  <c r="BD111" i="10"/>
  <c r="AZ111" i="10"/>
  <c r="AQ111" i="10"/>
  <c r="AM111" i="10"/>
  <c r="AH111" i="10"/>
  <c r="CA111" i="10"/>
  <c r="BR111" i="10"/>
  <c r="BN111" i="10"/>
  <c r="BI111" i="10"/>
  <c r="AY111" i="10"/>
  <c r="AT111" i="10"/>
  <c r="AP111" i="10"/>
  <c r="BU111" i="10" s="1"/>
  <c r="BV111" i="10"/>
  <c r="AS111" i="10"/>
  <c r="BZ111" i="10"/>
  <c r="AX111" i="10"/>
  <c r="BQ111" i="10"/>
  <c r="AO111" i="10"/>
  <c r="BB111" i="10"/>
  <c r="AK111" i="10"/>
  <c r="BH111" i="10"/>
  <c r="BL111" i="10"/>
  <c r="AF111" i="10"/>
  <c r="AE110" i="10"/>
  <c r="B112" i="10"/>
  <c r="BW112" i="10" s="1"/>
  <c r="CD112" i="10" l="1"/>
  <c r="BJ112" i="10"/>
  <c r="BT111" i="10"/>
  <c r="BX111" i="10"/>
  <c r="AV111" i="10"/>
  <c r="AU111" i="10"/>
  <c r="BG111" i="10" s="1"/>
  <c r="CC112" i="10"/>
  <c r="BY112" i="10"/>
  <c r="BQ112" i="10"/>
  <c r="BH112" i="10"/>
  <c r="BB112" i="10"/>
  <c r="AX112" i="10"/>
  <c r="AT112" i="10"/>
  <c r="AP112" i="10"/>
  <c r="BU112" i="10" s="1"/>
  <c r="CB112" i="10"/>
  <c r="BP112" i="10"/>
  <c r="BK112" i="10"/>
  <c r="BA112" i="10"/>
  <c r="AW112" i="10"/>
  <c r="AS112" i="10"/>
  <c r="AO112" i="10"/>
  <c r="AK112" i="10"/>
  <c r="CA112" i="10"/>
  <c r="BS112" i="10"/>
  <c r="BO112" i="10"/>
  <c r="BD112" i="10"/>
  <c r="AZ112" i="10"/>
  <c r="AR112" i="10"/>
  <c r="AN112" i="10"/>
  <c r="AI112" i="10"/>
  <c r="BR112" i="10"/>
  <c r="AQ112" i="10"/>
  <c r="BI112" i="10"/>
  <c r="BN112" i="10"/>
  <c r="AM112" i="10"/>
  <c r="BZ112" i="10"/>
  <c r="AY112" i="10"/>
  <c r="AH112" i="10"/>
  <c r="BV112" i="10"/>
  <c r="BL112" i="10"/>
  <c r="AF112" i="10"/>
  <c r="AE111" i="10"/>
  <c r="B113" i="10"/>
  <c r="BW113" i="10" s="1"/>
  <c r="CD113" i="10" l="1"/>
  <c r="BJ113" i="10"/>
  <c r="BX112" i="10"/>
  <c r="AV112" i="10"/>
  <c r="AU112" i="10"/>
  <c r="BG112" i="10" s="1"/>
  <c r="CB113" i="10"/>
  <c r="BR113" i="10"/>
  <c r="BN113" i="10"/>
  <c r="BI113" i="10"/>
  <c r="AY113" i="10"/>
  <c r="AT113" i="10"/>
  <c r="AP113" i="10"/>
  <c r="AV113" i="10" s="1"/>
  <c r="CA113" i="10"/>
  <c r="BV113" i="10"/>
  <c r="BQ113" i="10"/>
  <c r="BH113" i="10"/>
  <c r="BB113" i="10"/>
  <c r="AX113" i="10"/>
  <c r="AS113" i="10"/>
  <c r="AO113" i="10"/>
  <c r="AK113" i="10"/>
  <c r="BZ113" i="10"/>
  <c r="BP113" i="10"/>
  <c r="BK113" i="10"/>
  <c r="BA113" i="10"/>
  <c r="AW113" i="10"/>
  <c r="AR113" i="10"/>
  <c r="AN113" i="10"/>
  <c r="AI113" i="10"/>
  <c r="CC113" i="10"/>
  <c r="AM113" i="10"/>
  <c r="AQ113" i="10"/>
  <c r="BY113" i="10"/>
  <c r="AZ113" i="10"/>
  <c r="AH113" i="10"/>
  <c r="BS113" i="10"/>
  <c r="BO113" i="10"/>
  <c r="BD113" i="10"/>
  <c r="BL113" i="10"/>
  <c r="BT112" i="10"/>
  <c r="AF113" i="10"/>
  <c r="AE112" i="10"/>
  <c r="B114" i="10"/>
  <c r="BW114" i="10" s="1"/>
  <c r="CD114" i="10" l="1"/>
  <c r="BJ114" i="10"/>
  <c r="BT113" i="10"/>
  <c r="CC114" i="10"/>
  <c r="BY114" i="10"/>
  <c r="BR114" i="10"/>
  <c r="BN114" i="10"/>
  <c r="BI114" i="10"/>
  <c r="AY114" i="10"/>
  <c r="AS114" i="10"/>
  <c r="AO114" i="10"/>
  <c r="AK114" i="10"/>
  <c r="CB114" i="10"/>
  <c r="BQ114" i="10"/>
  <c r="BH114" i="10"/>
  <c r="BB114" i="10"/>
  <c r="AX114" i="10"/>
  <c r="AR114" i="10"/>
  <c r="AN114" i="10"/>
  <c r="AI114" i="10"/>
  <c r="CA114" i="10"/>
  <c r="BV114" i="10"/>
  <c r="BP114" i="10"/>
  <c r="BK114" i="10"/>
  <c r="BA114" i="10"/>
  <c r="AW114" i="10"/>
  <c r="AQ114" i="10"/>
  <c r="AM114" i="10"/>
  <c r="AH114" i="10"/>
  <c r="BZ114" i="10"/>
  <c r="AZ114" i="10"/>
  <c r="BS114" i="10"/>
  <c r="AT114" i="10"/>
  <c r="BO114" i="10"/>
  <c r="BD114" i="10"/>
  <c r="AP114" i="10"/>
  <c r="BU114" i="10" s="1"/>
  <c r="BL114" i="10"/>
  <c r="BX113" i="10"/>
  <c r="AU113" i="10"/>
  <c r="BG113" i="10" s="1"/>
  <c r="BU113" i="10"/>
  <c r="AF114" i="10"/>
  <c r="AE113" i="10"/>
  <c r="B115" i="10"/>
  <c r="BW115" i="10" s="1"/>
  <c r="CD115" i="10" l="1"/>
  <c r="BJ115" i="10"/>
  <c r="BT114" i="10"/>
  <c r="BX114" i="10"/>
  <c r="CA115" i="10"/>
  <c r="BR115" i="10"/>
  <c r="BN115" i="10"/>
  <c r="BI115" i="10"/>
  <c r="AY115" i="10"/>
  <c r="AT115" i="10"/>
  <c r="AP115" i="10"/>
  <c r="BU115" i="10" s="1"/>
  <c r="BZ115" i="10"/>
  <c r="BV115" i="10"/>
  <c r="BQ115" i="10"/>
  <c r="BH115" i="10"/>
  <c r="BB115" i="10"/>
  <c r="AX115" i="10"/>
  <c r="AS115" i="10"/>
  <c r="AO115" i="10"/>
  <c r="AK115" i="10"/>
  <c r="CC115" i="10"/>
  <c r="BY115" i="10"/>
  <c r="BP115" i="10"/>
  <c r="BK115" i="10"/>
  <c r="BA115" i="10"/>
  <c r="AW115" i="10"/>
  <c r="AR115" i="10"/>
  <c r="AN115" i="10"/>
  <c r="AI115" i="10"/>
  <c r="BS115" i="10"/>
  <c r="AZ115" i="10"/>
  <c r="BO115" i="10"/>
  <c r="BD115" i="10"/>
  <c r="AQ115" i="10"/>
  <c r="CB115" i="10"/>
  <c r="AM115" i="10"/>
  <c r="AH115" i="10"/>
  <c r="BL115" i="10"/>
  <c r="AU114" i="10"/>
  <c r="BG114" i="10" s="1"/>
  <c r="AV114" i="10"/>
  <c r="AF115" i="10"/>
  <c r="AE114" i="10"/>
  <c r="B116" i="10"/>
  <c r="BW116" i="10" s="1"/>
  <c r="CD116" i="10" l="1"/>
  <c r="BJ116" i="10"/>
  <c r="BX115" i="10"/>
  <c r="AV115" i="10"/>
  <c r="AU115" i="10"/>
  <c r="BG115" i="10" s="1"/>
  <c r="CA116" i="10"/>
  <c r="BS116" i="10"/>
  <c r="BO116" i="10"/>
  <c r="BD116" i="10"/>
  <c r="AZ116" i="10"/>
  <c r="AR116" i="10"/>
  <c r="AN116" i="10"/>
  <c r="AI116" i="10"/>
  <c r="BZ116" i="10"/>
  <c r="BV116" i="10"/>
  <c r="BR116" i="10"/>
  <c r="BN116" i="10"/>
  <c r="BI116" i="10"/>
  <c r="AY116" i="10"/>
  <c r="AQ116" i="10"/>
  <c r="AM116" i="10"/>
  <c r="AH116" i="10"/>
  <c r="BX116" i="10" s="1"/>
  <c r="CC116" i="10"/>
  <c r="BY116" i="10"/>
  <c r="BQ116" i="10"/>
  <c r="BH116" i="10"/>
  <c r="BB116" i="10"/>
  <c r="AX116" i="10"/>
  <c r="AT116" i="10"/>
  <c r="AP116" i="10"/>
  <c r="BU116" i="10" s="1"/>
  <c r="BP116" i="10"/>
  <c r="AO116" i="10"/>
  <c r="AS116" i="10"/>
  <c r="CB116" i="10"/>
  <c r="BA116" i="10"/>
  <c r="AK116" i="10"/>
  <c r="BK116" i="10"/>
  <c r="AW116" i="10"/>
  <c r="BL116" i="10"/>
  <c r="BT115" i="10"/>
  <c r="AF116" i="10"/>
  <c r="AE115" i="10"/>
  <c r="B117" i="10"/>
  <c r="BW117" i="10" s="1"/>
  <c r="CD117" i="10" l="1"/>
  <c r="BJ117" i="10"/>
  <c r="BT116" i="10"/>
  <c r="AU116" i="10"/>
  <c r="BG116" i="10" s="1"/>
  <c r="BZ117" i="10"/>
  <c r="BP117" i="10"/>
  <c r="BK117" i="10"/>
  <c r="BA117" i="10"/>
  <c r="AW117" i="10"/>
  <c r="AR117" i="10"/>
  <c r="AN117" i="10"/>
  <c r="AI117" i="10"/>
  <c r="CC117" i="10"/>
  <c r="BY117" i="10"/>
  <c r="BS117" i="10"/>
  <c r="BO117" i="10"/>
  <c r="BD117" i="10"/>
  <c r="AZ117" i="10"/>
  <c r="AQ117" i="10"/>
  <c r="AM117" i="10"/>
  <c r="AH117" i="10"/>
  <c r="CB117" i="10"/>
  <c r="BR117" i="10"/>
  <c r="BN117" i="10"/>
  <c r="BI117" i="10"/>
  <c r="AY117" i="10"/>
  <c r="AT117" i="10"/>
  <c r="AP117" i="10"/>
  <c r="BB117" i="10"/>
  <c r="AK117" i="10"/>
  <c r="AO117" i="10"/>
  <c r="CA117" i="10"/>
  <c r="BH117" i="10"/>
  <c r="AX117" i="10"/>
  <c r="BQ117" i="10"/>
  <c r="BV117" i="10"/>
  <c r="AS117" i="10"/>
  <c r="BL117" i="10"/>
  <c r="AV116" i="10"/>
  <c r="AF117" i="10"/>
  <c r="AE116" i="10"/>
  <c r="B118" i="10"/>
  <c r="BW118" i="10" s="1"/>
  <c r="CD118" i="10" l="1"/>
  <c r="BJ118" i="10"/>
  <c r="AU117" i="10"/>
  <c r="BG117" i="10" s="1"/>
  <c r="BU117" i="10"/>
  <c r="BX117" i="10"/>
  <c r="BT117" i="10"/>
  <c r="CA118" i="10"/>
  <c r="BV118" i="10"/>
  <c r="BP118" i="10"/>
  <c r="BK118" i="10"/>
  <c r="BA118" i="10"/>
  <c r="AW118" i="10"/>
  <c r="AQ118" i="10"/>
  <c r="AM118" i="10"/>
  <c r="AH118" i="10"/>
  <c r="BZ118" i="10"/>
  <c r="BS118" i="10"/>
  <c r="BO118" i="10"/>
  <c r="BD118" i="10"/>
  <c r="AZ118" i="10"/>
  <c r="AT118" i="10"/>
  <c r="AP118" i="10"/>
  <c r="BU118" i="10" s="1"/>
  <c r="CC118" i="10"/>
  <c r="BY118" i="10"/>
  <c r="BR118" i="10"/>
  <c r="BN118" i="10"/>
  <c r="BI118" i="10"/>
  <c r="AY118" i="10"/>
  <c r="AS118" i="10"/>
  <c r="AO118" i="10"/>
  <c r="AK118" i="10"/>
  <c r="BB118" i="10"/>
  <c r="AI118" i="10"/>
  <c r="CB118" i="10"/>
  <c r="BH118" i="10"/>
  <c r="AX118" i="10"/>
  <c r="BQ118" i="10"/>
  <c r="AR118" i="10"/>
  <c r="AN118" i="10"/>
  <c r="BL118" i="10"/>
  <c r="AV117" i="10"/>
  <c r="AF118" i="10"/>
  <c r="AE117" i="10"/>
  <c r="B119" i="10"/>
  <c r="BW119" i="10" s="1"/>
  <c r="AU118" i="10" l="1"/>
  <c r="BG118" i="10" s="1"/>
  <c r="CD119" i="10"/>
  <c r="BJ119" i="10"/>
  <c r="BX118" i="10"/>
  <c r="BT118" i="10"/>
  <c r="AV118" i="10"/>
  <c r="CC119" i="10"/>
  <c r="BY119" i="10"/>
  <c r="BP119" i="10"/>
  <c r="BK119" i="10"/>
  <c r="BA119" i="10"/>
  <c r="AW119" i="10"/>
  <c r="AR119" i="10"/>
  <c r="AN119" i="10"/>
  <c r="AI119" i="10"/>
  <c r="CB119" i="10"/>
  <c r="BS119" i="10"/>
  <c r="BO119" i="10"/>
  <c r="BD119" i="10"/>
  <c r="AZ119" i="10"/>
  <c r="AQ119" i="10"/>
  <c r="AM119" i="10"/>
  <c r="AH119" i="10"/>
  <c r="CA119" i="10"/>
  <c r="BR119" i="10"/>
  <c r="BN119" i="10"/>
  <c r="BI119" i="10"/>
  <c r="AY119" i="10"/>
  <c r="AT119" i="10"/>
  <c r="AP119" i="10"/>
  <c r="BU119" i="10" s="1"/>
  <c r="BB119" i="10"/>
  <c r="AK119" i="10"/>
  <c r="BQ119" i="10"/>
  <c r="BZ119" i="10"/>
  <c r="BH119" i="10"/>
  <c r="AX119" i="10"/>
  <c r="BV119" i="10"/>
  <c r="AS119" i="10"/>
  <c r="AO119" i="10"/>
  <c r="BL119" i="10"/>
  <c r="AF119" i="10"/>
  <c r="AE118" i="10"/>
  <c r="B120" i="10"/>
  <c r="BW120" i="10" s="1"/>
  <c r="CD120" i="10" l="1"/>
  <c r="BJ120" i="10"/>
  <c r="BT119" i="10"/>
  <c r="AV119" i="10"/>
  <c r="BX119" i="10"/>
  <c r="AU119" i="10"/>
  <c r="BG119" i="10" s="1"/>
  <c r="CC120" i="10"/>
  <c r="BY120" i="10"/>
  <c r="BQ120" i="10"/>
  <c r="BH120" i="10"/>
  <c r="BB120" i="10"/>
  <c r="AX120" i="10"/>
  <c r="AT120" i="10"/>
  <c r="AP120" i="10"/>
  <c r="BU120" i="10" s="1"/>
  <c r="CB120" i="10"/>
  <c r="BP120" i="10"/>
  <c r="BK120" i="10"/>
  <c r="BA120" i="10"/>
  <c r="AW120" i="10"/>
  <c r="AS120" i="10"/>
  <c r="AO120" i="10"/>
  <c r="AK120" i="10"/>
  <c r="CA120" i="10"/>
  <c r="BS120" i="10"/>
  <c r="BO120" i="10"/>
  <c r="BD120" i="10"/>
  <c r="AZ120" i="10"/>
  <c r="AR120" i="10"/>
  <c r="AN120" i="10"/>
  <c r="AI120" i="10"/>
  <c r="BZ120" i="10"/>
  <c r="AY120" i="10"/>
  <c r="AH120" i="10"/>
  <c r="BV120" i="10"/>
  <c r="BI120" i="10"/>
  <c r="BR120" i="10"/>
  <c r="AQ120" i="10"/>
  <c r="BN120" i="10"/>
  <c r="AM120" i="10"/>
  <c r="BL120" i="10"/>
  <c r="AF120" i="10"/>
  <c r="AE119" i="10"/>
  <c r="B121" i="10"/>
  <c r="BW121" i="10" s="1"/>
  <c r="CD121" i="10" l="1"/>
  <c r="BJ121" i="10"/>
  <c r="BT120" i="10"/>
  <c r="AU120" i="10"/>
  <c r="BG120" i="10" s="1"/>
  <c r="BX120" i="10"/>
  <c r="AV120" i="10"/>
  <c r="CB121" i="10"/>
  <c r="BR121" i="10"/>
  <c r="BN121" i="10"/>
  <c r="BI121" i="10"/>
  <c r="AY121" i="10"/>
  <c r="AT121" i="10"/>
  <c r="AP121" i="10"/>
  <c r="AV121" i="10" s="1"/>
  <c r="CA121" i="10"/>
  <c r="BV121" i="10"/>
  <c r="BQ121" i="10"/>
  <c r="BH121" i="10"/>
  <c r="BB121" i="10"/>
  <c r="AX121" i="10"/>
  <c r="AS121" i="10"/>
  <c r="AO121" i="10"/>
  <c r="AK121" i="10"/>
  <c r="BZ121" i="10"/>
  <c r="BP121" i="10"/>
  <c r="BK121" i="10"/>
  <c r="BA121" i="10"/>
  <c r="AW121" i="10"/>
  <c r="AR121" i="10"/>
  <c r="AN121" i="10"/>
  <c r="AI121" i="10"/>
  <c r="BS121" i="10"/>
  <c r="AH121" i="10"/>
  <c r="BO121" i="10"/>
  <c r="BD121" i="10"/>
  <c r="AQ121" i="10"/>
  <c r="CC121" i="10"/>
  <c r="AM121" i="10"/>
  <c r="BY121" i="10"/>
  <c r="AZ121" i="10"/>
  <c r="BL121" i="10"/>
  <c r="AF121" i="10"/>
  <c r="AE120" i="10"/>
  <c r="B122" i="10"/>
  <c r="BW122" i="10" s="1"/>
  <c r="CD122" i="10" l="1"/>
  <c r="BJ122" i="10"/>
  <c r="BT121" i="10"/>
  <c r="CC122" i="10"/>
  <c r="BY122" i="10"/>
  <c r="BR122" i="10"/>
  <c r="BN122" i="10"/>
  <c r="BI122" i="10"/>
  <c r="AY122" i="10"/>
  <c r="AS122" i="10"/>
  <c r="AO122" i="10"/>
  <c r="AK122" i="10"/>
  <c r="CB122" i="10"/>
  <c r="BQ122" i="10"/>
  <c r="BH122" i="10"/>
  <c r="BB122" i="10"/>
  <c r="AX122" i="10"/>
  <c r="AR122" i="10"/>
  <c r="AN122" i="10"/>
  <c r="AI122" i="10"/>
  <c r="CA122" i="10"/>
  <c r="BV122" i="10"/>
  <c r="BP122" i="10"/>
  <c r="BK122" i="10"/>
  <c r="BA122" i="10"/>
  <c r="AW122" i="10"/>
  <c r="AQ122" i="10"/>
  <c r="AM122" i="10"/>
  <c r="AH122" i="10"/>
  <c r="BO122" i="10"/>
  <c r="BD122" i="10"/>
  <c r="AP122" i="10"/>
  <c r="BU122" i="10" s="1"/>
  <c r="AT122" i="10"/>
  <c r="BS122" i="10"/>
  <c r="BZ122" i="10"/>
  <c r="AZ122" i="10"/>
  <c r="BL122" i="10"/>
  <c r="BX121" i="10"/>
  <c r="AU121" i="10"/>
  <c r="BG121" i="10" s="1"/>
  <c r="BU121" i="10"/>
  <c r="AF122" i="10"/>
  <c r="AE121" i="10"/>
  <c r="B123" i="10"/>
  <c r="BW123" i="10" s="1"/>
  <c r="CD123" i="10" l="1"/>
  <c r="BJ123" i="10"/>
  <c r="BX122" i="10"/>
  <c r="AU122" i="10"/>
  <c r="BG122" i="10" s="1"/>
  <c r="BT122" i="10"/>
  <c r="AV122" i="10"/>
  <c r="CA123" i="10"/>
  <c r="BR123" i="10"/>
  <c r="BN123" i="10"/>
  <c r="BI123" i="10"/>
  <c r="AY123" i="10"/>
  <c r="AT123" i="10"/>
  <c r="AP123" i="10"/>
  <c r="BU123" i="10" s="1"/>
  <c r="BZ123" i="10"/>
  <c r="BV123" i="10"/>
  <c r="BQ123" i="10"/>
  <c r="BH123" i="10"/>
  <c r="BB123" i="10"/>
  <c r="AX123" i="10"/>
  <c r="AS123" i="10"/>
  <c r="AO123" i="10"/>
  <c r="AK123" i="10"/>
  <c r="CC123" i="10"/>
  <c r="BY123" i="10"/>
  <c r="BP123" i="10"/>
  <c r="BK123" i="10"/>
  <c r="BA123" i="10"/>
  <c r="AW123" i="10"/>
  <c r="AR123" i="10"/>
  <c r="AN123" i="10"/>
  <c r="AI123" i="10"/>
  <c r="CB123" i="10"/>
  <c r="AM123" i="10"/>
  <c r="BD123" i="10"/>
  <c r="AZ123" i="10"/>
  <c r="AH123" i="10"/>
  <c r="BS123" i="10"/>
  <c r="BO123" i="10"/>
  <c r="AQ123" i="10"/>
  <c r="BL123" i="10"/>
  <c r="AF123" i="10"/>
  <c r="AE122" i="10"/>
  <c r="B124" i="10"/>
  <c r="BW124" i="10" s="1"/>
  <c r="CD124" i="10" l="1"/>
  <c r="BJ124" i="10"/>
  <c r="BX123" i="10"/>
  <c r="AV123" i="10"/>
  <c r="CA124" i="10"/>
  <c r="BS124" i="10"/>
  <c r="BO124" i="10"/>
  <c r="BD124" i="10"/>
  <c r="AZ124" i="10"/>
  <c r="AR124" i="10"/>
  <c r="AN124" i="10"/>
  <c r="AI124" i="10"/>
  <c r="BZ124" i="10"/>
  <c r="BV124" i="10"/>
  <c r="BR124" i="10"/>
  <c r="BN124" i="10"/>
  <c r="BI124" i="10"/>
  <c r="AY124" i="10"/>
  <c r="AQ124" i="10"/>
  <c r="AM124" i="10"/>
  <c r="AH124" i="10"/>
  <c r="CC124" i="10"/>
  <c r="BY124" i="10"/>
  <c r="BQ124" i="10"/>
  <c r="BH124" i="10"/>
  <c r="BB124" i="10"/>
  <c r="AX124" i="10"/>
  <c r="AT124" i="10"/>
  <c r="AP124" i="10"/>
  <c r="BU124" i="10" s="1"/>
  <c r="BK124" i="10"/>
  <c r="AW124" i="10"/>
  <c r="AS124" i="10"/>
  <c r="AK124" i="10"/>
  <c r="BP124" i="10"/>
  <c r="AO124" i="10"/>
  <c r="CB124" i="10"/>
  <c r="BA124" i="10"/>
  <c r="BL124" i="10"/>
  <c r="AU123" i="10"/>
  <c r="BG123" i="10" s="1"/>
  <c r="BT123" i="10"/>
  <c r="AF124" i="10"/>
  <c r="AE123" i="10"/>
  <c r="B125" i="10"/>
  <c r="BW125" i="10" s="1"/>
  <c r="CD125" i="10" l="1"/>
  <c r="BJ125" i="10"/>
  <c r="BT124" i="10"/>
  <c r="BX124" i="10"/>
  <c r="AU124" i="10"/>
  <c r="BG124" i="10" s="1"/>
  <c r="AV124" i="10"/>
  <c r="BZ125" i="10"/>
  <c r="BP125" i="10"/>
  <c r="BK125" i="10"/>
  <c r="BA125" i="10"/>
  <c r="AW125" i="10"/>
  <c r="AR125" i="10"/>
  <c r="AN125" i="10"/>
  <c r="AI125" i="10"/>
  <c r="CC125" i="10"/>
  <c r="BY125" i="10"/>
  <c r="BS125" i="10"/>
  <c r="BO125" i="10"/>
  <c r="BD125" i="10"/>
  <c r="AZ125" i="10"/>
  <c r="AQ125" i="10"/>
  <c r="AM125" i="10"/>
  <c r="AH125" i="10"/>
  <c r="CB125" i="10"/>
  <c r="BR125" i="10"/>
  <c r="BN125" i="10"/>
  <c r="BI125" i="10"/>
  <c r="AY125" i="10"/>
  <c r="AT125" i="10"/>
  <c r="AP125" i="10"/>
  <c r="AV125" i="10" s="1"/>
  <c r="BV125" i="10"/>
  <c r="AS125" i="10"/>
  <c r="BH125" i="10"/>
  <c r="BQ125" i="10"/>
  <c r="AO125" i="10"/>
  <c r="AX125" i="10"/>
  <c r="BB125" i="10"/>
  <c r="AK125" i="10"/>
  <c r="CA125" i="10"/>
  <c r="BL125" i="10"/>
  <c r="AF125" i="10"/>
  <c r="AE124" i="10"/>
  <c r="B126" i="10"/>
  <c r="BW126" i="10" s="1"/>
  <c r="CD126" i="10" l="1"/>
  <c r="BJ126" i="10"/>
  <c r="BT125" i="10"/>
  <c r="CA126" i="10"/>
  <c r="BV126" i="10"/>
  <c r="BP126" i="10"/>
  <c r="BK126" i="10"/>
  <c r="BA126" i="10"/>
  <c r="AW126" i="10"/>
  <c r="AQ126" i="10"/>
  <c r="AM126" i="10"/>
  <c r="AH126" i="10"/>
  <c r="BZ126" i="10"/>
  <c r="BS126" i="10"/>
  <c r="BO126" i="10"/>
  <c r="BD126" i="10"/>
  <c r="AZ126" i="10"/>
  <c r="AT126" i="10"/>
  <c r="AP126" i="10"/>
  <c r="BU126" i="10" s="1"/>
  <c r="CC126" i="10"/>
  <c r="BY126" i="10"/>
  <c r="BR126" i="10"/>
  <c r="BN126" i="10"/>
  <c r="BI126" i="10"/>
  <c r="AY126" i="10"/>
  <c r="AS126" i="10"/>
  <c r="AO126" i="10"/>
  <c r="AK126" i="10"/>
  <c r="AR126" i="10"/>
  <c r="BQ126" i="10"/>
  <c r="AN126" i="10"/>
  <c r="AX126" i="10"/>
  <c r="BB126" i="10"/>
  <c r="AI126" i="10"/>
  <c r="CB126" i="10"/>
  <c r="BH126" i="10"/>
  <c r="BL126" i="10"/>
  <c r="AU125" i="10"/>
  <c r="BG125" i="10" s="1"/>
  <c r="BU125" i="10"/>
  <c r="BX125" i="10"/>
  <c r="AF126" i="10"/>
  <c r="AE125" i="10"/>
  <c r="B127" i="10"/>
  <c r="BW127" i="10" s="1"/>
  <c r="CD127" i="10" l="1"/>
  <c r="BJ127" i="10"/>
  <c r="BT126" i="10"/>
  <c r="AV126" i="10"/>
  <c r="AU126" i="10"/>
  <c r="BG126" i="10" s="1"/>
  <c r="CC127" i="10"/>
  <c r="BY127" i="10"/>
  <c r="BP127" i="10"/>
  <c r="BK127" i="10"/>
  <c r="BA127" i="10"/>
  <c r="AW127" i="10"/>
  <c r="AR127" i="10"/>
  <c r="AN127" i="10"/>
  <c r="AI127" i="10"/>
  <c r="CB127" i="10"/>
  <c r="BS127" i="10"/>
  <c r="BO127" i="10"/>
  <c r="BD127" i="10"/>
  <c r="AZ127" i="10"/>
  <c r="AQ127" i="10"/>
  <c r="AM127" i="10"/>
  <c r="AH127" i="10"/>
  <c r="CA127" i="10"/>
  <c r="BR127" i="10"/>
  <c r="BN127" i="10"/>
  <c r="BI127" i="10"/>
  <c r="AY127" i="10"/>
  <c r="AT127" i="10"/>
  <c r="AP127" i="10"/>
  <c r="BU127" i="10" s="1"/>
  <c r="BV127" i="10"/>
  <c r="AS127" i="10"/>
  <c r="BQ127" i="10"/>
  <c r="AO127" i="10"/>
  <c r="BZ127" i="10"/>
  <c r="AX127" i="10"/>
  <c r="BB127" i="10"/>
  <c r="AK127" i="10"/>
  <c r="BH127" i="10"/>
  <c r="BL127" i="10"/>
  <c r="BX126" i="10"/>
  <c r="AF127" i="10"/>
  <c r="AE126" i="10"/>
  <c r="B128" i="10"/>
  <c r="BW128" i="10" s="1"/>
  <c r="CD128" i="10" l="1"/>
  <c r="BJ128" i="10"/>
  <c r="BT127" i="10"/>
  <c r="BX127" i="10"/>
  <c r="AV127" i="10"/>
  <c r="CC128" i="10"/>
  <c r="BY128" i="10"/>
  <c r="BQ128" i="10"/>
  <c r="BH128" i="10"/>
  <c r="BB128" i="10"/>
  <c r="AX128" i="10"/>
  <c r="AT128" i="10"/>
  <c r="AP128" i="10"/>
  <c r="BU128" i="10" s="1"/>
  <c r="CB128" i="10"/>
  <c r="BP128" i="10"/>
  <c r="BK128" i="10"/>
  <c r="BA128" i="10"/>
  <c r="AW128" i="10"/>
  <c r="AS128" i="10"/>
  <c r="AO128" i="10"/>
  <c r="AK128" i="10"/>
  <c r="CA128" i="10"/>
  <c r="BS128" i="10"/>
  <c r="BO128" i="10"/>
  <c r="BD128" i="10"/>
  <c r="AZ128" i="10"/>
  <c r="AR128" i="10"/>
  <c r="AN128" i="10"/>
  <c r="AI128" i="10"/>
  <c r="BR128" i="10"/>
  <c r="AQ128" i="10"/>
  <c r="BN128" i="10"/>
  <c r="AM128" i="10"/>
  <c r="BI128" i="10"/>
  <c r="BZ128" i="10"/>
  <c r="AY128" i="10"/>
  <c r="AH128" i="10"/>
  <c r="BV128" i="10"/>
  <c r="BL128" i="10"/>
  <c r="AU127" i="10"/>
  <c r="BG127" i="10" s="1"/>
  <c r="AF128" i="10"/>
  <c r="AE127" i="10"/>
  <c r="B129" i="10"/>
  <c r="BW129" i="10" s="1"/>
  <c r="CD129" i="10" l="1"/>
  <c r="BJ129" i="10"/>
  <c r="BX128" i="10"/>
  <c r="AU128" i="10"/>
  <c r="BG128" i="10" s="1"/>
  <c r="BT128" i="10"/>
  <c r="AV128" i="10"/>
  <c r="CB129" i="10"/>
  <c r="BR129" i="10"/>
  <c r="BN129" i="10"/>
  <c r="BI129" i="10"/>
  <c r="AY129" i="10"/>
  <c r="AT129" i="10"/>
  <c r="AP129" i="10"/>
  <c r="AV129" i="10" s="1"/>
  <c r="CA129" i="10"/>
  <c r="BV129" i="10"/>
  <c r="BQ129" i="10"/>
  <c r="BH129" i="10"/>
  <c r="BB129" i="10"/>
  <c r="AX129" i="10"/>
  <c r="AS129" i="10"/>
  <c r="AO129" i="10"/>
  <c r="AK129" i="10"/>
  <c r="BZ129" i="10"/>
  <c r="BP129" i="10"/>
  <c r="BK129" i="10"/>
  <c r="BA129" i="10"/>
  <c r="AW129" i="10"/>
  <c r="AR129" i="10"/>
  <c r="AN129" i="10"/>
  <c r="AI129" i="10"/>
  <c r="CC129" i="10"/>
  <c r="AM129" i="10"/>
  <c r="BY129" i="10"/>
  <c r="AZ129" i="10"/>
  <c r="AH129" i="10"/>
  <c r="AQ129" i="10"/>
  <c r="BS129" i="10"/>
  <c r="BO129" i="10"/>
  <c r="BD129" i="10"/>
  <c r="BL129" i="10"/>
  <c r="AF129" i="10"/>
  <c r="AE128" i="10"/>
  <c r="B130" i="10"/>
  <c r="BW130" i="10" s="1"/>
  <c r="CD130" i="10" l="1"/>
  <c r="BJ130" i="10"/>
  <c r="BT129" i="10"/>
  <c r="CC130" i="10"/>
  <c r="BY130" i="10"/>
  <c r="BR130" i="10"/>
  <c r="BN130" i="10"/>
  <c r="BI130" i="10"/>
  <c r="AY130" i="10"/>
  <c r="AS130" i="10"/>
  <c r="AO130" i="10"/>
  <c r="AK130" i="10"/>
  <c r="CB130" i="10"/>
  <c r="BQ130" i="10"/>
  <c r="BH130" i="10"/>
  <c r="BB130" i="10"/>
  <c r="AX130" i="10"/>
  <c r="AR130" i="10"/>
  <c r="AN130" i="10"/>
  <c r="AI130" i="10"/>
  <c r="CA130" i="10"/>
  <c r="BV130" i="10"/>
  <c r="BP130" i="10"/>
  <c r="BK130" i="10"/>
  <c r="BA130" i="10"/>
  <c r="AW130" i="10"/>
  <c r="AQ130" i="10"/>
  <c r="AM130" i="10"/>
  <c r="AH130" i="10"/>
  <c r="BZ130" i="10"/>
  <c r="AZ130" i="10"/>
  <c r="BS130" i="10"/>
  <c r="AT130" i="10"/>
  <c r="BO130" i="10"/>
  <c r="BD130" i="10"/>
  <c r="AP130" i="10"/>
  <c r="BU130" i="10" s="1"/>
  <c r="BL130" i="10"/>
  <c r="BX129" i="10"/>
  <c r="AU129" i="10"/>
  <c r="BG129" i="10" s="1"/>
  <c r="BU129" i="10"/>
  <c r="AF130" i="10"/>
  <c r="AE129" i="10"/>
  <c r="B131" i="10"/>
  <c r="BW131" i="10" s="1"/>
  <c r="CD131" i="10" l="1"/>
  <c r="BJ131" i="10"/>
  <c r="BX130" i="10"/>
  <c r="AV130" i="10"/>
  <c r="CA131" i="10"/>
  <c r="BR131" i="10"/>
  <c r="BN131" i="10"/>
  <c r="BI131" i="10"/>
  <c r="AY131" i="10"/>
  <c r="AT131" i="10"/>
  <c r="AP131" i="10"/>
  <c r="BU131" i="10" s="1"/>
  <c r="BZ131" i="10"/>
  <c r="BV131" i="10"/>
  <c r="BQ131" i="10"/>
  <c r="BH131" i="10"/>
  <c r="BB131" i="10"/>
  <c r="AX131" i="10"/>
  <c r="AS131" i="10"/>
  <c r="AO131" i="10"/>
  <c r="AK131" i="10"/>
  <c r="CC131" i="10"/>
  <c r="BY131" i="10"/>
  <c r="BP131" i="10"/>
  <c r="BK131" i="10"/>
  <c r="BA131" i="10"/>
  <c r="AW131" i="10"/>
  <c r="AR131" i="10"/>
  <c r="AN131" i="10"/>
  <c r="AI131" i="10"/>
  <c r="BS131" i="10"/>
  <c r="BO131" i="10"/>
  <c r="BD131" i="10"/>
  <c r="AQ131" i="10"/>
  <c r="CB131" i="10"/>
  <c r="AM131" i="10"/>
  <c r="AZ131" i="10"/>
  <c r="AH131" i="10"/>
  <c r="BL131" i="10"/>
  <c r="AU130" i="10"/>
  <c r="BG130" i="10" s="1"/>
  <c r="BT130" i="10"/>
  <c r="AF131" i="10"/>
  <c r="AE130" i="10"/>
  <c r="B132" i="10"/>
  <c r="BW132" i="10" s="1"/>
  <c r="CD132" i="10" l="1"/>
  <c r="BJ132" i="10"/>
  <c r="AU131" i="10"/>
  <c r="BG131" i="10" s="1"/>
  <c r="AV131" i="10"/>
  <c r="CA132" i="10"/>
  <c r="BS132" i="10"/>
  <c r="BO132" i="10"/>
  <c r="BD132" i="10"/>
  <c r="AZ132" i="10"/>
  <c r="AR132" i="10"/>
  <c r="AN132" i="10"/>
  <c r="AI132" i="10"/>
  <c r="BZ132" i="10"/>
  <c r="BV132" i="10"/>
  <c r="BR132" i="10"/>
  <c r="BN132" i="10"/>
  <c r="BI132" i="10"/>
  <c r="AY132" i="10"/>
  <c r="AQ132" i="10"/>
  <c r="AM132" i="10"/>
  <c r="AH132" i="10"/>
  <c r="CC132" i="10"/>
  <c r="BY132" i="10"/>
  <c r="BQ132" i="10"/>
  <c r="BH132" i="10"/>
  <c r="BB132" i="10"/>
  <c r="AX132" i="10"/>
  <c r="AT132" i="10"/>
  <c r="AP132" i="10"/>
  <c r="BU132" i="10" s="1"/>
  <c r="BP132" i="10"/>
  <c r="AO132" i="10"/>
  <c r="CB132" i="10"/>
  <c r="BA132" i="10"/>
  <c r="AK132" i="10"/>
  <c r="BK132" i="10"/>
  <c r="AW132" i="10"/>
  <c r="AS132" i="10"/>
  <c r="BL132" i="10"/>
  <c r="BX131" i="10"/>
  <c r="BT131" i="10"/>
  <c r="AF132" i="10"/>
  <c r="AE131" i="10"/>
  <c r="B133" i="10"/>
  <c r="BW133" i="10" s="1"/>
  <c r="CD133" i="10" l="1"/>
  <c r="BJ133" i="10"/>
  <c r="BT132" i="10"/>
  <c r="BX132" i="10"/>
  <c r="AV132" i="10"/>
  <c r="AU132" i="10"/>
  <c r="BG132" i="10" s="1"/>
  <c r="BZ133" i="10"/>
  <c r="BP133" i="10"/>
  <c r="BK133" i="10"/>
  <c r="BA133" i="10"/>
  <c r="AW133" i="10"/>
  <c r="AR133" i="10"/>
  <c r="AN133" i="10"/>
  <c r="AI133" i="10"/>
  <c r="CC133" i="10"/>
  <c r="BY133" i="10"/>
  <c r="BS133" i="10"/>
  <c r="BO133" i="10"/>
  <c r="BD133" i="10"/>
  <c r="AZ133" i="10"/>
  <c r="AQ133" i="10"/>
  <c r="AM133" i="10"/>
  <c r="AH133" i="10"/>
  <c r="CB133" i="10"/>
  <c r="BR133" i="10"/>
  <c r="BN133" i="10"/>
  <c r="BI133" i="10"/>
  <c r="AY133" i="10"/>
  <c r="AT133" i="10"/>
  <c r="AP133" i="10"/>
  <c r="BB133" i="10"/>
  <c r="AK133" i="10"/>
  <c r="CA133" i="10"/>
  <c r="BH133" i="10"/>
  <c r="AX133" i="10"/>
  <c r="BQ133" i="10"/>
  <c r="BV133" i="10"/>
  <c r="AS133" i="10"/>
  <c r="AO133" i="10"/>
  <c r="BL133" i="10"/>
  <c r="AF133" i="10"/>
  <c r="AE132" i="10"/>
  <c r="B134" i="10"/>
  <c r="BW134" i="10" s="1"/>
  <c r="CD134" i="10" l="1"/>
  <c r="BJ134" i="10"/>
  <c r="BT133" i="10"/>
  <c r="CA134" i="10"/>
  <c r="BV134" i="10"/>
  <c r="BP134" i="10"/>
  <c r="BK134" i="10"/>
  <c r="BA134" i="10"/>
  <c r="AW134" i="10"/>
  <c r="AQ134" i="10"/>
  <c r="AM134" i="10"/>
  <c r="AH134" i="10"/>
  <c r="BZ134" i="10"/>
  <c r="BS134" i="10"/>
  <c r="BO134" i="10"/>
  <c r="BD134" i="10"/>
  <c r="AZ134" i="10"/>
  <c r="AT134" i="10"/>
  <c r="AP134" i="10"/>
  <c r="BU134" i="10" s="1"/>
  <c r="CC134" i="10"/>
  <c r="BY134" i="10"/>
  <c r="BR134" i="10"/>
  <c r="BN134" i="10"/>
  <c r="BI134" i="10"/>
  <c r="AY134" i="10"/>
  <c r="AS134" i="10"/>
  <c r="AO134" i="10"/>
  <c r="AK134" i="10"/>
  <c r="BB134" i="10"/>
  <c r="AI134" i="10"/>
  <c r="BQ134" i="10"/>
  <c r="CB134" i="10"/>
  <c r="BH134" i="10"/>
  <c r="AX134" i="10"/>
  <c r="AR134" i="10"/>
  <c r="AN134" i="10"/>
  <c r="BL134" i="10"/>
  <c r="BX133" i="10"/>
  <c r="AU133" i="10"/>
  <c r="BG133" i="10" s="1"/>
  <c r="BU133" i="10"/>
  <c r="AV133" i="10"/>
  <c r="AF134" i="10"/>
  <c r="AE133" i="10"/>
  <c r="B135" i="10"/>
  <c r="BW135" i="10" s="1"/>
  <c r="CD135" i="10" l="1"/>
  <c r="BJ135" i="10"/>
  <c r="BX134" i="10"/>
  <c r="BT134" i="10"/>
  <c r="AV134" i="10"/>
  <c r="AU134" i="10"/>
  <c r="BG134" i="10" s="1"/>
  <c r="CC135" i="10"/>
  <c r="BY135" i="10"/>
  <c r="BP135" i="10"/>
  <c r="BK135" i="10"/>
  <c r="BA135" i="10"/>
  <c r="AW135" i="10"/>
  <c r="AR135" i="10"/>
  <c r="AN135" i="10"/>
  <c r="AI135" i="10"/>
  <c r="CB135" i="10"/>
  <c r="BS135" i="10"/>
  <c r="BO135" i="10"/>
  <c r="BD135" i="10"/>
  <c r="AZ135" i="10"/>
  <c r="AQ135" i="10"/>
  <c r="AM135" i="10"/>
  <c r="AH135" i="10"/>
  <c r="CA135" i="10"/>
  <c r="BR135" i="10"/>
  <c r="BN135" i="10"/>
  <c r="BI135" i="10"/>
  <c r="AY135" i="10"/>
  <c r="AT135" i="10"/>
  <c r="AP135" i="10"/>
  <c r="BU135" i="10" s="1"/>
  <c r="BB135" i="10"/>
  <c r="AK135" i="10"/>
  <c r="BZ135" i="10"/>
  <c r="BH135" i="10"/>
  <c r="AX135" i="10"/>
  <c r="BV135" i="10"/>
  <c r="AS135" i="10"/>
  <c r="BQ135" i="10"/>
  <c r="AO135" i="10"/>
  <c r="BL135" i="10"/>
  <c r="AF135" i="10"/>
  <c r="AE134" i="10"/>
  <c r="B136" i="10"/>
  <c r="BW136" i="10" s="1"/>
  <c r="CD136" i="10" l="1"/>
  <c r="BJ136" i="10"/>
  <c r="BT135" i="10"/>
  <c r="BX135" i="10"/>
  <c r="AV135" i="10"/>
  <c r="CC136" i="10"/>
  <c r="BY136" i="10"/>
  <c r="BQ136" i="10"/>
  <c r="BH136" i="10"/>
  <c r="BB136" i="10"/>
  <c r="AX136" i="10"/>
  <c r="AT136" i="10"/>
  <c r="AP136" i="10"/>
  <c r="BU136" i="10" s="1"/>
  <c r="CB136" i="10"/>
  <c r="BP136" i="10"/>
  <c r="BK136" i="10"/>
  <c r="BA136" i="10"/>
  <c r="AW136" i="10"/>
  <c r="AS136" i="10"/>
  <c r="AO136" i="10"/>
  <c r="AK136" i="10"/>
  <c r="CA136" i="10"/>
  <c r="BS136" i="10"/>
  <c r="BO136" i="10"/>
  <c r="BD136" i="10"/>
  <c r="AZ136" i="10"/>
  <c r="AR136" i="10"/>
  <c r="AN136" i="10"/>
  <c r="AI136" i="10"/>
  <c r="BZ136" i="10"/>
  <c r="AY136" i="10"/>
  <c r="AH136" i="10"/>
  <c r="BN136" i="10"/>
  <c r="BV136" i="10"/>
  <c r="BI136" i="10"/>
  <c r="AM136" i="10"/>
  <c r="BR136" i="10"/>
  <c r="AQ136" i="10"/>
  <c r="BL136" i="10"/>
  <c r="AU135" i="10"/>
  <c r="BG135" i="10" s="1"/>
  <c r="AF136" i="10"/>
  <c r="AE135" i="10"/>
  <c r="B137" i="10"/>
  <c r="BW137" i="10" s="1"/>
  <c r="CD137" i="10" l="1"/>
  <c r="BJ137" i="10"/>
  <c r="BX136" i="10"/>
  <c r="BT136" i="10"/>
  <c r="AU136" i="10"/>
  <c r="BG136" i="10" s="1"/>
  <c r="AV136" i="10"/>
  <c r="BZ137" i="10"/>
  <c r="BQ137" i="10"/>
  <c r="BH137" i="10"/>
  <c r="BB137" i="10"/>
  <c r="AX137" i="10"/>
  <c r="AT137" i="10"/>
  <c r="AP137" i="10"/>
  <c r="BU137" i="10" s="1"/>
  <c r="CC137" i="10"/>
  <c r="BY137" i="10"/>
  <c r="BP137" i="10"/>
  <c r="BK137" i="10"/>
  <c r="BA137" i="10"/>
  <c r="AW137" i="10"/>
  <c r="AS137" i="10"/>
  <c r="AO137" i="10"/>
  <c r="AK137" i="10"/>
  <c r="CB137" i="10"/>
  <c r="BS137" i="10"/>
  <c r="BO137" i="10"/>
  <c r="BD137" i="10"/>
  <c r="AZ137" i="10"/>
  <c r="AR137" i="10"/>
  <c r="AN137" i="10"/>
  <c r="AI137" i="10"/>
  <c r="BV137" i="10"/>
  <c r="BI137" i="10"/>
  <c r="CA137" i="10"/>
  <c r="BR137" i="10"/>
  <c r="AQ137" i="10"/>
  <c r="AY137" i="10"/>
  <c r="BN137" i="10"/>
  <c r="AM137" i="10"/>
  <c r="AH137" i="10"/>
  <c r="BL137" i="10"/>
  <c r="AF137" i="10"/>
  <c r="AE136" i="10"/>
  <c r="B138" i="10"/>
  <c r="BW138" i="10" s="1"/>
  <c r="CD138" i="10" l="1"/>
  <c r="BJ138" i="10"/>
  <c r="BX137" i="10"/>
  <c r="BT137" i="10"/>
  <c r="AV137" i="10"/>
  <c r="CA138" i="10"/>
  <c r="BV138" i="10"/>
  <c r="BP138" i="10"/>
  <c r="BK138" i="10"/>
  <c r="BA138" i="10"/>
  <c r="AW138" i="10"/>
  <c r="AQ138" i="10"/>
  <c r="AM138" i="10"/>
  <c r="AH138" i="10"/>
  <c r="BZ138" i="10"/>
  <c r="BS138" i="10"/>
  <c r="BO138" i="10"/>
  <c r="BD138" i="10"/>
  <c r="AZ138" i="10"/>
  <c r="AT138" i="10"/>
  <c r="AP138" i="10"/>
  <c r="BU138" i="10" s="1"/>
  <c r="CC138" i="10"/>
  <c r="BY138" i="10"/>
  <c r="BR138" i="10"/>
  <c r="BN138" i="10"/>
  <c r="BI138" i="10"/>
  <c r="AY138" i="10"/>
  <c r="AS138" i="10"/>
  <c r="AO138" i="10"/>
  <c r="AK138" i="10"/>
  <c r="AR138" i="10"/>
  <c r="CB138" i="10"/>
  <c r="BQ138" i="10"/>
  <c r="AN138" i="10"/>
  <c r="AX138" i="10"/>
  <c r="BB138" i="10"/>
  <c r="AI138" i="10"/>
  <c r="BH138" i="10"/>
  <c r="BL138" i="10"/>
  <c r="AU137" i="10"/>
  <c r="BG137" i="10" s="1"/>
  <c r="AF138" i="10"/>
  <c r="AE137" i="10"/>
  <c r="B139" i="10"/>
  <c r="BW139" i="10" s="1"/>
  <c r="CD139" i="10" l="1"/>
  <c r="BJ139" i="10"/>
  <c r="BX138" i="10"/>
  <c r="BT138" i="10"/>
  <c r="AU138" i="10"/>
  <c r="BG138" i="10" s="1"/>
  <c r="AV138" i="10"/>
  <c r="CC139" i="10"/>
  <c r="BY139" i="10"/>
  <c r="BP139" i="10"/>
  <c r="BK139" i="10"/>
  <c r="BA139" i="10"/>
  <c r="AW139" i="10"/>
  <c r="AR139" i="10"/>
  <c r="AN139" i="10"/>
  <c r="AI139" i="10"/>
  <c r="CB139" i="10"/>
  <c r="BS139" i="10"/>
  <c r="BO139" i="10"/>
  <c r="BD139" i="10"/>
  <c r="AZ139" i="10"/>
  <c r="AQ139" i="10"/>
  <c r="AM139" i="10"/>
  <c r="AH139" i="10"/>
  <c r="CA139" i="10"/>
  <c r="BR139" i="10"/>
  <c r="BN139" i="10"/>
  <c r="BI139" i="10"/>
  <c r="AY139" i="10"/>
  <c r="AT139" i="10"/>
  <c r="AP139" i="10"/>
  <c r="BU139" i="10" s="1"/>
  <c r="BV139" i="10"/>
  <c r="AS139" i="10"/>
  <c r="BQ139" i="10"/>
  <c r="AO139" i="10"/>
  <c r="BZ139" i="10"/>
  <c r="AX139" i="10"/>
  <c r="BB139" i="10"/>
  <c r="AK139" i="10"/>
  <c r="BH139" i="10"/>
  <c r="BL139" i="10"/>
  <c r="AF139" i="10"/>
  <c r="AE138" i="10"/>
  <c r="B140" i="10"/>
  <c r="BW140" i="10" s="1"/>
  <c r="CD140" i="10" l="1"/>
  <c r="BJ140" i="10"/>
  <c r="BT139" i="10"/>
  <c r="BX139" i="10"/>
  <c r="AV139" i="10"/>
  <c r="AU139" i="10"/>
  <c r="BG139" i="10" s="1"/>
  <c r="CC140" i="10"/>
  <c r="BY140" i="10"/>
  <c r="BQ140" i="10"/>
  <c r="BH140" i="10"/>
  <c r="BB140" i="10"/>
  <c r="AX140" i="10"/>
  <c r="AT140" i="10"/>
  <c r="AP140" i="10"/>
  <c r="BU140" i="10" s="1"/>
  <c r="CB140" i="10"/>
  <c r="BP140" i="10"/>
  <c r="BK140" i="10"/>
  <c r="BA140" i="10"/>
  <c r="AW140" i="10"/>
  <c r="AS140" i="10"/>
  <c r="AO140" i="10"/>
  <c r="AK140" i="10"/>
  <c r="CA140" i="10"/>
  <c r="BS140" i="10"/>
  <c r="BO140" i="10"/>
  <c r="BD140" i="10"/>
  <c r="AZ140" i="10"/>
  <c r="AR140" i="10"/>
  <c r="AN140" i="10"/>
  <c r="AI140" i="10"/>
  <c r="BR140" i="10"/>
  <c r="AQ140" i="10"/>
  <c r="BV140" i="10"/>
  <c r="BN140" i="10"/>
  <c r="AM140" i="10"/>
  <c r="BZ140" i="10"/>
  <c r="AY140" i="10"/>
  <c r="AH140" i="10"/>
  <c r="BI140" i="10"/>
  <c r="BL140" i="10"/>
  <c r="AF140" i="10"/>
  <c r="AE139" i="10"/>
  <c r="B141" i="10"/>
  <c r="BW141" i="10" s="1"/>
  <c r="CD141" i="10" l="1"/>
  <c r="BJ141" i="10"/>
  <c r="AV140" i="10"/>
  <c r="AU140" i="10"/>
  <c r="BG140" i="10" s="1"/>
  <c r="BX140" i="10"/>
  <c r="CC141" i="10"/>
  <c r="BY141" i="10"/>
  <c r="BQ141" i="10"/>
  <c r="BH141" i="10"/>
  <c r="BB141" i="10"/>
  <c r="AX141" i="10"/>
  <c r="AT141" i="10"/>
  <c r="AP141" i="10"/>
  <c r="BU141" i="10" s="1"/>
  <c r="CB141" i="10"/>
  <c r="BP141" i="10"/>
  <c r="BK141" i="10"/>
  <c r="BA141" i="10"/>
  <c r="AW141" i="10"/>
  <c r="AS141" i="10"/>
  <c r="AO141" i="10"/>
  <c r="AK141" i="10"/>
  <c r="CA141" i="10"/>
  <c r="BS141" i="10"/>
  <c r="BO141" i="10"/>
  <c r="BD141" i="10"/>
  <c r="AZ141" i="10"/>
  <c r="AR141" i="10"/>
  <c r="AN141" i="10"/>
  <c r="AI141" i="10"/>
  <c r="BN141" i="10"/>
  <c r="AM141" i="10"/>
  <c r="BZ141" i="10"/>
  <c r="AY141" i="10"/>
  <c r="AH141" i="10"/>
  <c r="BR141" i="10"/>
  <c r="BV141" i="10"/>
  <c r="BI141" i="10"/>
  <c r="AQ141" i="10"/>
  <c r="BL141" i="10"/>
  <c r="BT140" i="10"/>
  <c r="AF141" i="10"/>
  <c r="AE140" i="10"/>
  <c r="B142" i="10"/>
  <c r="BW142" i="10" s="1"/>
  <c r="CD142" i="10" l="1"/>
  <c r="BJ142" i="10"/>
  <c r="AU141" i="10"/>
  <c r="BG141" i="10" s="1"/>
  <c r="AV141" i="10"/>
  <c r="BX141" i="10"/>
  <c r="CB142" i="10"/>
  <c r="BQ142" i="10"/>
  <c r="BH142" i="10"/>
  <c r="BB142" i="10"/>
  <c r="BZ142" i="10"/>
  <c r="BR142" i="10"/>
  <c r="AZ142" i="10"/>
  <c r="AT142" i="10"/>
  <c r="AP142" i="10"/>
  <c r="BU142" i="10" s="1"/>
  <c r="BY142" i="10"/>
  <c r="BP142" i="10"/>
  <c r="BK142" i="10"/>
  <c r="BD142" i="10"/>
  <c r="AY142" i="10"/>
  <c r="AS142" i="10"/>
  <c r="AO142" i="10"/>
  <c r="AK142" i="10"/>
  <c r="CC142" i="10"/>
  <c r="BV142" i="10"/>
  <c r="BO142" i="10"/>
  <c r="AX142" i="10"/>
  <c r="AR142" i="10"/>
  <c r="AN142" i="10"/>
  <c r="AI142" i="10"/>
  <c r="BA142" i="10"/>
  <c r="AH142" i="10"/>
  <c r="CA142" i="10"/>
  <c r="BI142" i="10"/>
  <c r="AW142" i="10"/>
  <c r="BS142" i="10"/>
  <c r="AQ142" i="10"/>
  <c r="BN142" i="10"/>
  <c r="AM142" i="10"/>
  <c r="BL142" i="10"/>
  <c r="BT141" i="10"/>
  <c r="AF142" i="10"/>
  <c r="AE141" i="10"/>
  <c r="B143" i="10"/>
  <c r="BW143" i="10" s="1"/>
  <c r="CD143" i="10" l="1"/>
  <c r="BJ143" i="10"/>
  <c r="BX142" i="10"/>
  <c r="BT142" i="10"/>
  <c r="AV142" i="10"/>
  <c r="AU142" i="10"/>
  <c r="BG142" i="10" s="1"/>
  <c r="BZ143" i="10"/>
  <c r="BV143" i="10"/>
  <c r="BQ143" i="10"/>
  <c r="BH143" i="10"/>
  <c r="BB143" i="10"/>
  <c r="AX143" i="10"/>
  <c r="AS143" i="10"/>
  <c r="AO143" i="10"/>
  <c r="AK143" i="10"/>
  <c r="BY143" i="10"/>
  <c r="BS143" i="10"/>
  <c r="BN143" i="10"/>
  <c r="BI143" i="10"/>
  <c r="BA143" i="10"/>
  <c r="AP143" i="10"/>
  <c r="BU143" i="10" s="1"/>
  <c r="AI143" i="10"/>
  <c r="CC143" i="10"/>
  <c r="BR143" i="10"/>
  <c r="AZ143" i="10"/>
  <c r="AT143" i="10"/>
  <c r="AN143" i="10"/>
  <c r="AH143" i="10"/>
  <c r="CB143" i="10"/>
  <c r="BP143" i="10"/>
  <c r="BK143" i="10"/>
  <c r="BD143" i="10"/>
  <c r="AY143" i="10"/>
  <c r="AR143" i="10"/>
  <c r="AM143" i="10"/>
  <c r="CA143" i="10"/>
  <c r="BO143" i="10"/>
  <c r="AQ143" i="10"/>
  <c r="AW143" i="10"/>
  <c r="BL143" i="10"/>
  <c r="AF143" i="10"/>
  <c r="AE142" i="10"/>
  <c r="B144" i="10"/>
  <c r="BW144" i="10" s="1"/>
  <c r="CD144" i="10" l="1"/>
  <c r="BJ144" i="10"/>
  <c r="AV143" i="10"/>
  <c r="BX143" i="10"/>
  <c r="AU143" i="10"/>
  <c r="BG143" i="10" s="1"/>
  <c r="BZ144" i="10"/>
  <c r="BV144" i="10"/>
  <c r="BR144" i="10"/>
  <c r="BN144" i="10"/>
  <c r="BI144" i="10"/>
  <c r="AY144" i="10"/>
  <c r="AQ144" i="10"/>
  <c r="AM144" i="10"/>
  <c r="AH144" i="10"/>
  <c r="CB144" i="10"/>
  <c r="BQ144" i="10"/>
  <c r="BK144" i="10"/>
  <c r="BD144" i="10"/>
  <c r="AZ144" i="10"/>
  <c r="AT144" i="10"/>
  <c r="AO144" i="10"/>
  <c r="AI144" i="10"/>
  <c r="CA144" i="10"/>
  <c r="BP144" i="10"/>
  <c r="AX144" i="10"/>
  <c r="AS144" i="10"/>
  <c r="AN144" i="10"/>
  <c r="BY144" i="10"/>
  <c r="BO144" i="10"/>
  <c r="BH144" i="10"/>
  <c r="BB144" i="10"/>
  <c r="AW144" i="10"/>
  <c r="AR144" i="10"/>
  <c r="CC144" i="10"/>
  <c r="AP144" i="10"/>
  <c r="BU144" i="10" s="1"/>
  <c r="BA144" i="10"/>
  <c r="AK144" i="10"/>
  <c r="BS144" i="10"/>
  <c r="BL144" i="10"/>
  <c r="BT143" i="10"/>
  <c r="AF144" i="10"/>
  <c r="AE143" i="10"/>
  <c r="B145" i="10"/>
  <c r="BW145" i="10" s="1"/>
  <c r="CD145" i="10" l="1"/>
  <c r="BJ145" i="10"/>
  <c r="BT144" i="10"/>
  <c r="BX144" i="10"/>
  <c r="BZ145" i="10"/>
  <c r="BV145" i="10"/>
  <c r="BR145" i="10"/>
  <c r="BN145" i="10"/>
  <c r="BI145" i="10"/>
  <c r="AY145" i="10"/>
  <c r="AQ145" i="10"/>
  <c r="AM145" i="10"/>
  <c r="AH145" i="10"/>
  <c r="BY145" i="10"/>
  <c r="BO145" i="10"/>
  <c r="BH145" i="10"/>
  <c r="BB145" i="10"/>
  <c r="AW145" i="10"/>
  <c r="AR145" i="10"/>
  <c r="CC145" i="10"/>
  <c r="BS145" i="10"/>
  <c r="BA145" i="10"/>
  <c r="AP145" i="10"/>
  <c r="BU145" i="10" s="1"/>
  <c r="AK145" i="10"/>
  <c r="CB145" i="10"/>
  <c r="BQ145" i="10"/>
  <c r="BK145" i="10"/>
  <c r="BD145" i="10"/>
  <c r="AZ145" i="10"/>
  <c r="AT145" i="10"/>
  <c r="AO145" i="10"/>
  <c r="AI145" i="10"/>
  <c r="AN145" i="10"/>
  <c r="AS145" i="10"/>
  <c r="BP145" i="10"/>
  <c r="AX145" i="10"/>
  <c r="CA145" i="10"/>
  <c r="BL145" i="10"/>
  <c r="AU144" i="10"/>
  <c r="BG144" i="10" s="1"/>
  <c r="AV144" i="10"/>
  <c r="AF145" i="10"/>
  <c r="AE144" i="10"/>
  <c r="B146" i="10"/>
  <c r="BW146" i="10" s="1"/>
  <c r="CD146" i="10" l="1"/>
  <c r="BJ146" i="10"/>
  <c r="BT145" i="10"/>
  <c r="BX145" i="10"/>
  <c r="CA146" i="10"/>
  <c r="BV146" i="10"/>
  <c r="BP146" i="10"/>
  <c r="BK146" i="10"/>
  <c r="BA146" i="10"/>
  <c r="AW146" i="10"/>
  <c r="AQ146" i="10"/>
  <c r="AM146" i="10"/>
  <c r="AH146" i="10"/>
  <c r="CB146" i="10"/>
  <c r="BS146" i="10"/>
  <c r="BN146" i="10"/>
  <c r="BH146" i="10"/>
  <c r="BB146" i="10"/>
  <c r="AT146" i="10"/>
  <c r="AO146" i="10"/>
  <c r="AI146" i="10"/>
  <c r="BZ146" i="10"/>
  <c r="BR146" i="10"/>
  <c r="AZ146" i="10"/>
  <c r="AS146" i="10"/>
  <c r="AN146" i="10"/>
  <c r="BY146" i="10"/>
  <c r="BQ146" i="10"/>
  <c r="BD146" i="10"/>
  <c r="AY146" i="10"/>
  <c r="AR146" i="10"/>
  <c r="AX146" i="10"/>
  <c r="BO146" i="10"/>
  <c r="CC146" i="10"/>
  <c r="BI146" i="10"/>
  <c r="AP146" i="10"/>
  <c r="BU146" i="10" s="1"/>
  <c r="AK146" i="10"/>
  <c r="BL146" i="10"/>
  <c r="AV145" i="10"/>
  <c r="AU145" i="10"/>
  <c r="BG145" i="10" s="1"/>
  <c r="AF146" i="10"/>
  <c r="AE145" i="10"/>
  <c r="B147" i="10"/>
  <c r="BW147" i="10" s="1"/>
  <c r="CD147" i="10" l="1"/>
  <c r="BJ147" i="10"/>
  <c r="BX146" i="10"/>
  <c r="BT146" i="10"/>
  <c r="AU146" i="10"/>
  <c r="BG146" i="10" s="1"/>
  <c r="AV146" i="10"/>
  <c r="CC147" i="10"/>
  <c r="BY147" i="10"/>
  <c r="BP147" i="10"/>
  <c r="BK147" i="10"/>
  <c r="BA147" i="10"/>
  <c r="AW147" i="10"/>
  <c r="AR147" i="10"/>
  <c r="AN147" i="10"/>
  <c r="AI147" i="10"/>
  <c r="CA147" i="10"/>
  <c r="BV147" i="10"/>
  <c r="BO147" i="10"/>
  <c r="BI147" i="10"/>
  <c r="AX147" i="10"/>
  <c r="AQ147" i="10"/>
  <c r="BZ147" i="10"/>
  <c r="BS147" i="10"/>
  <c r="BN147" i="10"/>
  <c r="BH147" i="10"/>
  <c r="BB147" i="10"/>
  <c r="AP147" i="10"/>
  <c r="BU147" i="10" s="1"/>
  <c r="AK147" i="10"/>
  <c r="BR147" i="10"/>
  <c r="AZ147" i="10"/>
  <c r="AT147" i="10"/>
  <c r="AO147" i="10"/>
  <c r="AH147" i="10"/>
  <c r="BQ147" i="10"/>
  <c r="BD147" i="10"/>
  <c r="AM147" i="10"/>
  <c r="CB147" i="10"/>
  <c r="AY147" i="10"/>
  <c r="AS147" i="10"/>
  <c r="BL147" i="10"/>
  <c r="AF147" i="10"/>
  <c r="AE146" i="10"/>
  <c r="B148" i="10"/>
  <c r="BW148" i="10" s="1"/>
  <c r="CD148" i="10" l="1"/>
  <c r="BJ148" i="10"/>
  <c r="AV147" i="10"/>
  <c r="AU147" i="10"/>
  <c r="BG147" i="10" s="1"/>
  <c r="BT147" i="10"/>
  <c r="BX147" i="10"/>
  <c r="CC148" i="10"/>
  <c r="BY148" i="10"/>
  <c r="BQ148" i="10"/>
  <c r="BH148" i="10"/>
  <c r="BB148" i="10"/>
  <c r="AX148" i="10"/>
  <c r="AT148" i="10"/>
  <c r="AP148" i="10"/>
  <c r="BU148" i="10" s="1"/>
  <c r="BS148" i="10"/>
  <c r="BN148" i="10"/>
  <c r="BI148" i="10"/>
  <c r="BA148" i="10"/>
  <c r="AQ148" i="10"/>
  <c r="AK148" i="10"/>
  <c r="CB148" i="10"/>
  <c r="BR148" i="10"/>
  <c r="AZ148" i="10"/>
  <c r="AO148" i="10"/>
  <c r="AI148" i="10"/>
  <c r="CA148" i="10"/>
  <c r="BV148" i="10"/>
  <c r="BP148" i="10"/>
  <c r="BK148" i="10"/>
  <c r="BD148" i="10"/>
  <c r="AY148" i="10"/>
  <c r="AS148" i="10"/>
  <c r="AN148" i="10"/>
  <c r="AH148" i="10"/>
  <c r="BZ148" i="10"/>
  <c r="AR148" i="10"/>
  <c r="AW148" i="10"/>
  <c r="AM148" i="10"/>
  <c r="BO148" i="10"/>
  <c r="BL148" i="10"/>
  <c r="AF148" i="10"/>
  <c r="AE147" i="10"/>
  <c r="B149" i="10"/>
  <c r="BW149" i="10" s="1"/>
  <c r="CD149" i="10" l="1"/>
  <c r="BJ149" i="10"/>
  <c r="BX148" i="10"/>
  <c r="BT148" i="10"/>
  <c r="CB149" i="10"/>
  <c r="BS149" i="10"/>
  <c r="BO149" i="10"/>
  <c r="BD149" i="10"/>
  <c r="AZ149" i="10"/>
  <c r="AT149" i="10"/>
  <c r="AP149" i="10"/>
  <c r="BU149" i="10" s="1"/>
  <c r="BZ149" i="10"/>
  <c r="BN149" i="10"/>
  <c r="BH149" i="10"/>
  <c r="BA149" i="10"/>
  <c r="AS149" i="10"/>
  <c r="AN149" i="10"/>
  <c r="AH149" i="10"/>
  <c r="BY149" i="10"/>
  <c r="BR149" i="10"/>
  <c r="AY149" i="10"/>
  <c r="AR149" i="10"/>
  <c r="AM149" i="10"/>
  <c r="CC149" i="10"/>
  <c r="BQ149" i="10"/>
  <c r="BK149" i="10"/>
  <c r="AX149" i="10"/>
  <c r="AQ149" i="10"/>
  <c r="AK149" i="10"/>
  <c r="BB149" i="10"/>
  <c r="CA149" i="10"/>
  <c r="BI149" i="10"/>
  <c r="AW149" i="10"/>
  <c r="AI149" i="10"/>
  <c r="BV149" i="10"/>
  <c r="AO149" i="10"/>
  <c r="BP149" i="10"/>
  <c r="BL149" i="10"/>
  <c r="AV148" i="10"/>
  <c r="AU148" i="10"/>
  <c r="BG148" i="10" s="1"/>
  <c r="AF149" i="10"/>
  <c r="AE148" i="10"/>
  <c r="B150" i="10"/>
  <c r="BW150" i="10" s="1"/>
  <c r="CD150" i="10" l="1"/>
  <c r="BJ150" i="10"/>
  <c r="BX149" i="10"/>
  <c r="BT149" i="10"/>
  <c r="AU149" i="10"/>
  <c r="BG149" i="10" s="1"/>
  <c r="AV149" i="10"/>
  <c r="CB150" i="10"/>
  <c r="BP150" i="10"/>
  <c r="BK150" i="10"/>
  <c r="BA150" i="10"/>
  <c r="AW150" i="10"/>
  <c r="AS150" i="10"/>
  <c r="AO150" i="10"/>
  <c r="AK150" i="10"/>
  <c r="CC150" i="10"/>
  <c r="BR150" i="10"/>
  <c r="AZ150" i="10"/>
  <c r="AP150" i="10"/>
  <c r="BU150" i="10" s="1"/>
  <c r="AI150" i="10"/>
  <c r="CA150" i="10"/>
  <c r="BV150" i="10"/>
  <c r="BQ150" i="10"/>
  <c r="BD150" i="10"/>
  <c r="AY150" i="10"/>
  <c r="AT150" i="10"/>
  <c r="AN150" i="10"/>
  <c r="AH150" i="10"/>
  <c r="BZ150" i="10"/>
  <c r="BO150" i="10"/>
  <c r="BI150" i="10"/>
  <c r="AX150" i="10"/>
  <c r="AR150" i="10"/>
  <c r="AM150" i="10"/>
  <c r="BN150" i="10"/>
  <c r="BB150" i="10"/>
  <c r="AQ150" i="10"/>
  <c r="BY150" i="10"/>
  <c r="BH150" i="10"/>
  <c r="BS150" i="10"/>
  <c r="BL150" i="10"/>
  <c r="AF150" i="10"/>
  <c r="AE149" i="10"/>
  <c r="B151" i="10"/>
  <c r="BW151" i="10" s="1"/>
  <c r="CD151" i="10" l="1"/>
  <c r="BJ151" i="10"/>
  <c r="BT150" i="10"/>
  <c r="AU150" i="10"/>
  <c r="BG150" i="10" s="1"/>
  <c r="BX150" i="10"/>
  <c r="CA151" i="10"/>
  <c r="BV151" i="10"/>
  <c r="BQ151" i="10"/>
  <c r="BH151" i="10"/>
  <c r="BB151" i="10"/>
  <c r="AX151" i="10"/>
  <c r="AS151" i="10"/>
  <c r="AO151" i="10"/>
  <c r="AK151" i="10"/>
  <c r="CC151" i="10"/>
  <c r="BP151" i="10"/>
  <c r="BK151" i="10"/>
  <c r="BD151" i="10"/>
  <c r="AY151" i="10"/>
  <c r="AR151" i="10"/>
  <c r="AM151" i="10"/>
  <c r="CB151" i="10"/>
  <c r="BO151" i="10"/>
  <c r="AW151" i="10"/>
  <c r="AQ151" i="10"/>
  <c r="BZ151" i="10"/>
  <c r="BS151" i="10"/>
  <c r="BN151" i="10"/>
  <c r="BI151" i="10"/>
  <c r="BA151" i="10"/>
  <c r="AP151" i="10"/>
  <c r="AV151" i="10" s="1"/>
  <c r="AI151" i="10"/>
  <c r="AN151" i="10"/>
  <c r="AT151" i="10"/>
  <c r="BY151" i="10"/>
  <c r="AH151" i="10"/>
  <c r="BR151" i="10"/>
  <c r="AZ151" i="10"/>
  <c r="BL151" i="10"/>
  <c r="AV150" i="10"/>
  <c r="AF151" i="10"/>
  <c r="AE150" i="10"/>
  <c r="B152" i="10"/>
  <c r="BW152" i="10" s="1"/>
  <c r="CD152" i="10" l="1"/>
  <c r="BJ152" i="10"/>
  <c r="CB152" i="10"/>
  <c r="BQ152" i="10"/>
  <c r="BH152" i="10"/>
  <c r="BB152" i="10"/>
  <c r="AX152" i="10"/>
  <c r="AR152" i="10"/>
  <c r="AN152" i="10"/>
  <c r="AI152" i="10"/>
  <c r="BZ152" i="10"/>
  <c r="BR152" i="10"/>
  <c r="AZ152" i="10"/>
  <c r="AS152" i="10"/>
  <c r="AM152" i="10"/>
  <c r="BY152" i="10"/>
  <c r="BP152" i="10"/>
  <c r="BK152" i="10"/>
  <c r="BD152" i="10"/>
  <c r="AY152" i="10"/>
  <c r="AQ152" i="10"/>
  <c r="CC152" i="10"/>
  <c r="BV152" i="10"/>
  <c r="BO152" i="10"/>
  <c r="AW152" i="10"/>
  <c r="AP152" i="10"/>
  <c r="BU152" i="10" s="1"/>
  <c r="AK152" i="10"/>
  <c r="BN152" i="10"/>
  <c r="AH152" i="10"/>
  <c r="BS152" i="10"/>
  <c r="BA152" i="10"/>
  <c r="CA152" i="10"/>
  <c r="BI152" i="10"/>
  <c r="AT152" i="10"/>
  <c r="AO152" i="10"/>
  <c r="BL152" i="10"/>
  <c r="BX151" i="10"/>
  <c r="BT151" i="10"/>
  <c r="AU151" i="10"/>
  <c r="BG151" i="10" s="1"/>
  <c r="BU151" i="10"/>
  <c r="AF152" i="10"/>
  <c r="AE151" i="10"/>
  <c r="B153" i="10"/>
  <c r="BW153" i="10" s="1"/>
  <c r="CD153" i="10" l="1"/>
  <c r="BJ153" i="10"/>
  <c r="BX152" i="10"/>
  <c r="AU152" i="10"/>
  <c r="BG152" i="10" s="1"/>
  <c r="BT152" i="10"/>
  <c r="AV152" i="10"/>
  <c r="CB153" i="10"/>
  <c r="BQ153" i="10"/>
  <c r="BH153" i="10"/>
  <c r="BB153" i="10"/>
  <c r="AX153" i="10"/>
  <c r="AS153" i="10"/>
  <c r="AO153" i="10"/>
  <c r="AK153" i="10"/>
  <c r="CA153" i="10"/>
  <c r="BS153" i="10"/>
  <c r="BN153" i="10"/>
  <c r="BI153" i="10"/>
  <c r="BA153" i="10"/>
  <c r="AP153" i="10"/>
  <c r="BU153" i="10" s="1"/>
  <c r="AI153" i="10"/>
  <c r="BZ153" i="10"/>
  <c r="BR153" i="10"/>
  <c r="AZ153" i="10"/>
  <c r="AT153" i="10"/>
  <c r="AN153" i="10"/>
  <c r="AH153" i="10"/>
  <c r="BY153" i="10"/>
  <c r="BP153" i="10"/>
  <c r="BK153" i="10"/>
  <c r="BD153" i="10"/>
  <c r="AY153" i="10"/>
  <c r="AR153" i="10"/>
  <c r="AM153" i="10"/>
  <c r="CC153" i="10"/>
  <c r="AQ153" i="10"/>
  <c r="BV153" i="10"/>
  <c r="AW153" i="10"/>
  <c r="BO153" i="10"/>
  <c r="BL153" i="10"/>
  <c r="AF153" i="10"/>
  <c r="AE152" i="10"/>
  <c r="B154" i="10"/>
  <c r="BW154" i="10" s="1"/>
  <c r="CD154" i="10" l="1"/>
  <c r="BJ154" i="10"/>
  <c r="BX153" i="10"/>
  <c r="CB154" i="10"/>
  <c r="BP154" i="10"/>
  <c r="BK154" i="10"/>
  <c r="BA154" i="10"/>
  <c r="AW154" i="10"/>
  <c r="AS154" i="10"/>
  <c r="AO154" i="10"/>
  <c r="AK154" i="10"/>
  <c r="BY154" i="10"/>
  <c r="BS154" i="10"/>
  <c r="BN154" i="10"/>
  <c r="BH154" i="10"/>
  <c r="BB154" i="10"/>
  <c r="AQ154" i="10"/>
  <c r="CC154" i="10"/>
  <c r="BR154" i="10"/>
  <c r="AZ154" i="10"/>
  <c r="AP154" i="10"/>
  <c r="BU154" i="10" s="1"/>
  <c r="AI154" i="10"/>
  <c r="CA154" i="10"/>
  <c r="BV154" i="10"/>
  <c r="BQ154" i="10"/>
  <c r="BD154" i="10"/>
  <c r="AY154" i="10"/>
  <c r="AT154" i="10"/>
  <c r="AN154" i="10"/>
  <c r="AH154" i="10"/>
  <c r="BO154" i="10"/>
  <c r="AX154" i="10"/>
  <c r="BZ154" i="10"/>
  <c r="BI154" i="10"/>
  <c r="AR154" i="10"/>
  <c r="AM154" i="10"/>
  <c r="BL154" i="10"/>
  <c r="AV153" i="10"/>
  <c r="BT153" i="10"/>
  <c r="AU153" i="10"/>
  <c r="BG153" i="10" s="1"/>
  <c r="AF154" i="10"/>
  <c r="AE153" i="10"/>
  <c r="B155" i="10"/>
  <c r="BW155" i="10" s="1"/>
  <c r="CD155" i="10" l="1"/>
  <c r="BJ155" i="10"/>
  <c r="BT154" i="10"/>
  <c r="AV154" i="10"/>
  <c r="AU154" i="10"/>
  <c r="BG154" i="10" s="1"/>
  <c r="CA155" i="10"/>
  <c r="BV155" i="10"/>
  <c r="BQ155" i="10"/>
  <c r="BH155" i="10"/>
  <c r="BB155" i="10"/>
  <c r="AX155" i="10"/>
  <c r="AS155" i="10"/>
  <c r="AO155" i="10"/>
  <c r="AK155" i="10"/>
  <c r="BY155" i="10"/>
  <c r="BR155" i="10"/>
  <c r="AZ155" i="10"/>
  <c r="AT155" i="10"/>
  <c r="AN155" i="10"/>
  <c r="AH155" i="10"/>
  <c r="CC155" i="10"/>
  <c r="BP155" i="10"/>
  <c r="BK155" i="10"/>
  <c r="BD155" i="10"/>
  <c r="AY155" i="10"/>
  <c r="AR155" i="10"/>
  <c r="AM155" i="10"/>
  <c r="CB155" i="10"/>
  <c r="BO155" i="10"/>
  <c r="AW155" i="10"/>
  <c r="AQ155" i="10"/>
  <c r="BS155" i="10"/>
  <c r="AP155" i="10"/>
  <c r="AV155" i="10" s="1"/>
  <c r="BN155" i="10"/>
  <c r="AI155" i="10"/>
  <c r="BZ155" i="10"/>
  <c r="BA155" i="10"/>
  <c r="BI155" i="10"/>
  <c r="BL155" i="10"/>
  <c r="BX154" i="10"/>
  <c r="AF155" i="10"/>
  <c r="AE154" i="10"/>
  <c r="B156" i="10"/>
  <c r="BW156" i="10" s="1"/>
  <c r="CD156" i="10" l="1"/>
  <c r="BJ156" i="10"/>
  <c r="BT155" i="10"/>
  <c r="CB156" i="10"/>
  <c r="BQ156" i="10"/>
  <c r="BH156" i="10"/>
  <c r="BB156" i="10"/>
  <c r="AX156" i="10"/>
  <c r="AR156" i="10"/>
  <c r="AN156" i="10"/>
  <c r="AI156" i="10"/>
  <c r="CA156" i="10"/>
  <c r="BS156" i="10"/>
  <c r="BN156" i="10"/>
  <c r="BI156" i="10"/>
  <c r="BA156" i="10"/>
  <c r="AT156" i="10"/>
  <c r="AO156" i="10"/>
  <c r="AH156" i="10"/>
  <c r="BZ156" i="10"/>
  <c r="BR156" i="10"/>
  <c r="AZ156" i="10"/>
  <c r="AS156" i="10"/>
  <c r="AM156" i="10"/>
  <c r="BY156" i="10"/>
  <c r="BP156" i="10"/>
  <c r="BK156" i="10"/>
  <c r="BD156" i="10"/>
  <c r="AY156" i="10"/>
  <c r="AQ156" i="10"/>
  <c r="AW156" i="10"/>
  <c r="BO156" i="10"/>
  <c r="CC156" i="10"/>
  <c r="AP156" i="10"/>
  <c r="BU156" i="10" s="1"/>
  <c r="BV156" i="10"/>
  <c r="AK156" i="10"/>
  <c r="BL156" i="10"/>
  <c r="AU155" i="10"/>
  <c r="BG155" i="10" s="1"/>
  <c r="BU155" i="10"/>
  <c r="BX155" i="10"/>
  <c r="AF156" i="10"/>
  <c r="AE155" i="10"/>
  <c r="B157" i="10"/>
  <c r="BW157" i="10" s="1"/>
  <c r="CD157" i="10" l="1"/>
  <c r="BJ157" i="10"/>
  <c r="BT156" i="10"/>
  <c r="BX156" i="10"/>
  <c r="AU156" i="10"/>
  <c r="BG156" i="10" s="1"/>
  <c r="AV156" i="10"/>
  <c r="CA157" i="10"/>
  <c r="BR157" i="10"/>
  <c r="BN157" i="10"/>
  <c r="BI157" i="10"/>
  <c r="AY157" i="10"/>
  <c r="AS157" i="10"/>
  <c r="AO157" i="10"/>
  <c r="AK157" i="10"/>
  <c r="CB157" i="10"/>
  <c r="BV157" i="10"/>
  <c r="BP157" i="10"/>
  <c r="AX157" i="10"/>
  <c r="AQ157" i="10"/>
  <c r="BZ157" i="10"/>
  <c r="BO157" i="10"/>
  <c r="BH157" i="10"/>
  <c r="BB157" i="10"/>
  <c r="AW157" i="10"/>
  <c r="AP157" i="10"/>
  <c r="BU157" i="10" s="1"/>
  <c r="AI157" i="10"/>
  <c r="BY157" i="10"/>
  <c r="BS157" i="10"/>
  <c r="BA157" i="10"/>
  <c r="AT157" i="10"/>
  <c r="AN157" i="10"/>
  <c r="AH157" i="10"/>
  <c r="BQ157" i="10"/>
  <c r="BD157" i="10"/>
  <c r="AM157" i="10"/>
  <c r="AR157" i="10"/>
  <c r="CC157" i="10"/>
  <c r="BK157" i="10"/>
  <c r="AZ157" i="10"/>
  <c r="BL157" i="10"/>
  <c r="AF157" i="10"/>
  <c r="AE156" i="10"/>
  <c r="B158" i="10"/>
  <c r="BW158" i="10" s="1"/>
  <c r="CD158" i="10" l="1"/>
  <c r="BJ158" i="10"/>
  <c r="BT157" i="10"/>
  <c r="BX157" i="10"/>
  <c r="AV157" i="10"/>
  <c r="AU157" i="10"/>
  <c r="BG157" i="10" s="1"/>
  <c r="CA158" i="10"/>
  <c r="BS158" i="10"/>
  <c r="BO158" i="10"/>
  <c r="BD158" i="10"/>
  <c r="AZ158" i="10"/>
  <c r="AR158" i="10"/>
  <c r="AN158" i="10"/>
  <c r="AI158" i="10"/>
  <c r="BZ158" i="10"/>
  <c r="BP158" i="10"/>
  <c r="BI158" i="10"/>
  <c r="BB158" i="10"/>
  <c r="AW158" i="10"/>
  <c r="AQ158" i="10"/>
  <c r="BY158" i="10"/>
  <c r="BN158" i="10"/>
  <c r="BH158" i="10"/>
  <c r="BA158" i="10"/>
  <c r="AP158" i="10"/>
  <c r="BU158" i="10" s="1"/>
  <c r="AK158" i="10"/>
  <c r="CC158" i="10"/>
  <c r="BR158" i="10"/>
  <c r="AY158" i="10"/>
  <c r="AT158" i="10"/>
  <c r="AO158" i="10"/>
  <c r="AH158" i="10"/>
  <c r="CB158" i="10"/>
  <c r="BK158" i="10"/>
  <c r="AS158" i="10"/>
  <c r="AX158" i="10"/>
  <c r="BV158" i="10"/>
  <c r="AM158" i="10"/>
  <c r="BQ158" i="10"/>
  <c r="BL158" i="10"/>
  <c r="AF158" i="10"/>
  <c r="AE157" i="10"/>
  <c r="B159" i="10"/>
  <c r="BW159" i="10" s="1"/>
  <c r="CD159" i="10" l="1"/>
  <c r="BJ159" i="10"/>
  <c r="BT158" i="10"/>
  <c r="AU158" i="10"/>
  <c r="BG158" i="10" s="1"/>
  <c r="BX158" i="10"/>
  <c r="AV158" i="10"/>
  <c r="BZ159" i="10"/>
  <c r="BP159" i="10"/>
  <c r="BK159" i="10"/>
  <c r="BA159" i="10"/>
  <c r="AW159" i="10"/>
  <c r="AR159" i="10"/>
  <c r="AN159" i="10"/>
  <c r="AI159" i="10"/>
  <c r="CA159" i="10"/>
  <c r="BS159" i="10"/>
  <c r="BN159" i="10"/>
  <c r="BH159" i="10"/>
  <c r="BB159" i="10"/>
  <c r="AP159" i="10"/>
  <c r="AK159" i="10"/>
  <c r="BY159" i="10"/>
  <c r="BR159" i="10"/>
  <c r="AZ159" i="10"/>
  <c r="AT159" i="10"/>
  <c r="AO159" i="10"/>
  <c r="AH159" i="10"/>
  <c r="CC159" i="10"/>
  <c r="BQ159" i="10"/>
  <c r="BD159" i="10"/>
  <c r="AY159" i="10"/>
  <c r="AS159" i="10"/>
  <c r="AM159" i="10"/>
  <c r="BO159" i="10"/>
  <c r="AX159" i="10"/>
  <c r="CB159" i="10"/>
  <c r="BI159" i="10"/>
  <c r="AQ159" i="10"/>
  <c r="BV159" i="10"/>
  <c r="BL159" i="10"/>
  <c r="AF159" i="10"/>
  <c r="AE158" i="10"/>
  <c r="B160" i="10"/>
  <c r="BW160" i="10" s="1"/>
  <c r="CD160" i="10" l="1"/>
  <c r="BJ160" i="10"/>
  <c r="BT159" i="10"/>
  <c r="CA160" i="10"/>
  <c r="BV160" i="10"/>
  <c r="BP160" i="10"/>
  <c r="BK160" i="10"/>
  <c r="BA160" i="10"/>
  <c r="AW160" i="10"/>
  <c r="AQ160" i="10"/>
  <c r="AM160" i="10"/>
  <c r="AH160" i="10"/>
  <c r="CC160" i="10"/>
  <c r="BO160" i="10"/>
  <c r="BI160" i="10"/>
  <c r="AX160" i="10"/>
  <c r="AP160" i="10"/>
  <c r="BU160" i="10" s="1"/>
  <c r="AK160" i="10"/>
  <c r="CB160" i="10"/>
  <c r="BS160" i="10"/>
  <c r="BN160" i="10"/>
  <c r="BH160" i="10"/>
  <c r="BB160" i="10"/>
  <c r="AT160" i="10"/>
  <c r="AO160" i="10"/>
  <c r="AI160" i="10"/>
  <c r="BZ160" i="10"/>
  <c r="BR160" i="10"/>
  <c r="AZ160" i="10"/>
  <c r="AS160" i="10"/>
  <c r="AN160" i="10"/>
  <c r="BY160" i="10"/>
  <c r="AR160" i="10"/>
  <c r="AY160" i="10"/>
  <c r="BQ160" i="10"/>
  <c r="BD160" i="10"/>
  <c r="BL160" i="10"/>
  <c r="AU159" i="10"/>
  <c r="BG159" i="10" s="1"/>
  <c r="BU159" i="10"/>
  <c r="BX159" i="10"/>
  <c r="AV159" i="10"/>
  <c r="AF160" i="10"/>
  <c r="AE159" i="10"/>
  <c r="B161" i="10"/>
  <c r="BW161" i="10" s="1"/>
  <c r="CD161" i="10" l="1"/>
  <c r="BJ161" i="10"/>
  <c r="BT160" i="10"/>
  <c r="BX160" i="10"/>
  <c r="AU160" i="10"/>
  <c r="BG160" i="10" s="1"/>
  <c r="CA161" i="10"/>
  <c r="BV161" i="10"/>
  <c r="BP161" i="10"/>
  <c r="BK161" i="10"/>
  <c r="BA161" i="10"/>
  <c r="AW161" i="10"/>
  <c r="AR161" i="10"/>
  <c r="AN161" i="10"/>
  <c r="AI161" i="10"/>
  <c r="BY161" i="10"/>
  <c r="BQ161" i="10"/>
  <c r="BD161" i="10"/>
  <c r="AY161" i="10"/>
  <c r="AS161" i="10"/>
  <c r="AM161" i="10"/>
  <c r="CC161" i="10"/>
  <c r="BO161" i="10"/>
  <c r="BI161" i="10"/>
  <c r="AX161" i="10"/>
  <c r="AQ161" i="10"/>
  <c r="CB161" i="10"/>
  <c r="BS161" i="10"/>
  <c r="BN161" i="10"/>
  <c r="BH161" i="10"/>
  <c r="BB161" i="10"/>
  <c r="AP161" i="10"/>
  <c r="BU161" i="10" s="1"/>
  <c r="AK161" i="10"/>
  <c r="BR161" i="10"/>
  <c r="AZ161" i="10"/>
  <c r="BZ161" i="10"/>
  <c r="AT161" i="10"/>
  <c r="AO161" i="10"/>
  <c r="AH161" i="10"/>
  <c r="BL161" i="10"/>
  <c r="AV160" i="10"/>
  <c r="AF161" i="10"/>
  <c r="AE160" i="10"/>
  <c r="B162" i="10"/>
  <c r="BW162" i="10" s="1"/>
  <c r="CD162" i="10" l="1"/>
  <c r="BJ162" i="10"/>
  <c r="BX161" i="10"/>
  <c r="CA162" i="10"/>
  <c r="BS162" i="10"/>
  <c r="BO162" i="10"/>
  <c r="BD162" i="10"/>
  <c r="AZ162" i="10"/>
  <c r="AR162" i="10"/>
  <c r="AN162" i="10"/>
  <c r="AI162" i="10"/>
  <c r="CC162" i="10"/>
  <c r="BR162" i="10"/>
  <c r="AY162" i="10"/>
  <c r="AT162" i="10"/>
  <c r="AO162" i="10"/>
  <c r="AH162" i="10"/>
  <c r="CB162" i="10"/>
  <c r="BV162" i="10"/>
  <c r="BQ162" i="10"/>
  <c r="BK162" i="10"/>
  <c r="AX162" i="10"/>
  <c r="AS162" i="10"/>
  <c r="AM162" i="10"/>
  <c r="BZ162" i="10"/>
  <c r="BP162" i="10"/>
  <c r="BI162" i="10"/>
  <c r="BB162" i="10"/>
  <c r="AW162" i="10"/>
  <c r="AQ162" i="10"/>
  <c r="BY162" i="10"/>
  <c r="BH162" i="10"/>
  <c r="AP162" i="10"/>
  <c r="BU162" i="10" s="1"/>
  <c r="BA162" i="10"/>
  <c r="BN162" i="10"/>
  <c r="AK162" i="10"/>
  <c r="BL162" i="10"/>
  <c r="AV161" i="10"/>
  <c r="BT161" i="10"/>
  <c r="AU161" i="10"/>
  <c r="BG161" i="10" s="1"/>
  <c r="AF162" i="10"/>
  <c r="AE161" i="10"/>
  <c r="B163" i="10"/>
  <c r="BW163" i="10" s="1"/>
  <c r="CD163" i="10" l="1"/>
  <c r="BJ163" i="10"/>
  <c r="BT162" i="10"/>
  <c r="AU162" i="10"/>
  <c r="BG162" i="10" s="1"/>
  <c r="AV162" i="10"/>
  <c r="CA163" i="10"/>
  <c r="BS163" i="10"/>
  <c r="BO163" i="10"/>
  <c r="BD163" i="10"/>
  <c r="AZ163" i="10"/>
  <c r="AR163" i="10"/>
  <c r="AN163" i="10"/>
  <c r="AI163" i="10"/>
  <c r="CB163" i="10"/>
  <c r="BV163" i="10"/>
  <c r="BQ163" i="10"/>
  <c r="BK163" i="10"/>
  <c r="AX163" i="10"/>
  <c r="AS163" i="10"/>
  <c r="AM163" i="10"/>
  <c r="BZ163" i="10"/>
  <c r="BP163" i="10"/>
  <c r="BI163" i="10"/>
  <c r="BB163" i="10"/>
  <c r="AW163" i="10"/>
  <c r="AQ163" i="10"/>
  <c r="BY163" i="10"/>
  <c r="BN163" i="10"/>
  <c r="BH163" i="10"/>
  <c r="BA163" i="10"/>
  <c r="AP163" i="10"/>
  <c r="BU163" i="10" s="1"/>
  <c r="AK163" i="10"/>
  <c r="BR163" i="10"/>
  <c r="AY163" i="10"/>
  <c r="AT163" i="10"/>
  <c r="CC163" i="10"/>
  <c r="AO163" i="10"/>
  <c r="AH163" i="10"/>
  <c r="BL163" i="10"/>
  <c r="BX162" i="10"/>
  <c r="AF163" i="10"/>
  <c r="AE162" i="10"/>
  <c r="B164" i="10"/>
  <c r="BW164" i="10" s="1"/>
  <c r="CD164" i="10" l="1"/>
  <c r="BJ164" i="10"/>
  <c r="BT163" i="10"/>
  <c r="BX163" i="10"/>
  <c r="AU163" i="10"/>
  <c r="BG163" i="10" s="1"/>
  <c r="AV163" i="10"/>
  <c r="CB164" i="10"/>
  <c r="BQ164" i="10"/>
  <c r="BH164" i="10"/>
  <c r="BB164" i="10"/>
  <c r="AX164" i="10"/>
  <c r="AR164" i="10"/>
  <c r="AN164" i="10"/>
  <c r="AI164" i="10"/>
  <c r="BY164" i="10"/>
  <c r="BP164" i="10"/>
  <c r="BK164" i="10"/>
  <c r="BD164" i="10"/>
  <c r="AY164" i="10"/>
  <c r="AQ164" i="10"/>
  <c r="CC164" i="10"/>
  <c r="BV164" i="10"/>
  <c r="BO164" i="10"/>
  <c r="AW164" i="10"/>
  <c r="AP164" i="10"/>
  <c r="BU164" i="10" s="1"/>
  <c r="AK164" i="10"/>
  <c r="CA164" i="10"/>
  <c r="BS164" i="10"/>
  <c r="BN164" i="10"/>
  <c r="BI164" i="10"/>
  <c r="BA164" i="10"/>
  <c r="AT164" i="10"/>
  <c r="AO164" i="10"/>
  <c r="AH164" i="10"/>
  <c r="AS164" i="10"/>
  <c r="AM164" i="10"/>
  <c r="AZ164" i="10"/>
  <c r="BZ164" i="10"/>
  <c r="BR164" i="10"/>
  <c r="BL164" i="10"/>
  <c r="AF164" i="10"/>
  <c r="AE163" i="10"/>
  <c r="B165" i="10"/>
  <c r="BW165" i="10" s="1"/>
  <c r="CD165" i="10" l="1"/>
  <c r="BJ165" i="10"/>
  <c r="BX164" i="10"/>
  <c r="BT164" i="10"/>
  <c r="AV164" i="10"/>
  <c r="AU164" i="10"/>
  <c r="BG164" i="10" s="1"/>
  <c r="CB165" i="10"/>
  <c r="BQ165" i="10"/>
  <c r="BH165" i="10"/>
  <c r="BB165" i="10"/>
  <c r="AX165" i="10"/>
  <c r="AS165" i="10"/>
  <c r="AO165" i="10"/>
  <c r="AK165" i="10"/>
  <c r="BZ165" i="10"/>
  <c r="BR165" i="10"/>
  <c r="AZ165" i="10"/>
  <c r="AT165" i="10"/>
  <c r="AN165" i="10"/>
  <c r="AH165" i="10"/>
  <c r="BY165" i="10"/>
  <c r="BP165" i="10"/>
  <c r="BK165" i="10"/>
  <c r="BD165" i="10"/>
  <c r="AY165" i="10"/>
  <c r="AR165" i="10"/>
  <c r="AM165" i="10"/>
  <c r="CC165" i="10"/>
  <c r="BV165" i="10"/>
  <c r="BO165" i="10"/>
  <c r="AW165" i="10"/>
  <c r="AQ165" i="10"/>
  <c r="BS165" i="10"/>
  <c r="AP165" i="10"/>
  <c r="BU165" i="10" s="1"/>
  <c r="BN165" i="10"/>
  <c r="AI165" i="10"/>
  <c r="CA165" i="10"/>
  <c r="BA165" i="10"/>
  <c r="BI165" i="10"/>
  <c r="BL165" i="10"/>
  <c r="AF165" i="10"/>
  <c r="AE164" i="10"/>
  <c r="B166" i="10"/>
  <c r="BW166" i="10" s="1"/>
  <c r="CD166" i="10" l="1"/>
  <c r="BJ166" i="10"/>
  <c r="BX165" i="10"/>
  <c r="AU165" i="10"/>
  <c r="BG165" i="10" s="1"/>
  <c r="AV165" i="10"/>
  <c r="CB166" i="10"/>
  <c r="BP166" i="10"/>
  <c r="BK166" i="10"/>
  <c r="BA166" i="10"/>
  <c r="AW166" i="10"/>
  <c r="AS166" i="10"/>
  <c r="AO166" i="10"/>
  <c r="AK166" i="10"/>
  <c r="CC166" i="10"/>
  <c r="BR166" i="10"/>
  <c r="AZ166" i="10"/>
  <c r="AP166" i="10"/>
  <c r="BU166" i="10" s="1"/>
  <c r="AI166" i="10"/>
  <c r="CA166" i="10"/>
  <c r="BV166" i="10"/>
  <c r="BQ166" i="10"/>
  <c r="BD166" i="10"/>
  <c r="AY166" i="10"/>
  <c r="AT166" i="10"/>
  <c r="AN166" i="10"/>
  <c r="AH166" i="10"/>
  <c r="BZ166" i="10"/>
  <c r="BO166" i="10"/>
  <c r="BI166" i="10"/>
  <c r="AX166" i="10"/>
  <c r="AR166" i="10"/>
  <c r="AM166" i="10"/>
  <c r="BY166" i="10"/>
  <c r="BH166" i="10"/>
  <c r="BS166" i="10"/>
  <c r="AQ166" i="10"/>
  <c r="BN166" i="10"/>
  <c r="BB166" i="10"/>
  <c r="BL166" i="10"/>
  <c r="BT165" i="10"/>
  <c r="AF166" i="10"/>
  <c r="AE165" i="10"/>
  <c r="B167" i="10"/>
  <c r="BW167" i="10" s="1"/>
  <c r="CD167" i="10" l="1"/>
  <c r="BJ167" i="10"/>
  <c r="BT166" i="10"/>
  <c r="AV166" i="10"/>
  <c r="AU166" i="10"/>
  <c r="BG166" i="10" s="1"/>
  <c r="BX166" i="10"/>
  <c r="BZ167" i="10"/>
  <c r="BP167" i="10"/>
  <c r="BK167" i="10"/>
  <c r="BA167" i="10"/>
  <c r="AW167" i="10"/>
  <c r="AS167" i="10"/>
  <c r="AO167" i="10"/>
  <c r="AK167" i="10"/>
  <c r="CB167" i="10"/>
  <c r="BV167" i="10"/>
  <c r="BO167" i="10"/>
  <c r="BI167" i="10"/>
  <c r="AX167" i="10"/>
  <c r="AR167" i="10"/>
  <c r="AM167" i="10"/>
  <c r="CA167" i="10"/>
  <c r="BS167" i="10"/>
  <c r="BN167" i="10"/>
  <c r="BH167" i="10"/>
  <c r="BB167" i="10"/>
  <c r="AQ167" i="10"/>
  <c r="BY167" i="10"/>
  <c r="BR167" i="10"/>
  <c r="AZ167" i="10"/>
  <c r="AP167" i="10"/>
  <c r="BU167" i="10" s="1"/>
  <c r="AI167" i="10"/>
  <c r="CC167" i="10"/>
  <c r="AY167" i="10"/>
  <c r="AH167" i="10"/>
  <c r="AT167" i="10"/>
  <c r="BQ167" i="10"/>
  <c r="BD167" i="10"/>
  <c r="AN167" i="10"/>
  <c r="BL167" i="10"/>
  <c r="AF167" i="10"/>
  <c r="AE166" i="10"/>
  <c r="B168" i="10"/>
  <c r="BW168" i="10" s="1"/>
  <c r="CD168" i="10" l="1"/>
  <c r="BJ168" i="10"/>
  <c r="BT167" i="10"/>
  <c r="AU167" i="10"/>
  <c r="BG167" i="10" s="1"/>
  <c r="CA168" i="10"/>
  <c r="BV168" i="10"/>
  <c r="BP168" i="10"/>
  <c r="BK168" i="10"/>
  <c r="BA168" i="10"/>
  <c r="AW168" i="10"/>
  <c r="AQ168" i="10"/>
  <c r="AM168" i="10"/>
  <c r="AH168" i="10"/>
  <c r="BZ168" i="10"/>
  <c r="BS168" i="10"/>
  <c r="BO168" i="10"/>
  <c r="BD168" i="10"/>
  <c r="AZ168" i="10"/>
  <c r="AT168" i="10"/>
  <c r="CC168" i="10"/>
  <c r="BR168" i="10"/>
  <c r="BI168" i="10"/>
  <c r="BB168" i="10"/>
  <c r="AR168" i="10"/>
  <c r="CB168" i="10"/>
  <c r="BQ168" i="10"/>
  <c r="BH168" i="10"/>
  <c r="AY168" i="10"/>
  <c r="AP168" i="10"/>
  <c r="BU168" i="10" s="1"/>
  <c r="AK168" i="10"/>
  <c r="BY168" i="10"/>
  <c r="BN168" i="10"/>
  <c r="AX168" i="10"/>
  <c r="AO168" i="10"/>
  <c r="AI168" i="10"/>
  <c r="AS168" i="10"/>
  <c r="AN168" i="10"/>
  <c r="BL168" i="10"/>
  <c r="BX167" i="10"/>
  <c r="AV167" i="10"/>
  <c r="AF168" i="10"/>
  <c r="AE167" i="10"/>
  <c r="B169" i="10"/>
  <c r="BW169" i="10" s="1"/>
  <c r="CD169" i="10" l="1"/>
  <c r="BJ169" i="10"/>
  <c r="BX168" i="10"/>
  <c r="BT168" i="10"/>
  <c r="AU168" i="10"/>
  <c r="BG168" i="10" s="1"/>
  <c r="CA169" i="10"/>
  <c r="BV169" i="10"/>
  <c r="BP169" i="10"/>
  <c r="BK169" i="10"/>
  <c r="BA169" i="10"/>
  <c r="AW169" i="10"/>
  <c r="AR169" i="10"/>
  <c r="AN169" i="10"/>
  <c r="AI169" i="10"/>
  <c r="BZ169" i="10"/>
  <c r="BS169" i="10"/>
  <c r="BO169" i="10"/>
  <c r="BD169" i="10"/>
  <c r="AZ169" i="10"/>
  <c r="AQ169" i="10"/>
  <c r="AM169" i="10"/>
  <c r="AH169" i="10"/>
  <c r="CB169" i="10"/>
  <c r="BQ169" i="10"/>
  <c r="BH169" i="10"/>
  <c r="AY169" i="10"/>
  <c r="AP169" i="10"/>
  <c r="BU169" i="10" s="1"/>
  <c r="BY169" i="10"/>
  <c r="BN169" i="10"/>
  <c r="AX169" i="10"/>
  <c r="AO169" i="10"/>
  <c r="AT169" i="10"/>
  <c r="BI169" i="10"/>
  <c r="AS169" i="10"/>
  <c r="CC169" i="10"/>
  <c r="AK169" i="10"/>
  <c r="BB169" i="10"/>
  <c r="BR169" i="10"/>
  <c r="BL169" i="10"/>
  <c r="AV168" i="10"/>
  <c r="AF169" i="10"/>
  <c r="AE168" i="10"/>
  <c r="B170" i="10"/>
  <c r="BW170" i="10" s="1"/>
  <c r="CD170" i="10" l="1"/>
  <c r="BJ170" i="10"/>
  <c r="AV169" i="10"/>
  <c r="BT169" i="10"/>
  <c r="BX169" i="10"/>
  <c r="CA170" i="10"/>
  <c r="BS170" i="10"/>
  <c r="BO170" i="10"/>
  <c r="BD170" i="10"/>
  <c r="AZ170" i="10"/>
  <c r="AR170" i="10"/>
  <c r="AN170" i="10"/>
  <c r="AI170" i="10"/>
  <c r="BZ170" i="10"/>
  <c r="BV170" i="10"/>
  <c r="BR170" i="10"/>
  <c r="BN170" i="10"/>
  <c r="BI170" i="10"/>
  <c r="AY170" i="10"/>
  <c r="AQ170" i="10"/>
  <c r="AM170" i="10"/>
  <c r="AH170" i="10"/>
  <c r="CC170" i="10"/>
  <c r="AW170" i="10"/>
  <c r="AO170" i="10"/>
  <c r="CB170" i="10"/>
  <c r="BK170" i="10"/>
  <c r="BB170" i="10"/>
  <c r="AT170" i="10"/>
  <c r="BY170" i="10"/>
  <c r="BQ170" i="10"/>
  <c r="BH170" i="10"/>
  <c r="BA170" i="10"/>
  <c r="AS170" i="10"/>
  <c r="AK170" i="10"/>
  <c r="AP170" i="10"/>
  <c r="BU170" i="10" s="1"/>
  <c r="BP170" i="10"/>
  <c r="AX170" i="10"/>
  <c r="BL170" i="10"/>
  <c r="AU169" i="10"/>
  <c r="BG169" i="10" s="1"/>
  <c r="AF170" i="10"/>
  <c r="AE169" i="10"/>
  <c r="B171" i="10"/>
  <c r="BW171" i="10" s="1"/>
  <c r="CD171" i="10" l="1"/>
  <c r="BJ171" i="10"/>
  <c r="CC171" i="10"/>
  <c r="BY171" i="10"/>
  <c r="BS171" i="10"/>
  <c r="BO171" i="10"/>
  <c r="BD171" i="10"/>
  <c r="AZ171" i="10"/>
  <c r="AR171" i="10"/>
  <c r="AN171" i="10"/>
  <c r="AI171" i="10"/>
  <c r="CB171" i="10"/>
  <c r="BR171" i="10"/>
  <c r="BN171" i="10"/>
  <c r="BI171" i="10"/>
  <c r="AY171" i="10"/>
  <c r="AQ171" i="10"/>
  <c r="AM171" i="10"/>
  <c r="AH171" i="10"/>
  <c r="BZ171" i="10"/>
  <c r="BP171" i="10"/>
  <c r="AX171" i="10"/>
  <c r="AP171" i="10"/>
  <c r="BU171" i="10" s="1"/>
  <c r="BV171" i="10"/>
  <c r="AW171" i="10"/>
  <c r="AO171" i="10"/>
  <c r="BK171" i="10"/>
  <c r="BB171" i="10"/>
  <c r="AT171" i="10"/>
  <c r="BH171" i="10"/>
  <c r="AS171" i="10"/>
  <c r="CA171" i="10"/>
  <c r="AK171" i="10"/>
  <c r="BQ171" i="10"/>
  <c r="BA171" i="10"/>
  <c r="BL171" i="10"/>
  <c r="AV170" i="10"/>
  <c r="BX170" i="10"/>
  <c r="BT170" i="10"/>
  <c r="AU170" i="10"/>
  <c r="BG170" i="10" s="1"/>
  <c r="AF171" i="10"/>
  <c r="AE170" i="10"/>
  <c r="B172" i="10"/>
  <c r="BW172" i="10" s="1"/>
  <c r="CD172" i="10" l="1"/>
  <c r="BJ172" i="10"/>
  <c r="BT171" i="10"/>
  <c r="AV171" i="10"/>
  <c r="BZ172" i="10"/>
  <c r="BS172" i="10"/>
  <c r="BO172" i="10"/>
  <c r="BD172" i="10"/>
  <c r="AZ172" i="10"/>
  <c r="AT172" i="10"/>
  <c r="AP172" i="10"/>
  <c r="BU172" i="10" s="1"/>
  <c r="CC172" i="10"/>
  <c r="BY172" i="10"/>
  <c r="BR172" i="10"/>
  <c r="BN172" i="10"/>
  <c r="BI172" i="10"/>
  <c r="AY172" i="10"/>
  <c r="AS172" i="10"/>
  <c r="AO172" i="10"/>
  <c r="AK172" i="10"/>
  <c r="AW172" i="10"/>
  <c r="AM172" i="10"/>
  <c r="BV172" i="10"/>
  <c r="BK172" i="10"/>
  <c r="BB172" i="10"/>
  <c r="AR172" i="10"/>
  <c r="AI172" i="10"/>
  <c r="CB172" i="10"/>
  <c r="BQ172" i="10"/>
  <c r="BH172" i="10"/>
  <c r="BA172" i="10"/>
  <c r="AQ172" i="10"/>
  <c r="AH172" i="10"/>
  <c r="AN172" i="10"/>
  <c r="BP172" i="10"/>
  <c r="CA172" i="10"/>
  <c r="AX172" i="10"/>
  <c r="BL172" i="10"/>
  <c r="AU171" i="10"/>
  <c r="BG171" i="10" s="1"/>
  <c r="BX171" i="10"/>
  <c r="AF172" i="10"/>
  <c r="AE171" i="10"/>
  <c r="B173" i="10"/>
  <c r="BW173" i="10" s="1"/>
  <c r="CD173" i="10" l="1"/>
  <c r="BJ173" i="10"/>
  <c r="BX172" i="10"/>
  <c r="BT172" i="10"/>
  <c r="CB173" i="10"/>
  <c r="BR173" i="10"/>
  <c r="BN173" i="10"/>
  <c r="BI173" i="10"/>
  <c r="BD173" i="10"/>
  <c r="AZ173" i="10"/>
  <c r="AQ173" i="10"/>
  <c r="AM173" i="10"/>
  <c r="AH173" i="10"/>
  <c r="CA173" i="10"/>
  <c r="BQ173" i="10"/>
  <c r="BH173" i="10"/>
  <c r="AY173" i="10"/>
  <c r="AT173" i="10"/>
  <c r="AP173" i="10"/>
  <c r="BU173" i="10" s="1"/>
  <c r="BZ173" i="10"/>
  <c r="BP173" i="10"/>
  <c r="BB173" i="10"/>
  <c r="AS173" i="10"/>
  <c r="AK173" i="10"/>
  <c r="BY173" i="10"/>
  <c r="BO173" i="10"/>
  <c r="BA173" i="10"/>
  <c r="AR173" i="10"/>
  <c r="AI173" i="10"/>
  <c r="BV173" i="10"/>
  <c r="AX173" i="10"/>
  <c r="AO173" i="10"/>
  <c r="AW173" i="10"/>
  <c r="BS173" i="10"/>
  <c r="BK173" i="10"/>
  <c r="AN173" i="10"/>
  <c r="CC173" i="10"/>
  <c r="BL173" i="10"/>
  <c r="AU172" i="10"/>
  <c r="BG172" i="10" s="1"/>
  <c r="AV172" i="10"/>
  <c r="AF173" i="10"/>
  <c r="AE172" i="10"/>
  <c r="B174" i="10"/>
  <c r="BW174" i="10" s="1"/>
  <c r="CD174" i="10" l="1"/>
  <c r="BJ174" i="10"/>
  <c r="AV173" i="10"/>
  <c r="AU173" i="10"/>
  <c r="BG173" i="10" s="1"/>
  <c r="CB174" i="10"/>
  <c r="BP174" i="10"/>
  <c r="BK174" i="10"/>
  <c r="BA174" i="10"/>
  <c r="AW174" i="10"/>
  <c r="AS174" i="10"/>
  <c r="AO174" i="10"/>
  <c r="AK174" i="10"/>
  <c r="CA174" i="10"/>
  <c r="BS174" i="10"/>
  <c r="BO174" i="10"/>
  <c r="BD174" i="10"/>
  <c r="AZ174" i="10"/>
  <c r="AR174" i="10"/>
  <c r="AN174" i="10"/>
  <c r="AI174" i="10"/>
  <c r="BZ174" i="10"/>
  <c r="BV174" i="10"/>
  <c r="BR174" i="10"/>
  <c r="BN174" i="10"/>
  <c r="BI174" i="10"/>
  <c r="AY174" i="10"/>
  <c r="AM174" i="10"/>
  <c r="BQ174" i="10"/>
  <c r="AT174" i="10"/>
  <c r="CC174" i="10"/>
  <c r="BB174" i="10"/>
  <c r="AQ174" i="10"/>
  <c r="AH174" i="10"/>
  <c r="AX174" i="10"/>
  <c r="BH174" i="10"/>
  <c r="AP174" i="10"/>
  <c r="BU174" i="10" s="1"/>
  <c r="BY174" i="10"/>
  <c r="BL174" i="10"/>
  <c r="BT173" i="10"/>
  <c r="BX173" i="10"/>
  <c r="AF174" i="10"/>
  <c r="AE173" i="10"/>
  <c r="B175" i="10"/>
  <c r="BW175" i="10" s="1"/>
  <c r="CD175" i="10" l="1"/>
  <c r="BJ175" i="10"/>
  <c r="AU174" i="10"/>
  <c r="BG174" i="10" s="1"/>
  <c r="BT174" i="10"/>
  <c r="AV174" i="10"/>
  <c r="BX174" i="10"/>
  <c r="BZ175" i="10"/>
  <c r="BP175" i="10"/>
  <c r="BK175" i="10"/>
  <c r="BA175" i="10"/>
  <c r="AW175" i="10"/>
  <c r="AS175" i="10"/>
  <c r="AO175" i="10"/>
  <c r="AK175" i="10"/>
  <c r="CC175" i="10"/>
  <c r="BY175" i="10"/>
  <c r="BS175" i="10"/>
  <c r="BO175" i="10"/>
  <c r="BD175" i="10"/>
  <c r="AZ175" i="10"/>
  <c r="AR175" i="10"/>
  <c r="AN175" i="10"/>
  <c r="AI175" i="10"/>
  <c r="CB175" i="10"/>
  <c r="BR175" i="10"/>
  <c r="BN175" i="10"/>
  <c r="BI175" i="10"/>
  <c r="AY175" i="10"/>
  <c r="AQ175" i="10"/>
  <c r="AM175" i="10"/>
  <c r="AH175" i="10"/>
  <c r="BQ175" i="10"/>
  <c r="AP175" i="10"/>
  <c r="BU175" i="10" s="1"/>
  <c r="BB175" i="10"/>
  <c r="CA175" i="10"/>
  <c r="BH175" i="10"/>
  <c r="AX175" i="10"/>
  <c r="BV175" i="10"/>
  <c r="AT175" i="10"/>
  <c r="BL175" i="10"/>
  <c r="AF175" i="10"/>
  <c r="AE174" i="10"/>
  <c r="B176" i="10"/>
  <c r="BW176" i="10" s="1"/>
  <c r="CD176" i="10" l="1"/>
  <c r="BJ176" i="10"/>
  <c r="AV175" i="10"/>
  <c r="BX175" i="10"/>
  <c r="CA176" i="10"/>
  <c r="BV176" i="10"/>
  <c r="BP176" i="10"/>
  <c r="BK176" i="10"/>
  <c r="BA176" i="10"/>
  <c r="AW176" i="10"/>
  <c r="AQ176" i="10"/>
  <c r="AM176" i="10"/>
  <c r="AH176" i="10"/>
  <c r="BZ176" i="10"/>
  <c r="BS176" i="10"/>
  <c r="BO176" i="10"/>
  <c r="BD176" i="10"/>
  <c r="AZ176" i="10"/>
  <c r="AT176" i="10"/>
  <c r="AP176" i="10"/>
  <c r="BU176" i="10" s="1"/>
  <c r="CC176" i="10"/>
  <c r="BY176" i="10"/>
  <c r="BR176" i="10"/>
  <c r="BN176" i="10"/>
  <c r="BI176" i="10"/>
  <c r="AY176" i="10"/>
  <c r="AS176" i="10"/>
  <c r="AO176" i="10"/>
  <c r="AK176" i="10"/>
  <c r="BQ176" i="10"/>
  <c r="AN176" i="10"/>
  <c r="BB176" i="10"/>
  <c r="AI176" i="10"/>
  <c r="CB176" i="10"/>
  <c r="BH176" i="10"/>
  <c r="AX176" i="10"/>
  <c r="AR176" i="10"/>
  <c r="BL176" i="10"/>
  <c r="BT175" i="10"/>
  <c r="AU175" i="10"/>
  <c r="BG175" i="10" s="1"/>
  <c r="AF176" i="10"/>
  <c r="AE175" i="10"/>
  <c r="B177" i="10"/>
  <c r="BW177" i="10" s="1"/>
  <c r="CD177" i="10" l="1"/>
  <c r="BJ177" i="10"/>
  <c r="BT176" i="10"/>
  <c r="BX176" i="10"/>
  <c r="AU176" i="10"/>
  <c r="BG176" i="10" s="1"/>
  <c r="BZ177" i="10"/>
  <c r="BV177" i="10"/>
  <c r="BQ177" i="10"/>
  <c r="BH177" i="10"/>
  <c r="BB177" i="10"/>
  <c r="AX177" i="10"/>
  <c r="AR177" i="10"/>
  <c r="AN177" i="10"/>
  <c r="AI177" i="10"/>
  <c r="CC177" i="10"/>
  <c r="BY177" i="10"/>
  <c r="BP177" i="10"/>
  <c r="BK177" i="10"/>
  <c r="BA177" i="10"/>
  <c r="AW177" i="10"/>
  <c r="AQ177" i="10"/>
  <c r="AM177" i="10"/>
  <c r="AH177" i="10"/>
  <c r="CB177" i="10"/>
  <c r="BS177" i="10"/>
  <c r="BO177" i="10"/>
  <c r="BD177" i="10"/>
  <c r="AZ177" i="10"/>
  <c r="AT177" i="10"/>
  <c r="AP177" i="10"/>
  <c r="BU177" i="10" s="1"/>
  <c r="BR177" i="10"/>
  <c r="AO177" i="10"/>
  <c r="BN177" i="10"/>
  <c r="AK177" i="10"/>
  <c r="CA177" i="10"/>
  <c r="AY177" i="10"/>
  <c r="AS177" i="10"/>
  <c r="BI177" i="10"/>
  <c r="BL177" i="10"/>
  <c r="AV176" i="10"/>
  <c r="AF177" i="10"/>
  <c r="AE176" i="10"/>
  <c r="B178" i="10"/>
  <c r="BW178" i="10" s="1"/>
  <c r="CD178" i="10" l="1"/>
  <c r="BJ178" i="10"/>
  <c r="BT177" i="10"/>
  <c r="AU177" i="10"/>
  <c r="BG177" i="10" s="1"/>
  <c r="AV177" i="10"/>
  <c r="BX177" i="10"/>
  <c r="BZ178" i="10"/>
  <c r="BV178" i="10"/>
  <c r="BR178" i="10"/>
  <c r="BN178" i="10"/>
  <c r="BI178" i="10"/>
  <c r="AY178" i="10"/>
  <c r="AQ178" i="10"/>
  <c r="AM178" i="10"/>
  <c r="AH178" i="10"/>
  <c r="CC178" i="10"/>
  <c r="BY178" i="10"/>
  <c r="BQ178" i="10"/>
  <c r="BH178" i="10"/>
  <c r="BB178" i="10"/>
  <c r="AX178" i="10"/>
  <c r="AT178" i="10"/>
  <c r="AP178" i="10"/>
  <c r="BU178" i="10" s="1"/>
  <c r="CB178" i="10"/>
  <c r="BP178" i="10"/>
  <c r="BK178" i="10"/>
  <c r="BA178" i="10"/>
  <c r="AW178" i="10"/>
  <c r="AS178" i="10"/>
  <c r="AO178" i="10"/>
  <c r="AK178" i="10"/>
  <c r="CA178" i="10"/>
  <c r="AN178" i="10"/>
  <c r="AZ178" i="10"/>
  <c r="AI178" i="10"/>
  <c r="BS178" i="10"/>
  <c r="BD178" i="10"/>
  <c r="BO178" i="10"/>
  <c r="AR178" i="10"/>
  <c r="BL178" i="10"/>
  <c r="AF178" i="10"/>
  <c r="AE177" i="10"/>
  <c r="B179" i="10"/>
  <c r="BW179" i="10" s="1"/>
  <c r="CD179" i="10" l="1"/>
  <c r="BJ179" i="10"/>
  <c r="BX178" i="10"/>
  <c r="BT178" i="10"/>
  <c r="AV178" i="10"/>
  <c r="AU178" i="10"/>
  <c r="BG178" i="10" s="1"/>
  <c r="CB179" i="10"/>
  <c r="BR179" i="10"/>
  <c r="BN179" i="10"/>
  <c r="BI179" i="10"/>
  <c r="AY179" i="10"/>
  <c r="AQ179" i="10"/>
  <c r="AM179" i="10"/>
  <c r="AH179" i="10"/>
  <c r="CA179" i="10"/>
  <c r="BV179" i="10"/>
  <c r="BQ179" i="10"/>
  <c r="BH179" i="10"/>
  <c r="BB179" i="10"/>
  <c r="AX179" i="10"/>
  <c r="AT179" i="10"/>
  <c r="AP179" i="10"/>
  <c r="BU179" i="10" s="1"/>
  <c r="BZ179" i="10"/>
  <c r="BP179" i="10"/>
  <c r="BK179" i="10"/>
  <c r="BA179" i="10"/>
  <c r="AW179" i="10"/>
  <c r="AS179" i="10"/>
  <c r="AO179" i="10"/>
  <c r="AK179" i="10"/>
  <c r="BS179" i="10"/>
  <c r="BO179" i="10"/>
  <c r="BD179" i="10"/>
  <c r="AR179" i="10"/>
  <c r="CC179" i="10"/>
  <c r="AN179" i="10"/>
  <c r="AI179" i="10"/>
  <c r="BY179" i="10"/>
  <c r="AZ179" i="10"/>
  <c r="BL179" i="10"/>
  <c r="AF179" i="10"/>
  <c r="AE178" i="10"/>
  <c r="B180" i="10"/>
  <c r="BW180" i="10" s="1"/>
  <c r="CD180" i="10" l="1"/>
  <c r="BJ180" i="10"/>
  <c r="AV179" i="10"/>
  <c r="BX179" i="10"/>
  <c r="CC180" i="10"/>
  <c r="BY180" i="10"/>
  <c r="BR180" i="10"/>
  <c r="BN180" i="10"/>
  <c r="BI180" i="10"/>
  <c r="AY180" i="10"/>
  <c r="AS180" i="10"/>
  <c r="AO180" i="10"/>
  <c r="AK180" i="10"/>
  <c r="CB180" i="10"/>
  <c r="BQ180" i="10"/>
  <c r="BH180" i="10"/>
  <c r="BB180" i="10"/>
  <c r="AX180" i="10"/>
  <c r="AR180" i="10"/>
  <c r="AN180" i="10"/>
  <c r="AI180" i="10"/>
  <c r="CA180" i="10"/>
  <c r="BV180" i="10"/>
  <c r="BP180" i="10"/>
  <c r="BK180" i="10"/>
  <c r="BA180" i="10"/>
  <c r="AW180" i="10"/>
  <c r="AQ180" i="10"/>
  <c r="AM180" i="10"/>
  <c r="AH180" i="10"/>
  <c r="BO180" i="10"/>
  <c r="BD180" i="10"/>
  <c r="AP180" i="10"/>
  <c r="BU180" i="10" s="1"/>
  <c r="BZ180" i="10"/>
  <c r="AZ180" i="10"/>
  <c r="BS180" i="10"/>
  <c r="AT180" i="10"/>
  <c r="BL180" i="10"/>
  <c r="BT179" i="10"/>
  <c r="AU179" i="10"/>
  <c r="BG179" i="10" s="1"/>
  <c r="AF180" i="10"/>
  <c r="AE179" i="10"/>
  <c r="B181" i="10"/>
  <c r="BW181" i="10" s="1"/>
  <c r="CD181" i="10" l="1"/>
  <c r="BJ181" i="10"/>
  <c r="BT180" i="10"/>
  <c r="BX180" i="10"/>
  <c r="AV180" i="10"/>
  <c r="AU180" i="10"/>
  <c r="BG180" i="10" s="1"/>
  <c r="CC181" i="10"/>
  <c r="BY181" i="10"/>
  <c r="BR181" i="10"/>
  <c r="BN181" i="10"/>
  <c r="BI181" i="10"/>
  <c r="AY181" i="10"/>
  <c r="AT181" i="10"/>
  <c r="AP181" i="10"/>
  <c r="BU181" i="10" s="1"/>
  <c r="CB181" i="10"/>
  <c r="BQ181" i="10"/>
  <c r="BH181" i="10"/>
  <c r="BB181" i="10"/>
  <c r="AX181" i="10"/>
  <c r="AS181" i="10"/>
  <c r="AO181" i="10"/>
  <c r="AK181" i="10"/>
  <c r="CA181" i="10"/>
  <c r="BV181" i="10"/>
  <c r="BP181" i="10"/>
  <c r="BK181" i="10"/>
  <c r="BA181" i="10"/>
  <c r="AW181" i="10"/>
  <c r="AR181" i="10"/>
  <c r="AN181" i="10"/>
  <c r="AI181" i="10"/>
  <c r="AM181" i="10"/>
  <c r="BZ181" i="10"/>
  <c r="AZ181" i="10"/>
  <c r="AH181" i="10"/>
  <c r="BS181" i="10"/>
  <c r="AQ181" i="10"/>
  <c r="BD181" i="10"/>
  <c r="BO181" i="10"/>
  <c r="BL181" i="10"/>
  <c r="AF181" i="10"/>
  <c r="AE180" i="10"/>
  <c r="B182" i="10"/>
  <c r="BW182" i="10" s="1"/>
  <c r="CD182" i="10" l="1"/>
  <c r="BJ182" i="10"/>
  <c r="BT181" i="10"/>
  <c r="CC182" i="10"/>
  <c r="BY182" i="10"/>
  <c r="BQ182" i="10"/>
  <c r="BH182" i="10"/>
  <c r="BB182" i="10"/>
  <c r="AX182" i="10"/>
  <c r="AT182" i="10"/>
  <c r="AP182" i="10"/>
  <c r="BU182" i="10" s="1"/>
  <c r="CB182" i="10"/>
  <c r="BP182" i="10"/>
  <c r="BK182" i="10"/>
  <c r="BA182" i="10"/>
  <c r="AW182" i="10"/>
  <c r="AS182" i="10"/>
  <c r="AO182" i="10"/>
  <c r="AK182" i="10"/>
  <c r="CA182" i="10"/>
  <c r="BS182" i="10"/>
  <c r="BO182" i="10"/>
  <c r="BD182" i="10"/>
  <c r="AZ182" i="10"/>
  <c r="AR182" i="10"/>
  <c r="AN182" i="10"/>
  <c r="AI182" i="10"/>
  <c r="BZ182" i="10"/>
  <c r="AY182" i="10"/>
  <c r="AH182" i="10"/>
  <c r="BV182" i="10"/>
  <c r="BI182" i="10"/>
  <c r="BR182" i="10"/>
  <c r="AQ182" i="10"/>
  <c r="BN182" i="10"/>
  <c r="AM182" i="10"/>
  <c r="BL182" i="10"/>
  <c r="AV181" i="10"/>
  <c r="BX181" i="10"/>
  <c r="AU181" i="10"/>
  <c r="BG181" i="10" s="1"/>
  <c r="AF182" i="10"/>
  <c r="AE181" i="10"/>
  <c r="B183" i="10"/>
  <c r="BW183" i="10" s="1"/>
  <c r="CD183" i="10" l="1"/>
  <c r="BJ183" i="10"/>
  <c r="BT182" i="10"/>
  <c r="AU182" i="10"/>
  <c r="BG182" i="10" s="1"/>
  <c r="AV182" i="10"/>
  <c r="CB183" i="10"/>
  <c r="BR183" i="10"/>
  <c r="BN183" i="10"/>
  <c r="BI183" i="10"/>
  <c r="AY183" i="10"/>
  <c r="AT183" i="10"/>
  <c r="AP183" i="10"/>
  <c r="AV183" i="10" s="1"/>
  <c r="CA183" i="10"/>
  <c r="BV183" i="10"/>
  <c r="BQ183" i="10"/>
  <c r="BH183" i="10"/>
  <c r="BB183" i="10"/>
  <c r="AX183" i="10"/>
  <c r="AS183" i="10"/>
  <c r="AO183" i="10"/>
  <c r="AK183" i="10"/>
  <c r="BZ183" i="10"/>
  <c r="BP183" i="10"/>
  <c r="BK183" i="10"/>
  <c r="BA183" i="10"/>
  <c r="AW183" i="10"/>
  <c r="AR183" i="10"/>
  <c r="AN183" i="10"/>
  <c r="AI183" i="10"/>
  <c r="BS183" i="10"/>
  <c r="BO183" i="10"/>
  <c r="BD183" i="10"/>
  <c r="AQ183" i="10"/>
  <c r="CC183" i="10"/>
  <c r="AM183" i="10"/>
  <c r="AZ183" i="10"/>
  <c r="AH183" i="10"/>
  <c r="BY183" i="10"/>
  <c r="BL183" i="10"/>
  <c r="BX182" i="10"/>
  <c r="AF183" i="10"/>
  <c r="AE182" i="10"/>
  <c r="B184" i="10"/>
  <c r="BW184" i="10" s="1"/>
  <c r="CD184" i="10" l="1"/>
  <c r="BJ184" i="10"/>
  <c r="BT183" i="10"/>
  <c r="CC184" i="10"/>
  <c r="BY184" i="10"/>
  <c r="BR184" i="10"/>
  <c r="BN184" i="10"/>
  <c r="BI184" i="10"/>
  <c r="AY184" i="10"/>
  <c r="AS184" i="10"/>
  <c r="AO184" i="10"/>
  <c r="AK184" i="10"/>
  <c r="CB184" i="10"/>
  <c r="BQ184" i="10"/>
  <c r="BH184" i="10"/>
  <c r="BB184" i="10"/>
  <c r="AX184" i="10"/>
  <c r="AR184" i="10"/>
  <c r="AN184" i="10"/>
  <c r="AI184" i="10"/>
  <c r="CA184" i="10"/>
  <c r="BV184" i="10"/>
  <c r="BP184" i="10"/>
  <c r="BK184" i="10"/>
  <c r="BA184" i="10"/>
  <c r="AW184" i="10"/>
  <c r="AQ184" i="10"/>
  <c r="AM184" i="10"/>
  <c r="AH184" i="10"/>
  <c r="BO184" i="10"/>
  <c r="BD184" i="10"/>
  <c r="AP184" i="10"/>
  <c r="BU184" i="10" s="1"/>
  <c r="BZ184" i="10"/>
  <c r="AZ184" i="10"/>
  <c r="BS184" i="10"/>
  <c r="AT184" i="10"/>
  <c r="BL184" i="10"/>
  <c r="BX183" i="10"/>
  <c r="AU183" i="10"/>
  <c r="BG183" i="10" s="1"/>
  <c r="BU183" i="10"/>
  <c r="AF184" i="10"/>
  <c r="AE183" i="10"/>
  <c r="B185" i="10"/>
  <c r="BW185" i="10" s="1"/>
  <c r="CD185" i="10" l="1"/>
  <c r="BJ185" i="10"/>
  <c r="BX184" i="10"/>
  <c r="BT184" i="10"/>
  <c r="AU184" i="10"/>
  <c r="BG184" i="10" s="1"/>
  <c r="CA185" i="10"/>
  <c r="BQ185" i="10"/>
  <c r="BH185" i="10"/>
  <c r="AY185" i="10"/>
  <c r="AT185" i="10"/>
  <c r="AP185" i="10"/>
  <c r="BU185" i="10" s="1"/>
  <c r="BZ185" i="10"/>
  <c r="BV185" i="10"/>
  <c r="BP185" i="10"/>
  <c r="BK185" i="10"/>
  <c r="BB185" i="10"/>
  <c r="AX185" i="10"/>
  <c r="AS185" i="10"/>
  <c r="AO185" i="10"/>
  <c r="AK185" i="10"/>
  <c r="CC185" i="10"/>
  <c r="BY185" i="10"/>
  <c r="BS185" i="10"/>
  <c r="BO185" i="10"/>
  <c r="BA185" i="10"/>
  <c r="AW185" i="10"/>
  <c r="AR185" i="10"/>
  <c r="AN185" i="10"/>
  <c r="AI185" i="10"/>
  <c r="CB185" i="10"/>
  <c r="AM185" i="10"/>
  <c r="BI185" i="10"/>
  <c r="AZ185" i="10"/>
  <c r="AH185" i="10"/>
  <c r="BR185" i="10"/>
  <c r="BN185" i="10"/>
  <c r="AQ185" i="10"/>
  <c r="BD185" i="10"/>
  <c r="BL185" i="10"/>
  <c r="AV184" i="10"/>
  <c r="AF185" i="10"/>
  <c r="AE184" i="10"/>
  <c r="B186" i="10"/>
  <c r="BW186" i="10" s="1"/>
  <c r="CD186" i="10" l="1"/>
  <c r="BJ186" i="10"/>
  <c r="BX185" i="10"/>
  <c r="AV185" i="10"/>
  <c r="AU185" i="10"/>
  <c r="BG185" i="10" s="1"/>
  <c r="CA186" i="10"/>
  <c r="BS186" i="10"/>
  <c r="BO186" i="10"/>
  <c r="BD186" i="10"/>
  <c r="AZ186" i="10"/>
  <c r="AR186" i="10"/>
  <c r="AN186" i="10"/>
  <c r="AI186" i="10"/>
  <c r="BZ186" i="10"/>
  <c r="BV186" i="10"/>
  <c r="BR186" i="10"/>
  <c r="BN186" i="10"/>
  <c r="BI186" i="10"/>
  <c r="AY186" i="10"/>
  <c r="AQ186" i="10"/>
  <c r="AM186" i="10"/>
  <c r="AH186" i="10"/>
  <c r="CC186" i="10"/>
  <c r="BY186" i="10"/>
  <c r="BQ186" i="10"/>
  <c r="BH186" i="10"/>
  <c r="BB186" i="10"/>
  <c r="AX186" i="10"/>
  <c r="AT186" i="10"/>
  <c r="AP186" i="10"/>
  <c r="BU186" i="10" s="1"/>
  <c r="BK186" i="10"/>
  <c r="AW186" i="10"/>
  <c r="AS186" i="10"/>
  <c r="BP186" i="10"/>
  <c r="AO186" i="10"/>
  <c r="CB186" i="10"/>
  <c r="BA186" i="10"/>
  <c r="AK186" i="10"/>
  <c r="BL186" i="10"/>
  <c r="BT185" i="10"/>
  <c r="AF186" i="10"/>
  <c r="AE185" i="10"/>
  <c r="B187" i="10"/>
  <c r="BW187" i="10" s="1"/>
  <c r="CD187" i="10" l="1"/>
  <c r="BJ187" i="10"/>
  <c r="BT186" i="10"/>
  <c r="BX186" i="10"/>
  <c r="AV186" i="10"/>
  <c r="AU186" i="10"/>
  <c r="BG186" i="10" s="1"/>
  <c r="BZ187" i="10"/>
  <c r="BP187" i="10"/>
  <c r="BK187" i="10"/>
  <c r="BA187" i="10"/>
  <c r="AW187" i="10"/>
  <c r="AR187" i="10"/>
  <c r="AN187" i="10"/>
  <c r="AI187" i="10"/>
  <c r="CC187" i="10"/>
  <c r="BY187" i="10"/>
  <c r="BS187" i="10"/>
  <c r="BO187" i="10"/>
  <c r="BD187" i="10"/>
  <c r="AZ187" i="10"/>
  <c r="AQ187" i="10"/>
  <c r="AM187" i="10"/>
  <c r="AH187" i="10"/>
  <c r="CB187" i="10"/>
  <c r="BR187" i="10"/>
  <c r="BN187" i="10"/>
  <c r="BI187" i="10"/>
  <c r="AY187" i="10"/>
  <c r="AT187" i="10"/>
  <c r="AP187" i="10"/>
  <c r="BV187" i="10"/>
  <c r="AS187" i="10"/>
  <c r="BQ187" i="10"/>
  <c r="AO187" i="10"/>
  <c r="BB187" i="10"/>
  <c r="AK187" i="10"/>
  <c r="CA187" i="10"/>
  <c r="AX187" i="10"/>
  <c r="BH187" i="10"/>
  <c r="BL187" i="10"/>
  <c r="AF187" i="10"/>
  <c r="AE186" i="10"/>
  <c r="B188" i="10"/>
  <c r="BW188" i="10" s="1"/>
  <c r="CD188" i="10" l="1"/>
  <c r="BJ188" i="10"/>
  <c r="BT187" i="10"/>
  <c r="CA188" i="10"/>
  <c r="BV188" i="10"/>
  <c r="BP188" i="10"/>
  <c r="BK188" i="10"/>
  <c r="BA188" i="10"/>
  <c r="AW188" i="10"/>
  <c r="AQ188" i="10"/>
  <c r="AM188" i="10"/>
  <c r="AH188" i="10"/>
  <c r="BZ188" i="10"/>
  <c r="BS188" i="10"/>
  <c r="BO188" i="10"/>
  <c r="BD188" i="10"/>
  <c r="AZ188" i="10"/>
  <c r="AT188" i="10"/>
  <c r="AP188" i="10"/>
  <c r="BU188" i="10" s="1"/>
  <c r="CC188" i="10"/>
  <c r="BY188" i="10"/>
  <c r="BR188" i="10"/>
  <c r="BN188" i="10"/>
  <c r="BI188" i="10"/>
  <c r="AY188" i="10"/>
  <c r="AS188" i="10"/>
  <c r="AO188" i="10"/>
  <c r="AK188" i="10"/>
  <c r="AR188" i="10"/>
  <c r="BQ188" i="10"/>
  <c r="AN188" i="10"/>
  <c r="BB188" i="10"/>
  <c r="AI188" i="10"/>
  <c r="BH188" i="10"/>
  <c r="CB188" i="10"/>
  <c r="AX188" i="10"/>
  <c r="BL188" i="10"/>
  <c r="AU187" i="10"/>
  <c r="BG187" i="10" s="1"/>
  <c r="BU187" i="10"/>
  <c r="BX187" i="10"/>
  <c r="AV187" i="10"/>
  <c r="AF188" i="10"/>
  <c r="AE187" i="10"/>
  <c r="B189" i="10"/>
  <c r="BW189" i="10" s="1"/>
  <c r="CD189" i="10" l="1"/>
  <c r="BJ189" i="10"/>
  <c r="BT188" i="10"/>
  <c r="AU188" i="10"/>
  <c r="BG188" i="10" s="1"/>
  <c r="BX188" i="10"/>
  <c r="AV188" i="10"/>
  <c r="CA189" i="10"/>
  <c r="BV189" i="10"/>
  <c r="BP189" i="10"/>
  <c r="BK189" i="10"/>
  <c r="BA189" i="10"/>
  <c r="AW189" i="10"/>
  <c r="AR189" i="10"/>
  <c r="AN189" i="10"/>
  <c r="AI189" i="10"/>
  <c r="BZ189" i="10"/>
  <c r="BS189" i="10"/>
  <c r="BO189" i="10"/>
  <c r="BD189" i="10"/>
  <c r="AZ189" i="10"/>
  <c r="AQ189" i="10"/>
  <c r="AM189" i="10"/>
  <c r="AH189" i="10"/>
  <c r="CC189" i="10"/>
  <c r="BY189" i="10"/>
  <c r="BR189" i="10"/>
  <c r="BN189" i="10"/>
  <c r="BI189" i="10"/>
  <c r="AY189" i="10"/>
  <c r="AT189" i="10"/>
  <c r="AP189" i="10"/>
  <c r="BU189" i="10" s="1"/>
  <c r="AS189" i="10"/>
  <c r="BQ189" i="10"/>
  <c r="AO189" i="10"/>
  <c r="BB189" i="10"/>
  <c r="AK189" i="10"/>
  <c r="CB189" i="10"/>
  <c r="AX189" i="10"/>
  <c r="BH189" i="10"/>
  <c r="BL189" i="10"/>
  <c r="AF189" i="10"/>
  <c r="AE188" i="10"/>
  <c r="B190" i="10"/>
  <c r="BW190" i="10" s="1"/>
  <c r="CD190" i="10" l="1"/>
  <c r="BJ190" i="10"/>
  <c r="BX189" i="10"/>
  <c r="AV189" i="10"/>
  <c r="AU189" i="10"/>
  <c r="BG189" i="10" s="1"/>
  <c r="CA190" i="10"/>
  <c r="BS190" i="10"/>
  <c r="BO190" i="10"/>
  <c r="BD190" i="10"/>
  <c r="AZ190" i="10"/>
  <c r="AR190" i="10"/>
  <c r="AN190" i="10"/>
  <c r="AI190" i="10"/>
  <c r="BZ190" i="10"/>
  <c r="BV190" i="10"/>
  <c r="BR190" i="10"/>
  <c r="BN190" i="10"/>
  <c r="BI190" i="10"/>
  <c r="AY190" i="10"/>
  <c r="AQ190" i="10"/>
  <c r="AM190" i="10"/>
  <c r="AH190" i="10"/>
  <c r="CC190" i="10"/>
  <c r="BY190" i="10"/>
  <c r="BQ190" i="10"/>
  <c r="BH190" i="10"/>
  <c r="BB190" i="10"/>
  <c r="AX190" i="10"/>
  <c r="AT190" i="10"/>
  <c r="AP190" i="10"/>
  <c r="BU190" i="10" s="1"/>
  <c r="AS190" i="10"/>
  <c r="BP190" i="10"/>
  <c r="AO190" i="10"/>
  <c r="CB190" i="10"/>
  <c r="BA190" i="10"/>
  <c r="AK190" i="10"/>
  <c r="BK190" i="10"/>
  <c r="AW190" i="10"/>
  <c r="BL190" i="10"/>
  <c r="BT189" i="10"/>
  <c r="AF190" i="10"/>
  <c r="AE189" i="10"/>
  <c r="B191" i="10"/>
  <c r="BW191" i="10" s="1"/>
  <c r="CD191" i="10" l="1"/>
  <c r="BJ191" i="10"/>
  <c r="BT190" i="10"/>
  <c r="BX190" i="10"/>
  <c r="AV190" i="10"/>
  <c r="BZ191" i="10"/>
  <c r="BP191" i="10"/>
  <c r="BK191" i="10"/>
  <c r="BA191" i="10"/>
  <c r="AW191" i="10"/>
  <c r="AR191" i="10"/>
  <c r="AN191" i="10"/>
  <c r="AI191" i="10"/>
  <c r="CC191" i="10"/>
  <c r="BY191" i="10"/>
  <c r="BS191" i="10"/>
  <c r="BO191" i="10"/>
  <c r="BD191" i="10"/>
  <c r="AZ191" i="10"/>
  <c r="AQ191" i="10"/>
  <c r="AM191" i="10"/>
  <c r="AH191" i="10"/>
  <c r="CB191" i="10"/>
  <c r="BR191" i="10"/>
  <c r="BN191" i="10"/>
  <c r="BI191" i="10"/>
  <c r="AY191" i="10"/>
  <c r="AT191" i="10"/>
  <c r="AP191" i="10"/>
  <c r="AV191" i="10" s="1"/>
  <c r="BQ191" i="10"/>
  <c r="AO191" i="10"/>
  <c r="BB191" i="10"/>
  <c r="AK191" i="10"/>
  <c r="CA191" i="10"/>
  <c r="BH191" i="10"/>
  <c r="AX191" i="10"/>
  <c r="BV191" i="10"/>
  <c r="AS191" i="10"/>
  <c r="BL191" i="10"/>
  <c r="AU190" i="10"/>
  <c r="BG190" i="10" s="1"/>
  <c r="AF191" i="10"/>
  <c r="AE190" i="10"/>
  <c r="B192" i="10"/>
  <c r="BW192" i="10" s="1"/>
  <c r="CD192" i="10" l="1"/>
  <c r="BJ192" i="10"/>
  <c r="BT191" i="10"/>
  <c r="CA192" i="10"/>
  <c r="BV192" i="10"/>
  <c r="BP192" i="10"/>
  <c r="BK192" i="10"/>
  <c r="BA192" i="10"/>
  <c r="AW192" i="10"/>
  <c r="AQ192" i="10"/>
  <c r="AM192" i="10"/>
  <c r="AH192" i="10"/>
  <c r="BZ192" i="10"/>
  <c r="BS192" i="10"/>
  <c r="BO192" i="10"/>
  <c r="BD192" i="10"/>
  <c r="AZ192" i="10"/>
  <c r="AT192" i="10"/>
  <c r="AP192" i="10"/>
  <c r="BU192" i="10" s="1"/>
  <c r="CC192" i="10"/>
  <c r="BY192" i="10"/>
  <c r="BR192" i="10"/>
  <c r="BN192" i="10"/>
  <c r="BI192" i="10"/>
  <c r="AY192" i="10"/>
  <c r="AS192" i="10"/>
  <c r="AO192" i="10"/>
  <c r="AK192" i="10"/>
  <c r="BQ192" i="10"/>
  <c r="AN192" i="10"/>
  <c r="BB192" i="10"/>
  <c r="AI192" i="10"/>
  <c r="CB192" i="10"/>
  <c r="BH192" i="10"/>
  <c r="AX192" i="10"/>
  <c r="AR192" i="10"/>
  <c r="BL192" i="10"/>
  <c r="AU191" i="10"/>
  <c r="BG191" i="10" s="1"/>
  <c r="BU191" i="10"/>
  <c r="BX191" i="10"/>
  <c r="AF192" i="10"/>
  <c r="AE191" i="10"/>
  <c r="B193" i="10"/>
  <c r="BW193" i="10" s="1"/>
  <c r="CD193" i="10" l="1"/>
  <c r="BJ193" i="10"/>
  <c r="BX192" i="10"/>
  <c r="AU192" i="10"/>
  <c r="BG192" i="10" s="1"/>
  <c r="AV192" i="10"/>
  <c r="BT192" i="10"/>
  <c r="CC193" i="10"/>
  <c r="BY193" i="10"/>
  <c r="BS193" i="10"/>
  <c r="BO193" i="10"/>
  <c r="BA193" i="10"/>
  <c r="AW193" i="10"/>
  <c r="AR193" i="10"/>
  <c r="AN193" i="10"/>
  <c r="AI193" i="10"/>
  <c r="CB193" i="10"/>
  <c r="BR193" i="10"/>
  <c r="BN193" i="10"/>
  <c r="BI193" i="10"/>
  <c r="BD193" i="10"/>
  <c r="AZ193" i="10"/>
  <c r="AQ193" i="10"/>
  <c r="AM193" i="10"/>
  <c r="AH193" i="10"/>
  <c r="CA193" i="10"/>
  <c r="BQ193" i="10"/>
  <c r="BH193" i="10"/>
  <c r="AY193" i="10"/>
  <c r="AT193" i="10"/>
  <c r="AP193" i="10"/>
  <c r="BU193" i="10" s="1"/>
  <c r="AO193" i="10"/>
  <c r="BZ193" i="10"/>
  <c r="BK193" i="10"/>
  <c r="BB193" i="10"/>
  <c r="AK193" i="10"/>
  <c r="BV193" i="10"/>
  <c r="AX193" i="10"/>
  <c r="BP193" i="10"/>
  <c r="AS193" i="10"/>
  <c r="BL193" i="10"/>
  <c r="AF193" i="10"/>
  <c r="AE192" i="10"/>
  <c r="B194" i="10"/>
  <c r="BW194" i="10" s="1"/>
  <c r="CD194" i="10" l="1"/>
  <c r="BJ194" i="10"/>
  <c r="BX193" i="10"/>
  <c r="CC194" i="10"/>
  <c r="BY194" i="10"/>
  <c r="BQ194" i="10"/>
  <c r="BH194" i="10"/>
  <c r="BB194" i="10"/>
  <c r="AX194" i="10"/>
  <c r="AT194" i="10"/>
  <c r="AP194" i="10"/>
  <c r="BU194" i="10" s="1"/>
  <c r="CB194" i="10"/>
  <c r="BP194" i="10"/>
  <c r="BK194" i="10"/>
  <c r="BA194" i="10"/>
  <c r="AW194" i="10"/>
  <c r="AS194" i="10"/>
  <c r="AO194" i="10"/>
  <c r="AK194" i="10"/>
  <c r="CA194" i="10"/>
  <c r="BS194" i="10"/>
  <c r="BO194" i="10"/>
  <c r="BD194" i="10"/>
  <c r="AZ194" i="10"/>
  <c r="AR194" i="10"/>
  <c r="AN194" i="10"/>
  <c r="AI194" i="10"/>
  <c r="BZ194" i="10"/>
  <c r="AY194" i="10"/>
  <c r="AH194" i="10"/>
  <c r="BV194" i="10"/>
  <c r="BI194" i="10"/>
  <c r="BR194" i="10"/>
  <c r="AQ194" i="10"/>
  <c r="BN194" i="10"/>
  <c r="AM194" i="10"/>
  <c r="BL194" i="10"/>
  <c r="AV193" i="10"/>
  <c r="AU193" i="10"/>
  <c r="BG193" i="10" s="1"/>
  <c r="BT193" i="10"/>
  <c r="AF194" i="10"/>
  <c r="AE193" i="10"/>
  <c r="B195" i="10"/>
  <c r="BW195" i="10" s="1"/>
  <c r="CD195" i="10" l="1"/>
  <c r="BJ195" i="10"/>
  <c r="BX194" i="10"/>
  <c r="BT194" i="10"/>
  <c r="AU194" i="10"/>
  <c r="BG194" i="10" s="1"/>
  <c r="AV194" i="10"/>
  <c r="CB195" i="10"/>
  <c r="BR195" i="10"/>
  <c r="BN195" i="10"/>
  <c r="BI195" i="10"/>
  <c r="AY195" i="10"/>
  <c r="AT195" i="10"/>
  <c r="AP195" i="10"/>
  <c r="AV195" i="10" s="1"/>
  <c r="CA195" i="10"/>
  <c r="BV195" i="10"/>
  <c r="BQ195" i="10"/>
  <c r="BH195" i="10"/>
  <c r="BB195" i="10"/>
  <c r="AX195" i="10"/>
  <c r="AS195" i="10"/>
  <c r="AO195" i="10"/>
  <c r="AK195" i="10"/>
  <c r="BZ195" i="10"/>
  <c r="BP195" i="10"/>
  <c r="BK195" i="10"/>
  <c r="BA195" i="10"/>
  <c r="AW195" i="10"/>
  <c r="AR195" i="10"/>
  <c r="AN195" i="10"/>
  <c r="AI195" i="10"/>
  <c r="BS195" i="10"/>
  <c r="BO195" i="10"/>
  <c r="BD195" i="10"/>
  <c r="AQ195" i="10"/>
  <c r="CC195" i="10"/>
  <c r="AM195" i="10"/>
  <c r="AZ195" i="10"/>
  <c r="AH195" i="10"/>
  <c r="BY195" i="10"/>
  <c r="BL195" i="10"/>
  <c r="AF195" i="10"/>
  <c r="AE194" i="10"/>
  <c r="B196" i="10"/>
  <c r="BW196" i="10" s="1"/>
  <c r="CD196" i="10" l="1"/>
  <c r="BJ196" i="10"/>
  <c r="BT195" i="10"/>
  <c r="CC196" i="10"/>
  <c r="BY196" i="10"/>
  <c r="BR196" i="10"/>
  <c r="BN196" i="10"/>
  <c r="BI196" i="10"/>
  <c r="AY196" i="10"/>
  <c r="AS196" i="10"/>
  <c r="AO196" i="10"/>
  <c r="AK196" i="10"/>
  <c r="CB196" i="10"/>
  <c r="BQ196" i="10"/>
  <c r="BH196" i="10"/>
  <c r="BB196" i="10"/>
  <c r="AX196" i="10"/>
  <c r="AR196" i="10"/>
  <c r="AN196" i="10"/>
  <c r="AI196" i="10"/>
  <c r="CA196" i="10"/>
  <c r="BV196" i="10"/>
  <c r="BP196" i="10"/>
  <c r="BK196" i="10"/>
  <c r="BA196" i="10"/>
  <c r="AW196" i="10"/>
  <c r="AQ196" i="10"/>
  <c r="AM196" i="10"/>
  <c r="AH196" i="10"/>
  <c r="BO196" i="10"/>
  <c r="BD196" i="10"/>
  <c r="AP196" i="10"/>
  <c r="BU196" i="10" s="1"/>
  <c r="BZ196" i="10"/>
  <c r="AZ196" i="10"/>
  <c r="BS196" i="10"/>
  <c r="AT196" i="10"/>
  <c r="BL196" i="10"/>
  <c r="BX195" i="10"/>
  <c r="AU195" i="10"/>
  <c r="BG195" i="10" s="1"/>
  <c r="BU195" i="10"/>
  <c r="AF196" i="10"/>
  <c r="AE195" i="10"/>
  <c r="B197" i="10"/>
  <c r="BW197" i="10" s="1"/>
  <c r="CD197" i="10" l="1"/>
  <c r="BJ197" i="10"/>
  <c r="BT196" i="10"/>
  <c r="AU196" i="10"/>
  <c r="BG196" i="10" s="1"/>
  <c r="BX196" i="10"/>
  <c r="AV196" i="10"/>
  <c r="CC197" i="10"/>
  <c r="BY197" i="10"/>
  <c r="BR197" i="10"/>
  <c r="BN197" i="10"/>
  <c r="BI197" i="10"/>
  <c r="AY197" i="10"/>
  <c r="AT197" i="10"/>
  <c r="AP197" i="10"/>
  <c r="BU197" i="10" s="1"/>
  <c r="CB197" i="10"/>
  <c r="BQ197" i="10"/>
  <c r="BH197" i="10"/>
  <c r="BB197" i="10"/>
  <c r="AX197" i="10"/>
  <c r="AS197" i="10"/>
  <c r="AO197" i="10"/>
  <c r="AK197" i="10"/>
  <c r="CA197" i="10"/>
  <c r="BV197" i="10"/>
  <c r="BP197" i="10"/>
  <c r="BK197" i="10"/>
  <c r="BA197" i="10"/>
  <c r="AW197" i="10"/>
  <c r="AR197" i="10"/>
  <c r="AN197" i="10"/>
  <c r="AI197" i="10"/>
  <c r="AM197" i="10"/>
  <c r="BZ197" i="10"/>
  <c r="AZ197" i="10"/>
  <c r="AH197" i="10"/>
  <c r="BS197" i="10"/>
  <c r="BO197" i="10"/>
  <c r="AQ197" i="10"/>
  <c r="BD197" i="10"/>
  <c r="BL197" i="10"/>
  <c r="AF197" i="10"/>
  <c r="AE196" i="10"/>
  <c r="B198" i="10"/>
  <c r="BW198" i="10" s="1"/>
  <c r="CD198" i="10" l="1"/>
  <c r="BJ198" i="10"/>
  <c r="CC198" i="10"/>
  <c r="BY198" i="10"/>
  <c r="BQ198" i="10"/>
  <c r="BH198" i="10"/>
  <c r="BB198" i="10"/>
  <c r="AX198" i="10"/>
  <c r="AT198" i="10"/>
  <c r="AP198" i="10"/>
  <c r="BU198" i="10" s="1"/>
  <c r="CB198" i="10"/>
  <c r="BP198" i="10"/>
  <c r="BK198" i="10"/>
  <c r="BA198" i="10"/>
  <c r="AW198" i="10"/>
  <c r="AS198" i="10"/>
  <c r="AO198" i="10"/>
  <c r="AK198" i="10"/>
  <c r="CA198" i="10"/>
  <c r="BS198" i="10"/>
  <c r="BO198" i="10"/>
  <c r="BD198" i="10"/>
  <c r="AZ198" i="10"/>
  <c r="AR198" i="10"/>
  <c r="AN198" i="10"/>
  <c r="AI198" i="10"/>
  <c r="BZ198" i="10"/>
  <c r="AY198" i="10"/>
  <c r="AH198" i="10"/>
  <c r="BV198" i="10"/>
  <c r="BI198" i="10"/>
  <c r="BR198" i="10"/>
  <c r="AQ198" i="10"/>
  <c r="BN198" i="10"/>
  <c r="AM198" i="10"/>
  <c r="BL198" i="10"/>
  <c r="AV197" i="10"/>
  <c r="BT197" i="10"/>
  <c r="BX197" i="10"/>
  <c r="AU197" i="10"/>
  <c r="BG197" i="10" s="1"/>
  <c r="AF198" i="10"/>
  <c r="AE197" i="10"/>
  <c r="B199" i="10"/>
  <c r="BW199" i="10" s="1"/>
  <c r="CD199" i="10" l="1"/>
  <c r="BJ199" i="10"/>
  <c r="BX198" i="10"/>
  <c r="BT198" i="10"/>
  <c r="AU198" i="10"/>
  <c r="BG198" i="10" s="1"/>
  <c r="AV198" i="10"/>
  <c r="CB199" i="10"/>
  <c r="BR199" i="10"/>
  <c r="BN199" i="10"/>
  <c r="BI199" i="10"/>
  <c r="AY199" i="10"/>
  <c r="AT199" i="10"/>
  <c r="AP199" i="10"/>
  <c r="AV199" i="10" s="1"/>
  <c r="CA199" i="10"/>
  <c r="BV199" i="10"/>
  <c r="BQ199" i="10"/>
  <c r="BH199" i="10"/>
  <c r="BB199" i="10"/>
  <c r="AX199" i="10"/>
  <c r="AS199" i="10"/>
  <c r="AO199" i="10"/>
  <c r="AK199" i="10"/>
  <c r="BZ199" i="10"/>
  <c r="BP199" i="10"/>
  <c r="BK199" i="10"/>
  <c r="BA199" i="10"/>
  <c r="AW199" i="10"/>
  <c r="AR199" i="10"/>
  <c r="AN199" i="10"/>
  <c r="AI199" i="10"/>
  <c r="BS199" i="10"/>
  <c r="BO199" i="10"/>
  <c r="BD199" i="10"/>
  <c r="AQ199" i="10"/>
  <c r="CC199" i="10"/>
  <c r="AM199" i="10"/>
  <c r="BY199" i="10"/>
  <c r="AZ199" i="10"/>
  <c r="AH199" i="10"/>
  <c r="BL199" i="10"/>
  <c r="AF199" i="10"/>
  <c r="AE198" i="10"/>
  <c r="B200" i="10"/>
  <c r="BW200" i="10" s="1"/>
  <c r="CD200" i="10" l="1"/>
  <c r="BJ200" i="10"/>
  <c r="BT199" i="10"/>
  <c r="CC200" i="10"/>
  <c r="BY200" i="10"/>
  <c r="BR200" i="10"/>
  <c r="BN200" i="10"/>
  <c r="BI200" i="10"/>
  <c r="AY200" i="10"/>
  <c r="AS200" i="10"/>
  <c r="AO200" i="10"/>
  <c r="AK200" i="10"/>
  <c r="CB200" i="10"/>
  <c r="BQ200" i="10"/>
  <c r="BH200" i="10"/>
  <c r="BB200" i="10"/>
  <c r="AX200" i="10"/>
  <c r="AR200" i="10"/>
  <c r="AN200" i="10"/>
  <c r="AI200" i="10"/>
  <c r="CA200" i="10"/>
  <c r="BV200" i="10"/>
  <c r="BP200" i="10"/>
  <c r="BK200" i="10"/>
  <c r="BA200" i="10"/>
  <c r="AW200" i="10"/>
  <c r="AQ200" i="10"/>
  <c r="AM200" i="10"/>
  <c r="AH200" i="10"/>
  <c r="BO200" i="10"/>
  <c r="BD200" i="10"/>
  <c r="AP200" i="10"/>
  <c r="BU200" i="10" s="1"/>
  <c r="BZ200" i="10"/>
  <c r="AZ200" i="10"/>
  <c r="BS200" i="10"/>
  <c r="AT200" i="10"/>
  <c r="BL200" i="10"/>
  <c r="BX199" i="10"/>
  <c r="AU199" i="10"/>
  <c r="BG199" i="10" s="1"/>
  <c r="BU199" i="10"/>
  <c r="AF200" i="10"/>
  <c r="AE199" i="10"/>
  <c r="B201" i="10"/>
  <c r="BW201" i="10" s="1"/>
  <c r="CD201" i="10" l="1"/>
  <c r="BJ201" i="10"/>
  <c r="BX200" i="10"/>
  <c r="BT200" i="10"/>
  <c r="AU200" i="10"/>
  <c r="BG200" i="10" s="1"/>
  <c r="AV200" i="10"/>
  <c r="CA201" i="10"/>
  <c r="BQ201" i="10"/>
  <c r="BH201" i="10"/>
  <c r="AY201" i="10"/>
  <c r="AT201" i="10"/>
  <c r="AP201" i="10"/>
  <c r="BU201" i="10" s="1"/>
  <c r="BZ201" i="10"/>
  <c r="BV201" i="10"/>
  <c r="BP201" i="10"/>
  <c r="BK201" i="10"/>
  <c r="BB201" i="10"/>
  <c r="AX201" i="10"/>
  <c r="AS201" i="10"/>
  <c r="AO201" i="10"/>
  <c r="AK201" i="10"/>
  <c r="CC201" i="10"/>
  <c r="BY201" i="10"/>
  <c r="BS201" i="10"/>
  <c r="BO201" i="10"/>
  <c r="BA201" i="10"/>
  <c r="AW201" i="10"/>
  <c r="AR201" i="10"/>
  <c r="AN201" i="10"/>
  <c r="AI201" i="10"/>
  <c r="CB201" i="10"/>
  <c r="AM201" i="10"/>
  <c r="BI201" i="10"/>
  <c r="AZ201" i="10"/>
  <c r="AH201" i="10"/>
  <c r="BR201" i="10"/>
  <c r="BD201" i="10"/>
  <c r="BN201" i="10"/>
  <c r="AQ201" i="10"/>
  <c r="BL201" i="10"/>
  <c r="AF201" i="10"/>
  <c r="AE200" i="10"/>
  <c r="B202" i="10"/>
  <c r="BW202" i="10" s="1"/>
  <c r="CD202" i="10" l="1"/>
  <c r="BJ202" i="10"/>
  <c r="BX201" i="10"/>
  <c r="AV201" i="10"/>
  <c r="AU201" i="10"/>
  <c r="BG201" i="10" s="1"/>
  <c r="CA202" i="10"/>
  <c r="BS202" i="10"/>
  <c r="BO202" i="10"/>
  <c r="BD202" i="10"/>
  <c r="AZ202" i="10"/>
  <c r="AR202" i="10"/>
  <c r="AN202" i="10"/>
  <c r="AI202" i="10"/>
  <c r="BZ202" i="10"/>
  <c r="BV202" i="10"/>
  <c r="BR202" i="10"/>
  <c r="BN202" i="10"/>
  <c r="BI202" i="10"/>
  <c r="AY202" i="10"/>
  <c r="AQ202" i="10"/>
  <c r="AM202" i="10"/>
  <c r="AH202" i="10"/>
  <c r="BT202" i="10" s="1"/>
  <c r="CC202" i="10"/>
  <c r="BY202" i="10"/>
  <c r="BQ202" i="10"/>
  <c r="BH202" i="10"/>
  <c r="BB202" i="10"/>
  <c r="AX202" i="10"/>
  <c r="AT202" i="10"/>
  <c r="AP202" i="10"/>
  <c r="BU202" i="10" s="1"/>
  <c r="BK202" i="10"/>
  <c r="AW202" i="10"/>
  <c r="AS202" i="10"/>
  <c r="BP202" i="10"/>
  <c r="AO202" i="10"/>
  <c r="AK202" i="10"/>
  <c r="CB202" i="10"/>
  <c r="BA202" i="10"/>
  <c r="BL202" i="10"/>
  <c r="BT201" i="10"/>
  <c r="AF202" i="10"/>
  <c r="AE201" i="10"/>
  <c r="B203" i="10"/>
  <c r="BW203" i="10" s="1"/>
  <c r="CD203" i="10" l="1"/>
  <c r="BJ203" i="10"/>
  <c r="BX202" i="10"/>
  <c r="AV202" i="10"/>
  <c r="BZ203" i="10"/>
  <c r="BP203" i="10"/>
  <c r="BK203" i="10"/>
  <c r="BA203" i="10"/>
  <c r="AW203" i="10"/>
  <c r="AR203" i="10"/>
  <c r="AN203" i="10"/>
  <c r="AI203" i="10"/>
  <c r="CC203" i="10"/>
  <c r="BY203" i="10"/>
  <c r="BS203" i="10"/>
  <c r="BO203" i="10"/>
  <c r="BD203" i="10"/>
  <c r="AZ203" i="10"/>
  <c r="AQ203" i="10"/>
  <c r="AM203" i="10"/>
  <c r="AH203" i="10"/>
  <c r="CB203" i="10"/>
  <c r="BR203" i="10"/>
  <c r="BN203" i="10"/>
  <c r="BI203" i="10"/>
  <c r="AY203" i="10"/>
  <c r="AT203" i="10"/>
  <c r="AP203" i="10"/>
  <c r="AV203" i="10" s="1"/>
  <c r="BV203" i="10"/>
  <c r="AS203" i="10"/>
  <c r="BQ203" i="10"/>
  <c r="AO203" i="10"/>
  <c r="BB203" i="10"/>
  <c r="AK203" i="10"/>
  <c r="CA203" i="10"/>
  <c r="AX203" i="10"/>
  <c r="BH203" i="10"/>
  <c r="BL203" i="10"/>
  <c r="AU202" i="10"/>
  <c r="BG202" i="10" s="1"/>
  <c r="AF203" i="10"/>
  <c r="AE202" i="10"/>
  <c r="B204" i="10"/>
  <c r="BW204" i="10" s="1"/>
  <c r="CD204" i="10" l="1"/>
  <c r="BJ204" i="10"/>
  <c r="BT203" i="10"/>
  <c r="AU203" i="10"/>
  <c r="BG203" i="10" s="1"/>
  <c r="BU203" i="10"/>
  <c r="BX203" i="10"/>
  <c r="CA204" i="10"/>
  <c r="BV204" i="10"/>
  <c r="BP204" i="10"/>
  <c r="BK204" i="10"/>
  <c r="BA204" i="10"/>
  <c r="AW204" i="10"/>
  <c r="AQ204" i="10"/>
  <c r="AM204" i="10"/>
  <c r="AH204" i="10"/>
  <c r="BZ204" i="10"/>
  <c r="BS204" i="10"/>
  <c r="BO204" i="10"/>
  <c r="BD204" i="10"/>
  <c r="AZ204" i="10"/>
  <c r="AT204" i="10"/>
  <c r="AP204" i="10"/>
  <c r="BU204" i="10" s="1"/>
  <c r="CC204" i="10"/>
  <c r="BY204" i="10"/>
  <c r="BR204" i="10"/>
  <c r="BN204" i="10"/>
  <c r="BI204" i="10"/>
  <c r="AY204" i="10"/>
  <c r="AS204" i="10"/>
  <c r="AO204" i="10"/>
  <c r="AK204" i="10"/>
  <c r="AR204" i="10"/>
  <c r="BQ204" i="10"/>
  <c r="AN204" i="10"/>
  <c r="BB204" i="10"/>
  <c r="AI204" i="10"/>
  <c r="AX204" i="10"/>
  <c r="BH204" i="10"/>
  <c r="CB204" i="10"/>
  <c r="BL204" i="10"/>
  <c r="AF204" i="10"/>
  <c r="AE203" i="10"/>
  <c r="B205" i="10"/>
  <c r="BW205" i="10" s="1"/>
  <c r="CD205" i="10" l="1"/>
  <c r="BJ205" i="10"/>
  <c r="BX204" i="10"/>
  <c r="BT204" i="10"/>
  <c r="AU204" i="10"/>
  <c r="BG204" i="10" s="1"/>
  <c r="AV204" i="10"/>
  <c r="CA205" i="10"/>
  <c r="BV205" i="10"/>
  <c r="BP205" i="10"/>
  <c r="BK205" i="10"/>
  <c r="BA205" i="10"/>
  <c r="AW205" i="10"/>
  <c r="AR205" i="10"/>
  <c r="AN205" i="10"/>
  <c r="AI205" i="10"/>
  <c r="BZ205" i="10"/>
  <c r="BS205" i="10"/>
  <c r="BO205" i="10"/>
  <c r="BD205" i="10"/>
  <c r="AZ205" i="10"/>
  <c r="AQ205" i="10"/>
  <c r="AM205" i="10"/>
  <c r="AH205" i="10"/>
  <c r="CC205" i="10"/>
  <c r="BY205" i="10"/>
  <c r="BR205" i="10"/>
  <c r="BN205" i="10"/>
  <c r="BI205" i="10"/>
  <c r="AY205" i="10"/>
  <c r="AT205" i="10"/>
  <c r="AP205" i="10"/>
  <c r="BU205" i="10" s="1"/>
  <c r="AS205" i="10"/>
  <c r="BQ205" i="10"/>
  <c r="AO205" i="10"/>
  <c r="BB205" i="10"/>
  <c r="AK205" i="10"/>
  <c r="CB205" i="10"/>
  <c r="AX205" i="10"/>
  <c r="BH205" i="10"/>
  <c r="BL205" i="10"/>
  <c r="AF205" i="10"/>
  <c r="AE204" i="10"/>
  <c r="B206" i="10"/>
  <c r="BW206" i="10" s="1"/>
  <c r="CD206" i="10" l="1"/>
  <c r="BJ206" i="10"/>
  <c r="BX205" i="10"/>
  <c r="AV205" i="10"/>
  <c r="AU205" i="10"/>
  <c r="BG205" i="10" s="1"/>
  <c r="BT205" i="10"/>
  <c r="CA206" i="10"/>
  <c r="BS206" i="10"/>
  <c r="BO206" i="10"/>
  <c r="BD206" i="10"/>
  <c r="AZ206" i="10"/>
  <c r="AR206" i="10"/>
  <c r="AN206" i="10"/>
  <c r="AI206" i="10"/>
  <c r="BZ206" i="10"/>
  <c r="BV206" i="10"/>
  <c r="BR206" i="10"/>
  <c r="BN206" i="10"/>
  <c r="BI206" i="10"/>
  <c r="AY206" i="10"/>
  <c r="AQ206" i="10"/>
  <c r="AM206" i="10"/>
  <c r="AH206" i="10"/>
  <c r="CC206" i="10"/>
  <c r="BY206" i="10"/>
  <c r="BQ206" i="10"/>
  <c r="BH206" i="10"/>
  <c r="BB206" i="10"/>
  <c r="AX206" i="10"/>
  <c r="AT206" i="10"/>
  <c r="AP206" i="10"/>
  <c r="BU206" i="10" s="1"/>
  <c r="AS206" i="10"/>
  <c r="BP206" i="10"/>
  <c r="AO206" i="10"/>
  <c r="CB206" i="10"/>
  <c r="BA206" i="10"/>
  <c r="AK206" i="10"/>
  <c r="AW206" i="10"/>
  <c r="BK206" i="10"/>
  <c r="BL206" i="10"/>
  <c r="AF206" i="10"/>
  <c r="AE205" i="10"/>
  <c r="B207" i="10"/>
  <c r="BW207" i="10" s="1"/>
  <c r="CD207" i="10" l="1"/>
  <c r="BJ207" i="10"/>
  <c r="BX206" i="10"/>
  <c r="BT206" i="10"/>
  <c r="AU206" i="10"/>
  <c r="BG206" i="10" s="1"/>
  <c r="BZ207" i="10"/>
  <c r="BP207" i="10"/>
  <c r="BK207" i="10"/>
  <c r="BA207" i="10"/>
  <c r="AW207" i="10"/>
  <c r="AR207" i="10"/>
  <c r="AN207" i="10"/>
  <c r="AI207" i="10"/>
  <c r="CC207" i="10"/>
  <c r="BY207" i="10"/>
  <c r="BS207" i="10"/>
  <c r="BO207" i="10"/>
  <c r="BD207" i="10"/>
  <c r="AZ207" i="10"/>
  <c r="AQ207" i="10"/>
  <c r="AM207" i="10"/>
  <c r="AH207" i="10"/>
  <c r="CB207" i="10"/>
  <c r="BR207" i="10"/>
  <c r="BN207" i="10"/>
  <c r="BI207" i="10"/>
  <c r="AY207" i="10"/>
  <c r="AT207" i="10"/>
  <c r="AP207" i="10"/>
  <c r="BQ207" i="10"/>
  <c r="AO207" i="10"/>
  <c r="BB207" i="10"/>
  <c r="AK207" i="10"/>
  <c r="CA207" i="10"/>
  <c r="BH207" i="10"/>
  <c r="AX207" i="10"/>
  <c r="BV207" i="10"/>
  <c r="AS207" i="10"/>
  <c r="BL207" i="10"/>
  <c r="AV206" i="10"/>
  <c r="AF207" i="10"/>
  <c r="AE206" i="10"/>
  <c r="BX207" i="10" l="1"/>
  <c r="BT207" i="10"/>
  <c r="AU207" i="10"/>
  <c r="BG207" i="10" s="1"/>
  <c r="BU207" i="10"/>
  <c r="AV207" i="10"/>
  <c r="AE207" i="10"/>
  <c r="B22" i="10" l="1"/>
  <c r="BW22" i="10" s="1"/>
  <c r="B23" i="10"/>
  <c r="BW23" i="10" s="1"/>
  <c r="B21" i="10"/>
  <c r="BW21" i="10" s="1"/>
  <c r="B11" i="10"/>
  <c r="BW11" i="10" s="1"/>
  <c r="B20" i="10"/>
  <c r="BW20" i="10" s="1"/>
  <c r="B12" i="10"/>
  <c r="B24" i="10"/>
  <c r="BW24" i="10" s="1"/>
  <c r="BJ12" i="10" l="1"/>
  <c r="BW12" i="10"/>
  <c r="CD24" i="10"/>
  <c r="BJ24" i="10"/>
  <c r="CD21" i="10"/>
  <c r="BJ21" i="10"/>
  <c r="CD23" i="10"/>
  <c r="BJ23" i="10"/>
  <c r="CD20" i="10"/>
  <c r="BJ20" i="10"/>
  <c r="CD22" i="10"/>
  <c r="BJ22" i="10"/>
  <c r="BK14" i="10"/>
  <c r="BK10" i="10"/>
  <c r="BI11" i="10"/>
  <c r="AY11" i="10"/>
  <c r="AT11" i="10"/>
  <c r="AE11" i="10" s="1"/>
  <c r="AP11" i="10"/>
  <c r="BH11" i="10"/>
  <c r="BB11" i="10"/>
  <c r="AX11" i="10"/>
  <c r="BZ11" i="10" s="1"/>
  <c r="AS11" i="10"/>
  <c r="AO11" i="10"/>
  <c r="AK11" i="10"/>
  <c r="BO11" i="10"/>
  <c r="BD11" i="10"/>
  <c r="BK11" i="10"/>
  <c r="BA11" i="10"/>
  <c r="AW11" i="10"/>
  <c r="AR11" i="10"/>
  <c r="AN11" i="10"/>
  <c r="AI11" i="10"/>
  <c r="CC11" i="10" s="1"/>
  <c r="BS11" i="10"/>
  <c r="AZ11" i="10"/>
  <c r="AQ11" i="10"/>
  <c r="AM11" i="10"/>
  <c r="CA11" i="10" s="1"/>
  <c r="AH11" i="10"/>
  <c r="BL11" i="10"/>
  <c r="AJ11" i="10"/>
  <c r="AJ12" i="10" s="1"/>
  <c r="AJ13" i="10" s="1"/>
  <c r="BK24" i="10"/>
  <c r="BA24" i="10"/>
  <c r="AW24" i="10"/>
  <c r="BN24" i="10" s="1"/>
  <c r="AS24" i="10"/>
  <c r="AO24" i="10"/>
  <c r="AK24" i="10"/>
  <c r="AX24" i="10"/>
  <c r="BZ24" i="10" s="1"/>
  <c r="BS24" i="10"/>
  <c r="BO24" i="10"/>
  <c r="BD24" i="10"/>
  <c r="AZ24" i="10"/>
  <c r="AR24" i="10"/>
  <c r="AN24" i="10"/>
  <c r="AI24" i="10"/>
  <c r="BB24" i="10"/>
  <c r="AP24" i="10"/>
  <c r="BV24" i="10"/>
  <c r="BI24" i="10"/>
  <c r="AY24" i="10"/>
  <c r="AQ24" i="10"/>
  <c r="AM24" i="10"/>
  <c r="CA24" i="10" s="1"/>
  <c r="AH24" i="10"/>
  <c r="BY24" i="10"/>
  <c r="BH24" i="10"/>
  <c r="AT24" i="10"/>
  <c r="BL24" i="10"/>
  <c r="CC21" i="10"/>
  <c r="BY21" i="10"/>
  <c r="BQ21" i="10"/>
  <c r="BH21" i="10"/>
  <c r="BB21" i="10"/>
  <c r="AX21" i="10"/>
  <c r="AT21" i="10"/>
  <c r="AP21" i="10"/>
  <c r="BU21" i="10" s="1"/>
  <c r="BR21" i="10"/>
  <c r="AY21" i="10"/>
  <c r="AM21" i="10"/>
  <c r="CB21" i="10"/>
  <c r="BP21" i="10"/>
  <c r="BK21" i="10"/>
  <c r="BA21" i="10"/>
  <c r="AW21" i="10"/>
  <c r="AS21" i="10"/>
  <c r="AO21" i="10"/>
  <c r="AK21" i="10"/>
  <c r="BZ21" i="10"/>
  <c r="BN21" i="10"/>
  <c r="BI21" i="10"/>
  <c r="CA21" i="10"/>
  <c r="BS21" i="10"/>
  <c r="BO21" i="10"/>
  <c r="BD21" i="10"/>
  <c r="AZ21" i="10"/>
  <c r="AR21" i="10"/>
  <c r="AN21" i="10"/>
  <c r="AI21" i="10"/>
  <c r="BV21" i="10"/>
  <c r="AQ21" i="10"/>
  <c r="AH21" i="10"/>
  <c r="BL21" i="10"/>
  <c r="BS12" i="10"/>
  <c r="BO12" i="10"/>
  <c r="BD12" i="10"/>
  <c r="BD13" i="10" s="1"/>
  <c r="BD14" i="10" s="1"/>
  <c r="AZ12" i="10"/>
  <c r="AZ13" i="10" s="1"/>
  <c r="AZ14" i="10" s="1"/>
  <c r="AR12" i="10"/>
  <c r="AR13" i="10" s="1"/>
  <c r="AR14" i="10" s="1"/>
  <c r="AN12" i="10"/>
  <c r="AI12" i="10"/>
  <c r="BY12" i="10" s="1"/>
  <c r="BI12" i="10"/>
  <c r="AY12" i="10"/>
  <c r="AY13" i="10" s="1"/>
  <c r="AY14" i="10" s="1"/>
  <c r="AQ12" i="10"/>
  <c r="AQ13" i="10" s="1"/>
  <c r="AQ14" i="10" s="1"/>
  <c r="AM12" i="10"/>
  <c r="CA12" i="10" s="1"/>
  <c r="AH12" i="10"/>
  <c r="BK12" i="10"/>
  <c r="AS12" i="10"/>
  <c r="AS13" i="10" s="1"/>
  <c r="AS14" i="10" s="1"/>
  <c r="AO12" i="10"/>
  <c r="AO13" i="10" s="1"/>
  <c r="AO14" i="10" s="1"/>
  <c r="AK12" i="10"/>
  <c r="AK13" i="10" s="1"/>
  <c r="AK14" i="10" s="1"/>
  <c r="BH12" i="10"/>
  <c r="BB12" i="10"/>
  <c r="AX12" i="10"/>
  <c r="AT12" i="10"/>
  <c r="AP12" i="10"/>
  <c r="AP13" i="10" s="1"/>
  <c r="BA12" i="10"/>
  <c r="BA13" i="10" s="1"/>
  <c r="BA14" i="10" s="1"/>
  <c r="BL12" i="10"/>
  <c r="CB23" i="10"/>
  <c r="BS23" i="10"/>
  <c r="BO23" i="10"/>
  <c r="BD23" i="10"/>
  <c r="AZ23" i="10"/>
  <c r="AQ23" i="10"/>
  <c r="AM23" i="10"/>
  <c r="AH23" i="10"/>
  <c r="CA23" i="10"/>
  <c r="BR23" i="10"/>
  <c r="BN23" i="10"/>
  <c r="BI23" i="10"/>
  <c r="AY23" i="10"/>
  <c r="AT23" i="10"/>
  <c r="AP23" i="10"/>
  <c r="BU23" i="10" s="1"/>
  <c r="BY23" i="10"/>
  <c r="BK23" i="10"/>
  <c r="AW23" i="10"/>
  <c r="AI23" i="10"/>
  <c r="BZ23" i="10"/>
  <c r="BV23" i="10"/>
  <c r="BQ23" i="10"/>
  <c r="BH23" i="10"/>
  <c r="BB23" i="10"/>
  <c r="AX23" i="10"/>
  <c r="AS23" i="10"/>
  <c r="AO23" i="10"/>
  <c r="AK23" i="10"/>
  <c r="CC23" i="10"/>
  <c r="BP23" i="10"/>
  <c r="BA23" i="10"/>
  <c r="AR23" i="10"/>
  <c r="AN23" i="10"/>
  <c r="BL23" i="10"/>
  <c r="CC20" i="10"/>
  <c r="BY20" i="10"/>
  <c r="BQ20" i="10"/>
  <c r="BH20" i="10"/>
  <c r="BB20" i="10"/>
  <c r="AX20" i="10"/>
  <c r="AT20" i="10"/>
  <c r="AE20" i="10" s="1"/>
  <c r="AP20" i="10"/>
  <c r="BU20" i="10" s="1"/>
  <c r="BV20" i="10"/>
  <c r="AQ20" i="10"/>
  <c r="AH20" i="10"/>
  <c r="CB20" i="10"/>
  <c r="BP20" i="10"/>
  <c r="BK20" i="10"/>
  <c r="BA20" i="10"/>
  <c r="AW20" i="10"/>
  <c r="AS20" i="10"/>
  <c r="AO20" i="10"/>
  <c r="AK20" i="10"/>
  <c r="BZ20" i="10"/>
  <c r="BN20" i="10"/>
  <c r="AY20" i="10"/>
  <c r="AM20" i="10"/>
  <c r="CA20" i="10"/>
  <c r="BS20" i="10"/>
  <c r="BO20" i="10"/>
  <c r="BD20" i="10"/>
  <c r="AZ20" i="10"/>
  <c r="AR20" i="10"/>
  <c r="AN20" i="10"/>
  <c r="AI20" i="10"/>
  <c r="BR20" i="10"/>
  <c r="BI20" i="10"/>
  <c r="BL20" i="10"/>
  <c r="BZ22" i="10"/>
  <c r="BS22" i="10"/>
  <c r="BO22" i="10"/>
  <c r="BD22" i="10"/>
  <c r="AZ22" i="10"/>
  <c r="AT22" i="10"/>
  <c r="AP22" i="10"/>
  <c r="BU22" i="10" s="1"/>
  <c r="CC22" i="10"/>
  <c r="BY22" i="10"/>
  <c r="BR22" i="10"/>
  <c r="BN22" i="10"/>
  <c r="BI22" i="10"/>
  <c r="AY22" i="10"/>
  <c r="AS22" i="10"/>
  <c r="AO22" i="10"/>
  <c r="AK22" i="10"/>
  <c r="BV22" i="10"/>
  <c r="BA22" i="10"/>
  <c r="AW22" i="10"/>
  <c r="AQ22" i="10"/>
  <c r="AM22" i="10"/>
  <c r="AH22" i="10"/>
  <c r="CB22" i="10"/>
  <c r="BQ22" i="10"/>
  <c r="BH22" i="10"/>
  <c r="BB22" i="10"/>
  <c r="AX22" i="10"/>
  <c r="AR22" i="10"/>
  <c r="AN22" i="10"/>
  <c r="AI22" i="10"/>
  <c r="CA22" i="10"/>
  <c r="BP22" i="10"/>
  <c r="BK22" i="10"/>
  <c r="BL22" i="10"/>
  <c r="AF21" i="10"/>
  <c r="AF23" i="10"/>
  <c r="AF20" i="10"/>
  <c r="AF22" i="10"/>
  <c r="X15" i="14"/>
  <c r="F15" i="14"/>
  <c r="E15" i="14"/>
  <c r="M15" i="14"/>
  <c r="L15" i="14"/>
  <c r="D15" i="14"/>
  <c r="T15" i="14"/>
  <c r="AD124" i="27" s="1"/>
  <c r="Y15" i="14"/>
  <c r="J124" i="27" s="1"/>
  <c r="G15" i="14"/>
  <c r="H124" i="27" s="1"/>
  <c r="P15" i="14"/>
  <c r="N15" i="14"/>
  <c r="H15" i="14"/>
  <c r="C15" i="14"/>
  <c r="K15" i="14"/>
  <c r="I15" i="14"/>
  <c r="W15" i="14"/>
  <c r="Q15" i="14"/>
  <c r="V15" i="14"/>
  <c r="L4" i="14"/>
  <c r="F4" i="14"/>
  <c r="G4" i="14"/>
  <c r="H4" i="14"/>
  <c r="S4" i="14"/>
  <c r="Y4" i="14"/>
  <c r="I4" i="14"/>
  <c r="C4" i="14"/>
  <c r="J4" i="14" s="1"/>
  <c r="X4" i="14"/>
  <c r="V4" i="14"/>
  <c r="P4" i="14"/>
  <c r="W4" i="14"/>
  <c r="K4" i="14"/>
  <c r="Q4" i="14"/>
  <c r="D4" i="14"/>
  <c r="T4" i="14"/>
  <c r="R4" i="14"/>
  <c r="E4" i="14"/>
  <c r="N4" i="14"/>
  <c r="M4" i="14"/>
  <c r="R3" i="14"/>
  <c r="L3" i="14"/>
  <c r="Y3" i="14"/>
  <c r="H3" i="14"/>
  <c r="K3" i="14"/>
  <c r="W3" i="14"/>
  <c r="V3" i="14"/>
  <c r="V121" i="27" s="1"/>
  <c r="G3" i="14"/>
  <c r="I3" i="14"/>
  <c r="S3" i="14"/>
  <c r="X3" i="14"/>
  <c r="T3" i="14"/>
  <c r="F3" i="14"/>
  <c r="P3" i="14"/>
  <c r="Q3" i="14"/>
  <c r="D3" i="14"/>
  <c r="B121" i="27" s="1"/>
  <c r="E3" i="14"/>
  <c r="C3" i="14"/>
  <c r="J3" i="14" s="1"/>
  <c r="N3" i="14"/>
  <c r="M3" i="14"/>
  <c r="Q9" i="14"/>
  <c r="I9" i="14"/>
  <c r="X5" i="14"/>
  <c r="G2" i="14"/>
  <c r="E11" i="14"/>
  <c r="P8" i="14"/>
  <c r="G5" i="14"/>
  <c r="F11" i="14"/>
  <c r="D11" i="14"/>
  <c r="T7" i="14"/>
  <c r="H13" i="14"/>
  <c r="F13" i="14"/>
  <c r="D13" i="14"/>
  <c r="W11" i="14"/>
  <c r="P2" i="14"/>
  <c r="L7" i="14"/>
  <c r="H10" i="14"/>
  <c r="F10" i="14"/>
  <c r="G11" i="14"/>
  <c r="L6" i="14"/>
  <c r="X13" i="14"/>
  <c r="P12" i="14"/>
  <c r="L12" i="14"/>
  <c r="N2" i="14"/>
  <c r="K2" i="14"/>
  <c r="V12" i="14"/>
  <c r="V2" i="14"/>
  <c r="V120" i="27" s="1"/>
  <c r="X7" i="14"/>
  <c r="E14" i="14"/>
  <c r="H7" i="14"/>
  <c r="E2" i="14"/>
  <c r="L14" i="14"/>
  <c r="G9" i="14"/>
  <c r="V13" i="14"/>
  <c r="Q2" i="14"/>
  <c r="H6" i="14"/>
  <c r="H12" i="14"/>
  <c r="F7" i="14"/>
  <c r="G13" i="14"/>
  <c r="H2" i="14"/>
  <c r="W5" i="14"/>
  <c r="X11" i="14"/>
  <c r="G12" i="14"/>
  <c r="V14" i="14"/>
  <c r="H5" i="14"/>
  <c r="G10" i="14"/>
  <c r="C2" i="14"/>
  <c r="J2" i="14" s="1"/>
  <c r="I2" i="14"/>
  <c r="D2" i="14"/>
  <c r="B120" i="27" s="1"/>
  <c r="P13" i="14"/>
  <c r="F2" i="14"/>
  <c r="L11" i="14"/>
  <c r="S2" i="14"/>
  <c r="F12" i="14"/>
  <c r="D14" i="14"/>
  <c r="W8" i="14"/>
  <c r="F9" i="14"/>
  <c r="V11" i="14"/>
  <c r="R2" i="14"/>
  <c r="W2" i="14"/>
  <c r="H9" i="14"/>
  <c r="W14" i="14"/>
  <c r="Y2" i="14"/>
  <c r="H11" i="14"/>
  <c r="T12" i="14"/>
  <c r="P5" i="14"/>
  <c r="F5" i="14"/>
  <c r="X2" i="14"/>
  <c r="E13" i="14"/>
  <c r="L5" i="14"/>
  <c r="G14" i="14"/>
  <c r="P14" i="14"/>
  <c r="W12" i="14"/>
  <c r="G6" i="14"/>
  <c r="V8" i="14"/>
  <c r="T8" i="14"/>
  <c r="H14" i="14"/>
  <c r="V5" i="14"/>
  <c r="D8" i="14"/>
  <c r="B92" i="27" s="1"/>
  <c r="G8" i="14"/>
  <c r="L2" i="14"/>
  <c r="T14" i="14"/>
  <c r="G7" i="14"/>
  <c r="X12" i="14"/>
  <c r="L10" i="14"/>
  <c r="L8" i="14"/>
  <c r="L13" i="14"/>
  <c r="F8" i="14"/>
  <c r="M2" i="14"/>
  <c r="P11" i="14"/>
  <c r="E12" i="14"/>
  <c r="X8" i="14"/>
  <c r="W13" i="14"/>
  <c r="T13" i="14"/>
  <c r="D12" i="14"/>
  <c r="F14" i="14"/>
  <c r="L9" i="14"/>
  <c r="T11" i="14"/>
  <c r="F6" i="14"/>
  <c r="H8" i="14"/>
  <c r="T2" i="14"/>
  <c r="X14" i="14"/>
  <c r="C5" i="14"/>
  <c r="J5" i="14" s="1"/>
  <c r="T5" i="14"/>
  <c r="Y7" i="14"/>
  <c r="Q6" i="14"/>
  <c r="Y8" i="14"/>
  <c r="C8" i="14"/>
  <c r="Q8" i="14"/>
  <c r="I8" i="14"/>
  <c r="Y9" i="14"/>
  <c r="K11" i="14"/>
  <c r="Y11" i="14"/>
  <c r="C11" i="14"/>
  <c r="I11" i="14"/>
  <c r="Q11" i="14"/>
  <c r="N11" i="14"/>
  <c r="M11" i="14"/>
  <c r="Y12" i="14"/>
  <c r="K12" i="14"/>
  <c r="I12" i="14"/>
  <c r="Q12" i="14"/>
  <c r="C12" i="14"/>
  <c r="N12" i="14"/>
  <c r="M12" i="14"/>
  <c r="Y13" i="14"/>
  <c r="K13" i="14"/>
  <c r="I13" i="14"/>
  <c r="C13" i="14"/>
  <c r="Q13" i="14"/>
  <c r="N13" i="14"/>
  <c r="M13" i="14"/>
  <c r="Y14" i="14"/>
  <c r="K14" i="14"/>
  <c r="I14" i="14"/>
  <c r="C14" i="14"/>
  <c r="Q14" i="14"/>
  <c r="N14" i="14"/>
  <c r="M14" i="14"/>
  <c r="D5" i="14"/>
  <c r="V9" i="14"/>
  <c r="D6" i="14"/>
  <c r="AV23" i="10" l="1"/>
  <c r="AH13" i="10"/>
  <c r="BT13" i="10" s="1"/>
  <c r="BN11" i="10"/>
  <c r="BN10" i="10"/>
  <c r="BN9" i="10"/>
  <c r="BJ11" i="10"/>
  <c r="BU11" i="10"/>
  <c r="CD13" i="10"/>
  <c r="AP14" i="10"/>
  <c r="AV13" i="10"/>
  <c r="AU13" i="10"/>
  <c r="AH14" i="10"/>
  <c r="AW12" i="10"/>
  <c r="AT13" i="10"/>
  <c r="AM13" i="10"/>
  <c r="BZ12" i="10"/>
  <c r="AX13" i="10"/>
  <c r="AI13" i="10"/>
  <c r="AN13" i="10"/>
  <c r="AJ14" i="10"/>
  <c r="BU12" i="10"/>
  <c r="BV12" i="10"/>
  <c r="CB12" i="10"/>
  <c r="CC12" i="10"/>
  <c r="BP12" i="10"/>
  <c r="BQ12" i="10"/>
  <c r="BR12" i="10"/>
  <c r="CD12" i="10"/>
  <c r="BQ11" i="10"/>
  <c r="CB11" i="10"/>
  <c r="BP11" i="10"/>
  <c r="BV11" i="10"/>
  <c r="BR11" i="10"/>
  <c r="BY11" i="10"/>
  <c r="CD11" i="10"/>
  <c r="BX20" i="10"/>
  <c r="BX22" i="10"/>
  <c r="BX12" i="10"/>
  <c r="BT21" i="10"/>
  <c r="BU24" i="10"/>
  <c r="CB24" i="10"/>
  <c r="BP24" i="10"/>
  <c r="CC24" i="10"/>
  <c r="BQ24" i="10"/>
  <c r="BR24" i="10"/>
  <c r="AU20" i="10"/>
  <c r="BG20" i="10" s="1"/>
  <c r="B87" i="27"/>
  <c r="BT12" i="10"/>
  <c r="AV22" i="10"/>
  <c r="AV21" i="10"/>
  <c r="AU21" i="10"/>
  <c r="BG21" i="10" s="1"/>
  <c r="BX21" i="10"/>
  <c r="AU22" i="10"/>
  <c r="BG22" i="10" s="1"/>
  <c r="BT22" i="10"/>
  <c r="AV11" i="10"/>
  <c r="AV20" i="10"/>
  <c r="AU12" i="10"/>
  <c r="BG12" i="10" s="1"/>
  <c r="AV12" i="10"/>
  <c r="BX23" i="10"/>
  <c r="AU24" i="10"/>
  <c r="BG24" i="10" s="1"/>
  <c r="AV24" i="10"/>
  <c r="BX11" i="10"/>
  <c r="AU11" i="10"/>
  <c r="BG11" i="10" s="1"/>
  <c r="BT24" i="10"/>
  <c r="BT20" i="10"/>
  <c r="BT23" i="10"/>
  <c r="AU23" i="10"/>
  <c r="BG23" i="10" s="1"/>
  <c r="BX24" i="10"/>
  <c r="BT11" i="10"/>
  <c r="W7" i="14"/>
  <c r="V7" i="14"/>
  <c r="B88" i="27"/>
  <c r="B90" i="27"/>
  <c r="B86" i="27"/>
  <c r="E7" i="14"/>
  <c r="X6" i="14"/>
  <c r="Y6" i="14"/>
  <c r="I6" i="14"/>
  <c r="V6" i="14"/>
  <c r="W6" i="14"/>
  <c r="E6" i="14"/>
  <c r="E8" i="14"/>
  <c r="E9" i="14"/>
  <c r="P9" i="14"/>
  <c r="O15" i="14"/>
  <c r="M124" i="27"/>
  <c r="W9" i="14"/>
  <c r="C9" i="14"/>
  <c r="X9" i="14"/>
  <c r="Z15" i="14"/>
  <c r="D124" i="27" s="1"/>
  <c r="F124" i="27"/>
  <c r="T9" i="14"/>
  <c r="AD123" i="27" s="1"/>
  <c r="D9" i="14"/>
  <c r="B93" i="27" s="1"/>
  <c r="H94" i="27"/>
  <c r="J93" i="27"/>
  <c r="H93" i="27"/>
  <c r="J92" i="27"/>
  <c r="AD92" i="27"/>
  <c r="H92" i="27"/>
  <c r="H91" i="27"/>
  <c r="AD91" i="27"/>
  <c r="J91" i="27"/>
  <c r="H90" i="27"/>
  <c r="H123" i="27"/>
  <c r="J123" i="27"/>
  <c r="H122" i="27"/>
  <c r="AD122" i="27"/>
  <c r="J122" i="27"/>
  <c r="J121" i="27"/>
  <c r="AD121" i="27"/>
  <c r="H121" i="27"/>
  <c r="AD120" i="27"/>
  <c r="J120" i="27"/>
  <c r="H120" i="27"/>
  <c r="H89" i="27"/>
  <c r="H88" i="27"/>
  <c r="AD87" i="27"/>
  <c r="H87" i="27"/>
  <c r="J86" i="27"/>
  <c r="Z86" i="27"/>
  <c r="H86" i="27"/>
  <c r="AB86" i="27"/>
  <c r="AD86" i="27"/>
  <c r="Z14" i="14"/>
  <c r="F94" i="27"/>
  <c r="Z13" i="14"/>
  <c r="F93" i="27"/>
  <c r="Z12" i="14"/>
  <c r="F92" i="27"/>
  <c r="Z11" i="14"/>
  <c r="F91" i="27"/>
  <c r="Z10" i="14"/>
  <c r="F90" i="27"/>
  <c r="Z9" i="14"/>
  <c r="F123" i="27"/>
  <c r="M123" i="27"/>
  <c r="Z8" i="14"/>
  <c r="F122" i="27"/>
  <c r="M122" i="27"/>
  <c r="M121" i="27"/>
  <c r="Z7" i="14"/>
  <c r="F121" i="27"/>
  <c r="V10" i="14"/>
  <c r="Z4" i="14"/>
  <c r="F88" i="27"/>
  <c r="O4" i="14"/>
  <c r="O3" i="14"/>
  <c r="F87" i="27"/>
  <c r="Z3" i="14"/>
  <c r="R5" i="14"/>
  <c r="Z87" i="27" s="1"/>
  <c r="O11" i="14"/>
  <c r="I5" i="14"/>
  <c r="O12" i="14"/>
  <c r="Q5" i="14"/>
  <c r="Z5" i="14"/>
  <c r="F89" i="27"/>
  <c r="F86" i="27"/>
  <c r="Z2" i="14"/>
  <c r="M120" i="27"/>
  <c r="W10" i="14"/>
  <c r="Y5" i="14"/>
  <c r="J87" i="27" s="1"/>
  <c r="E5" i="14"/>
  <c r="O14" i="14"/>
  <c r="O13" i="14"/>
  <c r="O8" i="14"/>
  <c r="F120" i="27"/>
  <c r="Z6" i="14"/>
  <c r="O2" i="14"/>
  <c r="E10" i="14"/>
  <c r="X10" i="14"/>
  <c r="Y10" i="14"/>
  <c r="J94" i="27" s="1"/>
  <c r="K10" i="14"/>
  <c r="K5" i="14"/>
  <c r="S5" i="14"/>
  <c r="AB87" i="27" s="1"/>
  <c r="O5" i="14"/>
  <c r="BB5" i="10"/>
  <c r="D10" i="14"/>
  <c r="B94" i="27" s="1"/>
  <c r="BH6" i="10"/>
  <c r="BO6" i="10"/>
  <c r="BO5" i="10" s="1"/>
  <c r="BI6" i="10"/>
  <c r="BI5" i="10" s="1"/>
  <c r="BS6" i="10"/>
  <c r="BS5" i="10" s="1"/>
  <c r="BL6" i="10"/>
  <c r="BL5" i="10" s="1"/>
  <c r="BK6" i="10"/>
  <c r="BK5" i="10" s="1"/>
  <c r="P6" i="14"/>
  <c r="BX13" i="10" l="1"/>
  <c r="BG13" i="10"/>
  <c r="J88" i="27"/>
  <c r="BP13" i="10"/>
  <c r="CC13" i="10"/>
  <c r="BY13" i="10"/>
  <c r="BQ13" i="10"/>
  <c r="AI14" i="10"/>
  <c r="AW13" i="10"/>
  <c r="AT14" i="10"/>
  <c r="AW14" i="10" s="1"/>
  <c r="AU14" i="10"/>
  <c r="BG14" i="10" s="1"/>
  <c r="CD14" i="10"/>
  <c r="CD6" i="10" s="1"/>
  <c r="CD5" i="10" s="1"/>
  <c r="AV14" i="10"/>
  <c r="N22" i="3" s="1"/>
  <c r="CA13" i="10"/>
  <c r="AM14" i="10"/>
  <c r="CA14" i="10" s="1"/>
  <c r="BZ13" i="10"/>
  <c r="AX14" i="10"/>
  <c r="BZ14" i="10" s="1"/>
  <c r="CB13" i="10"/>
  <c r="BV13" i="10"/>
  <c r="AN14" i="10"/>
  <c r="BR13" i="10"/>
  <c r="CB14" i="10"/>
  <c r="BX14" i="10"/>
  <c r="BT14" i="10"/>
  <c r="BU13" i="10"/>
  <c r="AJ15" i="10"/>
  <c r="AJ16" i="10" s="1"/>
  <c r="AJ17" i="10" s="1"/>
  <c r="AJ18" i="10" s="1"/>
  <c r="AJ19" i="10" s="1"/>
  <c r="AJ20" i="10" s="1"/>
  <c r="AJ21" i="10" s="1"/>
  <c r="AJ22" i="10" s="1"/>
  <c r="AJ23" i="10" s="1"/>
  <c r="AJ24" i="10" s="1"/>
  <c r="AJ25" i="10" s="1"/>
  <c r="AJ26" i="10" s="1"/>
  <c r="AJ27" i="10" s="1"/>
  <c r="AJ28" i="10" s="1"/>
  <c r="AJ29" i="10" s="1"/>
  <c r="AJ30" i="10" s="1"/>
  <c r="AJ31" i="10" s="1"/>
  <c r="AJ32" i="10" s="1"/>
  <c r="AJ33" i="10" s="1"/>
  <c r="AJ34" i="10" s="1"/>
  <c r="AJ35" i="10" s="1"/>
  <c r="AJ36" i="10" s="1"/>
  <c r="AJ37" i="10" s="1"/>
  <c r="AJ38" i="10" s="1"/>
  <c r="AJ39" i="10" s="1"/>
  <c r="AJ40" i="10" s="1"/>
  <c r="AJ41" i="10" s="1"/>
  <c r="AJ42" i="10" s="1"/>
  <c r="AJ43" i="10" s="1"/>
  <c r="AJ44" i="10" s="1"/>
  <c r="AJ45" i="10" s="1"/>
  <c r="AJ46" i="10" s="1"/>
  <c r="AJ47" i="10" s="1"/>
  <c r="AJ48" i="10" s="1"/>
  <c r="AJ49" i="10" s="1"/>
  <c r="AJ50" i="10" s="1"/>
  <c r="AJ51" i="10" s="1"/>
  <c r="AJ52" i="10" s="1"/>
  <c r="AJ53" i="10" s="1"/>
  <c r="AJ54" i="10" s="1"/>
  <c r="AJ55" i="10" s="1"/>
  <c r="AJ56" i="10" s="1"/>
  <c r="AJ57" i="10" s="1"/>
  <c r="AJ58" i="10" s="1"/>
  <c r="AJ59" i="10" s="1"/>
  <c r="AJ60" i="10" s="1"/>
  <c r="AJ61" i="10" s="1"/>
  <c r="AJ62" i="10" s="1"/>
  <c r="AJ63" i="10" s="1"/>
  <c r="AJ64" i="10" s="1"/>
  <c r="AJ65" i="10" s="1"/>
  <c r="AJ66" i="10" s="1"/>
  <c r="AJ67" i="10" s="1"/>
  <c r="AJ68" i="10" s="1"/>
  <c r="AJ69" i="10" s="1"/>
  <c r="AJ70" i="10" s="1"/>
  <c r="AJ71" i="10" s="1"/>
  <c r="AJ72" i="10" s="1"/>
  <c r="AJ73" i="10" s="1"/>
  <c r="AJ74" i="10" s="1"/>
  <c r="AJ75" i="10" s="1"/>
  <c r="AJ76" i="10" s="1"/>
  <c r="AJ77" i="10" s="1"/>
  <c r="AJ78" i="10" s="1"/>
  <c r="AJ79" i="10" s="1"/>
  <c r="AJ80" i="10" s="1"/>
  <c r="AJ81" i="10" s="1"/>
  <c r="AJ82" i="10" s="1"/>
  <c r="AJ83" i="10" s="1"/>
  <c r="AJ84" i="10" s="1"/>
  <c r="AJ85" i="10" s="1"/>
  <c r="AJ86" i="10" s="1"/>
  <c r="AJ87" i="10" s="1"/>
  <c r="AJ88" i="10" s="1"/>
  <c r="AJ89" i="10" s="1"/>
  <c r="AJ90" i="10" s="1"/>
  <c r="AJ91" i="10" s="1"/>
  <c r="AJ92" i="10" s="1"/>
  <c r="AJ93" i="10" s="1"/>
  <c r="AJ94" i="10" s="1"/>
  <c r="AJ95" i="10" s="1"/>
  <c r="AJ96" i="10" s="1"/>
  <c r="AJ97" i="10" s="1"/>
  <c r="AJ98" i="10" s="1"/>
  <c r="AJ99" i="10" s="1"/>
  <c r="AJ100" i="10" s="1"/>
  <c r="AJ101" i="10" s="1"/>
  <c r="AJ102" i="10" s="1"/>
  <c r="AJ103" i="10" s="1"/>
  <c r="AJ104" i="10" s="1"/>
  <c r="AJ105" i="10" s="1"/>
  <c r="AJ106" i="10" s="1"/>
  <c r="AJ107" i="10" s="1"/>
  <c r="AJ108" i="10" s="1"/>
  <c r="AJ109" i="10" s="1"/>
  <c r="AJ110" i="10" s="1"/>
  <c r="AJ111" i="10" s="1"/>
  <c r="AJ112" i="10" s="1"/>
  <c r="AJ113" i="10" s="1"/>
  <c r="AJ114" i="10" s="1"/>
  <c r="AJ115" i="10" s="1"/>
  <c r="AJ116" i="10" s="1"/>
  <c r="AJ117" i="10" s="1"/>
  <c r="AJ118" i="10" s="1"/>
  <c r="AJ119" i="10" s="1"/>
  <c r="AJ120" i="10" s="1"/>
  <c r="AJ121" i="10" s="1"/>
  <c r="AJ122" i="10" s="1"/>
  <c r="AJ123" i="10" s="1"/>
  <c r="AJ124" i="10" s="1"/>
  <c r="AJ125" i="10" s="1"/>
  <c r="AJ126" i="10" s="1"/>
  <c r="AJ127" i="10" s="1"/>
  <c r="AJ128" i="10" s="1"/>
  <c r="AJ129" i="10" s="1"/>
  <c r="AJ130" i="10" s="1"/>
  <c r="AJ131" i="10" s="1"/>
  <c r="AJ132" i="10" s="1"/>
  <c r="AJ133" i="10" s="1"/>
  <c r="AJ134" i="10" s="1"/>
  <c r="AJ135" i="10" s="1"/>
  <c r="AJ136" i="10" s="1"/>
  <c r="AJ137" i="10" s="1"/>
  <c r="AJ138" i="10" s="1"/>
  <c r="AJ139" i="10" s="1"/>
  <c r="AJ140" i="10" s="1"/>
  <c r="AJ141" i="10" s="1"/>
  <c r="AJ142" i="10" s="1"/>
  <c r="AJ143" i="10" s="1"/>
  <c r="AJ144" i="10" s="1"/>
  <c r="AJ145" i="10" s="1"/>
  <c r="AJ146" i="10" s="1"/>
  <c r="AJ147" i="10" s="1"/>
  <c r="AJ148" i="10" s="1"/>
  <c r="AJ149" i="10" s="1"/>
  <c r="AJ150" i="10" s="1"/>
  <c r="AJ151" i="10" s="1"/>
  <c r="AJ152" i="10" s="1"/>
  <c r="AJ153" i="10" s="1"/>
  <c r="AJ154" i="10" s="1"/>
  <c r="AJ155" i="10" s="1"/>
  <c r="AJ156" i="10" s="1"/>
  <c r="AJ157" i="10" s="1"/>
  <c r="AJ158" i="10" s="1"/>
  <c r="AJ159" i="10" s="1"/>
  <c r="AJ160" i="10" s="1"/>
  <c r="AJ161" i="10" s="1"/>
  <c r="AJ162" i="10" s="1"/>
  <c r="AJ163" i="10" s="1"/>
  <c r="AJ164" i="10" s="1"/>
  <c r="AJ165" i="10" s="1"/>
  <c r="AJ166" i="10" s="1"/>
  <c r="AJ167" i="10" s="1"/>
  <c r="AJ168" i="10" s="1"/>
  <c r="AJ169" i="10" s="1"/>
  <c r="AJ170" i="10" s="1"/>
  <c r="AJ171" i="10" s="1"/>
  <c r="AJ172" i="10" s="1"/>
  <c r="AJ173" i="10" s="1"/>
  <c r="AJ174" i="10" s="1"/>
  <c r="AJ175" i="10" s="1"/>
  <c r="AJ176" i="10" s="1"/>
  <c r="AJ177" i="10" s="1"/>
  <c r="AJ178" i="10" s="1"/>
  <c r="AJ179" i="10" s="1"/>
  <c r="AJ180" i="10" s="1"/>
  <c r="AJ181" i="10" s="1"/>
  <c r="AJ182" i="10" s="1"/>
  <c r="AJ183" i="10" s="1"/>
  <c r="AJ184" i="10" s="1"/>
  <c r="AJ185" i="10" s="1"/>
  <c r="AJ186" i="10" s="1"/>
  <c r="AJ187" i="10" s="1"/>
  <c r="AJ188" i="10" s="1"/>
  <c r="AJ189" i="10" s="1"/>
  <c r="AJ190" i="10" s="1"/>
  <c r="AJ191" i="10" s="1"/>
  <c r="AJ192" i="10" s="1"/>
  <c r="AJ193" i="10" s="1"/>
  <c r="AJ194" i="10" s="1"/>
  <c r="AJ195" i="10" s="1"/>
  <c r="AJ196" i="10" s="1"/>
  <c r="AJ197" i="10" s="1"/>
  <c r="AJ198" i="10" s="1"/>
  <c r="AJ199" i="10" s="1"/>
  <c r="AJ200" i="10" s="1"/>
  <c r="AJ201" i="10" s="1"/>
  <c r="AJ202" i="10" s="1"/>
  <c r="AJ203" i="10" s="1"/>
  <c r="AJ204" i="10" s="1"/>
  <c r="AJ205" i="10" s="1"/>
  <c r="AJ206" i="10" s="1"/>
  <c r="AJ207" i="10" s="1"/>
  <c r="BR14" i="10"/>
  <c r="N25" i="3"/>
  <c r="N24" i="3"/>
  <c r="N19" i="3"/>
  <c r="N15" i="3"/>
  <c r="AF24" i="10"/>
  <c r="BH5" i="10"/>
  <c r="AD93" i="27"/>
  <c r="AE13" i="10"/>
  <c r="T6" i="14"/>
  <c r="C6" i="14"/>
  <c r="J6" i="14" s="1"/>
  <c r="O9" i="14"/>
  <c r="T93" i="27" s="1"/>
  <c r="D94" i="27"/>
  <c r="M93" i="27"/>
  <c r="D93" i="27"/>
  <c r="M92" i="27"/>
  <c r="D92" i="27"/>
  <c r="T92" i="27"/>
  <c r="D91" i="27"/>
  <c r="J90" i="27"/>
  <c r="D90" i="27"/>
  <c r="D123" i="27"/>
  <c r="D122" i="27"/>
  <c r="D121" i="27"/>
  <c r="D120" i="27"/>
  <c r="J89" i="27"/>
  <c r="D89" i="27"/>
  <c r="D88" i="27"/>
  <c r="D87" i="27"/>
  <c r="T87" i="27"/>
  <c r="T86" i="27"/>
  <c r="D86" i="27"/>
  <c r="M86" i="27"/>
  <c r="AE12" i="10"/>
  <c r="Q7" i="14"/>
  <c r="P10" i="14"/>
  <c r="R6" i="14"/>
  <c r="Z88" i="27" s="1"/>
  <c r="K6" i="14"/>
  <c r="S6" i="14"/>
  <c r="AB88" i="27" s="1"/>
  <c r="AE21" i="10"/>
  <c r="I10" i="14"/>
  <c r="M87" i="27"/>
  <c r="N23" i="3" l="1"/>
  <c r="N21" i="3"/>
  <c r="N20" i="3"/>
  <c r="N16" i="3"/>
  <c r="AD88" i="27"/>
  <c r="AD89" i="27"/>
  <c r="M18" i="3"/>
  <c r="M24" i="3"/>
  <c r="M22" i="3"/>
  <c r="M17" i="3"/>
  <c r="M20" i="3"/>
  <c r="M15" i="3"/>
  <c r="M16" i="3"/>
  <c r="M19" i="3"/>
  <c r="M21" i="3"/>
  <c r="M23" i="3"/>
  <c r="M25" i="3"/>
  <c r="BV14" i="10"/>
  <c r="BN12" i="10"/>
  <c r="AF12" i="10" s="1"/>
  <c r="BN13" i="10"/>
  <c r="AF13" i="10" s="1"/>
  <c r="BN14" i="10"/>
  <c r="N17" i="3"/>
  <c r="N18" i="3"/>
  <c r="BQ14" i="10"/>
  <c r="BY14" i="10"/>
  <c r="CC14" i="10"/>
  <c r="CC6" i="10" s="1"/>
  <c r="CC5" i="10" s="1"/>
  <c r="BP14" i="10"/>
  <c r="BU14" i="10"/>
  <c r="I7" i="14"/>
  <c r="M88" i="27"/>
  <c r="O6" i="14"/>
  <c r="T88" i="27" s="1"/>
  <c r="C10" i="14"/>
  <c r="O10" i="14" s="1"/>
  <c r="T94" i="27" s="1"/>
  <c r="R7" i="14"/>
  <c r="Z89" i="27" s="1"/>
  <c r="S7" i="14"/>
  <c r="AB89" i="27" s="1"/>
  <c r="Q10" i="14"/>
  <c r="K7" i="14"/>
  <c r="AE22" i="10"/>
  <c r="N9" i="3" l="1"/>
  <c r="AL2" i="19" s="1"/>
  <c r="N10" i="3"/>
  <c r="AM2" i="19" s="1"/>
  <c r="AF14" i="10"/>
  <c r="N5" i="14"/>
  <c r="D7" i="14"/>
  <c r="B91" i="27" s="1"/>
  <c r="B89" i="27"/>
  <c r="M94" i="27"/>
  <c r="AE14" i="10"/>
  <c r="AE15" i="10"/>
  <c r="M5" i="14"/>
  <c r="H159" i="27"/>
  <c r="J159" i="27"/>
  <c r="D159" i="27"/>
  <c r="N159" i="27"/>
  <c r="L159" i="27"/>
  <c r="L158" i="27"/>
  <c r="D158" i="27"/>
  <c r="F158" i="27"/>
  <c r="F159" i="27"/>
  <c r="J158" i="27"/>
  <c r="N158" i="27"/>
  <c r="H158" i="27"/>
  <c r="T90" i="27"/>
  <c r="M90" i="27"/>
  <c r="T10" i="14"/>
  <c r="AD94" i="27" s="1"/>
  <c r="S8" i="14"/>
  <c r="R8" i="14"/>
  <c r="D168" i="27"/>
  <c r="L162" i="27"/>
  <c r="N180" i="27"/>
  <c r="L174" i="27"/>
  <c r="N162" i="27"/>
  <c r="D177" i="27"/>
  <c r="N169" i="27"/>
  <c r="L166" i="27"/>
  <c r="L177" i="27"/>
  <c r="D161" i="27"/>
  <c r="N166" i="27"/>
  <c r="D170" i="27"/>
  <c r="H175" i="27"/>
  <c r="N178" i="27"/>
  <c r="F180" i="27"/>
  <c r="L170" i="27"/>
  <c r="F169" i="27"/>
  <c r="D180" i="27"/>
  <c r="D162" i="27"/>
  <c r="F165" i="27"/>
  <c r="H164" i="27"/>
  <c r="D167" i="27"/>
  <c r="H165" i="27"/>
  <c r="H176" i="27"/>
  <c r="H172" i="27"/>
  <c r="L164" i="27"/>
  <c r="L163" i="27"/>
  <c r="D176" i="27"/>
  <c r="N164" i="27"/>
  <c r="D169" i="27"/>
  <c r="D179" i="27"/>
  <c r="J171" i="27"/>
  <c r="F174" i="27"/>
  <c r="F173" i="27"/>
  <c r="D164" i="27"/>
  <c r="J178" i="27"/>
  <c r="J179" i="27"/>
  <c r="H166" i="27"/>
  <c r="H163" i="27"/>
  <c r="L175" i="27"/>
  <c r="H180" i="27"/>
  <c r="D166" i="27"/>
  <c r="D172" i="27"/>
  <c r="N177" i="27"/>
  <c r="J168" i="27"/>
  <c r="L172" i="27"/>
  <c r="J162" i="27"/>
  <c r="H170" i="27"/>
  <c r="J177" i="27"/>
  <c r="J174" i="27"/>
  <c r="J175" i="27"/>
  <c r="N163" i="27"/>
  <c r="H167" i="27"/>
  <c r="F179" i="27"/>
  <c r="L167" i="27"/>
  <c r="J164" i="27"/>
  <c r="J180" i="27"/>
  <c r="J167" i="27"/>
  <c r="N171" i="27"/>
  <c r="L173" i="27"/>
  <c r="D173" i="27"/>
  <c r="L178" i="27"/>
  <c r="J169" i="27"/>
  <c r="F163" i="27"/>
  <c r="N170" i="27"/>
  <c r="N173" i="27"/>
  <c r="D165" i="27"/>
  <c r="L168" i="27"/>
  <c r="N165" i="27"/>
  <c r="F168" i="27"/>
  <c r="F178" i="27"/>
  <c r="H174" i="27"/>
  <c r="D175" i="27"/>
  <c r="L161" i="27"/>
  <c r="F162" i="27"/>
  <c r="F175" i="27"/>
  <c r="N161" i="27"/>
  <c r="L165" i="27"/>
  <c r="N167" i="27"/>
  <c r="J163" i="27"/>
  <c r="H169" i="27"/>
  <c r="F170" i="27"/>
  <c r="H171" i="27"/>
  <c r="N175" i="27"/>
  <c r="D178" i="27"/>
  <c r="N168" i="27"/>
  <c r="L176" i="27"/>
  <c r="L169" i="27"/>
  <c r="H179" i="27"/>
  <c r="J173" i="27"/>
  <c r="F166" i="27"/>
  <c r="J165" i="27"/>
  <c r="J161" i="27"/>
  <c r="H162" i="27"/>
  <c r="N174" i="27"/>
  <c r="L179" i="27"/>
  <c r="N172" i="27"/>
  <c r="L171" i="27"/>
  <c r="H168" i="27"/>
  <c r="F167" i="27"/>
  <c r="N179" i="27"/>
  <c r="J176" i="27"/>
  <c r="J166" i="27"/>
  <c r="D171" i="27"/>
  <c r="H161" i="27"/>
  <c r="H178" i="27"/>
  <c r="F177" i="27"/>
  <c r="N176" i="27"/>
  <c r="L180" i="27"/>
  <c r="F171" i="27"/>
  <c r="F176" i="27"/>
  <c r="H173" i="27"/>
  <c r="D174" i="27"/>
  <c r="H177" i="27"/>
  <c r="D163" i="27"/>
  <c r="F172" i="27"/>
  <c r="F164" i="27"/>
  <c r="J170" i="27"/>
  <c r="F161" i="27"/>
  <c r="J172" i="27"/>
  <c r="H160" i="27"/>
  <c r="N160" i="27"/>
  <c r="F160" i="27"/>
  <c r="J160" i="27"/>
  <c r="L160" i="27"/>
  <c r="K9" i="14"/>
  <c r="K8" i="14"/>
  <c r="BV6" i="10"/>
  <c r="BV5" i="10" s="1"/>
  <c r="N10" i="14"/>
  <c r="AE23" i="10"/>
  <c r="AE16" i="10" l="1"/>
  <c r="C7" i="14"/>
  <c r="BZ6" i="10"/>
  <c r="BZ5" i="10" s="1"/>
  <c r="P7" i="14"/>
  <c r="AE24" i="10"/>
  <c r="M10" i="14"/>
  <c r="D160" i="27"/>
  <c r="D156" i="27" s="1"/>
  <c r="AD90" i="27"/>
  <c r="L156" i="27"/>
  <c r="H156" i="27"/>
  <c r="F156" i="27"/>
  <c r="N156" i="27"/>
  <c r="J156" i="27"/>
  <c r="BW6" i="10"/>
  <c r="BW5" i="10" s="1"/>
  <c r="AE25" i="10"/>
  <c r="BQ6" i="10" l="1"/>
  <c r="BQ5" i="10" s="1"/>
  <c r="BY6" i="10"/>
  <c r="BY5" i="10" s="1"/>
  <c r="BN8" i="10"/>
  <c r="A9" i="14"/>
  <c r="AD117" i="27" s="1"/>
  <c r="AD116" i="27" s="1"/>
  <c r="O7" i="14"/>
  <c r="AD58" i="27"/>
  <c r="R57" i="27"/>
  <c r="AB58" i="27"/>
  <c r="V58" i="27"/>
  <c r="H57" i="27"/>
  <c r="F57" i="27"/>
  <c r="AD57" i="27"/>
  <c r="T57" i="27"/>
  <c r="L58" i="27"/>
  <c r="N58" i="27"/>
  <c r="N57" i="27"/>
  <c r="D57" i="27"/>
  <c r="D58" i="27"/>
  <c r="T58" i="27"/>
  <c r="P57" i="27"/>
  <c r="Z58" i="27"/>
  <c r="P58" i="27"/>
  <c r="J57" i="27"/>
  <c r="X57" i="27"/>
  <c r="R58" i="27"/>
  <c r="L57" i="27"/>
  <c r="V57" i="27"/>
  <c r="AB57" i="27"/>
  <c r="F58" i="27"/>
  <c r="X58" i="27"/>
  <c r="H58" i="27"/>
  <c r="Z57" i="27"/>
  <c r="J58" i="27"/>
  <c r="A5" i="14"/>
  <c r="A15" i="14"/>
  <c r="S155" i="27" s="1"/>
  <c r="A11" i="14"/>
  <c r="AD141" i="27" s="1"/>
  <c r="AD140" i="27" s="1"/>
  <c r="A3" i="14"/>
  <c r="V33" i="27"/>
  <c r="T33" i="27"/>
  <c r="R33" i="27"/>
  <c r="T51" i="27"/>
  <c r="V50" i="27"/>
  <c r="T48" i="27"/>
  <c r="V48" i="27"/>
  <c r="T34" i="27"/>
  <c r="V47" i="27"/>
  <c r="R34" i="27"/>
  <c r="R48" i="27"/>
  <c r="R49" i="27"/>
  <c r="V51" i="27"/>
  <c r="T49" i="27"/>
  <c r="R47" i="27"/>
  <c r="R50" i="27"/>
  <c r="V32" i="27"/>
  <c r="V34" i="27"/>
  <c r="R51" i="27"/>
  <c r="R32" i="27"/>
  <c r="T50" i="27"/>
  <c r="T32" i="27"/>
  <c r="V49" i="27"/>
  <c r="T47" i="27"/>
  <c r="AE27" i="10"/>
  <c r="S9" i="14"/>
  <c r="R9" i="14"/>
  <c r="R10" i="14"/>
  <c r="BJ6" i="10"/>
  <c r="BJ5" i="10" s="1"/>
  <c r="CA6" i="10"/>
  <c r="CA5" i="10" s="1"/>
  <c r="AE26" i="10"/>
  <c r="N7" i="14"/>
  <c r="M89" i="27" l="1"/>
  <c r="M91" i="27"/>
  <c r="T89" i="27"/>
  <c r="T91" i="27"/>
  <c r="M6" i="14"/>
  <c r="R56" i="27"/>
  <c r="N56" i="27"/>
  <c r="Z56" i="27"/>
  <c r="D56" i="27"/>
  <c r="X48" i="27"/>
  <c r="P56" i="27"/>
  <c r="F56" i="27"/>
  <c r="X56" i="27"/>
  <c r="X33" i="27"/>
  <c r="T56" i="27"/>
  <c r="V56" i="27"/>
  <c r="X34" i="27"/>
  <c r="X51" i="27"/>
  <c r="AD56" i="27"/>
  <c r="X49" i="27"/>
  <c r="X32" i="27"/>
  <c r="J56" i="27"/>
  <c r="AB56" i="27"/>
  <c r="X50" i="27"/>
  <c r="CB6" i="10"/>
  <c r="CB5" i="10" s="1"/>
  <c r="L56" i="27"/>
  <c r="H56" i="27"/>
  <c r="X47" i="27"/>
  <c r="S10" i="14"/>
  <c r="AB90" i="27" s="1"/>
  <c r="Z90" i="27"/>
  <c r="R11" i="14"/>
  <c r="Z91" i="27" s="1"/>
  <c r="S11" i="14"/>
  <c r="M7" i="14"/>
  <c r="N6" i="14"/>
  <c r="BX6" i="10"/>
  <c r="BX5" i="10" s="1"/>
  <c r="R12" i="14" l="1"/>
  <c r="Z92" i="27" s="1"/>
  <c r="AB91" i="27"/>
  <c r="S12" i="14"/>
  <c r="BN6" i="10"/>
  <c r="N8" i="14"/>
  <c r="BN5" i="10" l="1"/>
  <c r="M8" i="14"/>
  <c r="R13" i="14"/>
  <c r="AB92" i="27"/>
  <c r="S14" i="14"/>
  <c r="N9" i="14"/>
  <c r="M9" i="14" l="1"/>
  <c r="Z93" i="27"/>
  <c r="R14" i="14"/>
  <c r="Z94" i="27" s="1"/>
  <c r="AB94" i="27"/>
  <c r="S13" i="14"/>
  <c r="S15" i="14" l="1"/>
  <c r="R15" i="14"/>
  <c r="A13" i="14"/>
  <c r="Z117" i="27" s="1"/>
  <c r="Z116" i="27" s="1"/>
  <c r="AB93" i="27"/>
  <c r="BT6" i="10"/>
  <c r="BT5" i="10" s="1"/>
  <c r="BP6" i="10"/>
  <c r="BP5" i="10" s="1"/>
  <c r="BU6" i="10"/>
  <c r="BU5" i="10" s="1"/>
  <c r="AB25" i="27" l="1"/>
  <c r="R45" i="27" s="1"/>
  <c r="X45" i="27" s="1"/>
  <c r="AD15" i="27"/>
  <c r="AD25" i="27"/>
  <c r="AB15" i="27"/>
  <c r="R35" i="27" s="1"/>
  <c r="X35" i="27" s="1"/>
  <c r="AB16" i="27"/>
  <c r="R36" i="27" s="1"/>
  <c r="X36" i="27" s="1"/>
  <c r="AB17" i="27"/>
  <c r="R37" i="27" s="1"/>
  <c r="X37" i="27" s="1"/>
  <c r="AD21" i="27"/>
  <c r="AD20" i="27"/>
  <c r="AD18" i="27"/>
  <c r="AD24" i="27"/>
  <c r="AD22" i="27"/>
  <c r="AD23" i="27"/>
  <c r="AD19" i="27"/>
  <c r="AD16" i="27"/>
  <c r="AD17" i="27"/>
  <c r="AB23" i="27"/>
  <c r="R43" i="27" s="1"/>
  <c r="X43" i="27" s="1"/>
  <c r="AB20" i="27"/>
  <c r="R40" i="27" s="1"/>
  <c r="X40" i="27" s="1"/>
  <c r="AB18" i="27"/>
  <c r="R38" i="27" s="1"/>
  <c r="X38" i="27" s="1"/>
  <c r="AB22" i="27"/>
  <c r="R42" i="27" s="1"/>
  <c r="X42" i="27" s="1"/>
  <c r="AB21" i="27"/>
  <c r="R41" i="27" s="1"/>
  <c r="X41" i="27" s="1"/>
  <c r="AB24" i="27"/>
  <c r="R44" i="27" s="1"/>
  <c r="X44" i="27" s="1"/>
  <c r="AB19" i="27"/>
  <c r="R39" i="27" s="1"/>
  <c r="X39" i="27" s="1"/>
  <c r="AC7" i="27" l="1"/>
  <c r="AC8" i="27"/>
  <c r="AC3" i="27" l="1"/>
  <c r="BR6" i="10"/>
  <c r="BR5" i="10" s="1"/>
  <c r="AD142" i="27" l="1"/>
  <c r="S153" i="27" s="1"/>
  <c r="J155" i="27" l="1"/>
  <c r="F155" i="27"/>
  <c r="L155" i="27"/>
  <c r="S154" i="27"/>
  <c r="N155" i="27"/>
  <c r="D155" i="27"/>
  <c r="H155" i="27"/>
  <c r="AF10" i="10"/>
  <c r="AF8" i="10"/>
  <c r="BG6" i="10"/>
  <c r="O4" i="10" s="1"/>
  <c r="AF11" i="10"/>
  <c r="AF9" i="10"/>
  <c r="BG5" i="10" l="1"/>
</calcChain>
</file>

<file path=xl/sharedStrings.xml><?xml version="1.0" encoding="utf-8"?>
<sst xmlns="http://schemas.openxmlformats.org/spreadsheetml/2006/main" count="3010" uniqueCount="1135">
  <si>
    <t>01 -</t>
  </si>
  <si>
    <t>02 -</t>
  </si>
  <si>
    <t>03 -</t>
  </si>
  <si>
    <t>04 -</t>
  </si>
  <si>
    <t>05 -</t>
  </si>
  <si>
    <t>06 -</t>
  </si>
  <si>
    <t>07 -</t>
  </si>
  <si>
    <t>08 -</t>
  </si>
  <si>
    <t>09 -</t>
  </si>
  <si>
    <t>10 -</t>
  </si>
  <si>
    <t>Relação das Posições IM:</t>
  </si>
  <si>
    <t>Posição IM</t>
  </si>
  <si>
    <t>Descrição</t>
  </si>
  <si>
    <t>BAU</t>
  </si>
  <si>
    <t>Business As Usual, ou seja, são os investimentos necessários para manter o funcionamento de TI, independente de variação na quantidade de clientes. Ex.: Atualização do parque de microinformática, atualização de licenças de software, atualizações do parque de hardware em geral.</t>
  </si>
  <si>
    <t>Evolutivas</t>
  </si>
  <si>
    <t>Os investimentos necessários para novas funcionalidades em sistemas existentes.</t>
  </si>
  <si>
    <t>Estruturantes</t>
  </si>
  <si>
    <t>Os investimentos necessários para construir a nova arquitetura de TI. Ex.: Unificação do SAP, construção de novo Data Center.</t>
  </si>
  <si>
    <t>Clientes Externos</t>
  </si>
  <si>
    <t>Os investimentos necessários para atender a um contrato específico de prestação de serviços pela Oi. Ex.: Negócio de Cyber Data Center fechado.</t>
  </si>
  <si>
    <t>Projetos Especiais</t>
  </si>
  <si>
    <t>Os  investimentos necessários para projetos definidos como especiais por TI. Ex.: Cloud.</t>
  </si>
  <si>
    <t>Produtos/ Ofertas/  Canais</t>
  </si>
  <si>
    <t>Produtos / Ofertas</t>
  </si>
  <si>
    <t>Implantação de projetos que visam a expansão de portfólio e o desenvolvimento de novos produtos/ofertas.</t>
  </si>
  <si>
    <t>Canais de Atendimento</t>
  </si>
  <si>
    <t>Canais de Venda</t>
  </si>
  <si>
    <t>Obrigações</t>
  </si>
  <si>
    <t>Outras Obrigações</t>
  </si>
  <si>
    <t>Demais obrigações da ANATEL, incluindo as relativas a novo Regulamento do SMP.</t>
  </si>
  <si>
    <t>Valor Solicitado (R$)</t>
  </si>
  <si>
    <t>Data do Comitê Priorização</t>
  </si>
  <si>
    <t>Baseline</t>
  </si>
  <si>
    <t>Mês/Ano da Entrega</t>
  </si>
  <si>
    <t>Escopo do Projeto</t>
  </si>
  <si>
    <t>Accenture - Testes</t>
  </si>
  <si>
    <t>Segmento de Mercado</t>
  </si>
  <si>
    <t>TV</t>
  </si>
  <si>
    <t>Valor Total do Projeto</t>
  </si>
  <si>
    <t>Tipo de Custo</t>
  </si>
  <si>
    <t>Defesa da Necessidade</t>
  </si>
  <si>
    <t>Gestor Solicitante (Cliente)</t>
  </si>
  <si>
    <t>Impacto Ambiental</t>
  </si>
  <si>
    <t xml:space="preserve">Pesquisa e Desenvolvimento </t>
  </si>
  <si>
    <t>Risco de Não Fazer</t>
  </si>
  <si>
    <t>OBJETIVO</t>
  </si>
  <si>
    <t>Impacto Geral</t>
  </si>
  <si>
    <t>Outros Impactos
(Operacional, Financeiro, Benefícios, etc.)</t>
  </si>
  <si>
    <t>Projeto-Proposta</t>
  </si>
  <si>
    <t>Projeto</t>
  </si>
  <si>
    <t>Classificação</t>
  </si>
  <si>
    <t>Sistema</t>
  </si>
  <si>
    <t>Valor</t>
  </si>
  <si>
    <t>Contrato</t>
  </si>
  <si>
    <t>Mensalização</t>
  </si>
  <si>
    <t>Proposta</t>
  </si>
  <si>
    <t>SERVIÇOS</t>
  </si>
  <si>
    <t>Teradata</t>
  </si>
  <si>
    <t/>
  </si>
  <si>
    <t>&lt; DEFINIR &gt;</t>
  </si>
  <si>
    <t>OBS</t>
  </si>
  <si>
    <t>Ano Base</t>
  </si>
  <si>
    <t>Empresa Oi</t>
  </si>
  <si>
    <t>SIGLA</t>
  </si>
  <si>
    <t>Região</t>
  </si>
  <si>
    <t>PRIORIZACAO</t>
  </si>
  <si>
    <t>ENTREGA</t>
  </si>
  <si>
    <t>TLM</t>
  </si>
  <si>
    <t>JÁ IMPLEMENTADO</t>
  </si>
  <si>
    <t>NÃO ELEGÍVEL</t>
  </si>
  <si>
    <t>OUTROS ANOS</t>
  </si>
  <si>
    <t>BrTCM - Metrorede</t>
  </si>
  <si>
    <t>BrTCM</t>
  </si>
  <si>
    <t>PGA</t>
  </si>
  <si>
    <t>R1 PAGGO</t>
  </si>
  <si>
    <t>Próximos Anos</t>
  </si>
  <si>
    <t>A Ficha consolidada não muda o ano por ser estática</t>
  </si>
  <si>
    <t>&lt;Novo Sistema&gt;</t>
  </si>
  <si>
    <t>Não pode ser removido</t>
  </si>
  <si>
    <t>(OI R2) ACCESS7</t>
  </si>
  <si>
    <t>(OI R2) DW</t>
  </si>
  <si>
    <t>(OI R2) GPAB</t>
  </si>
  <si>
    <t>(OI R2) LEGADOS FT</t>
  </si>
  <si>
    <t>(OI R2) MULTICONFERÊNCIA</t>
  </si>
  <si>
    <t>(OI R2) SABRE</t>
  </si>
  <si>
    <t>(OI R2) SAT</t>
  </si>
  <si>
    <t>(OI R2) SGRO</t>
  </si>
  <si>
    <t>(OI R2) SLM</t>
  </si>
  <si>
    <t>(OI R2) SSR</t>
  </si>
  <si>
    <t>(OI R2) VIP REPORT</t>
  </si>
  <si>
    <t>ACM</t>
  </si>
  <si>
    <t>ADMINISTRADOR DE TARIFAS MÓVEL</t>
  </si>
  <si>
    <t>AGENDA COMPARTILHADA</t>
  </si>
  <si>
    <t>ARS CGS</t>
  </si>
  <si>
    <t>BAC</t>
  </si>
  <si>
    <t>BASE FRIA AC</t>
  </si>
  <si>
    <t>CCURE-SAFE</t>
  </si>
  <si>
    <t>CDI</t>
  </si>
  <si>
    <t>CIREX</t>
  </si>
  <si>
    <t>CLICK</t>
  </si>
  <si>
    <t>CMS</t>
  </si>
  <si>
    <t>COMPONENTE VAS</t>
  </si>
  <si>
    <t>CRB</t>
  </si>
  <si>
    <t>DAF</t>
  </si>
  <si>
    <t>DATACARE</t>
  </si>
  <si>
    <t>FATBB</t>
  </si>
  <si>
    <t>FERRAMENTA DE RECUPERAÇÃO</t>
  </si>
  <si>
    <t>FLEXLM</t>
  </si>
  <si>
    <t>GAD</t>
  </si>
  <si>
    <t>GATEWAY DE PORTABILIDADE</t>
  </si>
  <si>
    <t>GCOB</t>
  </si>
  <si>
    <t>GEFI</t>
  </si>
  <si>
    <t>GEOPLEX</t>
  </si>
  <si>
    <t>GPM</t>
  </si>
  <si>
    <t>GPS WEB</t>
  </si>
  <si>
    <t>GRIF</t>
  </si>
  <si>
    <t>GRP</t>
  </si>
  <si>
    <t>IASOX</t>
  </si>
  <si>
    <t>IBPMS</t>
  </si>
  <si>
    <t>JMAP</t>
  </si>
  <si>
    <t>MESOX</t>
  </si>
  <si>
    <t>NDS</t>
  </si>
  <si>
    <t>NETWIN</t>
  </si>
  <si>
    <t>OCS</t>
  </si>
  <si>
    <t>OMR</t>
  </si>
  <si>
    <t>OPENLM</t>
  </si>
  <si>
    <t>OPL OI</t>
  </si>
  <si>
    <t>PARC</t>
  </si>
  <si>
    <t>PNET</t>
  </si>
  <si>
    <t>PRISMA</t>
  </si>
  <si>
    <t>RATV</t>
  </si>
  <si>
    <t>ROAMBROKER</t>
  </si>
  <si>
    <t>SAOSC</t>
  </si>
  <si>
    <t>SCPO</t>
  </si>
  <si>
    <t>SEDO</t>
  </si>
  <si>
    <t>SEFE</t>
  </si>
  <si>
    <t>SEI</t>
  </si>
  <si>
    <t>SERVCEL</t>
  </si>
  <si>
    <t>SFA-SIEBEL8</t>
  </si>
  <si>
    <t>SGE PLANTA EXTERNA</t>
  </si>
  <si>
    <t>SGIS</t>
  </si>
  <si>
    <t>SIAF</t>
  </si>
  <si>
    <t>SIDARA</t>
  </si>
  <si>
    <t>SIGA</t>
  </si>
  <si>
    <t>SIGNS</t>
  </si>
  <si>
    <t>SINNWEB</t>
  </si>
  <si>
    <t>SINODC</t>
  </si>
  <si>
    <t>SISCONFIG</t>
  </si>
  <si>
    <t>SISRAF - MPN</t>
  </si>
  <si>
    <t>SISTERM</t>
  </si>
  <si>
    <t>SOLMAN</t>
  </si>
  <si>
    <t>SSR</t>
  </si>
  <si>
    <t>STPCI</t>
  </si>
  <si>
    <t>STV</t>
  </si>
  <si>
    <t>TANGRAM</t>
  </si>
  <si>
    <t>THS</t>
  </si>
  <si>
    <t>TMART</t>
  </si>
  <si>
    <t>TRADUTOR</t>
  </si>
  <si>
    <t>TRANSACT</t>
  </si>
  <si>
    <t>TRUSTY</t>
  </si>
  <si>
    <t>TVAS</t>
  </si>
  <si>
    <t>UNITE</t>
  </si>
  <si>
    <t>VIGIA</t>
  </si>
  <si>
    <t>Empresa</t>
  </si>
  <si>
    <t>Nome do Baseline</t>
  </si>
  <si>
    <t>Nome Reduzido</t>
  </si>
  <si>
    <t>Torre</t>
  </si>
  <si>
    <t>Itens Fixos - Não devem ser Excluídos</t>
  </si>
  <si>
    <t>3CON</t>
  </si>
  <si>
    <t>ACCENTURE</t>
  </si>
  <si>
    <t>IV</t>
  </si>
  <si>
    <t>II</t>
  </si>
  <si>
    <t>ASGA</t>
  </si>
  <si>
    <t>III</t>
  </si>
  <si>
    <t>VI</t>
  </si>
  <si>
    <t>Cleartech</t>
  </si>
  <si>
    <t>CLEARTECH</t>
  </si>
  <si>
    <t>CPqD</t>
  </si>
  <si>
    <t>EXPERIAN</t>
  </si>
  <si>
    <t>GLOBAL WEB</t>
  </si>
  <si>
    <t>HP</t>
  </si>
  <si>
    <t>IBM - Torre I - Faturamento e Mediação</t>
  </si>
  <si>
    <t>IBM</t>
  </si>
  <si>
    <t>I</t>
  </si>
  <si>
    <t>IBM - Torre VII - BI</t>
  </si>
  <si>
    <t>VII</t>
  </si>
  <si>
    <t>IFactory</t>
  </si>
  <si>
    <t xml:space="preserve">LG </t>
  </si>
  <si>
    <t>LG</t>
  </si>
  <si>
    <t>LG (Norber)</t>
  </si>
  <si>
    <t>AITEC</t>
  </si>
  <si>
    <t>LINK - Teste Integrado</t>
  </si>
  <si>
    <t>Metatron</t>
  </si>
  <si>
    <t>METATRON</t>
  </si>
  <si>
    <t>Objective</t>
  </si>
  <si>
    <t>OBJECTIVE</t>
  </si>
  <si>
    <t>ORACLE</t>
  </si>
  <si>
    <t>Perlink</t>
  </si>
  <si>
    <t>PERLINK</t>
  </si>
  <si>
    <t>PROCWORK</t>
  </si>
  <si>
    <t>SUNTECH</t>
  </si>
  <si>
    <t>TI Métricas</t>
  </si>
  <si>
    <t>Triad</t>
  </si>
  <si>
    <t>WeDo</t>
  </si>
  <si>
    <t>WEDO</t>
  </si>
  <si>
    <t>FOI do Projeto:</t>
  </si>
  <si>
    <t>Proposta / Solicitação</t>
  </si>
  <si>
    <t>Valor Solicitado</t>
  </si>
  <si>
    <t>Fornecedor</t>
  </si>
  <si>
    <t>Valor Proposta</t>
  </si>
  <si>
    <t>Nome do Item</t>
  </si>
  <si>
    <t>Valor do Item</t>
  </si>
  <si>
    <t>Fornecedor RC</t>
  </si>
  <si>
    <t>FOI de Baseline:</t>
  </si>
  <si>
    <t>GO para Fábrica</t>
  </si>
  <si>
    <t>Criar RC</t>
  </si>
  <si>
    <t>Métrica</t>
  </si>
  <si>
    <t>BL</t>
  </si>
  <si>
    <t>Sistema / Módulo</t>
  </si>
  <si>
    <t>Horas</t>
  </si>
  <si>
    <t>Valor HH</t>
  </si>
  <si>
    <t>%</t>
  </si>
  <si>
    <t>GO sem Fabrica</t>
  </si>
  <si>
    <t>CHAVE METRICA</t>
  </si>
  <si>
    <t>Fornecedores</t>
  </si>
  <si>
    <t>Escopo</t>
  </si>
  <si>
    <t>FOI do Projeto</t>
  </si>
  <si>
    <t>Memória de Cálculo</t>
  </si>
  <si>
    <t>Gestor Solicitante</t>
  </si>
  <si>
    <t>INFRAESTRUTURA</t>
  </si>
  <si>
    <t>TOTAL %</t>
  </si>
  <si>
    <t>TOTAL R$</t>
  </si>
  <si>
    <t>Unidade de Negócio</t>
  </si>
  <si>
    <t>Tipo</t>
  </si>
  <si>
    <t>Nome Projeto</t>
  </si>
  <si>
    <t>FOI FICHA</t>
  </si>
  <si>
    <t>TORRE</t>
  </si>
  <si>
    <t>REGIAO</t>
  </si>
  <si>
    <t>Milestone</t>
  </si>
  <si>
    <t>Valor do Milestone</t>
  </si>
  <si>
    <t>CHAVE PROP.</t>
  </si>
  <si>
    <t>CHAVE PROJ.</t>
  </si>
  <si>
    <t>Milestone Incompleto</t>
  </si>
  <si>
    <t>Marco Repetido</t>
  </si>
  <si>
    <t>Validações</t>
  </si>
  <si>
    <t>Milestone em Baseline</t>
  </si>
  <si>
    <t>Nome Baseline</t>
  </si>
  <si>
    <t>Marco sem Mensaliz.</t>
  </si>
  <si>
    <t>CLASSIF</t>
  </si>
  <si>
    <t>EMPRESA OI</t>
  </si>
  <si>
    <t>Oi Fixa R1</t>
  </si>
  <si>
    <t>Oi Móvel S.A.</t>
  </si>
  <si>
    <t>BTSA Fixa R2</t>
  </si>
  <si>
    <t>BTSA</t>
  </si>
  <si>
    <t>PAGGO</t>
  </si>
  <si>
    <t>Responsável (N3)</t>
  </si>
  <si>
    <t>CRIAR RC</t>
  </si>
  <si>
    <t>CONTRATO</t>
  </si>
  <si>
    <t>SISTEMA</t>
  </si>
  <si>
    <t>HORAS</t>
  </si>
  <si>
    <t>TAXA HH</t>
  </si>
  <si>
    <t>Qtde Horas</t>
  </si>
  <si>
    <t>CORTE</t>
  </si>
  <si>
    <t>Prioridade Global</t>
  </si>
  <si>
    <t>Origem do FOI</t>
  </si>
  <si>
    <t>SMPE</t>
  </si>
  <si>
    <t>Serviços</t>
  </si>
  <si>
    <t>Desenvolvimento Não Baseline</t>
  </si>
  <si>
    <t>MÓVEL</t>
  </si>
  <si>
    <t>Nome do PDF de Custo Final</t>
  </si>
  <si>
    <t>Descrição / Memória de Cálculo da Aquisição de INFRAESTRUTURA</t>
  </si>
  <si>
    <t>11 -</t>
  </si>
  <si>
    <t>Validade</t>
  </si>
  <si>
    <t>Accenture - Fábrica de Testes</t>
  </si>
  <si>
    <t>N/A</t>
  </si>
  <si>
    <t>Empresa N/A em Linha não Baseline</t>
  </si>
  <si>
    <t>Diretoria Solicitante</t>
  </si>
  <si>
    <t>CONTA EMPRESA</t>
  </si>
  <si>
    <t>RAID IP FIXA</t>
  </si>
  <si>
    <t>RAID FR MÓVEL</t>
  </si>
  <si>
    <t>RAID IP MÓVEL</t>
  </si>
  <si>
    <t>DW CADASTRO</t>
  </si>
  <si>
    <t>DW FINANCEIRO</t>
  </si>
  <si>
    <t>DW TRÁFEGO</t>
  </si>
  <si>
    <t>CPL</t>
  </si>
  <si>
    <t>EASY-IRPJ</t>
  </si>
  <si>
    <t>PORTAL DE GENTE</t>
  </si>
  <si>
    <t>FTM - CONTROLE DE AÇÕES</t>
  </si>
  <si>
    <t>TAD - SISTEMA DE CONTROLE DE TERMINAIS ADMINISTRATIVOS</t>
  </si>
  <si>
    <t>SISJUR - SISTEMA JURÍDICO</t>
  </si>
  <si>
    <t>MEDIAÇÃO FIXA - COMUNICAÇÃO DE DADOS</t>
  </si>
  <si>
    <t>MEDIAÇÃO FIXA - 134 (OIFO)</t>
  </si>
  <si>
    <t>EMISSÃO DE 2º VIA NO PORTAL</t>
  </si>
  <si>
    <t>(OI R2) DETRAF</t>
  </si>
  <si>
    <t>SAS-BI</t>
  </si>
  <si>
    <t>SAF</t>
  </si>
  <si>
    <t>RECORRÊNCIA ANATEL</t>
  </si>
  <si>
    <t>SRT</t>
  </si>
  <si>
    <t>ESPAÇO JÓIA</t>
  </si>
  <si>
    <t>MEDIAÇÃO FIXA - CALLING CARD - SCF7</t>
  </si>
  <si>
    <t>MEDIAÇÃO FIXA - CALL COMPLETE (ITA3)</t>
  </si>
  <si>
    <t>TCE</t>
  </si>
  <si>
    <t>SCT - SISTEMA DE CONTROLE DE TAREFAS</t>
  </si>
  <si>
    <t>GF</t>
  </si>
  <si>
    <t>GCR</t>
  </si>
  <si>
    <t>SCA</t>
  </si>
  <si>
    <t>PORTAL OI</t>
  </si>
  <si>
    <t>SUBSCRITORES</t>
  </si>
  <si>
    <t>MEDIAÇÃO FIXA - LOCAL (UBL2)</t>
  </si>
  <si>
    <t>ESCOBS / SD2</t>
  </si>
  <si>
    <t>SPJ</t>
  </si>
  <si>
    <t>CBILL</t>
  </si>
  <si>
    <t>FPW</t>
  </si>
  <si>
    <t>GESTÃO DE TREINAMENTO</t>
  </si>
  <si>
    <t>(OI R2) SFA</t>
  </si>
  <si>
    <t>SIEBEL</t>
  </si>
  <si>
    <t>PRÉ-PAGO AMAZONIA</t>
  </si>
  <si>
    <t>GESTÃO DE TERMINAIS DA FIXA</t>
  </si>
  <si>
    <t>PORTAL DE MIGRAÇÃO BRT</t>
  </si>
  <si>
    <t>(OI R2) ASAP</t>
  </si>
  <si>
    <t>(OI R2) FIX</t>
  </si>
  <si>
    <t>(OI R2) FPW BRTCC</t>
  </si>
  <si>
    <t>(OI R2) GDBO</t>
  </si>
  <si>
    <t>(OI R2) MASC</t>
  </si>
  <si>
    <t>(OI R2) OBJECTEL</t>
  </si>
  <si>
    <t>(OI R2) OMS</t>
  </si>
  <si>
    <t>(OI R2) PORTAL DE GOVERNANÇA</t>
  </si>
  <si>
    <t>(OI R2) PORTAL DE OUVIDORIA</t>
  </si>
  <si>
    <t>(OI R2) PREÇOS E TARIFAS - PET</t>
  </si>
  <si>
    <t>RAID-RC</t>
  </si>
  <si>
    <t>SCFTUP</t>
  </si>
  <si>
    <t>(OI R2) SCO</t>
  </si>
  <si>
    <t>(OI R2) SCR</t>
  </si>
  <si>
    <t>(OI R2) SGF</t>
  </si>
  <si>
    <t>(OI R2) SISGEN</t>
  </si>
  <si>
    <t>(OI R2) SISWEB</t>
  </si>
  <si>
    <t>(OI R2) SQAF</t>
  </si>
  <si>
    <t>(OI R2) SRA</t>
  </si>
  <si>
    <t>(OI R2) STRAUSS</t>
  </si>
  <si>
    <t>(OI R2) CDR-VIEW</t>
  </si>
  <si>
    <t>GIM</t>
  </si>
  <si>
    <t>GI</t>
  </si>
  <si>
    <t>(OI R2) SGTP</t>
  </si>
  <si>
    <t>TERUS - TARIFAÇÃO</t>
  </si>
  <si>
    <t>GESTÃO DE TARIFAÇÃO FIXA (GTF)</t>
  </si>
  <si>
    <t>(OI R2) RAID EC</t>
  </si>
  <si>
    <t>(OI R2) ALGE</t>
  </si>
  <si>
    <t>(OI R2) CIINPP</t>
  </si>
  <si>
    <t>(OI R2) SAC</t>
  </si>
  <si>
    <t>(OI R2) PORTAL CONVERGENTE</t>
  </si>
  <si>
    <t>(OI R2) SPART</t>
  </si>
  <si>
    <t>CANAL DE DENÚNCIAS - ADMINSTRATIVO</t>
  </si>
  <si>
    <t>(OI R2) ACW</t>
  </si>
  <si>
    <t>(OI R2) PORTAL RH BRTCC</t>
  </si>
  <si>
    <t>SAP-BW</t>
  </si>
  <si>
    <t>SAP-PORTAL</t>
  </si>
  <si>
    <t>(OI R2) SRE</t>
  </si>
  <si>
    <t>BUSCA 102</t>
  </si>
  <si>
    <t>BO-DW</t>
  </si>
  <si>
    <t>CONSULTA SMS JURIDICO</t>
  </si>
  <si>
    <t>INFORMÁTICA - INTEGRAÇÃO</t>
  </si>
  <si>
    <t>OI CARTÃO</t>
  </si>
  <si>
    <t>GDE</t>
  </si>
  <si>
    <t>MEDIAÇÃO FIXA - 102</t>
  </si>
  <si>
    <t>PAINEL_IN86</t>
  </si>
  <si>
    <t>MEDIAÇÃO FIXA DE NEGÓCIOS</t>
  </si>
  <si>
    <t>MEDIAÇÃO FIXA DE TERCEIROS (MAINFRAME)</t>
  </si>
  <si>
    <t>SGD</t>
  </si>
  <si>
    <t>MEDIAÇÃO MÓVEL - ACRS</t>
  </si>
  <si>
    <t>MEDIAÇÃO MÓVEL - PRE-FILTRO</t>
  </si>
  <si>
    <t>HYPERION NOVA OI- ORÇAMENTO CONTROLADORIA</t>
  </si>
  <si>
    <t>HYPERION NOVA OI- ORÇAMENTO CORPORATIVO</t>
  </si>
  <si>
    <t>PORTAL DA ARQUITETURA</t>
  </si>
  <si>
    <t>FPW PONTO</t>
  </si>
  <si>
    <t>SISPROC - SISTEMA DE PROCURAÇÕES</t>
  </si>
  <si>
    <t>SIGRI - SISTEMA DE GESTÃO DE RELACIONAMENTO INSTITUCIONAL</t>
  </si>
  <si>
    <t>TERADATA INTERCONEXÃO</t>
  </si>
  <si>
    <t>ABC / ABD</t>
  </si>
  <si>
    <t>PRIDE</t>
  </si>
  <si>
    <t>PW. SPED PIS COFINS</t>
  </si>
  <si>
    <t>FPW PONTO BRTCC</t>
  </si>
  <si>
    <t>FPWBI QIVIEW</t>
  </si>
  <si>
    <t>SINN DTH</t>
  </si>
  <si>
    <t>SCP</t>
  </si>
  <si>
    <t>MEDIAÇÃO FIXA - PRÉ-FILTRO</t>
  </si>
  <si>
    <t>BEWEB-OI</t>
  </si>
  <si>
    <t>BDA-OI</t>
  </si>
  <si>
    <t>SAP-SPP</t>
  </si>
  <si>
    <t>ACCESS MANAGER</t>
  </si>
  <si>
    <t>RAID-UC</t>
  </si>
  <si>
    <t>RAID-PI</t>
  </si>
  <si>
    <t>REPASSE VAS</t>
  </si>
  <si>
    <t>Fornecedor Invalido</t>
  </si>
  <si>
    <t>Sistema Invalido</t>
  </si>
  <si>
    <t>Empresa Invalida</t>
  </si>
  <si>
    <t>Mensalisação Invalida</t>
  </si>
  <si>
    <t>Tipo Solicitação</t>
  </si>
  <si>
    <t>PDF de OG de Infra</t>
  </si>
  <si>
    <t>Descrição Aquisição</t>
  </si>
  <si>
    <t>Total Ficha</t>
  </si>
  <si>
    <t>Processo RC</t>
  </si>
  <si>
    <t>AsGa</t>
  </si>
  <si>
    <t>Software Express</t>
  </si>
  <si>
    <t>Accenture - Torre II - CRM</t>
  </si>
  <si>
    <t>Global Web em R2</t>
  </si>
  <si>
    <t>CSC</t>
  </si>
  <si>
    <t>CSC Brasil</t>
  </si>
  <si>
    <t>IBLABS</t>
  </si>
  <si>
    <t>VP Consulting (IBLABS)</t>
  </si>
  <si>
    <t>Custo Final</t>
  </si>
  <si>
    <t>Macroestimativa</t>
  </si>
  <si>
    <t>Bens de Capitalização Direta</t>
  </si>
  <si>
    <t>Legal / Obrigatório</t>
  </si>
  <si>
    <t>Atacado</t>
  </si>
  <si>
    <t>Corporativo</t>
  </si>
  <si>
    <t>Empresarial</t>
  </si>
  <si>
    <t>Varejo</t>
  </si>
  <si>
    <t>Não Alocável</t>
  </si>
  <si>
    <t>Reduz Custo</t>
  </si>
  <si>
    <t>Obrigação</t>
  </si>
  <si>
    <t>Melhora Qualidade</t>
  </si>
  <si>
    <t>Aumenta Receita</t>
  </si>
  <si>
    <t>Contratações Spot</t>
  </si>
  <si>
    <t>Fábrica FSW com Baseline</t>
  </si>
  <si>
    <t>Tipo de Solicitação</t>
  </si>
  <si>
    <t>i</t>
  </si>
  <si>
    <t>Total Baseline</t>
  </si>
  <si>
    <t>ID_FICHA</t>
  </si>
  <si>
    <t>Nome Solicitação</t>
  </si>
  <si>
    <t>Solicitante</t>
  </si>
  <si>
    <t>Nome do FOI</t>
  </si>
  <si>
    <t>FOI Doador</t>
  </si>
  <si>
    <t>Dt. Comitê Priorização</t>
  </si>
  <si>
    <t>Período Entrega</t>
  </si>
  <si>
    <t>Gerente TI</t>
  </si>
  <si>
    <t>Pesquisa e Desenv.</t>
  </si>
  <si>
    <t>Outros Impactos</t>
  </si>
  <si>
    <t>Total Projeto</t>
  </si>
  <si>
    <t>Total Projeto Ano</t>
  </si>
  <si>
    <t>Link - Teste Integrado</t>
  </si>
  <si>
    <t>Infra</t>
  </si>
  <si>
    <t>Ficha Nº</t>
  </si>
  <si>
    <t>Subprojeto</t>
  </si>
  <si>
    <t>Sistema / Frente</t>
  </si>
  <si>
    <t>»Tabela de Mensalização</t>
  </si>
  <si>
    <t>Ano muda automaticamente:</t>
  </si>
  <si>
    <t>»Tabela de Priorização</t>
  </si>
  <si>
    <t>»Tabela de Entrega</t>
  </si>
  <si>
    <t>Serv</t>
  </si>
  <si>
    <t>O “Nome do Projeto” deve ser preenchido sem o código do projeto.  O projeto é um só, independente da quantidade de subprojetos cadastrados no Clarity.</t>
  </si>
  <si>
    <t>DIGICADE</t>
  </si>
  <si>
    <t>Capgemini</t>
  </si>
  <si>
    <t>ANO_FICHA</t>
  </si>
  <si>
    <t>MEMORIA CALCULO</t>
  </si>
  <si>
    <t>LISTA PROJETO</t>
  </si>
  <si>
    <t>LISTA FORNECEDOR</t>
  </si>
  <si>
    <t>&lt;Não se Aplica&gt;</t>
  </si>
  <si>
    <t>Itens Importados do Clarity</t>
  </si>
  <si>
    <t>Itens Adicionados pela Ger. Orçamento</t>
  </si>
  <si>
    <t>(OI R2) 102 - ONLINE</t>
  </si>
  <si>
    <t>(OI R2) 102 EXCLUSIVO</t>
  </si>
  <si>
    <t>(OI R2) BRTJUR</t>
  </si>
  <si>
    <t>(OI R2) CLARIFY - AMBIENTE OPEN</t>
  </si>
  <si>
    <t>(OI R2) CLARIFY - AMBIENTE WEB</t>
  </si>
  <si>
    <t>(OI R2) CPM</t>
  </si>
  <si>
    <t>(OI R2) CRE</t>
  </si>
  <si>
    <t>(OI R2) DETRAF WEB</t>
  </si>
  <si>
    <t>(OI R2) DOC1</t>
  </si>
  <si>
    <t>(OI R2) EAI</t>
  </si>
  <si>
    <t>(OI R2) E-BILLING</t>
  </si>
  <si>
    <t>(OI R2) EBPP</t>
  </si>
  <si>
    <t>(OI R2) ENTIREX</t>
  </si>
  <si>
    <t>(OI R2) FLX</t>
  </si>
  <si>
    <t>(OI R2) FRETES</t>
  </si>
  <si>
    <t>(OI R2) GEA</t>
  </si>
  <si>
    <t>(OI R2) GECO</t>
  </si>
  <si>
    <t>(OI R2) GED</t>
  </si>
  <si>
    <t>(OI R2) G-OTA (SIMBROWSER)</t>
  </si>
  <si>
    <t>(OI R2) GPP</t>
  </si>
  <si>
    <t>(OI R2) IDDF - INDICADORES</t>
  </si>
  <si>
    <t>(OI R2) LIGAÇÕES 0300</t>
  </si>
  <si>
    <t>(OI R2) MICROSIGA</t>
  </si>
  <si>
    <t>(OI R2) MXDR - ACRS</t>
  </si>
  <si>
    <t>(OI R2) MXDR - BMP</t>
  </si>
  <si>
    <t>(OI R2) MXDR - PORTAL DE FALHAS DE BILHETES</t>
  </si>
  <si>
    <t>(OI R2) NOTANET NF-E</t>
  </si>
  <si>
    <t>(OI R2) PATROL</t>
  </si>
  <si>
    <t>(OI R2) PATROL WEB</t>
  </si>
  <si>
    <t>(OI R2) PLANWEB</t>
  </si>
  <si>
    <t>(OI R2) PROCONT</t>
  </si>
  <si>
    <t>(OI R2) RAID PI</t>
  </si>
  <si>
    <t>(OI R2) SAF</t>
  </si>
  <si>
    <t>(OI R2) SAG</t>
  </si>
  <si>
    <t>(OI R2) SAGRE/TUP</t>
  </si>
  <si>
    <t>(OI R2) SCB</t>
  </si>
  <si>
    <t>(OI R2) SCVR</t>
  </si>
  <si>
    <t>(OI R2) SERVCEL</t>
  </si>
  <si>
    <t>(OI R2) SIAC</t>
  </si>
  <si>
    <t>(OI R2) SIAF</t>
  </si>
  <si>
    <t>(OI R2) SID</t>
  </si>
  <si>
    <t>(OI R2) SPG</t>
  </si>
  <si>
    <t>(OI R2) STC</t>
  </si>
  <si>
    <t>(OI R2) TRANSACT</t>
  </si>
  <si>
    <t>(OI R2) UNIPRO</t>
  </si>
  <si>
    <t>(OI R2) VIP CNG</t>
  </si>
  <si>
    <t>(OI R2) WPP</t>
  </si>
  <si>
    <t>102 - AXLWIN</t>
  </si>
  <si>
    <t>ALDSP - ORACLE DATA SERVICES</t>
  </si>
  <si>
    <t>ALER - ORACLE AQUALOGIC SERVICE REPOSITORY</t>
  </si>
  <si>
    <t>ALSB - ORACLE ENTERPRISE SERVICE BUS</t>
  </si>
  <si>
    <t>ALSR - ORACLE AQUALOGIC SERVICE REGISTRY</t>
  </si>
  <si>
    <t>ANGRA</t>
  </si>
  <si>
    <t>ARBOR</t>
  </si>
  <si>
    <t>AUTORIZADOS</t>
  </si>
  <si>
    <t>BARRAMENTO VAS</t>
  </si>
  <si>
    <t>BASE MORNA AC</t>
  </si>
  <si>
    <t>BCO</t>
  </si>
  <si>
    <t>BDC</t>
  </si>
  <si>
    <t>BDMUB</t>
  </si>
  <si>
    <t>BEWEB-BRTCC</t>
  </si>
  <si>
    <t>BLL</t>
  </si>
  <si>
    <t>BOA</t>
  </si>
  <si>
    <t>BROADCAST VAS</t>
  </si>
  <si>
    <t>BW R1</t>
  </si>
  <si>
    <t>BW R2</t>
  </si>
  <si>
    <t>CADOP</t>
  </si>
  <si>
    <t>CEMI</t>
  </si>
  <si>
    <t>CHC</t>
  </si>
  <si>
    <t>CIC - ESCADINHA</t>
  </si>
  <si>
    <t>CLARITYPPM</t>
  </si>
  <si>
    <t>CONECTOR PORTABILIDADE</t>
  </si>
  <si>
    <t>CONSULTA PERFIL ELÉTRICO</t>
  </si>
  <si>
    <t>DW-LISTAS</t>
  </si>
  <si>
    <t>EBILINGWEB</t>
  </si>
  <si>
    <t>E-CHANNEL</t>
  </si>
  <si>
    <t>ENTIREX</t>
  </si>
  <si>
    <t>FGC - FATURAMENTO</t>
  </si>
  <si>
    <t>FGP - OI</t>
  </si>
  <si>
    <t>FICHA FINANCEIRA</t>
  </si>
  <si>
    <t>FORTUNA</t>
  </si>
  <si>
    <t>FORTUNA - BIT</t>
  </si>
  <si>
    <t>FORTUNA - FTM</t>
  </si>
  <si>
    <t>FORTUNA - OMS</t>
  </si>
  <si>
    <t>FORTUNA - SCA</t>
  </si>
  <si>
    <t>FORTUNA - VTS</t>
  </si>
  <si>
    <t>FRONTEND UNICO DE SVA - FEU</t>
  </si>
  <si>
    <t>GEOMEDIA</t>
  </si>
  <si>
    <t>GERENCIADOR DE INTERFACE MAINFRAME</t>
  </si>
  <si>
    <t>GIA CORPORATIVO</t>
  </si>
  <si>
    <t>GIA PARCEIRO</t>
  </si>
  <si>
    <t>GIP</t>
  </si>
  <si>
    <t>GRANITE</t>
  </si>
  <si>
    <t>HPFMS</t>
  </si>
  <si>
    <t>HYPERION - HFM</t>
  </si>
  <si>
    <t>HYPERION NOVA OI</t>
  </si>
  <si>
    <t>ICS</t>
  </si>
  <si>
    <t>IGF</t>
  </si>
  <si>
    <t>INFORME DE RENDIMENTOS</t>
  </si>
  <si>
    <t>INSITE</t>
  </si>
  <si>
    <t>INTERATIVA</t>
  </si>
  <si>
    <t>KANNEL</t>
  </si>
  <si>
    <t>LOADER BLACKLIST</t>
  </si>
  <si>
    <t>LOJA DE SERVIÇOS ( LSV )</t>
  </si>
  <si>
    <t>MCL-GCC</t>
  </si>
  <si>
    <t>MEDIACAO FIXA - 144</t>
  </si>
  <si>
    <t>MEGAPROMO</t>
  </si>
  <si>
    <t>MENU OI</t>
  </si>
  <si>
    <t>MESSAGE GATEWAY</t>
  </si>
  <si>
    <t>MNO</t>
  </si>
  <si>
    <t>MSG</t>
  </si>
  <si>
    <t>NBA-DSM</t>
  </si>
  <si>
    <t>NBA-NBAA</t>
  </si>
  <si>
    <t>NEOGRID</t>
  </si>
  <si>
    <t>NOTA FISCAL ELETRONICA</t>
  </si>
  <si>
    <t>OI ATENDE</t>
  </si>
  <si>
    <t>OI GESTOR</t>
  </si>
  <si>
    <t>OI LEGAL</t>
  </si>
  <si>
    <t>OI TORPEDO</t>
  </si>
  <si>
    <t>OI VENDE</t>
  </si>
  <si>
    <t>ORACLE BAM</t>
  </si>
  <si>
    <t>OUTLIERS</t>
  </si>
  <si>
    <t>PADA</t>
  </si>
  <si>
    <t>PAINEL DE PORTABILIDADE NUMÉRICA</t>
  </si>
  <si>
    <t>PARC BAIXA</t>
  </si>
  <si>
    <t>PORTAL CORPORATIVO</t>
  </si>
  <si>
    <t>PORTAL CSC</t>
  </si>
  <si>
    <t>PORTAL RA</t>
  </si>
  <si>
    <t>PORTAL SAP</t>
  </si>
  <si>
    <t>PORTAL SLA</t>
  </si>
  <si>
    <t>PORTAL SLA ADM FINANCEIRA</t>
  </si>
  <si>
    <t>PORTAL VAS</t>
  </si>
  <si>
    <t>PREPAGOBDO</t>
  </si>
  <si>
    <t>PRTLNEGR2</t>
  </si>
  <si>
    <t>PSB - R1</t>
  </si>
  <si>
    <t>PSB - R2</t>
  </si>
  <si>
    <t>PVA</t>
  </si>
  <si>
    <t>PW. SVA - IN86</t>
  </si>
  <si>
    <t>PW.SPED FISCAL</t>
  </si>
  <si>
    <t>PWX - INFORMATICA POWER EXCHANGE</t>
  </si>
  <si>
    <t>QUIZ SMS</t>
  </si>
  <si>
    <t>RAID MARGEM</t>
  </si>
  <si>
    <t>RELOP</t>
  </si>
  <si>
    <t>RONDA ACESSO</t>
  </si>
  <si>
    <t>SALCOM-II</t>
  </si>
  <si>
    <t>SAN SCREEN</t>
  </si>
  <si>
    <t>SAP-BPC</t>
  </si>
  <si>
    <t>SAP-ECC</t>
  </si>
  <si>
    <t>SAP-MDM</t>
  </si>
  <si>
    <t>SAP-MOBILE</t>
  </si>
  <si>
    <t>SASCAMPAIGN</t>
  </si>
  <si>
    <t>SATMAIL</t>
  </si>
  <si>
    <t>SCF1</t>
  </si>
  <si>
    <t>SCOM</t>
  </si>
  <si>
    <t>SGVS</t>
  </si>
  <si>
    <t>SIEBEL 8</t>
  </si>
  <si>
    <t>SIEBEL INFORMACIONAL</t>
  </si>
  <si>
    <t>SIEBEL MARKETING</t>
  </si>
  <si>
    <t>SIMCARD LOADER (OTA)</t>
  </si>
  <si>
    <t>SIMULADOR DE PLANOS FIXO E MÓVEL</t>
  </si>
  <si>
    <t>SINN CABO</t>
  </si>
  <si>
    <t>SIS FALHAS</t>
  </si>
  <si>
    <t>SISGEN BRASIL</t>
  </si>
  <si>
    <t>SISRAF - ATENDIMENTO DE CONTA</t>
  </si>
  <si>
    <t>SISRAF - CADASTRO DE FATURAMENTO</t>
  </si>
  <si>
    <t>SISRAF - CO-BILLING FISCAL</t>
  </si>
  <si>
    <t>SISRAF - CONTA CUSTOMIZADA</t>
  </si>
  <si>
    <t>SISRAF - DESMEMBRAMENTO DE CONTAS</t>
  </si>
  <si>
    <t>SISRAF - EXTRATOR STIC</t>
  </si>
  <si>
    <t>SISRAF - FATURAMENTO</t>
  </si>
  <si>
    <t>SISRAF - FISCAL</t>
  </si>
  <si>
    <t>SISRAF - PARCELAMENTO</t>
  </si>
  <si>
    <t>SISRAF - SEGUNDA VIA DE CONTA</t>
  </si>
  <si>
    <t>SISRAF - SISRED</t>
  </si>
  <si>
    <t>SISTEMA DE APOIO AO SATI</t>
  </si>
  <si>
    <t>SPG</t>
  </si>
  <si>
    <t>SPREAD</t>
  </si>
  <si>
    <t>STC DADOS</t>
  </si>
  <si>
    <t>STC VOZ</t>
  </si>
  <si>
    <t>STI ORIGINAL</t>
  </si>
  <si>
    <t>SYSTEM ARCHITECT - SA</t>
  </si>
  <si>
    <t>TABLEAU</t>
  </si>
  <si>
    <t>TERUS - TERMINAIS</t>
  </si>
  <si>
    <t>TUP.COM</t>
  </si>
  <si>
    <t>URA FIXA</t>
  </si>
  <si>
    <t>VASPROXY</t>
  </si>
  <si>
    <t>VIGNETTE</t>
  </si>
  <si>
    <t>VITRIA</t>
  </si>
  <si>
    <t>Subprojeto
(Clarity PPM)</t>
  </si>
  <si>
    <t>Capgemini - Torre III SAP</t>
  </si>
  <si>
    <t>ID Proposta</t>
  </si>
  <si>
    <t>Nome do Responsável</t>
  </si>
  <si>
    <t>Código Proposta</t>
  </si>
  <si>
    <t>Subprojeto Invalido</t>
  </si>
  <si>
    <t>Empresa OI em Baseline</t>
  </si>
  <si>
    <t>PROJETO-PROPOSTA PK</t>
  </si>
  <si>
    <t>Validações a Partir da coluna BB =&gt;</t>
  </si>
  <si>
    <t>DADOS ADICIONAIS</t>
  </si>
  <si>
    <t>ID Subprojeto</t>
  </si>
  <si>
    <t>IBM - Torre VII - Informatica</t>
  </si>
  <si>
    <t>Oracle (CRM Cloud)</t>
  </si>
  <si>
    <t>Capgemini - Torre III</t>
  </si>
  <si>
    <t>Global Web Outsourcing (R2)</t>
  </si>
  <si>
    <t>3 Elos</t>
  </si>
  <si>
    <t>Macroestimativa (R$)</t>
  </si>
  <si>
    <t>Nilram</t>
  </si>
  <si>
    <t>Suntech</t>
  </si>
  <si>
    <t>Prockwork (Sonda)</t>
  </si>
  <si>
    <t>ARS</t>
  </si>
  <si>
    <t>LEGENDA</t>
  </si>
  <si>
    <t>Capgemini - Torre VI Multiplataformas</t>
  </si>
  <si>
    <t>Estimativa com proposta Clarity</t>
  </si>
  <si>
    <t>GO sem proposta Clarity</t>
  </si>
  <si>
    <t>Capgemini - Torre VI</t>
  </si>
  <si>
    <t>% DS</t>
  </si>
  <si>
    <t>%TI</t>
  </si>
  <si>
    <t>%PRD</t>
  </si>
  <si>
    <t>Valor Solicitado (com descontos)</t>
  </si>
  <si>
    <t>Validação de HH descontinuada para permitir aplicação de descontos - =SE(E(P7="";Q7="");0;SE(P7*Q7&lt;&gt;R7;1;0))</t>
  </si>
  <si>
    <t>LISTA SUBPROJETO</t>
  </si>
  <si>
    <t>% Milestone</t>
  </si>
  <si>
    <t>Fornecedor da Infra</t>
  </si>
  <si>
    <t>Realizar em (mmm/aaaa)</t>
  </si>
  <si>
    <t>N2</t>
  </si>
  <si>
    <t>Ângelo Coelho da Silva Neto</t>
  </si>
  <si>
    <t>Administrativo e Financeiro</t>
  </si>
  <si>
    <t>Auditoria Interna</t>
  </si>
  <si>
    <t>Gente e Gestão</t>
  </si>
  <si>
    <t>Negócios B2B</t>
  </si>
  <si>
    <t>Comunicação Corporativa</t>
  </si>
  <si>
    <t>Operações</t>
  </si>
  <si>
    <t>Estratégia e Novos Negócios</t>
  </si>
  <si>
    <t>Relacionamento com Clientes</t>
  </si>
  <si>
    <t>Finanças Corporativas</t>
  </si>
  <si>
    <t>Jurídica</t>
  </si>
  <si>
    <t>Relações Institucionais e Regulamentação</t>
  </si>
  <si>
    <t>FOI</t>
  </si>
  <si>
    <t>4600043369*</t>
  </si>
  <si>
    <t>4600043366*</t>
  </si>
  <si>
    <t>4600045294*</t>
  </si>
  <si>
    <t>4600045951*</t>
  </si>
  <si>
    <t>4600041956*</t>
  </si>
  <si>
    <t>4600042486*</t>
  </si>
  <si>
    <t>4600042487*</t>
  </si>
  <si>
    <t>4600045832*</t>
  </si>
  <si>
    <t>4600043151*</t>
  </si>
  <si>
    <t>ADDM</t>
  </si>
  <si>
    <t>CLICK - MUA</t>
  </si>
  <si>
    <t>CLOUD</t>
  </si>
  <si>
    <t>CMDB</t>
  </si>
  <si>
    <t>CMDB - INTERFACE</t>
  </si>
  <si>
    <t>CMDB - PORTAL</t>
  </si>
  <si>
    <t>DIMENSIONS</t>
  </si>
  <si>
    <t>e-CDR</t>
  </si>
  <si>
    <t>E-HEALTH AR</t>
  </si>
  <si>
    <t>FGC - ARRECADACAO</t>
  </si>
  <si>
    <t>FGC - CONTESTACAO</t>
  </si>
  <si>
    <t>FME Server</t>
  </si>
  <si>
    <t>FORTUNA - ArqOs</t>
  </si>
  <si>
    <t>FORTUNA - Customer Care</t>
  </si>
  <si>
    <t>GED</t>
  </si>
  <si>
    <t>GEONET</t>
  </si>
  <si>
    <t>GEOSITE</t>
  </si>
  <si>
    <t>GESTÃO DE ACESSOS</t>
  </si>
  <si>
    <t>GESTÃO DE SENHAS</t>
  </si>
  <si>
    <t>HLPDSKOI</t>
  </si>
  <si>
    <t>HP OPENVIEW</t>
  </si>
  <si>
    <t>IDS</t>
  </si>
  <si>
    <t>ILMT</t>
  </si>
  <si>
    <t>ITSM</t>
  </si>
  <si>
    <t>MapaRI</t>
  </si>
  <si>
    <t>MEDIACAO FIXA - LDI (SCF4)</t>
  </si>
  <si>
    <t>MEDIACAO FIXA - LDN (SCF2)</t>
  </si>
  <si>
    <t>MEDIACAO FIXA - MM</t>
  </si>
  <si>
    <t>MEDIACAO MOVEL - MM</t>
  </si>
  <si>
    <t>MINITAB</t>
  </si>
  <si>
    <t>NA - Network Ativactor</t>
  </si>
  <si>
    <t>NBA</t>
  </si>
  <si>
    <t>NDSCLIENTE</t>
  </si>
  <si>
    <t>NDSDIRCORP</t>
  </si>
  <si>
    <t>NDSINTERNO</t>
  </si>
  <si>
    <t>NDSMINHAOI</t>
  </si>
  <si>
    <t>NEMESIS</t>
  </si>
  <si>
    <t>NF-PREPAGO</t>
  </si>
  <si>
    <t>OI CONTROLLER</t>
  </si>
  <si>
    <t>(OI R2) ACCESS MANAGER</t>
  </si>
  <si>
    <t>(OI R2) ACCESS MANAGER - CLIENTES</t>
  </si>
  <si>
    <t>(OI R2) ACCESS MANAGER - INTRANET</t>
  </si>
  <si>
    <t>(OI R2) ACCESS MANAGER - PARCEIROS</t>
  </si>
  <si>
    <t>(OI R2) DATA QUALITY</t>
  </si>
  <si>
    <t>(OI R2) GENEVA - TARIFACAO E FATURAMENTO</t>
  </si>
  <si>
    <t>(OI R2) ICHAIN</t>
  </si>
  <si>
    <t>(OI R2) PORTAL GID</t>
  </si>
  <si>
    <t>(OI R2) SAP</t>
  </si>
  <si>
    <t>OM</t>
  </si>
  <si>
    <t>OSvC</t>
  </si>
  <si>
    <t>PAC - TARIFAÇÃO REDE PACOTES</t>
  </si>
  <si>
    <t>PORTAL METAS</t>
  </si>
  <si>
    <t>PW. SPED CONTABIL</t>
  </si>
  <si>
    <t>PW.SATI - SOLUCOES FISCAIS</t>
  </si>
  <si>
    <t>QUALITY CENTER - QC10</t>
  </si>
  <si>
    <t>RECARGA AUTOMATICA</t>
  </si>
  <si>
    <t>REQUISITE PRO</t>
  </si>
  <si>
    <t>RMS - TARIFACAO DE REDE MULTISERVICO</t>
  </si>
  <si>
    <t>SAP</t>
  </si>
  <si>
    <t>SDB</t>
  </si>
  <si>
    <t>SENHA UNICA</t>
  </si>
  <si>
    <t>SGC - TARIFACAO CIRCUITOS</t>
  </si>
  <si>
    <t>SGFT</t>
  </si>
  <si>
    <t>SIS ATIVACAO FIXA</t>
  </si>
  <si>
    <t>SIS MOVEL</t>
  </si>
  <si>
    <t>SISRAF - APROPRIACAO</t>
  </si>
  <si>
    <t>SISRAF - ARRECADACAO</t>
  </si>
  <si>
    <t>SISRAF - COBRANCA</t>
  </si>
  <si>
    <t>SISRAF - CONTABILIZACAO</t>
  </si>
  <si>
    <t>SISRAF - CONTESTACAO</t>
  </si>
  <si>
    <t>SISRAF - FATURAMENTO CAMARA DE RETENCAO</t>
  </si>
  <si>
    <t>SISRAF - TARIFACAO</t>
  </si>
  <si>
    <t>SISTEMA APOIO ITOC</t>
  </si>
  <si>
    <t>SOC</t>
  </si>
  <si>
    <t>SOM - Service Order Management</t>
  </si>
  <si>
    <t>SPOTFIRE</t>
  </si>
  <si>
    <t>SVOi</t>
  </si>
  <si>
    <t>TARIFACAO REDE INTELIGENTE</t>
  </si>
  <si>
    <t>SQUADRA</t>
  </si>
  <si>
    <t>Squadra - Torre IV - OSS - Grupo 1</t>
  </si>
  <si>
    <t>Global Web (R2)</t>
  </si>
  <si>
    <t>IBM - Torre IV - OSS - Grupo 2</t>
  </si>
  <si>
    <t>Fornecedor Clarity</t>
  </si>
  <si>
    <t>Accenture - Torre II</t>
  </si>
  <si>
    <t>Digicade</t>
  </si>
  <si>
    <t>SGF</t>
  </si>
  <si>
    <t>André Luís M. Ituassú</t>
  </si>
  <si>
    <t>FIXA R1</t>
  </si>
  <si>
    <t>FIXA R2</t>
  </si>
  <si>
    <t>Projeto:</t>
  </si>
  <si>
    <t>Linha de Ata</t>
  </si>
  <si>
    <t>Tipo:</t>
  </si>
  <si>
    <t>Duração (meses):</t>
  </si>
  <si>
    <t>Total Baseline:</t>
  </si>
  <si>
    <t>Linha Ata</t>
  </si>
  <si>
    <t>001</t>
  </si>
  <si>
    <t>009</t>
  </si>
  <si>
    <t>011</t>
  </si>
  <si>
    <t>010</t>
  </si>
  <si>
    <t>006</t>
  </si>
  <si>
    <t>Custo Afundado</t>
  </si>
  <si>
    <t>PKE - Causa Cliente</t>
  </si>
  <si>
    <t>PKE - Causa TI</t>
  </si>
  <si>
    <t>PKE - Causa Fornecedor</t>
  </si>
  <si>
    <t>SIGLA DIRETORIA</t>
  </si>
  <si>
    <t>DGAT</t>
  </si>
  <si>
    <t>DSIC</t>
  </si>
  <si>
    <t>DETALHAMENTO (DISTRIBUIÇÃO DA VERBA POR ANO)</t>
  </si>
  <si>
    <t>Desenvolvimento Extra Baseline</t>
  </si>
  <si>
    <t>Total</t>
  </si>
  <si>
    <t>Aquisições de Serviços, Desenvolvimento e Viagens</t>
  </si>
  <si>
    <t>GO para Fábricas</t>
  </si>
  <si>
    <t>Projeto Pai</t>
  </si>
  <si>
    <t>Descrição / Memória de Cálculo da Aquisição de Infraestrutura</t>
  </si>
  <si>
    <t>Outras Aquisições</t>
  </si>
  <si>
    <t>Subtotal</t>
  </si>
  <si>
    <t>Aquisições de Hardware Software e Facilities</t>
  </si>
  <si>
    <t>Total Extrabaseline</t>
  </si>
  <si>
    <t>Extrabaseline</t>
  </si>
  <si>
    <t>ID Projeto</t>
  </si>
  <si>
    <t>Total do Projeto</t>
  </si>
  <si>
    <t>Mês  Comitê</t>
  </si>
  <si>
    <t>Mês Entrega</t>
  </si>
  <si>
    <t>MENSALIZAÇÃO ( FOI do Projeto - Sem Baseline )</t>
  </si>
  <si>
    <t>TOTAL SOLICITADO</t>
  </si>
  <si>
    <t>Vago</t>
  </si>
  <si>
    <t>Total deste FOI</t>
  </si>
  <si>
    <t>CAF</t>
  </si>
  <si>
    <t>Lista de Tipo de Custo</t>
  </si>
  <si>
    <t>Prioridade</t>
  </si>
  <si>
    <t>Nome Extrabaseline</t>
  </si>
  <si>
    <t>Accenture - Fábrica de Testes (Extrabaseline)</t>
  </si>
  <si>
    <t>Capgemini - Torre III SAP (Extrabaseline)</t>
  </si>
  <si>
    <t>Capgemini - Torre VI Multiplataformas  (Extrabaseline)</t>
  </si>
  <si>
    <t>IBM - Torre I - Faturamento e Mediação (Extrabaseline)</t>
  </si>
  <si>
    <t>IBM - Torre VII - BI (Extrabaseline)</t>
  </si>
  <si>
    <t>IBM - Torre VII - Informatica (Extrabaseline)</t>
  </si>
  <si>
    <t>LINK - Teste Integrado (Extrabaseline)</t>
  </si>
  <si>
    <t>Nome do Recurso</t>
  </si>
  <si>
    <t>Fornecedor Serviço / Fábrica</t>
  </si>
  <si>
    <t>Detalhamento de Propostas, Serviços e Viagens</t>
  </si>
  <si>
    <t>Tipo de GO</t>
  </si>
  <si>
    <t>Aquisição de Infra</t>
  </si>
  <si>
    <t>INFORMAÇÔES DE INFRAESTRUTURA</t>
  </si>
  <si>
    <t>HARDWARE</t>
  </si>
  <si>
    <t>CR - Fornecedor</t>
  </si>
  <si>
    <t>4600046585*</t>
  </si>
  <si>
    <t>Squadra - Torre IV - OSS - Grupo 1 (Extrabaseline)</t>
  </si>
  <si>
    <t>IBM - Torre IV - OSS - Grupo 2 (Extrabaseline)</t>
  </si>
  <si>
    <t>Squadra - Torre IV</t>
  </si>
  <si>
    <t>Diretoria</t>
  </si>
  <si>
    <t>CONTRATAÇÃO DE RECURSO</t>
  </si>
  <si>
    <t>INFORMAÇÕES PARA DESENVOLVIMENTO</t>
  </si>
  <si>
    <t>Versão:</t>
  </si>
  <si>
    <t>PK a partir de Dados Normalizados;</t>
  </si>
  <si>
    <t>J</t>
  </si>
  <si>
    <t>G</t>
  </si>
  <si>
    <t>H</t>
  </si>
  <si>
    <t>K</t>
  </si>
  <si>
    <t>Dados Normalizados - Chaves nas colunas B a D</t>
  </si>
  <si>
    <t>M</t>
  </si>
  <si>
    <t>N</t>
  </si>
  <si>
    <t>O</t>
  </si>
  <si>
    <t>P</t>
  </si>
  <si>
    <t>Q</t>
  </si>
  <si>
    <t>R</t>
  </si>
  <si>
    <t>AA</t>
  </si>
  <si>
    <t>T</t>
  </si>
  <si>
    <t>FORNECEDOR SERVICO</t>
  </si>
  <si>
    <t>S</t>
  </si>
  <si>
    <t>U</t>
  </si>
  <si>
    <t>W</t>
  </si>
  <si>
    <t>Y</t>
  </si>
  <si>
    <t>Z</t>
  </si>
  <si>
    <t>Dados de Milestones já são Normalizados</t>
  </si>
  <si>
    <t>X</t>
  </si>
  <si>
    <t>SOFTWARE</t>
  </si>
  <si>
    <t>Campo Obrigatório Infra</t>
  </si>
  <si>
    <t>Campo Obrigatorio Desenv</t>
  </si>
  <si>
    <t>Valor HH / Vl. Unitário</t>
  </si>
  <si>
    <t>Horas (sem desconto) / Qtde</t>
  </si>
  <si>
    <t>RC ^ (Baseline + sem Fabrica + Estimativa)</t>
  </si>
  <si>
    <t>Contratação de Recurso em Baseline</t>
  </si>
  <si>
    <t>Classificação Inválida</t>
  </si>
  <si>
    <t>Classificação Impropria</t>
  </si>
  <si>
    <t>Número da Linha</t>
  </si>
  <si>
    <t>Última Linha</t>
  </si>
  <si>
    <t xml:space="preserve">Fábrica </t>
  </si>
  <si>
    <t>Proposta de Infra</t>
  </si>
  <si>
    <t>Fornecedor da Infraestrutura</t>
  </si>
  <si>
    <t>IND BASELINE</t>
  </si>
  <si>
    <t>Nome do Extrabaseline</t>
  </si>
  <si>
    <t>Fornecedor de Infra</t>
  </si>
  <si>
    <t>PK_SUBPROJETO-PROPOSTA</t>
  </si>
  <si>
    <t>Diversos</t>
  </si>
  <si>
    <t>Projeto Princ.</t>
  </si>
  <si>
    <t>ID SUPROJETO</t>
  </si>
  <si>
    <t>ID PROJETO PRINCIPAL</t>
  </si>
  <si>
    <t>Tot. PRJ</t>
  </si>
  <si>
    <t>Total INFRA</t>
  </si>
  <si>
    <t>Nome do PDF da C.F. de Infraestrutura</t>
  </si>
  <si>
    <t>Horas em Serv</t>
  </si>
  <si>
    <t>Horas / Qtd</t>
  </si>
  <si>
    <t>Valor HH / Unit</t>
  </si>
  <si>
    <t>Tipo de Custo Indicado</t>
  </si>
  <si>
    <t>Valor Total</t>
  </si>
  <si>
    <t>Tot. PRJ Baseline</t>
  </si>
  <si>
    <t>DISTRIBUICAO POR EMPRESA</t>
  </si>
  <si>
    <t>BASELINE</t>
  </si>
  <si>
    <t>Data Marco</t>
  </si>
  <si>
    <t>DIR TI</t>
  </si>
  <si>
    <t>Envio "GO"</t>
  </si>
  <si>
    <t>Total em Infraestrutura</t>
  </si>
  <si>
    <t>Total Não Baseline</t>
  </si>
  <si>
    <t>Ano do Milestone</t>
  </si>
  <si>
    <t>VIAGENS</t>
  </si>
  <si>
    <t>FACILITIES</t>
  </si>
  <si>
    <t>IND-Baseline</t>
  </si>
  <si>
    <t>Infraestrutura</t>
  </si>
  <si>
    <t>Paggo</t>
  </si>
  <si>
    <t>Pessoal de Expansão</t>
  </si>
  <si>
    <t>NÃO</t>
  </si>
  <si>
    <t>4600046584*</t>
  </si>
  <si>
    <t>-</t>
  </si>
  <si>
    <t>Produtos e Ofertas</t>
  </si>
  <si>
    <t>Sistemas CMS; IB; ICS; RAID UC; RAID PI; RoamBroker; PVA</t>
  </si>
  <si>
    <t>4600047456*</t>
  </si>
  <si>
    <t>ACM, Netwin; SVA; Smart Clound; NAL; Fortuna; M2M</t>
  </si>
  <si>
    <t>Ger. Testes</t>
  </si>
  <si>
    <t>Solicitação de Aprovação de Investimento</t>
  </si>
  <si>
    <t>CR - Cliente</t>
  </si>
  <si>
    <t>CR - TI</t>
  </si>
  <si>
    <t>Criar Pedido</t>
  </si>
  <si>
    <t>Projetos que tem por finalidade melhorar o atendimento a clientes. Projetos para retenção, fidelização e atendimento a clientes (software, hardware, desenvolvimento de sistemas, implantação de PA ).</t>
  </si>
  <si>
    <t>Projetos que tem por finalidade criar um canal de venda. Projetos para retenção, fidelização e atendimento a clientes (software, hardware, desenvolvimento de sistemas, implantação de  PDV's).</t>
  </si>
  <si>
    <t>Instruções para o preenchimento do Formulário Aprovação de Investimento</t>
  </si>
  <si>
    <t>ALEXANDRE LUIZ FURTADO DOMINGUES</t>
  </si>
  <si>
    <t>FERNANDA DA SILVA VAQUEIRO</t>
  </si>
  <si>
    <t>GUSTAVO BATOREU VALFRE</t>
  </si>
  <si>
    <t>ISABELA ALONSO RIBEIRO</t>
  </si>
  <si>
    <t>MARCELO COSTA DA ROCHA</t>
  </si>
  <si>
    <t>MARCELO LUIZ CHIERIGATTI</t>
  </si>
  <si>
    <t>MARIA LUCIANE DE ASSIS</t>
  </si>
  <si>
    <t>FABIO LUIS GLASER</t>
  </si>
  <si>
    <t>JULIO CESAR RIBEIRO DELL ISOLA</t>
  </si>
  <si>
    <t>PEDRO MARQUES DE AZEVEDO</t>
  </si>
  <si>
    <t>ROGERIO BRUCK ELY</t>
  </si>
  <si>
    <t>ROMULO CHAVES RAPOSO</t>
  </si>
  <si>
    <t>Segmento de Mercado:</t>
  </si>
  <si>
    <t>Vazio</t>
  </si>
  <si>
    <t xml:space="preserve">VOZ OSS </t>
  </si>
  <si>
    <t>Oracle (CRM Cloud - BICS)</t>
  </si>
  <si>
    <t>Novell</t>
  </si>
  <si>
    <t>Valor Macroestimativa</t>
  </si>
  <si>
    <t>Diretoria  Solicitante</t>
  </si>
  <si>
    <t>ODS</t>
  </si>
  <si>
    <t>(OI R2) SIM</t>
  </si>
  <si>
    <t>AGS</t>
  </si>
  <si>
    <t>API PERFIL ELÉTRICO</t>
  </si>
  <si>
    <t>Aspect Gravação Master</t>
  </si>
  <si>
    <t>BMC TrueSight</t>
  </si>
  <si>
    <t>CONNECT DIRECT</t>
  </si>
  <si>
    <t>ERWIN</t>
  </si>
  <si>
    <t>MART</t>
  </si>
  <si>
    <t>NOTIFICADOR SMS</t>
  </si>
  <si>
    <t>OI Visitante</t>
  </si>
  <si>
    <t>PORTAL CCO-TI</t>
  </si>
  <si>
    <t>PORTAL M2M</t>
  </si>
  <si>
    <t>QCALM11</t>
  </si>
  <si>
    <t>SART</t>
  </si>
  <si>
    <t>SERVICE DESK</t>
  </si>
  <si>
    <t>VTAM</t>
  </si>
  <si>
    <t>Segurança da Informação</t>
  </si>
  <si>
    <t>ALESSANDRO DE OLIVEIRA FINTERMAN</t>
  </si>
  <si>
    <t>ROGERIO ALVES DE BARROS</t>
  </si>
  <si>
    <t>Amdocs</t>
  </si>
  <si>
    <t>AMDOCS</t>
  </si>
  <si>
    <t>4600047951*</t>
  </si>
  <si>
    <t>Amdocs (Extrabaseline)</t>
  </si>
  <si>
    <t>VALENTINA NUNES SANTOS PEREIRA</t>
  </si>
  <si>
    <t>LISA</t>
  </si>
  <si>
    <t>SIEBEL WLL / FIBRA</t>
  </si>
  <si>
    <t>&lt; A CONTRATAR &gt;</t>
  </si>
  <si>
    <t>NORBER</t>
  </si>
  <si>
    <t>Fábrica FSW Não Baseline</t>
  </si>
  <si>
    <t>Spot</t>
  </si>
  <si>
    <t>x</t>
  </si>
  <si>
    <t>Validade Expirada</t>
  </si>
  <si>
    <t>CPqD Baseline</t>
  </si>
  <si>
    <t>SGFT, SPART, Texto Fala, VozOSS, SAGRE-TUP, TERUS</t>
  </si>
  <si>
    <t>SSR, SRE, SGRO, CBILL, ALGE, ANGRA</t>
  </si>
  <si>
    <t>CPqD - Sistemas NÃO Baseline</t>
  </si>
  <si>
    <t>Sisjur</t>
  </si>
  <si>
    <t>Experian (Serasa Experian)</t>
  </si>
  <si>
    <t>IB6</t>
  </si>
  <si>
    <t>Total:</t>
  </si>
  <si>
    <t>Complemento com Proposta</t>
  </si>
  <si>
    <t>Mensalização - Apenas NÃO Baseline</t>
  </si>
  <si>
    <t>SERGIO DE BARROS FREITAS</t>
  </si>
  <si>
    <t>Anderson Fernandes Santos Rocha</t>
  </si>
  <si>
    <t>RENATA BRUM LOYOLA</t>
  </si>
  <si>
    <t>NETWIN BUILDER</t>
  </si>
  <si>
    <t>Vetotex</t>
  </si>
  <si>
    <t>Accenture - Itens fora da Torre</t>
  </si>
  <si>
    <t>WCC</t>
  </si>
  <si>
    <t>MDM</t>
  </si>
  <si>
    <t>SOTI</t>
  </si>
  <si>
    <t>Sistemas</t>
  </si>
  <si>
    <t>Rede</t>
  </si>
  <si>
    <t>DSIO</t>
  </si>
  <si>
    <t>Luís Augusto Pereira Lopes</t>
  </si>
  <si>
    <t>DDIT</t>
  </si>
  <si>
    <t>Laone Poletto</t>
  </si>
  <si>
    <t>PIIT</t>
  </si>
  <si>
    <t>Gerente (N3) de Sistemas</t>
  </si>
  <si>
    <t>Gerente Sistemas (N3)</t>
  </si>
  <si>
    <t>(Cliente ou Sistemas)  Indicar lista com Área Cliente - FOI - Valor</t>
  </si>
  <si>
    <t>Gerente (N3) Sistemas</t>
  </si>
  <si>
    <t>Gerente N3 Sistemas</t>
  </si>
  <si>
    <t>TATIANA DA SILVA ESSABBA</t>
  </si>
  <si>
    <t xml:space="preserve"> Sistemas</t>
  </si>
  <si>
    <t>Proposta com 2 Fabricas</t>
  </si>
  <si>
    <t>GTDS</t>
  </si>
  <si>
    <t>Oracle</t>
  </si>
  <si>
    <t>Oracle (Extrabaseline)</t>
  </si>
  <si>
    <t>LINK - Teste Integrado (Não Baseline)</t>
  </si>
  <si>
    <t>4600043151.</t>
  </si>
  <si>
    <t>Aditivos contratados via processo Spot</t>
  </si>
  <si>
    <t>Itens de Gestão foram incorporados ao contrado de Baseline</t>
  </si>
  <si>
    <t xml:space="preserve">Novell </t>
  </si>
  <si>
    <t>Sistema NetIQ</t>
  </si>
  <si>
    <t>Fábrica FSW Extrabaseline</t>
  </si>
  <si>
    <t>Comverse</t>
  </si>
  <si>
    <t>INTSTACK</t>
  </si>
  <si>
    <t>Accenture - Torre II (Extrabaseline)</t>
  </si>
  <si>
    <t>Em contratacao de Aditivo</t>
  </si>
  <si>
    <t>CPqD (Extrabaseline)</t>
  </si>
  <si>
    <t>100% BASELINE</t>
  </si>
  <si>
    <t>COMITÊ</t>
  </si>
  <si>
    <t>AUTOMÁTICA</t>
  </si>
  <si>
    <t>ID Clarity PPM</t>
  </si>
  <si>
    <t>CARGA BASELINE</t>
  </si>
  <si>
    <t>Preenchido Por</t>
  </si>
  <si>
    <t>Não Baseline</t>
  </si>
  <si>
    <r>
      <rPr>
        <b/>
        <sz val="20"/>
        <color rgb="FFFF6D00"/>
        <rFont val="Webdings"/>
        <family val="1"/>
        <charset val="2"/>
      </rPr>
      <t>i</t>
    </r>
    <r>
      <rPr>
        <b/>
        <sz val="20"/>
        <color rgb="FF00CEFF"/>
        <rFont val="Webdings"/>
        <family val="1"/>
        <charset val="2"/>
      </rPr>
      <t xml:space="preserve"> </t>
    </r>
    <r>
      <rPr>
        <b/>
        <sz val="20"/>
        <color rgb="FF008EB0"/>
        <rFont val="Simplon BP Regular"/>
      </rPr>
      <t>Solicitação de Aprovação de Investimento</t>
    </r>
  </si>
  <si>
    <t>VAZIO</t>
  </si>
  <si>
    <t>Enviar GO</t>
  </si>
  <si>
    <t>ME em Demanda</t>
  </si>
  <si>
    <t>VAGO</t>
  </si>
  <si>
    <t>Subtotal Baseline</t>
  </si>
  <si>
    <t>Subtotal Extrabaseline</t>
  </si>
  <si>
    <t>Subtotal Não Baseline</t>
  </si>
  <si>
    <t>Subtotal Infra</t>
  </si>
  <si>
    <t>Resp. Preenchimento</t>
  </si>
  <si>
    <t>Valor Solicitado R$</t>
  </si>
  <si>
    <t>PRIORIZAÇÃO</t>
  </si>
  <si>
    <t>MEMÓRIA DE CÁLCULO</t>
  </si>
  <si>
    <t>MOTIVO URGENCIA</t>
  </si>
  <si>
    <t>A Lista de Mensalização deve ser preenchida com o planejamento de milestones de pagamento, sem linhas em branco apenas para solicitações que não sejam Baseline
Prefira sempre preencher este campo com fórmula referenciando o total da proposta.</t>
  </si>
  <si>
    <r>
      <t xml:space="preserve">Se </t>
    </r>
    <r>
      <rPr>
        <b/>
        <u/>
        <sz val="16"/>
        <color theme="1"/>
        <rFont val="Simplon BP Regular"/>
      </rPr>
      <t>não</t>
    </r>
    <r>
      <rPr>
        <sz val="16"/>
        <color theme="1"/>
        <rFont val="Simplon BP Regular"/>
      </rPr>
      <t xml:space="preserve"> houver informação para um campo, este deverá ser preenchido com </t>
    </r>
    <r>
      <rPr>
        <b/>
        <sz val="16"/>
        <color theme="1"/>
        <rFont val="Simplon BP Regular"/>
      </rPr>
      <t>“N/A”</t>
    </r>
    <r>
      <rPr>
        <sz val="16"/>
        <color theme="1"/>
        <rFont val="Simplon BP Regular"/>
      </rPr>
      <t>, para mostrar que não foi ignorado.</t>
    </r>
  </si>
  <si>
    <t xml:space="preserve">Para Campo FOI Doador:
- Caso utilize FOI de área Cliente ou outros projetos , liste todos os FOI e a área doadora e valor.
- Caso utilize FOI de Cliente e Sistemas, liste todos os FOI, área doadora e valor a ser consumido.  
- Caso seu projeto necessite aprovação em mais de um FOI, indique o valor que será consumido em cada FOI. </t>
  </si>
  <si>
    <t>A Lista de Propostas deve ser preenchida observando as validações de tela. O documento de Proposta possui indicação de Contrato e Empresa Oi de pagamento.
- Caso sua proposta tenha Homem-Hora e Valor de Homem-Hora, dê preferência a colocar o total da proposta no formato de Fórmula referenciando estes campos para evitar erros de arredondamento.
- Caso sua proposta tenha mais de um valor de Homem-Hora, coloque as informações seguidas, sem propostas entre elas.</t>
  </si>
  <si>
    <t>A Criação de Pedido Automático só será realizada se atender os seguintes requisitos:
- Proposta Cadastrada e GO Enviado no Clarity PPM com valores corretos e custo superior a zero. 
- Indicação de Fornecedor com contrato vigente e previamente cadastrado no SAP
- Propostas que utilizem Baseline de desenvolvimento não terão pedidos criados.</t>
  </si>
  <si>
    <r>
      <t>O</t>
    </r>
    <r>
      <rPr>
        <sz val="16"/>
        <color rgb="FF0070C0"/>
        <rFont val="Simplon BP Regular"/>
      </rPr>
      <t xml:space="preserve"> </t>
    </r>
    <r>
      <rPr>
        <b/>
        <i/>
        <sz val="16"/>
        <color rgb="FF0070C0"/>
        <rFont val="Simplon BP Regular"/>
      </rPr>
      <t>Formulário de Aprovação de Investimento</t>
    </r>
    <r>
      <rPr>
        <b/>
        <sz val="16"/>
        <color theme="1"/>
        <rFont val="Simplon BP Regular"/>
      </rPr>
      <t xml:space="preserve"> </t>
    </r>
    <r>
      <rPr>
        <sz val="16"/>
        <color theme="1"/>
        <rFont val="Simplon BP Regular"/>
      </rPr>
      <t xml:space="preserve">deve ser preenchido em sua totalidade e ter a Ficha Financeira Gerada. 
Todos os campos possuem texto explicativo em seus rótulos. 
</t>
    </r>
    <r>
      <rPr>
        <b/>
        <sz val="16"/>
        <color theme="1"/>
        <rFont val="Simplon BP Regular"/>
      </rPr>
      <t xml:space="preserve">As macros devem estar habilitadas e você deve estar utilizando Excel 2010 ou superior.
</t>
    </r>
    <r>
      <rPr>
        <sz val="16"/>
        <color theme="1"/>
        <rFont val="Simplon BP Regular"/>
      </rPr>
      <t xml:space="preserve">Clique no símbolo </t>
    </r>
    <r>
      <rPr>
        <b/>
        <sz val="20"/>
        <color rgb="FFFFC000"/>
        <rFont val="Webdings"/>
        <family val="1"/>
        <charset val="2"/>
      </rPr>
      <t>i</t>
    </r>
    <r>
      <rPr>
        <sz val="16"/>
        <color theme="1"/>
        <rFont val="Simplon BP Regular"/>
      </rPr>
      <t xml:space="preserve"> para que uma caixa de instruções da tela seja exibida.</t>
    </r>
  </si>
  <si>
    <t>Se Urgente, Indique o Motivo</t>
  </si>
  <si>
    <t>RIVER DE MORAIS E SILVA</t>
  </si>
  <si>
    <t>LUIS FERNANDO SAMPAIO ALVES</t>
  </si>
  <si>
    <t>MARCOS ANDRE DOS SANTOS SIMOES</t>
  </si>
  <si>
    <t>FABIO ALCANTARA GARCIA DA SILVA</t>
  </si>
  <si>
    <r>
      <t xml:space="preserve">Outros Impactos
</t>
    </r>
    <r>
      <rPr>
        <sz val="10"/>
        <color theme="0" tint="-0.499984740745262"/>
        <rFont val="Simplon BP Regular"/>
      </rPr>
      <t>(Operacional, Financeiro, Benefícios, etc.)</t>
    </r>
  </si>
  <si>
    <t>Valor Total Neste FOI</t>
  </si>
  <si>
    <t>V</t>
  </si>
  <si>
    <t>ROBERTO DE BRITO NUNES</t>
  </si>
  <si>
    <t>Com Infra ?</t>
  </si>
  <si>
    <t>Para o Campo FOI do Projeto / Nome do FOI:
- Se usar Orçamento da área de TI, indique o FOI caso já exista. Nos Casos Especiais abaixo, para FOI de TI, o formulário substitui a palavra-chave pelo FOI vigente:
     - Se a demanda for classificada como desenvolvimento de Priorização automática, digite a palavra-chave "BOLSINHA"
     - Se a solicitação utilizar apenas Fábricas pagas por baseline, digite a palavra-chave "BASELINE"
     - Se o projeto for classificado como demanda evolutiva de priorização por comitê, digite a palavra-chave "BOLSÃO"
     - Se o projeto precisa ser defendido no CDG e ainda não tem foi Criado, digite a palavra-chave "CRIAR"
- Se usar Orçamento de área Cliente, coloque o FOI indicado pelo Cliente
- Se usar Orçamento de TI e de Cliente, indique o FOI da área de Sistemas.</t>
  </si>
  <si>
    <t>O GO para Fábricas de Desenvolvimento só será emitido se as condições abaixo estiverem atendidas:
- Proposta Cadastrada e Aprovada no Clarity PPM com valores corretos e custo superior a zero.
- Indicação do GO na Lista de Propostas.
- Ficha Aprovada no Comitê referente sua alçada. Os Comitês de TI são Semanais. Os Comitês de Gestão são mensais.
- A Aprovação se dará no Comitê de Gestão caso a solicitação utilize FOI do Projeto e total seja superior a R$ 100 Mil.
- GO aguardará confirmação da disponibilização do orçamento quando for utilizado FOI doado pelo Cliente.</t>
  </si>
  <si>
    <t>- Nome do Arquivo deve possuir o seguinte formato: FAI_PRJ########_&lt;texto livre&gt;.XLSM onde # é o ID do subprojeto no Clarity PPM e o texto livre opcional.
- Caso a solicitação não se relacione com Clarity, utilize o formato FAI_&lt;Nome Solicitação&gt;.XLSM onde &lt;Nome Solicitação é o nome indicado no formulário.</t>
  </si>
  <si>
    <r>
      <t xml:space="preserve">Este formulário deve ser submetido para aprovação pelo N3 de Sistemas anexando-o na pasta </t>
    </r>
    <r>
      <rPr>
        <b/>
        <sz val="16"/>
        <color theme="1"/>
        <rFont val="Simplon BP Regular"/>
      </rPr>
      <t>INCLUIR_PAUTA</t>
    </r>
    <r>
      <rPr>
        <sz val="16"/>
        <color theme="1"/>
        <rFont val="Simplon BP Regular"/>
      </rPr>
      <t xml:space="preserve"> no Sharepoint do Capex TI:
</t>
    </r>
    <r>
      <rPr>
        <sz val="16"/>
        <color theme="1"/>
        <rFont val="Simplon BP Regular"/>
      </rPr>
      <t xml:space="preserve">
</t>
    </r>
  </si>
  <si>
    <t>http://sharepoint/tecnologia/ti/planejamento/fincontratados/Acompanhamentos%20Capex/Incluir_Pauta/</t>
  </si>
  <si>
    <r>
      <t xml:space="preserve">Para solicitações de GO e Criação de Pedidos utilizando saldo disponível do orçamento, basta anexar o formulário na pasta </t>
    </r>
    <r>
      <rPr>
        <b/>
        <sz val="16"/>
        <color theme="1"/>
        <rFont val="Simplon BP Regular"/>
      </rPr>
      <t>GO_SALDO</t>
    </r>
    <r>
      <rPr>
        <sz val="16"/>
        <color theme="1"/>
        <rFont val="Simplon BP Regular"/>
      </rPr>
      <t xml:space="preserve"> no Sharepoint do Capex TI:</t>
    </r>
  </si>
  <si>
    <t>http://sharepoint/tecnologia/ti/planejamento/fincontratados/Acompanhamentos%20Capex/GO_SALDO/</t>
  </si>
  <si>
    <t>- No Campo FOI Doador Indique o PEP que deseja utilizar
- No Campo Defesa da Necessidade Indique se utiliza saldo de uma transferência ou saldo aprovado anteriormente.</t>
  </si>
  <si>
    <t>Target</t>
  </si>
  <si>
    <t>OPEN LABS S.A</t>
  </si>
  <si>
    <t>OPEN LABS</t>
  </si>
  <si>
    <t>OPEN LABS (Extrabaseline)</t>
  </si>
  <si>
    <t>2018.00</t>
  </si>
  <si>
    <t>Linha IM</t>
  </si>
  <si>
    <t>Meta</t>
  </si>
  <si>
    <t>U.N. Solicitante (Cliente)</t>
  </si>
  <si>
    <t>PRJ00027490</t>
  </si>
  <si>
    <t>PRJ00027489</t>
  </si>
  <si>
    <t>Automatização das Config do Faturamento</t>
  </si>
  <si>
    <t>VivianAparecida de Jesus</t>
  </si>
  <si>
    <t>Este projeto tem como objetivo automatizar configurações de faturamento que hoje são realizadas via projetos internos ou via contratação de fornecedores.</t>
  </si>
  <si>
    <t>Marcio Caroso</t>
  </si>
  <si>
    <t>CRIAR</t>
  </si>
  <si>
    <t>FOI de Sistemas</t>
  </si>
  <si>
    <t>DEZ/2017</t>
  </si>
  <si>
    <t>DEZ/2018</t>
  </si>
  <si>
    <t>ESTIMATIVA</t>
  </si>
  <si>
    <t>ME-17494747</t>
  </si>
  <si>
    <t>DSOL</t>
  </si>
  <si>
    <t>MAR/2018</t>
  </si>
  <si>
    <t>TI</t>
  </si>
  <si>
    <t>AGO/2018</t>
  </si>
  <si>
    <t>PRD</t>
  </si>
  <si>
    <t>PRJ00027490.ME-17494747.1</t>
  </si>
  <si>
    <t>19/12/2017: Provisão em CRIAR. Saldo R$ 5.000.000,00</t>
  </si>
  <si>
    <t xml:space="preserve">ME-17494747 | Macroestimativa | &lt;Não se Aplica&gt; | &lt; A CONTRATAR &gt; | 0,000h * R$0,00 = R$5.000.000,00
</t>
  </si>
  <si>
    <t>JAN/2018</t>
  </si>
  <si>
    <t>FEV/2018</t>
  </si>
  <si>
    <t>ABR/2018</t>
  </si>
  <si>
    <t>MAI/2018</t>
  </si>
  <si>
    <t>JUN/2018</t>
  </si>
  <si>
    <t>JUL/2018</t>
  </si>
  <si>
    <t>SET/2018</t>
  </si>
  <si>
    <t>OUT/2018</t>
  </si>
  <si>
    <t>NOV/2018</t>
  </si>
  <si>
    <t>CRIAR-001</t>
  </si>
  <si>
    <t>CRIAR-010</t>
  </si>
  <si>
    <t>CRIAR-009</t>
  </si>
  <si>
    <t>CRIAR-011</t>
  </si>
  <si>
    <t>CRIAR-006</t>
  </si>
  <si>
    <t>Automatização de configurações de faturamento, devido ao tempo de implementação destas configurações via projeto. Sendo assim estamos propondo que sejam criadas funcionalidades para automatizar estas configurações e que fiquem sobre a responsabilidade da area de negócio, dando mais autonomia ao mesmo e seguindo os padrões da SOX. Haverá uma redução de custo (7.2MM), pois não será mais necessario projeto para implementação destas configurações e tempo de entrega reduzindo da média de 6 meses para até 2 dias.</t>
  </si>
  <si>
    <t xml:space="preserve">Continuaremos a entregar as configurações de faturamento com media de 6 meses, impactando o lançamento de produtos no mercado e gastando 7.2MM por ano.
</t>
  </si>
  <si>
    <t xml:space="preserve">Este projeto tem como objetivo automatizar configurações de faturamento  que estão no escopo da Fase 2 do GTA (SVA). 
</t>
  </si>
  <si>
    <t xml:space="preserve">Redução dos problemas de erro em cobrança de valores nas faturas de clientes, ou perda de receita, relacionadas a configuração de tarifas de usos de provedores (SVA).
Redução de perdas de receita na ordem de R$ 12 MM/ano.
Redução de custos de desenvolvimento de 7.2 MM/ano.
Melhoria do “Time to Market” das novas configurações (em média) de 6 meses para 2 dias.
Adequação aos padrões da SOX, com perfil de acesso e controle para as novas  funcionalidades.
</t>
  </si>
  <si>
    <t xml:space="preserve">Manutenção das perdas de receita na ordem de R$ 12 MM/ano e dos gastos com configurações na ordem de R$ 7,2 MM/ano.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</si>
</sst>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&quot;R$ &quot;#,##0.00"/>
    <numFmt numFmtId="167" formatCode="0.000"/>
    <numFmt numFmtId="168" formatCode="#,##0.000"/>
    <numFmt numFmtId="169" formatCode="#,##0.0"/>
    <numFmt numFmtId="170" formatCode="_-* #,##0.0_-;\-* #,##0.0_-;_-* &quot;-&quot;?_-;_-@_-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20"/>
      <color rgb="FFFFC000"/>
      <name val="Webdings"/>
      <family val="1"/>
      <charset val="2"/>
    </font>
    <font>
      <b/>
      <sz val="8"/>
      <color rgb="FF7030A0"/>
      <name val="Calibri"/>
      <family val="2"/>
      <scheme val="minor"/>
    </font>
    <font>
      <sz val="11"/>
      <color theme="0"/>
      <name val="Simplon BP Regular"/>
    </font>
    <font>
      <sz val="11"/>
      <color theme="1"/>
      <name val="Simplon BP Regular"/>
    </font>
    <font>
      <b/>
      <i/>
      <sz val="28"/>
      <color theme="0"/>
      <name val="Simplon BP Regular"/>
    </font>
    <font>
      <b/>
      <sz val="16"/>
      <color theme="1"/>
      <name val="Simplon BP Regular"/>
    </font>
    <font>
      <sz val="16"/>
      <color theme="1"/>
      <name val="Simplon BP Regular"/>
    </font>
    <font>
      <b/>
      <sz val="11"/>
      <color theme="1"/>
      <name val="Simplon BP Regular"/>
    </font>
    <font>
      <sz val="14"/>
      <color theme="1"/>
      <name val="Simplon BP Regular"/>
    </font>
    <font>
      <b/>
      <u/>
      <sz val="16"/>
      <color theme="1"/>
      <name val="Simplon BP Regular"/>
    </font>
    <font>
      <b/>
      <sz val="12"/>
      <color indexed="9"/>
      <name val="Simplon BP Regular"/>
    </font>
    <font>
      <b/>
      <sz val="12"/>
      <name val="Simplon BP Regular"/>
    </font>
    <font>
      <b/>
      <i/>
      <sz val="8"/>
      <color theme="1"/>
      <name val="Simplon BP Regular"/>
    </font>
    <font>
      <b/>
      <sz val="11"/>
      <color theme="0"/>
      <name val="Simplon BP Regular"/>
    </font>
    <font>
      <sz val="14"/>
      <name val="Simplon BP Regular"/>
    </font>
    <font>
      <sz val="8"/>
      <color rgb="FF0070C0"/>
      <name val="Calibri"/>
      <family val="2"/>
      <scheme val="minor"/>
    </font>
    <font>
      <sz val="10"/>
      <color theme="1"/>
      <name val="Simplon BP Regular"/>
    </font>
    <font>
      <b/>
      <i/>
      <sz val="10"/>
      <color theme="1"/>
      <name val="Simplon BP Regular"/>
    </font>
    <font>
      <b/>
      <sz val="10"/>
      <color theme="1"/>
      <name val="Simplon BP Regular"/>
    </font>
    <font>
      <sz val="9"/>
      <color theme="1"/>
      <name val="Simplon BP Regular"/>
    </font>
    <font>
      <b/>
      <sz val="10"/>
      <color theme="0"/>
      <name val="Simplon BP Regular"/>
    </font>
    <font>
      <sz val="10"/>
      <name val="Simplon BP Regular"/>
    </font>
    <font>
      <sz val="8"/>
      <name val="Simplon BP Regular"/>
    </font>
    <font>
      <sz val="9"/>
      <color theme="0" tint="-0.499984740745262"/>
      <name val="Simplon BP Regular"/>
    </font>
    <font>
      <sz val="8"/>
      <color theme="0"/>
      <name val="Simplon BP Regular"/>
    </font>
    <font>
      <sz val="8"/>
      <color theme="1"/>
      <name val="Simplon BP Regular"/>
    </font>
    <font>
      <b/>
      <i/>
      <sz val="8"/>
      <color theme="0" tint="-0.499984740745262"/>
      <name val="Simplon BP Regular"/>
    </font>
    <font>
      <b/>
      <sz val="8"/>
      <color rgb="FFFF0000"/>
      <name val="Simplon BP Regular"/>
    </font>
    <font>
      <b/>
      <sz val="8"/>
      <color rgb="FF0070C0"/>
      <name val="Simplon BP Regular"/>
    </font>
    <font>
      <b/>
      <sz val="14"/>
      <color rgb="FFFF0000"/>
      <name val="Simplon BP Regular"/>
    </font>
    <font>
      <b/>
      <sz val="8"/>
      <color theme="1"/>
      <name val="Simplon BP Regular"/>
    </font>
    <font>
      <b/>
      <sz val="8"/>
      <name val="Simplon BP Regular"/>
    </font>
    <font>
      <b/>
      <sz val="8"/>
      <color theme="0"/>
      <name val="Simplon BP Regular"/>
    </font>
    <font>
      <sz val="8"/>
      <color rgb="FF4CAFCC"/>
      <name val="Simplon BP Regular"/>
    </font>
    <font>
      <b/>
      <sz val="8"/>
      <color rgb="FF4CAFCC"/>
      <name val="Simplon BP Regular"/>
    </font>
    <font>
      <b/>
      <i/>
      <sz val="8"/>
      <color theme="0"/>
      <name val="Simplon BP Regular"/>
    </font>
    <font>
      <sz val="8"/>
      <color rgb="FFFF0000"/>
      <name val="Simplon BP Regula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20"/>
      <color rgb="FFA02BFF"/>
      <name val="Simplon BP Regular"/>
    </font>
    <font>
      <sz val="10"/>
      <color rgb="FFA02BFF"/>
      <name val="Simplon BP Regular"/>
    </font>
    <font>
      <b/>
      <sz val="20"/>
      <color rgb="FF00CEFF"/>
      <name val="Simplon BP Regular"/>
    </font>
    <font>
      <b/>
      <sz val="20"/>
      <color rgb="FF00CEFF"/>
      <name val="Webdings"/>
      <family val="1"/>
      <charset val="2"/>
    </font>
    <font>
      <b/>
      <sz val="20"/>
      <color rgb="FFFF6D00"/>
      <name val="Webdings"/>
      <family val="1"/>
      <charset val="2"/>
    </font>
    <font>
      <sz val="10"/>
      <color rgb="FF4D4D4D"/>
      <name val="Simplon BP Regular"/>
    </font>
    <font>
      <b/>
      <sz val="11"/>
      <color rgb="FF008EB0"/>
      <name val="Simplon BP Regular"/>
    </font>
    <font>
      <sz val="10"/>
      <color rgb="FF008EB0"/>
      <name val="Simplon BP Regular"/>
    </font>
    <font>
      <b/>
      <sz val="10"/>
      <color rgb="FF008EB0"/>
      <name val="Simplon BP Regular"/>
    </font>
    <font>
      <b/>
      <sz val="20"/>
      <color rgb="FF008EB0"/>
      <name val="Simplon BP Regular"/>
    </font>
    <font>
      <b/>
      <sz val="16"/>
      <color rgb="FF0070C0"/>
      <name val="Simplon BP Regular"/>
    </font>
    <font>
      <b/>
      <i/>
      <sz val="8"/>
      <color rgb="FF008EB0"/>
      <name val="Simplon BP Regular"/>
    </font>
    <font>
      <b/>
      <sz val="16"/>
      <color rgb="FFFF6D00"/>
      <name val="Webdings"/>
      <family val="1"/>
      <charset val="2"/>
    </font>
    <font>
      <b/>
      <sz val="16"/>
      <color rgb="FF008EB0"/>
      <name val="Simplon BP Regular"/>
    </font>
    <font>
      <sz val="10"/>
      <color rgb="FFFF6D00"/>
      <name val="Simplon BP Regular"/>
    </font>
    <font>
      <b/>
      <sz val="12"/>
      <color rgb="FF4D4D4D"/>
      <name val="Simplon BP Regular"/>
    </font>
    <font>
      <sz val="10"/>
      <color theme="0"/>
      <name val="Simplon BP Regular"/>
    </font>
    <font>
      <b/>
      <i/>
      <sz val="10"/>
      <color rgb="FF00B050"/>
      <name val="Simplon BP Regular"/>
    </font>
    <font>
      <b/>
      <sz val="10"/>
      <color rgb="FF0070C0"/>
      <name val="Simplon BP Regular"/>
    </font>
    <font>
      <b/>
      <sz val="10"/>
      <color theme="8" tint="-0.249977111117893"/>
      <name val="Simplon BP Regular"/>
    </font>
    <font>
      <b/>
      <sz val="18"/>
      <color theme="1"/>
      <name val="Simplon BP Regular"/>
    </font>
    <font>
      <i/>
      <sz val="12"/>
      <color theme="0"/>
      <name val="Simplon BP Regular"/>
    </font>
    <font>
      <sz val="9"/>
      <color theme="0"/>
      <name val="Simplon BP Regular"/>
    </font>
    <font>
      <i/>
      <sz val="10"/>
      <color theme="1"/>
      <name val="Simplon BP Regular"/>
    </font>
    <font>
      <b/>
      <sz val="11"/>
      <name val="Simplon BP Regular"/>
    </font>
    <font>
      <sz val="10"/>
      <color rgb="FF0070C0"/>
      <name val="Simplon BP Regular"/>
    </font>
    <font>
      <b/>
      <sz val="12"/>
      <color theme="8" tint="-0.249977111117893"/>
      <name val="Simplon BP Regular"/>
    </font>
    <font>
      <i/>
      <sz val="10"/>
      <color rgb="FF4D4D4D"/>
      <name val="Simplon BP Regular"/>
    </font>
    <font>
      <b/>
      <sz val="9"/>
      <color theme="8" tint="-0.249977111117893"/>
      <name val="Simplon BP Regular"/>
    </font>
    <font>
      <b/>
      <i/>
      <sz val="12"/>
      <color rgb="FF4D4D4D"/>
      <name val="Simplon BP Regular"/>
    </font>
    <font>
      <b/>
      <sz val="10"/>
      <name val="Simplon BP Regular"/>
    </font>
    <font>
      <sz val="16"/>
      <color rgb="FF0070C0"/>
      <name val="Simplon BP Regular"/>
    </font>
    <font>
      <b/>
      <i/>
      <sz val="16"/>
      <color rgb="FF0070C0"/>
      <name val="Simplon BP Regular"/>
    </font>
    <font>
      <sz val="15"/>
      <color theme="0"/>
      <name val="Simplon BP Regular"/>
    </font>
    <font>
      <sz val="12"/>
      <name val="Simplon BP Regular"/>
    </font>
    <font>
      <sz val="12"/>
      <color theme="0"/>
      <name val="Simplon BP Regular"/>
    </font>
    <font>
      <sz val="15"/>
      <name val="Simplon BP Regular"/>
    </font>
    <font>
      <sz val="10"/>
      <color theme="0" tint="-0.499984740745262"/>
      <name val="Simplon BP Regular"/>
    </font>
    <font>
      <u/>
      <sz val="11"/>
      <color theme="10"/>
      <name val="Calibri"/>
      <family val="2"/>
      <scheme val="minor"/>
    </font>
    <font>
      <b/>
      <sz val="16"/>
      <color theme="10"/>
      <name val="Simplon BP Regular"/>
    </font>
  </fonts>
  <fills count="4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DDE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1F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A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9FEDFF"/>
        <bgColor indexed="64"/>
      </patternFill>
    </fill>
    <fill>
      <patternFill patternType="solid">
        <fgColor rgb="FF008EB0"/>
        <bgColor indexed="64"/>
      </patternFill>
    </fill>
    <fill>
      <patternFill patternType="solid">
        <fgColor rgb="FF8FEAFF"/>
        <bgColor indexed="64"/>
      </patternFill>
    </fill>
    <fill>
      <patternFill patternType="solid">
        <fgColor rgb="FFF0FCFE"/>
        <bgColor indexed="64"/>
      </patternFill>
    </fill>
  </fills>
  <borders count="103">
    <border>
      <left/>
      <right/>
      <top/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double">
        <color rgb="FF0070C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auto="1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double">
        <color rgb="FF0070C0"/>
      </top>
      <bottom/>
      <diagonal/>
    </border>
    <border>
      <left style="hair">
        <color auto="1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 style="hair">
        <color auto="1"/>
      </left>
      <right style="hair">
        <color auto="1"/>
      </right>
      <top style="double">
        <color rgb="FF0070C0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rgb="FF0070C0"/>
      </bottom>
      <diagonal/>
    </border>
    <border>
      <left/>
      <right style="thin">
        <color indexed="64"/>
      </right>
      <top/>
      <bottom style="double">
        <color rgb="FF0070C0"/>
      </bottom>
      <diagonal/>
    </border>
    <border>
      <left style="thin">
        <color indexed="64"/>
      </left>
      <right/>
      <top style="double">
        <color rgb="FF0070C0"/>
      </top>
      <bottom/>
      <diagonal/>
    </border>
    <border>
      <left/>
      <right style="thin">
        <color indexed="64"/>
      </right>
      <top style="double">
        <color rgb="FF0070C0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theme="4" tint="-0.24994659260841701"/>
      </top>
      <bottom style="thin">
        <color indexed="64"/>
      </bottom>
      <diagonal/>
    </border>
    <border>
      <left/>
      <right/>
      <top style="double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double">
        <color theme="4" tint="-0.24994659260841701"/>
      </top>
      <bottom style="thin">
        <color indexed="64"/>
      </bottom>
      <diagonal/>
    </border>
    <border>
      <left/>
      <right/>
      <top/>
      <bottom style="thick">
        <color rgb="FF00CEFF"/>
      </bottom>
      <diagonal/>
    </border>
    <border>
      <left style="thick">
        <color rgb="FF008EB0"/>
      </left>
      <right/>
      <top style="thick">
        <color rgb="FF008EB0"/>
      </top>
      <bottom/>
      <diagonal/>
    </border>
    <border>
      <left/>
      <right/>
      <top style="thick">
        <color rgb="FF008EB0"/>
      </top>
      <bottom/>
      <diagonal/>
    </border>
    <border>
      <left/>
      <right style="thick">
        <color rgb="FF008EB0"/>
      </right>
      <top style="thick">
        <color rgb="FF008EB0"/>
      </top>
      <bottom/>
      <diagonal/>
    </border>
    <border>
      <left style="thick">
        <color rgb="FF008EB0"/>
      </left>
      <right/>
      <top/>
      <bottom style="thick">
        <color rgb="FF008EB0"/>
      </bottom>
      <diagonal/>
    </border>
    <border>
      <left/>
      <right/>
      <top/>
      <bottom style="thick">
        <color rgb="FF008EB0"/>
      </bottom>
      <diagonal/>
    </border>
    <border>
      <left/>
      <right style="thick">
        <color rgb="FF008EB0"/>
      </right>
      <top/>
      <bottom style="thick">
        <color rgb="FF008EB0"/>
      </bottom>
      <diagonal/>
    </border>
    <border>
      <left/>
      <right style="thin">
        <color auto="1"/>
      </right>
      <top style="thick">
        <color rgb="FF008EB0"/>
      </top>
      <bottom/>
      <diagonal/>
    </border>
    <border>
      <left/>
      <right/>
      <top/>
      <bottom style="thin">
        <color rgb="FF00CEFF"/>
      </bottom>
      <diagonal/>
    </border>
  </borders>
  <cellStyleXfs count="8">
    <xf numFmtId="0" fontId="0" fillId="0" borderId="0"/>
    <xf numFmtId="0" fontId="3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90" fillId="0" borderId="0" applyNumberFormat="0" applyFill="0" applyBorder="0" applyAlignment="0" applyProtection="0"/>
  </cellStyleXfs>
  <cellXfs count="723">
    <xf numFmtId="0" fontId="0" fillId="0" borderId="0" xfId="0"/>
    <xf numFmtId="0" fontId="7" fillId="0" borderId="0" xfId="0" applyFont="1"/>
    <xf numFmtId="49" fontId="7" fillId="8" borderId="19" xfId="0" applyNumberFormat="1" applyFont="1" applyFill="1" applyBorder="1" applyAlignment="1" applyProtection="1">
      <alignment horizontal="left" vertical="center"/>
      <protection locked="0"/>
    </xf>
    <xf numFmtId="0" fontId="0" fillId="7" borderId="20" xfId="0" applyFill="1" applyBorder="1"/>
    <xf numFmtId="2" fontId="7" fillId="9" borderId="19" xfId="0" applyNumberFormat="1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4" borderId="0" xfId="0" applyNumberFormat="1" applyFont="1" applyFill="1" applyAlignment="1">
      <alignment shrinkToFit="1"/>
    </xf>
    <xf numFmtId="0" fontId="6" fillId="5" borderId="0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/>
    </xf>
    <xf numFmtId="0" fontId="6" fillId="10" borderId="0" xfId="0" applyFont="1" applyFill="1" applyBorder="1" applyAlignment="1">
      <alignment horizontal="left" vertical="top"/>
    </xf>
    <xf numFmtId="1" fontId="7" fillId="9" borderId="19" xfId="0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horizontal="center" vertical="top" wrapText="1"/>
    </xf>
    <xf numFmtId="2" fontId="7" fillId="9" borderId="19" xfId="0" applyNumberFormat="1" applyFont="1" applyFill="1" applyBorder="1" applyAlignment="1">
      <alignment horizontal="left" vertical="center"/>
    </xf>
    <xf numFmtId="0" fontId="5" fillId="10" borderId="0" xfId="0" applyNumberFormat="1" applyFont="1" applyFill="1" applyBorder="1" applyAlignment="1">
      <alignment horizontal="center" vertical="top" wrapText="1"/>
    </xf>
    <xf numFmtId="165" fontId="7" fillId="8" borderId="19" xfId="0" applyNumberFormat="1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>
      <alignment horizontal="center" vertical="top"/>
    </xf>
    <xf numFmtId="0" fontId="7" fillId="8" borderId="20" xfId="0" applyFont="1" applyFill="1" applyBorder="1" applyAlignment="1">
      <alignment vertical="top"/>
    </xf>
    <xf numFmtId="0" fontId="7" fillId="11" borderId="19" xfId="0" applyFont="1" applyFill="1" applyBorder="1" applyAlignment="1">
      <alignment vertical="top"/>
    </xf>
    <xf numFmtId="0" fontId="7" fillId="11" borderId="20" xfId="0" applyFont="1" applyFill="1" applyBorder="1" applyAlignment="1">
      <alignment vertical="top"/>
    </xf>
    <xf numFmtId="0" fontId="6" fillId="6" borderId="0" xfId="0" applyFont="1" applyFill="1" applyAlignment="1">
      <alignment horizontal="center" vertical="top" wrapText="1"/>
    </xf>
    <xf numFmtId="0" fontId="7" fillId="8" borderId="19" xfId="0" applyFont="1" applyFill="1" applyBorder="1" applyAlignment="1">
      <alignment vertical="top"/>
    </xf>
    <xf numFmtId="0" fontId="7" fillId="0" borderId="0" xfId="0" applyFont="1" applyAlignment="1">
      <alignment vertical="top"/>
    </xf>
    <xf numFmtId="0" fontId="6" fillId="10" borderId="0" xfId="0" applyFont="1" applyFill="1" applyAlignment="1">
      <alignment horizontal="center" vertical="top"/>
    </xf>
    <xf numFmtId="0" fontId="8" fillId="11" borderId="19" xfId="0" applyFont="1" applyFill="1" applyBorder="1" applyAlignment="1">
      <alignment vertical="top"/>
    </xf>
    <xf numFmtId="49" fontId="7" fillId="8" borderId="19" xfId="0" applyNumberFormat="1" applyFont="1" applyFill="1" applyBorder="1" applyAlignment="1">
      <alignment horizontal="left" vertical="top"/>
    </xf>
    <xf numFmtId="0" fontId="8" fillId="11" borderId="20" xfId="0" applyFont="1" applyFill="1" applyBorder="1" applyAlignment="1">
      <alignment vertical="top"/>
    </xf>
    <xf numFmtId="0" fontId="6" fillId="10" borderId="0" xfId="0" applyFont="1" applyFill="1" applyBorder="1" applyAlignment="1">
      <alignment horizontal="center" vertical="top"/>
    </xf>
    <xf numFmtId="0" fontId="6" fillId="2" borderId="0" xfId="0" applyFont="1" applyFill="1" applyBorder="1" applyAlignment="1">
      <alignment horizontal="center" vertical="top" wrapText="1"/>
    </xf>
    <xf numFmtId="0" fontId="14" fillId="0" borderId="0" xfId="0" applyFont="1" applyAlignment="1">
      <alignment vertical="top"/>
    </xf>
    <xf numFmtId="0" fontId="7" fillId="4" borderId="0" xfId="0" applyNumberFormat="1" applyFont="1" applyFill="1" applyAlignment="1">
      <alignment horizontal="center" shrinkToFit="1"/>
    </xf>
    <xf numFmtId="1" fontId="7" fillId="9" borderId="19" xfId="0" applyNumberFormat="1" applyFont="1" applyFill="1" applyBorder="1" applyAlignment="1">
      <alignment horizontal="left" vertical="center"/>
    </xf>
    <xf numFmtId="0" fontId="7" fillId="9" borderId="19" xfId="0" applyNumberFormat="1" applyFont="1" applyFill="1" applyBorder="1" applyAlignment="1" applyProtection="1">
      <alignment horizontal="left" vertical="top"/>
    </xf>
    <xf numFmtId="49" fontId="7" fillId="9" borderId="19" xfId="0" applyNumberFormat="1" applyFont="1" applyFill="1" applyBorder="1" applyAlignment="1" applyProtection="1">
      <alignment horizontal="center" vertical="top"/>
    </xf>
    <xf numFmtId="1" fontId="7" fillId="9" borderId="19" xfId="0" applyNumberFormat="1" applyFont="1" applyFill="1" applyBorder="1" applyAlignment="1" applyProtection="1">
      <alignment horizontal="center" vertical="top"/>
    </xf>
    <xf numFmtId="0" fontId="7" fillId="9" borderId="19" xfId="0" applyNumberFormat="1" applyFont="1" applyFill="1" applyBorder="1" applyAlignment="1" applyProtection="1">
      <alignment horizontal="center" vertical="top"/>
    </xf>
    <xf numFmtId="4" fontId="7" fillId="9" borderId="19" xfId="0" applyNumberFormat="1" applyFont="1" applyFill="1" applyBorder="1" applyAlignment="1" applyProtection="1">
      <alignment horizontal="right" vertical="top"/>
    </xf>
    <xf numFmtId="3" fontId="7" fillId="9" borderId="19" xfId="0" applyNumberFormat="1" applyFont="1" applyFill="1" applyBorder="1" applyAlignment="1" applyProtection="1">
      <alignment horizontal="center" vertical="top"/>
    </xf>
    <xf numFmtId="4" fontId="7" fillId="9" borderId="19" xfId="0" applyNumberFormat="1" applyFont="1" applyFill="1" applyBorder="1" applyAlignment="1" applyProtection="1">
      <alignment horizontal="left" vertical="top"/>
    </xf>
    <xf numFmtId="0" fontId="4" fillId="7" borderId="20" xfId="0" applyFont="1" applyFill="1" applyBorder="1"/>
    <xf numFmtId="0" fontId="4" fillId="8" borderId="20" xfId="0" applyFont="1" applyFill="1" applyBorder="1"/>
    <xf numFmtId="0" fontId="4" fillId="23" borderId="20" xfId="0" applyFont="1" applyFill="1" applyBorder="1"/>
    <xf numFmtId="0" fontId="7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169" fontId="7" fillId="0" borderId="0" xfId="0" applyNumberFormat="1" applyFont="1" applyProtection="1">
      <protection locked="0"/>
    </xf>
    <xf numFmtId="49" fontId="7" fillId="7" borderId="0" xfId="0" applyNumberFormat="1" applyFont="1" applyFill="1" applyAlignment="1" applyProtection="1">
      <alignment horizontal="center" vertical="center"/>
    </xf>
    <xf numFmtId="49" fontId="10" fillId="6" borderId="21" xfId="0" applyNumberFormat="1" applyFont="1" applyFill="1" applyBorder="1" applyAlignment="1" applyProtection="1">
      <alignment horizontal="center" vertical="top" wrapText="1"/>
    </xf>
    <xf numFmtId="49" fontId="10" fillId="15" borderId="21" xfId="0" applyNumberFormat="1" applyFont="1" applyFill="1" applyBorder="1" applyAlignment="1" applyProtection="1">
      <alignment horizontal="center" vertical="top" wrapText="1"/>
    </xf>
    <xf numFmtId="49" fontId="8" fillId="13" borderId="21" xfId="0" applyNumberFormat="1" applyFont="1" applyFill="1" applyBorder="1" applyAlignment="1" applyProtection="1">
      <alignment horizontal="center" vertical="top" wrapText="1"/>
    </xf>
    <xf numFmtId="0" fontId="10" fillId="15" borderId="21" xfId="0" applyFont="1" applyFill="1" applyBorder="1" applyAlignment="1" applyProtection="1">
      <alignment horizontal="center" vertical="top" wrapText="1"/>
    </xf>
    <xf numFmtId="168" fontId="10" fillId="15" borderId="21" xfId="0" applyNumberFormat="1" applyFont="1" applyFill="1" applyBorder="1" applyAlignment="1" applyProtection="1">
      <alignment horizontal="center" vertical="top" wrapText="1"/>
    </xf>
    <xf numFmtId="4" fontId="10" fillId="15" borderId="21" xfId="0" applyNumberFormat="1" applyFont="1" applyFill="1" applyBorder="1" applyAlignment="1" applyProtection="1">
      <alignment horizontal="center" vertical="top" wrapText="1"/>
    </xf>
    <xf numFmtId="169" fontId="10" fillId="15" borderId="21" xfId="0" applyNumberFormat="1" applyFont="1" applyFill="1" applyBorder="1" applyAlignment="1" applyProtection="1">
      <alignment horizontal="center" vertical="top" wrapText="1"/>
    </xf>
    <xf numFmtId="49" fontId="7" fillId="8" borderId="19" xfId="0" applyNumberFormat="1" applyFont="1" applyFill="1" applyBorder="1" applyAlignment="1" applyProtection="1">
      <alignment horizontal="left" vertical="top" wrapText="1"/>
      <protection locked="0"/>
    </xf>
    <xf numFmtId="49" fontId="7" fillId="11" borderId="19" xfId="0" applyNumberFormat="1" applyFont="1" applyFill="1" applyBorder="1" applyAlignment="1">
      <alignment horizontal="center" vertical="top"/>
    </xf>
    <xf numFmtId="49" fontId="7" fillId="11" borderId="20" xfId="0" applyNumberFormat="1" applyFont="1" applyFill="1" applyBorder="1" applyAlignment="1">
      <alignment horizontal="center" vertical="top"/>
    </xf>
    <xf numFmtId="0" fontId="8" fillId="11" borderId="20" xfId="0" applyFont="1" applyFill="1" applyBorder="1" applyAlignment="1">
      <alignment horizontal="center" vertical="top"/>
    </xf>
    <xf numFmtId="0" fontId="11" fillId="7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7" fillId="8" borderId="19" xfId="0" applyNumberFormat="1" applyFont="1" applyFill="1" applyBorder="1" applyAlignment="1" applyProtection="1">
      <alignment horizontal="left" vertical="top"/>
    </xf>
    <xf numFmtId="2" fontId="7" fillId="9" borderId="19" xfId="0" applyNumberFormat="1" applyFont="1" applyFill="1" applyBorder="1" applyAlignment="1">
      <alignment horizontal="right" vertical="center"/>
    </xf>
    <xf numFmtId="1" fontId="7" fillId="8" borderId="19" xfId="0" applyNumberFormat="1" applyFont="1" applyFill="1" applyBorder="1" applyAlignment="1" applyProtection="1">
      <alignment horizontal="center" vertical="top"/>
      <protection locked="0"/>
    </xf>
    <xf numFmtId="3" fontId="7" fillId="7" borderId="0" xfId="0" applyNumberFormat="1" applyFont="1" applyFill="1" applyAlignment="1">
      <alignment horizontal="center" vertical="center"/>
    </xf>
    <xf numFmtId="1" fontId="7" fillId="32" borderId="0" xfId="0" applyNumberFormat="1" applyFont="1" applyFill="1" applyAlignment="1">
      <alignment horizontal="center" vertical="center"/>
    </xf>
    <xf numFmtId="4" fontId="8" fillId="32" borderId="0" xfId="0" applyNumberFormat="1" applyFont="1" applyFill="1" applyAlignment="1">
      <alignment shrinkToFit="1"/>
    </xf>
    <xf numFmtId="49" fontId="5" fillId="14" borderId="0" xfId="0" applyNumberFormat="1" applyFont="1" applyFill="1" applyBorder="1" applyAlignment="1">
      <alignment horizontal="center" vertical="top" wrapText="1"/>
    </xf>
    <xf numFmtId="49" fontId="0" fillId="0" borderId="0" xfId="0" applyNumberFormat="1"/>
    <xf numFmtId="1" fontId="10" fillId="15" borderId="21" xfId="0" applyNumberFormat="1" applyFont="1" applyFill="1" applyBorder="1" applyAlignment="1" applyProtection="1">
      <alignment horizontal="center" vertical="top"/>
    </xf>
    <xf numFmtId="1" fontId="7" fillId="0" borderId="0" xfId="0" applyNumberFormat="1" applyFont="1" applyProtection="1">
      <protection locked="0"/>
    </xf>
    <xf numFmtId="49" fontId="10" fillId="22" borderId="21" xfId="0" applyNumberFormat="1" applyFont="1" applyFill="1" applyBorder="1" applyAlignment="1" applyProtection="1">
      <alignment horizontal="center" vertical="top"/>
    </xf>
    <xf numFmtId="0" fontId="7" fillId="0" borderId="0" xfId="0" applyFont="1" applyAlignment="1" applyProtection="1">
      <alignment horizontal="center" vertical="top"/>
      <protection locked="0"/>
    </xf>
    <xf numFmtId="0" fontId="10" fillId="21" borderId="21" xfId="0" applyFont="1" applyFill="1" applyBorder="1" applyAlignment="1" applyProtection="1">
      <alignment horizontal="center" vertical="top"/>
    </xf>
    <xf numFmtId="0" fontId="10" fillId="22" borderId="21" xfId="0" applyFont="1" applyFill="1" applyBorder="1" applyAlignment="1" applyProtection="1">
      <alignment horizontal="center" vertical="top"/>
    </xf>
    <xf numFmtId="0" fontId="10" fillId="22" borderId="40" xfId="0" applyFont="1" applyFill="1" applyBorder="1" applyAlignment="1" applyProtection="1">
      <alignment horizontal="center" vertical="top"/>
    </xf>
    <xf numFmtId="0" fontId="10" fillId="22" borderId="72" xfId="0" applyFont="1" applyFill="1" applyBorder="1" applyAlignment="1" applyProtection="1">
      <alignment horizontal="center" vertical="top"/>
    </xf>
    <xf numFmtId="4" fontId="10" fillId="22" borderId="21" xfId="0" applyNumberFormat="1" applyFont="1" applyFill="1" applyBorder="1" applyAlignment="1" applyProtection="1">
      <alignment horizontal="center" vertical="top"/>
    </xf>
    <xf numFmtId="167" fontId="10" fillId="22" borderId="21" xfId="0" applyNumberFormat="1" applyFont="1" applyFill="1" applyBorder="1" applyAlignment="1" applyProtection="1">
      <alignment horizontal="center" vertical="top"/>
    </xf>
    <xf numFmtId="167" fontId="10" fillId="22" borderId="72" xfId="0" applyNumberFormat="1" applyFont="1" applyFill="1" applyBorder="1" applyAlignment="1" applyProtection="1">
      <alignment horizontal="center" vertical="top"/>
    </xf>
    <xf numFmtId="0" fontId="15" fillId="0" borderId="0" xfId="0" applyFont="1" applyProtection="1">
      <protection locked="0"/>
    </xf>
    <xf numFmtId="0" fontId="16" fillId="0" borderId="0" xfId="0" applyFont="1"/>
    <xf numFmtId="0" fontId="16" fillId="0" borderId="0" xfId="0" applyFont="1" applyProtection="1"/>
    <xf numFmtId="0" fontId="18" fillId="0" borderId="0" xfId="0" applyFont="1" applyAlignment="1" applyProtection="1">
      <alignment horizontal="left" vertical="top"/>
    </xf>
    <xf numFmtId="0" fontId="20" fillId="0" borderId="0" xfId="0" applyFont="1" applyAlignment="1" applyProtection="1">
      <alignment horizontal="left" vertical="top"/>
    </xf>
    <xf numFmtId="0" fontId="21" fillId="0" borderId="0" xfId="0" applyFont="1" applyAlignment="1" applyProtection="1">
      <alignment vertical="top"/>
    </xf>
    <xf numFmtId="0" fontId="16" fillId="0" borderId="0" xfId="0" applyFont="1" applyAlignment="1" applyProtection="1">
      <alignment vertical="top"/>
    </xf>
    <xf numFmtId="0" fontId="21" fillId="0" borderId="0" xfId="0" applyFont="1" applyAlignment="1" applyProtection="1">
      <alignment vertical="center"/>
    </xf>
    <xf numFmtId="37" fontId="23" fillId="33" borderId="1" xfId="1" applyNumberFormat="1" applyFont="1" applyFill="1" applyBorder="1" applyAlignment="1" applyProtection="1">
      <alignment horizontal="center" vertical="center"/>
    </xf>
    <xf numFmtId="49" fontId="7" fillId="32" borderId="19" xfId="0" applyNumberFormat="1" applyFont="1" applyFill="1" applyBorder="1" applyAlignment="1">
      <alignment horizontal="left" vertical="top"/>
    </xf>
    <xf numFmtId="49" fontId="7" fillId="32" borderId="20" xfId="0" applyNumberFormat="1" applyFont="1" applyFill="1" applyBorder="1" applyAlignment="1">
      <alignment vertical="top"/>
    </xf>
    <xf numFmtId="1" fontId="7" fillId="0" borderId="0" xfId="0" applyNumberFormat="1" applyFont="1" applyAlignment="1">
      <alignment horizontal="center" vertical="top"/>
    </xf>
    <xf numFmtId="1" fontId="6" fillId="5" borderId="0" xfId="0" applyNumberFormat="1" applyFont="1" applyFill="1" applyAlignment="1">
      <alignment horizontal="center" vertical="top"/>
    </xf>
    <xf numFmtId="0" fontId="6" fillId="5" borderId="0" xfId="0" applyFont="1" applyFill="1" applyAlignment="1">
      <alignment horizontal="center" vertical="top"/>
    </xf>
    <xf numFmtId="14" fontId="6" fillId="5" borderId="0" xfId="0" applyNumberFormat="1" applyFont="1" applyFill="1" applyAlignment="1">
      <alignment horizontal="center" vertical="top"/>
    </xf>
    <xf numFmtId="14" fontId="7" fillId="0" borderId="0" xfId="0" applyNumberFormat="1" applyFont="1" applyAlignment="1">
      <alignment vertical="top"/>
    </xf>
    <xf numFmtId="0" fontId="7" fillId="0" borderId="0" xfId="0" applyFont="1" applyAlignment="1">
      <alignment horizontal="center" vertical="top"/>
    </xf>
    <xf numFmtId="0" fontId="7" fillId="8" borderId="0" xfId="0" applyFont="1" applyFill="1" applyAlignment="1">
      <alignment vertical="top"/>
    </xf>
    <xf numFmtId="1" fontId="7" fillId="8" borderId="20" xfId="0" applyNumberFormat="1" applyFont="1" applyFill="1" applyBorder="1" applyAlignment="1">
      <alignment horizontal="center" vertical="top"/>
    </xf>
    <xf numFmtId="0" fontId="7" fillId="8" borderId="20" xfId="0" applyFont="1" applyFill="1" applyBorder="1" applyAlignment="1">
      <alignment horizontal="center" vertical="top"/>
    </xf>
    <xf numFmtId="14" fontId="7" fillId="8" borderId="20" xfId="0" applyNumberFormat="1" applyFont="1" applyFill="1" applyBorder="1" applyAlignment="1">
      <alignment vertical="top"/>
    </xf>
    <xf numFmtId="0" fontId="9" fillId="7" borderId="0" xfId="0" applyFont="1" applyFill="1" applyAlignment="1">
      <alignment horizontal="center" vertical="center"/>
    </xf>
    <xf numFmtId="0" fontId="7" fillId="34" borderId="0" xfId="0" applyFont="1" applyFill="1" applyAlignment="1">
      <alignment vertical="top"/>
    </xf>
    <xf numFmtId="0" fontId="7" fillId="12" borderId="0" xfId="0" applyFont="1" applyFill="1" applyAlignment="1">
      <alignment vertical="top"/>
    </xf>
    <xf numFmtId="49" fontId="6" fillId="5" borderId="0" xfId="0" applyNumberFormat="1" applyFont="1" applyFill="1" applyAlignment="1">
      <alignment horizontal="center" vertical="top"/>
    </xf>
    <xf numFmtId="0" fontId="28" fillId="8" borderId="0" xfId="0" applyFont="1" applyFill="1" applyAlignment="1">
      <alignment vertical="top"/>
    </xf>
    <xf numFmtId="49" fontId="7" fillId="8" borderId="20" xfId="0" applyNumberFormat="1" applyFont="1" applyFill="1" applyBorder="1" applyAlignment="1">
      <alignment horizontal="center" vertical="top"/>
    </xf>
    <xf numFmtId="49" fontId="7" fillId="0" borderId="0" xfId="0" applyNumberFormat="1" applyFont="1" applyAlignment="1">
      <alignment horizontal="center" vertical="top"/>
    </xf>
    <xf numFmtId="0" fontId="30" fillId="0" borderId="0" xfId="0" applyFont="1" applyAlignment="1">
      <alignment vertical="center"/>
    </xf>
    <xf numFmtId="0" fontId="29" fillId="0" borderId="0" xfId="0" applyFont="1" applyFill="1" applyBorder="1" applyAlignment="1"/>
    <xf numFmtId="0" fontId="29" fillId="0" borderId="40" xfId="0" applyFont="1" applyBorder="1" applyAlignment="1" applyProtection="1">
      <alignment vertical="top"/>
      <protection locked="0"/>
    </xf>
    <xf numFmtId="0" fontId="29" fillId="0" borderId="0" xfId="0" applyFont="1" applyBorder="1" applyAlignment="1">
      <alignment horizontal="left"/>
    </xf>
    <xf numFmtId="1" fontId="29" fillId="0" borderId="0" xfId="0" applyNumberFormat="1" applyFont="1" applyFill="1" applyBorder="1" applyAlignment="1" applyProtection="1">
      <alignment horizontal="center" vertical="top"/>
      <protection locked="0"/>
    </xf>
    <xf numFmtId="0" fontId="29" fillId="0" borderId="8" xfId="0" applyFont="1" applyBorder="1" applyAlignment="1" applyProtection="1">
      <alignment vertical="top" shrinkToFit="1"/>
      <protection locked="0"/>
    </xf>
    <xf numFmtId="164" fontId="29" fillId="0" borderId="40" xfId="0" applyNumberFormat="1" applyFont="1" applyFill="1" applyBorder="1" applyAlignment="1" applyProtection="1">
      <alignment horizontal="right"/>
      <protection locked="0"/>
    </xf>
    <xf numFmtId="0" fontId="29" fillId="0" borderId="0" xfId="0" applyFont="1" applyFill="1" applyBorder="1"/>
    <xf numFmtId="0" fontId="16" fillId="0" borderId="8" xfId="0" applyFont="1" applyBorder="1" applyAlignment="1" applyProtection="1">
      <protection locked="0"/>
    </xf>
    <xf numFmtId="49" fontId="29" fillId="0" borderId="40" xfId="0" applyNumberFormat="1" applyFont="1" applyFill="1" applyBorder="1" applyAlignment="1" applyProtection="1">
      <alignment horizontal="center" vertical="top"/>
      <protection locked="0"/>
    </xf>
    <xf numFmtId="1" fontId="29" fillId="0" borderId="40" xfId="0" applyNumberFormat="1" applyFont="1" applyFill="1" applyBorder="1" applyAlignment="1" applyProtection="1">
      <alignment horizontal="center" vertical="top"/>
      <protection locked="0"/>
    </xf>
    <xf numFmtId="0" fontId="29" fillId="0" borderId="13" xfId="0" applyFont="1" applyBorder="1" applyAlignment="1" applyProtection="1">
      <alignment vertical="top"/>
      <protection locked="0"/>
    </xf>
    <xf numFmtId="0" fontId="16" fillId="0" borderId="0" xfId="0" applyFont="1" applyFill="1"/>
    <xf numFmtId="164" fontId="29" fillId="0" borderId="8" xfId="0" applyNumberFormat="1" applyFont="1" applyFill="1" applyBorder="1" applyAlignment="1" applyProtection="1">
      <alignment horizontal="center" vertical="top"/>
      <protection locked="0"/>
    </xf>
    <xf numFmtId="0" fontId="37" fillId="0" borderId="0" xfId="0" applyFont="1" applyFill="1" applyProtection="1">
      <protection locked="0"/>
    </xf>
    <xf numFmtId="0" fontId="38" fillId="0" borderId="0" xfId="0" applyFont="1"/>
    <xf numFmtId="0" fontId="35" fillId="0" borderId="0" xfId="0" applyFont="1"/>
    <xf numFmtId="0" fontId="38" fillId="0" borderId="0" xfId="0" applyFont="1" applyAlignment="1">
      <alignment horizontal="center" vertical="center"/>
    </xf>
    <xf numFmtId="0" fontId="35" fillId="0" borderId="0" xfId="0" applyFont="1" applyFill="1"/>
    <xf numFmtId="0" fontId="39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40" fillId="0" borderId="0" xfId="0" applyFont="1" applyAlignment="1"/>
    <xf numFmtId="165" fontId="40" fillId="0" borderId="0" xfId="0" applyNumberFormat="1" applyFont="1" applyAlignment="1"/>
    <xf numFmtId="0" fontId="38" fillId="0" borderId="0" xfId="0" applyFont="1" applyAlignment="1">
      <alignment horizontal="center"/>
    </xf>
    <xf numFmtId="165" fontId="43" fillId="19" borderId="17" xfId="0" applyNumberFormat="1" applyFont="1" applyFill="1" applyBorder="1" applyAlignment="1" applyProtection="1">
      <alignment vertical="top"/>
    </xf>
    <xf numFmtId="0" fontId="35" fillId="0" borderId="0" xfId="0" applyFont="1" applyAlignment="1">
      <alignment horizontal="center"/>
    </xf>
    <xf numFmtId="0" fontId="37" fillId="24" borderId="0" xfId="0" applyFont="1" applyFill="1" applyAlignment="1">
      <alignment horizontal="center" vertical="top" wrapText="1"/>
    </xf>
    <xf numFmtId="0" fontId="37" fillId="10" borderId="0" xfId="0" applyFont="1" applyFill="1" applyAlignment="1">
      <alignment horizontal="center" vertical="top" wrapText="1"/>
    </xf>
    <xf numFmtId="0" fontId="43" fillId="27" borderId="0" xfId="0" applyFont="1" applyFill="1" applyBorder="1" applyAlignment="1">
      <alignment horizontal="center" vertical="top" wrapText="1"/>
    </xf>
    <xf numFmtId="0" fontId="45" fillId="21" borderId="2" xfId="0" applyFont="1" applyFill="1" applyBorder="1" applyAlignment="1">
      <alignment horizontal="center" vertical="top" wrapText="1"/>
    </xf>
    <xf numFmtId="0" fontId="37" fillId="0" borderId="0" xfId="0" applyFont="1" applyFill="1" applyProtection="1"/>
    <xf numFmtId="0" fontId="37" fillId="0" borderId="0" xfId="0" applyNumberFormat="1" applyFont="1" applyFill="1" applyAlignment="1">
      <alignment shrinkToFit="1"/>
    </xf>
    <xf numFmtId="0" fontId="38" fillId="25" borderId="0" xfId="0" applyFont="1" applyFill="1" applyAlignment="1">
      <alignment horizontal="center"/>
    </xf>
    <xf numFmtId="0" fontId="38" fillId="16" borderId="0" xfId="0" applyFont="1" applyFill="1" applyAlignment="1">
      <alignment horizontal="center"/>
    </xf>
    <xf numFmtId="0" fontId="35" fillId="0" borderId="15" xfId="0" applyFont="1" applyFill="1" applyBorder="1" applyAlignment="1" applyProtection="1">
      <alignment horizontal="center" vertical="top" shrinkToFit="1"/>
      <protection locked="0"/>
    </xf>
    <xf numFmtId="49" fontId="38" fillId="0" borderId="18" xfId="0" applyNumberFormat="1" applyFont="1" applyFill="1" applyBorder="1" applyAlignment="1" applyProtection="1">
      <alignment horizontal="center" vertical="top"/>
      <protection locked="0"/>
    </xf>
    <xf numFmtId="49" fontId="38" fillId="0" borderId="18" xfId="0" applyNumberFormat="1" applyFont="1" applyFill="1" applyBorder="1" applyAlignment="1" applyProtection="1">
      <alignment horizontal="left" vertical="top"/>
      <protection locked="0"/>
    </xf>
    <xf numFmtId="1" fontId="38" fillId="0" borderId="18" xfId="0" applyNumberFormat="1" applyFont="1" applyFill="1" applyBorder="1" applyAlignment="1" applyProtection="1">
      <alignment horizontal="center" vertical="top"/>
      <protection locked="0"/>
    </xf>
    <xf numFmtId="0" fontId="38" fillId="0" borderId="18" xfId="0" applyFont="1" applyFill="1" applyBorder="1" applyAlignment="1" applyProtection="1">
      <alignment vertical="top"/>
      <protection locked="0"/>
    </xf>
    <xf numFmtId="0" fontId="38" fillId="0" borderId="18" xfId="0" applyFont="1" applyFill="1" applyBorder="1" applyAlignment="1" applyProtection="1">
      <alignment vertical="top" wrapText="1"/>
      <protection locked="0"/>
    </xf>
    <xf numFmtId="0" fontId="38" fillId="0" borderId="18" xfId="0" applyFont="1" applyFill="1" applyBorder="1" applyAlignment="1" applyProtection="1">
      <alignment horizontal="left" vertical="top" shrinkToFit="1"/>
      <protection locked="0"/>
    </xf>
    <xf numFmtId="0" fontId="35" fillId="20" borderId="15" xfId="0" applyFont="1" applyFill="1" applyBorder="1" applyAlignment="1" applyProtection="1">
      <alignment horizontal="center" vertical="top" shrinkToFit="1"/>
    </xf>
    <xf numFmtId="0" fontId="35" fillId="20" borderId="2" xfId="0" applyFont="1" applyFill="1" applyBorder="1" applyAlignment="1" applyProtection="1">
      <alignment horizontal="center" vertical="top" shrinkToFit="1"/>
    </xf>
    <xf numFmtId="0" fontId="38" fillId="0" borderId="18" xfId="0" applyFont="1" applyFill="1" applyBorder="1" applyAlignment="1" applyProtection="1">
      <alignment vertical="top" shrinkToFit="1"/>
      <protection locked="0"/>
    </xf>
    <xf numFmtId="168" fontId="35" fillId="0" borderId="18" xfId="0" applyNumberFormat="1" applyFont="1" applyFill="1" applyBorder="1" applyAlignment="1" applyProtection="1">
      <alignment vertical="top"/>
      <protection locked="0"/>
    </xf>
    <xf numFmtId="4" fontId="38" fillId="0" borderId="18" xfId="2" applyNumberFormat="1" applyFont="1" applyFill="1" applyBorder="1" applyAlignment="1" applyProtection="1">
      <alignment vertical="top"/>
      <protection locked="0"/>
    </xf>
    <xf numFmtId="4" fontId="38" fillId="0" borderId="15" xfId="2" applyNumberFormat="1" applyFont="1" applyFill="1" applyBorder="1" applyAlignment="1" applyProtection="1">
      <alignment vertical="top"/>
      <protection locked="0"/>
    </xf>
    <xf numFmtId="49" fontId="38" fillId="0" borderId="35" xfId="2" applyNumberFormat="1" applyFont="1" applyFill="1" applyBorder="1" applyAlignment="1" applyProtection="1">
      <alignment vertical="top"/>
      <protection locked="0"/>
    </xf>
    <xf numFmtId="49" fontId="38" fillId="0" borderId="15" xfId="2" applyNumberFormat="1" applyFont="1" applyFill="1" applyBorder="1" applyAlignment="1" applyProtection="1">
      <alignment horizontal="center" vertical="top"/>
      <protection locked="0"/>
    </xf>
    <xf numFmtId="9" fontId="38" fillId="20" borderId="18" xfId="3" applyFont="1" applyFill="1" applyBorder="1" applyAlignment="1" applyProtection="1">
      <alignment horizontal="center" vertical="top"/>
    </xf>
    <xf numFmtId="3" fontId="38" fillId="20" borderId="6" xfId="2" applyNumberFormat="1" applyFont="1" applyFill="1" applyBorder="1" applyAlignment="1" applyProtection="1">
      <alignment horizontal="center" vertical="top"/>
    </xf>
    <xf numFmtId="3" fontId="38" fillId="20" borderId="18" xfId="2" applyNumberFormat="1" applyFont="1" applyFill="1" applyBorder="1" applyAlignment="1" applyProtection="1">
      <alignment horizontal="center" vertical="top"/>
    </xf>
    <xf numFmtId="0" fontId="16" fillId="0" borderId="0" xfId="0" applyFont="1" applyFill="1" applyProtection="1">
      <protection locked="0"/>
    </xf>
    <xf numFmtId="0" fontId="38" fillId="0" borderId="0" xfId="0" applyFont="1" applyFill="1"/>
    <xf numFmtId="4" fontId="46" fillId="0" borderId="0" xfId="0" applyNumberFormat="1" applyFont="1" applyFill="1" applyBorder="1" applyAlignment="1" applyProtection="1"/>
    <xf numFmtId="165" fontId="46" fillId="0" borderId="5" xfId="0" applyNumberFormat="1" applyFont="1" applyFill="1" applyBorder="1" applyAlignment="1" applyProtection="1">
      <alignment vertical="top"/>
    </xf>
    <xf numFmtId="0" fontId="38" fillId="0" borderId="0" xfId="0" applyNumberFormat="1" applyFont="1"/>
    <xf numFmtId="0" fontId="38" fillId="0" borderId="0" xfId="0" applyFont="1" applyAlignment="1">
      <alignment horizontal="left"/>
    </xf>
    <xf numFmtId="4" fontId="38" fillId="0" borderId="0" xfId="0" applyNumberFormat="1" applyFont="1"/>
    <xf numFmtId="0" fontId="48" fillId="0" borderId="0" xfId="0" applyFont="1" applyFill="1" applyAlignment="1" applyProtection="1">
      <alignment vertical="center"/>
    </xf>
    <xf numFmtId="2" fontId="38" fillId="0" borderId="0" xfId="0" applyNumberFormat="1" applyFont="1"/>
    <xf numFmtId="0" fontId="43" fillId="7" borderId="74" xfId="0" applyFont="1" applyFill="1" applyBorder="1" applyAlignment="1">
      <alignment horizontal="center" vertical="top" wrapText="1"/>
    </xf>
    <xf numFmtId="0" fontId="38" fillId="0" borderId="0" xfId="0" applyNumberFormat="1" applyFont="1" applyAlignment="1">
      <alignment horizontal="center" vertical="center"/>
    </xf>
    <xf numFmtId="4" fontId="38" fillId="0" borderId="0" xfId="0" applyNumberFormat="1" applyFont="1" applyAlignment="1">
      <alignment horizontal="center" vertical="center"/>
    </xf>
    <xf numFmtId="0" fontId="38" fillId="0" borderId="75" xfId="0" applyFont="1" applyBorder="1" applyAlignment="1">
      <alignment horizontal="center"/>
    </xf>
    <xf numFmtId="0" fontId="49" fillId="0" borderId="40" xfId="0" applyNumberFormat="1" applyFont="1" applyFill="1" applyBorder="1" applyAlignment="1" applyProtection="1">
      <alignment vertical="top"/>
    </xf>
    <xf numFmtId="0" fontId="35" fillId="0" borderId="40" xfId="0" applyFont="1" applyFill="1" applyBorder="1" applyAlignment="1" applyProtection="1">
      <alignment horizontal="center"/>
    </xf>
    <xf numFmtId="0" fontId="37" fillId="6" borderId="0" xfId="0" applyFont="1" applyFill="1" applyAlignment="1">
      <alignment horizontal="center" vertical="top" wrapText="1"/>
    </xf>
    <xf numFmtId="0" fontId="37" fillId="6" borderId="0" xfId="0" applyNumberFormat="1" applyFont="1" applyFill="1" applyAlignment="1">
      <alignment horizontal="center" vertical="top" wrapText="1"/>
    </xf>
    <xf numFmtId="4" fontId="37" fillId="21" borderId="0" xfId="0" applyNumberFormat="1" applyFont="1" applyFill="1" applyAlignment="1">
      <alignment horizontal="center" vertical="top" wrapText="1"/>
    </xf>
    <xf numFmtId="0" fontId="45" fillId="28" borderId="0" xfId="0" applyNumberFormat="1" applyFont="1" applyFill="1" applyBorder="1" applyAlignment="1">
      <alignment horizontal="center" vertical="top" wrapText="1"/>
    </xf>
    <xf numFmtId="0" fontId="43" fillId="30" borderId="0" xfId="0" applyFont="1" applyFill="1" applyBorder="1" applyAlignment="1">
      <alignment horizontal="center" vertical="top" wrapText="1"/>
    </xf>
    <xf numFmtId="0" fontId="37" fillId="17" borderId="0" xfId="0" applyFont="1" applyFill="1" applyAlignment="1">
      <alignment horizontal="center" vertical="top" wrapText="1"/>
    </xf>
    <xf numFmtId="4" fontId="37" fillId="0" borderId="0" xfId="2" applyNumberFormat="1" applyFont="1" applyFill="1" applyBorder="1" applyProtection="1"/>
    <xf numFmtId="165" fontId="38" fillId="29" borderId="0" xfId="0" applyNumberFormat="1" applyFont="1" applyFill="1" applyAlignment="1">
      <alignment horizontal="center"/>
    </xf>
    <xf numFmtId="0" fontId="38" fillId="29" borderId="0" xfId="0" applyNumberFormat="1" applyFont="1" applyFill="1" applyAlignment="1">
      <alignment horizontal="center"/>
    </xf>
    <xf numFmtId="165" fontId="38" fillId="29" borderId="0" xfId="0" applyNumberFormat="1" applyFont="1" applyFill="1" applyAlignment="1">
      <alignment horizontal="left"/>
    </xf>
    <xf numFmtId="1" fontId="38" fillId="29" borderId="0" xfId="0" applyNumberFormat="1" applyFont="1" applyFill="1" applyAlignment="1">
      <alignment horizontal="center"/>
    </xf>
    <xf numFmtId="1" fontId="38" fillId="29" borderId="0" xfId="0" applyNumberFormat="1" applyFont="1" applyFill="1" applyAlignment="1">
      <alignment horizontal="left"/>
    </xf>
    <xf numFmtId="167" fontId="38" fillId="29" borderId="0" xfId="0" applyNumberFormat="1" applyFont="1" applyFill="1" applyAlignment="1">
      <alignment horizontal="right"/>
    </xf>
    <xf numFmtId="0" fontId="38" fillId="29" borderId="0" xfId="0" applyNumberFormat="1" applyFont="1" applyFill="1" applyAlignment="1">
      <alignment horizontal="left"/>
    </xf>
    <xf numFmtId="4" fontId="38" fillId="29" borderId="0" xfId="0" applyNumberFormat="1" applyFont="1" applyFill="1" applyAlignment="1">
      <alignment horizontal="center"/>
    </xf>
    <xf numFmtId="0" fontId="38" fillId="20" borderId="0" xfId="0" applyFont="1" applyFill="1" applyAlignment="1">
      <alignment horizontal="center"/>
    </xf>
    <xf numFmtId="0" fontId="38" fillId="23" borderId="0" xfId="0" applyFont="1" applyFill="1" applyAlignment="1">
      <alignment horizontal="center"/>
    </xf>
    <xf numFmtId="0" fontId="38" fillId="23" borderId="0" xfId="0" applyFont="1" applyFill="1" applyAlignment="1">
      <alignment horizontal="center" vertical="center"/>
    </xf>
    <xf numFmtId="0" fontId="35" fillId="23" borderId="0" xfId="0" applyFont="1" applyFill="1" applyAlignment="1">
      <alignment horizontal="center"/>
    </xf>
    <xf numFmtId="0" fontId="45" fillId="28" borderId="7" xfId="0" applyFont="1" applyFill="1" applyBorder="1" applyAlignment="1">
      <alignment horizontal="center" shrinkToFit="1"/>
    </xf>
    <xf numFmtId="0" fontId="37" fillId="28" borderId="0" xfId="0" applyFont="1" applyFill="1" applyBorder="1" applyAlignment="1">
      <alignment horizontal="center" vertical="top" wrapText="1"/>
    </xf>
    <xf numFmtId="0" fontId="35" fillId="26" borderId="0" xfId="0" applyFont="1" applyFill="1" applyBorder="1" applyAlignment="1">
      <alignment horizontal="center" vertical="top" wrapText="1"/>
    </xf>
    <xf numFmtId="0" fontId="35" fillId="26" borderId="0" xfId="0" applyFont="1" applyFill="1" applyBorder="1" applyAlignment="1">
      <alignment horizontal="center" vertical="top"/>
    </xf>
    <xf numFmtId="0" fontId="37" fillId="21" borderId="35" xfId="0" applyFont="1" applyFill="1" applyBorder="1" applyAlignment="1">
      <alignment horizontal="center" vertical="top" wrapText="1"/>
    </xf>
    <xf numFmtId="0" fontId="37" fillId="21" borderId="0" xfId="0" applyFont="1" applyFill="1" applyBorder="1" applyAlignment="1">
      <alignment horizontal="center" vertical="top" wrapText="1"/>
    </xf>
    <xf numFmtId="0" fontId="7" fillId="7" borderId="0" xfId="0" applyFont="1" applyFill="1" applyAlignment="1" applyProtection="1">
      <alignment horizontal="center" vertical="top"/>
    </xf>
    <xf numFmtId="0" fontId="7" fillId="0" borderId="0" xfId="0" applyFont="1" applyAlignment="1" applyProtection="1">
      <alignment vertical="top"/>
      <protection locked="0"/>
    </xf>
    <xf numFmtId="4" fontId="7" fillId="0" borderId="0" xfId="0" applyNumberFormat="1" applyFont="1" applyAlignment="1" applyProtection="1">
      <alignment vertical="top"/>
      <protection locked="0"/>
    </xf>
    <xf numFmtId="167" fontId="7" fillId="0" borderId="0" xfId="0" applyNumberFormat="1" applyFont="1" applyAlignment="1" applyProtection="1">
      <alignment vertical="top"/>
      <protection locked="0"/>
    </xf>
    <xf numFmtId="167" fontId="7" fillId="0" borderId="0" xfId="0" applyNumberFormat="1" applyFont="1" applyAlignment="1" applyProtection="1">
      <alignment horizontal="center" vertical="top"/>
      <protection locked="0"/>
    </xf>
    <xf numFmtId="49" fontId="7" fillId="0" borderId="0" xfId="0" applyNumberFormat="1" applyFont="1" applyAlignment="1" applyProtection="1">
      <alignment vertical="top"/>
      <protection locked="0"/>
    </xf>
    <xf numFmtId="49" fontId="7" fillId="0" borderId="0" xfId="0" applyNumberFormat="1" applyFont="1" applyAlignment="1" applyProtection="1">
      <alignment horizontal="left" vertical="top" wrapText="1"/>
      <protection locked="0"/>
    </xf>
    <xf numFmtId="49" fontId="7" fillId="0" borderId="0" xfId="0" applyNumberFormat="1" applyFont="1" applyAlignment="1" applyProtection="1">
      <alignment horizontal="left" vertical="top"/>
      <protection locked="0"/>
    </xf>
    <xf numFmtId="49" fontId="6" fillId="5" borderId="0" xfId="0" applyNumberFormat="1" applyFont="1" applyFill="1" applyAlignment="1">
      <alignment horizontal="center" vertical="top" wrapText="1"/>
    </xf>
    <xf numFmtId="0" fontId="50" fillId="0" borderId="0" xfId="0" applyFont="1" applyAlignment="1">
      <alignment horizontal="left" vertical="top" wrapText="1"/>
    </xf>
    <xf numFmtId="49" fontId="51" fillId="8" borderId="53" xfId="0" applyNumberFormat="1" applyFont="1" applyFill="1" applyBorder="1" applyAlignment="1">
      <alignment horizontal="left" vertical="top" wrapText="1"/>
    </xf>
    <xf numFmtId="0" fontId="9" fillId="0" borderId="0" xfId="0" applyFont="1" applyAlignment="1">
      <alignment horizontal="center"/>
    </xf>
    <xf numFmtId="0" fontId="7" fillId="35" borderId="0" xfId="0" applyFont="1" applyFill="1" applyAlignment="1">
      <alignment vertical="top"/>
    </xf>
    <xf numFmtId="0" fontId="12" fillId="8" borderId="0" xfId="0" applyFont="1" applyFill="1" applyAlignment="1">
      <alignment vertical="top"/>
    </xf>
    <xf numFmtId="0" fontId="54" fillId="0" borderId="94" xfId="0" applyFont="1" applyFill="1" applyBorder="1" applyAlignment="1">
      <alignment horizontal="left" vertical="center"/>
    </xf>
    <xf numFmtId="0" fontId="52" fillId="0" borderId="94" xfId="0" applyFont="1" applyFill="1" applyBorder="1" applyAlignment="1">
      <alignment horizontal="left"/>
    </xf>
    <xf numFmtId="0" fontId="52" fillId="0" borderId="94" xfId="0" applyFont="1" applyFill="1" applyBorder="1" applyAlignment="1">
      <alignment vertical="center"/>
    </xf>
    <xf numFmtId="0" fontId="53" fillId="0" borderId="94" xfId="0" applyFont="1" applyFill="1" applyBorder="1"/>
    <xf numFmtId="0" fontId="57" fillId="0" borderId="0" xfId="0" applyFont="1" applyFill="1" applyAlignment="1">
      <alignment horizontal="right" vertical="top"/>
    </xf>
    <xf numFmtId="0" fontId="57" fillId="0" borderId="0" xfId="0" applyFont="1" applyFill="1" applyAlignment="1">
      <alignment vertical="top"/>
    </xf>
    <xf numFmtId="3" fontId="29" fillId="38" borderId="8" xfId="0" applyNumberFormat="1" applyFont="1" applyFill="1" applyBorder="1" applyAlignment="1"/>
    <xf numFmtId="3" fontId="29" fillId="38" borderId="14" xfId="0" applyNumberFormat="1" applyFont="1" applyFill="1" applyBorder="1" applyAlignment="1"/>
    <xf numFmtId="0" fontId="29" fillId="38" borderId="6" xfId="0" applyFont="1" applyFill="1" applyBorder="1" applyAlignment="1">
      <alignment horizontal="right" vertical="top"/>
    </xf>
    <xf numFmtId="0" fontId="16" fillId="38" borderId="6" xfId="0" applyFont="1" applyFill="1" applyBorder="1" applyAlignment="1" applyProtection="1">
      <alignment horizontal="right" shrinkToFit="1"/>
    </xf>
    <xf numFmtId="0" fontId="16" fillId="38" borderId="18" xfId="0" applyFont="1" applyFill="1" applyBorder="1" applyAlignment="1" applyProtection="1">
      <alignment horizontal="right" shrinkToFit="1"/>
    </xf>
    <xf numFmtId="0" fontId="16" fillId="38" borderId="11" xfId="0" applyFont="1" applyFill="1" applyBorder="1" applyAlignment="1" applyProtection="1">
      <alignment horizontal="right" shrinkToFit="1"/>
    </xf>
    <xf numFmtId="0" fontId="58" fillId="0" borderId="0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right" vertical="top"/>
    </xf>
    <xf numFmtId="0" fontId="29" fillId="0" borderId="72" xfId="0" applyFont="1" applyBorder="1" applyAlignment="1" applyProtection="1">
      <alignment vertical="top"/>
      <protection locked="0"/>
    </xf>
    <xf numFmtId="0" fontId="34" fillId="38" borderId="9" xfId="0" applyFont="1" applyFill="1" applyBorder="1" applyAlignment="1">
      <alignment horizontal="center" vertical="center" wrapText="1"/>
    </xf>
    <xf numFmtId="0" fontId="34" fillId="38" borderId="10" xfId="0" applyFont="1" applyFill="1" applyBorder="1" applyAlignment="1">
      <alignment horizontal="center" vertical="center" wrapText="1"/>
    </xf>
    <xf numFmtId="0" fontId="29" fillId="0" borderId="72" xfId="0" applyFont="1" applyFill="1" applyBorder="1" applyAlignment="1" applyProtection="1">
      <alignment horizontal="center" vertical="top"/>
      <protection locked="0"/>
    </xf>
    <xf numFmtId="49" fontId="34" fillId="0" borderId="11" xfId="0" applyNumberFormat="1" applyFont="1" applyBorder="1" applyAlignment="1" applyProtection="1">
      <alignment horizontal="center" vertical="center" shrinkToFit="1"/>
      <protection locked="0"/>
    </xf>
    <xf numFmtId="49" fontId="34" fillId="0" borderId="13" xfId="0" applyNumberFormat="1" applyFont="1" applyBorder="1" applyAlignment="1" applyProtection="1">
      <alignment horizontal="center" vertical="center" shrinkToFit="1"/>
      <protection locked="0"/>
    </xf>
    <xf numFmtId="0" fontId="59" fillId="0" borderId="15" xfId="0" applyFont="1" applyFill="1" applyBorder="1" applyAlignment="1">
      <alignment horizontal="right" vertical="top" indent="1"/>
    </xf>
    <xf numFmtId="0" fontId="59" fillId="0" borderId="9" xfId="0" applyFont="1" applyFill="1" applyBorder="1" applyAlignment="1">
      <alignment horizontal="right" vertical="top" indent="1"/>
    </xf>
    <xf numFmtId="0" fontId="60" fillId="0" borderId="0" xfId="0" applyFont="1" applyFill="1" applyBorder="1" applyAlignment="1">
      <alignment horizontal="right" vertical="top" indent="1"/>
    </xf>
    <xf numFmtId="0" fontId="60" fillId="0" borderId="5" xfId="0" applyFont="1" applyFill="1" applyBorder="1" applyAlignment="1">
      <alignment horizontal="right" vertical="top" indent="1"/>
    </xf>
    <xf numFmtId="0" fontId="63" fillId="0" borderId="94" xfId="0" applyFont="1" applyFill="1" applyBorder="1" applyAlignment="1"/>
    <xf numFmtId="0" fontId="63" fillId="0" borderId="94" xfId="0" applyFont="1" applyFill="1" applyBorder="1" applyAlignment="1">
      <alignment vertical="center"/>
    </xf>
    <xf numFmtId="0" fontId="63" fillId="0" borderId="94" xfId="0" applyFont="1" applyFill="1" applyBorder="1" applyAlignment="1">
      <alignment horizontal="left" vertical="center"/>
    </xf>
    <xf numFmtId="0" fontId="64" fillId="0" borderId="94" xfId="0" applyFont="1" applyFill="1" applyBorder="1" applyAlignment="1">
      <alignment horizontal="center" vertical="center"/>
    </xf>
    <xf numFmtId="0" fontId="38" fillId="38" borderId="0" xfId="0" applyFont="1" applyFill="1" applyBorder="1" applyAlignment="1">
      <alignment horizontal="center" vertical="top" wrapText="1"/>
    </xf>
    <xf numFmtId="0" fontId="38" fillId="37" borderId="0" xfId="0" applyFont="1" applyFill="1" applyBorder="1" applyAlignment="1">
      <alignment horizontal="center" vertical="top" wrapText="1"/>
    </xf>
    <xf numFmtId="0" fontId="29" fillId="38" borderId="2" xfId="0" applyFont="1" applyFill="1" applyBorder="1" applyAlignment="1">
      <alignment horizontal="right" vertical="top"/>
    </xf>
    <xf numFmtId="0" fontId="29" fillId="38" borderId="2" xfId="0" applyFont="1" applyFill="1" applyBorder="1" applyAlignment="1">
      <alignment horizontal="right" vertical="top" shrinkToFit="1"/>
    </xf>
    <xf numFmtId="0" fontId="29" fillId="38" borderId="16" xfId="0" applyFont="1" applyFill="1" applyBorder="1" applyAlignment="1">
      <alignment horizontal="right" vertical="top"/>
    </xf>
    <xf numFmtId="0" fontId="32" fillId="38" borderId="2" xfId="0" applyFont="1" applyFill="1" applyBorder="1" applyAlignment="1">
      <alignment horizontal="right" vertical="top" shrinkToFit="1"/>
    </xf>
    <xf numFmtId="0" fontId="65" fillId="0" borderId="94" xfId="0" applyFont="1" applyFill="1" applyBorder="1" applyAlignment="1">
      <alignment vertical="center"/>
    </xf>
    <xf numFmtId="0" fontId="35" fillId="38" borderId="12" xfId="0" applyFont="1" applyFill="1" applyBorder="1"/>
    <xf numFmtId="0" fontId="35" fillId="38" borderId="17" xfId="0" applyFont="1" applyFill="1" applyBorder="1"/>
    <xf numFmtId="0" fontId="38" fillId="38" borderId="17" xfId="0" applyFont="1" applyFill="1" applyBorder="1"/>
    <xf numFmtId="0" fontId="43" fillId="38" borderId="15" xfId="0" applyFont="1" applyFill="1" applyBorder="1" applyAlignment="1">
      <alignment horizontal="center" vertical="top" wrapText="1"/>
    </xf>
    <xf numFmtId="0" fontId="38" fillId="38" borderId="18" xfId="0" applyFont="1" applyFill="1" applyBorder="1" applyAlignment="1">
      <alignment horizontal="center" vertical="center" wrapText="1"/>
    </xf>
    <xf numFmtId="0" fontId="35" fillId="38" borderId="0" xfId="0" applyFont="1" applyFill="1" applyBorder="1" applyAlignment="1">
      <alignment horizontal="center" vertical="top" wrapText="1"/>
    </xf>
    <xf numFmtId="0" fontId="68" fillId="0" borderId="0" xfId="0" applyFont="1" applyAlignment="1">
      <alignment vertical="top"/>
    </xf>
    <xf numFmtId="0" fontId="29" fillId="0" borderId="0" xfId="0" applyFont="1" applyAlignment="1">
      <alignment vertical="top"/>
    </xf>
    <xf numFmtId="0" fontId="29" fillId="0" borderId="5" xfId="0" applyFont="1" applyBorder="1" applyAlignment="1">
      <alignment vertical="top"/>
    </xf>
    <xf numFmtId="0" fontId="30" fillId="0" borderId="0" xfId="0" applyFont="1" applyAlignment="1">
      <alignment vertical="top"/>
    </xf>
    <xf numFmtId="164" fontId="29" fillId="0" borderId="0" xfId="0" applyNumberFormat="1" applyFont="1" applyAlignment="1">
      <alignment vertical="top"/>
    </xf>
    <xf numFmtId="4" fontId="29" fillId="0" borderId="0" xfId="0" applyNumberFormat="1" applyFont="1" applyAlignment="1">
      <alignment vertical="top"/>
    </xf>
    <xf numFmtId="0" fontId="29" fillId="0" borderId="0" xfId="0" applyFont="1" applyBorder="1" applyAlignment="1">
      <alignment vertical="top"/>
    </xf>
    <xf numFmtId="0" fontId="29" fillId="0" borderId="40" xfId="0" applyFont="1" applyBorder="1" applyAlignment="1">
      <alignment horizontal="center" vertical="top"/>
    </xf>
    <xf numFmtId="0" fontId="29" fillId="0" borderId="15" xfId="0" applyFont="1" applyBorder="1" applyAlignment="1">
      <alignment vertical="top"/>
    </xf>
    <xf numFmtId="0" fontId="29" fillId="0" borderId="2" xfId="0" applyFont="1" applyBorder="1" applyAlignment="1">
      <alignment vertical="top"/>
    </xf>
    <xf numFmtId="0" fontId="68" fillId="39" borderId="35" xfId="0" applyFont="1" applyFill="1" applyBorder="1" applyAlignment="1">
      <alignment vertical="top"/>
    </xf>
    <xf numFmtId="0" fontId="68" fillId="39" borderId="0" xfId="0" applyFont="1" applyFill="1" applyBorder="1" applyAlignment="1">
      <alignment vertical="top"/>
    </xf>
    <xf numFmtId="0" fontId="29" fillId="39" borderId="35" xfId="0" applyFont="1" applyFill="1" applyBorder="1" applyAlignment="1">
      <alignment vertical="top"/>
    </xf>
    <xf numFmtId="0" fontId="29" fillId="39" borderId="0" xfId="0" applyFont="1" applyFill="1" applyBorder="1" applyAlignment="1">
      <alignment vertical="top"/>
    </xf>
    <xf numFmtId="0" fontId="29" fillId="39" borderId="38" xfId="0" applyFont="1" applyFill="1" applyBorder="1" applyAlignment="1">
      <alignment vertical="top"/>
    </xf>
    <xf numFmtId="0" fontId="29" fillId="39" borderId="39" xfId="0" applyFont="1" applyFill="1" applyBorder="1" applyAlignment="1">
      <alignment vertical="top"/>
    </xf>
    <xf numFmtId="0" fontId="29" fillId="0" borderId="9" xfId="0" applyFont="1" applyBorder="1" applyAlignment="1">
      <alignment vertical="top"/>
    </xf>
    <xf numFmtId="0" fontId="29" fillId="0" borderId="10" xfId="0" applyFont="1" applyBorder="1" applyAlignment="1">
      <alignment vertical="top"/>
    </xf>
    <xf numFmtId="0" fontId="29" fillId="0" borderId="15" xfId="0" applyFont="1" applyFill="1" applyBorder="1" applyAlignment="1">
      <alignment vertical="top"/>
    </xf>
    <xf numFmtId="0" fontId="29" fillId="0" borderId="0" xfId="0" applyFont="1" applyFill="1" applyBorder="1" applyAlignment="1">
      <alignment vertical="top"/>
    </xf>
    <xf numFmtId="0" fontId="29" fillId="0" borderId="17" xfId="0" applyFont="1" applyBorder="1" applyAlignment="1">
      <alignment vertical="top"/>
    </xf>
    <xf numFmtId="0" fontId="29" fillId="0" borderId="16" xfId="0" applyFont="1" applyBorder="1" applyAlignment="1">
      <alignment vertical="top"/>
    </xf>
    <xf numFmtId="0" fontId="33" fillId="10" borderId="0" xfId="0" applyFont="1" applyFill="1" applyAlignment="1">
      <alignment horizontal="center" vertical="top"/>
    </xf>
    <xf numFmtId="0" fontId="29" fillId="8" borderId="0" xfId="0" applyFont="1" applyFill="1" applyAlignment="1" applyProtection="1">
      <alignment vertical="top"/>
      <protection locked="0"/>
    </xf>
    <xf numFmtId="0" fontId="75" fillId="0" borderId="0" xfId="0" applyFont="1" applyBorder="1" applyAlignment="1">
      <alignment horizontal="right" vertical="top"/>
    </xf>
    <xf numFmtId="165" fontId="29" fillId="0" borderId="0" xfId="0" applyNumberFormat="1" applyFont="1" applyBorder="1" applyAlignment="1">
      <alignment vertical="top"/>
    </xf>
    <xf numFmtId="165" fontId="29" fillId="0" borderId="2" xfId="0" applyNumberFormat="1" applyFont="1" applyBorder="1" applyAlignment="1">
      <alignment vertical="top"/>
    </xf>
    <xf numFmtId="0" fontId="29" fillId="0" borderId="91" xfId="0" applyFont="1" applyBorder="1" applyAlignment="1">
      <alignment vertical="top"/>
    </xf>
    <xf numFmtId="0" fontId="29" fillId="0" borderId="92" xfId="0" applyFont="1" applyBorder="1" applyAlignment="1">
      <alignment vertical="top"/>
    </xf>
    <xf numFmtId="165" fontId="29" fillId="0" borderId="92" xfId="0" applyNumberFormat="1" applyFont="1" applyBorder="1" applyAlignment="1">
      <alignment vertical="top"/>
    </xf>
    <xf numFmtId="165" fontId="76" fillId="0" borderId="92" xfId="0" applyNumberFormat="1" applyFont="1" applyBorder="1" applyAlignment="1">
      <alignment vertical="top"/>
    </xf>
    <xf numFmtId="165" fontId="70" fillId="0" borderId="92" xfId="0" applyNumberFormat="1" applyFont="1" applyBorder="1" applyAlignment="1">
      <alignment horizontal="right" vertical="top"/>
    </xf>
    <xf numFmtId="0" fontId="33" fillId="0" borderId="0" xfId="0" applyFont="1" applyFill="1" applyBorder="1" applyAlignment="1">
      <alignment vertical="top"/>
    </xf>
    <xf numFmtId="0" fontId="34" fillId="0" borderId="0" xfId="0" applyFont="1" applyFill="1" applyBorder="1" applyAlignment="1" applyProtection="1">
      <alignment vertical="top" shrinkToFit="1"/>
      <protection locked="0"/>
    </xf>
    <xf numFmtId="164" fontId="34" fillId="0" borderId="0" xfId="0" applyNumberFormat="1" applyFont="1" applyFill="1" applyBorder="1" applyAlignment="1">
      <alignment vertical="top"/>
    </xf>
    <xf numFmtId="0" fontId="29" fillId="0" borderId="0" xfId="0" applyFont="1" applyBorder="1" applyAlignment="1">
      <alignment vertical="top" wrapText="1"/>
    </xf>
    <xf numFmtId="0" fontId="59" fillId="0" borderId="0" xfId="0" applyFont="1" applyFill="1" applyBorder="1" applyAlignment="1">
      <alignment horizontal="right" vertical="top"/>
    </xf>
    <xf numFmtId="0" fontId="59" fillId="0" borderId="5" xfId="0" applyFont="1" applyFill="1" applyBorder="1" applyAlignment="1">
      <alignment horizontal="right" vertical="top"/>
    </xf>
    <xf numFmtId="0" fontId="29" fillId="0" borderId="5" xfId="0" applyFont="1" applyFill="1" applyBorder="1" applyAlignment="1">
      <alignment vertical="top"/>
    </xf>
    <xf numFmtId="0" fontId="79" fillId="0" borderId="0" xfId="0" applyFont="1" applyFill="1" applyAlignment="1">
      <alignment vertical="top"/>
    </xf>
    <xf numFmtId="0" fontId="65" fillId="0" borderId="102" xfId="0" applyFont="1" applyBorder="1" applyAlignment="1">
      <alignment vertical="top"/>
    </xf>
    <xf numFmtId="0" fontId="30" fillId="0" borderId="102" xfId="0" applyFont="1" applyBorder="1" applyAlignment="1">
      <alignment vertical="top"/>
    </xf>
    <xf numFmtId="0" fontId="69" fillId="0" borderId="102" xfId="0" applyFont="1" applyBorder="1" applyAlignment="1">
      <alignment horizontal="center" vertical="top"/>
    </xf>
    <xf numFmtId="0" fontId="29" fillId="0" borderId="102" xfId="0" applyFont="1" applyBorder="1" applyAlignment="1">
      <alignment vertical="top"/>
    </xf>
    <xf numFmtId="0" fontId="81" fillId="0" borderId="12" xfId="0" applyFont="1" applyBorder="1" applyAlignment="1">
      <alignment vertical="top"/>
    </xf>
    <xf numFmtId="0" fontId="81" fillId="0" borderId="15" xfId="0" applyFont="1" applyBorder="1" applyAlignment="1">
      <alignment vertical="top"/>
    </xf>
    <xf numFmtId="0" fontId="29" fillId="0" borderId="0" xfId="0" applyFont="1" applyFill="1" applyAlignment="1">
      <alignment vertical="top"/>
    </xf>
    <xf numFmtId="0" fontId="34" fillId="40" borderId="0" xfId="0" applyFont="1" applyFill="1" applyBorder="1" applyAlignment="1">
      <alignment vertical="top"/>
    </xf>
    <xf numFmtId="0" fontId="34" fillId="40" borderId="0" xfId="0" applyFont="1" applyFill="1" applyBorder="1" applyAlignment="1">
      <alignment horizontal="right" vertical="top"/>
    </xf>
    <xf numFmtId="0" fontId="34" fillId="40" borderId="2" xfId="0" applyFont="1" applyFill="1" applyBorder="1" applyAlignment="1">
      <alignment horizontal="right" vertical="top"/>
    </xf>
    <xf numFmtId="0" fontId="34" fillId="40" borderId="5" xfId="0" applyFont="1" applyFill="1" applyBorder="1" applyAlignment="1">
      <alignment horizontal="right" vertical="top"/>
    </xf>
    <xf numFmtId="0" fontId="34" fillId="40" borderId="10" xfId="0" applyFont="1" applyFill="1" applyBorder="1" applyAlignment="1">
      <alignment horizontal="right" vertical="top"/>
    </xf>
    <xf numFmtId="0" fontId="34" fillId="40" borderId="17" xfId="0" applyFont="1" applyFill="1" applyBorder="1" applyAlignment="1">
      <alignment vertical="top"/>
    </xf>
    <xf numFmtId="0" fontId="34" fillId="40" borderId="17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164" fontId="29" fillId="41" borderId="6" xfId="0" applyNumberFormat="1" applyFont="1" applyFill="1" applyBorder="1" applyAlignment="1" applyProtection="1">
      <alignment horizontal="right"/>
    </xf>
    <xf numFmtId="164" fontId="29" fillId="41" borderId="18" xfId="0" applyNumberFormat="1" applyFont="1" applyFill="1" applyBorder="1" applyAlignment="1" applyProtection="1">
      <alignment horizontal="right"/>
    </xf>
    <xf numFmtId="164" fontId="29" fillId="41" borderId="11" xfId="0" applyNumberFormat="1" applyFont="1" applyFill="1" applyBorder="1" applyAlignment="1" applyProtection="1">
      <alignment horizontal="right"/>
    </xf>
    <xf numFmtId="164" fontId="29" fillId="41" borderId="2" xfId="0" applyNumberFormat="1" applyFont="1" applyFill="1" applyBorder="1" applyAlignment="1" applyProtection="1"/>
    <xf numFmtId="164" fontId="29" fillId="41" borderId="2" xfId="0" applyNumberFormat="1" applyFont="1" applyFill="1" applyBorder="1" applyAlignment="1" applyProtection="1">
      <alignment horizontal="right"/>
    </xf>
    <xf numFmtId="164" fontId="29" fillId="41" borderId="10" xfId="0" applyNumberFormat="1" applyFont="1" applyFill="1" applyBorder="1" applyAlignment="1" applyProtection="1">
      <alignment horizontal="right"/>
    </xf>
    <xf numFmtId="0" fontId="62" fillId="0" borderId="0" xfId="0" applyFont="1" applyAlignment="1" applyProtection="1">
      <alignment vertical="center"/>
    </xf>
    <xf numFmtId="0" fontId="86" fillId="40" borderId="3" xfId="1" applyFont="1" applyFill="1" applyBorder="1" applyAlignment="1" applyProtection="1">
      <alignment horizontal="left" vertical="center" wrapText="1" indent="1"/>
    </xf>
    <xf numFmtId="0" fontId="86" fillId="37" borderId="3" xfId="1" applyFont="1" applyFill="1" applyBorder="1" applyAlignment="1" applyProtection="1">
      <alignment horizontal="left" vertical="center" wrapText="1" indent="1"/>
    </xf>
    <xf numFmtId="0" fontId="87" fillId="39" borderId="3" xfId="1" applyFont="1" applyFill="1" applyBorder="1" applyAlignment="1" applyProtection="1">
      <alignment horizontal="left" vertical="center" indent="1"/>
    </xf>
    <xf numFmtId="166" fontId="27" fillId="4" borderId="4" xfId="2" applyNumberFormat="1" applyFont="1" applyFill="1" applyBorder="1" applyAlignment="1" applyProtection="1">
      <alignment horizontal="left" vertical="center" wrapText="1" indent="1"/>
    </xf>
    <xf numFmtId="0" fontId="34" fillId="0" borderId="0" xfId="0" applyFont="1" applyFill="1" applyAlignment="1">
      <alignment vertical="top"/>
    </xf>
    <xf numFmtId="0" fontId="9" fillId="8" borderId="13" xfId="0" applyFont="1" applyFill="1" applyBorder="1" applyAlignment="1" applyProtection="1">
      <alignment horizontal="center" vertical="top"/>
      <protection locked="0"/>
    </xf>
    <xf numFmtId="0" fontId="34" fillId="40" borderId="10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0" fontId="34" fillId="40" borderId="10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0" fontId="19" fillId="0" borderId="0" xfId="0" applyFont="1" applyAlignment="1" applyProtection="1">
      <alignment horizontal="left" vertical="top" wrapText="1"/>
    </xf>
    <xf numFmtId="0" fontId="17" fillId="33" borderId="0" xfId="0" applyFont="1" applyFill="1" applyAlignment="1">
      <alignment horizontal="left" vertical="center"/>
    </xf>
    <xf numFmtId="0" fontId="19" fillId="0" borderId="0" xfId="0" applyFont="1" applyAlignment="1" applyProtection="1">
      <alignment horizontal="left" vertical="top"/>
    </xf>
    <xf numFmtId="0" fontId="88" fillId="37" borderId="0" xfId="0" applyFont="1" applyFill="1" applyBorder="1" applyAlignment="1" applyProtection="1">
      <alignment horizontal="center" vertical="center" wrapText="1"/>
    </xf>
    <xf numFmtId="0" fontId="88" fillId="37" borderId="2" xfId="0" applyFont="1" applyFill="1" applyBorder="1" applyAlignment="1" applyProtection="1">
      <alignment horizontal="center" vertical="center" wrapText="1"/>
    </xf>
    <xf numFmtId="0" fontId="85" fillId="39" borderId="0" xfId="1" applyFont="1" applyFill="1" applyBorder="1" applyAlignment="1" applyProtection="1">
      <alignment horizontal="center" vertical="center"/>
    </xf>
    <xf numFmtId="0" fontId="85" fillId="39" borderId="2" xfId="1" applyFont="1" applyFill="1" applyBorder="1" applyAlignment="1" applyProtection="1">
      <alignment horizontal="center" vertical="center"/>
    </xf>
    <xf numFmtId="0" fontId="19" fillId="0" borderId="0" xfId="0" quotePrefix="1" applyFont="1" applyAlignment="1" applyProtection="1">
      <alignment horizontal="left" vertical="top" wrapText="1"/>
    </xf>
    <xf numFmtId="0" fontId="88" fillId="40" borderId="0" xfId="0" applyFont="1" applyFill="1" applyBorder="1" applyAlignment="1" applyProtection="1">
      <alignment horizontal="center" vertical="center" wrapText="1"/>
    </xf>
    <xf numFmtId="0" fontId="88" fillId="40" borderId="2" xfId="0" applyFont="1" applyFill="1" applyBorder="1" applyAlignment="1" applyProtection="1">
      <alignment horizontal="center" vertical="center" wrapText="1"/>
    </xf>
    <xf numFmtId="0" fontId="91" fillId="0" borderId="0" xfId="7" applyFont="1" applyAlignment="1" applyProtection="1">
      <alignment horizontal="center" vertical="top" wrapText="1"/>
    </xf>
    <xf numFmtId="0" fontId="29" fillId="38" borderId="18" xfId="0" applyFont="1" applyFill="1" applyBorder="1" applyAlignment="1">
      <alignment horizontal="right" vertical="top" wrapText="1"/>
    </xf>
    <xf numFmtId="0" fontId="29" fillId="38" borderId="11" xfId="0" applyFont="1" applyFill="1" applyBorder="1" applyAlignment="1">
      <alignment horizontal="right" vertical="top" wrapText="1"/>
    </xf>
    <xf numFmtId="0" fontId="36" fillId="38" borderId="2" xfId="0" applyFont="1" applyFill="1" applyBorder="1" applyAlignment="1">
      <alignment horizontal="right" vertical="top" wrapText="1"/>
    </xf>
    <xf numFmtId="0" fontId="26" fillId="39" borderId="12" xfId="0" applyFont="1" applyFill="1" applyBorder="1" applyAlignment="1">
      <alignment horizontal="center"/>
    </xf>
    <xf numFmtId="0" fontId="26" fillId="39" borderId="16" xfId="0" applyFont="1" applyFill="1" applyBorder="1" applyAlignment="1">
      <alignment horizontal="center"/>
    </xf>
    <xf numFmtId="0" fontId="31" fillId="0" borderId="68" xfId="0" applyFont="1" applyBorder="1" applyAlignment="1" applyProtection="1">
      <alignment horizontal="left" vertical="top"/>
      <protection locked="0"/>
    </xf>
    <xf numFmtId="0" fontId="31" fillId="0" borderId="8" xfId="0" applyFont="1" applyBorder="1" applyAlignment="1" applyProtection="1">
      <alignment horizontal="left" vertical="top"/>
      <protection locked="0"/>
    </xf>
    <xf numFmtId="0" fontId="29" fillId="0" borderId="12" xfId="0" applyFont="1" applyFill="1" applyBorder="1" applyAlignment="1" applyProtection="1">
      <alignment horizontal="left" vertical="top" wrapText="1"/>
      <protection locked="0"/>
    </xf>
    <xf numFmtId="0" fontId="29" fillId="0" borderId="17" xfId="0" applyFont="1" applyFill="1" applyBorder="1" applyAlignment="1" applyProtection="1">
      <alignment horizontal="left" vertical="top" wrapText="1"/>
      <protection locked="0"/>
    </xf>
    <xf numFmtId="0" fontId="29" fillId="0" borderId="16" xfId="0" applyFont="1" applyFill="1" applyBorder="1" applyAlignment="1" applyProtection="1">
      <alignment horizontal="left" vertical="top" wrapText="1"/>
      <protection locked="0"/>
    </xf>
    <xf numFmtId="0" fontId="29" fillId="0" borderId="15" xfId="0" applyFont="1" applyFill="1" applyBorder="1" applyAlignment="1" applyProtection="1">
      <alignment horizontal="left" vertical="top" wrapText="1"/>
      <protection locked="0"/>
    </xf>
    <xf numFmtId="0" fontId="29" fillId="0" borderId="0" xfId="0" applyFont="1" applyFill="1" applyBorder="1" applyAlignment="1" applyProtection="1">
      <alignment horizontal="left" vertical="top" wrapText="1"/>
      <protection locked="0"/>
    </xf>
    <xf numFmtId="0" fontId="29" fillId="0" borderId="2" xfId="0" applyFont="1" applyFill="1" applyBorder="1" applyAlignment="1" applyProtection="1">
      <alignment horizontal="left" vertical="top" wrapText="1"/>
      <protection locked="0"/>
    </xf>
    <xf numFmtId="0" fontId="29" fillId="0" borderId="9" xfId="0" applyFont="1" applyFill="1" applyBorder="1" applyAlignment="1" applyProtection="1">
      <alignment horizontal="left" vertical="top" wrapText="1"/>
      <protection locked="0"/>
    </xf>
    <xf numFmtId="0" fontId="29" fillId="0" borderId="5" xfId="0" applyFont="1" applyFill="1" applyBorder="1" applyAlignment="1" applyProtection="1">
      <alignment horizontal="left" vertical="top" wrapText="1"/>
      <protection locked="0"/>
    </xf>
    <xf numFmtId="0" fontId="29" fillId="0" borderId="10" xfId="0" applyFont="1" applyFill="1" applyBorder="1" applyAlignment="1" applyProtection="1">
      <alignment horizontal="left" vertical="top" wrapText="1"/>
      <protection locked="0"/>
    </xf>
    <xf numFmtId="0" fontId="29" fillId="38" borderId="5" xfId="0" applyFont="1" applyFill="1" applyBorder="1" applyAlignment="1">
      <alignment horizontal="center"/>
    </xf>
    <xf numFmtId="0" fontId="33" fillId="39" borderId="68" xfId="0" applyFont="1" applyFill="1" applyBorder="1" applyAlignment="1">
      <alignment horizontal="center"/>
    </xf>
    <xf numFmtId="0" fontId="33" fillId="39" borderId="7" xfId="0" applyFont="1" applyFill="1" applyBorder="1" applyAlignment="1">
      <alignment horizontal="center"/>
    </xf>
    <xf numFmtId="0" fontId="29" fillId="0" borderId="6" xfId="0" applyFont="1" applyBorder="1" applyAlignment="1" applyProtection="1">
      <alignment horizontal="left" vertical="top" wrapText="1"/>
      <protection locked="0"/>
    </xf>
    <xf numFmtId="0" fontId="29" fillId="0" borderId="18" xfId="0" applyFont="1" applyBorder="1" applyAlignment="1" applyProtection="1">
      <alignment horizontal="left" vertical="top" wrapText="1"/>
      <protection locked="0"/>
    </xf>
    <xf numFmtId="0" fontId="29" fillId="0" borderId="11" xfId="0" applyFont="1" applyBorder="1" applyAlignment="1" applyProtection="1">
      <alignment horizontal="left" vertical="top" wrapText="1"/>
      <protection locked="0"/>
    </xf>
    <xf numFmtId="0" fontId="33" fillId="36" borderId="7" xfId="0" applyFont="1" applyFill="1" applyBorder="1" applyAlignment="1">
      <alignment horizontal="center"/>
    </xf>
    <xf numFmtId="0" fontId="66" fillId="0" borderId="12" xfId="0" applyFont="1" applyFill="1" applyBorder="1" applyAlignment="1" applyProtection="1">
      <alignment horizontal="left" vertical="top" wrapText="1"/>
      <protection locked="0"/>
    </xf>
    <xf numFmtId="0" fontId="66" fillId="0" borderId="17" xfId="0" applyFont="1" applyFill="1" applyBorder="1" applyAlignment="1" applyProtection="1">
      <alignment horizontal="left" vertical="top" wrapText="1"/>
      <protection locked="0"/>
    </xf>
    <xf numFmtId="0" fontId="66" fillId="0" borderId="16" xfId="0" applyFont="1" applyFill="1" applyBorder="1" applyAlignment="1" applyProtection="1">
      <alignment horizontal="left" vertical="top" wrapText="1"/>
      <protection locked="0"/>
    </xf>
    <xf numFmtId="0" fontId="66" fillId="0" borderId="15" xfId="0" applyFont="1" applyFill="1" applyBorder="1" applyAlignment="1" applyProtection="1">
      <alignment horizontal="left" vertical="top" wrapText="1"/>
      <protection locked="0"/>
    </xf>
    <xf numFmtId="0" fontId="66" fillId="0" borderId="0" xfId="0" applyFont="1" applyFill="1" applyBorder="1" applyAlignment="1" applyProtection="1">
      <alignment horizontal="left" vertical="top" wrapText="1"/>
      <protection locked="0"/>
    </xf>
    <xf numFmtId="0" fontId="66" fillId="0" borderId="2" xfId="0" applyFont="1" applyFill="1" applyBorder="1" applyAlignment="1" applyProtection="1">
      <alignment horizontal="left" vertical="top" wrapText="1"/>
      <protection locked="0"/>
    </xf>
    <xf numFmtId="0" fontId="66" fillId="0" borderId="9" xfId="0" applyFont="1" applyFill="1" applyBorder="1" applyAlignment="1" applyProtection="1">
      <alignment horizontal="left" vertical="top" wrapText="1"/>
      <protection locked="0"/>
    </xf>
    <xf numFmtId="0" fontId="66" fillId="0" borderId="5" xfId="0" applyFont="1" applyFill="1" applyBorder="1" applyAlignment="1" applyProtection="1">
      <alignment horizontal="left" vertical="top" wrapText="1"/>
      <protection locked="0"/>
    </xf>
    <xf numFmtId="0" fontId="66" fillId="0" borderId="10" xfId="0" applyFont="1" applyFill="1" applyBorder="1" applyAlignment="1" applyProtection="1">
      <alignment horizontal="left" vertical="top" wrapText="1"/>
      <protection locked="0"/>
    </xf>
    <xf numFmtId="0" fontId="67" fillId="38" borderId="95" xfId="0" applyFont="1" applyFill="1" applyBorder="1" applyAlignment="1">
      <alignment horizontal="center" vertical="center"/>
    </xf>
    <xf numFmtId="0" fontId="67" fillId="38" borderId="98" xfId="0" applyFont="1" applyFill="1" applyBorder="1" applyAlignment="1">
      <alignment horizontal="center" vertical="center"/>
    </xf>
    <xf numFmtId="3" fontId="62" fillId="41" borderId="96" xfId="0" applyNumberFormat="1" applyFont="1" applyFill="1" applyBorder="1" applyAlignment="1" applyProtection="1">
      <alignment horizontal="center" vertical="center"/>
    </xf>
    <xf numFmtId="3" fontId="62" fillId="41" borderId="97" xfId="0" applyNumberFormat="1" applyFont="1" applyFill="1" applyBorder="1" applyAlignment="1" applyProtection="1">
      <alignment horizontal="center" vertical="center"/>
    </xf>
    <xf numFmtId="3" fontId="62" fillId="41" borderId="99" xfId="0" applyNumberFormat="1" applyFont="1" applyFill="1" applyBorder="1" applyAlignment="1" applyProtection="1">
      <alignment horizontal="center" vertical="center"/>
    </xf>
    <xf numFmtId="3" fontId="62" fillId="41" borderId="100" xfId="0" applyNumberFormat="1" applyFont="1" applyFill="1" applyBorder="1" applyAlignment="1" applyProtection="1">
      <alignment horizontal="center" vertical="center"/>
    </xf>
    <xf numFmtId="0" fontId="29" fillId="4" borderId="6" xfId="0" applyFont="1" applyFill="1" applyBorder="1" applyAlignment="1" applyProtection="1">
      <alignment horizontal="left" vertical="top" wrapText="1"/>
      <protection locked="0"/>
    </xf>
    <xf numFmtId="0" fontId="29" fillId="4" borderId="18" xfId="0" applyFont="1" applyFill="1" applyBorder="1" applyAlignment="1" applyProtection="1">
      <alignment horizontal="left" vertical="top" wrapText="1"/>
      <protection locked="0"/>
    </xf>
    <xf numFmtId="0" fontId="29" fillId="4" borderId="11" xfId="0" applyFont="1" applyFill="1" applyBorder="1" applyAlignment="1" applyProtection="1">
      <alignment horizontal="left" vertical="top" wrapText="1"/>
      <protection locked="0"/>
    </xf>
    <xf numFmtId="0" fontId="29" fillId="38" borderId="7" xfId="0" applyFont="1" applyFill="1" applyBorder="1" applyAlignment="1">
      <alignment horizontal="center"/>
    </xf>
    <xf numFmtId="0" fontId="47" fillId="0" borderId="5" xfId="0" applyFont="1" applyFill="1" applyBorder="1" applyAlignment="1">
      <alignment horizontal="right" vertical="top"/>
    </xf>
    <xf numFmtId="0" fontId="45" fillId="21" borderId="73" xfId="0" applyFont="1" applyFill="1" applyBorder="1" applyAlignment="1">
      <alignment horizontal="center" vertical="top" wrapText="1"/>
    </xf>
    <xf numFmtId="0" fontId="45" fillId="21" borderId="7" xfId="0" applyFont="1" applyFill="1" applyBorder="1" applyAlignment="1">
      <alignment horizontal="center" vertical="top" wrapText="1"/>
    </xf>
    <xf numFmtId="0" fontId="45" fillId="21" borderId="8" xfId="0" applyFont="1" applyFill="1" applyBorder="1" applyAlignment="1">
      <alignment horizontal="center" vertical="top" wrapText="1"/>
    </xf>
    <xf numFmtId="0" fontId="44" fillId="37" borderId="7" xfId="0" applyFont="1" applyFill="1" applyBorder="1" applyAlignment="1">
      <alignment horizontal="center"/>
    </xf>
    <xf numFmtId="0" fontId="47" fillId="0" borderId="0" xfId="0" applyFont="1" applyFill="1" applyBorder="1" applyAlignment="1">
      <alignment horizontal="right"/>
    </xf>
    <xf numFmtId="0" fontId="41" fillId="0" borderId="0" xfId="0" applyFont="1" applyFill="1" applyBorder="1" applyAlignment="1">
      <alignment horizontal="right" vertical="top"/>
    </xf>
    <xf numFmtId="0" fontId="43" fillId="26" borderId="7" xfId="0" applyFont="1" applyFill="1" applyBorder="1" applyAlignment="1">
      <alignment horizontal="center" vertical="center"/>
    </xf>
    <xf numFmtId="0" fontId="42" fillId="0" borderId="0" xfId="0" applyFont="1" applyAlignment="1">
      <alignment horizontal="left"/>
    </xf>
    <xf numFmtId="164" fontId="34" fillId="0" borderId="20" xfId="0" applyNumberFormat="1" applyFont="1" applyBorder="1" applyAlignment="1" applyProtection="1">
      <alignment horizontal="center" vertical="top" shrinkToFit="1"/>
    </xf>
    <xf numFmtId="164" fontId="34" fillId="0" borderId="26" xfId="0" applyNumberFormat="1" applyFont="1" applyBorder="1" applyAlignment="1" applyProtection="1">
      <alignment horizontal="center" vertical="top" shrinkToFit="1"/>
    </xf>
    <xf numFmtId="0" fontId="34" fillId="31" borderId="27" xfId="0" applyFont="1" applyFill="1" applyBorder="1" applyAlignment="1" applyProtection="1">
      <alignment horizontal="left" vertical="top" shrinkToFit="1"/>
    </xf>
    <xf numFmtId="0" fontId="34" fillId="31" borderId="28" xfId="0" applyFont="1" applyFill="1" applyBorder="1" applyAlignment="1" applyProtection="1">
      <alignment horizontal="left" vertical="top" shrinkToFit="1"/>
    </xf>
    <xf numFmtId="164" fontId="34" fillId="0" borderId="28" xfId="0" applyNumberFormat="1" applyFont="1" applyBorder="1" applyAlignment="1" applyProtection="1">
      <alignment horizontal="center" vertical="top" shrinkToFit="1"/>
    </xf>
    <xf numFmtId="164" fontId="34" fillId="0" borderId="29" xfId="0" applyNumberFormat="1" applyFont="1" applyBorder="1" applyAlignment="1" applyProtection="1">
      <alignment horizontal="center" vertical="top" shrinkToFit="1"/>
    </xf>
    <xf numFmtId="0" fontId="34" fillId="31" borderId="25" xfId="0" applyFont="1" applyFill="1" applyBorder="1" applyAlignment="1" applyProtection="1">
      <alignment horizontal="left" vertical="top" shrinkToFit="1"/>
    </xf>
    <xf numFmtId="0" fontId="34" fillId="31" borderId="20" xfId="0" applyFont="1" applyFill="1" applyBorder="1" applyAlignment="1" applyProtection="1">
      <alignment horizontal="left" vertical="top" shrinkToFit="1"/>
    </xf>
    <xf numFmtId="0" fontId="29" fillId="38" borderId="68" xfId="0" applyFont="1" applyFill="1" applyBorder="1" applyAlignment="1">
      <alignment horizontal="center" vertical="top"/>
    </xf>
    <xf numFmtId="0" fontId="29" fillId="38" borderId="7" xfId="0" applyFont="1" applyFill="1" applyBorder="1" applyAlignment="1">
      <alignment horizontal="center" vertical="top"/>
    </xf>
    <xf numFmtId="0" fontId="29" fillId="38" borderId="8" xfId="0" applyFont="1" applyFill="1" applyBorder="1" applyAlignment="1">
      <alignment horizontal="center" vertical="top"/>
    </xf>
    <xf numFmtId="49" fontId="35" fillId="0" borderId="12" xfId="0" applyNumberFormat="1" applyFont="1" applyBorder="1" applyAlignment="1" applyProtection="1">
      <alignment horizontal="left" vertical="top" wrapText="1"/>
    </xf>
    <xf numFmtId="49" fontId="35" fillId="0" borderId="17" xfId="0" applyNumberFormat="1" applyFont="1" applyBorder="1" applyAlignment="1" applyProtection="1">
      <alignment horizontal="left" vertical="top" wrapText="1"/>
    </xf>
    <xf numFmtId="49" fontId="35" fillId="0" borderId="16" xfId="0" applyNumberFormat="1" applyFont="1" applyBorder="1" applyAlignment="1" applyProtection="1">
      <alignment horizontal="left" vertical="top" wrapText="1"/>
    </xf>
    <xf numFmtId="49" fontId="35" fillId="0" borderId="15" xfId="0" applyNumberFormat="1" applyFont="1" applyBorder="1" applyAlignment="1" applyProtection="1">
      <alignment horizontal="left" vertical="top" wrapText="1"/>
    </xf>
    <xf numFmtId="49" fontId="35" fillId="0" borderId="0" xfId="0" applyNumberFormat="1" applyFont="1" applyBorder="1" applyAlignment="1" applyProtection="1">
      <alignment horizontal="left" vertical="top" wrapText="1"/>
    </xf>
    <xf numFmtId="49" fontId="35" fillId="0" borderId="2" xfId="0" applyNumberFormat="1" applyFont="1" applyBorder="1" applyAlignment="1" applyProtection="1">
      <alignment horizontal="left" vertical="top" wrapText="1"/>
    </xf>
    <xf numFmtId="49" fontId="35" fillId="0" borderId="9" xfId="0" applyNumberFormat="1" applyFont="1" applyBorder="1" applyAlignment="1" applyProtection="1">
      <alignment horizontal="left" vertical="top" wrapText="1"/>
    </xf>
    <xf numFmtId="49" fontId="35" fillId="0" borderId="5" xfId="0" applyNumberFormat="1" applyFont="1" applyBorder="1" applyAlignment="1" applyProtection="1">
      <alignment horizontal="left" vertical="top" wrapText="1"/>
    </xf>
    <xf numFmtId="49" fontId="35" fillId="0" borderId="10" xfId="0" applyNumberFormat="1" applyFont="1" applyBorder="1" applyAlignment="1" applyProtection="1">
      <alignment horizontal="left" vertical="top" wrapText="1"/>
    </xf>
    <xf numFmtId="0" fontId="29" fillId="38" borderId="7" xfId="0" applyFont="1" applyFill="1" applyBorder="1" applyAlignment="1">
      <alignment horizontal="center" vertical="top" shrinkToFit="1"/>
    </xf>
    <xf numFmtId="0" fontId="29" fillId="38" borderId="8" xfId="0" applyFont="1" applyFill="1" applyBorder="1" applyAlignment="1">
      <alignment horizontal="center" vertical="top" shrinkToFit="1"/>
    </xf>
    <xf numFmtId="0" fontId="34" fillId="31" borderId="22" xfId="0" applyFont="1" applyFill="1" applyBorder="1" applyAlignment="1" applyProtection="1">
      <alignment horizontal="left" vertical="top" shrinkToFit="1"/>
    </xf>
    <xf numFmtId="0" fontId="34" fillId="31" borderId="23" xfId="0" applyFont="1" applyFill="1" applyBorder="1" applyAlignment="1" applyProtection="1">
      <alignment horizontal="left" vertical="top" shrinkToFit="1"/>
    </xf>
    <xf numFmtId="164" fontId="34" fillId="0" borderId="23" xfId="0" applyNumberFormat="1" applyFont="1" applyBorder="1" applyAlignment="1" applyProtection="1">
      <alignment horizontal="center" vertical="top" shrinkToFit="1"/>
    </xf>
    <xf numFmtId="164" fontId="34" fillId="0" borderId="24" xfId="0" applyNumberFormat="1" applyFont="1" applyBorder="1" applyAlignment="1" applyProtection="1">
      <alignment horizontal="center" vertical="top" shrinkToFit="1"/>
    </xf>
    <xf numFmtId="0" fontId="29" fillId="38" borderId="9" xfId="0" applyFont="1" applyFill="1" applyBorder="1" applyAlignment="1">
      <alignment horizontal="center" vertical="top" shrinkToFit="1"/>
    </xf>
    <xf numFmtId="0" fontId="29" fillId="38" borderId="5" xfId="0" applyFont="1" applyFill="1" applyBorder="1" applyAlignment="1">
      <alignment horizontal="center" vertical="top" shrinkToFit="1"/>
    </xf>
    <xf numFmtId="3" fontId="34" fillId="0" borderId="9" xfId="0" applyNumberFormat="1" applyFont="1" applyBorder="1" applyAlignment="1">
      <alignment horizontal="right" vertical="top" shrinkToFit="1"/>
    </xf>
    <xf numFmtId="3" fontId="34" fillId="0" borderId="10" xfId="0" applyNumberFormat="1" applyFont="1" applyBorder="1" applyAlignment="1">
      <alignment horizontal="right" vertical="top" shrinkToFit="1"/>
    </xf>
    <xf numFmtId="0" fontId="29" fillId="38" borderId="15" xfId="0" applyFont="1" applyFill="1" applyBorder="1" applyAlignment="1">
      <alignment horizontal="right" vertical="top" shrinkToFit="1"/>
    </xf>
    <xf numFmtId="0" fontId="29" fillId="38" borderId="0" xfId="0" applyFont="1" applyFill="1" applyBorder="1" applyAlignment="1">
      <alignment horizontal="right" vertical="top" shrinkToFit="1"/>
    </xf>
    <xf numFmtId="3" fontId="34" fillId="0" borderId="0" xfId="0" applyNumberFormat="1" applyFont="1" applyBorder="1" applyAlignment="1">
      <alignment horizontal="right" vertical="top" shrinkToFit="1"/>
    </xf>
    <xf numFmtId="3" fontId="34" fillId="0" borderId="2" xfId="0" applyNumberFormat="1" applyFont="1" applyBorder="1" applyAlignment="1">
      <alignment horizontal="right" vertical="top" shrinkToFit="1"/>
    </xf>
    <xf numFmtId="0" fontId="77" fillId="0" borderId="5" xfId="0" applyFont="1" applyBorder="1" applyAlignment="1">
      <alignment horizontal="center" vertical="top" shrinkToFit="1"/>
    </xf>
    <xf numFmtId="0" fontId="77" fillId="0" borderId="10" xfId="0" applyFont="1" applyBorder="1" applyAlignment="1">
      <alignment horizontal="center" vertical="top" shrinkToFit="1"/>
    </xf>
    <xf numFmtId="0" fontId="29" fillId="38" borderId="15" xfId="0" applyFont="1" applyFill="1" applyBorder="1" applyAlignment="1">
      <alignment horizontal="center" vertical="top" shrinkToFit="1"/>
    </xf>
    <xf numFmtId="0" fontId="29" fillId="38" borderId="0" xfId="0" applyFont="1" applyFill="1" applyBorder="1" applyAlignment="1">
      <alignment horizontal="center" vertical="top" shrinkToFit="1"/>
    </xf>
    <xf numFmtId="3" fontId="34" fillId="0" borderId="15" xfId="0" applyNumberFormat="1" applyFont="1" applyFill="1" applyBorder="1" applyAlignment="1">
      <alignment horizontal="right" vertical="top" shrinkToFit="1"/>
    </xf>
    <xf numFmtId="3" fontId="34" fillId="0" borderId="2" xfId="0" applyNumberFormat="1" applyFont="1" applyFill="1" applyBorder="1" applyAlignment="1">
      <alignment horizontal="right" vertical="top" shrinkToFit="1"/>
    </xf>
    <xf numFmtId="9" fontId="34" fillId="0" borderId="0" xfId="0" applyNumberFormat="1" applyFont="1" applyBorder="1" applyAlignment="1">
      <alignment horizontal="right" vertical="top" shrinkToFit="1"/>
    </xf>
    <xf numFmtId="9" fontId="34" fillId="0" borderId="2" xfId="0" applyNumberFormat="1" applyFont="1" applyBorder="1" applyAlignment="1">
      <alignment horizontal="right" vertical="top" shrinkToFit="1"/>
    </xf>
    <xf numFmtId="0" fontId="77" fillId="0" borderId="17" xfId="0" applyFont="1" applyBorder="1" applyAlignment="1">
      <alignment horizontal="center" vertical="top" shrinkToFit="1"/>
    </xf>
    <xf numFmtId="0" fontId="77" fillId="0" borderId="16" xfId="0" applyFont="1" applyBorder="1" applyAlignment="1">
      <alignment horizontal="center" vertical="top" shrinkToFit="1"/>
    </xf>
    <xf numFmtId="0" fontId="29" fillId="38" borderId="68" xfId="0" applyFont="1" applyFill="1" applyBorder="1" applyAlignment="1">
      <alignment horizontal="left" vertical="top"/>
    </xf>
    <xf numFmtId="0" fontId="29" fillId="38" borderId="7" xfId="0" applyFont="1" applyFill="1" applyBorder="1" applyAlignment="1">
      <alignment horizontal="left" vertical="top"/>
    </xf>
    <xf numFmtId="3" fontId="34" fillId="0" borderId="68" xfId="0" applyNumberFormat="1" applyFont="1" applyBorder="1" applyAlignment="1">
      <alignment horizontal="right" vertical="top" shrinkToFit="1"/>
    </xf>
    <xf numFmtId="3" fontId="34" fillId="0" borderId="8" xfId="0" applyNumberFormat="1" applyFont="1" applyBorder="1" applyAlignment="1">
      <alignment horizontal="right" vertical="top" shrinkToFit="1"/>
    </xf>
    <xf numFmtId="49" fontId="34" fillId="0" borderId="12" xfId="0" applyNumberFormat="1" applyFont="1" applyBorder="1" applyAlignment="1">
      <alignment horizontal="left" vertical="top" wrapText="1"/>
    </xf>
    <xf numFmtId="49" fontId="34" fillId="0" borderId="17" xfId="0" applyNumberFormat="1" applyFont="1" applyBorder="1" applyAlignment="1">
      <alignment horizontal="left" vertical="top" wrapText="1"/>
    </xf>
    <xf numFmtId="49" fontId="34" fillId="0" borderId="16" xfId="0" applyNumberFormat="1" applyFont="1" applyBorder="1" applyAlignment="1">
      <alignment horizontal="left" vertical="top" wrapText="1"/>
    </xf>
    <xf numFmtId="49" fontId="34" fillId="0" borderId="15" xfId="0" applyNumberFormat="1" applyFont="1" applyBorder="1" applyAlignment="1">
      <alignment horizontal="left" vertical="top" wrapText="1"/>
    </xf>
    <xf numFmtId="49" fontId="34" fillId="0" borderId="0" xfId="0" applyNumberFormat="1" applyFont="1" applyBorder="1" applyAlignment="1">
      <alignment horizontal="left" vertical="top" wrapText="1"/>
    </xf>
    <xf numFmtId="49" fontId="34" fillId="0" borderId="2" xfId="0" applyNumberFormat="1" applyFont="1" applyBorder="1" applyAlignment="1">
      <alignment horizontal="left" vertical="top" wrapText="1"/>
    </xf>
    <xf numFmtId="49" fontId="34" fillId="0" borderId="9" xfId="0" applyNumberFormat="1" applyFont="1" applyBorder="1" applyAlignment="1">
      <alignment horizontal="left" vertical="top" wrapText="1"/>
    </xf>
    <xf numFmtId="49" fontId="34" fillId="0" borderId="5" xfId="0" applyNumberFormat="1" applyFont="1" applyBorder="1" applyAlignment="1">
      <alignment horizontal="left" vertical="top" wrapText="1"/>
    </xf>
    <xf numFmtId="49" fontId="34" fillId="0" borderId="10" xfId="0" applyNumberFormat="1" applyFont="1" applyBorder="1" applyAlignment="1">
      <alignment horizontal="left" vertical="top" wrapText="1"/>
    </xf>
    <xf numFmtId="0" fontId="29" fillId="38" borderId="9" xfId="0" applyFont="1" applyFill="1" applyBorder="1" applyAlignment="1">
      <alignment horizontal="left" vertical="top"/>
    </xf>
    <xf numFmtId="0" fontId="29" fillId="38" borderId="5" xfId="0" applyFont="1" applyFill="1" applyBorder="1" applyAlignment="1">
      <alignment horizontal="left" vertical="top"/>
    </xf>
    <xf numFmtId="0" fontId="29" fillId="38" borderId="10" xfId="0" applyFont="1" applyFill="1" applyBorder="1" applyAlignment="1">
      <alignment horizontal="left" vertical="top"/>
    </xf>
    <xf numFmtId="0" fontId="29" fillId="0" borderId="68" xfId="0" applyFont="1" applyBorder="1" applyAlignment="1">
      <alignment horizontal="left" vertical="top"/>
    </xf>
    <xf numFmtId="0" fontId="29" fillId="0" borderId="7" xfId="0" applyFont="1" applyBorder="1" applyAlignment="1">
      <alignment horizontal="left" vertical="top"/>
    </xf>
    <xf numFmtId="0" fontId="29" fillId="0" borderId="8" xfId="0" applyFont="1" applyBorder="1" applyAlignment="1">
      <alignment horizontal="left" vertical="top"/>
    </xf>
    <xf numFmtId="0" fontId="33" fillId="37" borderId="12" xfId="0" applyFont="1" applyFill="1" applyBorder="1" applyAlignment="1">
      <alignment horizontal="center" vertical="top"/>
    </xf>
    <xf numFmtId="0" fontId="33" fillId="37" borderId="17" xfId="0" applyFont="1" applyFill="1" applyBorder="1" applyAlignment="1">
      <alignment horizontal="center" vertical="top"/>
    </xf>
    <xf numFmtId="0" fontId="33" fillId="37" borderId="16" xfId="0" applyFont="1" applyFill="1" applyBorder="1" applyAlignment="1">
      <alignment horizontal="center" vertical="top"/>
    </xf>
    <xf numFmtId="0" fontId="29" fillId="38" borderId="12" xfId="0" applyFont="1" applyFill="1" applyBorder="1" applyAlignment="1">
      <alignment horizontal="center" vertical="top" shrinkToFit="1"/>
    </xf>
    <xf numFmtId="0" fontId="29" fillId="38" borderId="17" xfId="0" applyFont="1" applyFill="1" applyBorder="1" applyAlignment="1">
      <alignment horizontal="center" vertical="top" shrinkToFit="1"/>
    </xf>
    <xf numFmtId="0" fontId="29" fillId="38" borderId="15" xfId="0" applyFont="1" applyFill="1" applyBorder="1" applyAlignment="1">
      <alignment horizontal="left" vertical="top"/>
    </xf>
    <xf numFmtId="0" fontId="29" fillId="38" borderId="0" xfId="0" applyFont="1" applyFill="1" applyBorder="1" applyAlignment="1">
      <alignment horizontal="left" vertical="top"/>
    </xf>
    <xf numFmtId="0" fontId="29" fillId="38" borderId="2" xfId="0" applyFont="1" applyFill="1" applyBorder="1" applyAlignment="1">
      <alignment horizontal="left" vertical="top"/>
    </xf>
    <xf numFmtId="0" fontId="29" fillId="0" borderId="68" xfId="0" applyFont="1" applyBorder="1" applyAlignment="1">
      <alignment horizontal="left" vertical="top" shrinkToFit="1"/>
    </xf>
    <xf numFmtId="0" fontId="29" fillId="0" borderId="7" xfId="0" applyFont="1" applyBorder="1" applyAlignment="1">
      <alignment horizontal="left" vertical="top" shrinkToFit="1"/>
    </xf>
    <xf numFmtId="0" fontId="29" fillId="0" borderId="8" xfId="0" applyFont="1" applyBorder="1" applyAlignment="1">
      <alignment horizontal="left" vertical="top" shrinkToFit="1"/>
    </xf>
    <xf numFmtId="0" fontId="29" fillId="0" borderId="68" xfId="0" applyFont="1" applyBorder="1" applyAlignment="1">
      <alignment horizontal="center" vertical="top"/>
    </xf>
    <xf numFmtId="0" fontId="29" fillId="0" borderId="7" xfId="0" applyFont="1" applyBorder="1" applyAlignment="1">
      <alignment horizontal="center" vertical="top"/>
    </xf>
    <xf numFmtId="0" fontId="29" fillId="0" borderId="8" xfId="0" applyFont="1" applyBorder="1" applyAlignment="1">
      <alignment horizontal="center" vertical="top"/>
    </xf>
    <xf numFmtId="0" fontId="32" fillId="38" borderId="9" xfId="0" applyFont="1" applyFill="1" applyBorder="1" applyAlignment="1">
      <alignment horizontal="left" vertical="top" shrinkToFit="1"/>
    </xf>
    <xf numFmtId="0" fontId="32" fillId="38" borderId="10" xfId="0" applyFont="1" applyFill="1" applyBorder="1" applyAlignment="1">
      <alignment horizontal="left" vertical="top" shrinkToFit="1"/>
    </xf>
    <xf numFmtId="3" fontId="29" fillId="0" borderId="68" xfId="0" applyNumberFormat="1" applyFont="1" applyBorder="1" applyAlignment="1">
      <alignment horizontal="center" vertical="top"/>
    </xf>
    <xf numFmtId="3" fontId="29" fillId="0" borderId="8" xfId="0" applyNumberFormat="1" applyFont="1" applyBorder="1" applyAlignment="1">
      <alignment horizontal="center" vertical="top"/>
    </xf>
    <xf numFmtId="0" fontId="29" fillId="0" borderId="12" xfId="0" applyFont="1" applyBorder="1" applyAlignment="1">
      <alignment horizontal="left" vertical="top"/>
    </xf>
    <xf numFmtId="0" fontId="29" fillId="0" borderId="17" xfId="0" applyFont="1" applyBorder="1" applyAlignment="1">
      <alignment horizontal="left" vertical="top"/>
    </xf>
    <xf numFmtId="0" fontId="29" fillId="0" borderId="15" xfId="0" applyFont="1" applyBorder="1" applyAlignment="1">
      <alignment horizontal="left" vertical="top"/>
    </xf>
    <xf numFmtId="0" fontId="29" fillId="0" borderId="0" xfId="0" applyFont="1" applyBorder="1" applyAlignment="1">
      <alignment horizontal="left" vertical="top"/>
    </xf>
    <xf numFmtId="0" fontId="29" fillId="0" borderId="9" xfId="0" applyFont="1" applyBorder="1" applyAlignment="1">
      <alignment horizontal="left" vertical="top"/>
    </xf>
    <xf numFmtId="0" fontId="29" fillId="0" borderId="5" xfId="0" applyFont="1" applyBorder="1" applyAlignment="1">
      <alignment horizontal="left" vertical="top"/>
    </xf>
    <xf numFmtId="0" fontId="29" fillId="38" borderId="12" xfId="0" applyFont="1" applyFill="1" applyBorder="1" applyAlignment="1">
      <alignment horizontal="left" vertical="top"/>
    </xf>
    <xf numFmtId="0" fontId="29" fillId="38" borderId="17" xfId="0" applyFont="1" applyFill="1" applyBorder="1" applyAlignment="1">
      <alignment horizontal="left" vertical="top"/>
    </xf>
    <xf numFmtId="0" fontId="34" fillId="0" borderId="68" xfId="0" applyFont="1" applyBorder="1" applyAlignment="1">
      <alignment horizontal="center" vertical="top"/>
    </xf>
    <xf numFmtId="0" fontId="34" fillId="0" borderId="7" xfId="0" applyFont="1" applyBorder="1" applyAlignment="1">
      <alignment horizontal="center" vertical="top"/>
    </xf>
    <xf numFmtId="0" fontId="34" fillId="0" borderId="8" xfId="0" applyFont="1" applyBorder="1" applyAlignment="1">
      <alignment horizontal="center" vertical="top"/>
    </xf>
    <xf numFmtId="0" fontId="38" fillId="38" borderId="15" xfId="0" applyFont="1" applyFill="1" applyBorder="1" applyAlignment="1">
      <alignment horizontal="left" vertical="top" wrapText="1"/>
    </xf>
    <xf numFmtId="0" fontId="38" fillId="38" borderId="0" xfId="0" applyFont="1" applyFill="1" applyBorder="1" applyAlignment="1">
      <alignment horizontal="left" vertical="top" wrapText="1"/>
    </xf>
    <xf numFmtId="0" fontId="38" fillId="38" borderId="9" xfId="0" applyFont="1" applyFill="1" applyBorder="1" applyAlignment="1">
      <alignment horizontal="left" vertical="top" wrapText="1"/>
    </xf>
    <xf numFmtId="0" fontId="38" fillId="38" borderId="5" xfId="0" applyFont="1" applyFill="1" applyBorder="1" applyAlignment="1">
      <alignment horizontal="left" vertical="top" wrapText="1"/>
    </xf>
    <xf numFmtId="0" fontId="34" fillId="0" borderId="12" xfId="0" applyNumberFormat="1" applyFont="1" applyBorder="1" applyAlignment="1">
      <alignment horizontal="left" vertical="top" wrapText="1"/>
    </xf>
    <xf numFmtId="0" fontId="34" fillId="0" borderId="17" xfId="0" applyNumberFormat="1" applyFont="1" applyBorder="1" applyAlignment="1">
      <alignment horizontal="left" vertical="top" wrapText="1"/>
    </xf>
    <xf numFmtId="0" fontId="34" fillId="0" borderId="16" xfId="0" applyNumberFormat="1" applyFont="1" applyBorder="1" applyAlignment="1">
      <alignment horizontal="left" vertical="top" wrapText="1"/>
    </xf>
    <xf numFmtId="0" fontId="34" fillId="0" borderId="15" xfId="0" applyNumberFormat="1" applyFont="1" applyBorder="1" applyAlignment="1">
      <alignment horizontal="left" vertical="top" wrapText="1"/>
    </xf>
    <xf numFmtId="0" fontId="34" fillId="0" borderId="0" xfId="0" applyNumberFormat="1" applyFont="1" applyBorder="1" applyAlignment="1">
      <alignment horizontal="left" vertical="top" wrapText="1"/>
    </xf>
    <xf numFmtId="0" fontId="34" fillId="0" borderId="2" xfId="0" applyNumberFormat="1" applyFont="1" applyBorder="1" applyAlignment="1">
      <alignment horizontal="left" vertical="top" wrapText="1"/>
    </xf>
    <xf numFmtId="0" fontId="34" fillId="0" borderId="9" xfId="0" applyNumberFormat="1" applyFont="1" applyBorder="1" applyAlignment="1">
      <alignment horizontal="left" vertical="top" wrapText="1"/>
    </xf>
    <xf numFmtId="0" fontId="34" fillId="0" borderId="5" xfId="0" applyNumberFormat="1" applyFont="1" applyBorder="1" applyAlignment="1">
      <alignment horizontal="left" vertical="top" wrapText="1"/>
    </xf>
    <xf numFmtId="0" fontId="34" fillId="0" borderId="10" xfId="0" applyNumberFormat="1" applyFont="1" applyBorder="1" applyAlignment="1">
      <alignment horizontal="left" vertical="top" wrapText="1"/>
    </xf>
    <xf numFmtId="165" fontId="70" fillId="3" borderId="92" xfId="0" applyNumberFormat="1" applyFont="1" applyFill="1" applyBorder="1" applyAlignment="1">
      <alignment horizontal="center" vertical="top" shrinkToFit="1"/>
    </xf>
    <xf numFmtId="165" fontId="70" fillId="3" borderId="93" xfId="0" applyNumberFormat="1" applyFont="1" applyFill="1" applyBorder="1" applyAlignment="1">
      <alignment horizontal="center" vertical="top" shrinkToFit="1"/>
    </xf>
    <xf numFmtId="0" fontId="26" fillId="39" borderId="68" xfId="0" applyFont="1" applyFill="1" applyBorder="1" applyAlignment="1">
      <alignment horizontal="center" vertical="top"/>
    </xf>
    <xf numFmtId="0" fontId="26" fillId="39" borderId="7" xfId="0" applyFont="1" applyFill="1" applyBorder="1" applyAlignment="1">
      <alignment horizontal="center" vertical="top"/>
    </xf>
    <xf numFmtId="0" fontId="26" fillId="39" borderId="8" xfId="0" applyFont="1" applyFill="1" applyBorder="1" applyAlignment="1">
      <alignment horizontal="center" vertical="top"/>
    </xf>
    <xf numFmtId="0" fontId="29" fillId="38" borderId="16" xfId="0" applyFont="1" applyFill="1" applyBorder="1" applyAlignment="1">
      <alignment horizontal="left" vertical="top"/>
    </xf>
    <xf numFmtId="1" fontId="29" fillId="0" borderId="68" xfId="0" applyNumberFormat="1" applyFont="1" applyBorder="1" applyAlignment="1">
      <alignment horizontal="left" vertical="top"/>
    </xf>
    <xf numFmtId="0" fontId="33" fillId="37" borderId="68" xfId="0" applyFont="1" applyFill="1" applyBorder="1" applyAlignment="1">
      <alignment horizontal="center" vertical="top"/>
    </xf>
    <xf numFmtId="0" fontId="33" fillId="37" borderId="7" xfId="0" applyFont="1" applyFill="1" applyBorder="1" applyAlignment="1">
      <alignment horizontal="center" vertical="top"/>
    </xf>
    <xf numFmtId="0" fontId="33" fillId="37" borderId="8" xfId="0" applyFont="1" applyFill="1" applyBorder="1" applyAlignment="1">
      <alignment horizontal="center" vertical="top"/>
    </xf>
    <xf numFmtId="0" fontId="29" fillId="0" borderId="37" xfId="0" applyFont="1" applyBorder="1" applyAlignment="1">
      <alignment horizontal="left" vertical="top"/>
    </xf>
    <xf numFmtId="165" fontId="29" fillId="0" borderId="53" xfId="0" applyNumberFormat="1" applyFont="1" applyBorder="1" applyAlignment="1">
      <alignment horizontal="left" vertical="top" shrinkToFit="1"/>
    </xf>
    <xf numFmtId="165" fontId="29" fillId="0" borderId="26" xfId="0" applyNumberFormat="1" applyFont="1" applyBorder="1" applyAlignment="1">
      <alignment horizontal="left" vertical="top" shrinkToFit="1"/>
    </xf>
    <xf numFmtId="0" fontId="29" fillId="0" borderId="90" xfId="0" applyFont="1" applyBorder="1" applyAlignment="1">
      <alignment horizontal="center" vertical="top"/>
    </xf>
    <xf numFmtId="0" fontId="29" fillId="0" borderId="37" xfId="0" applyFont="1" applyBorder="1" applyAlignment="1">
      <alignment horizontal="center" vertical="top"/>
    </xf>
    <xf numFmtId="0" fontId="29" fillId="0" borderId="53" xfId="0" applyFont="1" applyBorder="1" applyAlignment="1">
      <alignment horizontal="center" vertical="top"/>
    </xf>
    <xf numFmtId="0" fontId="29" fillId="0" borderId="20" xfId="0" applyFont="1" applyBorder="1" applyAlignment="1">
      <alignment horizontal="center" vertical="top"/>
    </xf>
    <xf numFmtId="0" fontId="29" fillId="0" borderId="59" xfId="0" applyFont="1" applyBorder="1" applyAlignment="1">
      <alignment horizontal="center" vertical="top"/>
    </xf>
    <xf numFmtId="165" fontId="75" fillId="0" borderId="66" xfId="0" applyNumberFormat="1" applyFont="1" applyBorder="1" applyAlignment="1">
      <alignment horizontal="right" vertical="top"/>
    </xf>
    <xf numFmtId="165" fontId="75" fillId="0" borderId="65" xfId="0" applyNumberFormat="1" applyFont="1" applyBorder="1" applyAlignment="1">
      <alignment horizontal="right" vertical="top"/>
    </xf>
    <xf numFmtId="165" fontId="75" fillId="19" borderId="64" xfId="0" applyNumberFormat="1" applyFont="1" applyFill="1" applyBorder="1" applyAlignment="1">
      <alignment horizontal="center" vertical="top" shrinkToFit="1"/>
    </xf>
    <xf numFmtId="165" fontId="75" fillId="19" borderId="70" xfId="0" applyNumberFormat="1" applyFont="1" applyFill="1" applyBorder="1" applyAlignment="1">
      <alignment horizontal="center" vertical="top" shrinkToFit="1"/>
    </xf>
    <xf numFmtId="0" fontId="29" fillId="0" borderId="25" xfId="0" applyFont="1" applyBorder="1" applyAlignment="1">
      <alignment horizontal="center" vertical="top" shrinkToFit="1"/>
    </xf>
    <xf numFmtId="0" fontId="29" fillId="0" borderId="59" xfId="0" applyFont="1" applyBorder="1" applyAlignment="1">
      <alignment horizontal="center" vertical="top" shrinkToFit="1"/>
    </xf>
    <xf numFmtId="0" fontId="29" fillId="0" borderId="53" xfId="0" applyFont="1" applyBorder="1" applyAlignment="1">
      <alignment horizontal="center" vertical="top" shrinkToFit="1"/>
    </xf>
    <xf numFmtId="0" fontId="29" fillId="0" borderId="53" xfId="0" applyFont="1" applyBorder="1" applyAlignment="1">
      <alignment horizontal="left" vertical="top"/>
    </xf>
    <xf numFmtId="0" fontId="29" fillId="0" borderId="20" xfId="0" applyFont="1" applyBorder="1" applyAlignment="1">
      <alignment horizontal="left" vertical="top"/>
    </xf>
    <xf numFmtId="0" fontId="29" fillId="0" borderId="59" xfId="0" applyFont="1" applyBorder="1" applyAlignment="1">
      <alignment horizontal="left" vertical="top"/>
    </xf>
    <xf numFmtId="0" fontId="34" fillId="0" borderId="53" xfId="0" applyFont="1" applyBorder="1" applyAlignment="1">
      <alignment horizontal="left" vertical="top"/>
    </xf>
    <xf numFmtId="0" fontId="34" fillId="0" borderId="20" xfId="0" applyFont="1" applyBorder="1" applyAlignment="1">
      <alignment horizontal="left" vertical="top"/>
    </xf>
    <xf numFmtId="0" fontId="34" fillId="0" borderId="59" xfId="0" applyFont="1" applyBorder="1" applyAlignment="1">
      <alignment horizontal="left" vertical="top"/>
    </xf>
    <xf numFmtId="0" fontId="29" fillId="0" borderId="53" xfId="0" applyFont="1" applyBorder="1" applyAlignment="1">
      <alignment horizontal="left" vertical="top" shrinkToFit="1"/>
    </xf>
    <xf numFmtId="0" fontId="29" fillId="0" borderId="20" xfId="0" applyFont="1" applyBorder="1" applyAlignment="1">
      <alignment horizontal="left" vertical="top" shrinkToFit="1"/>
    </xf>
    <xf numFmtId="0" fontId="29" fillId="0" borderId="59" xfId="0" applyFont="1" applyBorder="1" applyAlignment="1">
      <alignment horizontal="left" vertical="top" shrinkToFit="1"/>
    </xf>
    <xf numFmtId="0" fontId="70" fillId="0" borderId="62" xfId="0" applyFont="1" applyBorder="1" applyAlignment="1">
      <alignment horizontal="center" wrapText="1"/>
    </xf>
    <xf numFmtId="0" fontId="70" fillId="0" borderId="86" xfId="0" applyFont="1" applyBorder="1" applyAlignment="1">
      <alignment horizontal="center" wrapText="1"/>
    </xf>
    <xf numFmtId="0" fontId="29" fillId="0" borderId="87" xfId="0" applyFont="1" applyBorder="1" applyAlignment="1">
      <alignment horizontal="center" vertical="top" shrinkToFit="1"/>
    </xf>
    <xf numFmtId="0" fontId="29" fillId="0" borderId="80" xfId="0" applyFont="1" applyBorder="1" applyAlignment="1">
      <alignment horizontal="center" vertical="top" shrinkToFit="1"/>
    </xf>
    <xf numFmtId="0" fontId="29" fillId="0" borderId="81" xfId="0" applyFont="1" applyBorder="1" applyAlignment="1">
      <alignment horizontal="center" vertical="top" shrinkToFit="1"/>
    </xf>
    <xf numFmtId="0" fontId="29" fillId="0" borderId="81" xfId="0" applyFont="1" applyBorder="1" applyAlignment="1">
      <alignment horizontal="left" vertical="top" shrinkToFit="1"/>
    </xf>
    <xf numFmtId="0" fontId="29" fillId="0" borderId="82" xfId="0" applyFont="1" applyBorder="1" applyAlignment="1">
      <alignment horizontal="left" vertical="top" shrinkToFit="1"/>
    </xf>
    <xf numFmtId="0" fontId="29" fillId="0" borderId="80" xfId="0" applyFont="1" applyBorder="1" applyAlignment="1">
      <alignment horizontal="left" vertical="top" shrinkToFit="1"/>
    </xf>
    <xf numFmtId="0" fontId="34" fillId="0" borderId="81" xfId="0" applyFont="1" applyBorder="1" applyAlignment="1">
      <alignment horizontal="left" vertical="top"/>
    </xf>
    <xf numFmtId="0" fontId="34" fillId="0" borderId="82" xfId="0" applyFont="1" applyBorder="1" applyAlignment="1">
      <alignment horizontal="left" vertical="top"/>
    </xf>
    <xf numFmtId="0" fontId="34" fillId="0" borderId="80" xfId="0" applyFont="1" applyBorder="1" applyAlignment="1">
      <alignment horizontal="left" vertical="top"/>
    </xf>
    <xf numFmtId="0" fontId="29" fillId="0" borderId="83" xfId="0" applyFont="1" applyBorder="1" applyAlignment="1">
      <alignment horizontal="left" vertical="top"/>
    </xf>
    <xf numFmtId="165" fontId="29" fillId="0" borderId="81" xfId="0" applyNumberFormat="1" applyFont="1" applyBorder="1" applyAlignment="1">
      <alignment horizontal="left" vertical="top" shrinkToFit="1"/>
    </xf>
    <xf numFmtId="165" fontId="29" fillId="0" borderId="88" xfId="0" applyNumberFormat="1" applyFont="1" applyBorder="1" applyAlignment="1">
      <alignment horizontal="left" vertical="top" shrinkToFit="1"/>
    </xf>
    <xf numFmtId="165" fontId="75" fillId="19" borderId="53" xfId="0" applyNumberFormat="1" applyFont="1" applyFill="1" applyBorder="1" applyAlignment="1">
      <alignment horizontal="center" vertical="top"/>
    </xf>
    <xf numFmtId="165" fontId="75" fillId="19" borderId="59" xfId="0" applyNumberFormat="1" applyFont="1" applyFill="1" applyBorder="1" applyAlignment="1">
      <alignment horizontal="center" vertical="top"/>
    </xf>
    <xf numFmtId="165" fontId="75" fillId="19" borderId="53" xfId="0" applyNumberFormat="1" applyFont="1" applyFill="1" applyBorder="1" applyAlignment="1">
      <alignment horizontal="center" vertical="top" shrinkToFit="1"/>
    </xf>
    <xf numFmtId="165" fontId="75" fillId="19" borderId="26" xfId="0" applyNumberFormat="1" applyFont="1" applyFill="1" applyBorder="1" applyAlignment="1">
      <alignment horizontal="center" vertical="top" shrinkToFit="1"/>
    </xf>
    <xf numFmtId="0" fontId="70" fillId="0" borderId="85" xfId="0" applyFont="1" applyBorder="1" applyAlignment="1">
      <alignment horizontal="center" wrapText="1"/>
    </xf>
    <xf numFmtId="0" fontId="29" fillId="0" borderId="52" xfId="0" applyFont="1" applyBorder="1" applyAlignment="1">
      <alignment horizontal="center" vertical="top" shrinkToFit="1"/>
    </xf>
    <xf numFmtId="0" fontId="29" fillId="0" borderId="19" xfId="0" applyFont="1" applyBorder="1" applyAlignment="1">
      <alignment horizontal="center" vertical="top" shrinkToFit="1"/>
    </xf>
    <xf numFmtId="0" fontId="29" fillId="0" borderId="37" xfId="0" applyFont="1" applyBorder="1" applyAlignment="1">
      <alignment horizontal="left" vertical="top" shrinkToFit="1"/>
    </xf>
    <xf numFmtId="165" fontId="29" fillId="0" borderId="63" xfId="0" applyNumberFormat="1" applyFont="1" applyBorder="1" applyAlignment="1">
      <alignment horizontal="left" vertical="top" shrinkToFit="1"/>
    </xf>
    <xf numFmtId="165" fontId="29" fillId="0" borderId="63" xfId="0" quotePrefix="1" applyNumberFormat="1" applyFont="1" applyBorder="1" applyAlignment="1">
      <alignment horizontal="center" vertical="top" shrinkToFit="1"/>
    </xf>
    <xf numFmtId="165" fontId="29" fillId="0" borderId="63" xfId="0" applyNumberFormat="1" applyFont="1" applyBorder="1" applyAlignment="1">
      <alignment horizontal="center" vertical="top" shrinkToFit="1"/>
    </xf>
    <xf numFmtId="165" fontId="29" fillId="0" borderId="89" xfId="0" applyNumberFormat="1" applyFont="1" applyBorder="1" applyAlignment="1">
      <alignment horizontal="left" vertical="top" shrinkToFit="1"/>
    </xf>
    <xf numFmtId="165" fontId="29" fillId="0" borderId="59" xfId="0" applyNumberFormat="1" applyFont="1" applyBorder="1" applyAlignment="1">
      <alignment horizontal="left" vertical="top" shrinkToFit="1"/>
    </xf>
    <xf numFmtId="165" fontId="29" fillId="0" borderId="80" xfId="0" applyNumberFormat="1" applyFont="1" applyBorder="1" applyAlignment="1">
      <alignment horizontal="left" vertical="top" shrinkToFit="1"/>
    </xf>
    <xf numFmtId="164" fontId="29" fillId="0" borderId="54" xfId="0" applyNumberFormat="1" applyFont="1" applyBorder="1" applyAlignment="1">
      <alignment horizontal="right" vertical="top"/>
    </xf>
    <xf numFmtId="164" fontId="29" fillId="0" borderId="57" xfId="0" applyNumberFormat="1" applyFont="1" applyBorder="1" applyAlignment="1">
      <alignment horizontal="right" vertical="top"/>
    </xf>
    <xf numFmtId="164" fontId="29" fillId="0" borderId="29" xfId="0" applyNumberFormat="1" applyFont="1" applyBorder="1" applyAlignment="1">
      <alignment horizontal="right" vertical="top"/>
    </xf>
    <xf numFmtId="164" fontId="29" fillId="0" borderId="53" xfId="0" applyNumberFormat="1" applyFont="1" applyBorder="1" applyAlignment="1">
      <alignment horizontal="right" vertical="top"/>
    </xf>
    <xf numFmtId="164" fontId="29" fillId="0" borderId="26" xfId="0" applyNumberFormat="1" applyFont="1" applyBorder="1" applyAlignment="1">
      <alignment horizontal="right" vertical="top"/>
    </xf>
    <xf numFmtId="0" fontId="29" fillId="18" borderId="27" xfId="0" applyFont="1" applyFill="1" applyBorder="1" applyAlignment="1" applyProtection="1">
      <alignment horizontal="left" vertical="top"/>
    </xf>
    <xf numFmtId="0" fontId="29" fillId="18" borderId="57" xfId="0" applyFont="1" applyFill="1" applyBorder="1" applyAlignment="1" applyProtection="1">
      <alignment horizontal="left" vertical="top"/>
    </xf>
    <xf numFmtId="164" fontId="29" fillId="0" borderId="59" xfId="0" applyNumberFormat="1" applyFont="1" applyBorder="1" applyAlignment="1">
      <alignment horizontal="right" vertical="top"/>
    </xf>
    <xf numFmtId="0" fontId="29" fillId="18" borderId="25" xfId="0" applyFont="1" applyFill="1" applyBorder="1" applyAlignment="1" applyProtection="1">
      <alignment horizontal="left" vertical="top"/>
    </xf>
    <xf numFmtId="0" fontId="29" fillId="18" borderId="59" xfId="0" applyFont="1" applyFill="1" applyBorder="1" applyAlignment="1" applyProtection="1">
      <alignment horizontal="left" vertical="top"/>
    </xf>
    <xf numFmtId="164" fontId="29" fillId="0" borderId="77" xfId="0" applyNumberFormat="1" applyFont="1" applyBorder="1" applyAlignment="1">
      <alignment horizontal="right" vertical="top"/>
    </xf>
    <xf numFmtId="164" fontId="29" fillId="0" borderId="78" xfId="0" applyNumberFormat="1" applyFont="1" applyBorder="1" applyAlignment="1">
      <alignment horizontal="right" vertical="top"/>
    </xf>
    <xf numFmtId="164" fontId="29" fillId="0" borderId="79" xfId="0" applyNumberFormat="1" applyFont="1" applyBorder="1" applyAlignment="1">
      <alignment horizontal="right" vertical="top"/>
    </xf>
    <xf numFmtId="164" fontId="29" fillId="18" borderId="54" xfId="0" applyNumberFormat="1" applyFont="1" applyFill="1" applyBorder="1" applyAlignment="1">
      <alignment horizontal="right" vertical="top"/>
    </xf>
    <xf numFmtId="164" fontId="29" fillId="18" borderId="57" xfId="0" applyNumberFormat="1" applyFont="1" applyFill="1" applyBorder="1" applyAlignment="1">
      <alignment horizontal="right" vertical="top"/>
    </xf>
    <xf numFmtId="164" fontId="29" fillId="18" borderId="29" xfId="0" applyNumberFormat="1" applyFont="1" applyFill="1" applyBorder="1" applyAlignment="1">
      <alignment horizontal="right" vertical="top"/>
    </xf>
    <xf numFmtId="0" fontId="29" fillId="18" borderId="41" xfId="0" applyFont="1" applyFill="1" applyBorder="1" applyAlignment="1" applyProtection="1">
      <alignment horizontal="left" vertical="top"/>
    </xf>
    <xf numFmtId="0" fontId="29" fillId="18" borderId="76" xfId="0" applyFont="1" applyFill="1" applyBorder="1" applyAlignment="1" applyProtection="1">
      <alignment horizontal="left" vertical="top"/>
    </xf>
    <xf numFmtId="0" fontId="29" fillId="18" borderId="9" xfId="0" applyFont="1" applyFill="1" applyBorder="1" applyAlignment="1">
      <alignment horizontal="right" vertical="top"/>
    </xf>
    <xf numFmtId="0" fontId="29" fillId="18" borderId="61" xfId="0" applyFont="1" applyFill="1" applyBorder="1" applyAlignment="1">
      <alignment horizontal="right" vertical="top"/>
    </xf>
    <xf numFmtId="164" fontId="29" fillId="18" borderId="77" xfId="0" applyNumberFormat="1" applyFont="1" applyFill="1" applyBorder="1" applyAlignment="1">
      <alignment horizontal="right" vertical="top"/>
    </xf>
    <xf numFmtId="164" fontId="29" fillId="18" borderId="78" xfId="0" applyNumberFormat="1" applyFont="1" applyFill="1" applyBorder="1" applyAlignment="1">
      <alignment horizontal="right" vertical="top"/>
    </xf>
    <xf numFmtId="164" fontId="29" fillId="18" borderId="79" xfId="0" applyNumberFormat="1" applyFont="1" applyFill="1" applyBorder="1" applyAlignment="1">
      <alignment horizontal="right" vertical="top"/>
    </xf>
    <xf numFmtId="164" fontId="29" fillId="40" borderId="84" xfId="0" applyNumberFormat="1" applyFont="1" applyFill="1" applyBorder="1" applyAlignment="1">
      <alignment horizontal="right" vertical="top"/>
    </xf>
    <xf numFmtId="164" fontId="29" fillId="40" borderId="8" xfId="0" applyNumberFormat="1" applyFont="1" applyFill="1" applyBorder="1" applyAlignment="1">
      <alignment horizontal="right" vertical="top"/>
    </xf>
    <xf numFmtId="0" fontId="29" fillId="18" borderId="12" xfId="0" applyFont="1" applyFill="1" applyBorder="1" applyAlignment="1">
      <alignment horizontal="right" vertical="top"/>
    </xf>
    <xf numFmtId="0" fontId="29" fillId="18" borderId="60" xfId="0" applyFont="1" applyFill="1" applyBorder="1" applyAlignment="1">
      <alignment horizontal="right" vertical="top"/>
    </xf>
    <xf numFmtId="164" fontId="29" fillId="40" borderId="58" xfId="0" applyNumberFormat="1" applyFont="1" applyFill="1" applyBorder="1" applyAlignment="1">
      <alignment horizontal="right" vertical="top"/>
    </xf>
    <xf numFmtId="49" fontId="71" fillId="0" borderId="0" xfId="0" applyNumberFormat="1" applyFont="1" applyFill="1" applyBorder="1" applyAlignment="1">
      <alignment horizontal="center" vertical="top"/>
    </xf>
    <xf numFmtId="17" fontId="71" fillId="0" borderId="0" xfId="0" applyNumberFormat="1" applyFont="1" applyFill="1" applyBorder="1" applyAlignment="1">
      <alignment horizontal="center" vertical="top"/>
    </xf>
    <xf numFmtId="49" fontId="80" fillId="0" borderId="0" xfId="0" applyNumberFormat="1" applyFont="1" applyFill="1" applyBorder="1" applyAlignment="1">
      <alignment horizontal="center" vertical="top"/>
    </xf>
    <xf numFmtId="17" fontId="80" fillId="0" borderId="2" xfId="0" applyNumberFormat="1" applyFont="1" applyFill="1" applyBorder="1" applyAlignment="1">
      <alignment horizontal="center" vertical="top"/>
    </xf>
    <xf numFmtId="0" fontId="29" fillId="40" borderId="68" xfId="0" applyFont="1" applyFill="1" applyBorder="1" applyAlignment="1">
      <alignment horizontal="right" vertical="top"/>
    </xf>
    <xf numFmtId="0" fontId="29" fillId="40" borderId="58" xfId="0" applyFont="1" applyFill="1" applyBorder="1" applyAlignment="1">
      <alignment horizontal="right" vertical="top"/>
    </xf>
    <xf numFmtId="0" fontId="29" fillId="40" borderId="46" xfId="0" applyFont="1" applyFill="1" applyBorder="1" applyAlignment="1">
      <alignment horizontal="left" vertical="top"/>
    </xf>
    <xf numFmtId="0" fontId="29" fillId="40" borderId="39" xfId="0" applyFont="1" applyFill="1" applyBorder="1" applyAlignment="1">
      <alignment horizontal="left" vertical="top"/>
    </xf>
    <xf numFmtId="0" fontId="29" fillId="40" borderId="42" xfId="0" applyFont="1" applyFill="1" applyBorder="1" applyAlignment="1">
      <alignment horizontal="left" vertical="top"/>
    </xf>
    <xf numFmtId="164" fontId="29" fillId="0" borderId="38" xfId="0" applyNumberFormat="1" applyFont="1" applyBorder="1" applyAlignment="1">
      <alignment horizontal="center" vertical="top"/>
    </xf>
    <xf numFmtId="164" fontId="29" fillId="0" borderId="44" xfId="0" applyNumberFormat="1" applyFont="1" applyBorder="1" applyAlignment="1">
      <alignment horizontal="center" vertical="top"/>
    </xf>
    <xf numFmtId="164" fontId="29" fillId="0" borderId="46" xfId="0" applyNumberFormat="1" applyFont="1" applyBorder="1" applyAlignment="1">
      <alignment horizontal="center" vertical="top"/>
    </xf>
    <xf numFmtId="164" fontId="29" fillId="0" borderId="42" xfId="0" applyNumberFormat="1" applyFont="1" applyBorder="1" applyAlignment="1">
      <alignment horizontal="center" vertical="top"/>
    </xf>
    <xf numFmtId="0" fontId="29" fillId="40" borderId="15" xfId="0" applyFont="1" applyFill="1" applyBorder="1" applyAlignment="1">
      <alignment horizontal="left" vertical="top"/>
    </xf>
    <xf numFmtId="0" fontId="29" fillId="40" borderId="0" xfId="0" applyFont="1" applyFill="1" applyBorder="1" applyAlignment="1">
      <alignment horizontal="left" vertical="top"/>
    </xf>
    <xf numFmtId="0" fontId="29" fillId="40" borderId="34" xfId="0" applyFont="1" applyFill="1" applyBorder="1" applyAlignment="1">
      <alignment horizontal="left" vertical="top"/>
    </xf>
    <xf numFmtId="164" fontId="29" fillId="0" borderId="35" xfId="0" applyNumberFormat="1" applyFont="1" applyBorder="1" applyAlignment="1">
      <alignment horizontal="center" vertical="top"/>
    </xf>
    <xf numFmtId="164" fontId="29" fillId="0" borderId="2" xfId="0" applyNumberFormat="1" applyFont="1" applyBorder="1" applyAlignment="1">
      <alignment horizontal="center" vertical="top"/>
    </xf>
    <xf numFmtId="164" fontId="29" fillId="0" borderId="15" xfId="0" applyNumberFormat="1" applyFont="1" applyBorder="1" applyAlignment="1">
      <alignment horizontal="center" vertical="top"/>
    </xf>
    <xf numFmtId="164" fontId="29" fillId="0" borderId="34" xfId="0" applyNumberFormat="1" applyFont="1" applyBorder="1" applyAlignment="1">
      <alignment horizontal="center" vertical="top"/>
    </xf>
    <xf numFmtId="164" fontId="29" fillId="0" borderId="30" xfId="0" applyNumberFormat="1" applyFont="1" applyBorder="1" applyAlignment="1">
      <alignment horizontal="center" vertical="top"/>
    </xf>
    <xf numFmtId="164" fontId="29" fillId="0" borderId="32" xfId="0" applyNumberFormat="1" applyFont="1" applyBorder="1" applyAlignment="1">
      <alignment horizontal="center" vertical="top"/>
    </xf>
    <xf numFmtId="0" fontId="29" fillId="41" borderId="0" xfId="0" applyFont="1" applyFill="1" applyBorder="1" applyAlignment="1">
      <alignment horizontal="left" vertical="top"/>
    </xf>
    <xf numFmtId="0" fontId="29" fillId="41" borderId="34" xfId="0" applyFont="1" applyFill="1" applyBorder="1" applyAlignment="1">
      <alignment horizontal="left" vertical="top"/>
    </xf>
    <xf numFmtId="170" fontId="29" fillId="0" borderId="35" xfId="0" applyNumberFormat="1" applyFont="1" applyBorder="1" applyAlignment="1">
      <alignment horizontal="center" vertical="top"/>
    </xf>
    <xf numFmtId="170" fontId="29" fillId="0" borderId="2" xfId="0" applyNumberFormat="1" applyFont="1" applyBorder="1" applyAlignment="1">
      <alignment horizontal="center" vertical="top"/>
    </xf>
    <xf numFmtId="0" fontId="74" fillId="39" borderId="30" xfId="0" applyFont="1" applyFill="1" applyBorder="1" applyAlignment="1">
      <alignment horizontal="center" vertical="top" shrinkToFit="1"/>
    </xf>
    <xf numFmtId="0" fontId="74" fillId="39" borderId="31" xfId="0" applyFont="1" applyFill="1" applyBorder="1" applyAlignment="1">
      <alignment horizontal="center" vertical="top" shrinkToFit="1"/>
    </xf>
    <xf numFmtId="0" fontId="29" fillId="40" borderId="49" xfId="0" applyFont="1" applyFill="1" applyBorder="1" applyAlignment="1">
      <alignment horizontal="left" vertical="top"/>
    </xf>
    <xf numFmtId="0" fontId="29" fillId="40" borderId="31" xfId="0" applyFont="1" applyFill="1" applyBorder="1" applyAlignment="1">
      <alignment horizontal="left" vertical="top"/>
    </xf>
    <xf numFmtId="0" fontId="29" fillId="40" borderId="32" xfId="0" applyFont="1" applyFill="1" applyBorder="1" applyAlignment="1">
      <alignment horizontal="left" vertical="top"/>
    </xf>
    <xf numFmtId="164" fontId="29" fillId="0" borderId="43" xfId="0" applyNumberFormat="1" applyFont="1" applyBorder="1" applyAlignment="1">
      <alignment horizontal="center" vertical="top"/>
    </xf>
    <xf numFmtId="164" fontId="29" fillId="0" borderId="49" xfId="0" applyNumberFormat="1" applyFont="1" applyBorder="1" applyAlignment="1">
      <alignment horizontal="center" vertical="top"/>
    </xf>
    <xf numFmtId="0" fontId="73" fillId="39" borderId="0" xfId="0" applyFont="1" applyFill="1" applyBorder="1" applyAlignment="1">
      <alignment horizontal="right" vertical="center" textRotation="90"/>
    </xf>
    <xf numFmtId="0" fontId="29" fillId="41" borderId="66" xfId="0" applyFont="1" applyFill="1" applyBorder="1" applyAlignment="1">
      <alignment horizontal="left" vertical="top"/>
    </xf>
    <xf numFmtId="0" fontId="29" fillId="41" borderId="67" xfId="0" applyFont="1" applyFill="1" applyBorder="1" applyAlignment="1">
      <alignment horizontal="left" vertical="top"/>
    </xf>
    <xf numFmtId="170" fontId="29" fillId="0" borderId="69" xfId="0" applyNumberFormat="1" applyFont="1" applyBorder="1" applyAlignment="1">
      <alignment horizontal="center" vertical="top"/>
    </xf>
    <xf numFmtId="170" fontId="29" fillId="0" borderId="70" xfId="0" applyNumberFormat="1" applyFont="1" applyBorder="1" applyAlignment="1">
      <alignment horizontal="center" vertical="top"/>
    </xf>
    <xf numFmtId="164" fontId="29" fillId="0" borderId="71" xfId="0" applyNumberFormat="1" applyFont="1" applyBorder="1" applyAlignment="1">
      <alignment horizontal="center" vertical="top"/>
    </xf>
    <xf numFmtId="164" fontId="29" fillId="0" borderId="70" xfId="0" applyNumberFormat="1" applyFont="1" applyBorder="1" applyAlignment="1">
      <alignment horizontal="center" vertical="top"/>
    </xf>
    <xf numFmtId="164" fontId="29" fillId="0" borderId="67" xfId="0" applyNumberFormat="1" applyFont="1" applyBorder="1" applyAlignment="1">
      <alignment horizontal="center" vertical="top"/>
    </xf>
    <xf numFmtId="164" fontId="29" fillId="0" borderId="69" xfId="0" applyNumberFormat="1" applyFont="1" applyBorder="1" applyAlignment="1">
      <alignment horizontal="center" vertical="top"/>
    </xf>
    <xf numFmtId="0" fontId="29" fillId="40" borderId="19" xfId="0" applyFont="1" applyFill="1" applyBorder="1" applyAlignment="1">
      <alignment horizontal="left" vertical="top"/>
    </xf>
    <xf numFmtId="0" fontId="29" fillId="40" borderId="55" xfId="0" applyFont="1" applyFill="1" applyBorder="1" applyAlignment="1">
      <alignment horizontal="left" vertical="top"/>
    </xf>
    <xf numFmtId="164" fontId="29" fillId="0" borderId="52" xfId="0" applyNumberFormat="1" applyFont="1" applyBorder="1" applyAlignment="1">
      <alignment horizontal="center" vertical="top"/>
    </xf>
    <xf numFmtId="164" fontId="29" fillId="0" borderId="51" xfId="0" applyNumberFormat="1" applyFont="1" applyBorder="1" applyAlignment="1">
      <alignment horizontal="center" vertical="top"/>
    </xf>
    <xf numFmtId="164" fontId="29" fillId="0" borderId="55" xfId="0" applyNumberFormat="1" applyFont="1" applyBorder="1" applyAlignment="1">
      <alignment horizontal="center" vertical="top"/>
    </xf>
    <xf numFmtId="164" fontId="29" fillId="0" borderId="50" xfId="0" applyNumberFormat="1" applyFont="1" applyBorder="1" applyAlignment="1">
      <alignment horizontal="center" vertical="top"/>
    </xf>
    <xf numFmtId="0" fontId="68" fillId="39" borderId="30" xfId="0" applyFont="1" applyFill="1" applyBorder="1" applyAlignment="1">
      <alignment horizontal="center" vertical="top"/>
    </xf>
    <xf numFmtId="0" fontId="68" fillId="39" borderId="31" xfId="0" applyFont="1" applyFill="1" applyBorder="1" applyAlignment="1">
      <alignment horizontal="center" vertical="top"/>
    </xf>
    <xf numFmtId="164" fontId="29" fillId="0" borderId="33" xfId="0" applyNumberFormat="1" applyFont="1" applyBorder="1" applyAlignment="1">
      <alignment horizontal="center" vertical="top"/>
    </xf>
    <xf numFmtId="164" fontId="29" fillId="0" borderId="16" xfId="0" applyNumberFormat="1" applyFont="1" applyBorder="1" applyAlignment="1">
      <alignment horizontal="center" vertical="top"/>
    </xf>
    <xf numFmtId="164" fontId="29" fillId="0" borderId="12" xfId="0" applyNumberFormat="1" applyFont="1" applyBorder="1" applyAlignment="1">
      <alignment horizontal="center" vertical="top"/>
    </xf>
    <xf numFmtId="164" fontId="29" fillId="0" borderId="36" xfId="0" applyNumberFormat="1" applyFont="1" applyBorder="1" applyAlignment="1">
      <alignment horizontal="center" vertical="top"/>
    </xf>
    <xf numFmtId="164" fontId="29" fillId="41" borderId="11" xfId="0" applyNumberFormat="1" applyFont="1" applyFill="1" applyBorder="1" applyAlignment="1">
      <alignment horizontal="center" vertical="top"/>
    </xf>
    <xf numFmtId="0" fontId="34" fillId="40" borderId="9" xfId="0" applyFont="1" applyFill="1" applyBorder="1" applyAlignment="1">
      <alignment horizontal="right" vertical="top"/>
    </xf>
    <xf numFmtId="0" fontId="34" fillId="40" borderId="10" xfId="0" applyFont="1" applyFill="1" applyBorder="1" applyAlignment="1">
      <alignment horizontal="right" vertical="top"/>
    </xf>
    <xf numFmtId="49" fontId="29" fillId="0" borderId="14" xfId="0" applyNumberFormat="1" applyFont="1" applyBorder="1" applyAlignment="1">
      <alignment horizontal="center" vertical="top"/>
    </xf>
    <xf numFmtId="49" fontId="29" fillId="0" borderId="7" xfId="0" applyNumberFormat="1" applyFont="1" applyBorder="1" applyAlignment="1">
      <alignment horizontal="center" vertical="top"/>
    </xf>
    <xf numFmtId="49" fontId="29" fillId="0" borderId="8" xfId="0" applyNumberFormat="1" applyFont="1" applyBorder="1" applyAlignment="1">
      <alignment horizontal="center" vertical="top"/>
    </xf>
    <xf numFmtId="0" fontId="33" fillId="39" borderId="47" xfId="0" applyFont="1" applyFill="1" applyBorder="1" applyAlignment="1">
      <alignment horizontal="center" vertical="top" wrapText="1"/>
    </xf>
    <xf numFmtId="0" fontId="33" fillId="39" borderId="56" xfId="0" applyFont="1" applyFill="1" applyBorder="1" applyAlignment="1">
      <alignment horizontal="center" vertical="top" wrapText="1"/>
    </xf>
    <xf numFmtId="0" fontId="33" fillId="39" borderId="45" xfId="0" applyFont="1" applyFill="1" applyBorder="1" applyAlignment="1">
      <alignment horizontal="center" vertical="top" wrapText="1"/>
    </xf>
    <xf numFmtId="0" fontId="33" fillId="39" borderId="48" xfId="0" applyFont="1" applyFill="1" applyBorder="1" applyAlignment="1">
      <alignment horizontal="center" vertical="top" wrapText="1"/>
    </xf>
    <xf numFmtId="0" fontId="34" fillId="40" borderId="12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0" fontId="24" fillId="40" borderId="17" xfId="0" applyFont="1" applyFill="1" applyBorder="1" applyAlignment="1">
      <alignment horizontal="center" vertical="center"/>
    </xf>
    <xf numFmtId="0" fontId="24" fillId="40" borderId="16" xfId="0" applyFont="1" applyFill="1" applyBorder="1" applyAlignment="1">
      <alignment horizontal="center" vertical="center"/>
    </xf>
    <xf numFmtId="0" fontId="24" fillId="40" borderId="5" xfId="0" applyFont="1" applyFill="1" applyBorder="1" applyAlignment="1">
      <alignment horizontal="center" vertical="center"/>
    </xf>
    <xf numFmtId="0" fontId="24" fillId="40" borderId="10" xfId="0" applyFont="1" applyFill="1" applyBorder="1" applyAlignment="1">
      <alignment horizontal="center" vertical="center"/>
    </xf>
    <xf numFmtId="1" fontId="72" fillId="4" borderId="12" xfId="0" applyNumberFormat="1" applyFont="1" applyFill="1" applyBorder="1" applyAlignment="1">
      <alignment horizontal="center" vertical="center"/>
    </xf>
    <xf numFmtId="0" fontId="72" fillId="4" borderId="16" xfId="0" applyFont="1" applyFill="1" applyBorder="1" applyAlignment="1">
      <alignment horizontal="center" vertical="center"/>
    </xf>
    <xf numFmtId="0" fontId="72" fillId="4" borderId="9" xfId="0" applyFont="1" applyFill="1" applyBorder="1" applyAlignment="1">
      <alignment horizontal="center" vertical="center"/>
    </xf>
    <xf numFmtId="0" fontId="72" fillId="4" borderId="10" xfId="0" applyFont="1" applyFill="1" applyBorder="1" applyAlignment="1">
      <alignment horizontal="center" vertical="center"/>
    </xf>
    <xf numFmtId="0" fontId="34" fillId="40" borderId="9" xfId="0" applyFont="1" applyFill="1" applyBorder="1" applyAlignment="1">
      <alignment horizontal="right" vertical="top" shrinkToFit="1"/>
    </xf>
    <xf numFmtId="0" fontId="34" fillId="40" borderId="5" xfId="0" applyFont="1" applyFill="1" applyBorder="1" applyAlignment="1">
      <alignment horizontal="right" vertical="top" shrinkToFit="1"/>
    </xf>
    <xf numFmtId="0" fontId="34" fillId="40" borderId="10" xfId="0" applyFont="1" applyFill="1" applyBorder="1" applyAlignment="1">
      <alignment horizontal="right" vertical="top" shrinkToFit="1"/>
    </xf>
    <xf numFmtId="0" fontId="34" fillId="40" borderId="15" xfId="0" applyFont="1" applyFill="1" applyBorder="1" applyAlignment="1">
      <alignment horizontal="right" vertical="top" shrinkToFit="1"/>
    </xf>
    <xf numFmtId="0" fontId="34" fillId="40" borderId="0" xfId="0" applyFont="1" applyFill="1" applyBorder="1" applyAlignment="1">
      <alignment horizontal="right" vertical="top" shrinkToFit="1"/>
    </xf>
    <xf numFmtId="0" fontId="34" fillId="40" borderId="2" xfId="0" applyFont="1" applyFill="1" applyBorder="1" applyAlignment="1">
      <alignment horizontal="right" vertical="top" shrinkToFit="1"/>
    </xf>
    <xf numFmtId="164" fontId="29" fillId="41" borderId="18" xfId="0" applyNumberFormat="1" applyFont="1" applyFill="1" applyBorder="1" applyAlignment="1">
      <alignment horizontal="center" vertical="top"/>
    </xf>
    <xf numFmtId="0" fontId="26" fillId="39" borderId="14" xfId="0" applyFont="1" applyFill="1" applyBorder="1" applyAlignment="1">
      <alignment horizontal="center" vertical="top"/>
    </xf>
    <xf numFmtId="0" fontId="34" fillId="40" borderId="7" xfId="0" applyFont="1" applyFill="1" applyBorder="1" applyAlignment="1">
      <alignment horizontal="center" vertical="top"/>
    </xf>
    <xf numFmtId="0" fontId="29" fillId="0" borderId="12" xfId="0" applyFont="1" applyBorder="1" applyAlignment="1">
      <alignment horizontal="left" vertical="top" wrapText="1"/>
    </xf>
    <xf numFmtId="0" fontId="29" fillId="0" borderId="17" xfId="0" applyFont="1" applyBorder="1" applyAlignment="1">
      <alignment horizontal="left" vertical="top" wrapText="1"/>
    </xf>
    <xf numFmtId="0" fontId="29" fillId="0" borderId="16" xfId="0" applyFont="1" applyBorder="1" applyAlignment="1">
      <alignment horizontal="left" vertical="top" wrapText="1"/>
    </xf>
    <xf numFmtId="0" fontId="29" fillId="0" borderId="15" xfId="0" applyFont="1" applyBorder="1" applyAlignment="1">
      <alignment horizontal="left" vertical="top" wrapText="1"/>
    </xf>
    <xf numFmtId="0" fontId="29" fillId="0" borderId="0" xfId="0" applyFont="1" applyBorder="1" applyAlignment="1">
      <alignment horizontal="left" vertical="top" wrapText="1"/>
    </xf>
    <xf numFmtId="0" fontId="29" fillId="0" borderId="2" xfId="0" applyFont="1" applyBorder="1" applyAlignment="1">
      <alignment horizontal="left" vertical="top" wrapText="1"/>
    </xf>
    <xf numFmtId="0" fontId="29" fillId="0" borderId="9" xfId="0" applyFont="1" applyBorder="1" applyAlignment="1">
      <alignment horizontal="left" vertical="top" wrapText="1"/>
    </xf>
    <xf numFmtId="0" fontId="29" fillId="0" borderId="5" xfId="0" applyFont="1" applyBorder="1" applyAlignment="1">
      <alignment horizontal="left" vertical="top" wrapText="1"/>
    </xf>
    <xf numFmtId="0" fontId="29" fillId="0" borderId="10" xfId="0" applyFont="1" applyBorder="1" applyAlignment="1">
      <alignment horizontal="left" vertical="top" wrapText="1"/>
    </xf>
    <xf numFmtId="0" fontId="29" fillId="0" borderId="68" xfId="0" applyFont="1" applyBorder="1" applyAlignment="1">
      <alignment vertical="top" shrinkToFit="1"/>
    </xf>
    <xf numFmtId="0" fontId="29" fillId="0" borderId="7" xfId="0" applyFont="1" applyBorder="1" applyAlignment="1">
      <alignment vertical="top" shrinkToFit="1"/>
    </xf>
    <xf numFmtId="0" fontId="29" fillId="0" borderId="8" xfId="0" applyFont="1" applyBorder="1" applyAlignment="1">
      <alignment vertical="top" shrinkToFit="1"/>
    </xf>
    <xf numFmtId="164" fontId="29" fillId="0" borderId="72" xfId="0" applyNumberFormat="1" applyFont="1" applyFill="1" applyBorder="1" applyAlignment="1">
      <alignment horizontal="center" vertical="top"/>
    </xf>
    <xf numFmtId="0" fontId="60" fillId="0" borderId="5" xfId="0" applyFont="1" applyBorder="1" applyAlignment="1">
      <alignment horizontal="center" vertical="top"/>
    </xf>
    <xf numFmtId="0" fontId="60" fillId="0" borderId="0" xfId="0" applyFont="1" applyBorder="1" applyAlignment="1">
      <alignment horizontal="center" vertical="top"/>
    </xf>
    <xf numFmtId="0" fontId="34" fillId="40" borderId="12" xfId="0" applyFont="1" applyFill="1" applyBorder="1" applyAlignment="1">
      <alignment horizontal="right" vertical="top" shrinkToFit="1"/>
    </xf>
    <xf numFmtId="0" fontId="34" fillId="40" borderId="17" xfId="0" applyFont="1" applyFill="1" applyBorder="1" applyAlignment="1">
      <alignment horizontal="right" vertical="top" shrinkToFit="1"/>
    </xf>
    <xf numFmtId="0" fontId="34" fillId="40" borderId="16" xfId="0" applyFont="1" applyFill="1" applyBorder="1" applyAlignment="1">
      <alignment horizontal="right" vertical="top" shrinkToFit="1"/>
    </xf>
    <xf numFmtId="164" fontId="29" fillId="41" borderId="12" xfId="0" applyNumberFormat="1" applyFont="1" applyFill="1" applyBorder="1" applyAlignment="1">
      <alignment horizontal="center" vertical="top"/>
    </xf>
    <xf numFmtId="164" fontId="29" fillId="41" borderId="16" xfId="0" applyNumberFormat="1" applyFont="1" applyFill="1" applyBorder="1" applyAlignment="1">
      <alignment horizontal="center" vertical="top"/>
    </xf>
    <xf numFmtId="49" fontId="29" fillId="0" borderId="68" xfId="0" applyNumberFormat="1" applyFont="1" applyBorder="1" applyAlignment="1">
      <alignment horizontal="left" vertical="top" wrapText="1"/>
    </xf>
    <xf numFmtId="0" fontId="29" fillId="0" borderId="7" xfId="0" applyNumberFormat="1" applyFont="1" applyBorder="1" applyAlignment="1">
      <alignment horizontal="left" vertical="top" wrapText="1"/>
    </xf>
    <xf numFmtId="0" fontId="29" fillId="0" borderId="8" xfId="0" applyNumberFormat="1" applyFont="1" applyBorder="1" applyAlignment="1">
      <alignment horizontal="left" vertical="top" wrapText="1"/>
    </xf>
    <xf numFmtId="164" fontId="29" fillId="41" borderId="5" xfId="0" applyNumberFormat="1" applyFont="1" applyFill="1" applyBorder="1" applyAlignment="1">
      <alignment horizontal="center" vertical="top"/>
    </xf>
    <xf numFmtId="164" fontId="29" fillId="41" borderId="10" xfId="0" applyNumberFormat="1" applyFont="1" applyFill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shrinkToFit="1"/>
    </xf>
    <xf numFmtId="0" fontId="29" fillId="0" borderId="5" xfId="0" applyNumberFormat="1" applyFont="1" applyBorder="1" applyAlignment="1">
      <alignment horizontal="left" vertical="top" shrinkToFit="1"/>
    </xf>
    <xf numFmtId="0" fontId="29" fillId="0" borderId="10" xfId="0" applyNumberFormat="1" applyFont="1" applyBorder="1" applyAlignment="1">
      <alignment horizontal="left" vertical="top" shrinkToFit="1"/>
    </xf>
    <xf numFmtId="0" fontId="34" fillId="40" borderId="5" xfId="0" applyFont="1" applyFill="1" applyBorder="1" applyAlignment="1">
      <alignment horizontal="center" vertical="top"/>
    </xf>
    <xf numFmtId="4" fontId="29" fillId="0" borderId="68" xfId="0" applyNumberFormat="1" applyFont="1" applyBorder="1" applyAlignment="1">
      <alignment horizontal="left" vertical="top"/>
    </xf>
    <xf numFmtId="4" fontId="29" fillId="0" borderId="7" xfId="0" applyNumberFormat="1" applyFont="1" applyBorder="1" applyAlignment="1">
      <alignment horizontal="left" vertical="top"/>
    </xf>
    <xf numFmtId="4" fontId="29" fillId="0" borderId="8" xfId="0" applyNumberFormat="1" applyFont="1" applyBorder="1" applyAlignment="1">
      <alignment horizontal="left" vertical="top"/>
    </xf>
    <xf numFmtId="164" fontId="29" fillId="41" borderId="96" xfId="0" applyNumberFormat="1" applyFont="1" applyFill="1" applyBorder="1" applyAlignment="1">
      <alignment horizontal="center" vertical="top"/>
    </xf>
    <xf numFmtId="164" fontId="29" fillId="41" borderId="101" xfId="0" applyNumberFormat="1" applyFont="1" applyFill="1" applyBorder="1" applyAlignment="1">
      <alignment horizontal="center" vertical="top"/>
    </xf>
    <xf numFmtId="0" fontId="29" fillId="0" borderId="9" xfId="0" applyFont="1" applyBorder="1" applyAlignment="1">
      <alignment horizontal="left" vertical="top" shrinkToFit="1"/>
    </xf>
    <xf numFmtId="0" fontId="29" fillId="0" borderId="5" xfId="0" applyFont="1" applyBorder="1" applyAlignment="1">
      <alignment horizontal="left" vertical="top" shrinkToFit="1"/>
    </xf>
    <xf numFmtId="0" fontId="29" fillId="0" borderId="10" xfId="0" applyFont="1" applyBorder="1" applyAlignment="1">
      <alignment horizontal="left" vertical="top" shrinkToFit="1"/>
    </xf>
    <xf numFmtId="164" fontId="29" fillId="41" borderId="0" xfId="0" applyNumberFormat="1" applyFont="1" applyFill="1" applyBorder="1" applyAlignment="1">
      <alignment horizontal="center" vertical="top"/>
    </xf>
    <xf numFmtId="164" fontId="29" fillId="41" borderId="2" xfId="0" applyNumberFormat="1" applyFont="1" applyFill="1" applyBorder="1" applyAlignment="1">
      <alignment horizontal="center" vertical="top"/>
    </xf>
    <xf numFmtId="0" fontId="29" fillId="0" borderId="102" xfId="0" applyFont="1" applyBorder="1" applyAlignment="1">
      <alignment horizontal="right"/>
    </xf>
    <xf numFmtId="1" fontId="70" fillId="0" borderId="102" xfId="0" applyNumberFormat="1" applyFont="1" applyBorder="1" applyAlignment="1">
      <alignment horizontal="left"/>
    </xf>
    <xf numFmtId="1" fontId="82" fillId="0" borderId="68" xfId="0" applyNumberFormat="1" applyFont="1" applyBorder="1" applyAlignment="1">
      <alignment horizontal="left" vertical="top" shrinkToFit="1"/>
    </xf>
    <xf numFmtId="1" fontId="82" fillId="0" borderId="7" xfId="0" applyNumberFormat="1" applyFont="1" applyBorder="1" applyAlignment="1">
      <alignment horizontal="left" vertical="top" shrinkToFit="1"/>
    </xf>
    <xf numFmtId="1" fontId="82" fillId="0" borderId="8" xfId="0" applyNumberFormat="1" applyFont="1" applyBorder="1" applyAlignment="1">
      <alignment horizontal="left" vertical="top" shrinkToFit="1"/>
    </xf>
    <xf numFmtId="0" fontId="29" fillId="0" borderId="12" xfId="0" applyFont="1" applyBorder="1" applyAlignment="1">
      <alignment horizontal="left" vertical="top" shrinkToFit="1"/>
    </xf>
    <xf numFmtId="0" fontId="29" fillId="0" borderId="17" xfId="0" applyFont="1" applyBorder="1" applyAlignment="1">
      <alignment horizontal="left" vertical="top" shrinkToFit="1"/>
    </xf>
    <xf numFmtId="0" fontId="29" fillId="0" borderId="16" xfId="0" applyFont="1" applyBorder="1" applyAlignment="1">
      <alignment horizontal="left" vertical="top" shrinkToFit="1"/>
    </xf>
    <xf numFmtId="0" fontId="67" fillId="40" borderId="95" xfId="0" applyFont="1" applyFill="1" applyBorder="1" applyAlignment="1">
      <alignment horizontal="center" vertical="center"/>
    </xf>
    <xf numFmtId="0" fontId="67" fillId="40" borderId="96" xfId="0" applyFont="1" applyFill="1" applyBorder="1" applyAlignment="1">
      <alignment horizontal="center" vertical="center"/>
    </xf>
    <xf numFmtId="0" fontId="67" fillId="40" borderId="98" xfId="0" applyFont="1" applyFill="1" applyBorder="1" applyAlignment="1">
      <alignment horizontal="center" vertical="center"/>
    </xf>
    <xf numFmtId="0" fontId="67" fillId="40" borderId="99" xfId="0" applyFont="1" applyFill="1" applyBorder="1" applyAlignment="1">
      <alignment horizontal="center" vertical="center"/>
    </xf>
    <xf numFmtId="3" fontId="78" fillId="41" borderId="96" xfId="0" applyNumberFormat="1" applyFont="1" applyFill="1" applyBorder="1" applyAlignment="1">
      <alignment horizontal="center" vertical="center"/>
    </xf>
    <xf numFmtId="3" fontId="78" fillId="41" borderId="97" xfId="0" applyNumberFormat="1" applyFont="1" applyFill="1" applyBorder="1" applyAlignment="1">
      <alignment horizontal="center" vertical="center"/>
    </xf>
    <xf numFmtId="3" fontId="78" fillId="41" borderId="99" xfId="0" applyNumberFormat="1" applyFont="1" applyFill="1" applyBorder="1" applyAlignment="1">
      <alignment horizontal="center" vertical="center"/>
    </xf>
    <xf numFmtId="3" fontId="78" fillId="41" borderId="100" xfId="0" applyNumberFormat="1" applyFont="1" applyFill="1" applyBorder="1" applyAlignment="1">
      <alignment horizontal="center" vertical="center"/>
    </xf>
  </cellXfs>
  <cellStyles count="8">
    <cellStyle name="Hiperlink" xfId="7" builtinId="8"/>
    <cellStyle name="Normal" xfId="0" builtinId="0"/>
    <cellStyle name="Normal 31" xfId="6"/>
    <cellStyle name="Normal_Classificação dos Investimentos 2001 - Versão 16-09" xfId="1"/>
    <cellStyle name="Porcentagem" xfId="3" builtinId="5"/>
    <cellStyle name="Vírgula 2" xfId="2"/>
    <cellStyle name="Vírgula 2 2" xfId="4"/>
    <cellStyle name="Vírgula 2 2 2" xfId="5"/>
  </cellStyles>
  <dxfs count="86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C000"/>
        </patternFill>
      </fill>
    </dxf>
    <dxf>
      <fill>
        <patternFill>
          <bgColor rgb="FFCCCC00"/>
        </patternFill>
      </fill>
    </dxf>
    <dxf>
      <fill>
        <patternFill>
          <bgColor rgb="FFFFFF00"/>
        </patternFill>
      </fill>
    </dxf>
    <dxf>
      <font>
        <color rgb="FF0070C0"/>
      </font>
    </dxf>
    <dxf>
      <font>
        <color rgb="FFFF0000"/>
      </font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FF99"/>
        </patternFill>
      </fill>
    </dxf>
    <dxf>
      <fill>
        <patternFill>
          <bgColor rgb="FFFF898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FFFF99"/>
        </patternFill>
      </fill>
    </dxf>
    <dxf>
      <fill>
        <patternFill>
          <fgColor auto="1"/>
          <bgColor rgb="FFFF7C80"/>
        </patternFill>
      </fill>
    </dxf>
  </dxfs>
  <tableStyles count="0" defaultTableStyle="TableStyleMedium2" defaultPivotStyle="PivotStyleLight16"/>
  <colors>
    <mruColors>
      <color rgb="FF00CEFF"/>
      <color rgb="FF8FEAFF"/>
      <color rgb="FF008EB0"/>
      <color rgb="FFA02BFF"/>
      <color rgb="FFF0FCFE"/>
      <color rgb="FFE2FBFE"/>
      <color rgb="FFD2F9FE"/>
      <color rgb="FFC6F7FE"/>
      <color rgb="FF4D4D4D"/>
      <color rgb="FF9F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sharepoint/tecnologia/0009/Contratos%20FSW/Forms/AllItems.aspx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'Proposta-Servi&#231;o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'Proposta-Servi&#231;o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'Proposta-Servi&#231;o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11058525</xdr:colOff>
          <xdr:row>0</xdr:row>
          <xdr:rowOff>38100</xdr:rowOff>
        </xdr:from>
        <xdr:to>
          <xdr:col>5</xdr:col>
          <xdr:colOff>0</xdr:colOff>
          <xdr:row>1</xdr:row>
          <xdr:rowOff>19050</xdr:rowOff>
        </xdr:to>
        <xdr:sp macro="" textlink="">
          <xdr:nvSpPr>
            <xdr:cNvPr id="1026" name="cmd_LimparTud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102138</xdr:colOff>
      <xdr:row>0</xdr:row>
      <xdr:rowOff>31750</xdr:rowOff>
    </xdr:from>
    <xdr:to>
      <xdr:col>2</xdr:col>
      <xdr:colOff>349249</xdr:colOff>
      <xdr:row>1</xdr:row>
      <xdr:rowOff>254952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138" y="31750"/>
          <a:ext cx="659861" cy="6994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1253924</xdr:colOff>
      <xdr:row>1</xdr:row>
      <xdr:rowOff>20240</xdr:rowOff>
    </xdr:from>
    <xdr:to>
      <xdr:col>13</xdr:col>
      <xdr:colOff>990821</xdr:colOff>
      <xdr:row>1</xdr:row>
      <xdr:rowOff>380240</xdr:rowOff>
    </xdr:to>
    <xdr:sp macro="[0]!s_ImportarFicha" textlink="">
      <xdr:nvSpPr>
        <xdr:cNvPr id="2" name="Retângulo de cantos arredondados 1" descr="Planilha de Priorização"/>
        <xdr:cNvSpPr/>
      </xdr:nvSpPr>
      <xdr:spPr>
        <a:xfrm>
          <a:off x="13407342" y="56411"/>
          <a:ext cx="2413542" cy="3600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0">
              <a:solidFill>
                <a:schemeClr val="lt1"/>
              </a:solidFill>
              <a:latin typeface="Simplon Oi Headline" pitchFamily="2" charset="0"/>
              <a:ea typeface="+mn-ea"/>
              <a:cs typeface="+mn-cs"/>
            </a:rPr>
            <a:t>Importar Solicitação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649939</xdr:colOff>
      <xdr:row>2</xdr:row>
      <xdr:rowOff>51496</xdr:rowOff>
    </xdr:from>
    <xdr:to>
      <xdr:col>12</xdr:col>
      <xdr:colOff>840441</xdr:colOff>
      <xdr:row>4</xdr:row>
      <xdr:rowOff>63979</xdr:rowOff>
    </xdr:to>
    <xdr:sp macro="[0]!plan_Proposta.cmd_GerarFicha_Click" textlink="">
      <xdr:nvSpPr>
        <xdr:cNvPr id="4" name="Retângulo de cantos arredondados 3" descr="Planilha de Priorização"/>
        <xdr:cNvSpPr/>
      </xdr:nvSpPr>
      <xdr:spPr>
        <a:xfrm>
          <a:off x="4515968" y="454908"/>
          <a:ext cx="1053355" cy="460718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Gerar</a:t>
          </a:r>
          <a:r>
            <a:rPr lang="pt-BR" sz="1000" b="0" baseline="0">
              <a:latin typeface="Simplon Oi Headline" pitchFamily="2" charset="0"/>
            </a:rPr>
            <a:t> Ficha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9</xdr:col>
      <xdr:colOff>831735</xdr:colOff>
      <xdr:row>2</xdr:row>
      <xdr:rowOff>51496</xdr:rowOff>
    </xdr:from>
    <xdr:to>
      <xdr:col>10</xdr:col>
      <xdr:colOff>598265</xdr:colOff>
      <xdr:row>4</xdr:row>
      <xdr:rowOff>63979</xdr:rowOff>
    </xdr:to>
    <xdr:sp macro="" textlink="">
      <xdr:nvSpPr>
        <xdr:cNvPr id="6" name="Retângulo de cantos arredondados 5" descr="Planilha de Priorização">
          <a:hlinkClick xmlns:r="http://schemas.openxmlformats.org/officeDocument/2006/relationships" r:id="rId1"/>
        </xdr:cNvPr>
        <xdr:cNvSpPr/>
      </xdr:nvSpPr>
      <xdr:spPr>
        <a:xfrm>
          <a:off x="3420294" y="454908"/>
          <a:ext cx="1044000" cy="460718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Contratos FSW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5</xdr:col>
      <xdr:colOff>26379</xdr:colOff>
      <xdr:row>2</xdr:row>
      <xdr:rowOff>51496</xdr:rowOff>
    </xdr:from>
    <xdr:to>
      <xdr:col>7</xdr:col>
      <xdr:colOff>140291</xdr:colOff>
      <xdr:row>4</xdr:row>
      <xdr:rowOff>63979</xdr:rowOff>
    </xdr:to>
    <xdr:sp macro="[0]!s_AdicionarLinha_Cliked" textlink="">
      <xdr:nvSpPr>
        <xdr:cNvPr id="2" name="Retângulo de cantos arredondados 1"/>
        <xdr:cNvSpPr/>
      </xdr:nvSpPr>
      <xdr:spPr>
        <a:xfrm>
          <a:off x="127232" y="454908"/>
          <a:ext cx="1044000" cy="460718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Adicionar</a:t>
          </a:r>
          <a:r>
            <a:rPr lang="pt-BR" sz="1000" b="0" baseline="0">
              <a:latin typeface="Simplon Oi Headline" pitchFamily="2" charset="0"/>
            </a:rPr>
            <a:t> Linha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7</xdr:col>
      <xdr:colOff>188927</xdr:colOff>
      <xdr:row>2</xdr:row>
      <xdr:rowOff>51496</xdr:rowOff>
    </xdr:from>
    <xdr:to>
      <xdr:col>8</xdr:col>
      <xdr:colOff>213192</xdr:colOff>
      <xdr:row>4</xdr:row>
      <xdr:rowOff>63979</xdr:rowOff>
    </xdr:to>
    <xdr:sp macro="[0]!s_AdicionarHH_Cliked" textlink="">
      <xdr:nvSpPr>
        <xdr:cNvPr id="5" name="Retângulo de cantos arredondados 4"/>
        <xdr:cNvSpPr/>
      </xdr:nvSpPr>
      <xdr:spPr>
        <a:xfrm>
          <a:off x="1219868" y="454908"/>
          <a:ext cx="1044000" cy="460718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Nova Taxa HH na Proposta</a:t>
          </a:r>
        </a:p>
      </xdr:txBody>
    </xdr:sp>
    <xdr:clientData/>
  </xdr:twoCellAnchor>
  <xdr:twoCellAnchor>
    <xdr:from>
      <xdr:col>29</xdr:col>
      <xdr:colOff>899582</xdr:colOff>
      <xdr:row>2</xdr:row>
      <xdr:rowOff>52920</xdr:rowOff>
    </xdr:from>
    <xdr:to>
      <xdr:col>30</xdr:col>
      <xdr:colOff>345741</xdr:colOff>
      <xdr:row>4</xdr:row>
      <xdr:rowOff>65403</xdr:rowOff>
    </xdr:to>
    <xdr:sp macro="[0]!plan_Proposta.s_FF_Clicked" textlink="">
      <xdr:nvSpPr>
        <xdr:cNvPr id="7" name="Retângulo de cantos arredondados 6"/>
        <xdr:cNvSpPr/>
      </xdr:nvSpPr>
      <xdr:spPr>
        <a:xfrm>
          <a:off x="27908249" y="508003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18</xdr:col>
      <xdr:colOff>95247</xdr:colOff>
      <xdr:row>2</xdr:row>
      <xdr:rowOff>63503</xdr:rowOff>
    </xdr:from>
    <xdr:to>
      <xdr:col>18</xdr:col>
      <xdr:colOff>493906</xdr:colOff>
      <xdr:row>4</xdr:row>
      <xdr:rowOff>75986</xdr:rowOff>
    </xdr:to>
    <xdr:sp macro="[0]!plan_Proposta.s_FF_Clicked" textlink="">
      <xdr:nvSpPr>
        <xdr:cNvPr id="8" name="Retângulo de cantos arredondados 7"/>
        <xdr:cNvSpPr/>
      </xdr:nvSpPr>
      <xdr:spPr>
        <a:xfrm>
          <a:off x="14245164" y="518586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8</xdr:col>
      <xdr:colOff>259600</xdr:colOff>
      <xdr:row>2</xdr:row>
      <xdr:rowOff>52920</xdr:rowOff>
    </xdr:from>
    <xdr:to>
      <xdr:col>9</xdr:col>
      <xdr:colOff>765717</xdr:colOff>
      <xdr:row>4</xdr:row>
      <xdr:rowOff>65403</xdr:rowOff>
    </xdr:to>
    <xdr:sp macro="[0]!s_ExcluirProposta_Cliked" textlink="">
      <xdr:nvSpPr>
        <xdr:cNvPr id="11" name="Retângulo de cantos arredondados 10"/>
        <xdr:cNvSpPr/>
      </xdr:nvSpPr>
      <xdr:spPr>
        <a:xfrm>
          <a:off x="2310276" y="456332"/>
          <a:ext cx="1044000" cy="460718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Excluir Proposta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2" name="Fluxograma: Extrair 1">
          <a:hlinkClick xmlns:r="http://schemas.openxmlformats.org/officeDocument/2006/relationships" r:id="rId1"/>
        </xdr:cNvPr>
        <xdr:cNvSpPr/>
      </xdr:nvSpPr>
      <xdr:spPr>
        <a:xfrm rot="16200000">
          <a:off x="128588" y="91545"/>
          <a:ext cx="373595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1985" name="cmd_Lock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1986" name="cmd_Pintar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106597</xdr:colOff>
      <xdr:row>0</xdr:row>
      <xdr:rowOff>44824</xdr:rowOff>
    </xdr:from>
    <xdr:to>
      <xdr:col>30</xdr:col>
      <xdr:colOff>56660</xdr:colOff>
      <xdr:row>1</xdr:row>
      <xdr:rowOff>179294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3322" y="44824"/>
          <a:ext cx="369163" cy="3916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2" name="Fluxograma: Extrair 1">
          <a:hlinkClick xmlns:r="http://schemas.openxmlformats.org/officeDocument/2006/relationships" r:id="rId1"/>
        </xdr:cNvPr>
        <xdr:cNvSpPr/>
      </xdr:nvSpPr>
      <xdr:spPr>
        <a:xfrm rot="16200000">
          <a:off x="128588" y="91545"/>
          <a:ext cx="373595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30721" name="cmd_Lock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30722" name="cmd_Pintar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106597</xdr:colOff>
      <xdr:row>0</xdr:row>
      <xdr:rowOff>44824</xdr:rowOff>
    </xdr:from>
    <xdr:to>
      <xdr:col>30</xdr:col>
      <xdr:colOff>56660</xdr:colOff>
      <xdr:row>1</xdr:row>
      <xdr:rowOff>179294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3322" y="44824"/>
          <a:ext cx="369163" cy="3916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3" name="Fluxograma: Extrair 2">
          <a:hlinkClick xmlns:r="http://schemas.openxmlformats.org/officeDocument/2006/relationships" r:id="rId1"/>
        </xdr:cNvPr>
        <xdr:cNvSpPr/>
      </xdr:nvSpPr>
      <xdr:spPr>
        <a:xfrm rot="16200000">
          <a:off x="123826" y="96307"/>
          <a:ext cx="383120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097" name="cmd_Loc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098" name="cmd_Pint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106597</xdr:colOff>
      <xdr:row>0</xdr:row>
      <xdr:rowOff>44824</xdr:rowOff>
    </xdr:from>
    <xdr:to>
      <xdr:col>30</xdr:col>
      <xdr:colOff>56660</xdr:colOff>
      <xdr:row>1</xdr:row>
      <xdr:rowOff>179294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3979" y="44824"/>
          <a:ext cx="364681" cy="3922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19050</xdr:rowOff>
        </xdr:from>
        <xdr:to>
          <xdr:col>14</xdr:col>
          <xdr:colOff>352425</xdr:colOff>
          <xdr:row>0</xdr:row>
          <xdr:rowOff>333375</xdr:rowOff>
        </xdr:to>
        <xdr:sp macro="" textlink="">
          <xdr:nvSpPr>
            <xdr:cNvPr id="20481" name="cmd_Lock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sharepoint/tecnologia/ti/planejamento/fincontratados/Acompanhamentos%20Capex/GO_SALDO/" TargetMode="External"/><Relationship Id="rId1" Type="http://schemas.openxmlformats.org/officeDocument/2006/relationships/hyperlink" Target="http:\sharepoint\tecnologia\ti\planejamento\fincontratados\Acompanhamentos%20Capex\Incluir_Pauta\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Help">
    <tabColor rgb="FF00CEFF"/>
  </sheetPr>
  <dimension ref="A1:F58"/>
  <sheetViews>
    <sheetView showGridLines="0" showRowColHeaders="0" zoomScale="70" zoomScaleNormal="70" workbookViewId="0">
      <pane ySplit="2" topLeftCell="A3" activePane="bottomLeft" state="frozen"/>
      <selection activeCell="D51" sqref="D51"/>
      <selection pane="bottomLeft" activeCell="D1" sqref="D1:E2"/>
    </sheetView>
  </sheetViews>
  <sheetFormatPr defaultColWidth="0" defaultRowHeight="15" customHeight="1" zeroHeight="1" x14ac:dyDescent="0.25"/>
  <cols>
    <col min="1" max="1" width="3.85546875" customWidth="1"/>
    <col min="2" max="2" width="6.28515625" customWidth="1"/>
    <col min="3" max="3" width="11.140625" customWidth="1"/>
    <col min="4" max="4" width="30" customWidth="1"/>
    <col min="5" max="5" width="172.5703125" customWidth="1"/>
    <col min="6" max="6" width="2.5703125" customWidth="1"/>
    <col min="7" max="16384" width="9.140625" hidden="1"/>
  </cols>
  <sheetData>
    <row r="1" spans="1:6" ht="37.5" customHeight="1" x14ac:dyDescent="0.25">
      <c r="A1" s="80"/>
      <c r="B1" s="81"/>
      <c r="C1" s="81"/>
      <c r="D1" s="329" t="s">
        <v>941</v>
      </c>
      <c r="E1" s="329"/>
      <c r="F1" s="81"/>
    </row>
    <row r="2" spans="1:6" ht="22.5" customHeight="1" x14ac:dyDescent="0.25">
      <c r="A2" s="81"/>
      <c r="B2" s="81"/>
      <c r="C2" s="81"/>
      <c r="D2" s="329"/>
      <c r="E2" s="329"/>
      <c r="F2" s="81"/>
    </row>
    <row r="3" spans="1:6" ht="15.75" customHeight="1" x14ac:dyDescent="0.25">
      <c r="A3" s="81"/>
      <c r="B3" s="81"/>
      <c r="C3" s="81"/>
      <c r="D3" s="81"/>
      <c r="E3" s="81"/>
      <c r="F3" s="81"/>
    </row>
    <row r="4" spans="1:6" ht="99" customHeight="1" x14ac:dyDescent="0.25">
      <c r="A4" s="82"/>
      <c r="B4" s="83" t="s">
        <v>0</v>
      </c>
      <c r="C4" s="328" t="s">
        <v>1069</v>
      </c>
      <c r="D4" s="328"/>
      <c r="E4" s="328"/>
      <c r="F4" s="81"/>
    </row>
    <row r="5" spans="1:6" ht="29.25" customHeight="1" x14ac:dyDescent="0.25">
      <c r="A5" s="82"/>
      <c r="B5" s="83" t="s">
        <v>1</v>
      </c>
      <c r="C5" s="328" t="s">
        <v>1065</v>
      </c>
      <c r="D5" s="328"/>
      <c r="E5" s="328"/>
      <c r="F5" s="81"/>
    </row>
    <row r="6" spans="1:6" ht="31.5" customHeight="1" x14ac:dyDescent="0.25">
      <c r="A6" s="82"/>
      <c r="B6" s="83" t="s">
        <v>2</v>
      </c>
      <c r="C6" s="328" t="s">
        <v>450</v>
      </c>
      <c r="D6" s="328"/>
      <c r="E6" s="328"/>
      <c r="F6" s="81"/>
    </row>
    <row r="7" spans="1:6" ht="195" customHeight="1" x14ac:dyDescent="0.25">
      <c r="A7" s="82"/>
      <c r="B7" s="83" t="s">
        <v>3</v>
      </c>
      <c r="C7" s="328" t="s">
        <v>1080</v>
      </c>
      <c r="D7" s="330"/>
      <c r="E7" s="330"/>
      <c r="F7" s="81"/>
    </row>
    <row r="8" spans="1:6" ht="90" customHeight="1" x14ac:dyDescent="0.25">
      <c r="A8" s="82"/>
      <c r="B8" s="83" t="s">
        <v>4</v>
      </c>
      <c r="C8" s="328" t="s">
        <v>1066</v>
      </c>
      <c r="D8" s="328"/>
      <c r="E8" s="328"/>
      <c r="F8" s="81"/>
    </row>
    <row r="9" spans="1:6" ht="90.75" customHeight="1" x14ac:dyDescent="0.25">
      <c r="A9" s="82"/>
      <c r="B9" s="83" t="s">
        <v>5</v>
      </c>
      <c r="C9" s="328" t="s">
        <v>1067</v>
      </c>
      <c r="D9" s="328"/>
      <c r="E9" s="328"/>
      <c r="F9" s="81"/>
    </row>
    <row r="10" spans="1:6" ht="8.25" customHeight="1" x14ac:dyDescent="0.25">
      <c r="A10" s="82"/>
      <c r="B10" s="84"/>
      <c r="C10" s="85"/>
      <c r="D10" s="86"/>
      <c r="E10" s="86"/>
      <c r="F10" s="81"/>
    </row>
    <row r="11" spans="1:6" ht="64.5" customHeight="1" x14ac:dyDescent="0.25">
      <c r="A11" s="82"/>
      <c r="B11" s="83" t="s">
        <v>6</v>
      </c>
      <c r="C11" s="328" t="s">
        <v>1064</v>
      </c>
      <c r="D11" s="328"/>
      <c r="E11" s="328"/>
      <c r="F11" s="81"/>
    </row>
    <row r="12" spans="1:6" ht="132" customHeight="1" x14ac:dyDescent="0.25">
      <c r="A12" s="82"/>
      <c r="B12" s="83" t="s">
        <v>7</v>
      </c>
      <c r="C12" s="328" t="s">
        <v>1081</v>
      </c>
      <c r="D12" s="328"/>
      <c r="E12" s="328"/>
      <c r="F12" s="81"/>
    </row>
    <row r="13" spans="1:6" ht="94.5" customHeight="1" x14ac:dyDescent="0.25">
      <c r="A13" s="82"/>
      <c r="B13" s="83" t="s">
        <v>8</v>
      </c>
      <c r="C13" s="328" t="s">
        <v>1068</v>
      </c>
      <c r="D13" s="328"/>
      <c r="E13" s="328"/>
      <c r="F13" s="81"/>
    </row>
    <row r="14" spans="1:6" ht="20.25" x14ac:dyDescent="0.25">
      <c r="A14" s="82"/>
      <c r="B14" s="83" t="s">
        <v>9</v>
      </c>
      <c r="C14" s="328" t="s">
        <v>1083</v>
      </c>
      <c r="D14" s="328"/>
      <c r="E14" s="328"/>
      <c r="F14" s="81"/>
    </row>
    <row r="15" spans="1:6" ht="20.25" customHeight="1" x14ac:dyDescent="0.25">
      <c r="A15" s="82"/>
      <c r="B15" s="83"/>
      <c r="C15" s="338" t="s">
        <v>1084</v>
      </c>
      <c r="D15" s="338"/>
      <c r="E15" s="338"/>
      <c r="F15" s="81"/>
    </row>
    <row r="16" spans="1:6" ht="60" customHeight="1" x14ac:dyDescent="0.25">
      <c r="A16" s="82"/>
      <c r="B16" s="83"/>
      <c r="C16" s="335" t="s">
        <v>1082</v>
      </c>
      <c r="D16" s="335"/>
      <c r="E16" s="335"/>
      <c r="F16" s="81"/>
    </row>
    <row r="17" spans="1:6" ht="20.25" x14ac:dyDescent="0.25">
      <c r="A17" s="82"/>
      <c r="B17" s="83" t="s">
        <v>272</v>
      </c>
      <c r="C17" s="328" t="s">
        <v>1085</v>
      </c>
      <c r="D17" s="328"/>
      <c r="E17" s="328"/>
      <c r="F17" s="81"/>
    </row>
    <row r="18" spans="1:6" ht="20.25" customHeight="1" x14ac:dyDescent="0.25">
      <c r="A18" s="82"/>
      <c r="B18" s="83"/>
      <c r="C18" s="338" t="s">
        <v>1086</v>
      </c>
      <c r="D18" s="338"/>
      <c r="E18" s="338"/>
      <c r="F18" s="81"/>
    </row>
    <row r="19" spans="1:6" ht="59.25" customHeight="1" x14ac:dyDescent="0.25">
      <c r="A19" s="82"/>
      <c r="B19" s="83"/>
      <c r="C19" s="335" t="s">
        <v>1087</v>
      </c>
      <c r="D19" s="328"/>
      <c r="E19" s="328"/>
      <c r="F19" s="81"/>
    </row>
    <row r="20" spans="1:6" ht="20.25" x14ac:dyDescent="0.25">
      <c r="A20" s="82"/>
      <c r="B20" s="317" t="s">
        <v>10</v>
      </c>
      <c r="C20" s="82"/>
      <c r="D20" s="82"/>
      <c r="E20" s="82"/>
      <c r="F20" s="81"/>
    </row>
    <row r="21" spans="1:6" ht="12.75" customHeight="1" x14ac:dyDescent="0.25">
      <c r="A21" s="82"/>
      <c r="B21" s="82"/>
      <c r="C21" s="87"/>
      <c r="D21" s="82"/>
      <c r="E21" s="82"/>
      <c r="F21" s="81"/>
    </row>
    <row r="22" spans="1:6" ht="20.25" customHeight="1" x14ac:dyDescent="0.25">
      <c r="A22" s="82"/>
      <c r="B22" s="82"/>
      <c r="C22" s="82"/>
      <c r="D22" s="88" t="s">
        <v>11</v>
      </c>
      <c r="E22" s="88" t="s">
        <v>12</v>
      </c>
      <c r="F22" s="81"/>
    </row>
    <row r="23" spans="1:6" ht="51" customHeight="1" x14ac:dyDescent="0.25">
      <c r="A23" s="82"/>
      <c r="B23" s="336" t="s">
        <v>1026</v>
      </c>
      <c r="C23" s="337"/>
      <c r="D23" s="318" t="s">
        <v>13</v>
      </c>
      <c r="E23" s="321" t="s">
        <v>14</v>
      </c>
      <c r="F23" s="81"/>
    </row>
    <row r="24" spans="1:6" ht="41.1" customHeight="1" x14ac:dyDescent="0.25">
      <c r="A24" s="82"/>
      <c r="B24" s="336"/>
      <c r="C24" s="337"/>
      <c r="D24" s="318" t="s">
        <v>15</v>
      </c>
      <c r="E24" s="321" t="s">
        <v>16</v>
      </c>
      <c r="F24" s="81"/>
    </row>
    <row r="25" spans="1:6" ht="41.1" customHeight="1" x14ac:dyDescent="0.25">
      <c r="A25" s="82"/>
      <c r="B25" s="336"/>
      <c r="C25" s="337"/>
      <c r="D25" s="318" t="s">
        <v>17</v>
      </c>
      <c r="E25" s="321" t="s">
        <v>18</v>
      </c>
      <c r="F25" s="81"/>
    </row>
    <row r="26" spans="1:6" ht="41.1" customHeight="1" x14ac:dyDescent="0.25">
      <c r="A26" s="82"/>
      <c r="B26" s="336"/>
      <c r="C26" s="337"/>
      <c r="D26" s="318" t="s">
        <v>19</v>
      </c>
      <c r="E26" s="321" t="s">
        <v>20</v>
      </c>
      <c r="F26" s="81"/>
    </row>
    <row r="27" spans="1:6" ht="41.1" customHeight="1" x14ac:dyDescent="0.25">
      <c r="A27" s="82"/>
      <c r="B27" s="336"/>
      <c r="C27" s="337"/>
      <c r="D27" s="318" t="s">
        <v>21</v>
      </c>
      <c r="E27" s="321" t="s">
        <v>22</v>
      </c>
      <c r="F27" s="81"/>
    </row>
    <row r="28" spans="1:6" ht="41.1" customHeight="1" x14ac:dyDescent="0.25">
      <c r="A28" s="82"/>
      <c r="B28" s="331" t="s">
        <v>23</v>
      </c>
      <c r="C28" s="332"/>
      <c r="D28" s="319" t="s">
        <v>24</v>
      </c>
      <c r="E28" s="321" t="s">
        <v>25</v>
      </c>
      <c r="F28" s="81"/>
    </row>
    <row r="29" spans="1:6" ht="41.1" customHeight="1" x14ac:dyDescent="0.25">
      <c r="A29" s="82"/>
      <c r="B29" s="331"/>
      <c r="C29" s="332"/>
      <c r="D29" s="319" t="s">
        <v>26</v>
      </c>
      <c r="E29" s="321" t="s">
        <v>939</v>
      </c>
      <c r="F29" s="81"/>
    </row>
    <row r="30" spans="1:6" ht="41.1" customHeight="1" x14ac:dyDescent="0.25">
      <c r="A30" s="82"/>
      <c r="B30" s="331"/>
      <c r="C30" s="332"/>
      <c r="D30" s="319" t="s">
        <v>27</v>
      </c>
      <c r="E30" s="321" t="s">
        <v>940</v>
      </c>
      <c r="F30" s="81"/>
    </row>
    <row r="31" spans="1:6" ht="41.1" customHeight="1" x14ac:dyDescent="0.25">
      <c r="A31" s="82"/>
      <c r="B31" s="333" t="s">
        <v>28</v>
      </c>
      <c r="C31" s="334"/>
      <c r="D31" s="320" t="s">
        <v>29</v>
      </c>
      <c r="E31" s="321" t="s">
        <v>30</v>
      </c>
      <c r="F31" s="81"/>
    </row>
    <row r="32" spans="1:6" x14ac:dyDescent="0.25">
      <c r="A32" s="82"/>
      <c r="B32" s="82"/>
      <c r="C32" s="82"/>
      <c r="D32" s="82"/>
      <c r="E32" s="82"/>
      <c r="F32" s="81"/>
    </row>
    <row r="33" spans="1:6" ht="15" hidden="1" customHeight="1" x14ac:dyDescent="0.25">
      <c r="A33" s="81"/>
      <c r="B33" s="81"/>
      <c r="C33" s="81"/>
      <c r="D33" s="81"/>
      <c r="E33" s="81"/>
      <c r="F33" s="81"/>
    </row>
    <row r="34" spans="1:6" ht="15" hidden="1" customHeight="1" x14ac:dyDescent="0.25">
      <c r="A34" s="81"/>
      <c r="B34" s="81"/>
      <c r="C34" s="81"/>
      <c r="D34" s="81"/>
      <c r="E34" s="81"/>
      <c r="F34" s="81"/>
    </row>
    <row r="35" spans="1:6" ht="15" hidden="1" customHeight="1" x14ac:dyDescent="0.25">
      <c r="A35" s="81"/>
      <c r="B35" s="81"/>
      <c r="C35" s="81"/>
      <c r="D35" s="81"/>
      <c r="E35" s="81"/>
      <c r="F35" s="81"/>
    </row>
    <row r="36" spans="1:6" ht="15" hidden="1" customHeight="1" x14ac:dyDescent="0.25">
      <c r="A36" s="81"/>
      <c r="B36" s="81"/>
      <c r="C36" s="81"/>
      <c r="D36" s="81"/>
      <c r="E36" s="81"/>
      <c r="F36" s="81"/>
    </row>
    <row r="37" spans="1:6" ht="15" hidden="1" customHeight="1" x14ac:dyDescent="0.25">
      <c r="A37" s="81"/>
      <c r="B37" s="81"/>
      <c r="C37" s="81"/>
      <c r="D37" s="81"/>
      <c r="E37" s="81"/>
      <c r="F37" s="81"/>
    </row>
    <row r="38" spans="1:6" ht="15" hidden="1" customHeight="1" x14ac:dyDescent="0.25">
      <c r="A38" s="81"/>
      <c r="B38" s="81"/>
      <c r="C38" s="81"/>
      <c r="D38" s="81"/>
      <c r="E38" s="81"/>
      <c r="F38" s="81"/>
    </row>
    <row r="39" spans="1:6" ht="15" hidden="1" customHeight="1" x14ac:dyDescent="0.25">
      <c r="A39" s="81"/>
      <c r="B39" s="81"/>
      <c r="C39" s="81"/>
      <c r="D39" s="81"/>
      <c r="E39" s="81"/>
      <c r="F39" s="81"/>
    </row>
    <row r="40" spans="1:6" ht="15" hidden="1" customHeight="1" x14ac:dyDescent="0.25">
      <c r="A40" s="81"/>
      <c r="B40" s="81"/>
      <c r="C40" s="81"/>
      <c r="D40" s="81"/>
      <c r="E40" s="81"/>
      <c r="F40" s="81"/>
    </row>
    <row r="41" spans="1:6" ht="15" hidden="1" customHeight="1" x14ac:dyDescent="0.25">
      <c r="A41" s="81"/>
      <c r="B41" s="81"/>
      <c r="C41" s="81"/>
      <c r="D41" s="81"/>
      <c r="E41" s="81"/>
      <c r="F41" s="81"/>
    </row>
    <row r="42" spans="1:6" ht="15" hidden="1" customHeight="1" x14ac:dyDescent="0.25">
      <c r="A42" s="81"/>
      <c r="B42" s="81"/>
      <c r="C42" s="81"/>
      <c r="D42" s="81"/>
      <c r="E42" s="81"/>
      <c r="F42" s="81"/>
    </row>
    <row r="43" spans="1:6" ht="15" hidden="1" customHeight="1" x14ac:dyDescent="0.25">
      <c r="A43" s="81"/>
      <c r="B43" s="81"/>
      <c r="C43" s="81"/>
      <c r="D43" s="81"/>
      <c r="E43" s="81"/>
      <c r="F43" s="81"/>
    </row>
    <row r="44" spans="1:6" ht="15" hidden="1" customHeight="1" x14ac:dyDescent="0.25">
      <c r="A44" s="81"/>
      <c r="B44" s="81"/>
      <c r="C44" s="81"/>
      <c r="D44" s="81"/>
      <c r="E44" s="81"/>
      <c r="F44" s="81"/>
    </row>
    <row r="45" spans="1:6" ht="15" hidden="1" customHeight="1" x14ac:dyDescent="0.25"/>
    <row r="46" spans="1:6" ht="15" hidden="1" customHeight="1" x14ac:dyDescent="0.25"/>
    <row r="47" spans="1:6" ht="15" hidden="1" customHeight="1" x14ac:dyDescent="0.25"/>
    <row r="48" spans="1:6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</sheetData>
  <sheetProtection algorithmName="SHA-512" hashValue="X0lx2F1rLD3/zMMk57v9soKLi5Oyf6Tv+nOX8zcAEoe987TXkGhVh/A7EckMBFo8yWcCydoPGEEjUilri72Idw==" saltValue="eKCFIR+Lx0k+jzcV+f5hTQ==" spinCount="100000" sheet="1" objects="1" scenarios="1"/>
  <mergeCells count="19">
    <mergeCell ref="B28:C30"/>
    <mergeCell ref="B31:C31"/>
    <mergeCell ref="C14:E14"/>
    <mergeCell ref="C19:E19"/>
    <mergeCell ref="B23:C27"/>
    <mergeCell ref="C16:E16"/>
    <mergeCell ref="C15:E15"/>
    <mergeCell ref="C17:E17"/>
    <mergeCell ref="C18:E18"/>
    <mergeCell ref="C13:E13"/>
    <mergeCell ref="D1:E2"/>
    <mergeCell ref="C4:E4"/>
    <mergeCell ref="C5:E5"/>
    <mergeCell ref="C6:E6"/>
    <mergeCell ref="C8:E8"/>
    <mergeCell ref="C9:E9"/>
    <mergeCell ref="C11:E11"/>
    <mergeCell ref="C12:E12"/>
    <mergeCell ref="C7:E7"/>
  </mergeCells>
  <hyperlinks>
    <hyperlink ref="C15:E15" r:id="rId1" display="http://sharepoint/tecnologia/ti/planejamento/fincontratados/Acompanhamentos%20Capex/Incluir_Pauta/"/>
    <hyperlink ref="C18:E18" r:id="rId2" display="http://sharepoint/tecnologia/ti/planejamento/fincontratados/Acompanhamentos%20Capex/GO_SALDO/"/>
  </hyperlinks>
  <pageMargins left="0.25" right="0.25" top="0.75" bottom="0.75" header="0.3" footer="0.3"/>
  <pageSetup paperSize="9" scale="44"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md_LimparTudo">
          <controlPr defaultSize="0" autoLine="0" r:id="rId7">
            <anchor moveWithCells="1">
              <from>
                <xdr:col>4</xdr:col>
                <xdr:colOff>11058525</xdr:colOff>
                <xdr:row>0</xdr:row>
                <xdr:rowOff>38100</xdr:rowOff>
              </from>
              <to>
                <xdr:col>5</xdr:col>
                <xdr:colOff>0</xdr:colOff>
                <xdr:row>1</xdr:row>
                <xdr:rowOff>19050</xdr:rowOff>
              </to>
            </anchor>
          </controlPr>
        </control>
      </mc:Choice>
      <mc:Fallback>
        <control shapeId="1026" r:id="rId6" name="cmd_LimparTud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Defesa">
    <pageSetUpPr fitToPage="1"/>
  </sheetPr>
  <dimension ref="A1:O50"/>
  <sheetViews>
    <sheetView showGridLines="0" showRowColHeaders="0" zoomScale="79" zoomScaleNormal="79" workbookViewId="0">
      <selection activeCell="E27" sqref="E27:G30"/>
    </sheetView>
  </sheetViews>
  <sheetFormatPr defaultColWidth="0" defaultRowHeight="0" customHeight="1" zeroHeight="1" x14ac:dyDescent="0.25"/>
  <cols>
    <col min="1" max="1" width="1.28515625" style="81" customWidth="1"/>
    <col min="2" max="2" width="14.5703125" style="81" customWidth="1"/>
    <col min="3" max="3" width="14.42578125" style="81" customWidth="1"/>
    <col min="4" max="4" width="1.5703125" style="81" customWidth="1"/>
    <col min="5" max="5" width="19.7109375" style="81" customWidth="1"/>
    <col min="6" max="6" width="23.42578125" style="81" customWidth="1"/>
    <col min="7" max="7" width="35.28515625" style="81" customWidth="1"/>
    <col min="8" max="8" width="1.28515625" style="81" customWidth="1"/>
    <col min="9" max="9" width="27.85546875" style="81" customWidth="1"/>
    <col min="10" max="10" width="41.140625" style="81" customWidth="1"/>
    <col min="11" max="11" width="1.42578125" style="81" customWidth="1"/>
    <col min="12" max="12" width="24.85546875" style="81" customWidth="1"/>
    <col min="13" max="14" width="15.28515625" style="81" customWidth="1"/>
    <col min="15" max="15" width="1.85546875" style="81" customWidth="1"/>
    <col min="16" max="16384" width="9.140625" hidden="1"/>
  </cols>
  <sheetData>
    <row r="1" spans="1:15" ht="3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ht="35.25" customHeight="1" thickBot="1" x14ac:dyDescent="0.4">
      <c r="B2" s="215" t="s">
        <v>1050</v>
      </c>
      <c r="C2" s="216"/>
      <c r="D2" s="216"/>
      <c r="E2" s="216"/>
      <c r="F2" s="216"/>
      <c r="G2" s="216"/>
      <c r="H2" s="216"/>
      <c r="I2" s="217"/>
      <c r="J2" s="217"/>
      <c r="K2" s="217"/>
      <c r="L2" s="218"/>
      <c r="M2" s="218"/>
      <c r="N2" s="217"/>
    </row>
    <row r="3" spans="1:15" ht="14.25" customHeight="1" thickTop="1" x14ac:dyDescent="0.25">
      <c r="B3" s="219" t="s">
        <v>859</v>
      </c>
      <c r="C3" s="220" t="s">
        <v>1092</v>
      </c>
      <c r="D3" s="108"/>
      <c r="H3" s="108"/>
    </row>
    <row r="4" spans="1:15" ht="9" customHeight="1" thickBot="1" x14ac:dyDescent="0.3">
      <c r="E4" s="108"/>
      <c r="F4" s="108"/>
      <c r="G4" s="108"/>
      <c r="H4" s="108"/>
    </row>
    <row r="5" spans="1:15" ht="15.75" customHeight="1" thickTop="1" x14ac:dyDescent="0.25">
      <c r="A5" s="109"/>
      <c r="B5" s="342" t="s">
        <v>1046</v>
      </c>
      <c r="C5" s="343"/>
      <c r="D5" s="109"/>
      <c r="E5" s="245" t="str">
        <f>"Nome " &amp; IF(F7 = "CARGA BASELINE",  "do Baseline", IF( $B$7 ="N/A", "Solicitação", "Projeto" ))</f>
        <v>Nome Projeto</v>
      </c>
      <c r="F5" s="344" t="s">
        <v>1098</v>
      </c>
      <c r="G5" s="345"/>
      <c r="I5" s="245" t="s">
        <v>1095</v>
      </c>
      <c r="J5" s="110" t="s">
        <v>1013</v>
      </c>
      <c r="L5" s="371" t="s">
        <v>31</v>
      </c>
      <c r="M5" s="373">
        <f>Propostas!AA5</f>
        <v>5000000</v>
      </c>
      <c r="N5" s="374"/>
    </row>
    <row r="6" spans="1:15" ht="15.75" thickBot="1" x14ac:dyDescent="0.3">
      <c r="A6" s="109"/>
      <c r="B6" s="230" t="s">
        <v>50</v>
      </c>
      <c r="C6" s="231" t="s">
        <v>443</v>
      </c>
      <c r="D6" s="109"/>
      <c r="E6" s="246" t="s">
        <v>1048</v>
      </c>
      <c r="F6" s="344" t="s">
        <v>1099</v>
      </c>
      <c r="G6" s="345"/>
      <c r="I6" s="246" t="s">
        <v>42</v>
      </c>
      <c r="J6" s="110" t="s">
        <v>1101</v>
      </c>
      <c r="L6" s="372"/>
      <c r="M6" s="375"/>
      <c r="N6" s="376"/>
    </row>
    <row r="7" spans="1:15" ht="15" customHeight="1" thickTop="1" x14ac:dyDescent="0.25">
      <c r="B7" s="233" t="s">
        <v>1097</v>
      </c>
      <c r="C7" s="233" t="s">
        <v>1096</v>
      </c>
      <c r="E7" s="245" t="s">
        <v>425</v>
      </c>
      <c r="F7" s="232" t="s">
        <v>1044</v>
      </c>
      <c r="I7" s="245" t="s">
        <v>1021</v>
      </c>
      <c r="J7" s="110" t="s">
        <v>949</v>
      </c>
      <c r="K7" s="112"/>
      <c r="L7" s="235"/>
      <c r="M7" s="237" t="s">
        <v>1049</v>
      </c>
      <c r="N7" s="314">
        <f>SUMIFS(Propostas!$AA$8:$AA207, Propostas!$V$8:$V$207, 0, Propostas!$G$8:$G$207, "NÃO")</f>
        <v>5000000</v>
      </c>
    </row>
    <row r="8" spans="1:15" ht="15" customHeight="1" x14ac:dyDescent="0.25">
      <c r="B8" s="234"/>
      <c r="C8" s="234"/>
      <c r="K8" s="112"/>
      <c r="L8" s="235"/>
      <c r="M8" s="237" t="s">
        <v>924</v>
      </c>
      <c r="N8" s="314">
        <f>SUMIFS(Propostas!$AA$8:$AA207, Propostas!$V$8:$V$207, 0, Propostas!$G$8:$G$207, "SIM")</f>
        <v>0</v>
      </c>
    </row>
    <row r="9" spans="1:15" ht="15" customHeight="1" x14ac:dyDescent="0.25">
      <c r="B9" s="234"/>
      <c r="C9" s="234"/>
      <c r="E9" s="355" t="s">
        <v>35</v>
      </c>
      <c r="F9" s="355"/>
      <c r="G9" s="355"/>
      <c r="I9" s="245" t="s">
        <v>227</v>
      </c>
      <c r="J9" s="113" t="s">
        <v>1102</v>
      </c>
      <c r="L9" s="235"/>
      <c r="M9" s="237" t="s">
        <v>33</v>
      </c>
      <c r="N9" s="315">
        <f xml:space="preserve"> SUM(M15:M26)</f>
        <v>0</v>
      </c>
    </row>
    <row r="10" spans="1:15" ht="15" customHeight="1" x14ac:dyDescent="0.25">
      <c r="B10" s="234"/>
      <c r="C10" s="234"/>
      <c r="E10" s="346" t="s">
        <v>1132</v>
      </c>
      <c r="F10" s="347"/>
      <c r="G10" s="348"/>
      <c r="I10" s="245" t="s">
        <v>431</v>
      </c>
      <c r="J10" s="113" t="s">
        <v>1102</v>
      </c>
      <c r="L10" s="236"/>
      <c r="M10" s="238" t="s">
        <v>824</v>
      </c>
      <c r="N10" s="316">
        <f xml:space="preserve"> SUM(N15:N26)</f>
        <v>0</v>
      </c>
    </row>
    <row r="11" spans="1:15" ht="15" customHeight="1" x14ac:dyDescent="0.25">
      <c r="B11" s="234"/>
      <c r="C11" s="234"/>
      <c r="E11" s="349"/>
      <c r="F11" s="350"/>
      <c r="G11" s="351"/>
      <c r="I11" s="245" t="s">
        <v>432</v>
      </c>
      <c r="J11" s="377" t="s">
        <v>275</v>
      </c>
      <c r="L11" s="247" t="s">
        <v>959</v>
      </c>
      <c r="M11" s="114">
        <v>5000000</v>
      </c>
    </row>
    <row r="12" spans="1:15" ht="15" x14ac:dyDescent="0.25">
      <c r="A12" s="115"/>
      <c r="B12" s="234"/>
      <c r="C12" s="234"/>
      <c r="D12" s="115"/>
      <c r="E12" s="349"/>
      <c r="F12" s="350"/>
      <c r="G12" s="351"/>
      <c r="I12" s="341" t="s">
        <v>1022</v>
      </c>
      <c r="J12" s="378"/>
      <c r="L12" s="245" t="s">
        <v>39</v>
      </c>
      <c r="M12" s="114">
        <v>5000000</v>
      </c>
    </row>
    <row r="13" spans="1:15" ht="15" customHeight="1" x14ac:dyDescent="0.25">
      <c r="A13" s="115"/>
      <c r="B13" s="234"/>
      <c r="C13" s="234"/>
      <c r="D13" s="115"/>
      <c r="E13" s="352"/>
      <c r="F13" s="353"/>
      <c r="G13" s="354"/>
      <c r="I13" s="341"/>
      <c r="J13" s="379"/>
      <c r="L13" s="245" t="s">
        <v>1076</v>
      </c>
      <c r="M13" s="114">
        <v>5000000</v>
      </c>
    </row>
    <row r="14" spans="1:15" ht="15" customHeight="1" x14ac:dyDescent="0.25">
      <c r="B14" s="234"/>
      <c r="C14" s="234"/>
      <c r="E14" s="380" t="s">
        <v>41</v>
      </c>
      <c r="F14" s="380"/>
      <c r="G14" s="380"/>
      <c r="I14" s="245" t="s">
        <v>265</v>
      </c>
      <c r="J14" s="116" t="s">
        <v>1103</v>
      </c>
      <c r="L14" s="228"/>
      <c r="M14" s="227" t="s">
        <v>33</v>
      </c>
      <c r="N14" s="227" t="s">
        <v>824</v>
      </c>
    </row>
    <row r="15" spans="1:15" ht="15" customHeight="1" x14ac:dyDescent="0.25">
      <c r="B15" s="234"/>
      <c r="C15" s="234"/>
      <c r="E15" s="346" t="s">
        <v>1133</v>
      </c>
      <c r="F15" s="347"/>
      <c r="G15" s="348"/>
      <c r="L15" s="224" t="s">
        <v>36</v>
      </c>
      <c r="M15" s="311">
        <f>IF(OR($L15 = "", $F$7= "CARGA BASELINE"),  "", SUMIFS(Propostas!AA:AA,Propostas!AU:AU, $L15))</f>
        <v>0</v>
      </c>
      <c r="N15" s="311">
        <f>IF(OR($L15 = "", $F$7= "CARGA BASELINE"),  "", SUMIFS(Propostas!AA:AA,Propostas!AV:AV, $L15))</f>
        <v>0</v>
      </c>
    </row>
    <row r="16" spans="1:15" ht="15" x14ac:dyDescent="0.25">
      <c r="B16" s="234"/>
      <c r="C16" s="234"/>
      <c r="E16" s="349"/>
      <c r="F16" s="350"/>
      <c r="G16" s="351"/>
      <c r="I16" s="245" t="s">
        <v>32</v>
      </c>
      <c r="J16" s="117" t="s">
        <v>1104</v>
      </c>
      <c r="L16" s="225" t="s">
        <v>789</v>
      </c>
      <c r="M16" s="312">
        <f>IF(OR($L16 = "", $F$7= "CARGA BASELINE"),  "", SUMIFS(Propostas!AA:AA,Propostas!AU:AU, $L16))</f>
        <v>0</v>
      </c>
      <c r="N16" s="312">
        <f>IF(OR($L16 = "", $F$7= "CARGA BASELINE"),  "", SUMIFS(Propostas!AA:AA,Propostas!AV:AV, $L16))</f>
        <v>0</v>
      </c>
    </row>
    <row r="17" spans="1:14" ht="15" x14ac:dyDescent="0.25">
      <c r="B17" s="234"/>
      <c r="C17" s="234"/>
      <c r="E17" s="349"/>
      <c r="F17" s="350"/>
      <c r="G17" s="351"/>
      <c r="I17" s="245" t="s">
        <v>264</v>
      </c>
      <c r="J17" s="118" t="s">
        <v>275</v>
      </c>
      <c r="L17" s="225" t="s">
        <v>981</v>
      </c>
      <c r="M17" s="312">
        <f>IF(OR($L17 = "", $F$7= "CARGA BASELINE"),  "", SUMIFS(Propostas!AA:AA,Propostas!AU:AU, $L17))</f>
        <v>0</v>
      </c>
      <c r="N17" s="312">
        <f>IF(OR($L17 = "", $F$7= "CARGA BASELINE"),  "", SUMIFS(Propostas!AA:AA,Propostas!AV:AV, $L17))</f>
        <v>0</v>
      </c>
    </row>
    <row r="18" spans="1:14" ht="15" x14ac:dyDescent="0.25">
      <c r="B18" s="234"/>
      <c r="C18" s="234"/>
      <c r="E18" s="349"/>
      <c r="F18" s="350"/>
      <c r="G18" s="351"/>
      <c r="I18" s="245" t="s">
        <v>34</v>
      </c>
      <c r="J18" s="117" t="s">
        <v>1105</v>
      </c>
      <c r="L18" s="225" t="s">
        <v>661</v>
      </c>
      <c r="M18" s="312">
        <f>IF(OR($L18 = "", $F$7= "CARGA BASELINE"),  "", SUMIFS(Propostas!AA:AA,Propostas!AU:AU, $L18))</f>
        <v>0</v>
      </c>
      <c r="N18" s="312">
        <f>IF(OR($L18 = "", $F$7= "CARGA BASELINE"),  "", SUMIFS(Propostas!AA:AA,Propostas!AV:AV, $L18))</f>
        <v>0</v>
      </c>
    </row>
    <row r="19" spans="1:14" ht="15" x14ac:dyDescent="0.25">
      <c r="B19" s="234"/>
      <c r="C19" s="234"/>
      <c r="E19" s="349"/>
      <c r="F19" s="350"/>
      <c r="G19" s="351"/>
      <c r="L19" s="225" t="s">
        <v>673</v>
      </c>
      <c r="M19" s="312">
        <f>IF(OR($L19 = "", $F$7= "CARGA BASELINE"),  "", SUMIFS(Propostas!AA:AA,Propostas!AU:AU, $L19))</f>
        <v>0</v>
      </c>
      <c r="N19" s="312">
        <f>IF(OR($L19 = "", $F$7= "CARGA BASELINE"),  "", SUMIFS(Propostas!AA:AA,Propostas!AV:AV, $L19))</f>
        <v>0</v>
      </c>
    </row>
    <row r="20" spans="1:14" ht="15" x14ac:dyDescent="0.25">
      <c r="A20" s="115"/>
      <c r="B20" s="234"/>
      <c r="C20" s="234"/>
      <c r="D20" s="115"/>
      <c r="E20" s="352"/>
      <c r="F20" s="353"/>
      <c r="G20" s="354"/>
      <c r="I20" s="245" t="s">
        <v>37</v>
      </c>
      <c r="J20" s="119" t="s">
        <v>418</v>
      </c>
      <c r="L20" s="225" t="s">
        <v>178</v>
      </c>
      <c r="M20" s="312">
        <f>IF(OR($L20 = "", $F$7= "CARGA BASELINE"),  "", SUMIFS(Propostas!AA:AA,Propostas!AU:AU, $L20))</f>
        <v>0</v>
      </c>
      <c r="N20" s="312">
        <f>IF(OR($L20 = "", $F$7= "CARGA BASELINE"),  "", SUMIFS(Propostas!AA:AA,Propostas!AV:AV, $L20))</f>
        <v>0</v>
      </c>
    </row>
    <row r="21" spans="1:14" ht="15" customHeight="1" x14ac:dyDescent="0.25">
      <c r="B21" s="234"/>
      <c r="C21" s="234"/>
      <c r="E21" s="380" t="s">
        <v>45</v>
      </c>
      <c r="F21" s="380"/>
      <c r="G21" s="380"/>
      <c r="I21" s="245" t="s">
        <v>1093</v>
      </c>
      <c r="J21" s="119" t="s">
        <v>15</v>
      </c>
      <c r="L21" s="225" t="s">
        <v>183</v>
      </c>
      <c r="M21" s="312">
        <f>IF(OR($L21 = "", $F$7= "CARGA BASELINE"),  "", SUMIFS(Propostas!AA:AA,Propostas!AU:AU, $L21))</f>
        <v>0</v>
      </c>
      <c r="N21" s="312">
        <f>IF(OR($L21 = "", $F$7= "CARGA BASELINE"),  "", SUMIFS(Propostas!AA:AA,Propostas!AV:AV, $L21))</f>
        <v>0</v>
      </c>
    </row>
    <row r="22" spans="1:14" ht="15" x14ac:dyDescent="0.25">
      <c r="A22" s="109"/>
      <c r="B22" s="234"/>
      <c r="C22" s="234"/>
      <c r="D22" s="109"/>
      <c r="E22" s="346" t="s">
        <v>1134</v>
      </c>
      <c r="F22" s="347"/>
      <c r="G22" s="348"/>
      <c r="I22" s="120"/>
      <c r="L22" s="225" t="s">
        <v>440</v>
      </c>
      <c r="M22" s="312">
        <f>IF(OR($L22 = "", $F$7= "CARGA BASELINE"),  "", SUMIFS(Propostas!AA:AA,Propostas!AU:AU, $L22))</f>
        <v>0</v>
      </c>
      <c r="N22" s="312">
        <f>IF(OR($L22 = "", $F$7= "CARGA BASELINE"),  "", SUMIFS(Propostas!AA:AA,Propostas!AV:AV, $L22))</f>
        <v>0</v>
      </c>
    </row>
    <row r="23" spans="1:14" ht="15" x14ac:dyDescent="0.25">
      <c r="A23" s="109"/>
      <c r="B23" s="234"/>
      <c r="C23" s="234"/>
      <c r="D23" s="109"/>
      <c r="E23" s="349"/>
      <c r="F23" s="350"/>
      <c r="G23" s="351"/>
      <c r="I23" s="248" t="s">
        <v>44</v>
      </c>
      <c r="J23" s="121" t="s">
        <v>927</v>
      </c>
      <c r="L23" s="225" t="s">
        <v>1029</v>
      </c>
      <c r="M23" s="312">
        <f>IF(OR($L23 = "", $F$7= "CARGA BASELINE"),  "", SUMIFS(Propostas!AA:AA,Propostas!AU:AU, $L23))</f>
        <v>0</v>
      </c>
      <c r="N23" s="312">
        <f>IF(OR($L23 = "", $F$7= "CARGA BASELINE"),  "", SUMIFS(Propostas!AA:AA,Propostas!AV:AV, $L23))</f>
        <v>0</v>
      </c>
    </row>
    <row r="24" spans="1:14" ht="15" x14ac:dyDescent="0.25">
      <c r="A24" s="109"/>
      <c r="B24" s="234"/>
      <c r="C24" s="234"/>
      <c r="D24" s="109"/>
      <c r="E24" s="349"/>
      <c r="F24" s="350"/>
      <c r="G24" s="351"/>
      <c r="I24" s="245" t="s">
        <v>43</v>
      </c>
      <c r="J24" s="121" t="s">
        <v>927</v>
      </c>
      <c r="L24" s="225" t="s">
        <v>1090</v>
      </c>
      <c r="M24" s="312">
        <f>IF(OR($L24 = "", $F$7= "CARGA BASELINE"),  "", SUMIFS(Propostas!AA:AA,Propostas!AU:AU, $L24))</f>
        <v>0</v>
      </c>
      <c r="N24" s="312">
        <f>IF(OR($L24 = "", $F$7= "CARGA BASELINE"),  "", SUMIFS(Propostas!AA:AA,Propostas!AV:AV, $L24))</f>
        <v>0</v>
      </c>
    </row>
    <row r="25" spans="1:14" ht="15" x14ac:dyDescent="0.25">
      <c r="A25" s="109"/>
      <c r="B25" s="234"/>
      <c r="C25" s="234"/>
      <c r="D25" s="109"/>
      <c r="E25" s="352"/>
      <c r="F25" s="353"/>
      <c r="G25" s="354"/>
      <c r="L25" s="225" t="s">
        <v>855</v>
      </c>
      <c r="M25" s="312">
        <f>IF(OR($L25 = "", $F$7= "CARGA BASELINE"),  "", SUMIFS(Propostas!AA:AA,Propostas!AU:AU, $L25))</f>
        <v>0</v>
      </c>
      <c r="N25" s="312">
        <f>IF(OR($L25 = "", $F$7= "CARGA BASELINE"),  "", SUMIFS(Propostas!AA:AA,Propostas!AV:AV, $L25))</f>
        <v>0</v>
      </c>
    </row>
    <row r="26" spans="1:14" ht="15" x14ac:dyDescent="0.25">
      <c r="A26" s="109"/>
      <c r="B26" s="234"/>
      <c r="C26" s="234"/>
      <c r="D26" s="109"/>
      <c r="E26" s="361" t="s">
        <v>1070</v>
      </c>
      <c r="F26" s="361"/>
      <c r="G26" s="361"/>
      <c r="I26" s="356" t="s">
        <v>46</v>
      </c>
      <c r="J26" s="357"/>
      <c r="L26" s="226"/>
      <c r="M26" s="313" t="str">
        <f>IF(OR($L26 = "", $F$7= "CARGA BASELINE"),  "", SUMIFS(Propostas!AA:AA,Propostas!AU:AU, $L26))</f>
        <v/>
      </c>
      <c r="N26" s="313" t="str">
        <f>IF(OR($L26 = "", $F$7= "CARGA BASELINE"),  "", SUMIFS(Propostas!AA:AA,Propostas!AV:AV, $L26))</f>
        <v/>
      </c>
    </row>
    <row r="27" spans="1:14" ht="15" customHeight="1" x14ac:dyDescent="0.25">
      <c r="A27" s="109"/>
      <c r="B27" s="234"/>
      <c r="C27" s="234"/>
      <c r="D27" s="109"/>
      <c r="E27" s="362" t="s">
        <v>275</v>
      </c>
      <c r="F27" s="363"/>
      <c r="G27" s="364"/>
      <c r="I27" s="223" t="s">
        <v>1094</v>
      </c>
      <c r="J27" s="229" t="s">
        <v>419</v>
      </c>
    </row>
    <row r="28" spans="1:14" ht="15" x14ac:dyDescent="0.25">
      <c r="A28" s="109"/>
      <c r="B28" s="234"/>
      <c r="C28" s="234"/>
      <c r="D28" s="109"/>
      <c r="E28" s="365"/>
      <c r="F28" s="366"/>
      <c r="G28" s="367"/>
      <c r="I28" s="339" t="s">
        <v>1075</v>
      </c>
      <c r="J28" s="358" t="s">
        <v>275</v>
      </c>
    </row>
    <row r="29" spans="1:14" ht="15" customHeight="1" x14ac:dyDescent="0.25">
      <c r="A29" s="109"/>
      <c r="B29" s="234"/>
      <c r="C29" s="234"/>
      <c r="D29" s="109"/>
      <c r="E29" s="365"/>
      <c r="F29" s="366"/>
      <c r="G29" s="367"/>
      <c r="I29" s="339"/>
      <c r="J29" s="359"/>
      <c r="N29" s="111"/>
    </row>
    <row r="30" spans="1:14" ht="15" x14ac:dyDescent="0.25">
      <c r="A30" s="109"/>
      <c r="B30" s="222">
        <f xml:space="preserve">  COUNTA(C7:C29)</f>
        <v>1</v>
      </c>
      <c r="C30" s="221" t="str">
        <f xml:space="preserve"> IF($B$30 &lt;= 1, "Subprojeto", "Subprojetos")</f>
        <v>Subprojeto</v>
      </c>
      <c r="D30" s="109"/>
      <c r="E30" s="368"/>
      <c r="F30" s="369"/>
      <c r="G30" s="370"/>
      <c r="I30" s="340"/>
      <c r="J30" s="360"/>
      <c r="N30" s="111"/>
    </row>
    <row r="31" spans="1:14" ht="7.5" customHeight="1" x14ac:dyDescent="0.25">
      <c r="A31" s="109"/>
      <c r="B31" s="109"/>
      <c r="C31" s="109"/>
      <c r="D31" s="109"/>
      <c r="N31" s="111"/>
    </row>
    <row r="32" spans="1:14" ht="6" customHeight="1" x14ac:dyDescent="0.25">
      <c r="A32" s="109"/>
      <c r="D32" s="109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0" hidden="1" customHeight="1" x14ac:dyDescent="0.25"/>
    <row r="49" ht="0" hidden="1" customHeight="1" x14ac:dyDescent="0.25"/>
    <row r="50" ht="0" hidden="1" customHeight="1" x14ac:dyDescent="0.25"/>
  </sheetData>
  <sheetProtection algorithmName="SHA-512" hashValue="zzjpxznkhejiHOnkrOdHZdYcAfs+QD4N+CfcdfJBY7PMLP+tp007hL0/HImvQnrCgeVN8gxSWofql94cmUvcrg==" saltValue="CyJdvh+JG4o9MgFbIU8QRQ==" spinCount="100000" sheet="1" objects="1" scenarios="1"/>
  <dataConsolidate/>
  <mergeCells count="18">
    <mergeCell ref="L5:L6"/>
    <mergeCell ref="M5:N6"/>
    <mergeCell ref="J11:J13"/>
    <mergeCell ref="E21:G21"/>
    <mergeCell ref="E10:G13"/>
    <mergeCell ref="E14:G14"/>
    <mergeCell ref="E15:G20"/>
    <mergeCell ref="I28:I30"/>
    <mergeCell ref="I12:I13"/>
    <mergeCell ref="B5:C5"/>
    <mergeCell ref="F6:G6"/>
    <mergeCell ref="E22:G25"/>
    <mergeCell ref="E9:G9"/>
    <mergeCell ref="F5:G5"/>
    <mergeCell ref="I26:J26"/>
    <mergeCell ref="J28:J30"/>
    <mergeCell ref="E26:G26"/>
    <mergeCell ref="E27:G30"/>
  </mergeCells>
  <dataValidations xWindow="606" yWindow="306" count="46">
    <dataValidation type="textLength" operator="lessThanOrEqual" allowBlank="1" showInputMessage="1" showErrorMessage="1" errorTitle="Aprovação de Investimento" error="Digite o Código do STI ou do Clarity PPM. Este código deve ser de, no máximo 25 caracteres._x000a_Se Não se aplica a esta solicitação digite N/A no primeiro item" sqref="B7:C29">
      <formula1>25</formula1>
    </dataValidation>
    <dataValidation allowBlank="1" showInputMessage="1" showErrorMessage="1" prompt="Nome do Responsável por esta Solicitação." sqref="E6"/>
    <dataValidation allowBlank="1" showInputMessage="1" showErrorMessage="1" prompt="FOI de outras diretorias que irá financiar o Orçamento que será disponibilizado no FOI deste projeto._x000a__x000a_Caso tenha mais de um Doador, indicar na estrutura a seguir:_x000a_Área Cliente - Código do FOI - Valor" sqref="I11"/>
    <dataValidation allowBlank="1" showInputMessage="1" showErrorMessage="1" promptTitle="A solicitação pode ser:" prompt="●AUTOMÁTICA: FT e Desenv &lt;= 500h, com Prior. Automática;_x000a_● 100% BASELINE: Todas as propostas são Basaseline;_x000a_●COMITÊ: Desenv &gt; 500h, Prior. em Comitê / Não Desenvolvimento e extrabaseline de qualquer espécie;_x000a_●CARGA BASELINE: Exclusivo da Ger Orçamento" sqref="E7"/>
    <dataValidation allowBlank="1" showInputMessage="1" showErrorMessage="1" prompt="Indique o Mês/Ano em que o Projeto foi priorizado no Comitê de Priorização._x000a__x000a_Esta Informação está disponível nos dados do Projeto no Clarity PPM." sqref="I16"/>
    <dataValidation allowBlank="1" showInputMessage="1" showErrorMessage="1" prompt="Indique o número da Prioridade Global indicado no Comitê de priorização._x000a__x000a_Esta Informação está disponível nos dados do Projeto no Clarity PPM." sqref="I17"/>
    <dataValidation allowBlank="1" showInputMessage="1" showErrorMessage="1" prompt="Indique o Mês/Ano em que a entrega está prevista ou foi realizada. (Pré-Candidatura)_x000a__x000a_Esta Informação está disponível nos dados do Subprojeto no Clarity PPM." sqref="I18"/>
    <dataValidation allowBlank="1" showInputMessage="1" showErrorMessage="1" prompt="Indique se o Projeto implica em Impacto Ambiental" sqref="I24"/>
    <dataValidation allowBlank="1" showInputMessage="1" showErrorMessage="1" prompt="Indique se o Projeto Implica em Pesquisa e Desenvolvimento" sqref="I23"/>
    <dataValidation allowBlank="1" showInputMessage="1" showErrorMessage="1" prompt="Digite os Códigos de todos os Subprojetos do Clarity relacionados a esta solicitação de aprovação de investimentos._x000a__x000a_Caso esta solicitação não se relacione a nenhum subprojeto do Clarity, digite NA na primeira linha." sqref="C6"/>
    <dataValidation allowBlank="1" showInputMessage="1" showErrorMessage="1" promptTitle="Valor Total do Projeto" prompt="Some o Total desta ficha com o total de todas as fichas anteriores a esta, se existir, incluindo anos anteriores" sqref="L12"/>
    <dataValidation allowBlank="1" showInputMessage="1" showErrorMessage="1" promptTitle="Valor Total Neste FOI" prompt="Some o valor desta ficha a todas as fichas anteriores deste projeto defendidas no Ano Orçamentário desta ficha._x000a_" sqref="L13"/>
    <dataValidation allowBlank="1" showInputMessage="1" showErrorMessage="1" prompt="Diretoria da área Cliente, que solicitou o projeto." sqref="I5"/>
    <dataValidation allowBlank="1" showInputMessage="1" showErrorMessage="1" prompt="Gestor da Área Solicitante do Projeto" sqref="I6"/>
    <dataValidation allowBlank="1" showInputMessage="1" showErrorMessage="1" prompt="Gerente N3 de TI da área executora do projeto._x000a__x000a_O Gerente N3 é o responsável pelo envio e pela defesa no Comitê de Investimento" sqref="I7"/>
    <dataValidation allowBlank="1" showInputMessage="1" showErrorMessage="1" prompt="Classificação do Segmento de Mercado que o projeto possui._x000a__x000a_Esta informação tem origem no cadastro da ferramenta FOI e é exigida pela Controladoria." sqref="I20"/>
    <dataValidation allowBlank="1" showInputMessage="1" showErrorMessage="1" prompt="Classificação da Posição de Investiment Managment (IM) que indica o tipo de priorização do investimento na companhia." sqref="I21"/>
    <dataValidation allowBlank="1" showInputMessage="1" showErrorMessage="1" prompt="Referenciar o Impacto Geral mais Perceptivel." sqref="I27"/>
    <dataValidation allowBlank="1" showInputMessage="1" showErrorMessage="1" prompt="Referenciar Impactos adicionais com a implantação do projeto, sejam eles do ponto de vista operacional, financeiro, benefícios esperados entre outros." sqref="I28"/>
    <dataValidation type="list" allowBlank="1" showInputMessage="1" showErrorMessage="1" sqref="J14">
      <formula1>"FOI de Sistemas, FOI de Cliente, FOI de Sistemas e Cliente"</formula1>
    </dataValidation>
    <dataValidation allowBlank="1" showInputMessage="1" showErrorMessage="1" promptTitle="Valor Solicitado" prompt="Somatório automático das informações referente a Infraestrutura, Desenvolvimento / Serviços e Baseline. É o valor que será defendido nesta ficha." sqref="L5"/>
    <dataValidation allowBlank="1" showInputMessage="1" showErrorMessage="1" prompt="Total no FOI do projeto é um somatório automático das informações referente a Infraestrutura, Desenvolvimento / Serviços e Baseline" sqref="L7:M7"/>
    <dataValidation allowBlank="1" showInputMessage="1" showErrorMessage="1" prompt="Indique que Tipo de FOI o projeto utiliza:_x000a__x000a_FOI de TI:  Desesenvolvimento ou Infra isolado_x000a_FOI de TI - Infra + Desenv:  Desenvolvimento com Infra_x000a_FOI de Cliente:  com FOI Doador do Cliente_x000a_FOI de Cliente e TI:  Mais de 1 FOI Doador mesclando TI e Cliente" sqref="I14"/>
    <dataValidation type="textLength" allowBlank="1" showInputMessage="1" showErrorMessage="1" errorTitle="Solicitação de Aprovação" error="Digite o Nome do FOI do projeto, ou CRIAR caso ainda não possua FOI." sqref="J10">
      <formula1>1</formula1>
      <formula2>40</formula2>
    </dataValidation>
    <dataValidation type="textLength" operator="lessThanOrEqual" allowBlank="1" showInputMessage="1" showErrorMessage="1" error="Este texto possui limite de 20 Caracteres" sqref="K7:K8 J17">
      <formula1>20</formula1>
    </dataValidation>
    <dataValidation type="textLength" operator="lessThanOrEqual" allowBlank="1" showInputMessage="1" showErrorMessage="1" errorTitle="Aprovação de Investimento" error="O Nome do Gestor Solicitante deve possuir no máximo 80 Caracteres." sqref="J6">
      <formula1>80</formula1>
    </dataValidation>
    <dataValidation type="textLength" operator="lessThanOrEqual" allowBlank="1" showInputMessage="1" showErrorMessage="1" error="Risco de Não Fazer deve ser um texto de no máximo 500 caracteres." sqref="E22 E27">
      <formula1>500</formula1>
    </dataValidation>
    <dataValidation allowBlank="1" showInputMessage="1" showErrorMessage="1" prompt="Nesta tela você deve preencher todos os campos disponíveis com informações da Solicitação e da defesa na necessidade no Comitê de Investimento de TI." sqref="B2"/>
    <dataValidation allowBlank="1" showInputMessage="1" showErrorMessage="1" promptTitle="Valor Macroestimativa" prompt="Valor da macroestimativa feita no início do Subprojeto, indicado no Clarity PPM._x000a__x000a_Caso o subprojeto não possua macroestimativa, ou não se aplique, digite zero." sqref="L11"/>
    <dataValidation allowBlank="1" showInputMessage="1" showErrorMessage="1" prompt="Total Infraestrutura é um somatório automático das informações referente a despesas de Infraestrutura_x000a__x000a_Se a Origem do FOI for um projeto de Desenvolvimento + Infra ele será incluído no FOI Unificado de Infra senão será incluído no FOI do projeto." sqref="L8:M10"/>
    <dataValidation allowBlank="1" showInputMessage="1" showErrorMessage="1" prompt="Nome do Projeto Principal, limitado a 40 Caracteres, para cadastro no SAP._x000a__x000a_Caso a ficha não envolva nenhum projeto cadastrado no Clarity, coloque uma definição da Necessidade Solicitada." sqref="E5"/>
    <dataValidation type="list" allowBlank="1" showInputMessage="1" showErrorMessage="1" sqref="J23:J24">
      <formula1>"SIM,NÃO"</formula1>
    </dataValidation>
    <dataValidation allowBlank="1" showInputMessage="1" showErrorMessage="1" prompt="Nome do FOI utilizado. Ele pode ser diferente do nome do projeto._x000a__x000a_Caso o projeto não possua um FOI previamente estabelecido, digite CRIAR" sqref="I10"/>
    <dataValidation allowBlank="1" showInputMessage="1" showErrorMessage="1" prompt="Digite os Códigos de todos os Projetos do Clarity relacionados a esta solicitação de aprovação de investimentos._x000a__x000a_Caso esta solicitação não se relacione a nenhum subprojeto do Clarity, digite NA na primeira linha." sqref="B6"/>
    <dataValidation allowBlank="1" showInputMessage="1" showErrorMessage="1" prompt="Soma das informações referente ao Baseline da empresa indicada._x000a__x000a_Valores solicitados em baseline não serão carregado do FOI do projeto, mas devem ser solicitados._x000a__x000a_Estes valores são Detalhados na Aba de &quot;Proposta-Serviços&quot;." sqref="M14"/>
    <dataValidation type="textLength" allowBlank="1" showInputMessage="1" showErrorMessage="1" errorTitle="Solicitação de Aprocação" error="Outros impactos do Objetivo deve ser um texto de até 500 Caracteres." sqref="J28">
      <formula1>2</formula1>
      <formula2>500</formula2>
    </dataValidation>
    <dataValidation type="whole" operator="greaterThanOrEqual" allowBlank="1" showInputMessage="1" showErrorMessage="1" sqref="M11:M13">
      <formula1>0</formula1>
    </dataValidation>
    <dataValidation type="textLength" operator="lessThanOrEqual" allowBlank="1" showInputMessage="1" showErrorMessage="1" errorTitle="Solicitação de Aprocação" error="Escopo tem um limite de 1000 Caracteres." sqref="E10:G13">
      <formula1>1000</formula1>
    </dataValidation>
    <dataValidation type="textLength" operator="lessThanOrEqual" allowBlank="1" showInputMessage="1" showErrorMessage="1" errorTitle="Solicitação de Aprocação" error="Defesa da Necessidade deve ser um texto de no máximo 1000 caracteres." sqref="E15">
      <formula1>1000</formula1>
    </dataValidation>
    <dataValidation allowBlank="1" showInputMessage="1" showErrorMessage="1" promptTitle="Defesa da Necessidade" prompt="O preenhimento deve atender as questões padões pré-exibidas." sqref="E14:G14"/>
    <dataValidation allowBlank="1" showInputMessage="1" showErrorMessage="1" prompt="Detalhamento do escopo do projeto._x000a__x000a_Esta informação pode ser obtida na ferramenta de Gestão de Projetos." sqref="E9:G9"/>
    <dataValidation allowBlank="1" showInputMessage="1" showErrorMessage="1" prompt="Implicações decorrente de uma eventual não aprovação desta necessidade" sqref="E21:G21"/>
    <dataValidation type="textLength" operator="lessThanOrEqual" allowBlank="1" showInputMessage="1" showErrorMessage="1" errorTitle="Solicitação de Aprovação" error="Este Campo tem limite de 40 Caracteres" sqref="F5:G6">
      <formula1>40</formula1>
    </dataValidation>
    <dataValidation allowBlank="1" showInputMessage="1" showErrorMessage="1" prompt="Soma das informações referente ao extrabaseline da empresa indicada._x000a__x000a_Valores solicitados em extrabaseline serão carregado do FOI do projeto, devem possuir detalhamento de propostas Aba de &quot;Proposta-Serviços&quot;." sqref="N14"/>
    <dataValidation allowBlank="1" showInputMessage="1" showErrorMessage="1" prompt="Código do FOI  do Projeto onde o Orçamento deve ser carregado._x000a_Caso não possua um FOI previamente estabelecido:_x000a_- Se projeto &gt; 500h, priorizado em Comitê, digite BOLSÃO_x000a_- Se Demanda &lt;=500h, Priorização automatica, BOLSINHA_x000a_- Se outros Casos, CRIAR" sqref="I9"/>
    <dataValidation allowBlank="1" showInputMessage="1" showErrorMessage="1" prompt="Descrição do motivo que torna esta solicitação Urgente" sqref="E26:G26"/>
  </dataValidations>
  <pageMargins left="0.25" right="0.25" top="0.75" bottom="0.75" header="0.3" footer="0.3"/>
  <pageSetup paperSize="9" scale="7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06" yWindow="306" count="8">
        <x14:dataValidation type="list" allowBlank="1" showInputMessage="1" showErrorMessage="1">
          <x14:formula1>
            <xm:f>OFFSET( TABELAS!$G:$G, 1, 0, COUNTA( TABELAS!$G:$G)-1,1 )</xm:f>
          </x14:formula1>
          <xm:sqref>J21</xm:sqref>
        </x14:dataValidation>
        <x14:dataValidation type="list" allowBlank="1" showInputMessage="1" showErrorMessage="1">
          <x14:formula1>
            <xm:f>OFFSET( TABELAS!$I:$I, 1, 0, COUNTA( TABELAS!$I:$I)-1,1 )</xm:f>
          </x14:formula1>
          <xm:sqref>J20</xm:sqref>
        </x14:dataValidation>
        <x14:dataValidation type="list" allowBlank="1" showInputMessage="1" showErrorMessage="1">
          <x14:formula1>
            <xm:f>OFFSET( TABELAS!$M:$M, 1, 0, COUNTA( TABELAS!$M:$M)-1,1 )</xm:f>
          </x14:formula1>
          <xm:sqref>J7</xm:sqref>
        </x14:dataValidation>
        <x14:dataValidation type="list" allowBlank="1" showInputMessage="1" showErrorMessage="1">
          <x14:formula1>
            <xm:f>TABELAS!$Y$2:$Y$28</xm:f>
          </x14:formula1>
          <xm:sqref>J16</xm:sqref>
        </x14:dataValidation>
        <x14:dataValidation type="list" allowBlank="1" showInputMessage="1" showErrorMessage="1">
          <x14:formula1>
            <xm:f>OFFSET( TABELAS!$A:$A, 1, 0, COUNTA( TABELAS!$A:$A)-1,1 )</xm:f>
          </x14:formula1>
          <xm:sqref>F7</xm:sqref>
        </x14:dataValidation>
        <x14:dataValidation type="list" allowBlank="1" showInputMessage="1" showErrorMessage="1">
          <x14:formula1>
            <xm:f>OFFSET( TABELAS!$C:$C, 1, 0, COUNTA( TABELAS!$C:$C)-1,1 )</xm:f>
          </x14:formula1>
          <xm:sqref>J5</xm:sqref>
        </x14:dataValidation>
        <x14:dataValidation type="list" allowBlank="1" showInputMessage="1" showErrorMessage="1">
          <x14:formula1>
            <xm:f>TABELAS!$AA$2:$AA$28</xm:f>
          </x14:formula1>
          <xm:sqref>J18</xm:sqref>
        </x14:dataValidation>
        <x14:dataValidation type="list" allowBlank="1" showInputMessage="1" showErrorMessage="1">
          <x14:formula1>
            <xm:f>TABELAS!$K$2:$K$6</xm:f>
          </x14:formula1>
          <xm:sqref>J27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Proposta"/>
  <dimension ref="A1:CK510"/>
  <sheetViews>
    <sheetView showGridLines="0" showRowColHeaders="0" zoomScaleNormal="100" workbookViewId="0">
      <pane xSplit="14" ySplit="7" topLeftCell="X8" activePane="bottomRight" state="frozen"/>
      <selection activeCell="D51" sqref="D51"/>
      <selection pane="topRight" activeCell="D51" sqref="D51"/>
      <selection pane="bottomLeft" activeCell="D51" sqref="D51"/>
      <selection pane="bottomRight" activeCell="G8" sqref="G8"/>
    </sheetView>
  </sheetViews>
  <sheetFormatPr defaultColWidth="0" defaultRowHeight="11.25" zeroHeight="1" x14ac:dyDescent="0.2"/>
  <cols>
    <col min="1" max="1" width="1.5703125" style="162" customWidth="1"/>
    <col min="2" max="2" width="26.5703125" style="123" hidden="1" customWidth="1"/>
    <col min="3" max="4" width="12.85546875" style="123" hidden="1" customWidth="1"/>
    <col min="5" max="5" width="8.28515625" style="123" hidden="1" customWidth="1"/>
    <col min="6" max="6" width="4.140625" style="123" customWidth="1"/>
    <col min="7" max="7" width="9.7109375" style="123" customWidth="1"/>
    <col min="8" max="8" width="15.28515625" style="123" customWidth="1"/>
    <col min="9" max="9" width="8" style="123" customWidth="1"/>
    <col min="10" max="10" width="19.140625" style="123" customWidth="1"/>
    <col min="11" max="11" width="13" style="123" customWidth="1"/>
    <col min="12" max="12" width="12.7109375" style="123" hidden="1" customWidth="1"/>
    <col min="13" max="13" width="13" style="123" customWidth="1"/>
    <col min="14" max="14" width="9.28515625" style="123" hidden="1" customWidth="1"/>
    <col min="15" max="15" width="14" style="123" customWidth="1"/>
    <col min="16" max="18" width="30.85546875" style="123" customWidth="1"/>
    <col min="19" max="19" width="27" style="123" customWidth="1"/>
    <col min="20" max="20" width="35.85546875" style="123" customWidth="1"/>
    <col min="21" max="21" width="10.5703125" style="123" customWidth="1"/>
    <col min="22" max="22" width="3.42578125" style="123" customWidth="1"/>
    <col min="23" max="23" width="36.7109375" style="123" customWidth="1"/>
    <col min="24" max="24" width="15" style="123" customWidth="1"/>
    <col min="25" max="25" width="11.42578125" style="123" customWidth="1"/>
    <col min="26" max="26" width="11" style="123" customWidth="1"/>
    <col min="27" max="27" width="15.5703125" style="123" customWidth="1"/>
    <col min="28" max="28" width="13" style="123" customWidth="1"/>
    <col min="29" max="29" width="13.140625" style="123" customWidth="1"/>
    <col min="30" max="30" width="14.28515625" style="123" customWidth="1"/>
    <col min="31" max="31" width="6.5703125" style="123" customWidth="1"/>
    <col min="32" max="32" width="3.42578125" style="123" customWidth="1"/>
    <col min="33" max="33" width="1.5703125" style="123" customWidth="1"/>
    <col min="34" max="34" width="8.7109375" style="123" hidden="1" customWidth="1"/>
    <col min="35" max="35" width="9.5703125" style="123" hidden="1" customWidth="1"/>
    <col min="36" max="36" width="9.140625" style="165" hidden="1" customWidth="1"/>
    <col min="37" max="37" width="14.85546875" style="123" hidden="1" customWidth="1"/>
    <col min="38" max="38" width="7.5703125" style="123" hidden="1" customWidth="1"/>
    <col min="39" max="39" width="9.140625" style="123" hidden="1" customWidth="1"/>
    <col min="40" max="40" width="11" style="123" hidden="1" customWidth="1"/>
    <col min="41" max="41" width="10.7109375" style="123" hidden="1" customWidth="1"/>
    <col min="42" max="42" width="19.5703125" style="123" hidden="1" customWidth="1"/>
    <col min="43" max="43" width="14.5703125" style="166" hidden="1" customWidth="1"/>
    <col min="44" max="44" width="10.7109375" style="123" hidden="1" customWidth="1"/>
    <col min="45" max="45" width="9.140625" style="123" hidden="1" customWidth="1"/>
    <col min="46" max="46" width="10.42578125" style="123" hidden="1" customWidth="1"/>
    <col min="47" max="47" width="16.42578125" style="123" hidden="1" customWidth="1"/>
    <col min="48" max="48" width="16.7109375" style="123" hidden="1" customWidth="1"/>
    <col min="49" max="49" width="8.42578125" style="167" hidden="1" customWidth="1"/>
    <col min="50" max="50" width="16.7109375" style="165" hidden="1" customWidth="1"/>
    <col min="51" max="53" width="16.7109375" style="123" hidden="1" customWidth="1"/>
    <col min="54" max="54" width="7.7109375" style="123" hidden="1" customWidth="1"/>
    <col min="55" max="55" width="10" style="123" hidden="1" customWidth="1"/>
    <col min="56" max="56" width="8.85546875" style="123" hidden="1" customWidth="1"/>
    <col min="57" max="57" width="7.7109375" style="123" hidden="1" customWidth="1"/>
    <col min="58" max="58" width="9.7109375" style="123" hidden="1" customWidth="1"/>
    <col min="59" max="59" width="9.85546875" style="123" hidden="1" customWidth="1"/>
    <col min="60" max="62" width="9.140625" style="123" hidden="1" customWidth="1"/>
    <col min="63" max="63" width="8.85546875" style="123" hidden="1" customWidth="1"/>
    <col min="64" max="65" width="9.140625" style="123" hidden="1" customWidth="1"/>
    <col min="66" max="66" width="10" style="123" hidden="1" customWidth="1"/>
    <col min="67" max="69" width="9.140625" style="123" hidden="1" customWidth="1"/>
    <col min="70" max="70" width="12" style="123" hidden="1" customWidth="1"/>
    <col min="71" max="71" width="7.5703125" style="123" hidden="1" customWidth="1"/>
    <col min="72" max="77" width="9.140625" style="123" hidden="1" customWidth="1"/>
    <col min="78" max="78" width="10.5703125" style="123" hidden="1" customWidth="1"/>
    <col min="79" max="80" width="11" style="123" hidden="1" customWidth="1"/>
    <col min="81" max="88" width="9.140625" style="123" hidden="1" customWidth="1"/>
    <col min="89" max="89" width="7" style="123" hidden="1" customWidth="1"/>
    <col min="90" max="16384" width="9.140625" style="123" hidden="1"/>
  </cols>
  <sheetData>
    <row r="1" spans="1:82" ht="3.75" customHeight="1" x14ac:dyDescent="0.2">
      <c r="A1" s="122">
        <v>1</v>
      </c>
      <c r="F1" s="124"/>
      <c r="G1" s="124"/>
      <c r="T1" s="125"/>
      <c r="AG1" s="139"/>
    </row>
    <row r="2" spans="1:82" ht="28.5" customHeight="1" thickBot="1" x14ac:dyDescent="0.25">
      <c r="A2" s="126"/>
      <c r="F2" s="242" t="s">
        <v>426</v>
      </c>
      <c r="G2" s="249" t="s">
        <v>846</v>
      </c>
      <c r="H2" s="239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1"/>
      <c r="T2" s="241"/>
      <c r="U2" s="241"/>
      <c r="V2" s="241"/>
      <c r="W2" s="241"/>
      <c r="X2" s="240"/>
      <c r="Y2" s="240"/>
      <c r="Z2" s="240"/>
      <c r="AA2" s="240"/>
      <c r="AB2" s="240"/>
      <c r="AC2" s="240"/>
      <c r="AD2" s="240"/>
      <c r="AE2" s="240"/>
      <c r="AG2" s="139"/>
      <c r="AH2" s="123" t="s">
        <v>656</v>
      </c>
      <c r="BK2" s="167"/>
      <c r="CB2" s="123" t="s">
        <v>678</v>
      </c>
    </row>
    <row r="3" spans="1:82" ht="12.75" thickTop="1" thickBot="1" x14ac:dyDescent="0.25">
      <c r="A3" s="126"/>
      <c r="B3" s="124" t="s">
        <v>860</v>
      </c>
      <c r="F3" s="124"/>
      <c r="G3" s="124"/>
      <c r="H3" s="127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9"/>
      <c r="W3" s="130"/>
      <c r="Y3" s="386" t="s">
        <v>206</v>
      </c>
      <c r="Z3" s="386"/>
      <c r="AA3" s="163">
        <f>SUMIFS($AA$8:$AA$207, $G$8:$G$207, "NÃO", $V$8:$V$207, 0) +
   SUMIFS($AA$8:$AA$207, $G$8:$G$207, "NÃO", $V$8:$V$207, 2)+
  SUMIFS($AA$8:$AA$207, $G$8:$G$207, "SIM")</f>
        <v>5000000</v>
      </c>
      <c r="AF3" s="128"/>
      <c r="AG3" s="168"/>
      <c r="AH3" s="123" t="s">
        <v>865</v>
      </c>
      <c r="AN3" s="167"/>
      <c r="AW3" s="167" t="s">
        <v>880</v>
      </c>
      <c r="BJ3" s="169"/>
      <c r="BK3" s="167"/>
      <c r="BL3" s="167"/>
    </row>
    <row r="4" spans="1:82" ht="22.5" customHeight="1" x14ac:dyDescent="0.25">
      <c r="A4" s="126"/>
      <c r="F4" s="124"/>
      <c r="G4" s="124"/>
      <c r="O4" s="389" t="str">
        <f>IF(ISERR(SUM(BF6:CD6)), "", IF(SUM(BF6:CD6) = 0, "", "Atenção: Pendências de Preenchimento. Clique Aqui"))</f>
        <v/>
      </c>
      <c r="P4" s="389"/>
      <c r="Q4" s="389"/>
      <c r="R4" s="389"/>
      <c r="T4" s="125"/>
      <c r="W4" s="130"/>
      <c r="X4" s="131"/>
      <c r="Y4" s="381" t="s">
        <v>214</v>
      </c>
      <c r="Z4" s="381"/>
      <c r="AA4" s="164">
        <f>SUMIFS($AA$8:$AA207, $V$8:$V$207, 1)</f>
        <v>0</v>
      </c>
      <c r="AC4" s="130"/>
      <c r="AG4" s="139"/>
      <c r="BB4" s="170" t="s">
        <v>892</v>
      </c>
      <c r="BF4" s="123" t="s">
        <v>245</v>
      </c>
    </row>
    <row r="5" spans="1:82" ht="12" thickBot="1" x14ac:dyDescent="0.25">
      <c r="A5" s="126"/>
      <c r="C5" s="132">
        <v>11</v>
      </c>
      <c r="D5" s="132">
        <v>13</v>
      </c>
      <c r="E5" s="132">
        <v>14</v>
      </c>
      <c r="F5" s="124"/>
      <c r="G5" s="124"/>
      <c r="T5" s="125"/>
      <c r="W5" s="130"/>
      <c r="X5" s="130"/>
      <c r="Y5" s="387" t="s">
        <v>1001</v>
      </c>
      <c r="Z5" s="387"/>
      <c r="AA5" s="133">
        <f>SUBTOTAL(109, $AA$8:$AA$207)</f>
        <v>5000000</v>
      </c>
      <c r="AC5" s="130"/>
      <c r="AG5" s="139"/>
      <c r="AH5" s="125">
        <v>7</v>
      </c>
      <c r="AI5" s="125">
        <v>8</v>
      </c>
      <c r="AJ5" s="171">
        <v>9</v>
      </c>
      <c r="AK5" s="125">
        <v>10</v>
      </c>
      <c r="AL5" s="125"/>
      <c r="AM5" s="125">
        <v>15</v>
      </c>
      <c r="AN5" s="125">
        <v>24</v>
      </c>
      <c r="AO5" s="125">
        <v>21</v>
      </c>
      <c r="AP5" s="125">
        <v>20</v>
      </c>
      <c r="AQ5" s="125">
        <v>23</v>
      </c>
      <c r="AR5" s="125">
        <v>25</v>
      </c>
      <c r="AS5" s="125">
        <v>26</v>
      </c>
      <c r="AT5" s="125">
        <v>27</v>
      </c>
      <c r="AU5" s="125"/>
      <c r="AV5" s="125"/>
      <c r="AW5" s="172"/>
      <c r="AX5" s="171">
        <v>19</v>
      </c>
      <c r="AY5" s="125">
        <v>16</v>
      </c>
      <c r="AZ5" s="125">
        <v>17</v>
      </c>
      <c r="BA5" s="125">
        <v>18</v>
      </c>
      <c r="BB5" s="173">
        <f>LARGE($BB8:$BB207,1)</f>
        <v>10</v>
      </c>
      <c r="BD5" s="132">
        <v>22</v>
      </c>
      <c r="BF5" s="174" t="str">
        <f>IF(BF6 &lt;&gt; 0, "Solicitações de Infraestrutura com campos obrigatórios em branco.", "")</f>
        <v/>
      </c>
      <c r="BG5" s="174" t="str">
        <f>IF(BG6 &lt;&gt; 0, "Solicitações de Desenvolvimento/Serviços com campos obrigatórios em branco.", "")</f>
        <v/>
      </c>
      <c r="BH5" s="174" t="str">
        <f>IF(BH6 &lt;&gt; 0, "Subprojeto Digitado Não Consta na Lista de Subprojetos.","")</f>
        <v/>
      </c>
      <c r="BI5" s="174" t="str">
        <f>IF(BI6 &lt;&gt; 0, "Digite corretamente o Código da Proposta.","")</f>
        <v/>
      </c>
      <c r="BJ5" s="174" t="str">
        <f>IF(BJ6 &lt;&gt; 0, "Não aprovamos estimativa em Priorização Automática ou Baseline.","")</f>
        <v/>
      </c>
      <c r="BK5" s="174" t="str">
        <f>IF(BK6 &lt;&gt; 0, "Item de Mensalização com nome Repetido.","")</f>
        <v/>
      </c>
      <c r="BL5" s="174" t="str">
        <f>IF(BL6 &lt;&gt; 0, "Indique informações do marco de pagamento.","")</f>
        <v/>
      </c>
      <c r="BM5" s="174" t="str">
        <f>IF(BM6 &lt;&gt; 0, "Período de Mensalisação Digitado não é Válido. Selecione na Lista.","")</f>
        <v/>
      </c>
      <c r="BN5" s="174" t="str">
        <f>IF(BN6 &lt;&gt; 0, "Soma dos Valores dos milestones não é igual ao Total Solicitado.","")</f>
        <v/>
      </c>
      <c r="BO5" s="174" t="str">
        <f>IF(BO6 &lt;&gt; 0, "Não detalhe Mensalização em propostas de Fábricas com Baseline.","")</f>
        <v/>
      </c>
      <c r="BP5" s="174" t="str">
        <f>IF(BP6 &lt;&gt; 0, "Não é possível solicitar GO para Desenvolvimento em proposta sem Fábrica.", "")</f>
        <v/>
      </c>
      <c r="BQ5" s="174" t="str">
        <f>IF(BQ6 &lt;&gt; 0, "Apenas propostas aprovadas no Clarity podem ter GO enviado.","")</f>
        <v/>
      </c>
      <c r="BR5" s="174" t="str">
        <f>IF(BR6 &lt;&gt; 0, "Não solicite Criação de RC em propostas estimadas, Baseline ou sem Fábrica.", "")</f>
        <v/>
      </c>
      <c r="BS5" s="174" t="str">
        <f>IF(BS6 &lt;&gt; 0, "Para Proposta de Baseline, deve ser indicado empresa 'N/A'", "")</f>
        <v/>
      </c>
      <c r="BT5" s="174" t="str">
        <f>IF(BT6 &lt;&gt; 0, "Fábrica de Software digitada não consta na Lista. Selecione na Lista","")</f>
        <v/>
      </c>
      <c r="BU5" s="174" t="str">
        <f>IF(BU6 &lt;&gt; 0, "Contrato da Global Web pertence obrigatoriamente a Empresa da R2.","")</f>
        <v/>
      </c>
      <c r="BV5" s="174" t="str">
        <f>IF(BV6 &lt;&gt; 0, "Empresa OI Digitado não é Válido. Selecione na Lista.","")</f>
        <v/>
      </c>
      <c r="BW5" s="174" t="str">
        <f>IF(BW6 &lt;&gt; 0, "'Empresa N/A só pode ser escolhida em Propostas de Baseline.", "")</f>
        <v/>
      </c>
      <c r="BX5" s="174" t="str">
        <f>IF(BX6 &lt;&gt; 0, "Sistema Digitado não é Válido. Selecione na Lista.","")</f>
        <v/>
      </c>
      <c r="BY5" s="174" t="str">
        <f>IF(BY6 &lt;&gt; 0, "Estimativas não possuem propostas fechadas. Use um código iniciado por ME-","")</f>
        <v/>
      </c>
      <c r="BZ5" s="174" t="str">
        <f>IF(BZ6 &lt;&gt; 0, "Não é permitido Contratação de Recursos em Contratos de Baseline.", "")</f>
        <v/>
      </c>
      <c r="CA5" s="174" t="str">
        <f>IF(CA6 &lt;&gt; 0, "Classificação de Gasto não Cadastrada. Selecione na Lista.", "")</f>
        <v/>
      </c>
      <c r="CB5" s="174" t="str">
        <f>IF(CB6 &lt;&gt; 0, "Aquisição de Infra em proposta de Serviço.","")</f>
        <v/>
      </c>
      <c r="CC5" s="174" t="str">
        <f>IF(CC6 &lt;&gt; 0, "Complemento de Saldo deve ser obrigatóriamente uma Estimativa.","")</f>
        <v/>
      </c>
      <c r="CD5" s="174" t="str">
        <f>IF(CD6 &lt;&gt; 0, "Você está indicando 2 fábricas para mesma proposta.","")</f>
        <v/>
      </c>
    </row>
    <row r="6" spans="1:82" x14ac:dyDescent="0.2">
      <c r="A6" s="126"/>
      <c r="C6" s="134" t="s">
        <v>864</v>
      </c>
      <c r="D6" s="132" t="s">
        <v>866</v>
      </c>
      <c r="E6" s="132" t="s">
        <v>867</v>
      </c>
      <c r="F6" s="250"/>
      <c r="G6" s="251"/>
      <c r="H6" s="252"/>
      <c r="I6" s="252"/>
      <c r="J6" s="252"/>
      <c r="K6" s="252"/>
      <c r="L6" s="252"/>
      <c r="M6" s="252"/>
      <c r="N6" s="252"/>
      <c r="O6" s="252"/>
      <c r="P6" s="385" t="s">
        <v>849</v>
      </c>
      <c r="Q6" s="385"/>
      <c r="R6" s="385"/>
      <c r="S6" s="195" t="s">
        <v>857</v>
      </c>
      <c r="T6" s="388" t="s">
        <v>858</v>
      </c>
      <c r="U6" s="388"/>
      <c r="V6" s="388"/>
      <c r="W6" s="388"/>
      <c r="X6" s="252"/>
      <c r="Y6" s="252"/>
      <c r="Z6" s="252"/>
      <c r="AA6" s="252"/>
      <c r="AB6" s="382" t="s">
        <v>1003</v>
      </c>
      <c r="AC6" s="383"/>
      <c r="AD6" s="383"/>
      <c r="AE6" s="384"/>
      <c r="AF6" s="128"/>
      <c r="AG6" s="139"/>
      <c r="AH6" s="125" t="s">
        <v>862</v>
      </c>
      <c r="AI6" s="125" t="s">
        <v>863</v>
      </c>
      <c r="AJ6" s="171" t="s">
        <v>184</v>
      </c>
      <c r="AK6" s="125" t="s">
        <v>861</v>
      </c>
      <c r="AL6" s="125"/>
      <c r="AM6" s="125" t="s">
        <v>868</v>
      </c>
      <c r="AN6" s="125" t="s">
        <v>881</v>
      </c>
      <c r="AO6" s="125" t="s">
        <v>876</v>
      </c>
      <c r="AP6" s="125" t="s">
        <v>873</v>
      </c>
      <c r="AQ6" s="125" t="s">
        <v>877</v>
      </c>
      <c r="AR6" s="125" t="s">
        <v>878</v>
      </c>
      <c r="AS6" s="125" t="s">
        <v>879</v>
      </c>
      <c r="AT6" s="125" t="s">
        <v>872</v>
      </c>
      <c r="AU6" s="125"/>
      <c r="AV6" s="125"/>
      <c r="AW6" s="172"/>
      <c r="AX6" s="171" t="s">
        <v>875</v>
      </c>
      <c r="AY6" s="125" t="s">
        <v>869</v>
      </c>
      <c r="AZ6" s="125" t="s">
        <v>870</v>
      </c>
      <c r="BA6" s="125" t="s">
        <v>871</v>
      </c>
      <c r="BD6" s="132" t="s">
        <v>1077</v>
      </c>
      <c r="BF6" s="175">
        <f t="shared" ref="BF6:CD6" si="0">SUM(BF8:BF207)</f>
        <v>0</v>
      </c>
      <c r="BG6" s="175">
        <f>SUM(BG8:BG207)</f>
        <v>0</v>
      </c>
      <c r="BH6" s="175">
        <f t="shared" si="0"/>
        <v>0</v>
      </c>
      <c r="BI6" s="175">
        <f t="shared" si="0"/>
        <v>0</v>
      </c>
      <c r="BJ6" s="175">
        <f t="shared" si="0"/>
        <v>0</v>
      </c>
      <c r="BK6" s="175">
        <f t="shared" si="0"/>
        <v>0</v>
      </c>
      <c r="BL6" s="175">
        <f t="shared" si="0"/>
        <v>0</v>
      </c>
      <c r="BM6" s="175">
        <f t="shared" si="0"/>
        <v>0</v>
      </c>
      <c r="BN6" s="175">
        <f t="shared" si="0"/>
        <v>0</v>
      </c>
      <c r="BO6" s="175">
        <f t="shared" si="0"/>
        <v>0</v>
      </c>
      <c r="BP6" s="175">
        <f t="shared" si="0"/>
        <v>0</v>
      </c>
      <c r="BQ6" s="175">
        <f t="shared" si="0"/>
        <v>0</v>
      </c>
      <c r="BR6" s="175">
        <f t="shared" si="0"/>
        <v>0</v>
      </c>
      <c r="BS6" s="175">
        <f t="shared" si="0"/>
        <v>0</v>
      </c>
      <c r="BT6" s="175">
        <f t="shared" si="0"/>
        <v>0</v>
      </c>
      <c r="BU6" s="175">
        <f t="shared" si="0"/>
        <v>0</v>
      </c>
      <c r="BV6" s="175">
        <f t="shared" si="0"/>
        <v>0</v>
      </c>
      <c r="BW6" s="175">
        <f t="shared" si="0"/>
        <v>0</v>
      </c>
      <c r="BX6" s="175">
        <f t="shared" si="0"/>
        <v>0</v>
      </c>
      <c r="BY6" s="175">
        <f t="shared" si="0"/>
        <v>0</v>
      </c>
      <c r="BZ6" s="175">
        <f t="shared" si="0"/>
        <v>0</v>
      </c>
      <c r="CA6" s="175">
        <f t="shared" si="0"/>
        <v>0</v>
      </c>
      <c r="CB6" s="175">
        <f t="shared" si="0"/>
        <v>0</v>
      </c>
      <c r="CC6" s="175">
        <f t="shared" si="0"/>
        <v>0</v>
      </c>
      <c r="CD6" s="175">
        <f t="shared" si="0"/>
        <v>0</v>
      </c>
    </row>
    <row r="7" spans="1:82" ht="45" customHeight="1" x14ac:dyDescent="0.2">
      <c r="A7" s="126"/>
      <c r="B7" s="135" t="s">
        <v>655</v>
      </c>
      <c r="C7" s="136" t="s">
        <v>242</v>
      </c>
      <c r="D7" s="136" t="s">
        <v>241</v>
      </c>
      <c r="E7" s="136" t="s">
        <v>224</v>
      </c>
      <c r="F7" s="253"/>
      <c r="G7" s="243" t="s">
        <v>848</v>
      </c>
      <c r="H7" s="243" t="s">
        <v>1052</v>
      </c>
      <c r="I7" s="243" t="s">
        <v>938</v>
      </c>
      <c r="J7" s="243" t="s">
        <v>40</v>
      </c>
      <c r="K7" s="243" t="s">
        <v>648</v>
      </c>
      <c r="L7" s="243" t="s">
        <v>1051</v>
      </c>
      <c r="M7" s="243" t="s">
        <v>650</v>
      </c>
      <c r="N7" s="243" t="s">
        <v>955</v>
      </c>
      <c r="O7" s="243" t="s">
        <v>51</v>
      </c>
      <c r="P7" s="244" t="s">
        <v>906</v>
      </c>
      <c r="Q7" s="244" t="s">
        <v>819</v>
      </c>
      <c r="R7" s="244" t="s">
        <v>895</v>
      </c>
      <c r="S7" s="196" t="s">
        <v>844</v>
      </c>
      <c r="T7" s="197" t="s">
        <v>845</v>
      </c>
      <c r="U7" s="198" t="s">
        <v>54</v>
      </c>
      <c r="V7" s="198" t="s">
        <v>218</v>
      </c>
      <c r="W7" s="197" t="s">
        <v>444</v>
      </c>
      <c r="X7" s="255" t="s">
        <v>63</v>
      </c>
      <c r="Y7" s="255" t="s">
        <v>886</v>
      </c>
      <c r="Z7" s="255" t="s">
        <v>885</v>
      </c>
      <c r="AA7" s="255" t="s">
        <v>677</v>
      </c>
      <c r="AB7" s="199" t="s">
        <v>239</v>
      </c>
      <c r="AC7" s="200" t="s">
        <v>682</v>
      </c>
      <c r="AD7" s="200" t="s">
        <v>212</v>
      </c>
      <c r="AE7" s="138" t="s">
        <v>222</v>
      </c>
      <c r="AF7" s="139"/>
      <c r="AG7" s="139"/>
      <c r="AH7" s="176" t="s">
        <v>848</v>
      </c>
      <c r="AI7" s="176" t="s">
        <v>847</v>
      </c>
      <c r="AJ7" s="177" t="s">
        <v>257</v>
      </c>
      <c r="AK7" s="176" t="s">
        <v>40</v>
      </c>
      <c r="AL7" s="176" t="s">
        <v>1054</v>
      </c>
      <c r="AM7" s="176" t="s">
        <v>249</v>
      </c>
      <c r="AN7" s="176" t="s">
        <v>250</v>
      </c>
      <c r="AO7" s="176" t="s">
        <v>258</v>
      </c>
      <c r="AP7" s="176" t="s">
        <v>874</v>
      </c>
      <c r="AQ7" s="176" t="s">
        <v>259</v>
      </c>
      <c r="AR7" s="176" t="s">
        <v>260</v>
      </c>
      <c r="AS7" s="176" t="s">
        <v>261</v>
      </c>
      <c r="AT7" s="176" t="s">
        <v>210</v>
      </c>
      <c r="AU7" s="176" t="s">
        <v>247</v>
      </c>
      <c r="AV7" s="176" t="s">
        <v>836</v>
      </c>
      <c r="AW7" s="178" t="s">
        <v>680</v>
      </c>
      <c r="AX7" s="179" t="s">
        <v>844</v>
      </c>
      <c r="AY7" s="137" t="s">
        <v>270</v>
      </c>
      <c r="AZ7" s="137" t="s">
        <v>271</v>
      </c>
      <c r="BA7" s="137" t="s">
        <v>681</v>
      </c>
      <c r="BB7" s="180" t="s">
        <v>891</v>
      </c>
      <c r="BC7" s="180" t="s">
        <v>920</v>
      </c>
      <c r="BD7" s="180" t="s">
        <v>923</v>
      </c>
      <c r="BF7" s="181" t="s">
        <v>883</v>
      </c>
      <c r="BG7" s="181" t="s">
        <v>884</v>
      </c>
      <c r="BH7" s="181" t="s">
        <v>653</v>
      </c>
      <c r="BI7" s="181" t="s">
        <v>652</v>
      </c>
      <c r="BJ7" s="181" t="s">
        <v>1053</v>
      </c>
      <c r="BK7" s="181" t="s">
        <v>244</v>
      </c>
      <c r="BL7" s="181" t="s">
        <v>248</v>
      </c>
      <c r="BM7" s="181" t="s">
        <v>396</v>
      </c>
      <c r="BN7" s="181" t="s">
        <v>243</v>
      </c>
      <c r="BO7" s="181" t="s">
        <v>246</v>
      </c>
      <c r="BP7" s="181" t="s">
        <v>223</v>
      </c>
      <c r="BQ7" s="181" t="s">
        <v>672</v>
      </c>
      <c r="BR7" s="181" t="s">
        <v>887</v>
      </c>
      <c r="BS7" s="181" t="s">
        <v>654</v>
      </c>
      <c r="BT7" s="181" t="s">
        <v>393</v>
      </c>
      <c r="BU7" s="181" t="s">
        <v>405</v>
      </c>
      <c r="BV7" s="181" t="s">
        <v>395</v>
      </c>
      <c r="BW7" s="181" t="s">
        <v>276</v>
      </c>
      <c r="BX7" s="181" t="s">
        <v>394</v>
      </c>
      <c r="BY7" s="181" t="s">
        <v>671</v>
      </c>
      <c r="BZ7" s="181" t="s">
        <v>888</v>
      </c>
      <c r="CA7" s="181" t="s">
        <v>889</v>
      </c>
      <c r="CB7" s="181" t="s">
        <v>890</v>
      </c>
      <c r="CC7" s="181" t="s">
        <v>1002</v>
      </c>
      <c r="CD7" s="181" t="s">
        <v>1027</v>
      </c>
    </row>
    <row r="8" spans="1:82" x14ac:dyDescent="0.2">
      <c r="A8" s="140"/>
      <c r="B8" s="141" t="str">
        <f xml:space="preserve"> IF( C8 = "", "", C8 &amp; "." &amp; D8 &amp; "."  &amp; E8)</f>
        <v>PRJ00027490.ME-17494747.1</v>
      </c>
      <c r="C8" s="142" t="str">
        <f t="shared" ref="C8:C71" si="1">IF($K8&lt;&gt;"",$K8, IF($AB8 = "", "", $C7))</f>
        <v>PRJ00027490</v>
      </c>
      <c r="D8" s="142" t="str">
        <f>IF( $C8 = "", "", IF( $M8="", IF(AND($C7=$C8,$G8 = ""), $D7, ""), TEXT($M8,"000")))</f>
        <v>ME-17494747</v>
      </c>
      <c r="E8" s="142">
        <f>IF($C8="", "", COUNTIF($M$8:$M8,$D8))</f>
        <v>1</v>
      </c>
      <c r="F8" s="254">
        <v>1</v>
      </c>
      <c r="G8" s="143" t="s">
        <v>927</v>
      </c>
      <c r="H8" s="144" t="s">
        <v>1106</v>
      </c>
      <c r="I8" s="144" t="s">
        <v>927</v>
      </c>
      <c r="J8" s="145" t="s">
        <v>411</v>
      </c>
      <c r="K8" s="144" t="s">
        <v>1096</v>
      </c>
      <c r="L8" s="144"/>
      <c r="M8" s="144" t="s">
        <v>1107</v>
      </c>
      <c r="N8" s="146"/>
      <c r="O8" s="147" t="s">
        <v>57</v>
      </c>
      <c r="P8" s="147"/>
      <c r="Q8" s="148"/>
      <c r="R8" s="147"/>
      <c r="S8" s="147"/>
      <c r="T8" s="149" t="s">
        <v>988</v>
      </c>
      <c r="U8" s="150" t="str">
        <f>IF($T8="", "", VLOOKUP($T8, CONTRATOS!$B:$E, 2, FALSE))</f>
        <v>&lt; DEFINIR &gt;</v>
      </c>
      <c r="V8" s="151">
        <f>IF(OR($T8="",TB_DEFESA!$C$2="CARGA BASELINE"),0,
   IF(VLOOKUP($T8, CONTRATOS!B:E, 3, FALSE)&lt;&gt;"",1,IF(VLOOKUP($T8, CONTRATOS!B:E, 4, FALSE)&lt;&gt;"",2,0)))</f>
        <v>0</v>
      </c>
      <c r="W8" s="152" t="s">
        <v>457</v>
      </c>
      <c r="X8" s="152" t="s">
        <v>252</v>
      </c>
      <c r="Y8" s="153"/>
      <c r="Z8" s="154"/>
      <c r="AA8" s="155">
        <v>5000000</v>
      </c>
      <c r="AB8" s="156" t="s">
        <v>1108</v>
      </c>
      <c r="AC8" s="157" t="s">
        <v>1109</v>
      </c>
      <c r="AD8" s="155">
        <f>(30*AA8)/100</f>
        <v>1500000</v>
      </c>
      <c r="AE8" s="158">
        <f t="shared" ref="AE8:AE71" si="2">IF(AT8="","",IF(V8=1,1,IF(AT8=0,0,AD8/AT8)))</f>
        <v>0.3</v>
      </c>
      <c r="AF8" s="159">
        <f>IF(B8= "", "", IF(SUM($BF8:$CD8) = 0, 0, 1))</f>
        <v>0</v>
      </c>
      <c r="AG8" s="182" t="s">
        <v>59</v>
      </c>
      <c r="AH8" s="183" t="str">
        <f>IF($B8="","", IF( AND($G8="", $B8 = $B7 ), $AH7, $G8))</f>
        <v>NÃO</v>
      </c>
      <c r="AI8" s="183" t="str">
        <f>IF($B8 = "", "",  IF( AND($H8= "", $B8 = $B7 ), $AI7, $H8))</f>
        <v>ESTIMATIVA</v>
      </c>
      <c r="AJ8" s="184" t="str">
        <f>IF(AND($AB8="", $V8=""),"",IF(AND($I8="",$B8=$B7), $AJ7, IF($I8="","",$I8)))</f>
        <v>NÃO</v>
      </c>
      <c r="AK8" s="185" t="str">
        <f>IF($B8="", "", IF( AND($J8 = "",$B8=$B7), $AK7, $J8))</f>
        <v>Macroestimativa</v>
      </c>
      <c r="AL8" s="186"/>
      <c r="AM8" s="183" t="str">
        <f>IF( $B8 = "", "",  IF(AND($N8= "",$B8=$B7), $AM7, $O8))</f>
        <v>SERVIÇOS</v>
      </c>
      <c r="AN8" s="183" t="str">
        <f>IF( $B8 = "", "",  IF( AND($X8= "",$B8=$B7), $AN7, $X8))</f>
        <v>Oi Móvel S.A.</v>
      </c>
      <c r="AO8" s="186" t="str">
        <f>IF($B8="", "",  IF( AND($U8= "",$B8=$B7), $AO7, $U8))</f>
        <v>&lt; DEFINIR &gt;</v>
      </c>
      <c r="AP8" s="187" t="str">
        <f>IF( $B8 = "", "",  IF( AND($U8= "",$B8=$B7), $AP7, IF($T8 = "", "", $T8)))</f>
        <v>&lt; A CONTRATAR &gt;</v>
      </c>
      <c r="AQ8" s="187" t="str">
        <f>IF($B8="","",IF(AND($W8="",$B8=$B7),$AQ7,IF($W8="","",$W8)))</f>
        <v>&lt;Não se Aplica&gt;</v>
      </c>
      <c r="AR8" s="188">
        <f t="shared" ref="AR8:AR71" si="3">IF($B8 = "", "",  IF($Y8= "", IF(ISNUMBER($AR7), $AR7, 0), $Y8))</f>
        <v>0</v>
      </c>
      <c r="AS8" s="188">
        <f t="shared" ref="AS8:AS71" si="4">IF($B8 = "", "",  IF($Z8= "", IF(ISNUMBER($AS7), $AS7, 0), $Z8))</f>
        <v>0</v>
      </c>
      <c r="AT8" s="183">
        <f t="shared" ref="AT8:AT71" si="5">IF($B8="", "", IF($AA8=0, $AT7, $AA8))</f>
        <v>5000000</v>
      </c>
      <c r="AU8" s="189" t="str">
        <f>IF(OR($B8="", $AP8= ""),"",IF(VLOOKUP($AP8, CONTRATOS!B:K,3,FALSE)="","",VLOOKUP($AP8, CONTRATOS!B:K, 3,FALSE)))</f>
        <v/>
      </c>
      <c r="AV8" s="189" t="str">
        <f>IF(OR($B8="", $AP8 = ""), "", IF(VLOOKUP($AP8, CONTRATOS!B:K,4,FALSE)="","",VLOOKUP($AP8, CONTRATOS!B:K,4, FALSE)))</f>
        <v/>
      </c>
      <c r="AW8" s="190">
        <f t="shared" ref="AW8:AW71" si="6">IF($B8="", "", IF($V8=1, 1, IF( OR($AT8 = "", $AT8=0), 0, $AD8/$AT8)))</f>
        <v>0.3</v>
      </c>
      <c r="AX8" s="189" t="str">
        <f t="shared" ref="AX8:AX71" si="7">IF( $B8="", "", IF( $K8="",$AX7, IF($S8 = "", "", $S8)))</f>
        <v/>
      </c>
      <c r="AY8" s="189" t="str">
        <f t="shared" ref="AY8:AY71" si="8">IF( $B8="", "", IF( $K8="",$AY7, IF($P8 = "", "", $P8)))</f>
        <v/>
      </c>
      <c r="AZ8" s="189" t="str">
        <f t="shared" ref="AZ8:AZ71" si="9">IF( $B8="", "", IF( $K8="",$AZ7, IF($Q8 = "", "", $Q8)))</f>
        <v/>
      </c>
      <c r="BA8" s="189" t="str">
        <f t="shared" ref="BA8:BA71" si="10">IF( $B8="", "", IF( $K8="",$BA7, IF($R8 = "", "", $R8)))</f>
        <v/>
      </c>
      <c r="BB8" s="191">
        <f>IF( $B8 = "", 0, ROW($B8))</f>
        <v>8</v>
      </c>
      <c r="BC8" s="191" t="str">
        <f>IF($AC8="","",IF($AC8="Próximos Anos",$AC8,RIGHT($AC8,4)))</f>
        <v>2018</v>
      </c>
      <c r="BD8" s="191">
        <f>IF($B8="", "", IF($B8=$B7, $BD7, $V8))</f>
        <v>0</v>
      </c>
      <c r="BF8" s="192">
        <f>IF( AND($G8="SIM", OR($H8="", $I8="", $J8="", $K8="",  $M8="", $O8="", $P8="", $Q8="", $R8="", $X8="",  $AA8="", $AB8="", $AC8="", $AD8="")), 1, 0)</f>
        <v>0</v>
      </c>
      <c r="BG8" s="192">
        <f>IF(AND($G8="NÃO", OR($H8="", $I8="", $J8="", $K8="",  $M8="", $O8="", $T8="", $W8="", $X8="", $AA8="")), 1,
    IF( AND($AH8="NÃO",  $AU8 ="", OR( $AB8="", $AC8="", $AD8="")), 1,
    IF( AND($AH8="NÃO",  $AU8 &lt;&gt; "", $BD8&lt;&gt; 0, OR($AB8&lt;&gt;"", $AC8&lt;&gt;"", $AD8&lt;&gt;"") ), 1, 0 ) ) )</f>
        <v>0</v>
      </c>
      <c r="BH8" s="192">
        <f>IF( $B8="", "", IF(ISNA(VLOOKUP($C8, Defesa!$C$7:$C$29,1,FALSE)),1,0))</f>
        <v>0</v>
      </c>
      <c r="BI8" s="193">
        <f>IF($B8= "", "",  IF(OR($D8 = "N/A", LEFT($D8, 2) = "ME", AND(LEN($D8) = 12, LEFT($D8, 4) = "PROP")), 0, 1))</f>
        <v>0</v>
      </c>
      <c r="BJ8" s="193">
        <f>IF($B8="", "", IF( AND( $AI8="ESTIMATIVA", OR( Defesa!$F$7 = "AUTOMÁTICA", Defesa!$F$7 ="100% BASELINE")), 1, 0))</f>
        <v>0</v>
      </c>
      <c r="BK8" s="192">
        <f t="shared" ref="BK8:BK39" si="11">IF($B8="", "", IF(COUNTIFS($AB:$AB, $AB8,$B:$B, $B8)&gt;1, 1, 0))</f>
        <v>0</v>
      </c>
      <c r="BL8" s="192">
        <f>IF( OR($B8= "",$V8 = 1), 0,  IF( OR($AC8 = "", $AD8="", $AB8=""), 1, 0))</f>
        <v>0</v>
      </c>
      <c r="BM8" s="192">
        <f>IF($AC8="", "", IF(ISNA(VLOOKUP($AC8, TABELAS!$Q:$Q, 1, FALSE)), 1, 0))</f>
        <v>0</v>
      </c>
      <c r="BN8" s="194">
        <f t="shared" ref="BN8:BN39" si="12">IF($B8= "", "", IF( SUMIFS($AW:$AW,$C:$C, $C8,$D:$D, $D8,$E:$E, $E8) = 1, 0, 1))</f>
        <v>0</v>
      </c>
      <c r="BO8" s="192">
        <f>IF( $B8 ="", "", IF( AND($V8 = 1, OR( $AC8 &lt;&gt; "", $AB8 &lt;&gt; "", $AD8 &lt;&gt; "")), 1, 0))</f>
        <v>0</v>
      </c>
      <c r="BP8" s="192">
        <f xml:space="preserve"> IF($B8 = "", "", IF(AND( $AI8 = "SIM", $AP8= "&lt; A DEFINIR &gt;"), 1, 0))</f>
        <v>0</v>
      </c>
      <c r="BQ8" s="193">
        <f>IF($B8="", "", IF( AND($AI8="SIM", OR(LEFT($D8,2)="ME", $D8 = "N/A")), 1, 0))</f>
        <v>0</v>
      </c>
      <c r="BR8" s="192">
        <f xml:space="preserve"> IF($B8 = "", "", IF( AND( $AJ8 = "SIM", OR($AP8= "&lt; A DEFINIR &gt;", $V8 = 1, $AI8 = "ESTIMATIVA")), 1, 0))</f>
        <v>0</v>
      </c>
      <c r="BS8" s="192">
        <f xml:space="preserve"> IF(B8 = "", "", IF(AND($X8 &lt;&gt; "N/A",  V8 = 1), 1, 0))</f>
        <v>0</v>
      </c>
      <c r="BT8" s="192">
        <f>IF(OR($B8="", $AH8 = "SIM"), "", IF( ISNA(VLOOKUP($AP8,#REF!, 1, FALSE)), 1, 0))</f>
        <v>0</v>
      </c>
      <c r="BU8" s="192">
        <f>IF($AP8="", "", IF( AND(OR($AO8=4600046592, $U8 = 4600041840), $AN8&lt;&gt; "BTSA Fixa R2"), 1,0))</f>
        <v>0</v>
      </c>
      <c r="BV8" s="192">
        <f>IF( $B8="", "", IF( ISNA(VLOOKUP($AN8, TABELAS!$T$2:$T$9,1,FALSE)), 1, 0))</f>
        <v>0</v>
      </c>
      <c r="BW8" s="192">
        <f xml:space="preserve"> IF($B8 = "", "", IF( AND( $AN8 = "N/A", $V8 &lt;&gt;  1), 1, 0) )</f>
        <v>0</v>
      </c>
      <c r="BX8" s="192">
        <f>IF( OR($B8="", $AH8 = "SIM"), "", IF( ISNA( VLOOKUP( $AQ8, SISTEMA!$B:$B, 1, FALSE)), 1, 0))</f>
        <v>0</v>
      </c>
      <c r="BY8" s="193">
        <f>IF( $B8="", "", IF( AND($AI8="ESTIMATIVA", LEFT($D8, 4)="PROP"), 1, 0))</f>
        <v>0</v>
      </c>
      <c r="BZ8" s="193">
        <f>IF( $B8="", "", IF( AND($AX8&lt;&gt;"", $V8 = 1), 1, 0))</f>
        <v>0</v>
      </c>
      <c r="CA8" s="192">
        <f>IF($B8="", "", IF( AND($AM8 &lt;&gt; "SERVIÇOS", $AM8 &lt;&gt; "HARDWARE", $AM8 &lt;&gt; "SOFTWARE", $AM8 &lt;&gt; "FACILITIES", $AM8 &lt;&gt; "VIAGENS"  ), 1, 0))</f>
        <v>0</v>
      </c>
      <c r="CB8" s="193">
        <f>IF( $B8="", "", IF( AND( $AH8 = "NÃO", OR( $AM8 = "SOFTWARE", $AM8 = "HARDWARE", $AM8 = "FACILITIES")), 1, 0))</f>
        <v>0</v>
      </c>
      <c r="CC8" s="193">
        <f>IF( $B8="", "", IF( AND($AI8="COMPLEMENTO", LEFT($D8, 4)="PROP"), 1, 0))</f>
        <v>0</v>
      </c>
      <c r="CD8" s="193">
        <f>IF( $B8="", "", IF( AND($D8=$D7, $AP8 &lt;&gt; $AP7), 1, 0))</f>
        <v>0</v>
      </c>
    </row>
    <row r="9" spans="1:82" x14ac:dyDescent="0.2">
      <c r="A9" s="140"/>
      <c r="B9" s="141" t="str">
        <f t="shared" ref="B9:B72" si="13" xml:space="preserve"> IF( C9 = "", "", C9 &amp; "." &amp; D9 &amp; "."  &amp; E9)</f>
        <v>PRJ00027490.ME-17494747.1</v>
      </c>
      <c r="C9" s="142" t="str">
        <f t="shared" si="1"/>
        <v>PRJ00027490</v>
      </c>
      <c r="D9" s="142" t="str">
        <f t="shared" ref="D9:D72" si="14">IF( $C9 = "", "", IF( $M9="", IF(AND($C8=$C9,$G9 = ""), $D8, ""), TEXT($M9,"000")))</f>
        <v>ME-17494747</v>
      </c>
      <c r="E9" s="142">
        <f>IF($C9="", "", COUNTIF($M$8:$M9,$D9))</f>
        <v>1</v>
      </c>
      <c r="F9" s="254">
        <v>2</v>
      </c>
      <c r="G9" s="143"/>
      <c r="H9" s="144"/>
      <c r="I9" s="144"/>
      <c r="J9" s="145" t="s">
        <v>411</v>
      </c>
      <c r="K9" s="144"/>
      <c r="L9" s="144"/>
      <c r="M9" s="144"/>
      <c r="N9" s="146"/>
      <c r="O9" s="147"/>
      <c r="P9" s="147"/>
      <c r="Q9" s="147"/>
      <c r="R9" s="147"/>
      <c r="S9" s="147"/>
      <c r="T9" s="149"/>
      <c r="U9" s="150" t="str">
        <f>IF($T9="", "", VLOOKUP($T9, CONTRATOS!$B:$E, 2, FALSE))</f>
        <v/>
      </c>
      <c r="V9" s="151">
        <f>IF(OR($T9="",TB_DEFESA!$C$2="CARGA BASELINE"),0,
   IF(VLOOKUP($T9, CONTRATOS!B:E, 3, FALSE)&lt;&gt;"",1,IF(VLOOKUP($T9, CONTRATOS!B:E, 4, FALSE)&lt;&gt;"",2,0)))</f>
        <v>0</v>
      </c>
      <c r="W9" s="152"/>
      <c r="X9" s="152"/>
      <c r="Y9" s="153"/>
      <c r="Z9" s="154"/>
      <c r="AA9" s="155"/>
      <c r="AB9" s="156" t="s">
        <v>1110</v>
      </c>
      <c r="AC9" s="157" t="s">
        <v>1111</v>
      </c>
      <c r="AD9" s="155">
        <f>(30*AA8)/100</f>
        <v>1500000</v>
      </c>
      <c r="AE9" s="158">
        <f t="shared" si="2"/>
        <v>0.3</v>
      </c>
      <c r="AF9" s="160">
        <f t="shared" ref="AF9:AF72" si="15">IF(B9= "", "", IF(SUM($BF9:$CD9) = 0, 0, 1))</f>
        <v>0</v>
      </c>
      <c r="AG9" s="182" t="s">
        <v>59</v>
      </c>
      <c r="AH9" s="183" t="str">
        <f t="shared" ref="AH9:AH72" si="16">IF($B9="","", IF( AND($G9="", $B9 = $B8 ), $AH8, $G9))</f>
        <v>NÃO</v>
      </c>
      <c r="AI9" s="183" t="str">
        <f t="shared" ref="AI9:AI72" si="17">IF($B9 = "", "",  IF( AND($H9= "", $B9 = $B8 ), $AI8, $H9))</f>
        <v>ESTIMATIVA</v>
      </c>
      <c r="AJ9" s="184" t="str">
        <f t="shared" ref="AJ9:AJ72" si="18">IF(AND($AB9="", $V9=""),"",IF(AND($I9="",$B9=$B8), $AJ8, IF($I9="","",$I9)))</f>
        <v>NÃO</v>
      </c>
      <c r="AK9" s="185" t="str">
        <f t="shared" ref="AK9:AK72" si="19">IF($B9="", "", IF( AND($J9 = "",$B9=$B8), $AK8, $J9))</f>
        <v>Macroestimativa</v>
      </c>
      <c r="AL9" s="186"/>
      <c r="AM9" s="183" t="str">
        <f t="shared" ref="AM9:AM72" si="20">IF( $B9 = "", "",  IF(AND($N9= "",$B9=$B8), $AM8, $O9))</f>
        <v>SERVIÇOS</v>
      </c>
      <c r="AN9" s="183" t="str">
        <f t="shared" ref="AN9:AN72" si="21">IF( $B9 = "", "",  IF( AND($X9= "",$B9=$B8), $AN8, $X9))</f>
        <v>Oi Móvel S.A.</v>
      </c>
      <c r="AO9" s="186" t="str">
        <f t="shared" ref="AO9:AO72" si="22">IF($B9="", "",  IF( AND($U9= "",$B9=$B8), $AO8, $U9))</f>
        <v>&lt; DEFINIR &gt;</v>
      </c>
      <c r="AP9" s="187" t="str">
        <f t="shared" ref="AP9:AP72" si="23">IF( $B9 = "", "",  IF( AND($U9= "",$B9=$B8), $AP8, IF($T9 = "", "", $T9)))</f>
        <v>&lt; A CONTRATAR &gt;</v>
      </c>
      <c r="AQ9" s="187" t="str">
        <f t="shared" ref="AQ9:AQ72" si="24">IF($B9="","",IF(AND($W9="",$B9=$B8),$AQ8,IF($W9="","",$W9)))</f>
        <v>&lt;Não se Aplica&gt;</v>
      </c>
      <c r="AR9" s="188">
        <f t="shared" si="3"/>
        <v>0</v>
      </c>
      <c r="AS9" s="188">
        <f t="shared" si="4"/>
        <v>0</v>
      </c>
      <c r="AT9" s="183">
        <f t="shared" si="5"/>
        <v>5000000</v>
      </c>
      <c r="AU9" s="189" t="str">
        <f>IF(OR($B9="", $AP9= ""),"",IF(VLOOKUP($AP9, CONTRATOS!B:K,3,FALSE)="","",VLOOKUP($AP9, CONTRATOS!B:K, 3,FALSE)))</f>
        <v/>
      </c>
      <c r="AV9" s="189" t="str">
        <f>IF(OR($B9="", $AP9 = ""), "", IF(VLOOKUP($AP9, CONTRATOS!B:K,4,FALSE)="","",VLOOKUP($AP9, CONTRATOS!B:K,4, FALSE)))</f>
        <v/>
      </c>
      <c r="AW9" s="190">
        <f t="shared" si="6"/>
        <v>0.3</v>
      </c>
      <c r="AX9" s="189" t="str">
        <f t="shared" si="7"/>
        <v/>
      </c>
      <c r="AY9" s="189" t="str">
        <f t="shared" si="8"/>
        <v/>
      </c>
      <c r="AZ9" s="189" t="str">
        <f t="shared" si="9"/>
        <v/>
      </c>
      <c r="BA9" s="189" t="str">
        <f t="shared" si="10"/>
        <v/>
      </c>
      <c r="BB9" s="191">
        <f t="shared" ref="BB9:BB72" si="25">IF( $B9 = "", 0, ROW($B9))</f>
        <v>9</v>
      </c>
      <c r="BC9" s="191" t="str">
        <f t="shared" ref="BC9:BC72" si="26">IF($AC9="","",IF($AC9="Próximos Anos",$AC9,RIGHT($AC9,4)))</f>
        <v>2018</v>
      </c>
      <c r="BD9" s="191">
        <f t="shared" ref="BD9:BD72" si="27">IF($B9="", "", IF($B9=$B8, $BD8, $V9))</f>
        <v>0</v>
      </c>
      <c r="BF9" s="192">
        <f t="shared" ref="BF9:BF72" si="28">IF( AND($G9="SIM", OR($H9="", $I9="", $J9="", $K9="",  $M9="", $O9="", $P9="", $Q9="", $R9="", $X9="",  $AA9="", $AB9="", $AC9="", $AD9="")), 1, 0)</f>
        <v>0</v>
      </c>
      <c r="BG9" s="192">
        <f t="shared" ref="BG9:BG72" si="29">IF(AND($G9="NÃO", OR($H9="", $I9="", $J9="", $K9="",  $M9="", $O9="", $T9="", $W9="", $X9="", $AA9="")), 1,
    IF( AND($AH9="NÃO",  $AU9 ="", OR( $AB9="", $AC9="", $AD9="")), 1,
    IF( AND($AH9="NÃO",  $AU9 &lt;&gt; "", $BD9&lt;&gt; 0, OR($AB9&lt;&gt;"", $AC9&lt;&gt;"", $AD9&lt;&gt;"") ), 1, 0 ) ) )</f>
        <v>0</v>
      </c>
      <c r="BH9" s="192">
        <f>IF( $B9="", "", IF(ISNA(VLOOKUP($C9, Defesa!$C$7:$C$29,1,FALSE)),1,0))</f>
        <v>0</v>
      </c>
      <c r="BI9" s="193">
        <f t="shared" ref="BI9:BI72" si="30">IF($B9= "", "",  IF(OR($D9 = "N/A", LEFT($D9, 2) = "ME", AND(LEN($D9) = 12, LEFT($D9, 4) = "PROP")), 0, 1))</f>
        <v>0</v>
      </c>
      <c r="BJ9" s="193">
        <f>IF($B9="", "", IF( AND( $AI9="ESTIMATIVA", OR( Defesa!$F$7 = "AUTOMÁTICA", Defesa!$F$7 ="100% BASELINE")), 1, 0))</f>
        <v>0</v>
      </c>
      <c r="BK9" s="192">
        <f t="shared" si="11"/>
        <v>0</v>
      </c>
      <c r="BL9" s="192">
        <f t="shared" ref="BL9:BL72" si="31">IF( OR($B9= "",$V9 = 1), 0,  IF( OR($AC9 = "", $AD9="", $AB9=""), 1, 0))</f>
        <v>0</v>
      </c>
      <c r="BM9" s="192">
        <f>IF($AC9="", "", IF(ISNA(VLOOKUP($AC9, TABELAS!$Q:$Q, 1, FALSE)), 1, 0))</f>
        <v>0</v>
      </c>
      <c r="BN9" s="194">
        <f t="shared" si="12"/>
        <v>0</v>
      </c>
      <c r="BO9" s="192">
        <f t="shared" ref="BO9:BO72" si="32">IF( $B9 ="", "", IF( AND($V9 = 1, OR( $AC9 &lt;&gt; "", $AB9 &lt;&gt; "", $AD9 &lt;&gt; "")), 1, 0))</f>
        <v>0</v>
      </c>
      <c r="BP9" s="192">
        <f t="shared" ref="BP9:BP72" si="33" xml:space="preserve"> IF($B9 = "", "", IF(AND( $AI9 = "SIM", $AP9= "&lt; A DEFINIR &gt;"), 1, 0))</f>
        <v>0</v>
      </c>
      <c r="BQ9" s="193">
        <f t="shared" ref="BQ9:BQ72" si="34">IF($B9="", "", IF( AND($AI9="SIM", OR(LEFT($D9,2)="ME", $D9 = "N/A")), 1, 0))</f>
        <v>0</v>
      </c>
      <c r="BR9" s="192">
        <f t="shared" ref="BR9:BR72" si="35" xml:space="preserve"> IF($B9 = "", "", IF( AND( $AJ9 = "SIM", OR($AP9= "&lt; A DEFINIR &gt;", $V9 = 1, $AI9 = "ESTIMATIVA")), 1, 0))</f>
        <v>0</v>
      </c>
      <c r="BS9" s="192">
        <f t="shared" ref="BS9:BS72" si="36" xml:space="preserve"> IF(B9 = "", "", IF(AND($X9 &lt;&gt; "N/A",  V9 = 1), 1, 0))</f>
        <v>0</v>
      </c>
      <c r="BT9" s="192">
        <f>IF(OR($B9="", $AH9 = "SIM"), "", IF( ISNA(VLOOKUP($AP9,#REF!, 1, FALSE)), 1, 0))</f>
        <v>0</v>
      </c>
      <c r="BU9" s="192">
        <f t="shared" ref="BU9:BU72" si="37">IF($AP9="", "", IF( AND(OR($AO9=4600046592, $U9 = 4600041840), $AN9&lt;&gt; "BTSA Fixa R2"), 1,0))</f>
        <v>0</v>
      </c>
      <c r="BV9" s="192">
        <f>IF( $B9="", "", IF( ISNA(VLOOKUP($AN9, TABELAS!$T$2:$T$9,1,FALSE)), 1, 0))</f>
        <v>0</v>
      </c>
      <c r="BW9" s="192">
        <f t="shared" ref="BW9:BW72" si="38" xml:space="preserve"> IF($B9 = "", "", IF( AND( $AN9 = "N/A", $V9 &lt;&gt;  1), 1, 0) )</f>
        <v>0</v>
      </c>
      <c r="BX9" s="192">
        <f>IF( OR($B9="", $AH9 = "SIM"), "", IF( ISNA( VLOOKUP( $AQ9, SISTEMA!$B:$B, 1, FALSE)), 1, 0))</f>
        <v>0</v>
      </c>
      <c r="BY9" s="193">
        <f t="shared" ref="BY9:BY72" si="39">IF( $B9="", "", IF( AND($AI9="ESTIMATIVA", LEFT($D9, 4)="PROP"), 1, 0))</f>
        <v>0</v>
      </c>
      <c r="BZ9" s="193">
        <f t="shared" ref="BZ9:BZ72" si="40">IF( $B9="", "", IF( AND($AX9&lt;&gt;"", $V9 = 1), 1, 0))</f>
        <v>0</v>
      </c>
      <c r="CA9" s="192">
        <f t="shared" ref="CA9:CA72" si="41">IF($B9="", "", IF( AND($AM9 &lt;&gt; "SERVIÇOS", $AM9 &lt;&gt; "HARDWARE", $AM9 &lt;&gt; "SOFTWARE", $AM9 &lt;&gt; "FACILITIES", $AM9 &lt;&gt; "VIAGENS"  ), 1, 0))</f>
        <v>0</v>
      </c>
      <c r="CB9" s="193">
        <f t="shared" ref="CB9:CB72" si="42">IF( $B9="", "", IF( AND( $AH9 = "NÃO", OR( $AM9 = "SOFTWARE", $AM9 = "HARDWARE", $AM9 = "FACILITIES")), 1, 0))</f>
        <v>0</v>
      </c>
      <c r="CC9" s="193">
        <f t="shared" ref="CC9:CC72" si="43">IF( $B9="", "", IF( AND($AI9="COMPLEMENTO", LEFT($D9, 4)="PROP"), 1, 0))</f>
        <v>0</v>
      </c>
      <c r="CD9" s="193">
        <f t="shared" ref="CD9:CD72" si="44">IF( $B9="", "", IF( AND($D9=$D8, $AP9 &lt;&gt; $AP8), 1, 0))</f>
        <v>0</v>
      </c>
    </row>
    <row r="10" spans="1:82" x14ac:dyDescent="0.2">
      <c r="A10" s="140"/>
      <c r="B10" s="141" t="str">
        <f t="shared" si="13"/>
        <v>PRJ00027490.ME-17494747.1</v>
      </c>
      <c r="C10" s="142" t="str">
        <f t="shared" si="1"/>
        <v>PRJ00027490</v>
      </c>
      <c r="D10" s="142" t="str">
        <f t="shared" si="14"/>
        <v>ME-17494747</v>
      </c>
      <c r="E10" s="142">
        <f>IF($C10="", "", COUNTIF($M$8:$M10,$D10))</f>
        <v>1</v>
      </c>
      <c r="F10" s="254">
        <v>3</v>
      </c>
      <c r="G10" s="143"/>
      <c r="H10" s="144"/>
      <c r="I10" s="144"/>
      <c r="J10" s="145" t="s">
        <v>411</v>
      </c>
      <c r="K10" s="144"/>
      <c r="L10" s="144"/>
      <c r="M10" s="144"/>
      <c r="N10" s="146"/>
      <c r="O10" s="147"/>
      <c r="P10" s="147"/>
      <c r="Q10" s="147"/>
      <c r="R10" s="147"/>
      <c r="S10" s="147"/>
      <c r="T10" s="149" t="s">
        <v>988</v>
      </c>
      <c r="U10" s="150" t="str">
        <f>IF($T10="", "", VLOOKUP($T10, CONTRATOS!$B:$E, 2, FALSE))</f>
        <v>&lt; DEFINIR &gt;</v>
      </c>
      <c r="V10" s="151">
        <f>IF(OR($T10="",TB_DEFESA!$C$2="CARGA BASELINE"),0,
   IF(VLOOKUP($T10, CONTRATOS!B:E, 3, FALSE)&lt;&gt;"",1,IF(VLOOKUP($T10, CONTRATOS!B:E, 4, FALSE)&lt;&gt;"",2,0)))</f>
        <v>0</v>
      </c>
      <c r="W10" s="152" t="s">
        <v>457</v>
      </c>
      <c r="X10" s="152"/>
      <c r="Y10" s="153"/>
      <c r="Z10" s="154"/>
      <c r="AA10" s="155"/>
      <c r="AB10" s="156" t="s">
        <v>1112</v>
      </c>
      <c r="AC10" s="157" t="s">
        <v>1105</v>
      </c>
      <c r="AD10" s="155">
        <f>(40*AA8)/100</f>
        <v>2000000</v>
      </c>
      <c r="AE10" s="158">
        <f t="shared" si="2"/>
        <v>0.4</v>
      </c>
      <c r="AF10" s="160">
        <f t="shared" si="15"/>
        <v>0</v>
      </c>
      <c r="AG10" s="182" t="s">
        <v>59</v>
      </c>
      <c r="AH10" s="183" t="str">
        <f t="shared" si="16"/>
        <v>NÃO</v>
      </c>
      <c r="AI10" s="183" t="str">
        <f t="shared" si="17"/>
        <v>ESTIMATIVA</v>
      </c>
      <c r="AJ10" s="184" t="str">
        <f t="shared" si="18"/>
        <v>NÃO</v>
      </c>
      <c r="AK10" s="185" t="str">
        <f t="shared" si="19"/>
        <v>Macroestimativa</v>
      </c>
      <c r="AL10" s="186"/>
      <c r="AM10" s="183" t="str">
        <f t="shared" si="20"/>
        <v>SERVIÇOS</v>
      </c>
      <c r="AN10" s="183" t="str">
        <f t="shared" si="21"/>
        <v>Oi Móvel S.A.</v>
      </c>
      <c r="AO10" s="186" t="str">
        <f t="shared" si="22"/>
        <v>&lt; DEFINIR &gt;</v>
      </c>
      <c r="AP10" s="187" t="str">
        <f t="shared" si="23"/>
        <v>&lt; A CONTRATAR &gt;</v>
      </c>
      <c r="AQ10" s="187" t="str">
        <f t="shared" si="24"/>
        <v>&lt;Não se Aplica&gt;</v>
      </c>
      <c r="AR10" s="188">
        <f t="shared" si="3"/>
        <v>0</v>
      </c>
      <c r="AS10" s="188">
        <f t="shared" si="4"/>
        <v>0</v>
      </c>
      <c r="AT10" s="183">
        <f t="shared" si="5"/>
        <v>5000000</v>
      </c>
      <c r="AU10" s="189" t="str">
        <f>IF(OR($B10="", $AP10= ""),"",IF(VLOOKUP($AP10, CONTRATOS!B:K,3,FALSE)="","",VLOOKUP($AP10, CONTRATOS!B:K, 3,FALSE)))</f>
        <v/>
      </c>
      <c r="AV10" s="189" t="str">
        <f>IF(OR($B10="", $AP10 = ""), "", IF(VLOOKUP($AP10, CONTRATOS!B:K,4,FALSE)="","",VLOOKUP($AP10, CONTRATOS!B:K,4, FALSE)))</f>
        <v/>
      </c>
      <c r="AW10" s="190">
        <f t="shared" si="6"/>
        <v>0.4</v>
      </c>
      <c r="AX10" s="189" t="str">
        <f t="shared" si="7"/>
        <v/>
      </c>
      <c r="AY10" s="189" t="str">
        <f t="shared" si="8"/>
        <v/>
      </c>
      <c r="AZ10" s="189" t="str">
        <f t="shared" si="9"/>
        <v/>
      </c>
      <c r="BA10" s="189" t="str">
        <f t="shared" si="10"/>
        <v/>
      </c>
      <c r="BB10" s="191">
        <f t="shared" si="25"/>
        <v>10</v>
      </c>
      <c r="BC10" s="191" t="str">
        <f t="shared" si="26"/>
        <v>2018</v>
      </c>
      <c r="BD10" s="191">
        <f t="shared" si="27"/>
        <v>0</v>
      </c>
      <c r="BF10" s="192">
        <f t="shared" si="28"/>
        <v>0</v>
      </c>
      <c r="BG10" s="192">
        <f t="shared" si="29"/>
        <v>0</v>
      </c>
      <c r="BH10" s="192">
        <f>IF( $B10="", "", IF(ISNA(VLOOKUP($C10, Defesa!$C$7:$C$29,1,FALSE)),1,0))</f>
        <v>0</v>
      </c>
      <c r="BI10" s="193">
        <f t="shared" si="30"/>
        <v>0</v>
      </c>
      <c r="BJ10" s="193">
        <f>IF($B10="", "", IF( AND( $AI10="ESTIMATIVA", OR( Defesa!$F$7 = "AUTOMÁTICA", Defesa!$F$7 ="100% BASELINE")), 1, 0))</f>
        <v>0</v>
      </c>
      <c r="BK10" s="192">
        <f t="shared" si="11"/>
        <v>0</v>
      </c>
      <c r="BL10" s="192">
        <f t="shared" si="31"/>
        <v>0</v>
      </c>
      <c r="BM10" s="192">
        <f>IF($AC10="", "", IF(ISNA(VLOOKUP($AC10, TABELAS!$Q:$Q, 1, FALSE)), 1, 0))</f>
        <v>0</v>
      </c>
      <c r="BN10" s="194">
        <f t="shared" si="12"/>
        <v>0</v>
      </c>
      <c r="BO10" s="192">
        <f t="shared" si="32"/>
        <v>0</v>
      </c>
      <c r="BP10" s="192">
        <f t="shared" si="33"/>
        <v>0</v>
      </c>
      <c r="BQ10" s="193">
        <f t="shared" si="34"/>
        <v>0</v>
      </c>
      <c r="BR10" s="192">
        <f t="shared" si="35"/>
        <v>0</v>
      </c>
      <c r="BS10" s="192">
        <f t="shared" si="36"/>
        <v>0</v>
      </c>
      <c r="BT10" s="192">
        <f>IF(OR($B10="", $AH10 = "SIM"), "", IF( ISNA(VLOOKUP($AP10,#REF!, 1, FALSE)), 1, 0))</f>
        <v>0</v>
      </c>
      <c r="BU10" s="192">
        <f t="shared" si="37"/>
        <v>0</v>
      </c>
      <c r="BV10" s="192">
        <f>IF( $B10="", "", IF( ISNA(VLOOKUP($AN10, TABELAS!$T$2:$T$9,1,FALSE)), 1, 0))</f>
        <v>0</v>
      </c>
      <c r="BW10" s="192">
        <f t="shared" si="38"/>
        <v>0</v>
      </c>
      <c r="BX10" s="192">
        <f>IF( OR($B10="", $AH10 = "SIM"), "", IF( ISNA( VLOOKUP( $AQ10, SISTEMA!$B:$B, 1, FALSE)), 1, 0))</f>
        <v>0</v>
      </c>
      <c r="BY10" s="193">
        <f t="shared" si="39"/>
        <v>0</v>
      </c>
      <c r="BZ10" s="193">
        <f t="shared" si="40"/>
        <v>0</v>
      </c>
      <c r="CA10" s="192">
        <f t="shared" si="41"/>
        <v>0</v>
      </c>
      <c r="CB10" s="193">
        <f t="shared" si="42"/>
        <v>0</v>
      </c>
      <c r="CC10" s="193">
        <f t="shared" si="43"/>
        <v>0</v>
      </c>
      <c r="CD10" s="193">
        <f t="shared" si="44"/>
        <v>0</v>
      </c>
    </row>
    <row r="11" spans="1:82" x14ac:dyDescent="0.2">
      <c r="A11" s="140"/>
      <c r="B11" s="141" t="str">
        <f t="shared" si="13"/>
        <v/>
      </c>
      <c r="C11" s="142" t="str">
        <f t="shared" si="1"/>
        <v/>
      </c>
      <c r="D11" s="142" t="str">
        <f t="shared" si="14"/>
        <v/>
      </c>
      <c r="E11" s="142" t="str">
        <f>IF($C11="", "", COUNTIF($M$8:$M11,$D11))</f>
        <v/>
      </c>
      <c r="F11" s="254">
        <v>4</v>
      </c>
      <c r="G11" s="143"/>
      <c r="H11" s="144"/>
      <c r="I11" s="144"/>
      <c r="J11" s="145"/>
      <c r="K11" s="144"/>
      <c r="L11" s="144"/>
      <c r="M11" s="144"/>
      <c r="N11" s="146"/>
      <c r="O11" s="147"/>
      <c r="P11" s="147"/>
      <c r="Q11" s="147"/>
      <c r="R11" s="147"/>
      <c r="S11" s="147"/>
      <c r="T11" s="149"/>
      <c r="U11" s="150" t="str">
        <f>IF($T11="", "", VLOOKUP($T11, CONTRATOS!$B:$E, 2, FALSE))</f>
        <v/>
      </c>
      <c r="V11" s="151">
        <f>IF(OR($T11="",TB_DEFESA!$C$2="CARGA BASELINE"),0,
   IF(VLOOKUP($T11, CONTRATOS!B:E, 3, FALSE)&lt;&gt;"",1,IF(VLOOKUP($T11, CONTRATOS!B:E, 4, FALSE)&lt;&gt;"",2,0)))</f>
        <v>0</v>
      </c>
      <c r="W11" s="152"/>
      <c r="X11" s="152"/>
      <c r="Y11" s="153"/>
      <c r="Z11" s="154"/>
      <c r="AA11" s="155"/>
      <c r="AB11" s="156"/>
      <c r="AC11" s="157"/>
      <c r="AD11" s="155"/>
      <c r="AE11" s="158" t="str">
        <f t="shared" si="2"/>
        <v/>
      </c>
      <c r="AF11" s="160" t="str">
        <f t="shared" si="15"/>
        <v/>
      </c>
      <c r="AG11" s="182" t="s">
        <v>59</v>
      </c>
      <c r="AH11" s="183" t="str">
        <f t="shared" si="16"/>
        <v/>
      </c>
      <c r="AI11" s="183" t="str">
        <f t="shared" si="17"/>
        <v/>
      </c>
      <c r="AJ11" s="184" t="str">
        <f t="shared" si="18"/>
        <v/>
      </c>
      <c r="AK11" s="185" t="str">
        <f t="shared" si="19"/>
        <v/>
      </c>
      <c r="AL11" s="186"/>
      <c r="AM11" s="183" t="str">
        <f t="shared" si="20"/>
        <v/>
      </c>
      <c r="AN11" s="183" t="str">
        <f t="shared" si="21"/>
        <v/>
      </c>
      <c r="AO11" s="186" t="str">
        <f t="shared" si="22"/>
        <v/>
      </c>
      <c r="AP11" s="187" t="str">
        <f t="shared" si="23"/>
        <v/>
      </c>
      <c r="AQ11" s="187" t="str">
        <f t="shared" si="24"/>
        <v/>
      </c>
      <c r="AR11" s="188" t="str">
        <f t="shared" si="3"/>
        <v/>
      </c>
      <c r="AS11" s="188" t="str">
        <f t="shared" si="4"/>
        <v/>
      </c>
      <c r="AT11" s="183" t="str">
        <f t="shared" si="5"/>
        <v/>
      </c>
      <c r="AU11" s="189" t="str">
        <f>IF(OR($B11="", $AP11= ""),"",IF(VLOOKUP($AP11, CONTRATOS!B:K,3,FALSE)="","",VLOOKUP($AP11, CONTRATOS!B:K, 3,FALSE)))</f>
        <v/>
      </c>
      <c r="AV11" s="189" t="str">
        <f>IF(OR($B11="", $AP11 = ""), "", IF(VLOOKUP($AP11, CONTRATOS!B:K,4,FALSE)="","",VLOOKUP($AP11, CONTRATOS!B:K,4, FALSE)))</f>
        <v/>
      </c>
      <c r="AW11" s="190" t="str">
        <f t="shared" si="6"/>
        <v/>
      </c>
      <c r="AX11" s="189" t="str">
        <f t="shared" si="7"/>
        <v/>
      </c>
      <c r="AY11" s="189" t="str">
        <f t="shared" si="8"/>
        <v/>
      </c>
      <c r="AZ11" s="189" t="str">
        <f t="shared" si="9"/>
        <v/>
      </c>
      <c r="BA11" s="189" t="str">
        <f t="shared" si="10"/>
        <v/>
      </c>
      <c r="BB11" s="191">
        <f t="shared" si="25"/>
        <v>0</v>
      </c>
      <c r="BC11" s="191" t="str">
        <f t="shared" si="26"/>
        <v/>
      </c>
      <c r="BD11" s="191" t="str">
        <f t="shared" si="27"/>
        <v/>
      </c>
      <c r="BF11" s="192">
        <f t="shared" si="28"/>
        <v>0</v>
      </c>
      <c r="BG11" s="192">
        <f t="shared" si="29"/>
        <v>0</v>
      </c>
      <c r="BH11" s="192" t="str">
        <f>IF( $B11="", "", IF(ISNA(VLOOKUP($C11, Defesa!$C$7:$C$29,1,FALSE)),1,0))</f>
        <v/>
      </c>
      <c r="BI11" s="193" t="str">
        <f t="shared" si="30"/>
        <v/>
      </c>
      <c r="BJ11" s="193" t="str">
        <f>IF($B11="", "", IF( AND( $AI11="ESTIMATIVA", OR( Defesa!$F$7 = "AUTOMÁTICA", Defesa!$F$7 ="100% BASELINE")), 1, 0))</f>
        <v/>
      </c>
      <c r="BK11" s="192" t="str">
        <f t="shared" si="11"/>
        <v/>
      </c>
      <c r="BL11" s="192">
        <f t="shared" si="31"/>
        <v>0</v>
      </c>
      <c r="BM11" s="192" t="str">
        <f>IF($AC11="", "", IF(ISNA(VLOOKUP($AC11, TABELAS!$Q:$Q, 1, FALSE)), 1, 0))</f>
        <v/>
      </c>
      <c r="BN11" s="194" t="str">
        <f t="shared" si="12"/>
        <v/>
      </c>
      <c r="BO11" s="192" t="str">
        <f t="shared" si="32"/>
        <v/>
      </c>
      <c r="BP11" s="192" t="str">
        <f t="shared" si="33"/>
        <v/>
      </c>
      <c r="BQ11" s="193" t="str">
        <f t="shared" si="34"/>
        <v/>
      </c>
      <c r="BR11" s="192" t="str">
        <f t="shared" si="35"/>
        <v/>
      </c>
      <c r="BS11" s="192" t="str">
        <f t="shared" si="36"/>
        <v/>
      </c>
      <c r="BT11" s="192" t="str">
        <f>IF(OR($B11="", $AH11 = "SIM"), "", IF( ISNA(VLOOKUP($AP11,#REF!, 1, FALSE)), 1, 0))</f>
        <v/>
      </c>
      <c r="BU11" s="192" t="str">
        <f t="shared" si="37"/>
        <v/>
      </c>
      <c r="BV11" s="192" t="str">
        <f>IF( $B11="", "", IF( ISNA(VLOOKUP($AN11, TABELAS!$T$2:$T$9,1,FALSE)), 1, 0))</f>
        <v/>
      </c>
      <c r="BW11" s="192" t="str">
        <f t="shared" si="38"/>
        <v/>
      </c>
      <c r="BX11" s="192" t="str">
        <f>IF( OR($B11="", $AH11 = "SIM"), "", IF( ISNA( VLOOKUP( $AQ11, SISTEMA!$B:$B, 1, FALSE)), 1, 0))</f>
        <v/>
      </c>
      <c r="BY11" s="193" t="str">
        <f t="shared" si="39"/>
        <v/>
      </c>
      <c r="BZ11" s="193" t="str">
        <f t="shared" si="40"/>
        <v/>
      </c>
      <c r="CA11" s="192" t="str">
        <f t="shared" si="41"/>
        <v/>
      </c>
      <c r="CB11" s="193" t="str">
        <f t="shared" si="42"/>
        <v/>
      </c>
      <c r="CC11" s="193" t="str">
        <f t="shared" si="43"/>
        <v/>
      </c>
      <c r="CD11" s="193" t="str">
        <f t="shared" si="44"/>
        <v/>
      </c>
    </row>
    <row r="12" spans="1:82" x14ac:dyDescent="0.2">
      <c r="A12" s="140"/>
      <c r="B12" s="141" t="str">
        <f t="shared" si="13"/>
        <v/>
      </c>
      <c r="C12" s="142" t="str">
        <f t="shared" si="1"/>
        <v/>
      </c>
      <c r="D12" s="142" t="str">
        <f t="shared" si="14"/>
        <v/>
      </c>
      <c r="E12" s="142" t="str">
        <f>IF($C12="", "", COUNTIF($M$8:$M12,$D12))</f>
        <v/>
      </c>
      <c r="F12" s="254">
        <v>5</v>
      </c>
      <c r="G12" s="143"/>
      <c r="H12" s="144"/>
      <c r="I12" s="144"/>
      <c r="J12" s="145"/>
      <c r="K12" s="144"/>
      <c r="L12" s="144"/>
      <c r="M12" s="144"/>
      <c r="N12" s="146"/>
      <c r="O12" s="147"/>
      <c r="P12" s="147"/>
      <c r="Q12" s="147"/>
      <c r="R12" s="147"/>
      <c r="S12" s="147"/>
      <c r="T12" s="149"/>
      <c r="U12" s="150" t="str">
        <f>IF($T12="", "", VLOOKUP($T12, CONTRATOS!$B:$E, 2, FALSE))</f>
        <v/>
      </c>
      <c r="V12" s="151">
        <f>IF(OR($T12="",TB_DEFESA!$C$2="CARGA BASELINE"),0,
   IF(VLOOKUP($T12, CONTRATOS!B:E, 3, FALSE)&lt;&gt;"",1,IF(VLOOKUP($T12, CONTRATOS!B:E, 4, FALSE)&lt;&gt;"",2,0)))</f>
        <v>0</v>
      </c>
      <c r="W12" s="152"/>
      <c r="X12" s="152"/>
      <c r="Y12" s="153"/>
      <c r="Z12" s="154"/>
      <c r="AA12" s="155"/>
      <c r="AB12" s="156"/>
      <c r="AC12" s="157"/>
      <c r="AD12" s="155"/>
      <c r="AE12" s="158" t="str">
        <f t="shared" si="2"/>
        <v/>
      </c>
      <c r="AF12" s="160" t="str">
        <f t="shared" si="15"/>
        <v/>
      </c>
      <c r="AG12" s="182" t="s">
        <v>59</v>
      </c>
      <c r="AH12" s="183" t="str">
        <f t="shared" si="16"/>
        <v/>
      </c>
      <c r="AI12" s="183" t="str">
        <f t="shared" si="17"/>
        <v/>
      </c>
      <c r="AJ12" s="184" t="str">
        <f t="shared" si="18"/>
        <v/>
      </c>
      <c r="AK12" s="185" t="str">
        <f t="shared" si="19"/>
        <v/>
      </c>
      <c r="AL12" s="186"/>
      <c r="AM12" s="183" t="str">
        <f t="shared" si="20"/>
        <v/>
      </c>
      <c r="AN12" s="183" t="str">
        <f t="shared" si="21"/>
        <v/>
      </c>
      <c r="AO12" s="186" t="str">
        <f t="shared" si="22"/>
        <v/>
      </c>
      <c r="AP12" s="187" t="str">
        <f t="shared" si="23"/>
        <v/>
      </c>
      <c r="AQ12" s="187" t="str">
        <f t="shared" si="24"/>
        <v/>
      </c>
      <c r="AR12" s="188" t="str">
        <f t="shared" si="3"/>
        <v/>
      </c>
      <c r="AS12" s="188" t="str">
        <f t="shared" si="4"/>
        <v/>
      </c>
      <c r="AT12" s="183" t="str">
        <f t="shared" si="5"/>
        <v/>
      </c>
      <c r="AU12" s="189" t="str">
        <f>IF(OR($B12="", $AP12= ""),"",IF(VLOOKUP($AP12, CONTRATOS!B:K,3,FALSE)="","",VLOOKUP($AP12, CONTRATOS!B:K, 3,FALSE)))</f>
        <v/>
      </c>
      <c r="AV12" s="189" t="str">
        <f>IF(OR($B12="", $AP12 = ""), "", IF(VLOOKUP($AP12, CONTRATOS!B:K,4,FALSE)="","",VLOOKUP($AP12, CONTRATOS!B:K,4, FALSE)))</f>
        <v/>
      </c>
      <c r="AW12" s="190" t="str">
        <f t="shared" si="6"/>
        <v/>
      </c>
      <c r="AX12" s="189" t="str">
        <f t="shared" si="7"/>
        <v/>
      </c>
      <c r="AY12" s="189" t="str">
        <f t="shared" si="8"/>
        <v/>
      </c>
      <c r="AZ12" s="189" t="str">
        <f t="shared" si="9"/>
        <v/>
      </c>
      <c r="BA12" s="189" t="str">
        <f t="shared" si="10"/>
        <v/>
      </c>
      <c r="BB12" s="191">
        <f t="shared" si="25"/>
        <v>0</v>
      </c>
      <c r="BC12" s="191" t="str">
        <f t="shared" si="26"/>
        <v/>
      </c>
      <c r="BD12" s="191" t="str">
        <f t="shared" si="27"/>
        <v/>
      </c>
      <c r="BF12" s="192">
        <f t="shared" si="28"/>
        <v>0</v>
      </c>
      <c r="BG12" s="192">
        <f t="shared" si="29"/>
        <v>0</v>
      </c>
      <c r="BH12" s="192" t="str">
        <f>IF( $B12="", "", IF(ISNA(VLOOKUP($C12, Defesa!$C$7:$C$29,1,FALSE)),1,0))</f>
        <v/>
      </c>
      <c r="BI12" s="193" t="str">
        <f t="shared" si="30"/>
        <v/>
      </c>
      <c r="BJ12" s="193" t="str">
        <f>IF($B12="", "", IF( AND( $AI12="ESTIMATIVA", OR( Defesa!$F$7 = "AUTOMÁTICA", Defesa!$F$7 ="100% BASELINE")), 1, 0))</f>
        <v/>
      </c>
      <c r="BK12" s="192" t="str">
        <f t="shared" si="11"/>
        <v/>
      </c>
      <c r="BL12" s="192">
        <f t="shared" si="31"/>
        <v>0</v>
      </c>
      <c r="BM12" s="192" t="str">
        <f>IF($AC12="", "", IF(ISNA(VLOOKUP($AC12, TABELAS!$Q:$Q, 1, FALSE)), 1, 0))</f>
        <v/>
      </c>
      <c r="BN12" s="194" t="str">
        <f t="shared" si="12"/>
        <v/>
      </c>
      <c r="BO12" s="192" t="str">
        <f t="shared" si="32"/>
        <v/>
      </c>
      <c r="BP12" s="192" t="str">
        <f t="shared" si="33"/>
        <v/>
      </c>
      <c r="BQ12" s="193" t="str">
        <f t="shared" si="34"/>
        <v/>
      </c>
      <c r="BR12" s="192" t="str">
        <f t="shared" si="35"/>
        <v/>
      </c>
      <c r="BS12" s="192" t="str">
        <f t="shared" si="36"/>
        <v/>
      </c>
      <c r="BT12" s="192" t="str">
        <f>IF(OR($B12="", $AH12 = "SIM"), "", IF( ISNA(VLOOKUP($AP12,#REF!, 1, FALSE)), 1, 0))</f>
        <v/>
      </c>
      <c r="BU12" s="192" t="str">
        <f t="shared" si="37"/>
        <v/>
      </c>
      <c r="BV12" s="192" t="str">
        <f>IF( $B12="", "", IF( ISNA(VLOOKUP($AN12, TABELAS!$T$2:$T$9,1,FALSE)), 1, 0))</f>
        <v/>
      </c>
      <c r="BW12" s="192" t="str">
        <f t="shared" si="38"/>
        <v/>
      </c>
      <c r="BX12" s="192" t="str">
        <f>IF( OR($B12="", $AH12 = "SIM"), "", IF( ISNA( VLOOKUP( $AQ12, SISTEMA!$B:$B, 1, FALSE)), 1, 0))</f>
        <v/>
      </c>
      <c r="BY12" s="193" t="str">
        <f t="shared" si="39"/>
        <v/>
      </c>
      <c r="BZ12" s="193" t="str">
        <f t="shared" si="40"/>
        <v/>
      </c>
      <c r="CA12" s="192" t="str">
        <f t="shared" si="41"/>
        <v/>
      </c>
      <c r="CB12" s="193" t="str">
        <f t="shared" si="42"/>
        <v/>
      </c>
      <c r="CC12" s="193" t="str">
        <f t="shared" si="43"/>
        <v/>
      </c>
      <c r="CD12" s="193" t="str">
        <f t="shared" si="44"/>
        <v/>
      </c>
    </row>
    <row r="13" spans="1:82" x14ac:dyDescent="0.2">
      <c r="A13" s="140"/>
      <c r="B13" s="141" t="str">
        <f t="shared" si="13"/>
        <v/>
      </c>
      <c r="C13" s="142" t="str">
        <f t="shared" si="1"/>
        <v/>
      </c>
      <c r="D13" s="142" t="str">
        <f t="shared" si="14"/>
        <v/>
      </c>
      <c r="E13" s="142" t="str">
        <f>IF($C13="", "", COUNTIF($M$8:$M13,$D13))</f>
        <v/>
      </c>
      <c r="F13" s="254">
        <v>6</v>
      </c>
      <c r="G13" s="143"/>
      <c r="H13" s="144"/>
      <c r="I13" s="144"/>
      <c r="J13" s="145"/>
      <c r="K13" s="144"/>
      <c r="L13" s="144"/>
      <c r="M13" s="144"/>
      <c r="N13" s="146"/>
      <c r="O13" s="147"/>
      <c r="P13" s="147"/>
      <c r="Q13" s="147"/>
      <c r="R13" s="147"/>
      <c r="S13" s="147"/>
      <c r="T13" s="149"/>
      <c r="U13" s="150" t="str">
        <f>IF($T13="", "", VLOOKUP($T13, CONTRATOS!$B:$E, 2, FALSE))</f>
        <v/>
      </c>
      <c r="V13" s="151">
        <f>IF(OR($T13="",TB_DEFESA!$C$2="CARGA BASELINE"),0,
   IF(VLOOKUP($T13, CONTRATOS!B:E, 3, FALSE)&lt;&gt;"",1,IF(VLOOKUP($T13, CONTRATOS!B:E, 4, FALSE)&lt;&gt;"",2,0)))</f>
        <v>0</v>
      </c>
      <c r="W13" s="152"/>
      <c r="X13" s="152"/>
      <c r="Y13" s="153"/>
      <c r="Z13" s="154"/>
      <c r="AA13" s="155"/>
      <c r="AB13" s="156"/>
      <c r="AC13" s="157"/>
      <c r="AD13" s="155"/>
      <c r="AE13" s="158" t="str">
        <f t="shared" si="2"/>
        <v/>
      </c>
      <c r="AF13" s="160" t="str">
        <f t="shared" si="15"/>
        <v/>
      </c>
      <c r="AG13" s="182" t="s">
        <v>59</v>
      </c>
      <c r="AH13" s="183" t="str">
        <f t="shared" si="16"/>
        <v/>
      </c>
      <c r="AI13" s="183" t="str">
        <f t="shared" si="17"/>
        <v/>
      </c>
      <c r="AJ13" s="184" t="str">
        <f t="shared" si="18"/>
        <v/>
      </c>
      <c r="AK13" s="185" t="str">
        <f t="shared" si="19"/>
        <v/>
      </c>
      <c r="AL13" s="186"/>
      <c r="AM13" s="183" t="str">
        <f t="shared" si="20"/>
        <v/>
      </c>
      <c r="AN13" s="183" t="str">
        <f t="shared" si="21"/>
        <v/>
      </c>
      <c r="AO13" s="186" t="str">
        <f t="shared" si="22"/>
        <v/>
      </c>
      <c r="AP13" s="187" t="str">
        <f t="shared" si="23"/>
        <v/>
      </c>
      <c r="AQ13" s="187" t="str">
        <f t="shared" si="24"/>
        <v/>
      </c>
      <c r="AR13" s="188" t="str">
        <f t="shared" si="3"/>
        <v/>
      </c>
      <c r="AS13" s="188" t="str">
        <f t="shared" si="4"/>
        <v/>
      </c>
      <c r="AT13" s="183" t="str">
        <f t="shared" si="5"/>
        <v/>
      </c>
      <c r="AU13" s="189" t="str">
        <f>IF(OR($B13="", $AP13= ""),"",IF(VLOOKUP($AP13, CONTRATOS!B:K,3,FALSE)="","",VLOOKUP($AP13, CONTRATOS!B:K, 3,FALSE)))</f>
        <v/>
      </c>
      <c r="AV13" s="189" t="str">
        <f>IF(OR($B13="", $AP13 = ""), "", IF(VLOOKUP($AP13, CONTRATOS!B:K,4,FALSE)="","",VLOOKUP($AP13, CONTRATOS!B:K,4, FALSE)))</f>
        <v/>
      </c>
      <c r="AW13" s="190" t="str">
        <f t="shared" si="6"/>
        <v/>
      </c>
      <c r="AX13" s="189" t="str">
        <f t="shared" si="7"/>
        <v/>
      </c>
      <c r="AY13" s="189" t="str">
        <f t="shared" si="8"/>
        <v/>
      </c>
      <c r="AZ13" s="189" t="str">
        <f t="shared" si="9"/>
        <v/>
      </c>
      <c r="BA13" s="189" t="str">
        <f t="shared" si="10"/>
        <v/>
      </c>
      <c r="BB13" s="191">
        <f t="shared" si="25"/>
        <v>0</v>
      </c>
      <c r="BC13" s="191" t="str">
        <f t="shared" si="26"/>
        <v/>
      </c>
      <c r="BD13" s="191" t="str">
        <f t="shared" si="27"/>
        <v/>
      </c>
      <c r="BF13" s="192">
        <f t="shared" si="28"/>
        <v>0</v>
      </c>
      <c r="BG13" s="192">
        <f t="shared" si="29"/>
        <v>0</v>
      </c>
      <c r="BH13" s="192" t="str">
        <f>IF( $B13="", "", IF(ISNA(VLOOKUP($C13, Defesa!$C$7:$C$29,1,FALSE)),1,0))</f>
        <v/>
      </c>
      <c r="BI13" s="193" t="str">
        <f t="shared" si="30"/>
        <v/>
      </c>
      <c r="BJ13" s="193" t="str">
        <f>IF($B13="", "", IF( AND( $AI13="ESTIMATIVA", OR( Defesa!$F$7 = "AUTOMÁTICA", Defesa!$F$7 ="100% BASELINE")), 1, 0))</f>
        <v/>
      </c>
      <c r="BK13" s="192" t="str">
        <f t="shared" si="11"/>
        <v/>
      </c>
      <c r="BL13" s="192">
        <f t="shared" si="31"/>
        <v>0</v>
      </c>
      <c r="BM13" s="192" t="str">
        <f>IF($AC13="", "", IF(ISNA(VLOOKUP($AC13, TABELAS!$Q:$Q, 1, FALSE)), 1, 0))</f>
        <v/>
      </c>
      <c r="BN13" s="194" t="str">
        <f t="shared" si="12"/>
        <v/>
      </c>
      <c r="BO13" s="192" t="str">
        <f t="shared" si="32"/>
        <v/>
      </c>
      <c r="BP13" s="192" t="str">
        <f t="shared" si="33"/>
        <v/>
      </c>
      <c r="BQ13" s="193" t="str">
        <f t="shared" si="34"/>
        <v/>
      </c>
      <c r="BR13" s="192" t="str">
        <f t="shared" si="35"/>
        <v/>
      </c>
      <c r="BS13" s="192" t="str">
        <f t="shared" si="36"/>
        <v/>
      </c>
      <c r="BT13" s="192" t="str">
        <f>IF(OR($B13="", $AH13 = "SIM"), "", IF( ISNA(VLOOKUP($AP13,#REF!, 1, FALSE)), 1, 0))</f>
        <v/>
      </c>
      <c r="BU13" s="192" t="str">
        <f t="shared" si="37"/>
        <v/>
      </c>
      <c r="BV13" s="192" t="str">
        <f>IF( $B13="", "", IF( ISNA(VLOOKUP($AN13, TABELAS!$T$2:$T$9,1,FALSE)), 1, 0))</f>
        <v/>
      </c>
      <c r="BW13" s="192" t="str">
        <f t="shared" si="38"/>
        <v/>
      </c>
      <c r="BX13" s="192" t="str">
        <f>IF( OR($B13="", $AH13 = "SIM"), "", IF( ISNA( VLOOKUP( $AQ13, SISTEMA!$B:$B, 1, FALSE)), 1, 0))</f>
        <v/>
      </c>
      <c r="BY13" s="193" t="str">
        <f t="shared" si="39"/>
        <v/>
      </c>
      <c r="BZ13" s="193" t="str">
        <f t="shared" si="40"/>
        <v/>
      </c>
      <c r="CA13" s="192" t="str">
        <f t="shared" si="41"/>
        <v/>
      </c>
      <c r="CB13" s="193" t="str">
        <f t="shared" si="42"/>
        <v/>
      </c>
      <c r="CC13" s="193" t="str">
        <f t="shared" si="43"/>
        <v/>
      </c>
      <c r="CD13" s="193" t="str">
        <f t="shared" si="44"/>
        <v/>
      </c>
    </row>
    <row r="14" spans="1:82" x14ac:dyDescent="0.2">
      <c r="A14" s="140"/>
      <c r="B14" s="141" t="str">
        <f t="shared" si="13"/>
        <v/>
      </c>
      <c r="C14" s="142" t="str">
        <f t="shared" si="1"/>
        <v/>
      </c>
      <c r="D14" s="142" t="str">
        <f t="shared" si="14"/>
        <v/>
      </c>
      <c r="E14" s="142" t="str">
        <f>IF($C14="", "", COUNTIF($M$8:$M14,$D14))</f>
        <v/>
      </c>
      <c r="F14" s="254">
        <v>7</v>
      </c>
      <c r="G14" s="143"/>
      <c r="H14" s="144"/>
      <c r="I14" s="144"/>
      <c r="J14" s="145"/>
      <c r="K14" s="144"/>
      <c r="L14" s="144"/>
      <c r="M14" s="144"/>
      <c r="N14" s="146"/>
      <c r="O14" s="147"/>
      <c r="P14" s="147"/>
      <c r="Q14" s="147"/>
      <c r="R14" s="147"/>
      <c r="S14" s="147"/>
      <c r="T14" s="149"/>
      <c r="U14" s="150" t="str">
        <f>IF($T14="", "", VLOOKUP($T14, CONTRATOS!$B:$E, 2, FALSE))</f>
        <v/>
      </c>
      <c r="V14" s="151">
        <f>IF(OR($T14="",TB_DEFESA!$C$2="CARGA BASELINE"),0,
   IF(VLOOKUP($T14, CONTRATOS!B:E, 3, FALSE)&lt;&gt;"",1,IF(VLOOKUP($T14, CONTRATOS!B:E, 4, FALSE)&lt;&gt;"",2,0)))</f>
        <v>0</v>
      </c>
      <c r="W14" s="152"/>
      <c r="X14" s="152"/>
      <c r="Y14" s="153"/>
      <c r="Z14" s="154"/>
      <c r="AA14" s="155"/>
      <c r="AB14" s="156"/>
      <c r="AC14" s="157"/>
      <c r="AD14" s="155"/>
      <c r="AE14" s="158" t="str">
        <f t="shared" si="2"/>
        <v/>
      </c>
      <c r="AF14" s="160" t="str">
        <f t="shared" si="15"/>
        <v/>
      </c>
      <c r="AG14" s="182" t="s">
        <v>59</v>
      </c>
      <c r="AH14" s="183" t="str">
        <f t="shared" si="16"/>
        <v/>
      </c>
      <c r="AI14" s="183" t="str">
        <f t="shared" si="17"/>
        <v/>
      </c>
      <c r="AJ14" s="184" t="str">
        <f t="shared" si="18"/>
        <v/>
      </c>
      <c r="AK14" s="185" t="str">
        <f t="shared" si="19"/>
        <v/>
      </c>
      <c r="AL14" s="186"/>
      <c r="AM14" s="183" t="str">
        <f t="shared" si="20"/>
        <v/>
      </c>
      <c r="AN14" s="183" t="str">
        <f t="shared" si="21"/>
        <v/>
      </c>
      <c r="AO14" s="186" t="str">
        <f t="shared" si="22"/>
        <v/>
      </c>
      <c r="AP14" s="187" t="str">
        <f t="shared" si="23"/>
        <v/>
      </c>
      <c r="AQ14" s="187" t="str">
        <f t="shared" si="24"/>
        <v/>
      </c>
      <c r="AR14" s="188" t="str">
        <f t="shared" si="3"/>
        <v/>
      </c>
      <c r="AS14" s="188" t="str">
        <f t="shared" si="4"/>
        <v/>
      </c>
      <c r="AT14" s="183" t="str">
        <f t="shared" si="5"/>
        <v/>
      </c>
      <c r="AU14" s="189" t="str">
        <f>IF(OR($B14="", $AP14= ""),"",IF(VLOOKUP($AP14, CONTRATOS!B:K,3,FALSE)="","",VLOOKUP($AP14, CONTRATOS!B:K, 3,FALSE)))</f>
        <v/>
      </c>
      <c r="AV14" s="189" t="str">
        <f>IF(OR($B14="", $AP14 = ""), "", IF(VLOOKUP($AP14, CONTRATOS!B:K,4,FALSE)="","",VLOOKUP($AP14, CONTRATOS!B:K,4, FALSE)))</f>
        <v/>
      </c>
      <c r="AW14" s="190" t="str">
        <f t="shared" si="6"/>
        <v/>
      </c>
      <c r="AX14" s="189" t="str">
        <f t="shared" si="7"/>
        <v/>
      </c>
      <c r="AY14" s="189" t="str">
        <f t="shared" si="8"/>
        <v/>
      </c>
      <c r="AZ14" s="189" t="str">
        <f t="shared" si="9"/>
        <v/>
      </c>
      <c r="BA14" s="189" t="str">
        <f t="shared" si="10"/>
        <v/>
      </c>
      <c r="BB14" s="191">
        <f t="shared" si="25"/>
        <v>0</v>
      </c>
      <c r="BC14" s="191" t="str">
        <f t="shared" si="26"/>
        <v/>
      </c>
      <c r="BD14" s="191" t="str">
        <f t="shared" si="27"/>
        <v/>
      </c>
      <c r="BF14" s="192">
        <f t="shared" si="28"/>
        <v>0</v>
      </c>
      <c r="BG14" s="192">
        <f t="shared" si="29"/>
        <v>0</v>
      </c>
      <c r="BH14" s="192" t="str">
        <f>IF( $B14="", "", IF(ISNA(VLOOKUP($C14, Defesa!$C$7:$C$29,1,FALSE)),1,0))</f>
        <v/>
      </c>
      <c r="BI14" s="193" t="str">
        <f t="shared" si="30"/>
        <v/>
      </c>
      <c r="BJ14" s="193" t="str">
        <f>IF($B14="", "", IF( AND( $AI14="ESTIMATIVA", OR( Defesa!$F$7 = "AUTOMÁTICA", Defesa!$F$7 ="100% BASELINE")), 1, 0))</f>
        <v/>
      </c>
      <c r="BK14" s="192" t="str">
        <f t="shared" si="11"/>
        <v/>
      </c>
      <c r="BL14" s="192">
        <f t="shared" si="31"/>
        <v>0</v>
      </c>
      <c r="BM14" s="192" t="str">
        <f>IF($AC14="", "", IF(ISNA(VLOOKUP($AC14, TABELAS!$Q:$Q, 1, FALSE)), 1, 0))</f>
        <v/>
      </c>
      <c r="BN14" s="194" t="str">
        <f t="shared" si="12"/>
        <v/>
      </c>
      <c r="BO14" s="192" t="str">
        <f t="shared" si="32"/>
        <v/>
      </c>
      <c r="BP14" s="192" t="str">
        <f t="shared" si="33"/>
        <v/>
      </c>
      <c r="BQ14" s="193" t="str">
        <f t="shared" si="34"/>
        <v/>
      </c>
      <c r="BR14" s="192" t="str">
        <f t="shared" si="35"/>
        <v/>
      </c>
      <c r="BS14" s="192" t="str">
        <f t="shared" si="36"/>
        <v/>
      </c>
      <c r="BT14" s="192" t="str">
        <f>IF(OR($B14="", $AH14 = "SIM"), "", IF( ISNA(VLOOKUP($AP14,#REF!, 1, FALSE)), 1, 0))</f>
        <v/>
      </c>
      <c r="BU14" s="192" t="str">
        <f t="shared" si="37"/>
        <v/>
      </c>
      <c r="BV14" s="192" t="str">
        <f>IF( $B14="", "", IF( ISNA(VLOOKUP($AN14, TABELAS!$T$2:$T$9,1,FALSE)), 1, 0))</f>
        <v/>
      </c>
      <c r="BW14" s="192" t="str">
        <f t="shared" si="38"/>
        <v/>
      </c>
      <c r="BX14" s="192" t="str">
        <f>IF( OR($B14="", $AH14 = "SIM"), "", IF( ISNA( VLOOKUP( $AQ14, SISTEMA!$B:$B, 1, FALSE)), 1, 0))</f>
        <v/>
      </c>
      <c r="BY14" s="193" t="str">
        <f t="shared" si="39"/>
        <v/>
      </c>
      <c r="BZ14" s="193" t="str">
        <f t="shared" si="40"/>
        <v/>
      </c>
      <c r="CA14" s="192" t="str">
        <f t="shared" si="41"/>
        <v/>
      </c>
      <c r="CB14" s="193" t="str">
        <f t="shared" si="42"/>
        <v/>
      </c>
      <c r="CC14" s="193" t="str">
        <f t="shared" si="43"/>
        <v/>
      </c>
      <c r="CD14" s="193" t="str">
        <f t="shared" si="44"/>
        <v/>
      </c>
    </row>
    <row r="15" spans="1:82" x14ac:dyDescent="0.2">
      <c r="A15" s="140"/>
      <c r="B15" s="141" t="str">
        <f t="shared" si="13"/>
        <v/>
      </c>
      <c r="C15" s="142" t="str">
        <f t="shared" si="1"/>
        <v/>
      </c>
      <c r="D15" s="142" t="str">
        <f t="shared" si="14"/>
        <v/>
      </c>
      <c r="E15" s="142" t="str">
        <f>IF($C15="", "", COUNTIF($M$8:$M15,$D15))</f>
        <v/>
      </c>
      <c r="F15" s="254">
        <v>8</v>
      </c>
      <c r="G15" s="143"/>
      <c r="H15" s="144"/>
      <c r="I15" s="144"/>
      <c r="J15" s="145"/>
      <c r="K15" s="144"/>
      <c r="L15" s="144"/>
      <c r="M15" s="144"/>
      <c r="N15" s="146"/>
      <c r="O15" s="147"/>
      <c r="P15" s="147"/>
      <c r="Q15" s="147"/>
      <c r="R15" s="147"/>
      <c r="S15" s="147"/>
      <c r="T15" s="149"/>
      <c r="U15" s="150" t="str">
        <f>IF($T15="", "", VLOOKUP($T15, CONTRATOS!$B:$E, 2, FALSE))</f>
        <v/>
      </c>
      <c r="V15" s="151">
        <f>IF(OR($T15="",TB_DEFESA!$C$2="CARGA BASELINE"),0,
   IF(VLOOKUP($T15, CONTRATOS!B:E, 3, FALSE)&lt;&gt;"",1,IF(VLOOKUP($T15, CONTRATOS!B:E, 4, FALSE)&lt;&gt;"",2,0)))</f>
        <v>0</v>
      </c>
      <c r="W15" s="152"/>
      <c r="X15" s="152"/>
      <c r="Y15" s="153"/>
      <c r="Z15" s="154"/>
      <c r="AA15" s="155"/>
      <c r="AB15" s="156"/>
      <c r="AC15" s="157"/>
      <c r="AD15" s="155"/>
      <c r="AE15" s="158" t="str">
        <f t="shared" si="2"/>
        <v/>
      </c>
      <c r="AF15" s="160" t="str">
        <f t="shared" si="15"/>
        <v/>
      </c>
      <c r="AG15" s="182" t="s">
        <v>59</v>
      </c>
      <c r="AH15" s="183" t="str">
        <f t="shared" si="16"/>
        <v/>
      </c>
      <c r="AI15" s="183" t="str">
        <f t="shared" si="17"/>
        <v/>
      </c>
      <c r="AJ15" s="184" t="str">
        <f t="shared" si="18"/>
        <v/>
      </c>
      <c r="AK15" s="185" t="str">
        <f t="shared" si="19"/>
        <v/>
      </c>
      <c r="AL15" s="186"/>
      <c r="AM15" s="183" t="str">
        <f t="shared" si="20"/>
        <v/>
      </c>
      <c r="AN15" s="183" t="str">
        <f t="shared" si="21"/>
        <v/>
      </c>
      <c r="AO15" s="186" t="str">
        <f t="shared" si="22"/>
        <v/>
      </c>
      <c r="AP15" s="187" t="str">
        <f t="shared" si="23"/>
        <v/>
      </c>
      <c r="AQ15" s="187" t="str">
        <f t="shared" si="24"/>
        <v/>
      </c>
      <c r="AR15" s="188" t="str">
        <f t="shared" si="3"/>
        <v/>
      </c>
      <c r="AS15" s="188" t="str">
        <f t="shared" si="4"/>
        <v/>
      </c>
      <c r="AT15" s="183" t="str">
        <f t="shared" si="5"/>
        <v/>
      </c>
      <c r="AU15" s="189" t="str">
        <f>IF(OR($B15="", $AP15= ""),"",IF(VLOOKUP($AP15, CONTRATOS!B:K,3,FALSE)="","",VLOOKUP($AP15, CONTRATOS!B:K, 3,FALSE)))</f>
        <v/>
      </c>
      <c r="AV15" s="189" t="str">
        <f>IF(OR($B15="", $AP15 = ""), "", IF(VLOOKUP($AP15, CONTRATOS!B:K,4,FALSE)="","",VLOOKUP($AP15, CONTRATOS!B:K,4, FALSE)))</f>
        <v/>
      </c>
      <c r="AW15" s="190" t="str">
        <f t="shared" si="6"/>
        <v/>
      </c>
      <c r="AX15" s="189" t="str">
        <f t="shared" si="7"/>
        <v/>
      </c>
      <c r="AY15" s="189" t="str">
        <f t="shared" si="8"/>
        <v/>
      </c>
      <c r="AZ15" s="189" t="str">
        <f t="shared" si="9"/>
        <v/>
      </c>
      <c r="BA15" s="189" t="str">
        <f t="shared" si="10"/>
        <v/>
      </c>
      <c r="BB15" s="191">
        <f t="shared" si="25"/>
        <v>0</v>
      </c>
      <c r="BC15" s="191" t="str">
        <f t="shared" si="26"/>
        <v/>
      </c>
      <c r="BD15" s="191" t="str">
        <f t="shared" si="27"/>
        <v/>
      </c>
      <c r="BF15" s="192">
        <f t="shared" si="28"/>
        <v>0</v>
      </c>
      <c r="BG15" s="192">
        <f t="shared" si="29"/>
        <v>0</v>
      </c>
      <c r="BH15" s="192" t="str">
        <f>IF( $B15="", "", IF(ISNA(VLOOKUP($C15, Defesa!$C$7:$C$29,1,FALSE)),1,0))</f>
        <v/>
      </c>
      <c r="BI15" s="193" t="str">
        <f t="shared" si="30"/>
        <v/>
      </c>
      <c r="BJ15" s="193" t="str">
        <f>IF($B15="", "", IF( AND( $AI15="ESTIMATIVA", OR( Defesa!$F$7 = "AUTOMÁTICA", Defesa!$F$7 ="100% BASELINE")), 1, 0))</f>
        <v/>
      </c>
      <c r="BK15" s="192" t="str">
        <f t="shared" si="11"/>
        <v/>
      </c>
      <c r="BL15" s="192">
        <f t="shared" si="31"/>
        <v>0</v>
      </c>
      <c r="BM15" s="192" t="str">
        <f>IF($AC15="", "", IF(ISNA(VLOOKUP($AC15, TABELAS!$Q:$Q, 1, FALSE)), 1, 0))</f>
        <v/>
      </c>
      <c r="BN15" s="194" t="str">
        <f t="shared" si="12"/>
        <v/>
      </c>
      <c r="BO15" s="192" t="str">
        <f t="shared" si="32"/>
        <v/>
      </c>
      <c r="BP15" s="192" t="str">
        <f t="shared" si="33"/>
        <v/>
      </c>
      <c r="BQ15" s="193" t="str">
        <f t="shared" si="34"/>
        <v/>
      </c>
      <c r="BR15" s="192" t="str">
        <f t="shared" si="35"/>
        <v/>
      </c>
      <c r="BS15" s="192" t="str">
        <f t="shared" si="36"/>
        <v/>
      </c>
      <c r="BT15" s="192" t="str">
        <f>IF(OR($B15="", $AH15 = "SIM"), "", IF( ISNA(VLOOKUP($AP15,#REF!, 1, FALSE)), 1, 0))</f>
        <v/>
      </c>
      <c r="BU15" s="192" t="str">
        <f t="shared" si="37"/>
        <v/>
      </c>
      <c r="BV15" s="192" t="str">
        <f>IF( $B15="", "", IF( ISNA(VLOOKUP($AN15, TABELAS!$T$2:$T$9,1,FALSE)), 1, 0))</f>
        <v/>
      </c>
      <c r="BW15" s="192" t="str">
        <f t="shared" si="38"/>
        <v/>
      </c>
      <c r="BX15" s="192" t="str">
        <f>IF( OR($B15="", $AH15 = "SIM"), "", IF( ISNA( VLOOKUP( $AQ15, SISTEMA!$B:$B, 1, FALSE)), 1, 0))</f>
        <v/>
      </c>
      <c r="BY15" s="193" t="str">
        <f t="shared" si="39"/>
        <v/>
      </c>
      <c r="BZ15" s="193" t="str">
        <f t="shared" si="40"/>
        <v/>
      </c>
      <c r="CA15" s="192" t="str">
        <f t="shared" si="41"/>
        <v/>
      </c>
      <c r="CB15" s="193" t="str">
        <f t="shared" si="42"/>
        <v/>
      </c>
      <c r="CC15" s="193" t="str">
        <f t="shared" si="43"/>
        <v/>
      </c>
      <c r="CD15" s="193" t="str">
        <f t="shared" si="44"/>
        <v/>
      </c>
    </row>
    <row r="16" spans="1:82" x14ac:dyDescent="0.2">
      <c r="A16" s="140"/>
      <c r="B16" s="141" t="str">
        <f t="shared" si="13"/>
        <v/>
      </c>
      <c r="C16" s="142" t="str">
        <f t="shared" si="1"/>
        <v/>
      </c>
      <c r="D16" s="142" t="str">
        <f t="shared" si="14"/>
        <v/>
      </c>
      <c r="E16" s="142" t="str">
        <f>IF($C16="", "", COUNTIF($M$8:$M16,$D16))</f>
        <v/>
      </c>
      <c r="F16" s="254">
        <v>9</v>
      </c>
      <c r="G16" s="143"/>
      <c r="H16" s="144"/>
      <c r="I16" s="144"/>
      <c r="J16" s="145"/>
      <c r="K16" s="144"/>
      <c r="L16" s="144"/>
      <c r="M16" s="144"/>
      <c r="N16" s="146"/>
      <c r="O16" s="147"/>
      <c r="P16" s="147"/>
      <c r="Q16" s="147"/>
      <c r="R16" s="147"/>
      <c r="S16" s="147"/>
      <c r="T16" s="149"/>
      <c r="U16" s="150" t="str">
        <f>IF($T16="", "", VLOOKUP($T16, CONTRATOS!$B:$E, 2, FALSE))</f>
        <v/>
      </c>
      <c r="V16" s="151">
        <f>IF(OR($T16="",TB_DEFESA!$C$2="CARGA BASELINE"),0,
   IF(VLOOKUP($T16, CONTRATOS!B:E, 3, FALSE)&lt;&gt;"",1,IF(VLOOKUP($T16, CONTRATOS!B:E, 4, FALSE)&lt;&gt;"",2,0)))</f>
        <v>0</v>
      </c>
      <c r="W16" s="152"/>
      <c r="X16" s="152"/>
      <c r="Y16" s="153"/>
      <c r="Z16" s="154"/>
      <c r="AA16" s="155"/>
      <c r="AB16" s="156"/>
      <c r="AC16" s="157"/>
      <c r="AD16" s="155"/>
      <c r="AE16" s="158" t="str">
        <f t="shared" si="2"/>
        <v/>
      </c>
      <c r="AF16" s="160" t="str">
        <f t="shared" si="15"/>
        <v/>
      </c>
      <c r="AG16" s="182" t="s">
        <v>59</v>
      </c>
      <c r="AH16" s="183" t="str">
        <f t="shared" si="16"/>
        <v/>
      </c>
      <c r="AI16" s="183" t="str">
        <f t="shared" si="17"/>
        <v/>
      </c>
      <c r="AJ16" s="184" t="str">
        <f t="shared" si="18"/>
        <v/>
      </c>
      <c r="AK16" s="185" t="str">
        <f t="shared" si="19"/>
        <v/>
      </c>
      <c r="AL16" s="186"/>
      <c r="AM16" s="183" t="str">
        <f t="shared" si="20"/>
        <v/>
      </c>
      <c r="AN16" s="183" t="str">
        <f t="shared" si="21"/>
        <v/>
      </c>
      <c r="AO16" s="186" t="str">
        <f t="shared" si="22"/>
        <v/>
      </c>
      <c r="AP16" s="187" t="str">
        <f t="shared" si="23"/>
        <v/>
      </c>
      <c r="AQ16" s="187" t="str">
        <f t="shared" si="24"/>
        <v/>
      </c>
      <c r="AR16" s="188" t="str">
        <f t="shared" si="3"/>
        <v/>
      </c>
      <c r="AS16" s="188" t="str">
        <f t="shared" si="4"/>
        <v/>
      </c>
      <c r="AT16" s="183" t="str">
        <f t="shared" si="5"/>
        <v/>
      </c>
      <c r="AU16" s="189" t="str">
        <f>IF(OR($B16="", $AP16= ""),"",IF(VLOOKUP($AP16, CONTRATOS!B:K,3,FALSE)="","",VLOOKUP($AP16, CONTRATOS!B:K, 3,FALSE)))</f>
        <v/>
      </c>
      <c r="AV16" s="189" t="str">
        <f>IF(OR($B16="", $AP16 = ""), "", IF(VLOOKUP($AP16, CONTRATOS!B:K,4,FALSE)="","",VLOOKUP($AP16, CONTRATOS!B:K,4, FALSE)))</f>
        <v/>
      </c>
      <c r="AW16" s="190" t="str">
        <f t="shared" si="6"/>
        <v/>
      </c>
      <c r="AX16" s="189" t="str">
        <f t="shared" si="7"/>
        <v/>
      </c>
      <c r="AY16" s="189" t="str">
        <f t="shared" si="8"/>
        <v/>
      </c>
      <c r="AZ16" s="189" t="str">
        <f t="shared" si="9"/>
        <v/>
      </c>
      <c r="BA16" s="189" t="str">
        <f t="shared" si="10"/>
        <v/>
      </c>
      <c r="BB16" s="191">
        <f t="shared" si="25"/>
        <v>0</v>
      </c>
      <c r="BC16" s="191" t="str">
        <f t="shared" si="26"/>
        <v/>
      </c>
      <c r="BD16" s="191" t="str">
        <f t="shared" si="27"/>
        <v/>
      </c>
      <c r="BF16" s="192">
        <f t="shared" si="28"/>
        <v>0</v>
      </c>
      <c r="BG16" s="192">
        <f t="shared" si="29"/>
        <v>0</v>
      </c>
      <c r="BH16" s="192" t="str">
        <f>IF( $B16="", "", IF(ISNA(VLOOKUP($C16, Defesa!$C$7:$C$29,1,FALSE)),1,0))</f>
        <v/>
      </c>
      <c r="BI16" s="193" t="str">
        <f t="shared" si="30"/>
        <v/>
      </c>
      <c r="BJ16" s="193" t="str">
        <f>IF($B16="", "", IF( AND( $AI16="ESTIMATIVA", OR( Defesa!$F$7 = "AUTOMÁTICA", Defesa!$F$7 ="100% BASELINE")), 1, 0))</f>
        <v/>
      </c>
      <c r="BK16" s="192" t="str">
        <f t="shared" si="11"/>
        <v/>
      </c>
      <c r="BL16" s="192">
        <f t="shared" si="31"/>
        <v>0</v>
      </c>
      <c r="BM16" s="192" t="str">
        <f>IF($AC16="", "", IF(ISNA(VLOOKUP($AC16, TABELAS!$Q:$Q, 1, FALSE)), 1, 0))</f>
        <v/>
      </c>
      <c r="BN16" s="194" t="str">
        <f t="shared" si="12"/>
        <v/>
      </c>
      <c r="BO16" s="192" t="str">
        <f t="shared" si="32"/>
        <v/>
      </c>
      <c r="BP16" s="192" t="str">
        <f t="shared" si="33"/>
        <v/>
      </c>
      <c r="BQ16" s="193" t="str">
        <f t="shared" si="34"/>
        <v/>
      </c>
      <c r="BR16" s="192" t="str">
        <f t="shared" si="35"/>
        <v/>
      </c>
      <c r="BS16" s="192" t="str">
        <f t="shared" si="36"/>
        <v/>
      </c>
      <c r="BT16" s="192" t="str">
        <f>IF(OR($B16="", $AH16 = "SIM"), "", IF( ISNA(VLOOKUP($AP16,#REF!, 1, FALSE)), 1, 0))</f>
        <v/>
      </c>
      <c r="BU16" s="192" t="str">
        <f t="shared" si="37"/>
        <v/>
      </c>
      <c r="BV16" s="192" t="str">
        <f>IF( $B16="", "", IF( ISNA(VLOOKUP($AN16, TABELAS!$T$2:$T$9,1,FALSE)), 1, 0))</f>
        <v/>
      </c>
      <c r="BW16" s="192" t="str">
        <f t="shared" si="38"/>
        <v/>
      </c>
      <c r="BX16" s="192" t="str">
        <f>IF( OR($B16="", $AH16 = "SIM"), "", IF( ISNA( VLOOKUP( $AQ16, SISTEMA!$B:$B, 1, FALSE)), 1, 0))</f>
        <v/>
      </c>
      <c r="BY16" s="193" t="str">
        <f t="shared" si="39"/>
        <v/>
      </c>
      <c r="BZ16" s="193" t="str">
        <f t="shared" si="40"/>
        <v/>
      </c>
      <c r="CA16" s="192" t="str">
        <f t="shared" si="41"/>
        <v/>
      </c>
      <c r="CB16" s="193" t="str">
        <f t="shared" si="42"/>
        <v/>
      </c>
      <c r="CC16" s="193" t="str">
        <f t="shared" si="43"/>
        <v/>
      </c>
      <c r="CD16" s="193" t="str">
        <f t="shared" si="44"/>
        <v/>
      </c>
    </row>
    <row r="17" spans="1:82" x14ac:dyDescent="0.2">
      <c r="A17" s="140"/>
      <c r="B17" s="141" t="str">
        <f t="shared" si="13"/>
        <v/>
      </c>
      <c r="C17" s="142" t="str">
        <f t="shared" si="1"/>
        <v/>
      </c>
      <c r="D17" s="142" t="str">
        <f t="shared" si="14"/>
        <v/>
      </c>
      <c r="E17" s="142" t="str">
        <f>IF($C17="", "", COUNTIF($M$8:$M17,$D17))</f>
        <v/>
      </c>
      <c r="F17" s="254">
        <v>10</v>
      </c>
      <c r="G17" s="143"/>
      <c r="H17" s="144"/>
      <c r="I17" s="144"/>
      <c r="J17" s="145"/>
      <c r="K17" s="144"/>
      <c r="L17" s="144"/>
      <c r="M17" s="144"/>
      <c r="N17" s="146"/>
      <c r="O17" s="147"/>
      <c r="P17" s="147"/>
      <c r="Q17" s="147"/>
      <c r="R17" s="147"/>
      <c r="S17" s="147"/>
      <c r="T17" s="149"/>
      <c r="U17" s="150" t="str">
        <f>IF($T17="", "", VLOOKUP($T17, CONTRATOS!$B:$E, 2, FALSE))</f>
        <v/>
      </c>
      <c r="V17" s="151">
        <f>IF(OR($T17="",TB_DEFESA!$C$2="CARGA BASELINE"),0,
   IF(VLOOKUP($T17, CONTRATOS!B:E, 3, FALSE)&lt;&gt;"",1,IF(VLOOKUP($T17, CONTRATOS!B:E, 4, FALSE)&lt;&gt;"",2,0)))</f>
        <v>0</v>
      </c>
      <c r="W17" s="152"/>
      <c r="X17" s="152"/>
      <c r="Y17" s="153"/>
      <c r="Z17" s="154"/>
      <c r="AA17" s="155"/>
      <c r="AB17" s="156"/>
      <c r="AC17" s="157"/>
      <c r="AD17" s="155"/>
      <c r="AE17" s="158" t="str">
        <f t="shared" si="2"/>
        <v/>
      </c>
      <c r="AF17" s="160" t="str">
        <f t="shared" si="15"/>
        <v/>
      </c>
      <c r="AG17" s="182" t="s">
        <v>59</v>
      </c>
      <c r="AH17" s="183" t="str">
        <f t="shared" si="16"/>
        <v/>
      </c>
      <c r="AI17" s="183" t="str">
        <f t="shared" si="17"/>
        <v/>
      </c>
      <c r="AJ17" s="184" t="str">
        <f t="shared" si="18"/>
        <v/>
      </c>
      <c r="AK17" s="185" t="str">
        <f t="shared" si="19"/>
        <v/>
      </c>
      <c r="AL17" s="186"/>
      <c r="AM17" s="183" t="str">
        <f t="shared" si="20"/>
        <v/>
      </c>
      <c r="AN17" s="183" t="str">
        <f t="shared" si="21"/>
        <v/>
      </c>
      <c r="AO17" s="186" t="str">
        <f t="shared" si="22"/>
        <v/>
      </c>
      <c r="AP17" s="187" t="str">
        <f t="shared" si="23"/>
        <v/>
      </c>
      <c r="AQ17" s="187" t="str">
        <f t="shared" si="24"/>
        <v/>
      </c>
      <c r="AR17" s="188" t="str">
        <f t="shared" si="3"/>
        <v/>
      </c>
      <c r="AS17" s="188" t="str">
        <f t="shared" si="4"/>
        <v/>
      </c>
      <c r="AT17" s="183" t="str">
        <f t="shared" si="5"/>
        <v/>
      </c>
      <c r="AU17" s="189" t="str">
        <f>IF(OR($B17="", $AP17= ""),"",IF(VLOOKUP($AP17, CONTRATOS!B:K,3,FALSE)="","",VLOOKUP($AP17, CONTRATOS!B:K, 3,FALSE)))</f>
        <v/>
      </c>
      <c r="AV17" s="189" t="str">
        <f>IF(OR($B17="", $AP17 = ""), "", IF(VLOOKUP($AP17, CONTRATOS!B:K,4,FALSE)="","",VLOOKUP($AP17, CONTRATOS!B:K,4, FALSE)))</f>
        <v/>
      </c>
      <c r="AW17" s="190" t="str">
        <f t="shared" si="6"/>
        <v/>
      </c>
      <c r="AX17" s="189" t="str">
        <f t="shared" si="7"/>
        <v/>
      </c>
      <c r="AY17" s="189" t="str">
        <f t="shared" si="8"/>
        <v/>
      </c>
      <c r="AZ17" s="189" t="str">
        <f t="shared" si="9"/>
        <v/>
      </c>
      <c r="BA17" s="189" t="str">
        <f t="shared" si="10"/>
        <v/>
      </c>
      <c r="BB17" s="191">
        <f t="shared" si="25"/>
        <v>0</v>
      </c>
      <c r="BC17" s="191" t="str">
        <f t="shared" si="26"/>
        <v/>
      </c>
      <c r="BD17" s="191" t="str">
        <f t="shared" si="27"/>
        <v/>
      </c>
      <c r="BF17" s="192">
        <f t="shared" si="28"/>
        <v>0</v>
      </c>
      <c r="BG17" s="192">
        <f t="shared" si="29"/>
        <v>0</v>
      </c>
      <c r="BH17" s="192" t="str">
        <f>IF( $B17="", "", IF(ISNA(VLOOKUP($C17, Defesa!$C$7:$C$29,1,FALSE)),1,0))</f>
        <v/>
      </c>
      <c r="BI17" s="193" t="str">
        <f t="shared" si="30"/>
        <v/>
      </c>
      <c r="BJ17" s="193" t="str">
        <f>IF($B17="", "", IF( AND( $AI17="ESTIMATIVA", OR( Defesa!$F$7 = "AUTOMÁTICA", Defesa!$F$7 ="100% BASELINE")), 1, 0))</f>
        <v/>
      </c>
      <c r="BK17" s="192" t="str">
        <f t="shared" si="11"/>
        <v/>
      </c>
      <c r="BL17" s="192">
        <f t="shared" si="31"/>
        <v>0</v>
      </c>
      <c r="BM17" s="192" t="str">
        <f>IF($AC17="", "", IF(ISNA(VLOOKUP($AC17, TABELAS!$Q:$Q, 1, FALSE)), 1, 0))</f>
        <v/>
      </c>
      <c r="BN17" s="194" t="str">
        <f t="shared" si="12"/>
        <v/>
      </c>
      <c r="BO17" s="192" t="str">
        <f t="shared" si="32"/>
        <v/>
      </c>
      <c r="BP17" s="192" t="str">
        <f t="shared" si="33"/>
        <v/>
      </c>
      <c r="BQ17" s="193" t="str">
        <f t="shared" si="34"/>
        <v/>
      </c>
      <c r="BR17" s="192" t="str">
        <f t="shared" si="35"/>
        <v/>
      </c>
      <c r="BS17" s="192" t="str">
        <f t="shared" si="36"/>
        <v/>
      </c>
      <c r="BT17" s="192" t="str">
        <f>IF(OR($B17="", $AH17 = "SIM"), "", IF( ISNA(VLOOKUP($AP17,#REF!, 1, FALSE)), 1, 0))</f>
        <v/>
      </c>
      <c r="BU17" s="192" t="str">
        <f t="shared" si="37"/>
        <v/>
      </c>
      <c r="BV17" s="192" t="str">
        <f>IF( $B17="", "", IF( ISNA(VLOOKUP($AN17, TABELAS!$T$2:$T$9,1,FALSE)), 1, 0))</f>
        <v/>
      </c>
      <c r="BW17" s="192" t="str">
        <f t="shared" si="38"/>
        <v/>
      </c>
      <c r="BX17" s="192" t="str">
        <f>IF( OR($B17="", $AH17 = "SIM"), "", IF( ISNA( VLOOKUP( $AQ17, SISTEMA!$B:$B, 1, FALSE)), 1, 0))</f>
        <v/>
      </c>
      <c r="BY17" s="193" t="str">
        <f t="shared" si="39"/>
        <v/>
      </c>
      <c r="BZ17" s="193" t="str">
        <f t="shared" si="40"/>
        <v/>
      </c>
      <c r="CA17" s="192" t="str">
        <f t="shared" si="41"/>
        <v/>
      </c>
      <c r="CB17" s="193" t="str">
        <f t="shared" si="42"/>
        <v/>
      </c>
      <c r="CC17" s="193" t="str">
        <f t="shared" si="43"/>
        <v/>
      </c>
      <c r="CD17" s="193" t="str">
        <f t="shared" si="44"/>
        <v/>
      </c>
    </row>
    <row r="18" spans="1:82" x14ac:dyDescent="0.2">
      <c r="A18" s="140"/>
      <c r="B18" s="141" t="str">
        <f t="shared" si="13"/>
        <v/>
      </c>
      <c r="C18" s="142" t="str">
        <f t="shared" si="1"/>
        <v/>
      </c>
      <c r="D18" s="142" t="str">
        <f t="shared" si="14"/>
        <v/>
      </c>
      <c r="E18" s="142" t="str">
        <f>IF($C18="", "", COUNTIF($M$8:$M18,$D18))</f>
        <v/>
      </c>
      <c r="F18" s="254">
        <v>11</v>
      </c>
      <c r="G18" s="143"/>
      <c r="H18" s="144"/>
      <c r="I18" s="144"/>
      <c r="J18" s="145"/>
      <c r="K18" s="144"/>
      <c r="L18" s="144"/>
      <c r="M18" s="144"/>
      <c r="N18" s="146"/>
      <c r="O18" s="147"/>
      <c r="P18" s="147"/>
      <c r="Q18" s="147"/>
      <c r="R18" s="147"/>
      <c r="S18" s="147"/>
      <c r="T18" s="149"/>
      <c r="U18" s="150" t="str">
        <f>IF($T18="", "", VLOOKUP($T18, CONTRATOS!$B:$E, 2, FALSE))</f>
        <v/>
      </c>
      <c r="V18" s="151">
        <f>IF(OR($T18="",TB_DEFESA!$C$2="CARGA BASELINE"),0,
   IF(VLOOKUP($T18, CONTRATOS!B:E, 3, FALSE)&lt;&gt;"",1,IF(VLOOKUP($T18, CONTRATOS!B:E, 4, FALSE)&lt;&gt;"",2,0)))</f>
        <v>0</v>
      </c>
      <c r="W18" s="152"/>
      <c r="X18" s="152"/>
      <c r="Y18" s="153"/>
      <c r="Z18" s="154"/>
      <c r="AA18" s="155"/>
      <c r="AB18" s="156"/>
      <c r="AC18" s="157"/>
      <c r="AD18" s="155"/>
      <c r="AE18" s="158" t="str">
        <f t="shared" si="2"/>
        <v/>
      </c>
      <c r="AF18" s="160" t="str">
        <f t="shared" si="15"/>
        <v/>
      </c>
      <c r="AG18" s="182" t="s">
        <v>59</v>
      </c>
      <c r="AH18" s="183" t="str">
        <f t="shared" si="16"/>
        <v/>
      </c>
      <c r="AI18" s="183" t="str">
        <f t="shared" si="17"/>
        <v/>
      </c>
      <c r="AJ18" s="184" t="str">
        <f t="shared" si="18"/>
        <v/>
      </c>
      <c r="AK18" s="185" t="str">
        <f t="shared" si="19"/>
        <v/>
      </c>
      <c r="AL18" s="186"/>
      <c r="AM18" s="183" t="str">
        <f t="shared" si="20"/>
        <v/>
      </c>
      <c r="AN18" s="183" t="str">
        <f t="shared" si="21"/>
        <v/>
      </c>
      <c r="AO18" s="186" t="str">
        <f t="shared" si="22"/>
        <v/>
      </c>
      <c r="AP18" s="187" t="str">
        <f t="shared" si="23"/>
        <v/>
      </c>
      <c r="AQ18" s="187" t="str">
        <f t="shared" si="24"/>
        <v/>
      </c>
      <c r="AR18" s="188" t="str">
        <f t="shared" si="3"/>
        <v/>
      </c>
      <c r="AS18" s="188" t="str">
        <f t="shared" si="4"/>
        <v/>
      </c>
      <c r="AT18" s="183" t="str">
        <f t="shared" si="5"/>
        <v/>
      </c>
      <c r="AU18" s="189" t="str">
        <f>IF(OR($B18="", $AP18= ""),"",IF(VLOOKUP($AP18, CONTRATOS!B:K,3,FALSE)="","",VLOOKUP($AP18, CONTRATOS!B:K, 3,FALSE)))</f>
        <v/>
      </c>
      <c r="AV18" s="189" t="str">
        <f>IF(OR($B18="", $AP18 = ""), "", IF(VLOOKUP($AP18, CONTRATOS!B:K,4,FALSE)="","",VLOOKUP($AP18, CONTRATOS!B:K,4, FALSE)))</f>
        <v/>
      </c>
      <c r="AW18" s="190" t="str">
        <f t="shared" si="6"/>
        <v/>
      </c>
      <c r="AX18" s="189" t="str">
        <f t="shared" si="7"/>
        <v/>
      </c>
      <c r="AY18" s="189" t="str">
        <f t="shared" si="8"/>
        <v/>
      </c>
      <c r="AZ18" s="189" t="str">
        <f t="shared" si="9"/>
        <v/>
      </c>
      <c r="BA18" s="189" t="str">
        <f t="shared" si="10"/>
        <v/>
      </c>
      <c r="BB18" s="191">
        <f t="shared" si="25"/>
        <v>0</v>
      </c>
      <c r="BC18" s="191" t="str">
        <f t="shared" si="26"/>
        <v/>
      </c>
      <c r="BD18" s="191" t="str">
        <f t="shared" si="27"/>
        <v/>
      </c>
      <c r="BF18" s="192">
        <f t="shared" si="28"/>
        <v>0</v>
      </c>
      <c r="BG18" s="192">
        <f t="shared" si="29"/>
        <v>0</v>
      </c>
      <c r="BH18" s="192" t="str">
        <f>IF( $B18="", "", IF(ISNA(VLOOKUP($C18, Defesa!$C$7:$C$29,1,FALSE)),1,0))</f>
        <v/>
      </c>
      <c r="BI18" s="193" t="str">
        <f t="shared" si="30"/>
        <v/>
      </c>
      <c r="BJ18" s="193" t="str">
        <f>IF($B18="", "", IF( AND( $AI18="ESTIMATIVA", OR( Defesa!$F$7 = "AUTOMÁTICA", Defesa!$F$7 ="100% BASELINE")), 1, 0))</f>
        <v/>
      </c>
      <c r="BK18" s="192" t="str">
        <f t="shared" si="11"/>
        <v/>
      </c>
      <c r="BL18" s="192">
        <f t="shared" si="31"/>
        <v>0</v>
      </c>
      <c r="BM18" s="192" t="str">
        <f>IF($AC18="", "", IF(ISNA(VLOOKUP($AC18, TABELAS!$Q:$Q, 1, FALSE)), 1, 0))</f>
        <v/>
      </c>
      <c r="BN18" s="194" t="str">
        <f t="shared" si="12"/>
        <v/>
      </c>
      <c r="BO18" s="192" t="str">
        <f t="shared" si="32"/>
        <v/>
      </c>
      <c r="BP18" s="192" t="str">
        <f t="shared" si="33"/>
        <v/>
      </c>
      <c r="BQ18" s="193" t="str">
        <f t="shared" si="34"/>
        <v/>
      </c>
      <c r="BR18" s="192" t="str">
        <f t="shared" si="35"/>
        <v/>
      </c>
      <c r="BS18" s="192" t="str">
        <f t="shared" si="36"/>
        <v/>
      </c>
      <c r="BT18" s="192" t="str">
        <f>IF(OR($B18="", $AH18 = "SIM"), "", IF( ISNA(VLOOKUP($AP18,#REF!, 1, FALSE)), 1, 0))</f>
        <v/>
      </c>
      <c r="BU18" s="192" t="str">
        <f t="shared" si="37"/>
        <v/>
      </c>
      <c r="BV18" s="192" t="str">
        <f>IF( $B18="", "", IF( ISNA(VLOOKUP($AN18, TABELAS!$T$2:$T$9,1,FALSE)), 1, 0))</f>
        <v/>
      </c>
      <c r="BW18" s="192" t="str">
        <f t="shared" si="38"/>
        <v/>
      </c>
      <c r="BX18" s="192" t="str">
        <f>IF( OR($B18="", $AH18 = "SIM"), "", IF( ISNA( VLOOKUP( $AQ18, SISTEMA!$B:$B, 1, FALSE)), 1, 0))</f>
        <v/>
      </c>
      <c r="BY18" s="193" t="str">
        <f t="shared" si="39"/>
        <v/>
      </c>
      <c r="BZ18" s="193" t="str">
        <f t="shared" si="40"/>
        <v/>
      </c>
      <c r="CA18" s="192" t="str">
        <f t="shared" si="41"/>
        <v/>
      </c>
      <c r="CB18" s="193" t="str">
        <f t="shared" si="42"/>
        <v/>
      </c>
      <c r="CC18" s="193" t="str">
        <f t="shared" si="43"/>
        <v/>
      </c>
      <c r="CD18" s="193" t="str">
        <f t="shared" si="44"/>
        <v/>
      </c>
    </row>
    <row r="19" spans="1:82" x14ac:dyDescent="0.2">
      <c r="A19" s="140"/>
      <c r="B19" s="141" t="str">
        <f t="shared" si="13"/>
        <v/>
      </c>
      <c r="C19" s="142" t="str">
        <f t="shared" si="1"/>
        <v/>
      </c>
      <c r="D19" s="142" t="str">
        <f t="shared" si="14"/>
        <v/>
      </c>
      <c r="E19" s="142" t="str">
        <f>IF($C19="", "", COUNTIF($M$8:$M19,$D19))</f>
        <v/>
      </c>
      <c r="F19" s="254">
        <v>12</v>
      </c>
      <c r="G19" s="143"/>
      <c r="H19" s="144"/>
      <c r="I19" s="144"/>
      <c r="J19" s="145"/>
      <c r="K19" s="144"/>
      <c r="L19" s="144"/>
      <c r="M19" s="144"/>
      <c r="N19" s="146"/>
      <c r="O19" s="147"/>
      <c r="P19" s="147"/>
      <c r="Q19" s="147"/>
      <c r="R19" s="147"/>
      <c r="S19" s="147"/>
      <c r="T19" s="149"/>
      <c r="U19" s="150" t="str">
        <f>IF($T19="", "", VLOOKUP($T19, CONTRATOS!$B:$E, 2, FALSE))</f>
        <v/>
      </c>
      <c r="V19" s="151">
        <f>IF(OR($T19="",TB_DEFESA!$C$2="CARGA BASELINE"),0,
   IF(VLOOKUP($T19, CONTRATOS!B:E, 3, FALSE)&lt;&gt;"",1,IF(VLOOKUP($T19, CONTRATOS!B:E, 4, FALSE)&lt;&gt;"",2,0)))</f>
        <v>0</v>
      </c>
      <c r="W19" s="152"/>
      <c r="X19" s="152"/>
      <c r="Y19" s="153"/>
      <c r="Z19" s="154"/>
      <c r="AA19" s="155"/>
      <c r="AB19" s="156"/>
      <c r="AC19" s="157"/>
      <c r="AD19" s="155"/>
      <c r="AE19" s="158" t="str">
        <f t="shared" si="2"/>
        <v/>
      </c>
      <c r="AF19" s="160" t="str">
        <f t="shared" si="15"/>
        <v/>
      </c>
      <c r="AG19" s="182" t="s">
        <v>59</v>
      </c>
      <c r="AH19" s="183" t="str">
        <f t="shared" si="16"/>
        <v/>
      </c>
      <c r="AI19" s="183" t="str">
        <f t="shared" si="17"/>
        <v/>
      </c>
      <c r="AJ19" s="184" t="str">
        <f t="shared" si="18"/>
        <v/>
      </c>
      <c r="AK19" s="185" t="str">
        <f t="shared" si="19"/>
        <v/>
      </c>
      <c r="AL19" s="186"/>
      <c r="AM19" s="183" t="str">
        <f t="shared" si="20"/>
        <v/>
      </c>
      <c r="AN19" s="183" t="str">
        <f t="shared" si="21"/>
        <v/>
      </c>
      <c r="AO19" s="186" t="str">
        <f t="shared" si="22"/>
        <v/>
      </c>
      <c r="AP19" s="187" t="str">
        <f t="shared" si="23"/>
        <v/>
      </c>
      <c r="AQ19" s="187" t="str">
        <f t="shared" si="24"/>
        <v/>
      </c>
      <c r="AR19" s="188" t="str">
        <f t="shared" si="3"/>
        <v/>
      </c>
      <c r="AS19" s="188" t="str">
        <f t="shared" si="4"/>
        <v/>
      </c>
      <c r="AT19" s="183" t="str">
        <f t="shared" si="5"/>
        <v/>
      </c>
      <c r="AU19" s="189" t="str">
        <f>IF(OR($B19="", $AP19= ""),"",IF(VLOOKUP($AP19, CONTRATOS!B:K,3,FALSE)="","",VLOOKUP($AP19, CONTRATOS!B:K, 3,FALSE)))</f>
        <v/>
      </c>
      <c r="AV19" s="189" t="str">
        <f>IF(OR($B19="", $AP19 = ""), "", IF(VLOOKUP($AP19, CONTRATOS!B:K,4,FALSE)="","",VLOOKUP($AP19, CONTRATOS!B:K,4, FALSE)))</f>
        <v/>
      </c>
      <c r="AW19" s="190" t="str">
        <f t="shared" si="6"/>
        <v/>
      </c>
      <c r="AX19" s="189" t="str">
        <f t="shared" si="7"/>
        <v/>
      </c>
      <c r="AY19" s="189" t="str">
        <f t="shared" si="8"/>
        <v/>
      </c>
      <c r="AZ19" s="189" t="str">
        <f t="shared" si="9"/>
        <v/>
      </c>
      <c r="BA19" s="189" t="str">
        <f t="shared" si="10"/>
        <v/>
      </c>
      <c r="BB19" s="191">
        <f t="shared" si="25"/>
        <v>0</v>
      </c>
      <c r="BC19" s="191" t="str">
        <f t="shared" si="26"/>
        <v/>
      </c>
      <c r="BD19" s="191" t="str">
        <f t="shared" si="27"/>
        <v/>
      </c>
      <c r="BF19" s="192">
        <f t="shared" si="28"/>
        <v>0</v>
      </c>
      <c r="BG19" s="192">
        <f t="shared" si="29"/>
        <v>0</v>
      </c>
      <c r="BH19" s="192" t="str">
        <f>IF( $B19="", "", IF(ISNA(VLOOKUP($C19, Defesa!$C$7:$C$29,1,FALSE)),1,0))</f>
        <v/>
      </c>
      <c r="BI19" s="193" t="str">
        <f t="shared" si="30"/>
        <v/>
      </c>
      <c r="BJ19" s="193" t="str">
        <f>IF($B19="", "", IF( AND( $AI19="ESTIMATIVA", OR( Defesa!$F$7 = "AUTOMÁTICA", Defesa!$F$7 ="100% BASELINE")), 1, 0))</f>
        <v/>
      </c>
      <c r="BK19" s="192" t="str">
        <f t="shared" si="11"/>
        <v/>
      </c>
      <c r="BL19" s="192">
        <f t="shared" si="31"/>
        <v>0</v>
      </c>
      <c r="BM19" s="192" t="str">
        <f>IF($AC19="", "", IF(ISNA(VLOOKUP($AC19, TABELAS!$Q:$Q, 1, FALSE)), 1, 0))</f>
        <v/>
      </c>
      <c r="BN19" s="194" t="str">
        <f t="shared" si="12"/>
        <v/>
      </c>
      <c r="BO19" s="192" t="str">
        <f t="shared" si="32"/>
        <v/>
      </c>
      <c r="BP19" s="192" t="str">
        <f t="shared" si="33"/>
        <v/>
      </c>
      <c r="BQ19" s="193" t="str">
        <f t="shared" si="34"/>
        <v/>
      </c>
      <c r="BR19" s="192" t="str">
        <f t="shared" si="35"/>
        <v/>
      </c>
      <c r="BS19" s="192" t="str">
        <f t="shared" si="36"/>
        <v/>
      </c>
      <c r="BT19" s="192" t="str">
        <f>IF(OR($B19="", $AH19 = "SIM"), "", IF( ISNA(VLOOKUP($AP19,#REF!, 1, FALSE)), 1, 0))</f>
        <v/>
      </c>
      <c r="BU19" s="192" t="str">
        <f t="shared" si="37"/>
        <v/>
      </c>
      <c r="BV19" s="192" t="str">
        <f>IF( $B19="", "", IF( ISNA(VLOOKUP($AN19, TABELAS!$T$2:$T$9,1,FALSE)), 1, 0))</f>
        <v/>
      </c>
      <c r="BW19" s="192" t="str">
        <f t="shared" si="38"/>
        <v/>
      </c>
      <c r="BX19" s="192" t="str">
        <f>IF( OR($B19="", $AH19 = "SIM"), "", IF( ISNA( VLOOKUP( $AQ19, SISTEMA!$B:$B, 1, FALSE)), 1, 0))</f>
        <v/>
      </c>
      <c r="BY19" s="193" t="str">
        <f t="shared" si="39"/>
        <v/>
      </c>
      <c r="BZ19" s="193" t="str">
        <f t="shared" si="40"/>
        <v/>
      </c>
      <c r="CA19" s="192" t="str">
        <f t="shared" si="41"/>
        <v/>
      </c>
      <c r="CB19" s="193" t="str">
        <f t="shared" si="42"/>
        <v/>
      </c>
      <c r="CC19" s="193" t="str">
        <f t="shared" si="43"/>
        <v/>
      </c>
      <c r="CD19" s="193" t="str">
        <f t="shared" si="44"/>
        <v/>
      </c>
    </row>
    <row r="20" spans="1:82" x14ac:dyDescent="0.2">
      <c r="A20" s="140"/>
      <c r="B20" s="141" t="str">
        <f t="shared" si="13"/>
        <v/>
      </c>
      <c r="C20" s="142" t="str">
        <f t="shared" si="1"/>
        <v/>
      </c>
      <c r="D20" s="142" t="str">
        <f t="shared" si="14"/>
        <v/>
      </c>
      <c r="E20" s="142" t="str">
        <f>IF($C20="", "", COUNTIF($M$8:$M20,$D20))</f>
        <v/>
      </c>
      <c r="F20" s="254">
        <v>13</v>
      </c>
      <c r="G20" s="143"/>
      <c r="H20" s="144"/>
      <c r="I20" s="144"/>
      <c r="J20" s="145"/>
      <c r="K20" s="144"/>
      <c r="L20" s="144"/>
      <c r="M20" s="144"/>
      <c r="N20" s="146"/>
      <c r="O20" s="147"/>
      <c r="P20" s="147"/>
      <c r="Q20" s="147"/>
      <c r="R20" s="147"/>
      <c r="S20" s="147"/>
      <c r="T20" s="149"/>
      <c r="U20" s="150" t="str">
        <f>IF($T20="", "", VLOOKUP($T20, CONTRATOS!$B:$E, 2, FALSE))</f>
        <v/>
      </c>
      <c r="V20" s="151">
        <f>IF(OR($T20="",TB_DEFESA!$C$2="CARGA BASELINE"),0,
   IF(VLOOKUP($T20, CONTRATOS!B:E, 3, FALSE)&lt;&gt;"",1,IF(VLOOKUP($T20, CONTRATOS!B:E, 4, FALSE)&lt;&gt;"",2,0)))</f>
        <v>0</v>
      </c>
      <c r="W20" s="152"/>
      <c r="X20" s="152"/>
      <c r="Y20" s="153"/>
      <c r="Z20" s="154"/>
      <c r="AA20" s="155"/>
      <c r="AB20" s="156"/>
      <c r="AC20" s="157"/>
      <c r="AD20" s="155"/>
      <c r="AE20" s="158" t="str">
        <f t="shared" si="2"/>
        <v/>
      </c>
      <c r="AF20" s="160" t="str">
        <f t="shared" si="15"/>
        <v/>
      </c>
      <c r="AG20" s="182" t="s">
        <v>59</v>
      </c>
      <c r="AH20" s="183" t="str">
        <f t="shared" si="16"/>
        <v/>
      </c>
      <c r="AI20" s="183" t="str">
        <f t="shared" si="17"/>
        <v/>
      </c>
      <c r="AJ20" s="184" t="str">
        <f t="shared" si="18"/>
        <v/>
      </c>
      <c r="AK20" s="185" t="str">
        <f t="shared" si="19"/>
        <v/>
      </c>
      <c r="AL20" s="186"/>
      <c r="AM20" s="183" t="str">
        <f t="shared" si="20"/>
        <v/>
      </c>
      <c r="AN20" s="183" t="str">
        <f t="shared" si="21"/>
        <v/>
      </c>
      <c r="AO20" s="186" t="str">
        <f t="shared" si="22"/>
        <v/>
      </c>
      <c r="AP20" s="187" t="str">
        <f t="shared" si="23"/>
        <v/>
      </c>
      <c r="AQ20" s="187" t="str">
        <f t="shared" si="24"/>
        <v/>
      </c>
      <c r="AR20" s="188" t="str">
        <f t="shared" si="3"/>
        <v/>
      </c>
      <c r="AS20" s="188" t="str">
        <f t="shared" si="4"/>
        <v/>
      </c>
      <c r="AT20" s="183" t="str">
        <f t="shared" si="5"/>
        <v/>
      </c>
      <c r="AU20" s="189" t="str">
        <f>IF(OR($B20="", $AP20= ""),"",IF(VLOOKUP($AP20, CONTRATOS!B:K,3,FALSE)="","",VLOOKUP($AP20, CONTRATOS!B:K, 3,FALSE)))</f>
        <v/>
      </c>
      <c r="AV20" s="189" t="str">
        <f>IF(OR($B20="", $AP20 = ""), "", IF(VLOOKUP($AP20, CONTRATOS!B:K,4,FALSE)="","",VLOOKUP($AP20, CONTRATOS!B:K,4, FALSE)))</f>
        <v/>
      </c>
      <c r="AW20" s="190" t="str">
        <f t="shared" si="6"/>
        <v/>
      </c>
      <c r="AX20" s="189" t="str">
        <f t="shared" si="7"/>
        <v/>
      </c>
      <c r="AY20" s="189" t="str">
        <f t="shared" si="8"/>
        <v/>
      </c>
      <c r="AZ20" s="189" t="str">
        <f t="shared" si="9"/>
        <v/>
      </c>
      <c r="BA20" s="189" t="str">
        <f t="shared" si="10"/>
        <v/>
      </c>
      <c r="BB20" s="191">
        <f t="shared" si="25"/>
        <v>0</v>
      </c>
      <c r="BC20" s="191" t="str">
        <f t="shared" si="26"/>
        <v/>
      </c>
      <c r="BD20" s="191" t="str">
        <f t="shared" si="27"/>
        <v/>
      </c>
      <c r="BF20" s="192">
        <f t="shared" si="28"/>
        <v>0</v>
      </c>
      <c r="BG20" s="192">
        <f t="shared" si="29"/>
        <v>0</v>
      </c>
      <c r="BH20" s="192" t="str">
        <f>IF( $B20="", "", IF(ISNA(VLOOKUP($C20, Defesa!$C$7:$C$29,1,FALSE)),1,0))</f>
        <v/>
      </c>
      <c r="BI20" s="193" t="str">
        <f t="shared" si="30"/>
        <v/>
      </c>
      <c r="BJ20" s="193" t="str">
        <f>IF($B20="", "", IF( AND( $AI20="ESTIMATIVA", OR( Defesa!$F$7 = "AUTOMÁTICA", Defesa!$F$7 ="100% BASELINE")), 1, 0))</f>
        <v/>
      </c>
      <c r="BK20" s="192" t="str">
        <f t="shared" si="11"/>
        <v/>
      </c>
      <c r="BL20" s="192">
        <f t="shared" si="31"/>
        <v>0</v>
      </c>
      <c r="BM20" s="192" t="str">
        <f>IF($AC20="", "", IF(ISNA(VLOOKUP($AC20, TABELAS!$Q:$Q, 1, FALSE)), 1, 0))</f>
        <v/>
      </c>
      <c r="BN20" s="194" t="str">
        <f t="shared" si="12"/>
        <v/>
      </c>
      <c r="BO20" s="192" t="str">
        <f t="shared" si="32"/>
        <v/>
      </c>
      <c r="BP20" s="192" t="str">
        <f t="shared" si="33"/>
        <v/>
      </c>
      <c r="BQ20" s="193" t="str">
        <f t="shared" si="34"/>
        <v/>
      </c>
      <c r="BR20" s="192" t="str">
        <f t="shared" si="35"/>
        <v/>
      </c>
      <c r="BS20" s="192" t="str">
        <f t="shared" si="36"/>
        <v/>
      </c>
      <c r="BT20" s="192" t="str">
        <f>IF(OR($B20="", $AH20 = "SIM"), "", IF( ISNA(VLOOKUP($AP20,#REF!, 1, FALSE)), 1, 0))</f>
        <v/>
      </c>
      <c r="BU20" s="192" t="str">
        <f t="shared" si="37"/>
        <v/>
      </c>
      <c r="BV20" s="192" t="str">
        <f>IF( $B20="", "", IF( ISNA(VLOOKUP($AN20, TABELAS!$T$2:$T$9,1,FALSE)), 1, 0))</f>
        <v/>
      </c>
      <c r="BW20" s="192" t="str">
        <f t="shared" si="38"/>
        <v/>
      </c>
      <c r="BX20" s="192" t="str">
        <f>IF( OR($B20="", $AH20 = "SIM"), "", IF( ISNA( VLOOKUP( $AQ20, SISTEMA!$B:$B, 1, FALSE)), 1, 0))</f>
        <v/>
      </c>
      <c r="BY20" s="193" t="str">
        <f t="shared" si="39"/>
        <v/>
      </c>
      <c r="BZ20" s="193" t="str">
        <f t="shared" si="40"/>
        <v/>
      </c>
      <c r="CA20" s="192" t="str">
        <f t="shared" si="41"/>
        <v/>
      </c>
      <c r="CB20" s="193" t="str">
        <f t="shared" si="42"/>
        <v/>
      </c>
      <c r="CC20" s="193" t="str">
        <f t="shared" si="43"/>
        <v/>
      </c>
      <c r="CD20" s="193" t="str">
        <f t="shared" si="44"/>
        <v/>
      </c>
    </row>
    <row r="21" spans="1:82" x14ac:dyDescent="0.2">
      <c r="A21" s="140"/>
      <c r="B21" s="141" t="str">
        <f t="shared" si="13"/>
        <v/>
      </c>
      <c r="C21" s="142" t="str">
        <f t="shared" si="1"/>
        <v/>
      </c>
      <c r="D21" s="142" t="str">
        <f t="shared" si="14"/>
        <v/>
      </c>
      <c r="E21" s="142" t="str">
        <f>IF($C21="", "", COUNTIF($M$8:$M21,$D21))</f>
        <v/>
      </c>
      <c r="F21" s="254">
        <v>14</v>
      </c>
      <c r="G21" s="143"/>
      <c r="H21" s="144"/>
      <c r="I21" s="144"/>
      <c r="J21" s="145"/>
      <c r="K21" s="144"/>
      <c r="L21" s="144"/>
      <c r="M21" s="144"/>
      <c r="N21" s="146"/>
      <c r="O21" s="147"/>
      <c r="P21" s="147"/>
      <c r="Q21" s="147"/>
      <c r="R21" s="147"/>
      <c r="S21" s="147"/>
      <c r="T21" s="149"/>
      <c r="U21" s="150" t="str">
        <f>IF($T21="", "", VLOOKUP($T21, CONTRATOS!$B:$E, 2, FALSE))</f>
        <v/>
      </c>
      <c r="V21" s="151">
        <f>IF(OR($T21="",TB_DEFESA!$C$2="CARGA BASELINE"),0,
   IF(VLOOKUP($T21, CONTRATOS!B:E, 3, FALSE)&lt;&gt;"",1,IF(VLOOKUP($T21, CONTRATOS!B:E, 4, FALSE)&lt;&gt;"",2,0)))</f>
        <v>0</v>
      </c>
      <c r="W21" s="152"/>
      <c r="X21" s="152"/>
      <c r="Y21" s="153"/>
      <c r="Z21" s="154"/>
      <c r="AA21" s="155"/>
      <c r="AB21" s="156"/>
      <c r="AC21" s="157"/>
      <c r="AD21" s="155"/>
      <c r="AE21" s="158" t="str">
        <f t="shared" si="2"/>
        <v/>
      </c>
      <c r="AF21" s="160" t="str">
        <f t="shared" si="15"/>
        <v/>
      </c>
      <c r="AG21" s="182" t="s">
        <v>59</v>
      </c>
      <c r="AH21" s="183" t="str">
        <f t="shared" si="16"/>
        <v/>
      </c>
      <c r="AI21" s="183" t="str">
        <f t="shared" si="17"/>
        <v/>
      </c>
      <c r="AJ21" s="184" t="str">
        <f t="shared" si="18"/>
        <v/>
      </c>
      <c r="AK21" s="185" t="str">
        <f t="shared" si="19"/>
        <v/>
      </c>
      <c r="AL21" s="186"/>
      <c r="AM21" s="183" t="str">
        <f t="shared" si="20"/>
        <v/>
      </c>
      <c r="AN21" s="183" t="str">
        <f t="shared" si="21"/>
        <v/>
      </c>
      <c r="AO21" s="186" t="str">
        <f t="shared" si="22"/>
        <v/>
      </c>
      <c r="AP21" s="187" t="str">
        <f t="shared" si="23"/>
        <v/>
      </c>
      <c r="AQ21" s="187" t="str">
        <f t="shared" si="24"/>
        <v/>
      </c>
      <c r="AR21" s="188" t="str">
        <f t="shared" si="3"/>
        <v/>
      </c>
      <c r="AS21" s="188" t="str">
        <f t="shared" si="4"/>
        <v/>
      </c>
      <c r="AT21" s="183" t="str">
        <f t="shared" si="5"/>
        <v/>
      </c>
      <c r="AU21" s="189" t="str">
        <f>IF(OR($B21="", $AP21= ""),"",IF(VLOOKUP($AP21, CONTRATOS!B:K,3,FALSE)="","",VLOOKUP($AP21, CONTRATOS!B:K, 3,FALSE)))</f>
        <v/>
      </c>
      <c r="AV21" s="189" t="str">
        <f>IF(OR($B21="", $AP21 = ""), "", IF(VLOOKUP($AP21, CONTRATOS!B:K,4,FALSE)="","",VLOOKUP($AP21, CONTRATOS!B:K,4, FALSE)))</f>
        <v/>
      </c>
      <c r="AW21" s="190" t="str">
        <f t="shared" si="6"/>
        <v/>
      </c>
      <c r="AX21" s="189" t="str">
        <f t="shared" si="7"/>
        <v/>
      </c>
      <c r="AY21" s="189" t="str">
        <f t="shared" si="8"/>
        <v/>
      </c>
      <c r="AZ21" s="189" t="str">
        <f t="shared" si="9"/>
        <v/>
      </c>
      <c r="BA21" s="189" t="str">
        <f t="shared" si="10"/>
        <v/>
      </c>
      <c r="BB21" s="191">
        <f t="shared" si="25"/>
        <v>0</v>
      </c>
      <c r="BC21" s="191" t="str">
        <f t="shared" si="26"/>
        <v/>
      </c>
      <c r="BD21" s="191" t="str">
        <f t="shared" si="27"/>
        <v/>
      </c>
      <c r="BF21" s="192">
        <f t="shared" si="28"/>
        <v>0</v>
      </c>
      <c r="BG21" s="192">
        <f t="shared" si="29"/>
        <v>0</v>
      </c>
      <c r="BH21" s="192" t="str">
        <f>IF( $B21="", "", IF(ISNA(VLOOKUP($C21, Defesa!$C$7:$C$29,1,FALSE)),1,0))</f>
        <v/>
      </c>
      <c r="BI21" s="193" t="str">
        <f t="shared" si="30"/>
        <v/>
      </c>
      <c r="BJ21" s="193" t="str">
        <f>IF($B21="", "", IF( AND( $AI21="ESTIMATIVA", OR( Defesa!$F$7 = "AUTOMÁTICA", Defesa!$F$7 ="100% BASELINE")), 1, 0))</f>
        <v/>
      </c>
      <c r="BK21" s="192" t="str">
        <f t="shared" si="11"/>
        <v/>
      </c>
      <c r="BL21" s="192">
        <f t="shared" si="31"/>
        <v>0</v>
      </c>
      <c r="BM21" s="192" t="str">
        <f>IF($AC21="", "", IF(ISNA(VLOOKUP($AC21, TABELAS!$Q:$Q, 1, FALSE)), 1, 0))</f>
        <v/>
      </c>
      <c r="BN21" s="194" t="str">
        <f t="shared" si="12"/>
        <v/>
      </c>
      <c r="BO21" s="192" t="str">
        <f t="shared" si="32"/>
        <v/>
      </c>
      <c r="BP21" s="192" t="str">
        <f t="shared" si="33"/>
        <v/>
      </c>
      <c r="BQ21" s="193" t="str">
        <f t="shared" si="34"/>
        <v/>
      </c>
      <c r="BR21" s="192" t="str">
        <f t="shared" si="35"/>
        <v/>
      </c>
      <c r="BS21" s="192" t="str">
        <f t="shared" si="36"/>
        <v/>
      </c>
      <c r="BT21" s="192" t="str">
        <f>IF(OR($B21="", $AH21 = "SIM"), "", IF( ISNA(VLOOKUP($AP21,#REF!, 1, FALSE)), 1, 0))</f>
        <v/>
      </c>
      <c r="BU21" s="192" t="str">
        <f t="shared" si="37"/>
        <v/>
      </c>
      <c r="BV21" s="192" t="str">
        <f>IF( $B21="", "", IF( ISNA(VLOOKUP($AN21, TABELAS!$T$2:$T$9,1,FALSE)), 1, 0))</f>
        <v/>
      </c>
      <c r="BW21" s="192" t="str">
        <f t="shared" si="38"/>
        <v/>
      </c>
      <c r="BX21" s="192" t="str">
        <f>IF( OR($B21="", $AH21 = "SIM"), "", IF( ISNA( VLOOKUP( $AQ21, SISTEMA!$B:$B, 1, FALSE)), 1, 0))</f>
        <v/>
      </c>
      <c r="BY21" s="193" t="str">
        <f t="shared" si="39"/>
        <v/>
      </c>
      <c r="BZ21" s="193" t="str">
        <f t="shared" si="40"/>
        <v/>
      </c>
      <c r="CA21" s="192" t="str">
        <f t="shared" si="41"/>
        <v/>
      </c>
      <c r="CB21" s="193" t="str">
        <f t="shared" si="42"/>
        <v/>
      </c>
      <c r="CC21" s="193" t="str">
        <f t="shared" si="43"/>
        <v/>
      </c>
      <c r="CD21" s="193" t="str">
        <f t="shared" si="44"/>
        <v/>
      </c>
    </row>
    <row r="22" spans="1:82" x14ac:dyDescent="0.2">
      <c r="A22" s="140"/>
      <c r="B22" s="141" t="str">
        <f t="shared" si="13"/>
        <v/>
      </c>
      <c r="C22" s="142" t="str">
        <f t="shared" si="1"/>
        <v/>
      </c>
      <c r="D22" s="142" t="str">
        <f t="shared" si="14"/>
        <v/>
      </c>
      <c r="E22" s="142" t="str">
        <f>IF($C22="", "", COUNTIF($M$8:$M22,$D22))</f>
        <v/>
      </c>
      <c r="F22" s="254">
        <v>15</v>
      </c>
      <c r="G22" s="143"/>
      <c r="H22" s="144"/>
      <c r="I22" s="144"/>
      <c r="J22" s="145"/>
      <c r="K22" s="144"/>
      <c r="L22" s="144"/>
      <c r="M22" s="144"/>
      <c r="N22" s="146"/>
      <c r="O22" s="147"/>
      <c r="P22" s="147"/>
      <c r="Q22" s="147"/>
      <c r="R22" s="147"/>
      <c r="S22" s="147"/>
      <c r="T22" s="149"/>
      <c r="U22" s="150" t="str">
        <f>IF($T22="", "", VLOOKUP($T22, CONTRATOS!$B:$E, 2, FALSE))</f>
        <v/>
      </c>
      <c r="V22" s="151">
        <f>IF(OR($T22="",TB_DEFESA!$C$2="CARGA BASELINE"),0,
   IF(VLOOKUP($T22, CONTRATOS!B:E, 3, FALSE)&lt;&gt;"",1,IF(VLOOKUP($T22, CONTRATOS!B:E, 4, FALSE)&lt;&gt;"",2,0)))</f>
        <v>0</v>
      </c>
      <c r="W22" s="152"/>
      <c r="X22" s="152"/>
      <c r="Y22" s="153"/>
      <c r="Z22" s="154"/>
      <c r="AA22" s="155"/>
      <c r="AB22" s="156"/>
      <c r="AC22" s="157"/>
      <c r="AD22" s="155"/>
      <c r="AE22" s="158" t="str">
        <f t="shared" si="2"/>
        <v/>
      </c>
      <c r="AF22" s="160" t="str">
        <f t="shared" si="15"/>
        <v/>
      </c>
      <c r="AG22" s="182" t="s">
        <v>59</v>
      </c>
      <c r="AH22" s="183" t="str">
        <f t="shared" si="16"/>
        <v/>
      </c>
      <c r="AI22" s="183" t="str">
        <f t="shared" si="17"/>
        <v/>
      </c>
      <c r="AJ22" s="184" t="str">
        <f t="shared" si="18"/>
        <v/>
      </c>
      <c r="AK22" s="185" t="str">
        <f t="shared" si="19"/>
        <v/>
      </c>
      <c r="AL22" s="186"/>
      <c r="AM22" s="183" t="str">
        <f t="shared" si="20"/>
        <v/>
      </c>
      <c r="AN22" s="183" t="str">
        <f t="shared" si="21"/>
        <v/>
      </c>
      <c r="AO22" s="186" t="str">
        <f t="shared" si="22"/>
        <v/>
      </c>
      <c r="AP22" s="187" t="str">
        <f t="shared" si="23"/>
        <v/>
      </c>
      <c r="AQ22" s="187" t="str">
        <f t="shared" si="24"/>
        <v/>
      </c>
      <c r="AR22" s="188" t="str">
        <f t="shared" si="3"/>
        <v/>
      </c>
      <c r="AS22" s="188" t="str">
        <f t="shared" si="4"/>
        <v/>
      </c>
      <c r="AT22" s="183" t="str">
        <f t="shared" si="5"/>
        <v/>
      </c>
      <c r="AU22" s="189" t="str">
        <f>IF(OR($B22="", $AP22= ""),"",IF(VLOOKUP($AP22, CONTRATOS!B:K,3,FALSE)="","",VLOOKUP($AP22, CONTRATOS!B:K, 3,FALSE)))</f>
        <v/>
      </c>
      <c r="AV22" s="189" t="str">
        <f>IF(OR($B22="", $AP22 = ""), "", IF(VLOOKUP($AP22, CONTRATOS!B:K,4,FALSE)="","",VLOOKUP($AP22, CONTRATOS!B:K,4, FALSE)))</f>
        <v/>
      </c>
      <c r="AW22" s="190" t="str">
        <f t="shared" si="6"/>
        <v/>
      </c>
      <c r="AX22" s="189" t="str">
        <f t="shared" si="7"/>
        <v/>
      </c>
      <c r="AY22" s="189" t="str">
        <f t="shared" si="8"/>
        <v/>
      </c>
      <c r="AZ22" s="189" t="str">
        <f t="shared" si="9"/>
        <v/>
      </c>
      <c r="BA22" s="189" t="str">
        <f t="shared" si="10"/>
        <v/>
      </c>
      <c r="BB22" s="191">
        <f t="shared" si="25"/>
        <v>0</v>
      </c>
      <c r="BC22" s="191" t="str">
        <f t="shared" si="26"/>
        <v/>
      </c>
      <c r="BD22" s="191" t="str">
        <f t="shared" si="27"/>
        <v/>
      </c>
      <c r="BF22" s="192">
        <f t="shared" si="28"/>
        <v>0</v>
      </c>
      <c r="BG22" s="192">
        <f t="shared" si="29"/>
        <v>0</v>
      </c>
      <c r="BH22" s="192" t="str">
        <f>IF( $B22="", "", IF(ISNA(VLOOKUP($C22, Defesa!$C$7:$C$29,1,FALSE)),1,0))</f>
        <v/>
      </c>
      <c r="BI22" s="193" t="str">
        <f t="shared" si="30"/>
        <v/>
      </c>
      <c r="BJ22" s="193" t="str">
        <f>IF($B22="", "", IF( AND( $AI22="ESTIMATIVA", OR( Defesa!$F$7 = "AUTOMÁTICA", Defesa!$F$7 ="100% BASELINE")), 1, 0))</f>
        <v/>
      </c>
      <c r="BK22" s="192" t="str">
        <f t="shared" si="11"/>
        <v/>
      </c>
      <c r="BL22" s="192">
        <f t="shared" si="31"/>
        <v>0</v>
      </c>
      <c r="BM22" s="192" t="str">
        <f>IF($AC22="", "", IF(ISNA(VLOOKUP($AC22, TABELAS!$Q:$Q, 1, FALSE)), 1, 0))</f>
        <v/>
      </c>
      <c r="BN22" s="194" t="str">
        <f t="shared" si="12"/>
        <v/>
      </c>
      <c r="BO22" s="192" t="str">
        <f t="shared" si="32"/>
        <v/>
      </c>
      <c r="BP22" s="192" t="str">
        <f t="shared" si="33"/>
        <v/>
      </c>
      <c r="BQ22" s="193" t="str">
        <f t="shared" si="34"/>
        <v/>
      </c>
      <c r="BR22" s="192" t="str">
        <f t="shared" si="35"/>
        <v/>
      </c>
      <c r="BS22" s="192" t="str">
        <f t="shared" si="36"/>
        <v/>
      </c>
      <c r="BT22" s="192" t="str">
        <f>IF(OR($B22="", $AH22 = "SIM"), "", IF( ISNA(VLOOKUP($AP22,#REF!, 1, FALSE)), 1, 0))</f>
        <v/>
      </c>
      <c r="BU22" s="192" t="str">
        <f t="shared" si="37"/>
        <v/>
      </c>
      <c r="BV22" s="192" t="str">
        <f>IF( $B22="", "", IF( ISNA(VLOOKUP($AN22, TABELAS!$T$2:$T$9,1,FALSE)), 1, 0))</f>
        <v/>
      </c>
      <c r="BW22" s="192" t="str">
        <f t="shared" si="38"/>
        <v/>
      </c>
      <c r="BX22" s="192" t="str">
        <f>IF( OR($B22="", $AH22 = "SIM"), "", IF( ISNA( VLOOKUP( $AQ22, SISTEMA!$B:$B, 1, FALSE)), 1, 0))</f>
        <v/>
      </c>
      <c r="BY22" s="193" t="str">
        <f t="shared" si="39"/>
        <v/>
      </c>
      <c r="BZ22" s="193" t="str">
        <f t="shared" si="40"/>
        <v/>
      </c>
      <c r="CA22" s="192" t="str">
        <f t="shared" si="41"/>
        <v/>
      </c>
      <c r="CB22" s="193" t="str">
        <f t="shared" si="42"/>
        <v/>
      </c>
      <c r="CC22" s="193" t="str">
        <f t="shared" si="43"/>
        <v/>
      </c>
      <c r="CD22" s="193" t="str">
        <f t="shared" si="44"/>
        <v/>
      </c>
    </row>
    <row r="23" spans="1:82" x14ac:dyDescent="0.2">
      <c r="A23" s="140"/>
      <c r="B23" s="141" t="str">
        <f t="shared" si="13"/>
        <v/>
      </c>
      <c r="C23" s="142" t="str">
        <f t="shared" si="1"/>
        <v/>
      </c>
      <c r="D23" s="142" t="str">
        <f t="shared" si="14"/>
        <v/>
      </c>
      <c r="E23" s="142" t="str">
        <f>IF($C23="", "", COUNTIF($M$8:$M23,$D23))</f>
        <v/>
      </c>
      <c r="F23" s="254">
        <v>16</v>
      </c>
      <c r="G23" s="143"/>
      <c r="H23" s="144"/>
      <c r="I23" s="144"/>
      <c r="J23" s="145"/>
      <c r="K23" s="144"/>
      <c r="L23" s="144"/>
      <c r="M23" s="144"/>
      <c r="N23" s="146"/>
      <c r="O23" s="147"/>
      <c r="P23" s="147"/>
      <c r="Q23" s="147"/>
      <c r="R23" s="147"/>
      <c r="S23" s="147"/>
      <c r="T23" s="149"/>
      <c r="U23" s="150" t="str">
        <f>IF($T23="", "", VLOOKUP($T23, CONTRATOS!$B:$E, 2, FALSE))</f>
        <v/>
      </c>
      <c r="V23" s="151">
        <f>IF(OR($T23="",TB_DEFESA!$C$2="CARGA BASELINE"),0,
   IF(VLOOKUP($T23, CONTRATOS!B:E, 3, FALSE)&lt;&gt;"",1,IF(VLOOKUP($T23, CONTRATOS!B:E, 4, FALSE)&lt;&gt;"",2,0)))</f>
        <v>0</v>
      </c>
      <c r="W23" s="152"/>
      <c r="X23" s="152"/>
      <c r="Y23" s="153"/>
      <c r="Z23" s="154"/>
      <c r="AA23" s="155"/>
      <c r="AB23" s="156"/>
      <c r="AC23" s="157"/>
      <c r="AD23" s="155"/>
      <c r="AE23" s="158" t="str">
        <f t="shared" si="2"/>
        <v/>
      </c>
      <c r="AF23" s="160" t="str">
        <f t="shared" si="15"/>
        <v/>
      </c>
      <c r="AG23" s="182" t="s">
        <v>59</v>
      </c>
      <c r="AH23" s="183" t="str">
        <f t="shared" si="16"/>
        <v/>
      </c>
      <c r="AI23" s="183" t="str">
        <f t="shared" si="17"/>
        <v/>
      </c>
      <c r="AJ23" s="184" t="str">
        <f t="shared" si="18"/>
        <v/>
      </c>
      <c r="AK23" s="185" t="str">
        <f t="shared" si="19"/>
        <v/>
      </c>
      <c r="AL23" s="186"/>
      <c r="AM23" s="183" t="str">
        <f t="shared" si="20"/>
        <v/>
      </c>
      <c r="AN23" s="183" t="str">
        <f t="shared" si="21"/>
        <v/>
      </c>
      <c r="AO23" s="186" t="str">
        <f t="shared" si="22"/>
        <v/>
      </c>
      <c r="AP23" s="187" t="str">
        <f t="shared" si="23"/>
        <v/>
      </c>
      <c r="AQ23" s="187" t="str">
        <f t="shared" si="24"/>
        <v/>
      </c>
      <c r="AR23" s="188" t="str">
        <f t="shared" si="3"/>
        <v/>
      </c>
      <c r="AS23" s="188" t="str">
        <f t="shared" si="4"/>
        <v/>
      </c>
      <c r="AT23" s="183" t="str">
        <f t="shared" si="5"/>
        <v/>
      </c>
      <c r="AU23" s="189" t="str">
        <f>IF(OR($B23="", $AP23= ""),"",IF(VLOOKUP($AP23, CONTRATOS!B:K,3,FALSE)="","",VLOOKUP($AP23, CONTRATOS!B:K, 3,FALSE)))</f>
        <v/>
      </c>
      <c r="AV23" s="189" t="str">
        <f>IF(OR($B23="", $AP23 = ""), "", IF(VLOOKUP($AP23, CONTRATOS!B:K,4,FALSE)="","",VLOOKUP($AP23, CONTRATOS!B:K,4, FALSE)))</f>
        <v/>
      </c>
      <c r="AW23" s="190" t="str">
        <f t="shared" si="6"/>
        <v/>
      </c>
      <c r="AX23" s="189" t="str">
        <f t="shared" si="7"/>
        <v/>
      </c>
      <c r="AY23" s="189" t="str">
        <f t="shared" si="8"/>
        <v/>
      </c>
      <c r="AZ23" s="189" t="str">
        <f t="shared" si="9"/>
        <v/>
      </c>
      <c r="BA23" s="189" t="str">
        <f t="shared" si="10"/>
        <v/>
      </c>
      <c r="BB23" s="191">
        <f t="shared" si="25"/>
        <v>0</v>
      </c>
      <c r="BC23" s="191" t="str">
        <f t="shared" si="26"/>
        <v/>
      </c>
      <c r="BD23" s="191" t="str">
        <f t="shared" si="27"/>
        <v/>
      </c>
      <c r="BF23" s="192">
        <f t="shared" si="28"/>
        <v>0</v>
      </c>
      <c r="BG23" s="192">
        <f t="shared" si="29"/>
        <v>0</v>
      </c>
      <c r="BH23" s="192" t="str">
        <f>IF( $B23="", "", IF(ISNA(VLOOKUP($C23, Defesa!$C$7:$C$29,1,FALSE)),1,0))</f>
        <v/>
      </c>
      <c r="BI23" s="193" t="str">
        <f t="shared" si="30"/>
        <v/>
      </c>
      <c r="BJ23" s="193" t="str">
        <f>IF($B23="", "", IF( AND( $AI23="ESTIMATIVA", OR( Defesa!$F$7 = "AUTOMÁTICA", Defesa!$F$7 ="100% BASELINE")), 1, 0))</f>
        <v/>
      </c>
      <c r="BK23" s="192" t="str">
        <f t="shared" si="11"/>
        <v/>
      </c>
      <c r="BL23" s="192">
        <f t="shared" si="31"/>
        <v>0</v>
      </c>
      <c r="BM23" s="192" t="str">
        <f>IF($AC23="", "", IF(ISNA(VLOOKUP($AC23, TABELAS!$Q:$Q, 1, FALSE)), 1, 0))</f>
        <v/>
      </c>
      <c r="BN23" s="194" t="str">
        <f t="shared" si="12"/>
        <v/>
      </c>
      <c r="BO23" s="192" t="str">
        <f t="shared" si="32"/>
        <v/>
      </c>
      <c r="BP23" s="192" t="str">
        <f t="shared" si="33"/>
        <v/>
      </c>
      <c r="BQ23" s="193" t="str">
        <f t="shared" si="34"/>
        <v/>
      </c>
      <c r="BR23" s="192" t="str">
        <f t="shared" si="35"/>
        <v/>
      </c>
      <c r="BS23" s="192" t="str">
        <f t="shared" si="36"/>
        <v/>
      </c>
      <c r="BT23" s="192" t="str">
        <f>IF(OR($B23="", $AH23 = "SIM"), "", IF( ISNA(VLOOKUP($AP23,#REF!, 1, FALSE)), 1, 0))</f>
        <v/>
      </c>
      <c r="BU23" s="192" t="str">
        <f t="shared" si="37"/>
        <v/>
      </c>
      <c r="BV23" s="192" t="str">
        <f>IF( $B23="", "", IF( ISNA(VLOOKUP($AN23, TABELAS!$T$2:$T$9,1,FALSE)), 1, 0))</f>
        <v/>
      </c>
      <c r="BW23" s="192" t="str">
        <f t="shared" si="38"/>
        <v/>
      </c>
      <c r="BX23" s="192" t="str">
        <f>IF( OR($B23="", $AH23 = "SIM"), "", IF( ISNA( VLOOKUP( $AQ23, SISTEMA!$B:$B, 1, FALSE)), 1, 0))</f>
        <v/>
      </c>
      <c r="BY23" s="193" t="str">
        <f t="shared" si="39"/>
        <v/>
      </c>
      <c r="BZ23" s="193" t="str">
        <f t="shared" si="40"/>
        <v/>
      </c>
      <c r="CA23" s="192" t="str">
        <f t="shared" si="41"/>
        <v/>
      </c>
      <c r="CB23" s="193" t="str">
        <f t="shared" si="42"/>
        <v/>
      </c>
      <c r="CC23" s="193" t="str">
        <f t="shared" si="43"/>
        <v/>
      </c>
      <c r="CD23" s="193" t="str">
        <f t="shared" si="44"/>
        <v/>
      </c>
    </row>
    <row r="24" spans="1:82" x14ac:dyDescent="0.2">
      <c r="A24" s="140"/>
      <c r="B24" s="141" t="str">
        <f t="shared" si="13"/>
        <v/>
      </c>
      <c r="C24" s="142" t="str">
        <f t="shared" si="1"/>
        <v/>
      </c>
      <c r="D24" s="142" t="str">
        <f t="shared" si="14"/>
        <v/>
      </c>
      <c r="E24" s="142" t="str">
        <f>IF($C24="", "", COUNTIF($M$8:$M24,$D24))</f>
        <v/>
      </c>
      <c r="F24" s="254">
        <v>17</v>
      </c>
      <c r="G24" s="143"/>
      <c r="H24" s="144"/>
      <c r="I24" s="144"/>
      <c r="J24" s="145"/>
      <c r="K24" s="144"/>
      <c r="L24" s="144"/>
      <c r="M24" s="144"/>
      <c r="N24" s="146"/>
      <c r="O24" s="147"/>
      <c r="P24" s="147"/>
      <c r="Q24" s="147"/>
      <c r="R24" s="147"/>
      <c r="S24" s="147"/>
      <c r="T24" s="149"/>
      <c r="U24" s="150" t="str">
        <f>IF($T24="", "", VLOOKUP($T24, CONTRATOS!$B:$E, 2, FALSE))</f>
        <v/>
      </c>
      <c r="V24" s="151">
        <f>IF(OR($T24="",TB_DEFESA!$C$2="CARGA BASELINE"),0,
   IF(VLOOKUP($T24, CONTRATOS!B:E, 3, FALSE)&lt;&gt;"",1,IF(VLOOKUP($T24, CONTRATOS!B:E, 4, FALSE)&lt;&gt;"",2,0)))</f>
        <v>0</v>
      </c>
      <c r="W24" s="152"/>
      <c r="X24" s="152"/>
      <c r="Y24" s="153"/>
      <c r="Z24" s="154"/>
      <c r="AA24" s="155"/>
      <c r="AB24" s="156"/>
      <c r="AC24" s="157"/>
      <c r="AD24" s="155"/>
      <c r="AE24" s="158" t="str">
        <f t="shared" si="2"/>
        <v/>
      </c>
      <c r="AF24" s="160" t="str">
        <f t="shared" si="15"/>
        <v/>
      </c>
      <c r="AG24" s="182" t="s">
        <v>59</v>
      </c>
      <c r="AH24" s="183" t="str">
        <f t="shared" si="16"/>
        <v/>
      </c>
      <c r="AI24" s="183" t="str">
        <f t="shared" si="17"/>
        <v/>
      </c>
      <c r="AJ24" s="184" t="str">
        <f t="shared" si="18"/>
        <v/>
      </c>
      <c r="AK24" s="185" t="str">
        <f t="shared" si="19"/>
        <v/>
      </c>
      <c r="AL24" s="186"/>
      <c r="AM24" s="183" t="str">
        <f t="shared" si="20"/>
        <v/>
      </c>
      <c r="AN24" s="183" t="str">
        <f t="shared" si="21"/>
        <v/>
      </c>
      <c r="AO24" s="186" t="str">
        <f t="shared" si="22"/>
        <v/>
      </c>
      <c r="AP24" s="187" t="str">
        <f t="shared" si="23"/>
        <v/>
      </c>
      <c r="AQ24" s="187" t="str">
        <f t="shared" si="24"/>
        <v/>
      </c>
      <c r="AR24" s="188" t="str">
        <f t="shared" si="3"/>
        <v/>
      </c>
      <c r="AS24" s="188" t="str">
        <f t="shared" si="4"/>
        <v/>
      </c>
      <c r="AT24" s="183" t="str">
        <f t="shared" si="5"/>
        <v/>
      </c>
      <c r="AU24" s="189" t="str">
        <f>IF(OR($B24="", $AP24= ""),"",IF(VLOOKUP($AP24, CONTRATOS!B:K,3,FALSE)="","",VLOOKUP($AP24, CONTRATOS!B:K, 3,FALSE)))</f>
        <v/>
      </c>
      <c r="AV24" s="189" t="str">
        <f>IF(OR($B24="", $AP24 = ""), "", IF(VLOOKUP($AP24, CONTRATOS!B:K,4,FALSE)="","",VLOOKUP($AP24, CONTRATOS!B:K,4, FALSE)))</f>
        <v/>
      </c>
      <c r="AW24" s="190" t="str">
        <f t="shared" si="6"/>
        <v/>
      </c>
      <c r="AX24" s="189" t="str">
        <f t="shared" si="7"/>
        <v/>
      </c>
      <c r="AY24" s="189" t="str">
        <f t="shared" si="8"/>
        <v/>
      </c>
      <c r="AZ24" s="189" t="str">
        <f t="shared" si="9"/>
        <v/>
      </c>
      <c r="BA24" s="189" t="str">
        <f t="shared" si="10"/>
        <v/>
      </c>
      <c r="BB24" s="191">
        <f t="shared" si="25"/>
        <v>0</v>
      </c>
      <c r="BC24" s="191" t="str">
        <f t="shared" si="26"/>
        <v/>
      </c>
      <c r="BD24" s="191" t="str">
        <f t="shared" si="27"/>
        <v/>
      </c>
      <c r="BF24" s="192">
        <f t="shared" si="28"/>
        <v>0</v>
      </c>
      <c r="BG24" s="192">
        <f t="shared" si="29"/>
        <v>0</v>
      </c>
      <c r="BH24" s="192" t="str">
        <f>IF( $B24="", "", IF(ISNA(VLOOKUP($C24, Defesa!$C$7:$C$29,1,FALSE)),1,0))</f>
        <v/>
      </c>
      <c r="BI24" s="193" t="str">
        <f t="shared" si="30"/>
        <v/>
      </c>
      <c r="BJ24" s="193" t="str">
        <f>IF($B24="", "", IF( AND( $AI24="ESTIMATIVA", OR( Defesa!$F$7 = "AUTOMÁTICA", Defesa!$F$7 ="100% BASELINE")), 1, 0))</f>
        <v/>
      </c>
      <c r="BK24" s="192" t="str">
        <f t="shared" si="11"/>
        <v/>
      </c>
      <c r="BL24" s="192">
        <f t="shared" si="31"/>
        <v>0</v>
      </c>
      <c r="BM24" s="192" t="str">
        <f>IF($AC24="", "", IF(ISNA(VLOOKUP($AC24, TABELAS!$Q:$Q, 1, FALSE)), 1, 0))</f>
        <v/>
      </c>
      <c r="BN24" s="194" t="str">
        <f t="shared" si="12"/>
        <v/>
      </c>
      <c r="BO24" s="192" t="str">
        <f t="shared" si="32"/>
        <v/>
      </c>
      <c r="BP24" s="192" t="str">
        <f t="shared" si="33"/>
        <v/>
      </c>
      <c r="BQ24" s="193" t="str">
        <f t="shared" si="34"/>
        <v/>
      </c>
      <c r="BR24" s="192" t="str">
        <f t="shared" si="35"/>
        <v/>
      </c>
      <c r="BS24" s="192" t="str">
        <f t="shared" si="36"/>
        <v/>
      </c>
      <c r="BT24" s="192" t="str">
        <f>IF(OR($B24="", $AH24 = "SIM"), "", IF( ISNA(VLOOKUP($AP24,#REF!, 1, FALSE)), 1, 0))</f>
        <v/>
      </c>
      <c r="BU24" s="192" t="str">
        <f t="shared" si="37"/>
        <v/>
      </c>
      <c r="BV24" s="192" t="str">
        <f>IF( $B24="", "", IF( ISNA(VLOOKUP($AN24, TABELAS!$T$2:$T$9,1,FALSE)), 1, 0))</f>
        <v/>
      </c>
      <c r="BW24" s="192" t="str">
        <f t="shared" si="38"/>
        <v/>
      </c>
      <c r="BX24" s="192" t="str">
        <f>IF( OR($B24="", $AH24 = "SIM"), "", IF( ISNA( VLOOKUP( $AQ24, SISTEMA!$B:$B, 1, FALSE)), 1, 0))</f>
        <v/>
      </c>
      <c r="BY24" s="193" t="str">
        <f t="shared" si="39"/>
        <v/>
      </c>
      <c r="BZ24" s="193" t="str">
        <f t="shared" si="40"/>
        <v/>
      </c>
      <c r="CA24" s="192" t="str">
        <f t="shared" si="41"/>
        <v/>
      </c>
      <c r="CB24" s="193" t="str">
        <f t="shared" si="42"/>
        <v/>
      </c>
      <c r="CC24" s="193" t="str">
        <f t="shared" si="43"/>
        <v/>
      </c>
      <c r="CD24" s="193" t="str">
        <f t="shared" si="44"/>
        <v/>
      </c>
    </row>
    <row r="25" spans="1:82" x14ac:dyDescent="0.2">
      <c r="A25" s="140"/>
      <c r="B25" s="141" t="str">
        <f t="shared" si="13"/>
        <v/>
      </c>
      <c r="C25" s="142" t="str">
        <f t="shared" si="1"/>
        <v/>
      </c>
      <c r="D25" s="142" t="str">
        <f t="shared" si="14"/>
        <v/>
      </c>
      <c r="E25" s="142" t="str">
        <f>IF($C25="", "", COUNTIF($M$8:$M25,$D25))</f>
        <v/>
      </c>
      <c r="F25" s="254">
        <v>18</v>
      </c>
      <c r="G25" s="143"/>
      <c r="H25" s="144"/>
      <c r="I25" s="144"/>
      <c r="J25" s="145"/>
      <c r="K25" s="144"/>
      <c r="L25" s="144"/>
      <c r="M25" s="144"/>
      <c r="N25" s="146"/>
      <c r="O25" s="147"/>
      <c r="P25" s="147"/>
      <c r="Q25" s="147"/>
      <c r="R25" s="147"/>
      <c r="S25" s="147"/>
      <c r="T25" s="149"/>
      <c r="U25" s="150" t="str">
        <f>IF($T25="", "", VLOOKUP($T25, CONTRATOS!$B:$E, 2, FALSE))</f>
        <v/>
      </c>
      <c r="V25" s="151">
        <f>IF(OR($T25="",TB_DEFESA!$C$2="CARGA BASELINE"),0,
   IF(VLOOKUP($T25, CONTRATOS!B:E, 3, FALSE)&lt;&gt;"",1,IF(VLOOKUP($T25, CONTRATOS!B:E, 4, FALSE)&lt;&gt;"",2,0)))</f>
        <v>0</v>
      </c>
      <c r="W25" s="152"/>
      <c r="X25" s="152"/>
      <c r="Y25" s="153"/>
      <c r="Z25" s="154"/>
      <c r="AA25" s="155"/>
      <c r="AB25" s="156"/>
      <c r="AC25" s="157"/>
      <c r="AD25" s="155"/>
      <c r="AE25" s="158" t="str">
        <f t="shared" si="2"/>
        <v/>
      </c>
      <c r="AF25" s="160" t="str">
        <f t="shared" si="15"/>
        <v/>
      </c>
      <c r="AG25" s="182" t="s">
        <v>59</v>
      </c>
      <c r="AH25" s="183" t="str">
        <f t="shared" si="16"/>
        <v/>
      </c>
      <c r="AI25" s="183" t="str">
        <f t="shared" si="17"/>
        <v/>
      </c>
      <c r="AJ25" s="184" t="str">
        <f t="shared" si="18"/>
        <v/>
      </c>
      <c r="AK25" s="185" t="str">
        <f t="shared" si="19"/>
        <v/>
      </c>
      <c r="AL25" s="186"/>
      <c r="AM25" s="183" t="str">
        <f t="shared" si="20"/>
        <v/>
      </c>
      <c r="AN25" s="183" t="str">
        <f t="shared" si="21"/>
        <v/>
      </c>
      <c r="AO25" s="186" t="str">
        <f t="shared" si="22"/>
        <v/>
      </c>
      <c r="AP25" s="187" t="str">
        <f t="shared" si="23"/>
        <v/>
      </c>
      <c r="AQ25" s="187" t="str">
        <f t="shared" si="24"/>
        <v/>
      </c>
      <c r="AR25" s="188" t="str">
        <f t="shared" si="3"/>
        <v/>
      </c>
      <c r="AS25" s="188" t="str">
        <f t="shared" si="4"/>
        <v/>
      </c>
      <c r="AT25" s="183" t="str">
        <f t="shared" si="5"/>
        <v/>
      </c>
      <c r="AU25" s="189" t="str">
        <f>IF(OR($B25="", $AP25= ""),"",IF(VLOOKUP($AP25, CONTRATOS!B:K,3,FALSE)="","",VLOOKUP($AP25, CONTRATOS!B:K, 3,FALSE)))</f>
        <v/>
      </c>
      <c r="AV25" s="189" t="str">
        <f>IF(OR($B25="", $AP25 = ""), "", IF(VLOOKUP($AP25, CONTRATOS!B:K,4,FALSE)="","",VLOOKUP($AP25, CONTRATOS!B:K,4, FALSE)))</f>
        <v/>
      </c>
      <c r="AW25" s="190" t="str">
        <f t="shared" si="6"/>
        <v/>
      </c>
      <c r="AX25" s="189" t="str">
        <f t="shared" si="7"/>
        <v/>
      </c>
      <c r="AY25" s="189" t="str">
        <f t="shared" si="8"/>
        <v/>
      </c>
      <c r="AZ25" s="189" t="str">
        <f t="shared" si="9"/>
        <v/>
      </c>
      <c r="BA25" s="189" t="str">
        <f t="shared" si="10"/>
        <v/>
      </c>
      <c r="BB25" s="191">
        <f t="shared" si="25"/>
        <v>0</v>
      </c>
      <c r="BC25" s="191" t="str">
        <f t="shared" si="26"/>
        <v/>
      </c>
      <c r="BD25" s="191" t="str">
        <f t="shared" si="27"/>
        <v/>
      </c>
      <c r="BF25" s="192">
        <f t="shared" si="28"/>
        <v>0</v>
      </c>
      <c r="BG25" s="192">
        <f t="shared" si="29"/>
        <v>0</v>
      </c>
      <c r="BH25" s="192" t="str">
        <f>IF( $B25="", "", IF(ISNA(VLOOKUP($C25, Defesa!$C$7:$C$29,1,FALSE)),1,0))</f>
        <v/>
      </c>
      <c r="BI25" s="193" t="str">
        <f t="shared" si="30"/>
        <v/>
      </c>
      <c r="BJ25" s="193" t="str">
        <f>IF($B25="", "", IF( AND( $AI25="ESTIMATIVA", OR( Defesa!$F$7 = "AUTOMÁTICA", Defesa!$F$7 ="100% BASELINE")), 1, 0))</f>
        <v/>
      </c>
      <c r="BK25" s="192" t="str">
        <f t="shared" si="11"/>
        <v/>
      </c>
      <c r="BL25" s="192">
        <f t="shared" si="31"/>
        <v>0</v>
      </c>
      <c r="BM25" s="192" t="str">
        <f>IF($AC25="", "", IF(ISNA(VLOOKUP($AC25, TABELAS!$Q:$Q, 1, FALSE)), 1, 0))</f>
        <v/>
      </c>
      <c r="BN25" s="194" t="str">
        <f t="shared" si="12"/>
        <v/>
      </c>
      <c r="BO25" s="192" t="str">
        <f t="shared" si="32"/>
        <v/>
      </c>
      <c r="BP25" s="192" t="str">
        <f t="shared" si="33"/>
        <v/>
      </c>
      <c r="BQ25" s="193" t="str">
        <f t="shared" si="34"/>
        <v/>
      </c>
      <c r="BR25" s="192" t="str">
        <f t="shared" si="35"/>
        <v/>
      </c>
      <c r="BS25" s="192" t="str">
        <f t="shared" si="36"/>
        <v/>
      </c>
      <c r="BT25" s="192" t="str">
        <f>IF(OR($B25="", $AH25 = "SIM"), "", IF( ISNA(VLOOKUP($AP25,#REF!, 1, FALSE)), 1, 0))</f>
        <v/>
      </c>
      <c r="BU25" s="192" t="str">
        <f t="shared" si="37"/>
        <v/>
      </c>
      <c r="BV25" s="192" t="str">
        <f>IF( $B25="", "", IF( ISNA(VLOOKUP($AN25, TABELAS!$T$2:$T$9,1,FALSE)), 1, 0))</f>
        <v/>
      </c>
      <c r="BW25" s="192" t="str">
        <f t="shared" si="38"/>
        <v/>
      </c>
      <c r="BX25" s="192" t="str">
        <f>IF( OR($B25="", $AH25 = "SIM"), "", IF( ISNA( VLOOKUP( $AQ25, SISTEMA!$B:$B, 1, FALSE)), 1, 0))</f>
        <v/>
      </c>
      <c r="BY25" s="193" t="str">
        <f t="shared" si="39"/>
        <v/>
      </c>
      <c r="BZ25" s="193" t="str">
        <f t="shared" si="40"/>
        <v/>
      </c>
      <c r="CA25" s="192" t="str">
        <f t="shared" si="41"/>
        <v/>
      </c>
      <c r="CB25" s="193" t="str">
        <f t="shared" si="42"/>
        <v/>
      </c>
      <c r="CC25" s="193" t="str">
        <f t="shared" si="43"/>
        <v/>
      </c>
      <c r="CD25" s="193" t="str">
        <f t="shared" si="44"/>
        <v/>
      </c>
    </row>
    <row r="26" spans="1:82" x14ac:dyDescent="0.2">
      <c r="A26" s="140"/>
      <c r="B26" s="141" t="str">
        <f t="shared" si="13"/>
        <v/>
      </c>
      <c r="C26" s="142" t="str">
        <f t="shared" si="1"/>
        <v/>
      </c>
      <c r="D26" s="142" t="str">
        <f t="shared" si="14"/>
        <v/>
      </c>
      <c r="E26" s="142" t="str">
        <f>IF($C26="", "", COUNTIF($M$8:$M26,$D26))</f>
        <v/>
      </c>
      <c r="F26" s="254">
        <v>19</v>
      </c>
      <c r="G26" s="143"/>
      <c r="H26" s="144"/>
      <c r="I26" s="144"/>
      <c r="J26" s="145"/>
      <c r="K26" s="144"/>
      <c r="L26" s="144"/>
      <c r="M26" s="144"/>
      <c r="N26" s="146"/>
      <c r="O26" s="147"/>
      <c r="P26" s="147"/>
      <c r="Q26" s="147"/>
      <c r="R26" s="147"/>
      <c r="S26" s="147"/>
      <c r="T26" s="149"/>
      <c r="U26" s="150" t="str">
        <f>IF($T26="", "", VLOOKUP($T26, CONTRATOS!$B:$E, 2, FALSE))</f>
        <v/>
      </c>
      <c r="V26" s="151">
        <f>IF(OR($T26="",TB_DEFESA!$C$2="CARGA BASELINE"),0,
   IF(VLOOKUP($T26, CONTRATOS!B:E, 3, FALSE)&lt;&gt;"",1,IF(VLOOKUP($T26, CONTRATOS!B:E, 4, FALSE)&lt;&gt;"",2,0)))</f>
        <v>0</v>
      </c>
      <c r="W26" s="152"/>
      <c r="X26" s="152"/>
      <c r="Y26" s="153"/>
      <c r="Z26" s="154"/>
      <c r="AA26" s="155"/>
      <c r="AB26" s="156"/>
      <c r="AC26" s="157"/>
      <c r="AD26" s="155"/>
      <c r="AE26" s="158" t="str">
        <f t="shared" si="2"/>
        <v/>
      </c>
      <c r="AF26" s="160" t="str">
        <f t="shared" si="15"/>
        <v/>
      </c>
      <c r="AG26" s="182" t="s">
        <v>59</v>
      </c>
      <c r="AH26" s="183" t="str">
        <f t="shared" si="16"/>
        <v/>
      </c>
      <c r="AI26" s="183" t="str">
        <f t="shared" si="17"/>
        <v/>
      </c>
      <c r="AJ26" s="184" t="str">
        <f t="shared" si="18"/>
        <v/>
      </c>
      <c r="AK26" s="185" t="str">
        <f t="shared" si="19"/>
        <v/>
      </c>
      <c r="AL26" s="186"/>
      <c r="AM26" s="183" t="str">
        <f t="shared" si="20"/>
        <v/>
      </c>
      <c r="AN26" s="183" t="str">
        <f t="shared" si="21"/>
        <v/>
      </c>
      <c r="AO26" s="186" t="str">
        <f t="shared" si="22"/>
        <v/>
      </c>
      <c r="AP26" s="187" t="str">
        <f t="shared" si="23"/>
        <v/>
      </c>
      <c r="AQ26" s="187" t="str">
        <f t="shared" si="24"/>
        <v/>
      </c>
      <c r="AR26" s="188" t="str">
        <f t="shared" si="3"/>
        <v/>
      </c>
      <c r="AS26" s="188" t="str">
        <f t="shared" si="4"/>
        <v/>
      </c>
      <c r="AT26" s="183" t="str">
        <f t="shared" si="5"/>
        <v/>
      </c>
      <c r="AU26" s="189" t="str">
        <f>IF(OR($B26="", $AP26= ""),"",IF(VLOOKUP($AP26, CONTRATOS!B:K,3,FALSE)="","",VLOOKUP($AP26, CONTRATOS!B:K, 3,FALSE)))</f>
        <v/>
      </c>
      <c r="AV26" s="189" t="str">
        <f>IF(OR($B26="", $AP26 = ""), "", IF(VLOOKUP($AP26, CONTRATOS!B:K,4,FALSE)="","",VLOOKUP($AP26, CONTRATOS!B:K,4, FALSE)))</f>
        <v/>
      </c>
      <c r="AW26" s="190" t="str">
        <f t="shared" si="6"/>
        <v/>
      </c>
      <c r="AX26" s="189" t="str">
        <f t="shared" si="7"/>
        <v/>
      </c>
      <c r="AY26" s="189" t="str">
        <f t="shared" si="8"/>
        <v/>
      </c>
      <c r="AZ26" s="189" t="str">
        <f t="shared" si="9"/>
        <v/>
      </c>
      <c r="BA26" s="189" t="str">
        <f t="shared" si="10"/>
        <v/>
      </c>
      <c r="BB26" s="191">
        <f t="shared" si="25"/>
        <v>0</v>
      </c>
      <c r="BC26" s="191" t="str">
        <f t="shared" si="26"/>
        <v/>
      </c>
      <c r="BD26" s="191" t="str">
        <f t="shared" si="27"/>
        <v/>
      </c>
      <c r="BF26" s="192">
        <f t="shared" si="28"/>
        <v>0</v>
      </c>
      <c r="BG26" s="192">
        <f t="shared" si="29"/>
        <v>0</v>
      </c>
      <c r="BH26" s="192" t="str">
        <f>IF( $B26="", "", IF(ISNA(VLOOKUP($C26, Defesa!$C$7:$C$29,1,FALSE)),1,0))</f>
        <v/>
      </c>
      <c r="BI26" s="193" t="str">
        <f t="shared" si="30"/>
        <v/>
      </c>
      <c r="BJ26" s="193" t="str">
        <f>IF($B26="", "", IF( AND( $AI26="ESTIMATIVA", OR( Defesa!$F$7 = "AUTOMÁTICA", Defesa!$F$7 ="100% BASELINE")), 1, 0))</f>
        <v/>
      </c>
      <c r="BK26" s="192" t="str">
        <f t="shared" si="11"/>
        <v/>
      </c>
      <c r="BL26" s="192">
        <f t="shared" si="31"/>
        <v>0</v>
      </c>
      <c r="BM26" s="192" t="str">
        <f>IF($AC26="", "", IF(ISNA(VLOOKUP($AC26, TABELAS!$Q:$Q, 1, FALSE)), 1, 0))</f>
        <v/>
      </c>
      <c r="BN26" s="194" t="str">
        <f t="shared" si="12"/>
        <v/>
      </c>
      <c r="BO26" s="192" t="str">
        <f t="shared" si="32"/>
        <v/>
      </c>
      <c r="BP26" s="192" t="str">
        <f t="shared" si="33"/>
        <v/>
      </c>
      <c r="BQ26" s="193" t="str">
        <f t="shared" si="34"/>
        <v/>
      </c>
      <c r="BR26" s="192" t="str">
        <f t="shared" si="35"/>
        <v/>
      </c>
      <c r="BS26" s="192" t="str">
        <f t="shared" si="36"/>
        <v/>
      </c>
      <c r="BT26" s="192" t="str">
        <f>IF(OR($B26="", $AH26 = "SIM"), "", IF( ISNA(VLOOKUP($AP26,#REF!, 1, FALSE)), 1, 0))</f>
        <v/>
      </c>
      <c r="BU26" s="192" t="str">
        <f t="shared" si="37"/>
        <v/>
      </c>
      <c r="BV26" s="192" t="str">
        <f>IF( $B26="", "", IF( ISNA(VLOOKUP($AN26, TABELAS!$T$2:$T$9,1,FALSE)), 1, 0))</f>
        <v/>
      </c>
      <c r="BW26" s="192" t="str">
        <f t="shared" si="38"/>
        <v/>
      </c>
      <c r="BX26" s="192" t="str">
        <f>IF( OR($B26="", $AH26 = "SIM"), "", IF( ISNA( VLOOKUP( $AQ26, SISTEMA!$B:$B, 1, FALSE)), 1, 0))</f>
        <v/>
      </c>
      <c r="BY26" s="193" t="str">
        <f t="shared" si="39"/>
        <v/>
      </c>
      <c r="BZ26" s="193" t="str">
        <f t="shared" si="40"/>
        <v/>
      </c>
      <c r="CA26" s="192" t="str">
        <f t="shared" si="41"/>
        <v/>
      </c>
      <c r="CB26" s="193" t="str">
        <f t="shared" si="42"/>
        <v/>
      </c>
      <c r="CC26" s="193" t="str">
        <f t="shared" si="43"/>
        <v/>
      </c>
      <c r="CD26" s="193" t="str">
        <f t="shared" si="44"/>
        <v/>
      </c>
    </row>
    <row r="27" spans="1:82" x14ac:dyDescent="0.2">
      <c r="A27" s="140"/>
      <c r="B27" s="141" t="str">
        <f t="shared" si="13"/>
        <v/>
      </c>
      <c r="C27" s="142" t="str">
        <f t="shared" si="1"/>
        <v/>
      </c>
      <c r="D27" s="142" t="str">
        <f t="shared" si="14"/>
        <v/>
      </c>
      <c r="E27" s="142" t="str">
        <f>IF($C27="", "", COUNTIF($M$8:$M27,$D27))</f>
        <v/>
      </c>
      <c r="F27" s="254">
        <v>20</v>
      </c>
      <c r="G27" s="143"/>
      <c r="H27" s="144"/>
      <c r="I27" s="144"/>
      <c r="J27" s="145"/>
      <c r="K27" s="144"/>
      <c r="L27" s="144"/>
      <c r="M27" s="144"/>
      <c r="N27" s="146"/>
      <c r="O27" s="147"/>
      <c r="P27" s="147"/>
      <c r="Q27" s="147"/>
      <c r="R27" s="147"/>
      <c r="S27" s="147"/>
      <c r="T27" s="149"/>
      <c r="U27" s="150" t="str">
        <f>IF($T27="", "", VLOOKUP($T27, CONTRATOS!$B:$E, 2, FALSE))</f>
        <v/>
      </c>
      <c r="V27" s="151">
        <f>IF(OR($T27="",TB_DEFESA!$C$2="CARGA BASELINE"),0,
   IF(VLOOKUP($T27, CONTRATOS!B:E, 3, FALSE)&lt;&gt;"",1,IF(VLOOKUP($T27, CONTRATOS!B:E, 4, FALSE)&lt;&gt;"",2,0)))</f>
        <v>0</v>
      </c>
      <c r="W27" s="152"/>
      <c r="X27" s="152"/>
      <c r="Y27" s="153"/>
      <c r="Z27" s="154"/>
      <c r="AA27" s="155"/>
      <c r="AB27" s="156"/>
      <c r="AC27" s="157"/>
      <c r="AD27" s="155"/>
      <c r="AE27" s="158" t="str">
        <f t="shared" si="2"/>
        <v/>
      </c>
      <c r="AF27" s="160" t="str">
        <f t="shared" si="15"/>
        <v/>
      </c>
      <c r="AG27" s="182" t="s">
        <v>59</v>
      </c>
      <c r="AH27" s="183" t="str">
        <f t="shared" si="16"/>
        <v/>
      </c>
      <c r="AI27" s="183" t="str">
        <f t="shared" si="17"/>
        <v/>
      </c>
      <c r="AJ27" s="184" t="str">
        <f t="shared" si="18"/>
        <v/>
      </c>
      <c r="AK27" s="185" t="str">
        <f t="shared" si="19"/>
        <v/>
      </c>
      <c r="AL27" s="186"/>
      <c r="AM27" s="183" t="str">
        <f t="shared" si="20"/>
        <v/>
      </c>
      <c r="AN27" s="183" t="str">
        <f t="shared" si="21"/>
        <v/>
      </c>
      <c r="AO27" s="186" t="str">
        <f t="shared" si="22"/>
        <v/>
      </c>
      <c r="AP27" s="187" t="str">
        <f t="shared" si="23"/>
        <v/>
      </c>
      <c r="AQ27" s="187" t="str">
        <f t="shared" si="24"/>
        <v/>
      </c>
      <c r="AR27" s="188" t="str">
        <f t="shared" si="3"/>
        <v/>
      </c>
      <c r="AS27" s="188" t="str">
        <f t="shared" si="4"/>
        <v/>
      </c>
      <c r="AT27" s="183" t="str">
        <f t="shared" si="5"/>
        <v/>
      </c>
      <c r="AU27" s="189" t="str">
        <f>IF(OR($B27="", $AP27= ""),"",IF(VLOOKUP($AP27, CONTRATOS!B:K,3,FALSE)="","",VLOOKUP($AP27, CONTRATOS!B:K, 3,FALSE)))</f>
        <v/>
      </c>
      <c r="AV27" s="189" t="str">
        <f>IF(OR($B27="", $AP27 = ""), "", IF(VLOOKUP($AP27, CONTRATOS!B:K,4,FALSE)="","",VLOOKUP($AP27, CONTRATOS!B:K,4, FALSE)))</f>
        <v/>
      </c>
      <c r="AW27" s="190" t="str">
        <f t="shared" si="6"/>
        <v/>
      </c>
      <c r="AX27" s="189" t="str">
        <f t="shared" si="7"/>
        <v/>
      </c>
      <c r="AY27" s="189" t="str">
        <f t="shared" si="8"/>
        <v/>
      </c>
      <c r="AZ27" s="189" t="str">
        <f t="shared" si="9"/>
        <v/>
      </c>
      <c r="BA27" s="189" t="str">
        <f t="shared" si="10"/>
        <v/>
      </c>
      <c r="BB27" s="191">
        <f t="shared" si="25"/>
        <v>0</v>
      </c>
      <c r="BC27" s="191" t="str">
        <f t="shared" si="26"/>
        <v/>
      </c>
      <c r="BD27" s="191" t="str">
        <f t="shared" si="27"/>
        <v/>
      </c>
      <c r="BF27" s="192">
        <f t="shared" si="28"/>
        <v>0</v>
      </c>
      <c r="BG27" s="192">
        <f t="shared" si="29"/>
        <v>0</v>
      </c>
      <c r="BH27" s="192" t="str">
        <f>IF( $B27="", "", IF(ISNA(VLOOKUP($C27, Defesa!$C$7:$C$29,1,FALSE)),1,0))</f>
        <v/>
      </c>
      <c r="BI27" s="193" t="str">
        <f t="shared" si="30"/>
        <v/>
      </c>
      <c r="BJ27" s="193" t="str">
        <f>IF($B27="", "", IF( AND( $AI27="ESTIMATIVA", OR( Defesa!$F$7 = "AUTOMÁTICA", Defesa!$F$7 ="100% BASELINE")), 1, 0))</f>
        <v/>
      </c>
      <c r="BK27" s="192" t="str">
        <f t="shared" si="11"/>
        <v/>
      </c>
      <c r="BL27" s="192">
        <f t="shared" si="31"/>
        <v>0</v>
      </c>
      <c r="BM27" s="192" t="str">
        <f>IF($AC27="", "", IF(ISNA(VLOOKUP($AC27, TABELAS!$Q:$Q, 1, FALSE)), 1, 0))</f>
        <v/>
      </c>
      <c r="BN27" s="194" t="str">
        <f t="shared" si="12"/>
        <v/>
      </c>
      <c r="BO27" s="192" t="str">
        <f t="shared" si="32"/>
        <v/>
      </c>
      <c r="BP27" s="192" t="str">
        <f t="shared" si="33"/>
        <v/>
      </c>
      <c r="BQ27" s="193" t="str">
        <f t="shared" si="34"/>
        <v/>
      </c>
      <c r="BR27" s="192" t="str">
        <f t="shared" si="35"/>
        <v/>
      </c>
      <c r="BS27" s="192" t="str">
        <f t="shared" si="36"/>
        <v/>
      </c>
      <c r="BT27" s="192" t="str">
        <f>IF(OR($B27="", $AH27 = "SIM"), "", IF( ISNA(VLOOKUP($AP27,#REF!, 1, FALSE)), 1, 0))</f>
        <v/>
      </c>
      <c r="BU27" s="192" t="str">
        <f t="shared" si="37"/>
        <v/>
      </c>
      <c r="BV27" s="192" t="str">
        <f>IF( $B27="", "", IF( ISNA(VLOOKUP($AN27, TABELAS!$T$2:$T$9,1,FALSE)), 1, 0))</f>
        <v/>
      </c>
      <c r="BW27" s="192" t="str">
        <f t="shared" si="38"/>
        <v/>
      </c>
      <c r="BX27" s="192" t="str">
        <f>IF( OR($B27="", $AH27 = "SIM"), "", IF( ISNA( VLOOKUP( $AQ27, SISTEMA!$B:$B, 1, FALSE)), 1, 0))</f>
        <v/>
      </c>
      <c r="BY27" s="193" t="str">
        <f t="shared" si="39"/>
        <v/>
      </c>
      <c r="BZ27" s="193" t="str">
        <f t="shared" si="40"/>
        <v/>
      </c>
      <c r="CA27" s="192" t="str">
        <f t="shared" si="41"/>
        <v/>
      </c>
      <c r="CB27" s="193" t="str">
        <f t="shared" si="42"/>
        <v/>
      </c>
      <c r="CC27" s="193" t="str">
        <f t="shared" si="43"/>
        <v/>
      </c>
      <c r="CD27" s="193" t="str">
        <f t="shared" si="44"/>
        <v/>
      </c>
    </row>
    <row r="28" spans="1:82" x14ac:dyDescent="0.2">
      <c r="A28" s="140"/>
      <c r="B28" s="141" t="str">
        <f t="shared" si="13"/>
        <v/>
      </c>
      <c r="C28" s="142" t="str">
        <f t="shared" si="1"/>
        <v/>
      </c>
      <c r="D28" s="142" t="str">
        <f t="shared" si="14"/>
        <v/>
      </c>
      <c r="E28" s="142" t="str">
        <f>IF($C28="", "", COUNTIF($M$8:$M28,$D28))</f>
        <v/>
      </c>
      <c r="F28" s="254">
        <v>21</v>
      </c>
      <c r="G28" s="143"/>
      <c r="H28" s="144"/>
      <c r="I28" s="144"/>
      <c r="J28" s="145"/>
      <c r="K28" s="144"/>
      <c r="L28" s="144"/>
      <c r="M28" s="144"/>
      <c r="N28" s="146"/>
      <c r="O28" s="147"/>
      <c r="P28" s="147"/>
      <c r="Q28" s="147"/>
      <c r="R28" s="147"/>
      <c r="S28" s="147"/>
      <c r="T28" s="149"/>
      <c r="U28" s="150" t="str">
        <f>IF($T28="", "", VLOOKUP($T28, CONTRATOS!$B:$E, 2, FALSE))</f>
        <v/>
      </c>
      <c r="V28" s="151">
        <f>IF(OR($T28="",TB_DEFESA!$C$2="CARGA BASELINE"),0,
   IF(VLOOKUP($T28, CONTRATOS!B:E, 3, FALSE)&lt;&gt;"",1,IF(VLOOKUP($T28, CONTRATOS!B:E, 4, FALSE)&lt;&gt;"",2,0)))</f>
        <v>0</v>
      </c>
      <c r="W28" s="152"/>
      <c r="X28" s="152"/>
      <c r="Y28" s="153"/>
      <c r="Z28" s="154"/>
      <c r="AA28" s="155"/>
      <c r="AB28" s="156"/>
      <c r="AC28" s="157"/>
      <c r="AD28" s="155"/>
      <c r="AE28" s="158" t="str">
        <f t="shared" si="2"/>
        <v/>
      </c>
      <c r="AF28" s="160" t="str">
        <f t="shared" si="15"/>
        <v/>
      </c>
      <c r="AG28" s="182" t="s">
        <v>59</v>
      </c>
      <c r="AH28" s="183" t="str">
        <f t="shared" si="16"/>
        <v/>
      </c>
      <c r="AI28" s="183" t="str">
        <f t="shared" si="17"/>
        <v/>
      </c>
      <c r="AJ28" s="184" t="str">
        <f t="shared" si="18"/>
        <v/>
      </c>
      <c r="AK28" s="185" t="str">
        <f t="shared" si="19"/>
        <v/>
      </c>
      <c r="AL28" s="186"/>
      <c r="AM28" s="183" t="str">
        <f t="shared" si="20"/>
        <v/>
      </c>
      <c r="AN28" s="183" t="str">
        <f t="shared" si="21"/>
        <v/>
      </c>
      <c r="AO28" s="186" t="str">
        <f t="shared" si="22"/>
        <v/>
      </c>
      <c r="AP28" s="187" t="str">
        <f t="shared" si="23"/>
        <v/>
      </c>
      <c r="AQ28" s="187" t="str">
        <f t="shared" si="24"/>
        <v/>
      </c>
      <c r="AR28" s="188" t="str">
        <f t="shared" si="3"/>
        <v/>
      </c>
      <c r="AS28" s="188" t="str">
        <f t="shared" si="4"/>
        <v/>
      </c>
      <c r="AT28" s="183" t="str">
        <f t="shared" si="5"/>
        <v/>
      </c>
      <c r="AU28" s="189" t="str">
        <f>IF(OR($B28="", $AP28= ""),"",IF(VLOOKUP($AP28, CONTRATOS!B:K,3,FALSE)="","",VLOOKUP($AP28, CONTRATOS!B:K, 3,FALSE)))</f>
        <v/>
      </c>
      <c r="AV28" s="189" t="str">
        <f>IF(OR($B28="", $AP28 = ""), "", IF(VLOOKUP($AP28, CONTRATOS!B:K,4,FALSE)="","",VLOOKUP($AP28, CONTRATOS!B:K,4, FALSE)))</f>
        <v/>
      </c>
      <c r="AW28" s="190" t="str">
        <f t="shared" si="6"/>
        <v/>
      </c>
      <c r="AX28" s="189" t="str">
        <f t="shared" si="7"/>
        <v/>
      </c>
      <c r="AY28" s="189" t="str">
        <f t="shared" si="8"/>
        <v/>
      </c>
      <c r="AZ28" s="189" t="str">
        <f t="shared" si="9"/>
        <v/>
      </c>
      <c r="BA28" s="189" t="str">
        <f t="shared" si="10"/>
        <v/>
      </c>
      <c r="BB28" s="191">
        <f t="shared" si="25"/>
        <v>0</v>
      </c>
      <c r="BC28" s="191" t="str">
        <f t="shared" si="26"/>
        <v/>
      </c>
      <c r="BD28" s="191" t="str">
        <f t="shared" si="27"/>
        <v/>
      </c>
      <c r="BF28" s="192">
        <f t="shared" si="28"/>
        <v>0</v>
      </c>
      <c r="BG28" s="192">
        <f t="shared" si="29"/>
        <v>0</v>
      </c>
      <c r="BH28" s="192" t="str">
        <f>IF( $B28="", "", IF(ISNA(VLOOKUP($C28, Defesa!$C$7:$C$29,1,FALSE)),1,0))</f>
        <v/>
      </c>
      <c r="BI28" s="193" t="str">
        <f t="shared" si="30"/>
        <v/>
      </c>
      <c r="BJ28" s="193" t="str">
        <f>IF($B28="", "", IF( AND( $AI28="ESTIMATIVA", OR( Defesa!$F$7 = "AUTOMÁTICA", Defesa!$F$7 ="100% BASELINE")), 1, 0))</f>
        <v/>
      </c>
      <c r="BK28" s="192" t="str">
        <f t="shared" si="11"/>
        <v/>
      </c>
      <c r="BL28" s="192">
        <f t="shared" si="31"/>
        <v>0</v>
      </c>
      <c r="BM28" s="192" t="str">
        <f>IF($AC28="", "", IF(ISNA(VLOOKUP($AC28, TABELAS!$Q:$Q, 1, FALSE)), 1, 0))</f>
        <v/>
      </c>
      <c r="BN28" s="194" t="str">
        <f t="shared" si="12"/>
        <v/>
      </c>
      <c r="BO28" s="192" t="str">
        <f t="shared" si="32"/>
        <v/>
      </c>
      <c r="BP28" s="192" t="str">
        <f t="shared" si="33"/>
        <v/>
      </c>
      <c r="BQ28" s="193" t="str">
        <f t="shared" si="34"/>
        <v/>
      </c>
      <c r="BR28" s="192" t="str">
        <f t="shared" si="35"/>
        <v/>
      </c>
      <c r="BS28" s="192" t="str">
        <f t="shared" si="36"/>
        <v/>
      </c>
      <c r="BT28" s="192" t="str">
        <f>IF(OR($B28="", $AH28 = "SIM"), "", IF( ISNA(VLOOKUP($AP28,#REF!, 1, FALSE)), 1, 0))</f>
        <v/>
      </c>
      <c r="BU28" s="192" t="str">
        <f t="shared" si="37"/>
        <v/>
      </c>
      <c r="BV28" s="192" t="str">
        <f>IF( $B28="", "", IF( ISNA(VLOOKUP($AN28, TABELAS!$T$2:$T$9,1,FALSE)), 1, 0))</f>
        <v/>
      </c>
      <c r="BW28" s="192" t="str">
        <f t="shared" si="38"/>
        <v/>
      </c>
      <c r="BX28" s="192" t="str">
        <f>IF( OR($B28="", $AH28 = "SIM"), "", IF( ISNA( VLOOKUP( $AQ28, SISTEMA!$B:$B, 1, FALSE)), 1, 0))</f>
        <v/>
      </c>
      <c r="BY28" s="193" t="str">
        <f t="shared" si="39"/>
        <v/>
      </c>
      <c r="BZ28" s="193" t="str">
        <f t="shared" si="40"/>
        <v/>
      </c>
      <c r="CA28" s="192" t="str">
        <f t="shared" si="41"/>
        <v/>
      </c>
      <c r="CB28" s="193" t="str">
        <f t="shared" si="42"/>
        <v/>
      </c>
      <c r="CC28" s="193" t="str">
        <f t="shared" si="43"/>
        <v/>
      </c>
      <c r="CD28" s="193" t="str">
        <f t="shared" si="44"/>
        <v/>
      </c>
    </row>
    <row r="29" spans="1:82" x14ac:dyDescent="0.2">
      <c r="A29" s="140"/>
      <c r="B29" s="141" t="str">
        <f t="shared" si="13"/>
        <v/>
      </c>
      <c r="C29" s="142" t="str">
        <f t="shared" si="1"/>
        <v/>
      </c>
      <c r="D29" s="142" t="str">
        <f t="shared" si="14"/>
        <v/>
      </c>
      <c r="E29" s="142" t="str">
        <f>IF($C29="", "", COUNTIF($M$8:$M29,$D29))</f>
        <v/>
      </c>
      <c r="F29" s="254">
        <v>22</v>
      </c>
      <c r="G29" s="143"/>
      <c r="H29" s="144"/>
      <c r="I29" s="144"/>
      <c r="J29" s="145"/>
      <c r="K29" s="144"/>
      <c r="L29" s="144"/>
      <c r="M29" s="144"/>
      <c r="N29" s="146"/>
      <c r="O29" s="147"/>
      <c r="P29" s="147"/>
      <c r="Q29" s="147"/>
      <c r="R29" s="147"/>
      <c r="S29" s="147"/>
      <c r="T29" s="149"/>
      <c r="U29" s="150" t="str">
        <f>IF($T29="", "", VLOOKUP($T29, CONTRATOS!$B:$E, 2, FALSE))</f>
        <v/>
      </c>
      <c r="V29" s="151">
        <f>IF(OR($T29="",TB_DEFESA!$C$2="CARGA BASELINE"),0,
   IF(VLOOKUP($T29, CONTRATOS!B:E, 3, FALSE)&lt;&gt;"",1,IF(VLOOKUP($T29, CONTRATOS!B:E, 4, FALSE)&lt;&gt;"",2,0)))</f>
        <v>0</v>
      </c>
      <c r="W29" s="152"/>
      <c r="X29" s="152"/>
      <c r="Y29" s="153"/>
      <c r="Z29" s="154"/>
      <c r="AA29" s="155"/>
      <c r="AB29" s="156"/>
      <c r="AC29" s="157"/>
      <c r="AD29" s="155"/>
      <c r="AE29" s="158" t="str">
        <f t="shared" si="2"/>
        <v/>
      </c>
      <c r="AF29" s="160" t="str">
        <f t="shared" si="15"/>
        <v/>
      </c>
      <c r="AG29" s="182" t="s">
        <v>59</v>
      </c>
      <c r="AH29" s="183" t="str">
        <f t="shared" si="16"/>
        <v/>
      </c>
      <c r="AI29" s="183" t="str">
        <f t="shared" si="17"/>
        <v/>
      </c>
      <c r="AJ29" s="184" t="str">
        <f t="shared" si="18"/>
        <v/>
      </c>
      <c r="AK29" s="185" t="str">
        <f t="shared" si="19"/>
        <v/>
      </c>
      <c r="AL29" s="186"/>
      <c r="AM29" s="183" t="str">
        <f t="shared" si="20"/>
        <v/>
      </c>
      <c r="AN29" s="183" t="str">
        <f t="shared" si="21"/>
        <v/>
      </c>
      <c r="AO29" s="186" t="str">
        <f t="shared" si="22"/>
        <v/>
      </c>
      <c r="AP29" s="187" t="str">
        <f t="shared" si="23"/>
        <v/>
      </c>
      <c r="AQ29" s="187" t="str">
        <f t="shared" si="24"/>
        <v/>
      </c>
      <c r="AR29" s="188" t="str">
        <f t="shared" si="3"/>
        <v/>
      </c>
      <c r="AS29" s="188" t="str">
        <f t="shared" si="4"/>
        <v/>
      </c>
      <c r="AT29" s="183" t="str">
        <f t="shared" si="5"/>
        <v/>
      </c>
      <c r="AU29" s="189" t="str">
        <f>IF(OR($B29="", $AP29= ""),"",IF(VLOOKUP($AP29, CONTRATOS!B:K,3,FALSE)="","",VLOOKUP($AP29, CONTRATOS!B:K, 3,FALSE)))</f>
        <v/>
      </c>
      <c r="AV29" s="189" t="str">
        <f>IF(OR($B29="", $AP29 = ""), "", IF(VLOOKUP($AP29, CONTRATOS!B:K,4,FALSE)="","",VLOOKUP($AP29, CONTRATOS!B:K,4, FALSE)))</f>
        <v/>
      </c>
      <c r="AW29" s="190" t="str">
        <f t="shared" si="6"/>
        <v/>
      </c>
      <c r="AX29" s="189" t="str">
        <f t="shared" si="7"/>
        <v/>
      </c>
      <c r="AY29" s="189" t="str">
        <f t="shared" si="8"/>
        <v/>
      </c>
      <c r="AZ29" s="189" t="str">
        <f t="shared" si="9"/>
        <v/>
      </c>
      <c r="BA29" s="189" t="str">
        <f t="shared" si="10"/>
        <v/>
      </c>
      <c r="BB29" s="191">
        <f t="shared" si="25"/>
        <v>0</v>
      </c>
      <c r="BC29" s="191" t="str">
        <f t="shared" si="26"/>
        <v/>
      </c>
      <c r="BD29" s="191" t="str">
        <f t="shared" si="27"/>
        <v/>
      </c>
      <c r="BF29" s="192">
        <f t="shared" si="28"/>
        <v>0</v>
      </c>
      <c r="BG29" s="192">
        <f t="shared" si="29"/>
        <v>0</v>
      </c>
      <c r="BH29" s="192" t="str">
        <f>IF( $B29="", "", IF(ISNA(VLOOKUP($C29, Defesa!$C$7:$C$29,1,FALSE)),1,0))</f>
        <v/>
      </c>
      <c r="BI29" s="193" t="str">
        <f t="shared" si="30"/>
        <v/>
      </c>
      <c r="BJ29" s="193" t="str">
        <f>IF($B29="", "", IF( AND( $AI29="ESTIMATIVA", OR( Defesa!$F$7 = "AUTOMÁTICA", Defesa!$F$7 ="100% BASELINE")), 1, 0))</f>
        <v/>
      </c>
      <c r="BK29" s="192" t="str">
        <f t="shared" si="11"/>
        <v/>
      </c>
      <c r="BL29" s="192">
        <f t="shared" si="31"/>
        <v>0</v>
      </c>
      <c r="BM29" s="192" t="str">
        <f>IF($AC29="", "", IF(ISNA(VLOOKUP($AC29, TABELAS!$Q:$Q, 1, FALSE)), 1, 0))</f>
        <v/>
      </c>
      <c r="BN29" s="194" t="str">
        <f t="shared" si="12"/>
        <v/>
      </c>
      <c r="BO29" s="192" t="str">
        <f t="shared" si="32"/>
        <v/>
      </c>
      <c r="BP29" s="192" t="str">
        <f t="shared" si="33"/>
        <v/>
      </c>
      <c r="BQ29" s="193" t="str">
        <f t="shared" si="34"/>
        <v/>
      </c>
      <c r="BR29" s="192" t="str">
        <f t="shared" si="35"/>
        <v/>
      </c>
      <c r="BS29" s="192" t="str">
        <f t="shared" si="36"/>
        <v/>
      </c>
      <c r="BT29" s="192" t="str">
        <f>IF(OR($B29="", $AH29 = "SIM"), "", IF( ISNA(VLOOKUP($AP29,#REF!, 1, FALSE)), 1, 0))</f>
        <v/>
      </c>
      <c r="BU29" s="192" t="str">
        <f t="shared" si="37"/>
        <v/>
      </c>
      <c r="BV29" s="192" t="str">
        <f>IF( $B29="", "", IF( ISNA(VLOOKUP($AN29, TABELAS!$T$2:$T$9,1,FALSE)), 1, 0))</f>
        <v/>
      </c>
      <c r="BW29" s="192" t="str">
        <f t="shared" si="38"/>
        <v/>
      </c>
      <c r="BX29" s="192" t="str">
        <f>IF( OR($B29="", $AH29 = "SIM"), "", IF( ISNA( VLOOKUP( $AQ29, SISTEMA!$B:$B, 1, FALSE)), 1, 0))</f>
        <v/>
      </c>
      <c r="BY29" s="193" t="str">
        <f t="shared" si="39"/>
        <v/>
      </c>
      <c r="BZ29" s="193" t="str">
        <f t="shared" si="40"/>
        <v/>
      </c>
      <c r="CA29" s="192" t="str">
        <f t="shared" si="41"/>
        <v/>
      </c>
      <c r="CB29" s="193" t="str">
        <f t="shared" si="42"/>
        <v/>
      </c>
      <c r="CC29" s="193" t="str">
        <f t="shared" si="43"/>
        <v/>
      </c>
      <c r="CD29" s="193" t="str">
        <f t="shared" si="44"/>
        <v/>
      </c>
    </row>
    <row r="30" spans="1:82" x14ac:dyDescent="0.2">
      <c r="A30" s="140"/>
      <c r="B30" s="141" t="str">
        <f t="shared" si="13"/>
        <v/>
      </c>
      <c r="C30" s="142" t="str">
        <f t="shared" si="1"/>
        <v/>
      </c>
      <c r="D30" s="142" t="str">
        <f t="shared" si="14"/>
        <v/>
      </c>
      <c r="E30" s="142" t="str">
        <f>IF($C30="", "", COUNTIF($M$8:$M30,$D30))</f>
        <v/>
      </c>
      <c r="F30" s="254">
        <v>23</v>
      </c>
      <c r="G30" s="143"/>
      <c r="H30" s="144"/>
      <c r="I30" s="144"/>
      <c r="J30" s="145"/>
      <c r="K30" s="144"/>
      <c r="L30" s="144"/>
      <c r="M30" s="144"/>
      <c r="N30" s="146"/>
      <c r="O30" s="147"/>
      <c r="P30" s="147"/>
      <c r="Q30" s="147"/>
      <c r="R30" s="147"/>
      <c r="S30" s="147"/>
      <c r="T30" s="149"/>
      <c r="U30" s="150" t="str">
        <f>IF($T30="", "", VLOOKUP($T30, CONTRATOS!$B:$E, 2, FALSE))</f>
        <v/>
      </c>
      <c r="V30" s="151">
        <f>IF(OR($T30="",TB_DEFESA!$C$2="CARGA BASELINE"),0,
   IF(VLOOKUP($T30, CONTRATOS!B:E, 3, FALSE)&lt;&gt;"",1,IF(VLOOKUP($T30, CONTRATOS!B:E, 4, FALSE)&lt;&gt;"",2,0)))</f>
        <v>0</v>
      </c>
      <c r="W30" s="152"/>
      <c r="X30" s="152"/>
      <c r="Y30" s="153"/>
      <c r="Z30" s="154"/>
      <c r="AA30" s="155"/>
      <c r="AB30" s="156"/>
      <c r="AC30" s="157"/>
      <c r="AD30" s="155"/>
      <c r="AE30" s="158" t="str">
        <f t="shared" si="2"/>
        <v/>
      </c>
      <c r="AF30" s="160" t="str">
        <f t="shared" si="15"/>
        <v/>
      </c>
      <c r="AG30" s="182" t="s">
        <v>59</v>
      </c>
      <c r="AH30" s="183" t="str">
        <f t="shared" si="16"/>
        <v/>
      </c>
      <c r="AI30" s="183" t="str">
        <f t="shared" si="17"/>
        <v/>
      </c>
      <c r="AJ30" s="184" t="str">
        <f t="shared" si="18"/>
        <v/>
      </c>
      <c r="AK30" s="185" t="str">
        <f t="shared" si="19"/>
        <v/>
      </c>
      <c r="AL30" s="186"/>
      <c r="AM30" s="183" t="str">
        <f t="shared" si="20"/>
        <v/>
      </c>
      <c r="AN30" s="183" t="str">
        <f t="shared" si="21"/>
        <v/>
      </c>
      <c r="AO30" s="186" t="str">
        <f t="shared" si="22"/>
        <v/>
      </c>
      <c r="AP30" s="187" t="str">
        <f t="shared" si="23"/>
        <v/>
      </c>
      <c r="AQ30" s="187" t="str">
        <f t="shared" si="24"/>
        <v/>
      </c>
      <c r="AR30" s="188" t="str">
        <f t="shared" si="3"/>
        <v/>
      </c>
      <c r="AS30" s="188" t="str">
        <f t="shared" si="4"/>
        <v/>
      </c>
      <c r="AT30" s="183" t="str">
        <f t="shared" si="5"/>
        <v/>
      </c>
      <c r="AU30" s="189" t="str">
        <f>IF(OR($B30="", $AP30= ""),"",IF(VLOOKUP($AP30, CONTRATOS!B:K,3,FALSE)="","",VLOOKUP($AP30, CONTRATOS!B:K, 3,FALSE)))</f>
        <v/>
      </c>
      <c r="AV30" s="189" t="str">
        <f>IF(OR($B30="", $AP30 = ""), "", IF(VLOOKUP($AP30, CONTRATOS!B:K,4,FALSE)="","",VLOOKUP($AP30, CONTRATOS!B:K,4, FALSE)))</f>
        <v/>
      </c>
      <c r="AW30" s="190" t="str">
        <f t="shared" si="6"/>
        <v/>
      </c>
      <c r="AX30" s="189" t="str">
        <f t="shared" si="7"/>
        <v/>
      </c>
      <c r="AY30" s="189" t="str">
        <f t="shared" si="8"/>
        <v/>
      </c>
      <c r="AZ30" s="189" t="str">
        <f t="shared" si="9"/>
        <v/>
      </c>
      <c r="BA30" s="189" t="str">
        <f t="shared" si="10"/>
        <v/>
      </c>
      <c r="BB30" s="191">
        <f t="shared" si="25"/>
        <v>0</v>
      </c>
      <c r="BC30" s="191" t="str">
        <f t="shared" si="26"/>
        <v/>
      </c>
      <c r="BD30" s="191" t="str">
        <f t="shared" si="27"/>
        <v/>
      </c>
      <c r="BF30" s="192">
        <f t="shared" si="28"/>
        <v>0</v>
      </c>
      <c r="BG30" s="192">
        <f t="shared" si="29"/>
        <v>0</v>
      </c>
      <c r="BH30" s="192" t="str">
        <f>IF( $B30="", "", IF(ISNA(VLOOKUP($C30, Defesa!$C$7:$C$29,1,FALSE)),1,0))</f>
        <v/>
      </c>
      <c r="BI30" s="193" t="str">
        <f t="shared" si="30"/>
        <v/>
      </c>
      <c r="BJ30" s="193" t="str">
        <f>IF($B30="", "", IF( AND( $AI30="ESTIMATIVA", OR( Defesa!$F$7 = "AUTOMÁTICA", Defesa!$F$7 ="100% BASELINE")), 1, 0))</f>
        <v/>
      </c>
      <c r="BK30" s="192" t="str">
        <f t="shared" si="11"/>
        <v/>
      </c>
      <c r="BL30" s="192">
        <f t="shared" si="31"/>
        <v>0</v>
      </c>
      <c r="BM30" s="192" t="str">
        <f>IF($AC30="", "", IF(ISNA(VLOOKUP($AC30, TABELAS!$Q:$Q, 1, FALSE)), 1, 0))</f>
        <v/>
      </c>
      <c r="BN30" s="194" t="str">
        <f t="shared" si="12"/>
        <v/>
      </c>
      <c r="BO30" s="192" t="str">
        <f t="shared" si="32"/>
        <v/>
      </c>
      <c r="BP30" s="192" t="str">
        <f t="shared" si="33"/>
        <v/>
      </c>
      <c r="BQ30" s="193" t="str">
        <f t="shared" si="34"/>
        <v/>
      </c>
      <c r="BR30" s="192" t="str">
        <f t="shared" si="35"/>
        <v/>
      </c>
      <c r="BS30" s="192" t="str">
        <f t="shared" si="36"/>
        <v/>
      </c>
      <c r="BT30" s="192" t="str">
        <f>IF(OR($B30="", $AH30 = "SIM"), "", IF( ISNA(VLOOKUP($AP30,#REF!, 1, FALSE)), 1, 0))</f>
        <v/>
      </c>
      <c r="BU30" s="192" t="str">
        <f t="shared" si="37"/>
        <v/>
      </c>
      <c r="BV30" s="192" t="str">
        <f>IF( $B30="", "", IF( ISNA(VLOOKUP($AN30, TABELAS!$T$2:$T$9,1,FALSE)), 1, 0))</f>
        <v/>
      </c>
      <c r="BW30" s="192" t="str">
        <f t="shared" si="38"/>
        <v/>
      </c>
      <c r="BX30" s="192" t="str">
        <f>IF( OR($B30="", $AH30 = "SIM"), "", IF( ISNA( VLOOKUP( $AQ30, SISTEMA!$B:$B, 1, FALSE)), 1, 0))</f>
        <v/>
      </c>
      <c r="BY30" s="193" t="str">
        <f t="shared" si="39"/>
        <v/>
      </c>
      <c r="BZ30" s="193" t="str">
        <f t="shared" si="40"/>
        <v/>
      </c>
      <c r="CA30" s="192" t="str">
        <f t="shared" si="41"/>
        <v/>
      </c>
      <c r="CB30" s="193" t="str">
        <f t="shared" si="42"/>
        <v/>
      </c>
      <c r="CC30" s="193" t="str">
        <f t="shared" si="43"/>
        <v/>
      </c>
      <c r="CD30" s="193" t="str">
        <f t="shared" si="44"/>
        <v/>
      </c>
    </row>
    <row r="31" spans="1:82" ht="14.25" x14ac:dyDescent="0.2">
      <c r="A31" s="140"/>
      <c r="B31" s="141" t="str">
        <f t="shared" si="13"/>
        <v/>
      </c>
      <c r="C31" s="142" t="str">
        <f t="shared" si="1"/>
        <v/>
      </c>
      <c r="D31" s="142" t="str">
        <f t="shared" si="14"/>
        <v/>
      </c>
      <c r="E31" s="142" t="str">
        <f>IF($C31="", "", COUNTIF($M$8:$M31,$D31))</f>
        <v/>
      </c>
      <c r="F31" s="254">
        <v>24</v>
      </c>
      <c r="G31" s="143"/>
      <c r="H31" s="144"/>
      <c r="I31" s="144"/>
      <c r="J31" s="145"/>
      <c r="K31" s="144"/>
      <c r="L31" s="144"/>
      <c r="M31" s="144"/>
      <c r="N31" s="146"/>
      <c r="O31" s="147"/>
      <c r="P31" s="147"/>
      <c r="Q31" s="147"/>
      <c r="R31" s="147"/>
      <c r="S31" s="147"/>
      <c r="T31" s="149"/>
      <c r="U31" s="150" t="str">
        <f>IF($T31="", "", VLOOKUP($T31, CONTRATOS!$B:$E, 2, FALSE))</f>
        <v/>
      </c>
      <c r="V31" s="151">
        <f>IF(OR($T31="",TB_DEFESA!$C$2="CARGA BASELINE"),0,
   IF(VLOOKUP($T31, CONTRATOS!B:E, 3, FALSE)&lt;&gt;"",1,IF(VLOOKUP($T31, CONTRATOS!B:E, 4, FALSE)&lt;&gt;"",2,0)))</f>
        <v>0</v>
      </c>
      <c r="W31" s="161"/>
      <c r="X31" s="152"/>
      <c r="Y31" s="153"/>
      <c r="Z31" s="154"/>
      <c r="AA31" s="155"/>
      <c r="AB31" s="156"/>
      <c r="AC31" s="157"/>
      <c r="AD31" s="155"/>
      <c r="AE31" s="158" t="str">
        <f t="shared" si="2"/>
        <v/>
      </c>
      <c r="AF31" s="160" t="str">
        <f t="shared" si="15"/>
        <v/>
      </c>
      <c r="AG31" s="182" t="s">
        <v>59</v>
      </c>
      <c r="AH31" s="183" t="str">
        <f t="shared" si="16"/>
        <v/>
      </c>
      <c r="AI31" s="183" t="str">
        <f t="shared" si="17"/>
        <v/>
      </c>
      <c r="AJ31" s="184" t="str">
        <f t="shared" si="18"/>
        <v/>
      </c>
      <c r="AK31" s="185" t="str">
        <f t="shared" si="19"/>
        <v/>
      </c>
      <c r="AL31" s="186"/>
      <c r="AM31" s="183" t="str">
        <f t="shared" si="20"/>
        <v/>
      </c>
      <c r="AN31" s="183" t="str">
        <f t="shared" si="21"/>
        <v/>
      </c>
      <c r="AO31" s="186" t="str">
        <f t="shared" si="22"/>
        <v/>
      </c>
      <c r="AP31" s="187" t="str">
        <f t="shared" si="23"/>
        <v/>
      </c>
      <c r="AQ31" s="187" t="str">
        <f t="shared" si="24"/>
        <v/>
      </c>
      <c r="AR31" s="188" t="str">
        <f t="shared" si="3"/>
        <v/>
      </c>
      <c r="AS31" s="188" t="str">
        <f t="shared" si="4"/>
        <v/>
      </c>
      <c r="AT31" s="183" t="str">
        <f t="shared" si="5"/>
        <v/>
      </c>
      <c r="AU31" s="189" t="str">
        <f>IF(OR($B31="", $AP31= ""),"",IF(VLOOKUP($AP31, CONTRATOS!B:K,3,FALSE)="","",VLOOKUP($AP31, CONTRATOS!B:K, 3,FALSE)))</f>
        <v/>
      </c>
      <c r="AV31" s="189" t="str">
        <f>IF(OR($B31="", $AP31 = ""), "", IF(VLOOKUP($AP31, CONTRATOS!B:K,4,FALSE)="","",VLOOKUP($AP31, CONTRATOS!B:K,4, FALSE)))</f>
        <v/>
      </c>
      <c r="AW31" s="190" t="str">
        <f t="shared" si="6"/>
        <v/>
      </c>
      <c r="AX31" s="189" t="str">
        <f t="shared" si="7"/>
        <v/>
      </c>
      <c r="AY31" s="189" t="str">
        <f t="shared" si="8"/>
        <v/>
      </c>
      <c r="AZ31" s="189" t="str">
        <f t="shared" si="9"/>
        <v/>
      </c>
      <c r="BA31" s="189" t="str">
        <f t="shared" si="10"/>
        <v/>
      </c>
      <c r="BB31" s="191">
        <f t="shared" si="25"/>
        <v>0</v>
      </c>
      <c r="BC31" s="191" t="str">
        <f t="shared" si="26"/>
        <v/>
      </c>
      <c r="BD31" s="191" t="str">
        <f t="shared" si="27"/>
        <v/>
      </c>
      <c r="BF31" s="192">
        <f t="shared" si="28"/>
        <v>0</v>
      </c>
      <c r="BG31" s="192">
        <f t="shared" si="29"/>
        <v>0</v>
      </c>
      <c r="BH31" s="192" t="str">
        <f>IF( $B31="", "", IF(ISNA(VLOOKUP($C31, Defesa!$C$7:$C$29,1,FALSE)),1,0))</f>
        <v/>
      </c>
      <c r="BI31" s="193" t="str">
        <f t="shared" si="30"/>
        <v/>
      </c>
      <c r="BJ31" s="193" t="str">
        <f>IF($B31="", "", IF( AND( $AI31="ESTIMATIVA", OR( Defesa!$F$7 = "AUTOMÁTICA", Defesa!$F$7 ="100% BASELINE")), 1, 0))</f>
        <v/>
      </c>
      <c r="BK31" s="192" t="str">
        <f t="shared" si="11"/>
        <v/>
      </c>
      <c r="BL31" s="192">
        <f t="shared" si="31"/>
        <v>0</v>
      </c>
      <c r="BM31" s="192" t="str">
        <f>IF($AC31="", "", IF(ISNA(VLOOKUP($AC31, TABELAS!$Q:$Q, 1, FALSE)), 1, 0))</f>
        <v/>
      </c>
      <c r="BN31" s="194" t="str">
        <f t="shared" si="12"/>
        <v/>
      </c>
      <c r="BO31" s="192" t="str">
        <f t="shared" si="32"/>
        <v/>
      </c>
      <c r="BP31" s="192" t="str">
        <f t="shared" si="33"/>
        <v/>
      </c>
      <c r="BQ31" s="193" t="str">
        <f t="shared" si="34"/>
        <v/>
      </c>
      <c r="BR31" s="192" t="str">
        <f t="shared" si="35"/>
        <v/>
      </c>
      <c r="BS31" s="192" t="str">
        <f t="shared" si="36"/>
        <v/>
      </c>
      <c r="BT31" s="192" t="str">
        <f>IF(OR($B31="", $AH31 = "SIM"), "", IF( ISNA(VLOOKUP($AP31,#REF!, 1, FALSE)), 1, 0))</f>
        <v/>
      </c>
      <c r="BU31" s="192" t="str">
        <f t="shared" si="37"/>
        <v/>
      </c>
      <c r="BV31" s="192" t="str">
        <f>IF( $B31="", "", IF( ISNA(VLOOKUP($AN31, TABELAS!$T$2:$T$9,1,FALSE)), 1, 0))</f>
        <v/>
      </c>
      <c r="BW31" s="192" t="str">
        <f t="shared" si="38"/>
        <v/>
      </c>
      <c r="BX31" s="192" t="str">
        <f>IF( OR($B31="", $AH31 = "SIM"), "", IF( ISNA( VLOOKUP( $AQ31, SISTEMA!$B:$B, 1, FALSE)), 1, 0))</f>
        <v/>
      </c>
      <c r="BY31" s="193" t="str">
        <f t="shared" si="39"/>
        <v/>
      </c>
      <c r="BZ31" s="193" t="str">
        <f t="shared" si="40"/>
        <v/>
      </c>
      <c r="CA31" s="192" t="str">
        <f t="shared" si="41"/>
        <v/>
      </c>
      <c r="CB31" s="193" t="str">
        <f t="shared" si="42"/>
        <v/>
      </c>
      <c r="CC31" s="193" t="str">
        <f t="shared" si="43"/>
        <v/>
      </c>
      <c r="CD31" s="193" t="str">
        <f t="shared" si="44"/>
        <v/>
      </c>
    </row>
    <row r="32" spans="1:82" x14ac:dyDescent="0.2">
      <c r="A32" s="140"/>
      <c r="B32" s="141" t="str">
        <f t="shared" si="13"/>
        <v/>
      </c>
      <c r="C32" s="142" t="str">
        <f t="shared" si="1"/>
        <v/>
      </c>
      <c r="D32" s="142" t="str">
        <f t="shared" si="14"/>
        <v/>
      </c>
      <c r="E32" s="142" t="str">
        <f>IF($C32="", "", COUNTIF($M$8:$M32,$D32))</f>
        <v/>
      </c>
      <c r="F32" s="254">
        <v>25</v>
      </c>
      <c r="G32" s="143"/>
      <c r="H32" s="144"/>
      <c r="I32" s="144"/>
      <c r="J32" s="145"/>
      <c r="K32" s="144"/>
      <c r="L32" s="144"/>
      <c r="M32" s="144"/>
      <c r="N32" s="146"/>
      <c r="O32" s="147"/>
      <c r="P32" s="147"/>
      <c r="Q32" s="147"/>
      <c r="R32" s="147"/>
      <c r="S32" s="147"/>
      <c r="T32" s="149"/>
      <c r="U32" s="150" t="str">
        <f>IF($T32="", "", VLOOKUP($T32, CONTRATOS!$B:$E, 2, FALSE))</f>
        <v/>
      </c>
      <c r="V32" s="151">
        <f>IF(OR($T32="",TB_DEFESA!$C$2="CARGA BASELINE"),0,
   IF(VLOOKUP($T32, CONTRATOS!B:E, 3, FALSE)&lt;&gt;"",1,IF(VLOOKUP($T32, CONTRATOS!B:E, 4, FALSE)&lt;&gt;"",2,0)))</f>
        <v>0</v>
      </c>
      <c r="W32" s="152"/>
      <c r="X32" s="152"/>
      <c r="Y32" s="153"/>
      <c r="Z32" s="154"/>
      <c r="AA32" s="155"/>
      <c r="AB32" s="156"/>
      <c r="AC32" s="157"/>
      <c r="AD32" s="155"/>
      <c r="AE32" s="158" t="str">
        <f t="shared" si="2"/>
        <v/>
      </c>
      <c r="AF32" s="160" t="str">
        <f t="shared" si="15"/>
        <v/>
      </c>
      <c r="AG32" s="182" t="s">
        <v>59</v>
      </c>
      <c r="AH32" s="183" t="str">
        <f t="shared" si="16"/>
        <v/>
      </c>
      <c r="AI32" s="183" t="str">
        <f t="shared" si="17"/>
        <v/>
      </c>
      <c r="AJ32" s="184" t="str">
        <f t="shared" si="18"/>
        <v/>
      </c>
      <c r="AK32" s="185" t="str">
        <f t="shared" si="19"/>
        <v/>
      </c>
      <c r="AL32" s="186"/>
      <c r="AM32" s="183" t="str">
        <f t="shared" si="20"/>
        <v/>
      </c>
      <c r="AN32" s="183" t="str">
        <f t="shared" si="21"/>
        <v/>
      </c>
      <c r="AO32" s="186" t="str">
        <f t="shared" si="22"/>
        <v/>
      </c>
      <c r="AP32" s="187" t="str">
        <f t="shared" si="23"/>
        <v/>
      </c>
      <c r="AQ32" s="187" t="str">
        <f t="shared" si="24"/>
        <v/>
      </c>
      <c r="AR32" s="188" t="str">
        <f t="shared" si="3"/>
        <v/>
      </c>
      <c r="AS32" s="188" t="str">
        <f t="shared" si="4"/>
        <v/>
      </c>
      <c r="AT32" s="183" t="str">
        <f t="shared" si="5"/>
        <v/>
      </c>
      <c r="AU32" s="189" t="str">
        <f>IF(OR($B32="", $AP32= ""),"",IF(VLOOKUP($AP32, CONTRATOS!B:K,3,FALSE)="","",VLOOKUP($AP32, CONTRATOS!B:K, 3,FALSE)))</f>
        <v/>
      </c>
      <c r="AV32" s="189" t="str">
        <f>IF(OR($B32="", $AP32 = ""), "", IF(VLOOKUP($AP32, CONTRATOS!B:K,4,FALSE)="","",VLOOKUP($AP32, CONTRATOS!B:K,4, FALSE)))</f>
        <v/>
      </c>
      <c r="AW32" s="190" t="str">
        <f t="shared" si="6"/>
        <v/>
      </c>
      <c r="AX32" s="189" t="str">
        <f t="shared" si="7"/>
        <v/>
      </c>
      <c r="AY32" s="189" t="str">
        <f t="shared" si="8"/>
        <v/>
      </c>
      <c r="AZ32" s="189" t="str">
        <f t="shared" si="9"/>
        <v/>
      </c>
      <c r="BA32" s="189" t="str">
        <f t="shared" si="10"/>
        <v/>
      </c>
      <c r="BB32" s="191">
        <f t="shared" si="25"/>
        <v>0</v>
      </c>
      <c r="BC32" s="191" t="str">
        <f t="shared" si="26"/>
        <v/>
      </c>
      <c r="BD32" s="191" t="str">
        <f t="shared" si="27"/>
        <v/>
      </c>
      <c r="BF32" s="192">
        <f t="shared" si="28"/>
        <v>0</v>
      </c>
      <c r="BG32" s="192">
        <f t="shared" si="29"/>
        <v>0</v>
      </c>
      <c r="BH32" s="192" t="str">
        <f>IF( $B32="", "", IF(ISNA(VLOOKUP($C32, Defesa!$C$7:$C$29,1,FALSE)),1,0))</f>
        <v/>
      </c>
      <c r="BI32" s="193" t="str">
        <f t="shared" si="30"/>
        <v/>
      </c>
      <c r="BJ32" s="193" t="str">
        <f>IF($B32="", "", IF( AND( $AI32="ESTIMATIVA", OR( Defesa!$F$7 = "AUTOMÁTICA", Defesa!$F$7 ="100% BASELINE")), 1, 0))</f>
        <v/>
      </c>
      <c r="BK32" s="192" t="str">
        <f t="shared" si="11"/>
        <v/>
      </c>
      <c r="BL32" s="192">
        <f t="shared" si="31"/>
        <v>0</v>
      </c>
      <c r="BM32" s="192" t="str">
        <f>IF($AC32="", "", IF(ISNA(VLOOKUP($AC32, TABELAS!$Q:$Q, 1, FALSE)), 1, 0))</f>
        <v/>
      </c>
      <c r="BN32" s="194" t="str">
        <f t="shared" si="12"/>
        <v/>
      </c>
      <c r="BO32" s="192" t="str">
        <f t="shared" si="32"/>
        <v/>
      </c>
      <c r="BP32" s="192" t="str">
        <f t="shared" si="33"/>
        <v/>
      </c>
      <c r="BQ32" s="193" t="str">
        <f t="shared" si="34"/>
        <v/>
      </c>
      <c r="BR32" s="192" t="str">
        <f t="shared" si="35"/>
        <v/>
      </c>
      <c r="BS32" s="192" t="str">
        <f t="shared" si="36"/>
        <v/>
      </c>
      <c r="BT32" s="192" t="str">
        <f>IF(OR($B32="", $AH32 = "SIM"), "", IF( ISNA(VLOOKUP($AP32,#REF!, 1, FALSE)), 1, 0))</f>
        <v/>
      </c>
      <c r="BU32" s="192" t="str">
        <f t="shared" si="37"/>
        <v/>
      </c>
      <c r="BV32" s="192" t="str">
        <f>IF( $B32="", "", IF( ISNA(VLOOKUP($AN32, TABELAS!$T$2:$T$9,1,FALSE)), 1, 0))</f>
        <v/>
      </c>
      <c r="BW32" s="192" t="str">
        <f t="shared" si="38"/>
        <v/>
      </c>
      <c r="BX32" s="192" t="str">
        <f>IF( OR($B32="", $AH32 = "SIM"), "", IF( ISNA( VLOOKUP( $AQ32, SISTEMA!$B:$B, 1, FALSE)), 1, 0))</f>
        <v/>
      </c>
      <c r="BY32" s="193" t="str">
        <f t="shared" si="39"/>
        <v/>
      </c>
      <c r="BZ32" s="193" t="str">
        <f t="shared" si="40"/>
        <v/>
      </c>
      <c r="CA32" s="192" t="str">
        <f t="shared" si="41"/>
        <v/>
      </c>
      <c r="CB32" s="193" t="str">
        <f t="shared" si="42"/>
        <v/>
      </c>
      <c r="CC32" s="193" t="str">
        <f t="shared" si="43"/>
        <v/>
      </c>
      <c r="CD32" s="193" t="str">
        <f t="shared" si="44"/>
        <v/>
      </c>
    </row>
    <row r="33" spans="1:82" x14ac:dyDescent="0.2">
      <c r="A33" s="140"/>
      <c r="B33" s="141" t="str">
        <f t="shared" si="13"/>
        <v/>
      </c>
      <c r="C33" s="142" t="str">
        <f t="shared" si="1"/>
        <v/>
      </c>
      <c r="D33" s="142" t="str">
        <f t="shared" si="14"/>
        <v/>
      </c>
      <c r="E33" s="142" t="str">
        <f>IF($C33="", "", COUNTIF($M$8:$M33,$D33))</f>
        <v/>
      </c>
      <c r="F33" s="254">
        <v>26</v>
      </c>
      <c r="G33" s="143"/>
      <c r="H33" s="144"/>
      <c r="I33" s="144"/>
      <c r="J33" s="145"/>
      <c r="K33" s="144"/>
      <c r="L33" s="144"/>
      <c r="M33" s="144"/>
      <c r="N33" s="146"/>
      <c r="O33" s="147"/>
      <c r="P33" s="147"/>
      <c r="Q33" s="147"/>
      <c r="R33" s="147"/>
      <c r="S33" s="147"/>
      <c r="T33" s="149"/>
      <c r="U33" s="150" t="str">
        <f>IF($T33="", "", VLOOKUP($T33, CONTRATOS!$B:$E, 2, FALSE))</f>
        <v/>
      </c>
      <c r="V33" s="151">
        <f>IF(OR($T33="",TB_DEFESA!$C$2="CARGA BASELINE"),0,
   IF(VLOOKUP($T33, CONTRATOS!B:E, 3, FALSE)&lt;&gt;"",1,IF(VLOOKUP($T33, CONTRATOS!B:E, 4, FALSE)&lt;&gt;"",2,0)))</f>
        <v>0</v>
      </c>
      <c r="W33" s="152"/>
      <c r="X33" s="152"/>
      <c r="Y33" s="153"/>
      <c r="Z33" s="154"/>
      <c r="AA33" s="155"/>
      <c r="AB33" s="156"/>
      <c r="AC33" s="157"/>
      <c r="AD33" s="155"/>
      <c r="AE33" s="158" t="str">
        <f t="shared" si="2"/>
        <v/>
      </c>
      <c r="AF33" s="160" t="str">
        <f t="shared" si="15"/>
        <v/>
      </c>
      <c r="AG33" s="182" t="s">
        <v>59</v>
      </c>
      <c r="AH33" s="183" t="str">
        <f t="shared" si="16"/>
        <v/>
      </c>
      <c r="AI33" s="183" t="str">
        <f t="shared" si="17"/>
        <v/>
      </c>
      <c r="AJ33" s="184" t="str">
        <f t="shared" si="18"/>
        <v/>
      </c>
      <c r="AK33" s="185" t="str">
        <f t="shared" si="19"/>
        <v/>
      </c>
      <c r="AL33" s="186"/>
      <c r="AM33" s="183" t="str">
        <f t="shared" si="20"/>
        <v/>
      </c>
      <c r="AN33" s="183" t="str">
        <f t="shared" si="21"/>
        <v/>
      </c>
      <c r="AO33" s="186" t="str">
        <f t="shared" si="22"/>
        <v/>
      </c>
      <c r="AP33" s="187" t="str">
        <f t="shared" si="23"/>
        <v/>
      </c>
      <c r="AQ33" s="187" t="str">
        <f t="shared" si="24"/>
        <v/>
      </c>
      <c r="AR33" s="188" t="str">
        <f t="shared" si="3"/>
        <v/>
      </c>
      <c r="AS33" s="188" t="str">
        <f t="shared" si="4"/>
        <v/>
      </c>
      <c r="AT33" s="183" t="str">
        <f t="shared" si="5"/>
        <v/>
      </c>
      <c r="AU33" s="189" t="str">
        <f>IF(OR($B33="", $AP33= ""),"",IF(VLOOKUP($AP33, CONTRATOS!B:K,3,FALSE)="","",VLOOKUP($AP33, CONTRATOS!B:K, 3,FALSE)))</f>
        <v/>
      </c>
      <c r="AV33" s="189" t="str">
        <f>IF(OR($B33="", $AP33 = ""), "", IF(VLOOKUP($AP33, CONTRATOS!B:K,4,FALSE)="","",VLOOKUP($AP33, CONTRATOS!B:K,4, FALSE)))</f>
        <v/>
      </c>
      <c r="AW33" s="190" t="str">
        <f t="shared" si="6"/>
        <v/>
      </c>
      <c r="AX33" s="189" t="str">
        <f t="shared" si="7"/>
        <v/>
      </c>
      <c r="AY33" s="189" t="str">
        <f t="shared" si="8"/>
        <v/>
      </c>
      <c r="AZ33" s="189" t="str">
        <f t="shared" si="9"/>
        <v/>
      </c>
      <c r="BA33" s="189" t="str">
        <f t="shared" si="10"/>
        <v/>
      </c>
      <c r="BB33" s="191">
        <f t="shared" si="25"/>
        <v>0</v>
      </c>
      <c r="BC33" s="191" t="str">
        <f t="shared" si="26"/>
        <v/>
      </c>
      <c r="BD33" s="191" t="str">
        <f t="shared" si="27"/>
        <v/>
      </c>
      <c r="BF33" s="192">
        <f t="shared" si="28"/>
        <v>0</v>
      </c>
      <c r="BG33" s="192">
        <f t="shared" si="29"/>
        <v>0</v>
      </c>
      <c r="BH33" s="192" t="str">
        <f>IF( $B33="", "", IF(ISNA(VLOOKUP($C33, Defesa!$C$7:$C$29,1,FALSE)),1,0))</f>
        <v/>
      </c>
      <c r="BI33" s="193" t="str">
        <f t="shared" si="30"/>
        <v/>
      </c>
      <c r="BJ33" s="193" t="str">
        <f>IF($B33="", "", IF( AND( $AI33="ESTIMATIVA", OR( Defesa!$F$7 = "AUTOMÁTICA", Defesa!$F$7 ="100% BASELINE")), 1, 0))</f>
        <v/>
      </c>
      <c r="BK33" s="192" t="str">
        <f t="shared" si="11"/>
        <v/>
      </c>
      <c r="BL33" s="192">
        <f t="shared" si="31"/>
        <v>0</v>
      </c>
      <c r="BM33" s="192" t="str">
        <f>IF($AC33="", "", IF(ISNA(VLOOKUP($AC33, TABELAS!$Q:$Q, 1, FALSE)), 1, 0))</f>
        <v/>
      </c>
      <c r="BN33" s="194" t="str">
        <f t="shared" si="12"/>
        <v/>
      </c>
      <c r="BO33" s="192" t="str">
        <f t="shared" si="32"/>
        <v/>
      </c>
      <c r="BP33" s="192" t="str">
        <f t="shared" si="33"/>
        <v/>
      </c>
      <c r="BQ33" s="193" t="str">
        <f t="shared" si="34"/>
        <v/>
      </c>
      <c r="BR33" s="192" t="str">
        <f t="shared" si="35"/>
        <v/>
      </c>
      <c r="BS33" s="192" t="str">
        <f t="shared" si="36"/>
        <v/>
      </c>
      <c r="BT33" s="192" t="str">
        <f>IF(OR($B33="", $AH33 = "SIM"), "", IF( ISNA(VLOOKUP($AP33,#REF!, 1, FALSE)), 1, 0))</f>
        <v/>
      </c>
      <c r="BU33" s="192" t="str">
        <f t="shared" si="37"/>
        <v/>
      </c>
      <c r="BV33" s="192" t="str">
        <f>IF( $B33="", "", IF( ISNA(VLOOKUP($AN33, TABELAS!$T$2:$T$9,1,FALSE)), 1, 0))</f>
        <v/>
      </c>
      <c r="BW33" s="192" t="str">
        <f t="shared" si="38"/>
        <v/>
      </c>
      <c r="BX33" s="192" t="str">
        <f>IF( OR($B33="", $AH33 = "SIM"), "", IF( ISNA( VLOOKUP( $AQ33, SISTEMA!$B:$B, 1, FALSE)), 1, 0))</f>
        <v/>
      </c>
      <c r="BY33" s="193" t="str">
        <f t="shared" si="39"/>
        <v/>
      </c>
      <c r="BZ33" s="193" t="str">
        <f t="shared" si="40"/>
        <v/>
      </c>
      <c r="CA33" s="192" t="str">
        <f t="shared" si="41"/>
        <v/>
      </c>
      <c r="CB33" s="193" t="str">
        <f t="shared" si="42"/>
        <v/>
      </c>
      <c r="CC33" s="193" t="str">
        <f t="shared" si="43"/>
        <v/>
      </c>
      <c r="CD33" s="193" t="str">
        <f t="shared" si="44"/>
        <v/>
      </c>
    </row>
    <row r="34" spans="1:82" x14ac:dyDescent="0.2">
      <c r="A34" s="140"/>
      <c r="B34" s="141" t="str">
        <f t="shared" si="13"/>
        <v/>
      </c>
      <c r="C34" s="142" t="str">
        <f t="shared" si="1"/>
        <v/>
      </c>
      <c r="D34" s="142" t="str">
        <f t="shared" si="14"/>
        <v/>
      </c>
      <c r="E34" s="142" t="str">
        <f>IF($C34="", "", COUNTIF($M$8:$M34,$D34))</f>
        <v/>
      </c>
      <c r="F34" s="254">
        <v>27</v>
      </c>
      <c r="G34" s="143"/>
      <c r="H34" s="144"/>
      <c r="I34" s="144"/>
      <c r="J34" s="145"/>
      <c r="K34" s="144"/>
      <c r="L34" s="144"/>
      <c r="M34" s="144"/>
      <c r="N34" s="146"/>
      <c r="O34" s="147"/>
      <c r="P34" s="147"/>
      <c r="Q34" s="147"/>
      <c r="R34" s="147"/>
      <c r="S34" s="147"/>
      <c r="T34" s="149"/>
      <c r="U34" s="150" t="str">
        <f>IF($T34="", "", VLOOKUP($T34, CONTRATOS!$B:$E, 2, FALSE))</f>
        <v/>
      </c>
      <c r="V34" s="151">
        <f>IF(OR($T34="",TB_DEFESA!$C$2="CARGA BASELINE"),0,
   IF(VLOOKUP($T34, CONTRATOS!B:E, 3, FALSE)&lt;&gt;"",1,IF(VLOOKUP($T34, CONTRATOS!B:E, 4, FALSE)&lt;&gt;"",2,0)))</f>
        <v>0</v>
      </c>
      <c r="W34" s="152"/>
      <c r="X34" s="152"/>
      <c r="Y34" s="153"/>
      <c r="Z34" s="154"/>
      <c r="AA34" s="155"/>
      <c r="AB34" s="156"/>
      <c r="AC34" s="157"/>
      <c r="AD34" s="155"/>
      <c r="AE34" s="158" t="str">
        <f t="shared" si="2"/>
        <v/>
      </c>
      <c r="AF34" s="160" t="str">
        <f t="shared" si="15"/>
        <v/>
      </c>
      <c r="AG34" s="182" t="s">
        <v>59</v>
      </c>
      <c r="AH34" s="183" t="str">
        <f t="shared" si="16"/>
        <v/>
      </c>
      <c r="AI34" s="183" t="str">
        <f t="shared" si="17"/>
        <v/>
      </c>
      <c r="AJ34" s="184" t="str">
        <f t="shared" si="18"/>
        <v/>
      </c>
      <c r="AK34" s="185" t="str">
        <f t="shared" si="19"/>
        <v/>
      </c>
      <c r="AL34" s="186"/>
      <c r="AM34" s="183" t="str">
        <f t="shared" si="20"/>
        <v/>
      </c>
      <c r="AN34" s="183" t="str">
        <f t="shared" si="21"/>
        <v/>
      </c>
      <c r="AO34" s="186" t="str">
        <f t="shared" si="22"/>
        <v/>
      </c>
      <c r="AP34" s="187" t="str">
        <f t="shared" si="23"/>
        <v/>
      </c>
      <c r="AQ34" s="187" t="str">
        <f t="shared" si="24"/>
        <v/>
      </c>
      <c r="AR34" s="188" t="str">
        <f t="shared" si="3"/>
        <v/>
      </c>
      <c r="AS34" s="188" t="str">
        <f t="shared" si="4"/>
        <v/>
      </c>
      <c r="AT34" s="183" t="str">
        <f t="shared" si="5"/>
        <v/>
      </c>
      <c r="AU34" s="189" t="str">
        <f>IF(OR($B34="", $AP34= ""),"",IF(VLOOKUP($AP34, CONTRATOS!B:K,3,FALSE)="","",VLOOKUP($AP34, CONTRATOS!B:K, 3,FALSE)))</f>
        <v/>
      </c>
      <c r="AV34" s="189" t="str">
        <f>IF(OR($B34="", $AP34 = ""), "", IF(VLOOKUP($AP34, CONTRATOS!B:K,4,FALSE)="","",VLOOKUP($AP34, CONTRATOS!B:K,4, FALSE)))</f>
        <v/>
      </c>
      <c r="AW34" s="190" t="str">
        <f t="shared" si="6"/>
        <v/>
      </c>
      <c r="AX34" s="189" t="str">
        <f t="shared" si="7"/>
        <v/>
      </c>
      <c r="AY34" s="189" t="str">
        <f t="shared" si="8"/>
        <v/>
      </c>
      <c r="AZ34" s="189" t="str">
        <f t="shared" si="9"/>
        <v/>
      </c>
      <c r="BA34" s="189" t="str">
        <f t="shared" si="10"/>
        <v/>
      </c>
      <c r="BB34" s="191">
        <f t="shared" si="25"/>
        <v>0</v>
      </c>
      <c r="BC34" s="191" t="str">
        <f t="shared" si="26"/>
        <v/>
      </c>
      <c r="BD34" s="191" t="str">
        <f t="shared" si="27"/>
        <v/>
      </c>
      <c r="BF34" s="192">
        <f t="shared" si="28"/>
        <v>0</v>
      </c>
      <c r="BG34" s="192">
        <f t="shared" si="29"/>
        <v>0</v>
      </c>
      <c r="BH34" s="192" t="str">
        <f>IF( $B34="", "", IF(ISNA(VLOOKUP($C34, Defesa!$C$7:$C$29,1,FALSE)),1,0))</f>
        <v/>
      </c>
      <c r="BI34" s="193" t="str">
        <f t="shared" si="30"/>
        <v/>
      </c>
      <c r="BJ34" s="193" t="str">
        <f>IF($B34="", "", IF( AND( $AI34="ESTIMATIVA", OR( Defesa!$F$7 = "AUTOMÁTICA", Defesa!$F$7 ="100% BASELINE")), 1, 0))</f>
        <v/>
      </c>
      <c r="BK34" s="192" t="str">
        <f t="shared" si="11"/>
        <v/>
      </c>
      <c r="BL34" s="192">
        <f t="shared" si="31"/>
        <v>0</v>
      </c>
      <c r="BM34" s="192" t="str">
        <f>IF($AC34="", "", IF(ISNA(VLOOKUP($AC34, TABELAS!$Q:$Q, 1, FALSE)), 1, 0))</f>
        <v/>
      </c>
      <c r="BN34" s="194" t="str">
        <f t="shared" si="12"/>
        <v/>
      </c>
      <c r="BO34" s="192" t="str">
        <f t="shared" si="32"/>
        <v/>
      </c>
      <c r="BP34" s="192" t="str">
        <f t="shared" si="33"/>
        <v/>
      </c>
      <c r="BQ34" s="193" t="str">
        <f t="shared" si="34"/>
        <v/>
      </c>
      <c r="BR34" s="192" t="str">
        <f t="shared" si="35"/>
        <v/>
      </c>
      <c r="BS34" s="192" t="str">
        <f t="shared" si="36"/>
        <v/>
      </c>
      <c r="BT34" s="192" t="str">
        <f>IF(OR($B34="", $AH34 = "SIM"), "", IF( ISNA(VLOOKUP($AP34,#REF!, 1, FALSE)), 1, 0))</f>
        <v/>
      </c>
      <c r="BU34" s="192" t="str">
        <f t="shared" si="37"/>
        <v/>
      </c>
      <c r="BV34" s="192" t="str">
        <f>IF( $B34="", "", IF( ISNA(VLOOKUP($AN34, TABELAS!$T$2:$T$9,1,FALSE)), 1, 0))</f>
        <v/>
      </c>
      <c r="BW34" s="192" t="str">
        <f t="shared" si="38"/>
        <v/>
      </c>
      <c r="BX34" s="192" t="str">
        <f>IF( OR($B34="", $AH34 = "SIM"), "", IF( ISNA( VLOOKUP( $AQ34, SISTEMA!$B:$B, 1, FALSE)), 1, 0))</f>
        <v/>
      </c>
      <c r="BY34" s="193" t="str">
        <f t="shared" si="39"/>
        <v/>
      </c>
      <c r="BZ34" s="193" t="str">
        <f t="shared" si="40"/>
        <v/>
      </c>
      <c r="CA34" s="192" t="str">
        <f t="shared" si="41"/>
        <v/>
      </c>
      <c r="CB34" s="193" t="str">
        <f t="shared" si="42"/>
        <v/>
      </c>
      <c r="CC34" s="193" t="str">
        <f t="shared" si="43"/>
        <v/>
      </c>
      <c r="CD34" s="193" t="str">
        <f t="shared" si="44"/>
        <v/>
      </c>
    </row>
    <row r="35" spans="1:82" x14ac:dyDescent="0.2">
      <c r="A35" s="140"/>
      <c r="B35" s="141" t="str">
        <f t="shared" si="13"/>
        <v/>
      </c>
      <c r="C35" s="142" t="str">
        <f t="shared" si="1"/>
        <v/>
      </c>
      <c r="D35" s="142" t="str">
        <f t="shared" si="14"/>
        <v/>
      </c>
      <c r="E35" s="142" t="str">
        <f>IF($C35="", "", COUNTIF($M$8:$M35,$D35))</f>
        <v/>
      </c>
      <c r="F35" s="254">
        <v>28</v>
      </c>
      <c r="G35" s="143"/>
      <c r="H35" s="144"/>
      <c r="I35" s="144"/>
      <c r="J35" s="145"/>
      <c r="K35" s="144"/>
      <c r="L35" s="144"/>
      <c r="M35" s="144"/>
      <c r="N35" s="146"/>
      <c r="O35" s="147"/>
      <c r="P35" s="147"/>
      <c r="Q35" s="147"/>
      <c r="R35" s="147"/>
      <c r="S35" s="147"/>
      <c r="T35" s="149"/>
      <c r="U35" s="150" t="str">
        <f>IF($T35="", "", VLOOKUP($T35, CONTRATOS!$B:$E, 2, FALSE))</f>
        <v/>
      </c>
      <c r="V35" s="151">
        <f>IF(OR($T35="",TB_DEFESA!$C$2="CARGA BASELINE"),0,
   IF(VLOOKUP($T35, CONTRATOS!B:E, 3, FALSE)&lt;&gt;"",1,IF(VLOOKUP($T35, CONTRATOS!B:E, 4, FALSE)&lt;&gt;"",2,0)))</f>
        <v>0</v>
      </c>
      <c r="W35" s="152"/>
      <c r="X35" s="152"/>
      <c r="Y35" s="153"/>
      <c r="Z35" s="154"/>
      <c r="AA35" s="155"/>
      <c r="AB35" s="156"/>
      <c r="AC35" s="157"/>
      <c r="AD35" s="155"/>
      <c r="AE35" s="158" t="str">
        <f t="shared" si="2"/>
        <v/>
      </c>
      <c r="AF35" s="160" t="str">
        <f t="shared" si="15"/>
        <v/>
      </c>
      <c r="AG35" s="182" t="s">
        <v>59</v>
      </c>
      <c r="AH35" s="183" t="str">
        <f t="shared" si="16"/>
        <v/>
      </c>
      <c r="AI35" s="183" t="str">
        <f t="shared" si="17"/>
        <v/>
      </c>
      <c r="AJ35" s="184" t="str">
        <f t="shared" si="18"/>
        <v/>
      </c>
      <c r="AK35" s="185" t="str">
        <f t="shared" si="19"/>
        <v/>
      </c>
      <c r="AL35" s="186"/>
      <c r="AM35" s="183" t="str">
        <f t="shared" si="20"/>
        <v/>
      </c>
      <c r="AN35" s="183" t="str">
        <f t="shared" si="21"/>
        <v/>
      </c>
      <c r="AO35" s="186" t="str">
        <f t="shared" si="22"/>
        <v/>
      </c>
      <c r="AP35" s="187" t="str">
        <f t="shared" si="23"/>
        <v/>
      </c>
      <c r="AQ35" s="187" t="str">
        <f t="shared" si="24"/>
        <v/>
      </c>
      <c r="AR35" s="188" t="str">
        <f t="shared" si="3"/>
        <v/>
      </c>
      <c r="AS35" s="188" t="str">
        <f t="shared" si="4"/>
        <v/>
      </c>
      <c r="AT35" s="183" t="str">
        <f t="shared" si="5"/>
        <v/>
      </c>
      <c r="AU35" s="189" t="str">
        <f>IF(OR($B35="", $AP35= ""),"",IF(VLOOKUP($AP35, CONTRATOS!B:K,3,FALSE)="","",VLOOKUP($AP35, CONTRATOS!B:K, 3,FALSE)))</f>
        <v/>
      </c>
      <c r="AV35" s="189" t="str">
        <f>IF(OR($B35="", $AP35 = ""), "", IF(VLOOKUP($AP35, CONTRATOS!B:K,4,FALSE)="","",VLOOKUP($AP35, CONTRATOS!B:K,4, FALSE)))</f>
        <v/>
      </c>
      <c r="AW35" s="190" t="str">
        <f t="shared" si="6"/>
        <v/>
      </c>
      <c r="AX35" s="189" t="str">
        <f t="shared" si="7"/>
        <v/>
      </c>
      <c r="AY35" s="189" t="str">
        <f t="shared" si="8"/>
        <v/>
      </c>
      <c r="AZ35" s="189" t="str">
        <f t="shared" si="9"/>
        <v/>
      </c>
      <c r="BA35" s="189" t="str">
        <f t="shared" si="10"/>
        <v/>
      </c>
      <c r="BB35" s="191">
        <f t="shared" si="25"/>
        <v>0</v>
      </c>
      <c r="BC35" s="191" t="str">
        <f t="shared" si="26"/>
        <v/>
      </c>
      <c r="BD35" s="191" t="str">
        <f t="shared" si="27"/>
        <v/>
      </c>
      <c r="BF35" s="192">
        <f t="shared" si="28"/>
        <v>0</v>
      </c>
      <c r="BG35" s="192">
        <f t="shared" si="29"/>
        <v>0</v>
      </c>
      <c r="BH35" s="192" t="str">
        <f>IF( $B35="", "", IF(ISNA(VLOOKUP($C35, Defesa!$C$7:$C$29,1,FALSE)),1,0))</f>
        <v/>
      </c>
      <c r="BI35" s="193" t="str">
        <f t="shared" si="30"/>
        <v/>
      </c>
      <c r="BJ35" s="193" t="str">
        <f>IF($B35="", "", IF( AND( $AI35="ESTIMATIVA", OR( Defesa!$F$7 = "AUTOMÁTICA", Defesa!$F$7 ="100% BASELINE")), 1, 0))</f>
        <v/>
      </c>
      <c r="BK35" s="192" t="str">
        <f t="shared" si="11"/>
        <v/>
      </c>
      <c r="BL35" s="192">
        <f t="shared" si="31"/>
        <v>0</v>
      </c>
      <c r="BM35" s="192" t="str">
        <f>IF($AC35="", "", IF(ISNA(VLOOKUP($AC35, TABELAS!$Q:$Q, 1, FALSE)), 1, 0))</f>
        <v/>
      </c>
      <c r="BN35" s="194" t="str">
        <f t="shared" si="12"/>
        <v/>
      </c>
      <c r="BO35" s="192" t="str">
        <f t="shared" si="32"/>
        <v/>
      </c>
      <c r="BP35" s="192" t="str">
        <f t="shared" si="33"/>
        <v/>
      </c>
      <c r="BQ35" s="193" t="str">
        <f t="shared" si="34"/>
        <v/>
      </c>
      <c r="BR35" s="192" t="str">
        <f t="shared" si="35"/>
        <v/>
      </c>
      <c r="BS35" s="192" t="str">
        <f t="shared" si="36"/>
        <v/>
      </c>
      <c r="BT35" s="192" t="str">
        <f>IF(OR($B35="", $AH35 = "SIM"), "", IF( ISNA(VLOOKUP($AP35,#REF!, 1, FALSE)), 1, 0))</f>
        <v/>
      </c>
      <c r="BU35" s="192" t="str">
        <f t="shared" si="37"/>
        <v/>
      </c>
      <c r="BV35" s="192" t="str">
        <f>IF( $B35="", "", IF( ISNA(VLOOKUP($AN35, TABELAS!$T$2:$T$9,1,FALSE)), 1, 0))</f>
        <v/>
      </c>
      <c r="BW35" s="192" t="str">
        <f t="shared" si="38"/>
        <v/>
      </c>
      <c r="BX35" s="192" t="str">
        <f>IF( OR($B35="", $AH35 = "SIM"), "", IF( ISNA( VLOOKUP( $AQ35, SISTEMA!$B:$B, 1, FALSE)), 1, 0))</f>
        <v/>
      </c>
      <c r="BY35" s="193" t="str">
        <f t="shared" si="39"/>
        <v/>
      </c>
      <c r="BZ35" s="193" t="str">
        <f t="shared" si="40"/>
        <v/>
      </c>
      <c r="CA35" s="192" t="str">
        <f t="shared" si="41"/>
        <v/>
      </c>
      <c r="CB35" s="193" t="str">
        <f t="shared" si="42"/>
        <v/>
      </c>
      <c r="CC35" s="193" t="str">
        <f t="shared" si="43"/>
        <v/>
      </c>
      <c r="CD35" s="193" t="str">
        <f t="shared" si="44"/>
        <v/>
      </c>
    </row>
    <row r="36" spans="1:82" x14ac:dyDescent="0.2">
      <c r="A36" s="140"/>
      <c r="B36" s="141" t="str">
        <f t="shared" si="13"/>
        <v/>
      </c>
      <c r="C36" s="142" t="str">
        <f t="shared" si="1"/>
        <v/>
      </c>
      <c r="D36" s="142" t="str">
        <f t="shared" si="14"/>
        <v/>
      </c>
      <c r="E36" s="142" t="str">
        <f>IF($C36="", "", COUNTIF($M$8:$M36,$D36))</f>
        <v/>
      </c>
      <c r="F36" s="254">
        <v>29</v>
      </c>
      <c r="G36" s="143"/>
      <c r="H36" s="144"/>
      <c r="I36" s="144"/>
      <c r="J36" s="145"/>
      <c r="K36" s="144"/>
      <c r="L36" s="144"/>
      <c r="M36" s="144"/>
      <c r="N36" s="146"/>
      <c r="O36" s="147"/>
      <c r="P36" s="147"/>
      <c r="Q36" s="147"/>
      <c r="R36" s="147"/>
      <c r="S36" s="147"/>
      <c r="T36" s="149"/>
      <c r="U36" s="150" t="str">
        <f>IF($T36="", "", VLOOKUP($T36, CONTRATOS!$B:$E, 2, FALSE))</f>
        <v/>
      </c>
      <c r="V36" s="151">
        <f>IF(OR($T36="",TB_DEFESA!$C$2="CARGA BASELINE"),0,
   IF(VLOOKUP($T36, CONTRATOS!B:E, 3, FALSE)&lt;&gt;"",1,IF(VLOOKUP($T36, CONTRATOS!B:E, 4, FALSE)&lt;&gt;"",2,0)))</f>
        <v>0</v>
      </c>
      <c r="W36" s="152"/>
      <c r="X36" s="152"/>
      <c r="Y36" s="153"/>
      <c r="Z36" s="154"/>
      <c r="AA36" s="155"/>
      <c r="AB36" s="156"/>
      <c r="AC36" s="157"/>
      <c r="AD36" s="155"/>
      <c r="AE36" s="158" t="str">
        <f t="shared" si="2"/>
        <v/>
      </c>
      <c r="AF36" s="160" t="str">
        <f t="shared" si="15"/>
        <v/>
      </c>
      <c r="AG36" s="182" t="s">
        <v>59</v>
      </c>
      <c r="AH36" s="183" t="str">
        <f t="shared" si="16"/>
        <v/>
      </c>
      <c r="AI36" s="183" t="str">
        <f t="shared" si="17"/>
        <v/>
      </c>
      <c r="AJ36" s="184" t="str">
        <f t="shared" si="18"/>
        <v/>
      </c>
      <c r="AK36" s="185" t="str">
        <f t="shared" si="19"/>
        <v/>
      </c>
      <c r="AL36" s="186"/>
      <c r="AM36" s="183" t="str">
        <f t="shared" si="20"/>
        <v/>
      </c>
      <c r="AN36" s="183" t="str">
        <f t="shared" si="21"/>
        <v/>
      </c>
      <c r="AO36" s="186" t="str">
        <f t="shared" si="22"/>
        <v/>
      </c>
      <c r="AP36" s="187" t="str">
        <f t="shared" si="23"/>
        <v/>
      </c>
      <c r="AQ36" s="187" t="str">
        <f t="shared" si="24"/>
        <v/>
      </c>
      <c r="AR36" s="188" t="str">
        <f t="shared" si="3"/>
        <v/>
      </c>
      <c r="AS36" s="188" t="str">
        <f t="shared" si="4"/>
        <v/>
      </c>
      <c r="AT36" s="183" t="str">
        <f t="shared" si="5"/>
        <v/>
      </c>
      <c r="AU36" s="189" t="str">
        <f>IF(OR($B36="", $AP36= ""),"",IF(VLOOKUP($AP36, CONTRATOS!B:K,3,FALSE)="","",VLOOKUP($AP36, CONTRATOS!B:K, 3,FALSE)))</f>
        <v/>
      </c>
      <c r="AV36" s="189" t="str">
        <f>IF(OR($B36="", $AP36 = ""), "", IF(VLOOKUP($AP36, CONTRATOS!B:K,4,FALSE)="","",VLOOKUP($AP36, CONTRATOS!B:K,4, FALSE)))</f>
        <v/>
      </c>
      <c r="AW36" s="190" t="str">
        <f t="shared" si="6"/>
        <v/>
      </c>
      <c r="AX36" s="189" t="str">
        <f t="shared" si="7"/>
        <v/>
      </c>
      <c r="AY36" s="189" t="str">
        <f t="shared" si="8"/>
        <v/>
      </c>
      <c r="AZ36" s="189" t="str">
        <f t="shared" si="9"/>
        <v/>
      </c>
      <c r="BA36" s="189" t="str">
        <f t="shared" si="10"/>
        <v/>
      </c>
      <c r="BB36" s="191">
        <f t="shared" si="25"/>
        <v>0</v>
      </c>
      <c r="BC36" s="191" t="str">
        <f t="shared" si="26"/>
        <v/>
      </c>
      <c r="BD36" s="191" t="str">
        <f t="shared" si="27"/>
        <v/>
      </c>
      <c r="BF36" s="192">
        <f t="shared" si="28"/>
        <v>0</v>
      </c>
      <c r="BG36" s="192">
        <f t="shared" si="29"/>
        <v>0</v>
      </c>
      <c r="BH36" s="192" t="str">
        <f>IF( $B36="", "", IF(ISNA(VLOOKUP($C36, Defesa!$C$7:$C$29,1,FALSE)),1,0))</f>
        <v/>
      </c>
      <c r="BI36" s="193" t="str">
        <f t="shared" si="30"/>
        <v/>
      </c>
      <c r="BJ36" s="193" t="str">
        <f>IF($B36="", "", IF( AND( $AI36="ESTIMATIVA", OR( Defesa!$F$7 = "AUTOMÁTICA", Defesa!$F$7 ="100% BASELINE")), 1, 0))</f>
        <v/>
      </c>
      <c r="BK36" s="192" t="str">
        <f t="shared" si="11"/>
        <v/>
      </c>
      <c r="BL36" s="192">
        <f t="shared" si="31"/>
        <v>0</v>
      </c>
      <c r="BM36" s="192" t="str">
        <f>IF($AC36="", "", IF(ISNA(VLOOKUP($AC36, TABELAS!$Q:$Q, 1, FALSE)), 1, 0))</f>
        <v/>
      </c>
      <c r="BN36" s="194" t="str">
        <f t="shared" si="12"/>
        <v/>
      </c>
      <c r="BO36" s="192" t="str">
        <f t="shared" si="32"/>
        <v/>
      </c>
      <c r="BP36" s="192" t="str">
        <f t="shared" si="33"/>
        <v/>
      </c>
      <c r="BQ36" s="193" t="str">
        <f t="shared" si="34"/>
        <v/>
      </c>
      <c r="BR36" s="192" t="str">
        <f t="shared" si="35"/>
        <v/>
      </c>
      <c r="BS36" s="192" t="str">
        <f t="shared" si="36"/>
        <v/>
      </c>
      <c r="BT36" s="192" t="str">
        <f>IF(OR($B36="", $AH36 = "SIM"), "", IF( ISNA(VLOOKUP($AP36,#REF!, 1, FALSE)), 1, 0))</f>
        <v/>
      </c>
      <c r="BU36" s="192" t="str">
        <f t="shared" si="37"/>
        <v/>
      </c>
      <c r="BV36" s="192" t="str">
        <f>IF( $B36="", "", IF( ISNA(VLOOKUP($AN36, TABELAS!$T$2:$T$9,1,FALSE)), 1, 0))</f>
        <v/>
      </c>
      <c r="BW36" s="192" t="str">
        <f t="shared" si="38"/>
        <v/>
      </c>
      <c r="BX36" s="192" t="str">
        <f>IF( OR($B36="", $AH36 = "SIM"), "", IF( ISNA( VLOOKUP( $AQ36, SISTEMA!$B:$B, 1, FALSE)), 1, 0))</f>
        <v/>
      </c>
      <c r="BY36" s="193" t="str">
        <f t="shared" si="39"/>
        <v/>
      </c>
      <c r="BZ36" s="193" t="str">
        <f t="shared" si="40"/>
        <v/>
      </c>
      <c r="CA36" s="192" t="str">
        <f t="shared" si="41"/>
        <v/>
      </c>
      <c r="CB36" s="193" t="str">
        <f t="shared" si="42"/>
        <v/>
      </c>
      <c r="CC36" s="193" t="str">
        <f t="shared" si="43"/>
        <v/>
      </c>
      <c r="CD36" s="193" t="str">
        <f t="shared" si="44"/>
        <v/>
      </c>
    </row>
    <row r="37" spans="1:82" x14ac:dyDescent="0.2">
      <c r="A37" s="140"/>
      <c r="B37" s="141" t="str">
        <f t="shared" si="13"/>
        <v/>
      </c>
      <c r="C37" s="142" t="str">
        <f t="shared" si="1"/>
        <v/>
      </c>
      <c r="D37" s="142" t="str">
        <f t="shared" si="14"/>
        <v/>
      </c>
      <c r="E37" s="142" t="str">
        <f>IF($C37="", "", COUNTIF($M$8:$M37,$D37))</f>
        <v/>
      </c>
      <c r="F37" s="254">
        <v>30</v>
      </c>
      <c r="G37" s="143"/>
      <c r="H37" s="144"/>
      <c r="I37" s="144"/>
      <c r="J37" s="145"/>
      <c r="K37" s="144"/>
      <c r="L37" s="144"/>
      <c r="M37" s="144"/>
      <c r="N37" s="146"/>
      <c r="O37" s="147"/>
      <c r="P37" s="147"/>
      <c r="Q37" s="147"/>
      <c r="R37" s="147"/>
      <c r="S37" s="147"/>
      <c r="T37" s="149"/>
      <c r="U37" s="150" t="str">
        <f>IF($T37="", "", VLOOKUP($T37, CONTRATOS!$B:$E, 2, FALSE))</f>
        <v/>
      </c>
      <c r="V37" s="151">
        <f>IF(OR($T37="",TB_DEFESA!$C$2="CARGA BASELINE"),0,
   IF(VLOOKUP($T37, CONTRATOS!B:E, 3, FALSE)&lt;&gt;"",1,IF(VLOOKUP($T37, CONTRATOS!B:E, 4, FALSE)&lt;&gt;"",2,0)))</f>
        <v>0</v>
      </c>
      <c r="W37" s="152"/>
      <c r="X37" s="152"/>
      <c r="Y37" s="153"/>
      <c r="Z37" s="154"/>
      <c r="AA37" s="155"/>
      <c r="AB37" s="156"/>
      <c r="AC37" s="157"/>
      <c r="AD37" s="155"/>
      <c r="AE37" s="158" t="str">
        <f t="shared" si="2"/>
        <v/>
      </c>
      <c r="AF37" s="160" t="str">
        <f t="shared" si="15"/>
        <v/>
      </c>
      <c r="AG37" s="182" t="s">
        <v>59</v>
      </c>
      <c r="AH37" s="183" t="str">
        <f t="shared" si="16"/>
        <v/>
      </c>
      <c r="AI37" s="183" t="str">
        <f t="shared" si="17"/>
        <v/>
      </c>
      <c r="AJ37" s="184" t="str">
        <f t="shared" si="18"/>
        <v/>
      </c>
      <c r="AK37" s="185" t="str">
        <f t="shared" si="19"/>
        <v/>
      </c>
      <c r="AL37" s="186"/>
      <c r="AM37" s="183" t="str">
        <f t="shared" si="20"/>
        <v/>
      </c>
      <c r="AN37" s="183" t="str">
        <f t="shared" si="21"/>
        <v/>
      </c>
      <c r="AO37" s="186" t="str">
        <f t="shared" si="22"/>
        <v/>
      </c>
      <c r="AP37" s="187" t="str">
        <f t="shared" si="23"/>
        <v/>
      </c>
      <c r="AQ37" s="187" t="str">
        <f t="shared" si="24"/>
        <v/>
      </c>
      <c r="AR37" s="188" t="str">
        <f t="shared" si="3"/>
        <v/>
      </c>
      <c r="AS37" s="188" t="str">
        <f t="shared" si="4"/>
        <v/>
      </c>
      <c r="AT37" s="183" t="str">
        <f t="shared" si="5"/>
        <v/>
      </c>
      <c r="AU37" s="189" t="str">
        <f>IF(OR($B37="", $AP37= ""),"",IF(VLOOKUP($AP37, CONTRATOS!B:K,3,FALSE)="","",VLOOKUP($AP37, CONTRATOS!B:K, 3,FALSE)))</f>
        <v/>
      </c>
      <c r="AV37" s="189" t="str">
        <f>IF(OR($B37="", $AP37 = ""), "", IF(VLOOKUP($AP37, CONTRATOS!B:K,4,FALSE)="","",VLOOKUP($AP37, CONTRATOS!B:K,4, FALSE)))</f>
        <v/>
      </c>
      <c r="AW37" s="190" t="str">
        <f t="shared" si="6"/>
        <v/>
      </c>
      <c r="AX37" s="189" t="str">
        <f t="shared" si="7"/>
        <v/>
      </c>
      <c r="AY37" s="189" t="str">
        <f t="shared" si="8"/>
        <v/>
      </c>
      <c r="AZ37" s="189" t="str">
        <f t="shared" si="9"/>
        <v/>
      </c>
      <c r="BA37" s="189" t="str">
        <f t="shared" si="10"/>
        <v/>
      </c>
      <c r="BB37" s="191">
        <f t="shared" si="25"/>
        <v>0</v>
      </c>
      <c r="BC37" s="191" t="str">
        <f t="shared" si="26"/>
        <v/>
      </c>
      <c r="BD37" s="191" t="str">
        <f t="shared" si="27"/>
        <v/>
      </c>
      <c r="BF37" s="192">
        <f t="shared" si="28"/>
        <v>0</v>
      </c>
      <c r="BG37" s="192">
        <f t="shared" si="29"/>
        <v>0</v>
      </c>
      <c r="BH37" s="192" t="str">
        <f>IF( $B37="", "", IF(ISNA(VLOOKUP($C37, Defesa!$C$7:$C$29,1,FALSE)),1,0))</f>
        <v/>
      </c>
      <c r="BI37" s="193" t="str">
        <f t="shared" si="30"/>
        <v/>
      </c>
      <c r="BJ37" s="193" t="str">
        <f>IF($B37="", "", IF( AND( $AI37="ESTIMATIVA", OR( Defesa!$F$7 = "AUTOMÁTICA", Defesa!$F$7 ="100% BASELINE")), 1, 0))</f>
        <v/>
      </c>
      <c r="BK37" s="192" t="str">
        <f t="shared" si="11"/>
        <v/>
      </c>
      <c r="BL37" s="192">
        <f t="shared" si="31"/>
        <v>0</v>
      </c>
      <c r="BM37" s="192" t="str">
        <f>IF($AC37="", "", IF(ISNA(VLOOKUP($AC37, TABELAS!$Q:$Q, 1, FALSE)), 1, 0))</f>
        <v/>
      </c>
      <c r="BN37" s="194" t="str">
        <f t="shared" si="12"/>
        <v/>
      </c>
      <c r="BO37" s="192" t="str">
        <f t="shared" si="32"/>
        <v/>
      </c>
      <c r="BP37" s="192" t="str">
        <f t="shared" si="33"/>
        <v/>
      </c>
      <c r="BQ37" s="193" t="str">
        <f t="shared" si="34"/>
        <v/>
      </c>
      <c r="BR37" s="192" t="str">
        <f t="shared" si="35"/>
        <v/>
      </c>
      <c r="BS37" s="192" t="str">
        <f t="shared" si="36"/>
        <v/>
      </c>
      <c r="BT37" s="192" t="str">
        <f>IF(OR($B37="", $AH37 = "SIM"), "", IF( ISNA(VLOOKUP($AP37,#REF!, 1, FALSE)), 1, 0))</f>
        <v/>
      </c>
      <c r="BU37" s="192" t="str">
        <f t="shared" si="37"/>
        <v/>
      </c>
      <c r="BV37" s="192" t="str">
        <f>IF( $B37="", "", IF( ISNA(VLOOKUP($AN37, TABELAS!$T$2:$T$9,1,FALSE)), 1, 0))</f>
        <v/>
      </c>
      <c r="BW37" s="192" t="str">
        <f t="shared" si="38"/>
        <v/>
      </c>
      <c r="BX37" s="192" t="str">
        <f>IF( OR($B37="", $AH37 = "SIM"), "", IF( ISNA( VLOOKUP( $AQ37, SISTEMA!$B:$B, 1, FALSE)), 1, 0))</f>
        <v/>
      </c>
      <c r="BY37" s="193" t="str">
        <f t="shared" si="39"/>
        <v/>
      </c>
      <c r="BZ37" s="193" t="str">
        <f t="shared" si="40"/>
        <v/>
      </c>
      <c r="CA37" s="192" t="str">
        <f t="shared" si="41"/>
        <v/>
      </c>
      <c r="CB37" s="193" t="str">
        <f t="shared" si="42"/>
        <v/>
      </c>
      <c r="CC37" s="193" t="str">
        <f t="shared" si="43"/>
        <v/>
      </c>
      <c r="CD37" s="193" t="str">
        <f t="shared" si="44"/>
        <v/>
      </c>
    </row>
    <row r="38" spans="1:82" x14ac:dyDescent="0.2">
      <c r="A38" s="140"/>
      <c r="B38" s="141" t="str">
        <f t="shared" si="13"/>
        <v/>
      </c>
      <c r="C38" s="142" t="str">
        <f t="shared" si="1"/>
        <v/>
      </c>
      <c r="D38" s="142" t="str">
        <f t="shared" si="14"/>
        <v/>
      </c>
      <c r="E38" s="142" t="str">
        <f>IF($C38="", "", COUNTIF($M$8:$M38,$D38))</f>
        <v/>
      </c>
      <c r="F38" s="254">
        <v>31</v>
      </c>
      <c r="G38" s="143"/>
      <c r="H38" s="144"/>
      <c r="I38" s="144"/>
      <c r="J38" s="145"/>
      <c r="K38" s="144"/>
      <c r="L38" s="144"/>
      <c r="M38" s="144"/>
      <c r="N38" s="146"/>
      <c r="O38" s="147"/>
      <c r="P38" s="147"/>
      <c r="Q38" s="147"/>
      <c r="R38" s="147"/>
      <c r="S38" s="147"/>
      <c r="T38" s="149"/>
      <c r="U38" s="150" t="str">
        <f>IF($T38="", "", VLOOKUP($T38, CONTRATOS!$B:$E, 2, FALSE))</f>
        <v/>
      </c>
      <c r="V38" s="151">
        <f>IF(OR($T38="",TB_DEFESA!$C$2="CARGA BASELINE"),0,
   IF(VLOOKUP($T38, CONTRATOS!B:E, 3, FALSE)&lt;&gt;"",1,IF(VLOOKUP($T38, CONTRATOS!B:E, 4, FALSE)&lt;&gt;"",2,0)))</f>
        <v>0</v>
      </c>
      <c r="W38" s="152"/>
      <c r="X38" s="152"/>
      <c r="Y38" s="153"/>
      <c r="Z38" s="154"/>
      <c r="AA38" s="155"/>
      <c r="AB38" s="156"/>
      <c r="AC38" s="157"/>
      <c r="AD38" s="155"/>
      <c r="AE38" s="158" t="str">
        <f t="shared" si="2"/>
        <v/>
      </c>
      <c r="AF38" s="160" t="str">
        <f t="shared" si="15"/>
        <v/>
      </c>
      <c r="AG38" s="182" t="s">
        <v>59</v>
      </c>
      <c r="AH38" s="183" t="str">
        <f t="shared" si="16"/>
        <v/>
      </c>
      <c r="AI38" s="183" t="str">
        <f t="shared" si="17"/>
        <v/>
      </c>
      <c r="AJ38" s="184" t="str">
        <f t="shared" si="18"/>
        <v/>
      </c>
      <c r="AK38" s="185" t="str">
        <f t="shared" si="19"/>
        <v/>
      </c>
      <c r="AL38" s="186"/>
      <c r="AM38" s="183" t="str">
        <f t="shared" si="20"/>
        <v/>
      </c>
      <c r="AN38" s="183" t="str">
        <f t="shared" si="21"/>
        <v/>
      </c>
      <c r="AO38" s="186" t="str">
        <f t="shared" si="22"/>
        <v/>
      </c>
      <c r="AP38" s="187" t="str">
        <f t="shared" si="23"/>
        <v/>
      </c>
      <c r="AQ38" s="187" t="str">
        <f t="shared" si="24"/>
        <v/>
      </c>
      <c r="AR38" s="188" t="str">
        <f t="shared" si="3"/>
        <v/>
      </c>
      <c r="AS38" s="188" t="str">
        <f t="shared" si="4"/>
        <v/>
      </c>
      <c r="AT38" s="183" t="str">
        <f t="shared" si="5"/>
        <v/>
      </c>
      <c r="AU38" s="189" t="str">
        <f>IF(OR($B38="", $AP38= ""),"",IF(VLOOKUP($AP38, CONTRATOS!B:K,3,FALSE)="","",VLOOKUP($AP38, CONTRATOS!B:K, 3,FALSE)))</f>
        <v/>
      </c>
      <c r="AV38" s="189" t="str">
        <f>IF(OR($B38="", $AP38 = ""), "", IF(VLOOKUP($AP38, CONTRATOS!B:K,4,FALSE)="","",VLOOKUP($AP38, CONTRATOS!B:K,4, FALSE)))</f>
        <v/>
      </c>
      <c r="AW38" s="190" t="str">
        <f t="shared" si="6"/>
        <v/>
      </c>
      <c r="AX38" s="189" t="str">
        <f t="shared" si="7"/>
        <v/>
      </c>
      <c r="AY38" s="189" t="str">
        <f t="shared" si="8"/>
        <v/>
      </c>
      <c r="AZ38" s="189" t="str">
        <f t="shared" si="9"/>
        <v/>
      </c>
      <c r="BA38" s="189" t="str">
        <f t="shared" si="10"/>
        <v/>
      </c>
      <c r="BB38" s="191">
        <f t="shared" si="25"/>
        <v>0</v>
      </c>
      <c r="BC38" s="191" t="str">
        <f t="shared" si="26"/>
        <v/>
      </c>
      <c r="BD38" s="191" t="str">
        <f t="shared" si="27"/>
        <v/>
      </c>
      <c r="BF38" s="192">
        <f t="shared" si="28"/>
        <v>0</v>
      </c>
      <c r="BG38" s="192">
        <f t="shared" si="29"/>
        <v>0</v>
      </c>
      <c r="BH38" s="192" t="str">
        <f>IF( $B38="", "", IF(ISNA(VLOOKUP($C38, Defesa!$C$7:$C$29,1,FALSE)),1,0))</f>
        <v/>
      </c>
      <c r="BI38" s="193" t="str">
        <f t="shared" si="30"/>
        <v/>
      </c>
      <c r="BJ38" s="193" t="str">
        <f>IF($B38="", "", IF( AND( $AI38="ESTIMATIVA", OR( Defesa!$F$7 = "AUTOMÁTICA", Defesa!$F$7 ="100% BASELINE")), 1, 0))</f>
        <v/>
      </c>
      <c r="BK38" s="192" t="str">
        <f t="shared" si="11"/>
        <v/>
      </c>
      <c r="BL38" s="192">
        <f t="shared" si="31"/>
        <v>0</v>
      </c>
      <c r="BM38" s="192" t="str">
        <f>IF($AC38="", "", IF(ISNA(VLOOKUP($AC38, TABELAS!$Q:$Q, 1, FALSE)), 1, 0))</f>
        <v/>
      </c>
      <c r="BN38" s="194" t="str">
        <f t="shared" si="12"/>
        <v/>
      </c>
      <c r="BO38" s="192" t="str">
        <f t="shared" si="32"/>
        <v/>
      </c>
      <c r="BP38" s="192" t="str">
        <f t="shared" si="33"/>
        <v/>
      </c>
      <c r="BQ38" s="193" t="str">
        <f t="shared" si="34"/>
        <v/>
      </c>
      <c r="BR38" s="192" t="str">
        <f t="shared" si="35"/>
        <v/>
      </c>
      <c r="BS38" s="192" t="str">
        <f t="shared" si="36"/>
        <v/>
      </c>
      <c r="BT38" s="192" t="str">
        <f>IF(OR($B38="", $AH38 = "SIM"), "", IF( ISNA(VLOOKUP($AP38,#REF!, 1, FALSE)), 1, 0))</f>
        <v/>
      </c>
      <c r="BU38" s="192" t="str">
        <f t="shared" si="37"/>
        <v/>
      </c>
      <c r="BV38" s="192" t="str">
        <f>IF( $B38="", "", IF( ISNA(VLOOKUP($AN38, TABELAS!$T$2:$T$9,1,FALSE)), 1, 0))</f>
        <v/>
      </c>
      <c r="BW38" s="192" t="str">
        <f t="shared" si="38"/>
        <v/>
      </c>
      <c r="BX38" s="192" t="str">
        <f>IF( OR($B38="", $AH38 = "SIM"), "", IF( ISNA( VLOOKUP( $AQ38, SISTEMA!$B:$B, 1, FALSE)), 1, 0))</f>
        <v/>
      </c>
      <c r="BY38" s="193" t="str">
        <f t="shared" si="39"/>
        <v/>
      </c>
      <c r="BZ38" s="193" t="str">
        <f t="shared" si="40"/>
        <v/>
      </c>
      <c r="CA38" s="192" t="str">
        <f t="shared" si="41"/>
        <v/>
      </c>
      <c r="CB38" s="193" t="str">
        <f t="shared" si="42"/>
        <v/>
      </c>
      <c r="CC38" s="193" t="str">
        <f t="shared" si="43"/>
        <v/>
      </c>
      <c r="CD38" s="193" t="str">
        <f t="shared" si="44"/>
        <v/>
      </c>
    </row>
    <row r="39" spans="1:82" x14ac:dyDescent="0.2">
      <c r="A39" s="140"/>
      <c r="B39" s="141" t="str">
        <f t="shared" si="13"/>
        <v/>
      </c>
      <c r="C39" s="142" t="str">
        <f t="shared" si="1"/>
        <v/>
      </c>
      <c r="D39" s="142" t="str">
        <f t="shared" si="14"/>
        <v/>
      </c>
      <c r="E39" s="142" t="str">
        <f>IF($C39="", "", COUNTIF($M$8:$M39,$D39))</f>
        <v/>
      </c>
      <c r="F39" s="254">
        <v>32</v>
      </c>
      <c r="G39" s="143"/>
      <c r="H39" s="144"/>
      <c r="I39" s="144"/>
      <c r="J39" s="145"/>
      <c r="K39" s="144"/>
      <c r="L39" s="144"/>
      <c r="M39" s="144"/>
      <c r="N39" s="146"/>
      <c r="O39" s="147"/>
      <c r="P39" s="147"/>
      <c r="Q39" s="147"/>
      <c r="R39" s="147"/>
      <c r="S39" s="147"/>
      <c r="T39" s="149"/>
      <c r="U39" s="150" t="str">
        <f>IF($T39="", "", VLOOKUP($T39, CONTRATOS!$B:$E, 2, FALSE))</f>
        <v/>
      </c>
      <c r="V39" s="151">
        <f>IF(OR($T39="",TB_DEFESA!$C$2="CARGA BASELINE"),0,
   IF(VLOOKUP($T39, CONTRATOS!B:E, 3, FALSE)&lt;&gt;"",1,IF(VLOOKUP($T39, CONTRATOS!B:E, 4, FALSE)&lt;&gt;"",2,0)))</f>
        <v>0</v>
      </c>
      <c r="W39" s="152"/>
      <c r="X39" s="152"/>
      <c r="Y39" s="153"/>
      <c r="Z39" s="154"/>
      <c r="AA39" s="155"/>
      <c r="AB39" s="156"/>
      <c r="AC39" s="157"/>
      <c r="AD39" s="155"/>
      <c r="AE39" s="158" t="str">
        <f t="shared" si="2"/>
        <v/>
      </c>
      <c r="AF39" s="160" t="str">
        <f t="shared" si="15"/>
        <v/>
      </c>
      <c r="AG39" s="182" t="s">
        <v>59</v>
      </c>
      <c r="AH39" s="183" t="str">
        <f t="shared" si="16"/>
        <v/>
      </c>
      <c r="AI39" s="183" t="str">
        <f t="shared" si="17"/>
        <v/>
      </c>
      <c r="AJ39" s="184" t="str">
        <f t="shared" si="18"/>
        <v/>
      </c>
      <c r="AK39" s="185" t="str">
        <f t="shared" si="19"/>
        <v/>
      </c>
      <c r="AL39" s="186"/>
      <c r="AM39" s="183" t="str">
        <f t="shared" si="20"/>
        <v/>
      </c>
      <c r="AN39" s="183" t="str">
        <f t="shared" si="21"/>
        <v/>
      </c>
      <c r="AO39" s="186" t="str">
        <f t="shared" si="22"/>
        <v/>
      </c>
      <c r="AP39" s="187" t="str">
        <f t="shared" si="23"/>
        <v/>
      </c>
      <c r="AQ39" s="187" t="str">
        <f t="shared" si="24"/>
        <v/>
      </c>
      <c r="AR39" s="188" t="str">
        <f t="shared" si="3"/>
        <v/>
      </c>
      <c r="AS39" s="188" t="str">
        <f t="shared" si="4"/>
        <v/>
      </c>
      <c r="AT39" s="183" t="str">
        <f t="shared" si="5"/>
        <v/>
      </c>
      <c r="AU39" s="189" t="str">
        <f>IF(OR($B39="", $AP39= ""),"",IF(VLOOKUP($AP39, CONTRATOS!B:K,3,FALSE)="","",VLOOKUP($AP39, CONTRATOS!B:K, 3,FALSE)))</f>
        <v/>
      </c>
      <c r="AV39" s="189" t="str">
        <f>IF(OR($B39="", $AP39 = ""), "", IF(VLOOKUP($AP39, CONTRATOS!B:K,4,FALSE)="","",VLOOKUP($AP39, CONTRATOS!B:K,4, FALSE)))</f>
        <v/>
      </c>
      <c r="AW39" s="190" t="str">
        <f t="shared" si="6"/>
        <v/>
      </c>
      <c r="AX39" s="189" t="str">
        <f t="shared" si="7"/>
        <v/>
      </c>
      <c r="AY39" s="189" t="str">
        <f t="shared" si="8"/>
        <v/>
      </c>
      <c r="AZ39" s="189" t="str">
        <f t="shared" si="9"/>
        <v/>
      </c>
      <c r="BA39" s="189" t="str">
        <f t="shared" si="10"/>
        <v/>
      </c>
      <c r="BB39" s="191">
        <f t="shared" si="25"/>
        <v>0</v>
      </c>
      <c r="BC39" s="191" t="str">
        <f t="shared" si="26"/>
        <v/>
      </c>
      <c r="BD39" s="191" t="str">
        <f t="shared" si="27"/>
        <v/>
      </c>
      <c r="BF39" s="192">
        <f t="shared" si="28"/>
        <v>0</v>
      </c>
      <c r="BG39" s="192">
        <f t="shared" si="29"/>
        <v>0</v>
      </c>
      <c r="BH39" s="192" t="str">
        <f>IF( $B39="", "", IF(ISNA(VLOOKUP($C39, Defesa!$C$7:$C$29,1,FALSE)),1,0))</f>
        <v/>
      </c>
      <c r="BI39" s="193" t="str">
        <f t="shared" si="30"/>
        <v/>
      </c>
      <c r="BJ39" s="193" t="str">
        <f>IF($B39="", "", IF( AND( $AI39="ESTIMATIVA", OR( Defesa!$F$7 = "AUTOMÁTICA", Defesa!$F$7 ="100% BASELINE")), 1, 0))</f>
        <v/>
      </c>
      <c r="BK39" s="192" t="str">
        <f t="shared" si="11"/>
        <v/>
      </c>
      <c r="BL39" s="192">
        <f t="shared" si="31"/>
        <v>0</v>
      </c>
      <c r="BM39" s="192" t="str">
        <f>IF($AC39="", "", IF(ISNA(VLOOKUP($AC39, TABELAS!$Q:$Q, 1, FALSE)), 1, 0))</f>
        <v/>
      </c>
      <c r="BN39" s="194" t="str">
        <f t="shared" si="12"/>
        <v/>
      </c>
      <c r="BO39" s="192" t="str">
        <f t="shared" si="32"/>
        <v/>
      </c>
      <c r="BP39" s="192" t="str">
        <f t="shared" si="33"/>
        <v/>
      </c>
      <c r="BQ39" s="193" t="str">
        <f t="shared" si="34"/>
        <v/>
      </c>
      <c r="BR39" s="192" t="str">
        <f t="shared" si="35"/>
        <v/>
      </c>
      <c r="BS39" s="192" t="str">
        <f t="shared" si="36"/>
        <v/>
      </c>
      <c r="BT39" s="192" t="str">
        <f>IF(OR($B39="", $AH39 = "SIM"), "", IF( ISNA(VLOOKUP($AP39,#REF!, 1, FALSE)), 1, 0))</f>
        <v/>
      </c>
      <c r="BU39" s="192" t="str">
        <f t="shared" si="37"/>
        <v/>
      </c>
      <c r="BV39" s="192" t="str">
        <f>IF( $B39="", "", IF( ISNA(VLOOKUP($AN39, TABELAS!$T$2:$T$9,1,FALSE)), 1, 0))</f>
        <v/>
      </c>
      <c r="BW39" s="192" t="str">
        <f t="shared" si="38"/>
        <v/>
      </c>
      <c r="BX39" s="192" t="str">
        <f>IF( OR($B39="", $AH39 = "SIM"), "", IF( ISNA( VLOOKUP( $AQ39, SISTEMA!$B:$B, 1, FALSE)), 1, 0))</f>
        <v/>
      </c>
      <c r="BY39" s="193" t="str">
        <f t="shared" si="39"/>
        <v/>
      </c>
      <c r="BZ39" s="193" t="str">
        <f t="shared" si="40"/>
        <v/>
      </c>
      <c r="CA39" s="192" t="str">
        <f t="shared" si="41"/>
        <v/>
      </c>
      <c r="CB39" s="193" t="str">
        <f t="shared" si="42"/>
        <v/>
      </c>
      <c r="CC39" s="193" t="str">
        <f t="shared" si="43"/>
        <v/>
      </c>
      <c r="CD39" s="193" t="str">
        <f t="shared" si="44"/>
        <v/>
      </c>
    </row>
    <row r="40" spans="1:82" x14ac:dyDescent="0.2">
      <c r="A40" s="140"/>
      <c r="B40" s="141" t="str">
        <f t="shared" si="13"/>
        <v/>
      </c>
      <c r="C40" s="142" t="str">
        <f t="shared" si="1"/>
        <v/>
      </c>
      <c r="D40" s="142" t="str">
        <f t="shared" si="14"/>
        <v/>
      </c>
      <c r="E40" s="142" t="str">
        <f>IF($C40="", "", COUNTIF($M$8:$M40,$D40))</f>
        <v/>
      </c>
      <c r="F40" s="254">
        <v>33</v>
      </c>
      <c r="G40" s="143"/>
      <c r="H40" s="144"/>
      <c r="I40" s="144"/>
      <c r="J40" s="145"/>
      <c r="K40" s="144"/>
      <c r="L40" s="144"/>
      <c r="M40" s="144"/>
      <c r="N40" s="146"/>
      <c r="O40" s="147"/>
      <c r="P40" s="147"/>
      <c r="Q40" s="147"/>
      <c r="R40" s="147"/>
      <c r="S40" s="147"/>
      <c r="T40" s="149"/>
      <c r="U40" s="150" t="str">
        <f>IF($T40="", "", VLOOKUP($T40, CONTRATOS!$B:$E, 2, FALSE))</f>
        <v/>
      </c>
      <c r="V40" s="151">
        <f>IF(OR($T40="",TB_DEFESA!$C$2="CARGA BASELINE"),0,
   IF(VLOOKUP($T40, CONTRATOS!B:E, 3, FALSE)&lt;&gt;"",1,IF(VLOOKUP($T40, CONTRATOS!B:E, 4, FALSE)&lt;&gt;"",2,0)))</f>
        <v>0</v>
      </c>
      <c r="W40" s="152"/>
      <c r="X40" s="152"/>
      <c r="Y40" s="153"/>
      <c r="Z40" s="154"/>
      <c r="AA40" s="155"/>
      <c r="AB40" s="156"/>
      <c r="AC40" s="157"/>
      <c r="AD40" s="155"/>
      <c r="AE40" s="158" t="str">
        <f t="shared" si="2"/>
        <v/>
      </c>
      <c r="AF40" s="160" t="str">
        <f t="shared" si="15"/>
        <v/>
      </c>
      <c r="AG40" s="182" t="s">
        <v>59</v>
      </c>
      <c r="AH40" s="183" t="str">
        <f t="shared" si="16"/>
        <v/>
      </c>
      <c r="AI40" s="183" t="str">
        <f t="shared" si="17"/>
        <v/>
      </c>
      <c r="AJ40" s="184" t="str">
        <f t="shared" si="18"/>
        <v/>
      </c>
      <c r="AK40" s="185" t="str">
        <f t="shared" si="19"/>
        <v/>
      </c>
      <c r="AL40" s="186"/>
      <c r="AM40" s="183" t="str">
        <f t="shared" si="20"/>
        <v/>
      </c>
      <c r="AN40" s="183" t="str">
        <f t="shared" si="21"/>
        <v/>
      </c>
      <c r="AO40" s="186" t="str">
        <f t="shared" si="22"/>
        <v/>
      </c>
      <c r="AP40" s="187" t="str">
        <f t="shared" si="23"/>
        <v/>
      </c>
      <c r="AQ40" s="187" t="str">
        <f t="shared" si="24"/>
        <v/>
      </c>
      <c r="AR40" s="188" t="str">
        <f t="shared" si="3"/>
        <v/>
      </c>
      <c r="AS40" s="188" t="str">
        <f t="shared" si="4"/>
        <v/>
      </c>
      <c r="AT40" s="183" t="str">
        <f t="shared" si="5"/>
        <v/>
      </c>
      <c r="AU40" s="189" t="str">
        <f>IF(OR($B40="", $AP40= ""),"",IF(VLOOKUP($AP40, CONTRATOS!B:K,3,FALSE)="","",VLOOKUP($AP40, CONTRATOS!B:K, 3,FALSE)))</f>
        <v/>
      </c>
      <c r="AV40" s="189" t="str">
        <f>IF(OR($B40="", $AP40 = ""), "", IF(VLOOKUP($AP40, CONTRATOS!B:K,4,FALSE)="","",VLOOKUP($AP40, CONTRATOS!B:K,4, FALSE)))</f>
        <v/>
      </c>
      <c r="AW40" s="190" t="str">
        <f t="shared" si="6"/>
        <v/>
      </c>
      <c r="AX40" s="189" t="str">
        <f t="shared" si="7"/>
        <v/>
      </c>
      <c r="AY40" s="189" t="str">
        <f t="shared" si="8"/>
        <v/>
      </c>
      <c r="AZ40" s="189" t="str">
        <f t="shared" si="9"/>
        <v/>
      </c>
      <c r="BA40" s="189" t="str">
        <f t="shared" si="10"/>
        <v/>
      </c>
      <c r="BB40" s="191">
        <f t="shared" si="25"/>
        <v>0</v>
      </c>
      <c r="BC40" s="191" t="str">
        <f t="shared" si="26"/>
        <v/>
      </c>
      <c r="BD40" s="191" t="str">
        <f t="shared" si="27"/>
        <v/>
      </c>
      <c r="BF40" s="192">
        <f t="shared" si="28"/>
        <v>0</v>
      </c>
      <c r="BG40" s="192">
        <f t="shared" si="29"/>
        <v>0</v>
      </c>
      <c r="BH40" s="192" t="str">
        <f>IF( $B40="", "", IF(ISNA(VLOOKUP($C40, Defesa!$C$7:$C$29,1,FALSE)),1,0))</f>
        <v/>
      </c>
      <c r="BI40" s="193" t="str">
        <f t="shared" si="30"/>
        <v/>
      </c>
      <c r="BJ40" s="193" t="str">
        <f>IF($B40="", "", IF( AND( $AI40="ESTIMATIVA", OR( Defesa!$F$7 = "AUTOMÁTICA", Defesa!$F$7 ="100% BASELINE")), 1, 0))</f>
        <v/>
      </c>
      <c r="BK40" s="192" t="str">
        <f t="shared" ref="BK40:BK71" si="45">IF($B40="", "", IF(COUNTIFS($AB:$AB, $AB40,$B:$B, $B40)&gt;1, 1, 0))</f>
        <v/>
      </c>
      <c r="BL40" s="192">
        <f t="shared" si="31"/>
        <v>0</v>
      </c>
      <c r="BM40" s="192" t="str">
        <f>IF($AC40="", "", IF(ISNA(VLOOKUP($AC40, TABELAS!$Q:$Q, 1, FALSE)), 1, 0))</f>
        <v/>
      </c>
      <c r="BN40" s="194" t="str">
        <f t="shared" ref="BN40:BN71" si="46">IF($B40= "", "", IF( SUMIFS($AW:$AW,$C:$C, $C40,$D:$D, $D40,$E:$E, $E40) = 1, 0, 1))</f>
        <v/>
      </c>
      <c r="BO40" s="192" t="str">
        <f t="shared" si="32"/>
        <v/>
      </c>
      <c r="BP40" s="192" t="str">
        <f t="shared" si="33"/>
        <v/>
      </c>
      <c r="BQ40" s="193" t="str">
        <f t="shared" si="34"/>
        <v/>
      </c>
      <c r="BR40" s="192" t="str">
        <f t="shared" si="35"/>
        <v/>
      </c>
      <c r="BS40" s="192" t="str">
        <f t="shared" si="36"/>
        <v/>
      </c>
      <c r="BT40" s="192" t="str">
        <f>IF(OR($B40="", $AH40 = "SIM"), "", IF( ISNA(VLOOKUP($AP40,#REF!, 1, FALSE)), 1, 0))</f>
        <v/>
      </c>
      <c r="BU40" s="192" t="str">
        <f t="shared" si="37"/>
        <v/>
      </c>
      <c r="BV40" s="192" t="str">
        <f>IF( $B40="", "", IF( ISNA(VLOOKUP($AN40, TABELAS!$T$2:$T$9,1,FALSE)), 1, 0))</f>
        <v/>
      </c>
      <c r="BW40" s="192" t="str">
        <f t="shared" si="38"/>
        <v/>
      </c>
      <c r="BX40" s="192" t="str">
        <f>IF( OR($B40="", $AH40 = "SIM"), "", IF( ISNA( VLOOKUP( $AQ40, SISTEMA!$B:$B, 1, FALSE)), 1, 0))</f>
        <v/>
      </c>
      <c r="BY40" s="193" t="str">
        <f t="shared" si="39"/>
        <v/>
      </c>
      <c r="BZ40" s="193" t="str">
        <f t="shared" si="40"/>
        <v/>
      </c>
      <c r="CA40" s="192" t="str">
        <f t="shared" si="41"/>
        <v/>
      </c>
      <c r="CB40" s="193" t="str">
        <f t="shared" si="42"/>
        <v/>
      </c>
      <c r="CC40" s="193" t="str">
        <f t="shared" si="43"/>
        <v/>
      </c>
      <c r="CD40" s="193" t="str">
        <f t="shared" si="44"/>
        <v/>
      </c>
    </row>
    <row r="41" spans="1:82" x14ac:dyDescent="0.2">
      <c r="A41" s="140"/>
      <c r="B41" s="141" t="str">
        <f t="shared" si="13"/>
        <v/>
      </c>
      <c r="C41" s="142" t="str">
        <f t="shared" si="1"/>
        <v/>
      </c>
      <c r="D41" s="142" t="str">
        <f t="shared" si="14"/>
        <v/>
      </c>
      <c r="E41" s="142" t="str">
        <f>IF($C41="", "", COUNTIF($M$8:$M41,$D41))</f>
        <v/>
      </c>
      <c r="F41" s="254">
        <v>34</v>
      </c>
      <c r="G41" s="143"/>
      <c r="H41" s="144"/>
      <c r="I41" s="144"/>
      <c r="J41" s="145"/>
      <c r="K41" s="144"/>
      <c r="L41" s="144"/>
      <c r="M41" s="144"/>
      <c r="N41" s="146"/>
      <c r="O41" s="147"/>
      <c r="P41" s="147"/>
      <c r="Q41" s="147"/>
      <c r="R41" s="147"/>
      <c r="S41" s="147"/>
      <c r="T41" s="149"/>
      <c r="U41" s="150" t="str">
        <f>IF($T41="", "", VLOOKUP($T41, CONTRATOS!$B:$E, 2, FALSE))</f>
        <v/>
      </c>
      <c r="V41" s="151">
        <f>IF(OR($T41="",TB_DEFESA!$C$2="CARGA BASELINE"),0,
   IF(VLOOKUP($T41, CONTRATOS!B:E, 3, FALSE)&lt;&gt;"",1,IF(VLOOKUP($T41, CONTRATOS!B:E, 4, FALSE)&lt;&gt;"",2,0)))</f>
        <v>0</v>
      </c>
      <c r="W41" s="152"/>
      <c r="X41" s="152"/>
      <c r="Y41" s="153"/>
      <c r="Z41" s="154"/>
      <c r="AA41" s="155"/>
      <c r="AB41" s="156"/>
      <c r="AC41" s="157"/>
      <c r="AD41" s="155"/>
      <c r="AE41" s="158" t="str">
        <f t="shared" si="2"/>
        <v/>
      </c>
      <c r="AF41" s="160" t="str">
        <f t="shared" si="15"/>
        <v/>
      </c>
      <c r="AG41" s="182" t="s">
        <v>59</v>
      </c>
      <c r="AH41" s="183" t="str">
        <f t="shared" si="16"/>
        <v/>
      </c>
      <c r="AI41" s="183" t="str">
        <f t="shared" si="17"/>
        <v/>
      </c>
      <c r="AJ41" s="184" t="str">
        <f t="shared" si="18"/>
        <v/>
      </c>
      <c r="AK41" s="185" t="str">
        <f t="shared" si="19"/>
        <v/>
      </c>
      <c r="AL41" s="186"/>
      <c r="AM41" s="183" t="str">
        <f t="shared" si="20"/>
        <v/>
      </c>
      <c r="AN41" s="183" t="str">
        <f t="shared" si="21"/>
        <v/>
      </c>
      <c r="AO41" s="186" t="str">
        <f t="shared" si="22"/>
        <v/>
      </c>
      <c r="AP41" s="187" t="str">
        <f t="shared" si="23"/>
        <v/>
      </c>
      <c r="AQ41" s="187" t="str">
        <f t="shared" si="24"/>
        <v/>
      </c>
      <c r="AR41" s="188" t="str">
        <f t="shared" si="3"/>
        <v/>
      </c>
      <c r="AS41" s="188" t="str">
        <f t="shared" si="4"/>
        <v/>
      </c>
      <c r="AT41" s="183" t="str">
        <f t="shared" si="5"/>
        <v/>
      </c>
      <c r="AU41" s="189" t="str">
        <f>IF(OR($B41="", $AP41= ""),"",IF(VLOOKUP($AP41, CONTRATOS!B:K,3,FALSE)="","",VLOOKUP($AP41, CONTRATOS!B:K, 3,FALSE)))</f>
        <v/>
      </c>
      <c r="AV41" s="189" t="str">
        <f>IF(OR($B41="", $AP41 = ""), "", IF(VLOOKUP($AP41, CONTRATOS!B:K,4,FALSE)="","",VLOOKUP($AP41, CONTRATOS!B:K,4, FALSE)))</f>
        <v/>
      </c>
      <c r="AW41" s="190" t="str">
        <f t="shared" si="6"/>
        <v/>
      </c>
      <c r="AX41" s="189" t="str">
        <f t="shared" si="7"/>
        <v/>
      </c>
      <c r="AY41" s="189" t="str">
        <f t="shared" si="8"/>
        <v/>
      </c>
      <c r="AZ41" s="189" t="str">
        <f t="shared" si="9"/>
        <v/>
      </c>
      <c r="BA41" s="189" t="str">
        <f t="shared" si="10"/>
        <v/>
      </c>
      <c r="BB41" s="191">
        <f t="shared" si="25"/>
        <v>0</v>
      </c>
      <c r="BC41" s="191" t="str">
        <f t="shared" si="26"/>
        <v/>
      </c>
      <c r="BD41" s="191" t="str">
        <f t="shared" si="27"/>
        <v/>
      </c>
      <c r="BF41" s="192">
        <f t="shared" si="28"/>
        <v>0</v>
      </c>
      <c r="BG41" s="192">
        <f t="shared" si="29"/>
        <v>0</v>
      </c>
      <c r="BH41" s="192" t="str">
        <f>IF( $B41="", "", IF(ISNA(VLOOKUP($C41, Defesa!$C$7:$C$29,1,FALSE)),1,0))</f>
        <v/>
      </c>
      <c r="BI41" s="193" t="str">
        <f t="shared" si="30"/>
        <v/>
      </c>
      <c r="BJ41" s="193" t="str">
        <f>IF($B41="", "", IF( AND( $AI41="ESTIMATIVA", OR( Defesa!$F$7 = "AUTOMÁTICA", Defesa!$F$7 ="100% BASELINE")), 1, 0))</f>
        <v/>
      </c>
      <c r="BK41" s="192" t="str">
        <f t="shared" si="45"/>
        <v/>
      </c>
      <c r="BL41" s="192">
        <f t="shared" si="31"/>
        <v>0</v>
      </c>
      <c r="BM41" s="192" t="str">
        <f>IF($AC41="", "", IF(ISNA(VLOOKUP($AC41, TABELAS!$Q:$Q, 1, FALSE)), 1, 0))</f>
        <v/>
      </c>
      <c r="BN41" s="194" t="str">
        <f t="shared" si="46"/>
        <v/>
      </c>
      <c r="BO41" s="192" t="str">
        <f t="shared" si="32"/>
        <v/>
      </c>
      <c r="BP41" s="192" t="str">
        <f t="shared" si="33"/>
        <v/>
      </c>
      <c r="BQ41" s="193" t="str">
        <f t="shared" si="34"/>
        <v/>
      </c>
      <c r="BR41" s="192" t="str">
        <f t="shared" si="35"/>
        <v/>
      </c>
      <c r="BS41" s="192" t="str">
        <f t="shared" si="36"/>
        <v/>
      </c>
      <c r="BT41" s="192" t="str">
        <f>IF(OR($B41="", $AH41 = "SIM"), "", IF( ISNA(VLOOKUP($AP41,#REF!, 1, FALSE)), 1, 0))</f>
        <v/>
      </c>
      <c r="BU41" s="192" t="str">
        <f t="shared" si="37"/>
        <v/>
      </c>
      <c r="BV41" s="192" t="str">
        <f>IF( $B41="", "", IF( ISNA(VLOOKUP($AN41, TABELAS!$T$2:$T$9,1,FALSE)), 1, 0))</f>
        <v/>
      </c>
      <c r="BW41" s="192" t="str">
        <f t="shared" si="38"/>
        <v/>
      </c>
      <c r="BX41" s="192" t="str">
        <f>IF( OR($B41="", $AH41 = "SIM"), "", IF( ISNA( VLOOKUP( $AQ41, SISTEMA!$B:$B, 1, FALSE)), 1, 0))</f>
        <v/>
      </c>
      <c r="BY41" s="193" t="str">
        <f t="shared" si="39"/>
        <v/>
      </c>
      <c r="BZ41" s="193" t="str">
        <f t="shared" si="40"/>
        <v/>
      </c>
      <c r="CA41" s="192" t="str">
        <f t="shared" si="41"/>
        <v/>
      </c>
      <c r="CB41" s="193" t="str">
        <f t="shared" si="42"/>
        <v/>
      </c>
      <c r="CC41" s="193" t="str">
        <f t="shared" si="43"/>
        <v/>
      </c>
      <c r="CD41" s="193" t="str">
        <f t="shared" si="44"/>
        <v/>
      </c>
    </row>
    <row r="42" spans="1:82" x14ac:dyDescent="0.2">
      <c r="A42" s="140"/>
      <c r="B42" s="141" t="str">
        <f t="shared" si="13"/>
        <v/>
      </c>
      <c r="C42" s="142" t="str">
        <f t="shared" si="1"/>
        <v/>
      </c>
      <c r="D42" s="142" t="str">
        <f t="shared" si="14"/>
        <v/>
      </c>
      <c r="E42" s="142" t="str">
        <f>IF($C42="", "", COUNTIF($M$8:$M42,$D42))</f>
        <v/>
      </c>
      <c r="F42" s="254">
        <v>35</v>
      </c>
      <c r="G42" s="143"/>
      <c r="H42" s="144"/>
      <c r="I42" s="144"/>
      <c r="J42" s="145"/>
      <c r="K42" s="144"/>
      <c r="L42" s="144"/>
      <c r="M42" s="144"/>
      <c r="N42" s="146"/>
      <c r="O42" s="147"/>
      <c r="P42" s="147"/>
      <c r="Q42" s="147"/>
      <c r="R42" s="147"/>
      <c r="S42" s="147"/>
      <c r="T42" s="149"/>
      <c r="U42" s="150" t="str">
        <f>IF($T42="", "", VLOOKUP($T42, CONTRATOS!$B:$E, 2, FALSE))</f>
        <v/>
      </c>
      <c r="V42" s="151">
        <f>IF(OR($T42="",TB_DEFESA!$C$2="CARGA BASELINE"),0,
   IF(VLOOKUP($T42, CONTRATOS!B:E, 3, FALSE)&lt;&gt;"",1,IF(VLOOKUP($T42, CONTRATOS!B:E, 4, FALSE)&lt;&gt;"",2,0)))</f>
        <v>0</v>
      </c>
      <c r="W42" s="152"/>
      <c r="X42" s="152"/>
      <c r="Y42" s="153"/>
      <c r="Z42" s="154"/>
      <c r="AA42" s="155"/>
      <c r="AB42" s="156"/>
      <c r="AC42" s="157"/>
      <c r="AD42" s="155"/>
      <c r="AE42" s="158" t="str">
        <f t="shared" si="2"/>
        <v/>
      </c>
      <c r="AF42" s="160" t="str">
        <f t="shared" si="15"/>
        <v/>
      </c>
      <c r="AG42" s="182" t="s">
        <v>59</v>
      </c>
      <c r="AH42" s="183" t="str">
        <f t="shared" si="16"/>
        <v/>
      </c>
      <c r="AI42" s="183" t="str">
        <f t="shared" si="17"/>
        <v/>
      </c>
      <c r="AJ42" s="184" t="str">
        <f t="shared" si="18"/>
        <v/>
      </c>
      <c r="AK42" s="185" t="str">
        <f t="shared" si="19"/>
        <v/>
      </c>
      <c r="AL42" s="186"/>
      <c r="AM42" s="183" t="str">
        <f t="shared" si="20"/>
        <v/>
      </c>
      <c r="AN42" s="183" t="str">
        <f t="shared" si="21"/>
        <v/>
      </c>
      <c r="AO42" s="186" t="str">
        <f t="shared" si="22"/>
        <v/>
      </c>
      <c r="AP42" s="187" t="str">
        <f t="shared" si="23"/>
        <v/>
      </c>
      <c r="AQ42" s="187" t="str">
        <f t="shared" si="24"/>
        <v/>
      </c>
      <c r="AR42" s="188" t="str">
        <f t="shared" si="3"/>
        <v/>
      </c>
      <c r="AS42" s="188" t="str">
        <f t="shared" si="4"/>
        <v/>
      </c>
      <c r="AT42" s="183" t="str">
        <f t="shared" si="5"/>
        <v/>
      </c>
      <c r="AU42" s="189" t="str">
        <f>IF(OR($B42="", $AP42= ""),"",IF(VLOOKUP($AP42, CONTRATOS!B:K,3,FALSE)="","",VLOOKUP($AP42, CONTRATOS!B:K, 3,FALSE)))</f>
        <v/>
      </c>
      <c r="AV42" s="189" t="str">
        <f>IF(OR($B42="", $AP42 = ""), "", IF(VLOOKUP($AP42, CONTRATOS!B:K,4,FALSE)="","",VLOOKUP($AP42, CONTRATOS!B:K,4, FALSE)))</f>
        <v/>
      </c>
      <c r="AW42" s="190" t="str">
        <f t="shared" si="6"/>
        <v/>
      </c>
      <c r="AX42" s="189" t="str">
        <f t="shared" si="7"/>
        <v/>
      </c>
      <c r="AY42" s="189" t="str">
        <f t="shared" si="8"/>
        <v/>
      </c>
      <c r="AZ42" s="189" t="str">
        <f t="shared" si="9"/>
        <v/>
      </c>
      <c r="BA42" s="189" t="str">
        <f t="shared" si="10"/>
        <v/>
      </c>
      <c r="BB42" s="191">
        <f t="shared" si="25"/>
        <v>0</v>
      </c>
      <c r="BC42" s="191" t="str">
        <f t="shared" si="26"/>
        <v/>
      </c>
      <c r="BD42" s="191" t="str">
        <f t="shared" si="27"/>
        <v/>
      </c>
      <c r="BF42" s="192">
        <f t="shared" si="28"/>
        <v>0</v>
      </c>
      <c r="BG42" s="192">
        <f t="shared" si="29"/>
        <v>0</v>
      </c>
      <c r="BH42" s="192" t="str">
        <f>IF( $B42="", "", IF(ISNA(VLOOKUP($C42, Defesa!$C$7:$C$29,1,FALSE)),1,0))</f>
        <v/>
      </c>
      <c r="BI42" s="193" t="str">
        <f t="shared" si="30"/>
        <v/>
      </c>
      <c r="BJ42" s="193" t="str">
        <f>IF($B42="", "", IF( AND( $AI42="ESTIMATIVA", OR( Defesa!$F$7 = "AUTOMÁTICA", Defesa!$F$7 ="100% BASELINE")), 1, 0))</f>
        <v/>
      </c>
      <c r="BK42" s="192" t="str">
        <f t="shared" si="45"/>
        <v/>
      </c>
      <c r="BL42" s="192">
        <f t="shared" si="31"/>
        <v>0</v>
      </c>
      <c r="BM42" s="192" t="str">
        <f>IF($AC42="", "", IF(ISNA(VLOOKUP($AC42, TABELAS!$Q:$Q, 1, FALSE)), 1, 0))</f>
        <v/>
      </c>
      <c r="BN42" s="194" t="str">
        <f t="shared" si="46"/>
        <v/>
      </c>
      <c r="BO42" s="192" t="str">
        <f t="shared" si="32"/>
        <v/>
      </c>
      <c r="BP42" s="192" t="str">
        <f t="shared" si="33"/>
        <v/>
      </c>
      <c r="BQ42" s="193" t="str">
        <f t="shared" si="34"/>
        <v/>
      </c>
      <c r="BR42" s="192" t="str">
        <f t="shared" si="35"/>
        <v/>
      </c>
      <c r="BS42" s="192" t="str">
        <f t="shared" si="36"/>
        <v/>
      </c>
      <c r="BT42" s="192" t="str">
        <f>IF(OR($B42="", $AH42 = "SIM"), "", IF( ISNA(VLOOKUP($AP42,#REF!, 1, FALSE)), 1, 0))</f>
        <v/>
      </c>
      <c r="BU42" s="192" t="str">
        <f t="shared" si="37"/>
        <v/>
      </c>
      <c r="BV42" s="192" t="str">
        <f>IF( $B42="", "", IF( ISNA(VLOOKUP($AN42, TABELAS!$T$2:$T$9,1,FALSE)), 1, 0))</f>
        <v/>
      </c>
      <c r="BW42" s="192" t="str">
        <f t="shared" si="38"/>
        <v/>
      </c>
      <c r="BX42" s="192" t="str">
        <f>IF( OR($B42="", $AH42 = "SIM"), "", IF( ISNA( VLOOKUP( $AQ42, SISTEMA!$B:$B, 1, FALSE)), 1, 0))</f>
        <v/>
      </c>
      <c r="BY42" s="193" t="str">
        <f t="shared" si="39"/>
        <v/>
      </c>
      <c r="BZ42" s="193" t="str">
        <f t="shared" si="40"/>
        <v/>
      </c>
      <c r="CA42" s="192" t="str">
        <f t="shared" si="41"/>
        <v/>
      </c>
      <c r="CB42" s="193" t="str">
        <f t="shared" si="42"/>
        <v/>
      </c>
      <c r="CC42" s="193" t="str">
        <f t="shared" si="43"/>
        <v/>
      </c>
      <c r="CD42" s="193" t="str">
        <f t="shared" si="44"/>
        <v/>
      </c>
    </row>
    <row r="43" spans="1:82" x14ac:dyDescent="0.2">
      <c r="A43" s="140"/>
      <c r="B43" s="141" t="str">
        <f t="shared" si="13"/>
        <v/>
      </c>
      <c r="C43" s="142" t="str">
        <f t="shared" si="1"/>
        <v/>
      </c>
      <c r="D43" s="142" t="str">
        <f t="shared" si="14"/>
        <v/>
      </c>
      <c r="E43" s="142" t="str">
        <f>IF($C43="", "", COUNTIF($M$8:$M43,$D43))</f>
        <v/>
      </c>
      <c r="F43" s="254">
        <v>36</v>
      </c>
      <c r="G43" s="143"/>
      <c r="H43" s="144"/>
      <c r="I43" s="144"/>
      <c r="J43" s="145"/>
      <c r="K43" s="144"/>
      <c r="L43" s="144"/>
      <c r="M43" s="144"/>
      <c r="N43" s="146"/>
      <c r="O43" s="147"/>
      <c r="P43" s="147"/>
      <c r="Q43" s="147"/>
      <c r="R43" s="147"/>
      <c r="S43" s="147"/>
      <c r="T43" s="149"/>
      <c r="U43" s="150" t="str">
        <f>IF($T43="", "", VLOOKUP($T43, CONTRATOS!$B:$E, 2, FALSE))</f>
        <v/>
      </c>
      <c r="V43" s="151">
        <f>IF(OR($T43="",TB_DEFESA!$C$2="CARGA BASELINE"),0,
   IF(VLOOKUP($T43, CONTRATOS!B:E, 3, FALSE)&lt;&gt;"",1,IF(VLOOKUP($T43, CONTRATOS!B:E, 4, FALSE)&lt;&gt;"",2,0)))</f>
        <v>0</v>
      </c>
      <c r="W43" s="152"/>
      <c r="X43" s="152"/>
      <c r="Y43" s="153"/>
      <c r="Z43" s="154"/>
      <c r="AA43" s="155"/>
      <c r="AB43" s="156"/>
      <c r="AC43" s="157"/>
      <c r="AD43" s="155"/>
      <c r="AE43" s="158" t="str">
        <f t="shared" si="2"/>
        <v/>
      </c>
      <c r="AF43" s="160" t="str">
        <f t="shared" si="15"/>
        <v/>
      </c>
      <c r="AG43" s="182" t="s">
        <v>59</v>
      </c>
      <c r="AH43" s="183" t="str">
        <f t="shared" si="16"/>
        <v/>
      </c>
      <c r="AI43" s="183" t="str">
        <f t="shared" si="17"/>
        <v/>
      </c>
      <c r="AJ43" s="184" t="str">
        <f t="shared" si="18"/>
        <v/>
      </c>
      <c r="AK43" s="185" t="str">
        <f t="shared" si="19"/>
        <v/>
      </c>
      <c r="AL43" s="186"/>
      <c r="AM43" s="183" t="str">
        <f t="shared" si="20"/>
        <v/>
      </c>
      <c r="AN43" s="183" t="str">
        <f t="shared" si="21"/>
        <v/>
      </c>
      <c r="AO43" s="186" t="str">
        <f t="shared" si="22"/>
        <v/>
      </c>
      <c r="AP43" s="187" t="str">
        <f t="shared" si="23"/>
        <v/>
      </c>
      <c r="AQ43" s="187" t="str">
        <f t="shared" si="24"/>
        <v/>
      </c>
      <c r="AR43" s="188" t="str">
        <f t="shared" si="3"/>
        <v/>
      </c>
      <c r="AS43" s="188" t="str">
        <f t="shared" si="4"/>
        <v/>
      </c>
      <c r="AT43" s="183" t="str">
        <f t="shared" si="5"/>
        <v/>
      </c>
      <c r="AU43" s="189" t="str">
        <f>IF(OR($B43="", $AP43= ""),"",IF(VLOOKUP($AP43, CONTRATOS!B:K,3,FALSE)="","",VLOOKUP($AP43, CONTRATOS!B:K, 3,FALSE)))</f>
        <v/>
      </c>
      <c r="AV43" s="189" t="str">
        <f>IF(OR($B43="", $AP43 = ""), "", IF(VLOOKUP($AP43, CONTRATOS!B:K,4,FALSE)="","",VLOOKUP($AP43, CONTRATOS!B:K,4, FALSE)))</f>
        <v/>
      </c>
      <c r="AW43" s="190" t="str">
        <f t="shared" si="6"/>
        <v/>
      </c>
      <c r="AX43" s="189" t="str">
        <f t="shared" si="7"/>
        <v/>
      </c>
      <c r="AY43" s="189" t="str">
        <f t="shared" si="8"/>
        <v/>
      </c>
      <c r="AZ43" s="189" t="str">
        <f t="shared" si="9"/>
        <v/>
      </c>
      <c r="BA43" s="189" t="str">
        <f t="shared" si="10"/>
        <v/>
      </c>
      <c r="BB43" s="191">
        <f t="shared" si="25"/>
        <v>0</v>
      </c>
      <c r="BC43" s="191" t="str">
        <f t="shared" si="26"/>
        <v/>
      </c>
      <c r="BD43" s="191" t="str">
        <f t="shared" si="27"/>
        <v/>
      </c>
      <c r="BF43" s="192">
        <f t="shared" si="28"/>
        <v>0</v>
      </c>
      <c r="BG43" s="192">
        <f t="shared" si="29"/>
        <v>0</v>
      </c>
      <c r="BH43" s="192" t="str">
        <f>IF( $B43="", "", IF(ISNA(VLOOKUP($C43, Defesa!$C$7:$C$29,1,FALSE)),1,0))</f>
        <v/>
      </c>
      <c r="BI43" s="193" t="str">
        <f t="shared" si="30"/>
        <v/>
      </c>
      <c r="BJ43" s="193" t="str">
        <f>IF($B43="", "", IF( AND( $AI43="ESTIMATIVA", OR( Defesa!$F$7 = "AUTOMÁTICA", Defesa!$F$7 ="100% BASELINE")), 1, 0))</f>
        <v/>
      </c>
      <c r="BK43" s="192" t="str">
        <f t="shared" si="45"/>
        <v/>
      </c>
      <c r="BL43" s="192">
        <f t="shared" si="31"/>
        <v>0</v>
      </c>
      <c r="BM43" s="192" t="str">
        <f>IF($AC43="", "", IF(ISNA(VLOOKUP($AC43, TABELAS!$Q:$Q, 1, FALSE)), 1, 0))</f>
        <v/>
      </c>
      <c r="BN43" s="194" t="str">
        <f t="shared" si="46"/>
        <v/>
      </c>
      <c r="BO43" s="192" t="str">
        <f t="shared" si="32"/>
        <v/>
      </c>
      <c r="BP43" s="192" t="str">
        <f t="shared" si="33"/>
        <v/>
      </c>
      <c r="BQ43" s="193" t="str">
        <f t="shared" si="34"/>
        <v/>
      </c>
      <c r="BR43" s="192" t="str">
        <f t="shared" si="35"/>
        <v/>
      </c>
      <c r="BS43" s="192" t="str">
        <f t="shared" si="36"/>
        <v/>
      </c>
      <c r="BT43" s="192" t="str">
        <f>IF(OR($B43="", $AH43 = "SIM"), "", IF( ISNA(VLOOKUP($AP43,#REF!, 1, FALSE)), 1, 0))</f>
        <v/>
      </c>
      <c r="BU43" s="192" t="str">
        <f t="shared" si="37"/>
        <v/>
      </c>
      <c r="BV43" s="192" t="str">
        <f>IF( $B43="", "", IF( ISNA(VLOOKUP($AN43, TABELAS!$T$2:$T$9,1,FALSE)), 1, 0))</f>
        <v/>
      </c>
      <c r="BW43" s="192" t="str">
        <f t="shared" si="38"/>
        <v/>
      </c>
      <c r="BX43" s="192" t="str">
        <f>IF( OR($B43="", $AH43 = "SIM"), "", IF( ISNA( VLOOKUP( $AQ43, SISTEMA!$B:$B, 1, FALSE)), 1, 0))</f>
        <v/>
      </c>
      <c r="BY43" s="193" t="str">
        <f t="shared" si="39"/>
        <v/>
      </c>
      <c r="BZ43" s="193" t="str">
        <f t="shared" si="40"/>
        <v/>
      </c>
      <c r="CA43" s="192" t="str">
        <f t="shared" si="41"/>
        <v/>
      </c>
      <c r="CB43" s="193" t="str">
        <f t="shared" si="42"/>
        <v/>
      </c>
      <c r="CC43" s="193" t="str">
        <f t="shared" si="43"/>
        <v/>
      </c>
      <c r="CD43" s="193" t="str">
        <f t="shared" si="44"/>
        <v/>
      </c>
    </row>
    <row r="44" spans="1:82" x14ac:dyDescent="0.2">
      <c r="A44" s="140"/>
      <c r="B44" s="141" t="str">
        <f t="shared" si="13"/>
        <v/>
      </c>
      <c r="C44" s="142" t="str">
        <f t="shared" si="1"/>
        <v/>
      </c>
      <c r="D44" s="142" t="str">
        <f t="shared" si="14"/>
        <v/>
      </c>
      <c r="E44" s="142" t="str">
        <f>IF($C44="", "", COUNTIF($M$8:$M44,$D44))</f>
        <v/>
      </c>
      <c r="F44" s="254">
        <v>37</v>
      </c>
      <c r="G44" s="143"/>
      <c r="H44" s="144"/>
      <c r="I44" s="144"/>
      <c r="J44" s="145"/>
      <c r="K44" s="144"/>
      <c r="L44" s="144"/>
      <c r="M44" s="144"/>
      <c r="N44" s="146"/>
      <c r="O44" s="147"/>
      <c r="P44" s="147"/>
      <c r="Q44" s="147"/>
      <c r="R44" s="147"/>
      <c r="S44" s="147"/>
      <c r="T44" s="149"/>
      <c r="U44" s="150" t="str">
        <f>IF($T44="", "", VLOOKUP($T44, CONTRATOS!$B:$E, 2, FALSE))</f>
        <v/>
      </c>
      <c r="V44" s="151">
        <f>IF(OR($T44="",TB_DEFESA!$C$2="CARGA BASELINE"),0,
   IF(VLOOKUP($T44, CONTRATOS!B:E, 3, FALSE)&lt;&gt;"",1,IF(VLOOKUP($T44, CONTRATOS!B:E, 4, FALSE)&lt;&gt;"",2,0)))</f>
        <v>0</v>
      </c>
      <c r="W44" s="152"/>
      <c r="X44" s="152"/>
      <c r="Y44" s="153"/>
      <c r="Z44" s="154"/>
      <c r="AA44" s="155"/>
      <c r="AB44" s="156"/>
      <c r="AC44" s="157"/>
      <c r="AD44" s="155"/>
      <c r="AE44" s="158" t="str">
        <f t="shared" si="2"/>
        <v/>
      </c>
      <c r="AF44" s="160" t="str">
        <f t="shared" si="15"/>
        <v/>
      </c>
      <c r="AG44" s="182" t="s">
        <v>59</v>
      </c>
      <c r="AH44" s="183" t="str">
        <f t="shared" si="16"/>
        <v/>
      </c>
      <c r="AI44" s="183" t="str">
        <f t="shared" si="17"/>
        <v/>
      </c>
      <c r="AJ44" s="184" t="str">
        <f t="shared" si="18"/>
        <v/>
      </c>
      <c r="AK44" s="185" t="str">
        <f t="shared" si="19"/>
        <v/>
      </c>
      <c r="AL44" s="186"/>
      <c r="AM44" s="183" t="str">
        <f t="shared" si="20"/>
        <v/>
      </c>
      <c r="AN44" s="183" t="str">
        <f t="shared" si="21"/>
        <v/>
      </c>
      <c r="AO44" s="186" t="str">
        <f t="shared" si="22"/>
        <v/>
      </c>
      <c r="AP44" s="187" t="str">
        <f t="shared" si="23"/>
        <v/>
      </c>
      <c r="AQ44" s="187" t="str">
        <f t="shared" si="24"/>
        <v/>
      </c>
      <c r="AR44" s="188" t="str">
        <f t="shared" si="3"/>
        <v/>
      </c>
      <c r="AS44" s="188" t="str">
        <f t="shared" si="4"/>
        <v/>
      </c>
      <c r="AT44" s="183" t="str">
        <f t="shared" si="5"/>
        <v/>
      </c>
      <c r="AU44" s="189" t="str">
        <f>IF(OR($B44="", $AP44= ""),"",IF(VLOOKUP($AP44, CONTRATOS!B:K,3,FALSE)="","",VLOOKUP($AP44, CONTRATOS!B:K, 3,FALSE)))</f>
        <v/>
      </c>
      <c r="AV44" s="189" t="str">
        <f>IF(OR($B44="", $AP44 = ""), "", IF(VLOOKUP($AP44, CONTRATOS!B:K,4,FALSE)="","",VLOOKUP($AP44, CONTRATOS!B:K,4, FALSE)))</f>
        <v/>
      </c>
      <c r="AW44" s="190" t="str">
        <f t="shared" si="6"/>
        <v/>
      </c>
      <c r="AX44" s="189" t="str">
        <f t="shared" si="7"/>
        <v/>
      </c>
      <c r="AY44" s="189" t="str">
        <f t="shared" si="8"/>
        <v/>
      </c>
      <c r="AZ44" s="189" t="str">
        <f t="shared" si="9"/>
        <v/>
      </c>
      <c r="BA44" s="189" t="str">
        <f t="shared" si="10"/>
        <v/>
      </c>
      <c r="BB44" s="191">
        <f t="shared" si="25"/>
        <v>0</v>
      </c>
      <c r="BC44" s="191" t="str">
        <f t="shared" si="26"/>
        <v/>
      </c>
      <c r="BD44" s="191" t="str">
        <f t="shared" si="27"/>
        <v/>
      </c>
      <c r="BF44" s="192">
        <f t="shared" si="28"/>
        <v>0</v>
      </c>
      <c r="BG44" s="192">
        <f t="shared" si="29"/>
        <v>0</v>
      </c>
      <c r="BH44" s="192" t="str">
        <f>IF( $B44="", "", IF(ISNA(VLOOKUP($C44, Defesa!$C$7:$C$29,1,FALSE)),1,0))</f>
        <v/>
      </c>
      <c r="BI44" s="193" t="str">
        <f t="shared" si="30"/>
        <v/>
      </c>
      <c r="BJ44" s="193" t="str">
        <f>IF($B44="", "", IF( AND( $AI44="ESTIMATIVA", OR( Defesa!$F$7 = "AUTOMÁTICA", Defesa!$F$7 ="100% BASELINE")), 1, 0))</f>
        <v/>
      </c>
      <c r="BK44" s="192" t="str">
        <f t="shared" si="45"/>
        <v/>
      </c>
      <c r="BL44" s="192">
        <f t="shared" si="31"/>
        <v>0</v>
      </c>
      <c r="BM44" s="192" t="str">
        <f>IF($AC44="", "", IF(ISNA(VLOOKUP($AC44, TABELAS!$Q:$Q, 1, FALSE)), 1, 0))</f>
        <v/>
      </c>
      <c r="BN44" s="194" t="str">
        <f t="shared" si="46"/>
        <v/>
      </c>
      <c r="BO44" s="192" t="str">
        <f t="shared" si="32"/>
        <v/>
      </c>
      <c r="BP44" s="192" t="str">
        <f t="shared" si="33"/>
        <v/>
      </c>
      <c r="BQ44" s="193" t="str">
        <f t="shared" si="34"/>
        <v/>
      </c>
      <c r="BR44" s="192" t="str">
        <f t="shared" si="35"/>
        <v/>
      </c>
      <c r="BS44" s="192" t="str">
        <f t="shared" si="36"/>
        <v/>
      </c>
      <c r="BT44" s="192" t="str">
        <f>IF(OR($B44="", $AH44 = "SIM"), "", IF( ISNA(VLOOKUP($AP44,#REF!, 1, FALSE)), 1, 0))</f>
        <v/>
      </c>
      <c r="BU44" s="192" t="str">
        <f t="shared" si="37"/>
        <v/>
      </c>
      <c r="BV44" s="192" t="str">
        <f>IF( $B44="", "", IF( ISNA(VLOOKUP($AN44, TABELAS!$T$2:$T$9,1,FALSE)), 1, 0))</f>
        <v/>
      </c>
      <c r="BW44" s="192" t="str">
        <f t="shared" si="38"/>
        <v/>
      </c>
      <c r="BX44" s="192" t="str">
        <f>IF( OR($B44="", $AH44 = "SIM"), "", IF( ISNA( VLOOKUP( $AQ44, SISTEMA!$B:$B, 1, FALSE)), 1, 0))</f>
        <v/>
      </c>
      <c r="BY44" s="193" t="str">
        <f t="shared" si="39"/>
        <v/>
      </c>
      <c r="BZ44" s="193" t="str">
        <f t="shared" si="40"/>
        <v/>
      </c>
      <c r="CA44" s="192" t="str">
        <f t="shared" si="41"/>
        <v/>
      </c>
      <c r="CB44" s="193" t="str">
        <f t="shared" si="42"/>
        <v/>
      </c>
      <c r="CC44" s="193" t="str">
        <f t="shared" si="43"/>
        <v/>
      </c>
      <c r="CD44" s="193" t="str">
        <f t="shared" si="44"/>
        <v/>
      </c>
    </row>
    <row r="45" spans="1:82" x14ac:dyDescent="0.2">
      <c r="A45" s="140"/>
      <c r="B45" s="141" t="str">
        <f t="shared" si="13"/>
        <v/>
      </c>
      <c r="C45" s="142" t="str">
        <f t="shared" si="1"/>
        <v/>
      </c>
      <c r="D45" s="142" t="str">
        <f t="shared" si="14"/>
        <v/>
      </c>
      <c r="E45" s="142" t="str">
        <f>IF($C45="", "", COUNTIF($M$8:$M45,$D45))</f>
        <v/>
      </c>
      <c r="F45" s="254">
        <v>38</v>
      </c>
      <c r="G45" s="143"/>
      <c r="H45" s="144"/>
      <c r="I45" s="144"/>
      <c r="J45" s="145"/>
      <c r="K45" s="144"/>
      <c r="L45" s="144"/>
      <c r="M45" s="144"/>
      <c r="N45" s="146"/>
      <c r="O45" s="147"/>
      <c r="P45" s="147"/>
      <c r="Q45" s="147"/>
      <c r="R45" s="147"/>
      <c r="S45" s="147"/>
      <c r="T45" s="149"/>
      <c r="U45" s="150" t="str">
        <f>IF($T45="", "", VLOOKUP($T45, CONTRATOS!$B:$E, 2, FALSE))</f>
        <v/>
      </c>
      <c r="V45" s="151">
        <f>IF(OR($T45="",TB_DEFESA!$C$2="CARGA BASELINE"),0,
   IF(VLOOKUP($T45, CONTRATOS!B:E, 3, FALSE)&lt;&gt;"",1,IF(VLOOKUP($T45, CONTRATOS!B:E, 4, FALSE)&lt;&gt;"",2,0)))</f>
        <v>0</v>
      </c>
      <c r="W45" s="152"/>
      <c r="X45" s="152"/>
      <c r="Y45" s="153"/>
      <c r="Z45" s="154"/>
      <c r="AA45" s="155"/>
      <c r="AB45" s="156"/>
      <c r="AC45" s="157"/>
      <c r="AD45" s="155"/>
      <c r="AE45" s="158" t="str">
        <f t="shared" si="2"/>
        <v/>
      </c>
      <c r="AF45" s="160" t="str">
        <f t="shared" si="15"/>
        <v/>
      </c>
      <c r="AG45" s="182" t="s">
        <v>59</v>
      </c>
      <c r="AH45" s="183" t="str">
        <f t="shared" si="16"/>
        <v/>
      </c>
      <c r="AI45" s="183" t="str">
        <f t="shared" si="17"/>
        <v/>
      </c>
      <c r="AJ45" s="184" t="str">
        <f t="shared" si="18"/>
        <v/>
      </c>
      <c r="AK45" s="185" t="str">
        <f t="shared" si="19"/>
        <v/>
      </c>
      <c r="AL45" s="186"/>
      <c r="AM45" s="183" t="str">
        <f t="shared" si="20"/>
        <v/>
      </c>
      <c r="AN45" s="183" t="str">
        <f t="shared" si="21"/>
        <v/>
      </c>
      <c r="AO45" s="186" t="str">
        <f t="shared" si="22"/>
        <v/>
      </c>
      <c r="AP45" s="187" t="str">
        <f t="shared" si="23"/>
        <v/>
      </c>
      <c r="AQ45" s="187" t="str">
        <f t="shared" si="24"/>
        <v/>
      </c>
      <c r="AR45" s="188" t="str">
        <f t="shared" si="3"/>
        <v/>
      </c>
      <c r="AS45" s="188" t="str">
        <f t="shared" si="4"/>
        <v/>
      </c>
      <c r="AT45" s="183" t="str">
        <f t="shared" si="5"/>
        <v/>
      </c>
      <c r="AU45" s="189" t="str">
        <f>IF(OR($B45="", $AP45= ""),"",IF(VLOOKUP($AP45, CONTRATOS!B:K,3,FALSE)="","",VLOOKUP($AP45, CONTRATOS!B:K, 3,FALSE)))</f>
        <v/>
      </c>
      <c r="AV45" s="189" t="str">
        <f>IF(OR($B45="", $AP45 = ""), "", IF(VLOOKUP($AP45, CONTRATOS!B:K,4,FALSE)="","",VLOOKUP($AP45, CONTRATOS!B:K,4, FALSE)))</f>
        <v/>
      </c>
      <c r="AW45" s="190" t="str">
        <f t="shared" si="6"/>
        <v/>
      </c>
      <c r="AX45" s="189" t="str">
        <f t="shared" si="7"/>
        <v/>
      </c>
      <c r="AY45" s="189" t="str">
        <f t="shared" si="8"/>
        <v/>
      </c>
      <c r="AZ45" s="189" t="str">
        <f t="shared" si="9"/>
        <v/>
      </c>
      <c r="BA45" s="189" t="str">
        <f t="shared" si="10"/>
        <v/>
      </c>
      <c r="BB45" s="191">
        <f t="shared" si="25"/>
        <v>0</v>
      </c>
      <c r="BC45" s="191" t="str">
        <f t="shared" si="26"/>
        <v/>
      </c>
      <c r="BD45" s="191" t="str">
        <f t="shared" si="27"/>
        <v/>
      </c>
      <c r="BF45" s="192">
        <f t="shared" si="28"/>
        <v>0</v>
      </c>
      <c r="BG45" s="192">
        <f t="shared" si="29"/>
        <v>0</v>
      </c>
      <c r="BH45" s="192" t="str">
        <f>IF( $B45="", "", IF(ISNA(VLOOKUP($C45, Defesa!$C$7:$C$29,1,FALSE)),1,0))</f>
        <v/>
      </c>
      <c r="BI45" s="193" t="str">
        <f t="shared" si="30"/>
        <v/>
      </c>
      <c r="BJ45" s="193" t="str">
        <f>IF($B45="", "", IF( AND( $AI45="ESTIMATIVA", OR( Defesa!$F$7 = "AUTOMÁTICA", Defesa!$F$7 ="100% BASELINE")), 1, 0))</f>
        <v/>
      </c>
      <c r="BK45" s="192" t="str">
        <f t="shared" si="45"/>
        <v/>
      </c>
      <c r="BL45" s="192">
        <f t="shared" si="31"/>
        <v>0</v>
      </c>
      <c r="BM45" s="192" t="str">
        <f>IF($AC45="", "", IF(ISNA(VLOOKUP($AC45, TABELAS!$Q:$Q, 1, FALSE)), 1, 0))</f>
        <v/>
      </c>
      <c r="BN45" s="194" t="str">
        <f t="shared" si="46"/>
        <v/>
      </c>
      <c r="BO45" s="192" t="str">
        <f t="shared" si="32"/>
        <v/>
      </c>
      <c r="BP45" s="192" t="str">
        <f t="shared" si="33"/>
        <v/>
      </c>
      <c r="BQ45" s="193" t="str">
        <f t="shared" si="34"/>
        <v/>
      </c>
      <c r="BR45" s="192" t="str">
        <f t="shared" si="35"/>
        <v/>
      </c>
      <c r="BS45" s="192" t="str">
        <f t="shared" si="36"/>
        <v/>
      </c>
      <c r="BT45" s="192" t="str">
        <f>IF(OR($B45="", $AH45 = "SIM"), "", IF( ISNA(VLOOKUP($AP45,#REF!, 1, FALSE)), 1, 0))</f>
        <v/>
      </c>
      <c r="BU45" s="192" t="str">
        <f t="shared" si="37"/>
        <v/>
      </c>
      <c r="BV45" s="192" t="str">
        <f>IF( $B45="", "", IF( ISNA(VLOOKUP($AN45, TABELAS!$T$2:$T$9,1,FALSE)), 1, 0))</f>
        <v/>
      </c>
      <c r="BW45" s="192" t="str">
        <f t="shared" si="38"/>
        <v/>
      </c>
      <c r="BX45" s="192" t="str">
        <f>IF( OR($B45="", $AH45 = "SIM"), "", IF( ISNA( VLOOKUP( $AQ45, SISTEMA!$B:$B, 1, FALSE)), 1, 0))</f>
        <v/>
      </c>
      <c r="BY45" s="193" t="str">
        <f t="shared" si="39"/>
        <v/>
      </c>
      <c r="BZ45" s="193" t="str">
        <f t="shared" si="40"/>
        <v/>
      </c>
      <c r="CA45" s="192" t="str">
        <f t="shared" si="41"/>
        <v/>
      </c>
      <c r="CB45" s="193" t="str">
        <f t="shared" si="42"/>
        <v/>
      </c>
      <c r="CC45" s="193" t="str">
        <f t="shared" si="43"/>
        <v/>
      </c>
      <c r="CD45" s="193" t="str">
        <f t="shared" si="44"/>
        <v/>
      </c>
    </row>
    <row r="46" spans="1:82" x14ac:dyDescent="0.2">
      <c r="A46" s="140"/>
      <c r="B46" s="141" t="str">
        <f t="shared" si="13"/>
        <v/>
      </c>
      <c r="C46" s="142" t="str">
        <f t="shared" si="1"/>
        <v/>
      </c>
      <c r="D46" s="142" t="str">
        <f t="shared" si="14"/>
        <v/>
      </c>
      <c r="E46" s="142" t="str">
        <f>IF($C46="", "", COUNTIF($M$8:$M46,$D46))</f>
        <v/>
      </c>
      <c r="F46" s="254">
        <v>39</v>
      </c>
      <c r="G46" s="143"/>
      <c r="H46" s="144"/>
      <c r="I46" s="144"/>
      <c r="J46" s="145"/>
      <c r="K46" s="144"/>
      <c r="L46" s="144"/>
      <c r="M46" s="144"/>
      <c r="N46" s="146"/>
      <c r="O46" s="147"/>
      <c r="P46" s="147"/>
      <c r="Q46" s="147"/>
      <c r="R46" s="147"/>
      <c r="S46" s="147"/>
      <c r="T46" s="149"/>
      <c r="U46" s="150" t="str">
        <f>IF($T46="", "", VLOOKUP($T46, CONTRATOS!$B:$E, 2, FALSE))</f>
        <v/>
      </c>
      <c r="V46" s="151">
        <f>IF(OR($T46="",TB_DEFESA!$C$2="CARGA BASELINE"),0,
   IF(VLOOKUP($T46, CONTRATOS!B:E, 3, FALSE)&lt;&gt;"",1,IF(VLOOKUP($T46, CONTRATOS!B:E, 4, FALSE)&lt;&gt;"",2,0)))</f>
        <v>0</v>
      </c>
      <c r="W46" s="152"/>
      <c r="X46" s="152"/>
      <c r="Y46" s="153"/>
      <c r="Z46" s="154"/>
      <c r="AA46" s="155"/>
      <c r="AB46" s="156"/>
      <c r="AC46" s="157"/>
      <c r="AD46" s="155"/>
      <c r="AE46" s="158" t="str">
        <f t="shared" si="2"/>
        <v/>
      </c>
      <c r="AF46" s="160" t="str">
        <f t="shared" si="15"/>
        <v/>
      </c>
      <c r="AG46" s="182" t="s">
        <v>59</v>
      </c>
      <c r="AH46" s="183" t="str">
        <f t="shared" si="16"/>
        <v/>
      </c>
      <c r="AI46" s="183" t="str">
        <f t="shared" si="17"/>
        <v/>
      </c>
      <c r="AJ46" s="184" t="str">
        <f t="shared" si="18"/>
        <v/>
      </c>
      <c r="AK46" s="185" t="str">
        <f t="shared" si="19"/>
        <v/>
      </c>
      <c r="AL46" s="186"/>
      <c r="AM46" s="183" t="str">
        <f t="shared" si="20"/>
        <v/>
      </c>
      <c r="AN46" s="183" t="str">
        <f t="shared" si="21"/>
        <v/>
      </c>
      <c r="AO46" s="186" t="str">
        <f t="shared" si="22"/>
        <v/>
      </c>
      <c r="AP46" s="187" t="str">
        <f t="shared" si="23"/>
        <v/>
      </c>
      <c r="AQ46" s="187" t="str">
        <f t="shared" si="24"/>
        <v/>
      </c>
      <c r="AR46" s="188" t="str">
        <f t="shared" si="3"/>
        <v/>
      </c>
      <c r="AS46" s="188" t="str">
        <f t="shared" si="4"/>
        <v/>
      </c>
      <c r="AT46" s="183" t="str">
        <f t="shared" si="5"/>
        <v/>
      </c>
      <c r="AU46" s="189" t="str">
        <f>IF(OR($B46="", $AP46= ""),"",IF(VLOOKUP($AP46, CONTRATOS!B:K,3,FALSE)="","",VLOOKUP($AP46, CONTRATOS!B:K, 3,FALSE)))</f>
        <v/>
      </c>
      <c r="AV46" s="189" t="str">
        <f>IF(OR($B46="", $AP46 = ""), "", IF(VLOOKUP($AP46, CONTRATOS!B:K,4,FALSE)="","",VLOOKUP($AP46, CONTRATOS!B:K,4, FALSE)))</f>
        <v/>
      </c>
      <c r="AW46" s="190" t="str">
        <f t="shared" si="6"/>
        <v/>
      </c>
      <c r="AX46" s="189" t="str">
        <f t="shared" si="7"/>
        <v/>
      </c>
      <c r="AY46" s="189" t="str">
        <f t="shared" si="8"/>
        <v/>
      </c>
      <c r="AZ46" s="189" t="str">
        <f t="shared" si="9"/>
        <v/>
      </c>
      <c r="BA46" s="189" t="str">
        <f t="shared" si="10"/>
        <v/>
      </c>
      <c r="BB46" s="191">
        <f t="shared" si="25"/>
        <v>0</v>
      </c>
      <c r="BC46" s="191" t="str">
        <f t="shared" si="26"/>
        <v/>
      </c>
      <c r="BD46" s="191" t="str">
        <f t="shared" si="27"/>
        <v/>
      </c>
      <c r="BF46" s="192">
        <f t="shared" si="28"/>
        <v>0</v>
      </c>
      <c r="BG46" s="192">
        <f t="shared" si="29"/>
        <v>0</v>
      </c>
      <c r="BH46" s="192" t="str">
        <f>IF( $B46="", "", IF(ISNA(VLOOKUP($C46, Defesa!$C$7:$C$29,1,FALSE)),1,0))</f>
        <v/>
      </c>
      <c r="BI46" s="193" t="str">
        <f t="shared" si="30"/>
        <v/>
      </c>
      <c r="BJ46" s="193" t="str">
        <f>IF($B46="", "", IF( AND( $AI46="ESTIMATIVA", OR( Defesa!$F$7 = "AUTOMÁTICA", Defesa!$F$7 ="100% BASELINE")), 1, 0))</f>
        <v/>
      </c>
      <c r="BK46" s="192" t="str">
        <f t="shared" si="45"/>
        <v/>
      </c>
      <c r="BL46" s="192">
        <f t="shared" si="31"/>
        <v>0</v>
      </c>
      <c r="BM46" s="192" t="str">
        <f>IF($AC46="", "", IF(ISNA(VLOOKUP($AC46, TABELAS!$Q:$Q, 1, FALSE)), 1, 0))</f>
        <v/>
      </c>
      <c r="BN46" s="194" t="str">
        <f t="shared" si="46"/>
        <v/>
      </c>
      <c r="BO46" s="192" t="str">
        <f t="shared" si="32"/>
        <v/>
      </c>
      <c r="BP46" s="192" t="str">
        <f t="shared" si="33"/>
        <v/>
      </c>
      <c r="BQ46" s="193" t="str">
        <f t="shared" si="34"/>
        <v/>
      </c>
      <c r="BR46" s="192" t="str">
        <f t="shared" si="35"/>
        <v/>
      </c>
      <c r="BS46" s="192" t="str">
        <f t="shared" si="36"/>
        <v/>
      </c>
      <c r="BT46" s="192" t="str">
        <f>IF(OR($B46="", $AH46 = "SIM"), "", IF( ISNA(VLOOKUP($AP46,#REF!, 1, FALSE)), 1, 0))</f>
        <v/>
      </c>
      <c r="BU46" s="192" t="str">
        <f t="shared" si="37"/>
        <v/>
      </c>
      <c r="BV46" s="192" t="str">
        <f>IF( $B46="", "", IF( ISNA(VLOOKUP($AN46, TABELAS!$T$2:$T$9,1,FALSE)), 1, 0))</f>
        <v/>
      </c>
      <c r="BW46" s="192" t="str">
        <f t="shared" si="38"/>
        <v/>
      </c>
      <c r="BX46" s="192" t="str">
        <f>IF( OR($B46="", $AH46 = "SIM"), "", IF( ISNA( VLOOKUP( $AQ46, SISTEMA!$B:$B, 1, FALSE)), 1, 0))</f>
        <v/>
      </c>
      <c r="BY46" s="193" t="str">
        <f t="shared" si="39"/>
        <v/>
      </c>
      <c r="BZ46" s="193" t="str">
        <f t="shared" si="40"/>
        <v/>
      </c>
      <c r="CA46" s="192" t="str">
        <f t="shared" si="41"/>
        <v/>
      </c>
      <c r="CB46" s="193" t="str">
        <f t="shared" si="42"/>
        <v/>
      </c>
      <c r="CC46" s="193" t="str">
        <f t="shared" si="43"/>
        <v/>
      </c>
      <c r="CD46" s="193" t="str">
        <f t="shared" si="44"/>
        <v/>
      </c>
    </row>
    <row r="47" spans="1:82" x14ac:dyDescent="0.2">
      <c r="A47" s="140"/>
      <c r="B47" s="141" t="str">
        <f t="shared" si="13"/>
        <v/>
      </c>
      <c r="C47" s="142" t="str">
        <f t="shared" si="1"/>
        <v/>
      </c>
      <c r="D47" s="142" t="str">
        <f t="shared" si="14"/>
        <v/>
      </c>
      <c r="E47" s="142" t="str">
        <f>IF($C47="", "", COUNTIF($M$8:$M47,$D47))</f>
        <v/>
      </c>
      <c r="F47" s="254">
        <v>40</v>
      </c>
      <c r="G47" s="143"/>
      <c r="H47" s="144"/>
      <c r="I47" s="144"/>
      <c r="J47" s="145"/>
      <c r="K47" s="144"/>
      <c r="L47" s="144"/>
      <c r="M47" s="144"/>
      <c r="N47" s="146"/>
      <c r="O47" s="147"/>
      <c r="P47" s="147"/>
      <c r="Q47" s="147"/>
      <c r="R47" s="147"/>
      <c r="S47" s="147"/>
      <c r="T47" s="149"/>
      <c r="U47" s="150" t="str">
        <f>IF($T47="", "", VLOOKUP($T47, CONTRATOS!$B:$E, 2, FALSE))</f>
        <v/>
      </c>
      <c r="V47" s="151">
        <f>IF(OR($T47="",TB_DEFESA!$C$2="CARGA BASELINE"),0,
   IF(VLOOKUP($T47, CONTRATOS!B:E, 3, FALSE)&lt;&gt;"",1,IF(VLOOKUP($T47, CONTRATOS!B:E, 4, FALSE)&lt;&gt;"",2,0)))</f>
        <v>0</v>
      </c>
      <c r="W47" s="152"/>
      <c r="X47" s="152"/>
      <c r="Y47" s="153"/>
      <c r="Z47" s="154"/>
      <c r="AA47" s="155"/>
      <c r="AB47" s="156"/>
      <c r="AC47" s="157"/>
      <c r="AD47" s="155"/>
      <c r="AE47" s="158" t="str">
        <f t="shared" si="2"/>
        <v/>
      </c>
      <c r="AF47" s="160" t="str">
        <f t="shared" si="15"/>
        <v/>
      </c>
      <c r="AG47" s="182" t="s">
        <v>59</v>
      </c>
      <c r="AH47" s="183" t="str">
        <f t="shared" si="16"/>
        <v/>
      </c>
      <c r="AI47" s="183" t="str">
        <f t="shared" si="17"/>
        <v/>
      </c>
      <c r="AJ47" s="184" t="str">
        <f t="shared" si="18"/>
        <v/>
      </c>
      <c r="AK47" s="185" t="str">
        <f t="shared" si="19"/>
        <v/>
      </c>
      <c r="AL47" s="186"/>
      <c r="AM47" s="183" t="str">
        <f t="shared" si="20"/>
        <v/>
      </c>
      <c r="AN47" s="183" t="str">
        <f t="shared" si="21"/>
        <v/>
      </c>
      <c r="AO47" s="186" t="str">
        <f t="shared" si="22"/>
        <v/>
      </c>
      <c r="AP47" s="187" t="str">
        <f t="shared" si="23"/>
        <v/>
      </c>
      <c r="AQ47" s="187" t="str">
        <f t="shared" si="24"/>
        <v/>
      </c>
      <c r="AR47" s="188" t="str">
        <f t="shared" si="3"/>
        <v/>
      </c>
      <c r="AS47" s="188" t="str">
        <f t="shared" si="4"/>
        <v/>
      </c>
      <c r="AT47" s="183" t="str">
        <f t="shared" si="5"/>
        <v/>
      </c>
      <c r="AU47" s="189" t="str">
        <f>IF(OR($B47="", $AP47= ""),"",IF(VLOOKUP($AP47, CONTRATOS!B:K,3,FALSE)="","",VLOOKUP($AP47, CONTRATOS!B:K, 3,FALSE)))</f>
        <v/>
      </c>
      <c r="AV47" s="189" t="str">
        <f>IF(OR($B47="", $AP47 = ""), "", IF(VLOOKUP($AP47, CONTRATOS!B:K,4,FALSE)="","",VLOOKUP($AP47, CONTRATOS!B:K,4, FALSE)))</f>
        <v/>
      </c>
      <c r="AW47" s="190" t="str">
        <f t="shared" si="6"/>
        <v/>
      </c>
      <c r="AX47" s="189" t="str">
        <f t="shared" si="7"/>
        <v/>
      </c>
      <c r="AY47" s="189" t="str">
        <f t="shared" si="8"/>
        <v/>
      </c>
      <c r="AZ47" s="189" t="str">
        <f t="shared" si="9"/>
        <v/>
      </c>
      <c r="BA47" s="189" t="str">
        <f t="shared" si="10"/>
        <v/>
      </c>
      <c r="BB47" s="191">
        <f t="shared" si="25"/>
        <v>0</v>
      </c>
      <c r="BC47" s="191" t="str">
        <f t="shared" si="26"/>
        <v/>
      </c>
      <c r="BD47" s="191" t="str">
        <f t="shared" si="27"/>
        <v/>
      </c>
      <c r="BF47" s="192">
        <f t="shared" si="28"/>
        <v>0</v>
      </c>
      <c r="BG47" s="192">
        <f t="shared" si="29"/>
        <v>0</v>
      </c>
      <c r="BH47" s="192" t="str">
        <f>IF( $B47="", "", IF(ISNA(VLOOKUP($C47, Defesa!$C$7:$C$29,1,FALSE)),1,0))</f>
        <v/>
      </c>
      <c r="BI47" s="193" t="str">
        <f t="shared" si="30"/>
        <v/>
      </c>
      <c r="BJ47" s="193" t="str">
        <f>IF($B47="", "", IF( AND( $AI47="ESTIMATIVA", OR( Defesa!$F$7 = "AUTOMÁTICA", Defesa!$F$7 ="100% BASELINE")), 1, 0))</f>
        <v/>
      </c>
      <c r="BK47" s="192" t="str">
        <f t="shared" si="45"/>
        <v/>
      </c>
      <c r="BL47" s="192">
        <f t="shared" si="31"/>
        <v>0</v>
      </c>
      <c r="BM47" s="192" t="str">
        <f>IF($AC47="", "", IF(ISNA(VLOOKUP($AC47, TABELAS!$Q:$Q, 1, FALSE)), 1, 0))</f>
        <v/>
      </c>
      <c r="BN47" s="194" t="str">
        <f t="shared" si="46"/>
        <v/>
      </c>
      <c r="BO47" s="192" t="str">
        <f t="shared" si="32"/>
        <v/>
      </c>
      <c r="BP47" s="192" t="str">
        <f t="shared" si="33"/>
        <v/>
      </c>
      <c r="BQ47" s="193" t="str">
        <f t="shared" si="34"/>
        <v/>
      </c>
      <c r="BR47" s="192" t="str">
        <f t="shared" si="35"/>
        <v/>
      </c>
      <c r="BS47" s="192" t="str">
        <f t="shared" si="36"/>
        <v/>
      </c>
      <c r="BT47" s="192" t="str">
        <f>IF(OR($B47="", $AH47 = "SIM"), "", IF( ISNA(VLOOKUP($AP47,#REF!, 1, FALSE)), 1, 0))</f>
        <v/>
      </c>
      <c r="BU47" s="192" t="str">
        <f t="shared" si="37"/>
        <v/>
      </c>
      <c r="BV47" s="192" t="str">
        <f>IF( $B47="", "", IF( ISNA(VLOOKUP($AN47, TABELAS!$T$2:$T$9,1,FALSE)), 1, 0))</f>
        <v/>
      </c>
      <c r="BW47" s="192" t="str">
        <f t="shared" si="38"/>
        <v/>
      </c>
      <c r="BX47" s="192" t="str">
        <f>IF( OR($B47="", $AH47 = "SIM"), "", IF( ISNA( VLOOKUP( $AQ47, SISTEMA!$B:$B, 1, FALSE)), 1, 0))</f>
        <v/>
      </c>
      <c r="BY47" s="193" t="str">
        <f t="shared" si="39"/>
        <v/>
      </c>
      <c r="BZ47" s="193" t="str">
        <f t="shared" si="40"/>
        <v/>
      </c>
      <c r="CA47" s="192" t="str">
        <f t="shared" si="41"/>
        <v/>
      </c>
      <c r="CB47" s="193" t="str">
        <f t="shared" si="42"/>
        <v/>
      </c>
      <c r="CC47" s="193" t="str">
        <f t="shared" si="43"/>
        <v/>
      </c>
      <c r="CD47" s="193" t="str">
        <f t="shared" si="44"/>
        <v/>
      </c>
    </row>
    <row r="48" spans="1:82" x14ac:dyDescent="0.2">
      <c r="A48" s="140"/>
      <c r="B48" s="141" t="str">
        <f t="shared" si="13"/>
        <v/>
      </c>
      <c r="C48" s="142" t="str">
        <f t="shared" si="1"/>
        <v/>
      </c>
      <c r="D48" s="142" t="str">
        <f t="shared" si="14"/>
        <v/>
      </c>
      <c r="E48" s="142" t="str">
        <f>IF($C48="", "", COUNTIF($M$8:$M48,$D48))</f>
        <v/>
      </c>
      <c r="F48" s="254">
        <v>41</v>
      </c>
      <c r="G48" s="143"/>
      <c r="H48" s="144"/>
      <c r="I48" s="144"/>
      <c r="J48" s="145"/>
      <c r="K48" s="144"/>
      <c r="L48" s="144"/>
      <c r="M48" s="144"/>
      <c r="N48" s="146"/>
      <c r="O48" s="147"/>
      <c r="P48" s="147"/>
      <c r="Q48" s="147"/>
      <c r="R48" s="147"/>
      <c r="S48" s="147"/>
      <c r="T48" s="149"/>
      <c r="U48" s="150" t="str">
        <f>IF($T48="", "", VLOOKUP($T48, CONTRATOS!$B:$E, 2, FALSE))</f>
        <v/>
      </c>
      <c r="V48" s="151">
        <f>IF(OR($T48="",TB_DEFESA!$C$2="CARGA BASELINE"),0,
   IF(VLOOKUP($T48, CONTRATOS!B:E, 3, FALSE)&lt;&gt;"",1,IF(VLOOKUP($T48, CONTRATOS!B:E, 4, FALSE)&lt;&gt;"",2,0)))</f>
        <v>0</v>
      </c>
      <c r="W48" s="152"/>
      <c r="X48" s="152"/>
      <c r="Y48" s="153"/>
      <c r="Z48" s="154"/>
      <c r="AA48" s="155"/>
      <c r="AB48" s="156"/>
      <c r="AC48" s="157"/>
      <c r="AD48" s="155"/>
      <c r="AE48" s="158" t="str">
        <f t="shared" si="2"/>
        <v/>
      </c>
      <c r="AF48" s="160" t="str">
        <f t="shared" si="15"/>
        <v/>
      </c>
      <c r="AG48" s="182" t="s">
        <v>59</v>
      </c>
      <c r="AH48" s="183" t="str">
        <f t="shared" si="16"/>
        <v/>
      </c>
      <c r="AI48" s="183" t="str">
        <f t="shared" si="17"/>
        <v/>
      </c>
      <c r="AJ48" s="184" t="str">
        <f t="shared" si="18"/>
        <v/>
      </c>
      <c r="AK48" s="185" t="str">
        <f t="shared" si="19"/>
        <v/>
      </c>
      <c r="AL48" s="186"/>
      <c r="AM48" s="183" t="str">
        <f t="shared" si="20"/>
        <v/>
      </c>
      <c r="AN48" s="183" t="str">
        <f t="shared" si="21"/>
        <v/>
      </c>
      <c r="AO48" s="186" t="str">
        <f t="shared" si="22"/>
        <v/>
      </c>
      <c r="AP48" s="187" t="str">
        <f t="shared" si="23"/>
        <v/>
      </c>
      <c r="AQ48" s="187" t="str">
        <f t="shared" si="24"/>
        <v/>
      </c>
      <c r="AR48" s="188" t="str">
        <f t="shared" si="3"/>
        <v/>
      </c>
      <c r="AS48" s="188" t="str">
        <f t="shared" si="4"/>
        <v/>
      </c>
      <c r="AT48" s="183" t="str">
        <f t="shared" si="5"/>
        <v/>
      </c>
      <c r="AU48" s="189" t="str">
        <f>IF(OR($B48="", $AP48= ""),"",IF(VLOOKUP($AP48, CONTRATOS!B:K,3,FALSE)="","",VLOOKUP($AP48, CONTRATOS!B:K, 3,FALSE)))</f>
        <v/>
      </c>
      <c r="AV48" s="189" t="str">
        <f>IF(OR($B48="", $AP48 = ""), "", IF(VLOOKUP($AP48, CONTRATOS!B:K,4,FALSE)="","",VLOOKUP($AP48, CONTRATOS!B:K,4, FALSE)))</f>
        <v/>
      </c>
      <c r="AW48" s="190" t="str">
        <f t="shared" si="6"/>
        <v/>
      </c>
      <c r="AX48" s="189" t="str">
        <f t="shared" si="7"/>
        <v/>
      </c>
      <c r="AY48" s="189" t="str">
        <f t="shared" si="8"/>
        <v/>
      </c>
      <c r="AZ48" s="189" t="str">
        <f t="shared" si="9"/>
        <v/>
      </c>
      <c r="BA48" s="189" t="str">
        <f t="shared" si="10"/>
        <v/>
      </c>
      <c r="BB48" s="191">
        <f t="shared" si="25"/>
        <v>0</v>
      </c>
      <c r="BC48" s="191" t="str">
        <f t="shared" si="26"/>
        <v/>
      </c>
      <c r="BD48" s="191" t="str">
        <f t="shared" si="27"/>
        <v/>
      </c>
      <c r="BF48" s="192">
        <f t="shared" si="28"/>
        <v>0</v>
      </c>
      <c r="BG48" s="192">
        <f t="shared" si="29"/>
        <v>0</v>
      </c>
      <c r="BH48" s="192" t="str">
        <f>IF( $B48="", "", IF(ISNA(VLOOKUP($C48, Defesa!$C$7:$C$29,1,FALSE)),1,0))</f>
        <v/>
      </c>
      <c r="BI48" s="193" t="str">
        <f t="shared" si="30"/>
        <v/>
      </c>
      <c r="BJ48" s="193" t="str">
        <f>IF($B48="", "", IF( AND( $AI48="ESTIMATIVA", OR( Defesa!$F$7 = "AUTOMÁTICA", Defesa!$F$7 ="100% BASELINE")), 1, 0))</f>
        <v/>
      </c>
      <c r="BK48" s="192" t="str">
        <f t="shared" si="45"/>
        <v/>
      </c>
      <c r="BL48" s="192">
        <f t="shared" si="31"/>
        <v>0</v>
      </c>
      <c r="BM48" s="192" t="str">
        <f>IF($AC48="", "", IF(ISNA(VLOOKUP($AC48, TABELAS!$Q:$Q, 1, FALSE)), 1, 0))</f>
        <v/>
      </c>
      <c r="BN48" s="194" t="str">
        <f t="shared" si="46"/>
        <v/>
      </c>
      <c r="BO48" s="192" t="str">
        <f t="shared" si="32"/>
        <v/>
      </c>
      <c r="BP48" s="192" t="str">
        <f t="shared" si="33"/>
        <v/>
      </c>
      <c r="BQ48" s="193" t="str">
        <f t="shared" si="34"/>
        <v/>
      </c>
      <c r="BR48" s="192" t="str">
        <f t="shared" si="35"/>
        <v/>
      </c>
      <c r="BS48" s="192" t="str">
        <f t="shared" si="36"/>
        <v/>
      </c>
      <c r="BT48" s="192" t="str">
        <f>IF(OR($B48="", $AH48 = "SIM"), "", IF( ISNA(VLOOKUP($AP48,#REF!, 1, FALSE)), 1, 0))</f>
        <v/>
      </c>
      <c r="BU48" s="192" t="str">
        <f t="shared" si="37"/>
        <v/>
      </c>
      <c r="BV48" s="192" t="str">
        <f>IF( $B48="", "", IF( ISNA(VLOOKUP($AN48, TABELAS!$T$2:$T$9,1,FALSE)), 1, 0))</f>
        <v/>
      </c>
      <c r="BW48" s="192" t="str">
        <f t="shared" si="38"/>
        <v/>
      </c>
      <c r="BX48" s="192" t="str">
        <f>IF( OR($B48="", $AH48 = "SIM"), "", IF( ISNA( VLOOKUP( $AQ48, SISTEMA!$B:$B, 1, FALSE)), 1, 0))</f>
        <v/>
      </c>
      <c r="BY48" s="193" t="str">
        <f t="shared" si="39"/>
        <v/>
      </c>
      <c r="BZ48" s="193" t="str">
        <f t="shared" si="40"/>
        <v/>
      </c>
      <c r="CA48" s="192" t="str">
        <f t="shared" si="41"/>
        <v/>
      </c>
      <c r="CB48" s="193" t="str">
        <f t="shared" si="42"/>
        <v/>
      </c>
      <c r="CC48" s="193" t="str">
        <f t="shared" si="43"/>
        <v/>
      </c>
      <c r="CD48" s="193" t="str">
        <f t="shared" si="44"/>
        <v/>
      </c>
    </row>
    <row r="49" spans="1:82" x14ac:dyDescent="0.2">
      <c r="A49" s="140"/>
      <c r="B49" s="141" t="str">
        <f t="shared" si="13"/>
        <v/>
      </c>
      <c r="C49" s="142" t="str">
        <f t="shared" si="1"/>
        <v/>
      </c>
      <c r="D49" s="142" t="str">
        <f t="shared" si="14"/>
        <v/>
      </c>
      <c r="E49" s="142" t="str">
        <f>IF($C49="", "", COUNTIF($M$8:$M49,$D49))</f>
        <v/>
      </c>
      <c r="F49" s="254">
        <v>42</v>
      </c>
      <c r="G49" s="143"/>
      <c r="H49" s="144"/>
      <c r="I49" s="144"/>
      <c r="J49" s="145"/>
      <c r="K49" s="144"/>
      <c r="L49" s="144"/>
      <c r="M49" s="144"/>
      <c r="N49" s="146"/>
      <c r="O49" s="147"/>
      <c r="P49" s="147"/>
      <c r="Q49" s="147"/>
      <c r="R49" s="147"/>
      <c r="S49" s="147"/>
      <c r="T49" s="149"/>
      <c r="U49" s="150" t="str">
        <f>IF($T49="", "", VLOOKUP($T49, CONTRATOS!$B:$E, 2, FALSE))</f>
        <v/>
      </c>
      <c r="V49" s="151">
        <f>IF(OR($T49="",TB_DEFESA!$C$2="CARGA BASELINE"),0,
   IF(VLOOKUP($T49, CONTRATOS!B:E, 3, FALSE)&lt;&gt;"",1,IF(VLOOKUP($T49, CONTRATOS!B:E, 4, FALSE)&lt;&gt;"",2,0)))</f>
        <v>0</v>
      </c>
      <c r="W49" s="152"/>
      <c r="X49" s="152"/>
      <c r="Y49" s="153"/>
      <c r="Z49" s="154"/>
      <c r="AA49" s="155"/>
      <c r="AB49" s="156"/>
      <c r="AC49" s="157"/>
      <c r="AD49" s="155"/>
      <c r="AE49" s="158" t="str">
        <f t="shared" si="2"/>
        <v/>
      </c>
      <c r="AF49" s="160" t="str">
        <f t="shared" si="15"/>
        <v/>
      </c>
      <c r="AG49" s="182" t="s">
        <v>59</v>
      </c>
      <c r="AH49" s="183" t="str">
        <f t="shared" si="16"/>
        <v/>
      </c>
      <c r="AI49" s="183" t="str">
        <f t="shared" si="17"/>
        <v/>
      </c>
      <c r="AJ49" s="184" t="str">
        <f t="shared" si="18"/>
        <v/>
      </c>
      <c r="AK49" s="185" t="str">
        <f t="shared" si="19"/>
        <v/>
      </c>
      <c r="AL49" s="186"/>
      <c r="AM49" s="183" t="str">
        <f t="shared" si="20"/>
        <v/>
      </c>
      <c r="AN49" s="183" t="str">
        <f t="shared" si="21"/>
        <v/>
      </c>
      <c r="AO49" s="186" t="str">
        <f t="shared" si="22"/>
        <v/>
      </c>
      <c r="AP49" s="187" t="str">
        <f t="shared" si="23"/>
        <v/>
      </c>
      <c r="AQ49" s="187" t="str">
        <f t="shared" si="24"/>
        <v/>
      </c>
      <c r="AR49" s="188" t="str">
        <f t="shared" si="3"/>
        <v/>
      </c>
      <c r="AS49" s="188" t="str">
        <f t="shared" si="4"/>
        <v/>
      </c>
      <c r="AT49" s="183" t="str">
        <f t="shared" si="5"/>
        <v/>
      </c>
      <c r="AU49" s="189" t="str">
        <f>IF(OR($B49="", $AP49= ""),"",IF(VLOOKUP($AP49, CONTRATOS!B:K,3,FALSE)="","",VLOOKUP($AP49, CONTRATOS!B:K, 3,FALSE)))</f>
        <v/>
      </c>
      <c r="AV49" s="189" t="str">
        <f>IF(OR($B49="", $AP49 = ""), "", IF(VLOOKUP($AP49, CONTRATOS!B:K,4,FALSE)="","",VLOOKUP($AP49, CONTRATOS!B:K,4, FALSE)))</f>
        <v/>
      </c>
      <c r="AW49" s="190" t="str">
        <f t="shared" si="6"/>
        <v/>
      </c>
      <c r="AX49" s="189" t="str">
        <f t="shared" si="7"/>
        <v/>
      </c>
      <c r="AY49" s="189" t="str">
        <f t="shared" si="8"/>
        <v/>
      </c>
      <c r="AZ49" s="189" t="str">
        <f t="shared" si="9"/>
        <v/>
      </c>
      <c r="BA49" s="189" t="str">
        <f t="shared" si="10"/>
        <v/>
      </c>
      <c r="BB49" s="191">
        <f t="shared" si="25"/>
        <v>0</v>
      </c>
      <c r="BC49" s="191" t="str">
        <f t="shared" si="26"/>
        <v/>
      </c>
      <c r="BD49" s="191" t="str">
        <f t="shared" si="27"/>
        <v/>
      </c>
      <c r="BF49" s="192">
        <f t="shared" si="28"/>
        <v>0</v>
      </c>
      <c r="BG49" s="192">
        <f t="shared" si="29"/>
        <v>0</v>
      </c>
      <c r="BH49" s="192" t="str">
        <f>IF( $B49="", "", IF(ISNA(VLOOKUP($C49, Defesa!$C$7:$C$29,1,FALSE)),1,0))</f>
        <v/>
      </c>
      <c r="BI49" s="193" t="str">
        <f t="shared" si="30"/>
        <v/>
      </c>
      <c r="BJ49" s="193" t="str">
        <f>IF($B49="", "", IF( AND( $AI49="ESTIMATIVA", OR( Defesa!$F$7 = "AUTOMÁTICA", Defesa!$F$7 ="100% BASELINE")), 1, 0))</f>
        <v/>
      </c>
      <c r="BK49" s="192" t="str">
        <f t="shared" si="45"/>
        <v/>
      </c>
      <c r="BL49" s="192">
        <f t="shared" si="31"/>
        <v>0</v>
      </c>
      <c r="BM49" s="192" t="str">
        <f>IF($AC49="", "", IF(ISNA(VLOOKUP($AC49, TABELAS!$Q:$Q, 1, FALSE)), 1, 0))</f>
        <v/>
      </c>
      <c r="BN49" s="194" t="str">
        <f t="shared" si="46"/>
        <v/>
      </c>
      <c r="BO49" s="192" t="str">
        <f t="shared" si="32"/>
        <v/>
      </c>
      <c r="BP49" s="192" t="str">
        <f t="shared" si="33"/>
        <v/>
      </c>
      <c r="BQ49" s="193" t="str">
        <f t="shared" si="34"/>
        <v/>
      </c>
      <c r="BR49" s="192" t="str">
        <f t="shared" si="35"/>
        <v/>
      </c>
      <c r="BS49" s="192" t="str">
        <f t="shared" si="36"/>
        <v/>
      </c>
      <c r="BT49" s="192" t="str">
        <f>IF(OR($B49="", $AH49 = "SIM"), "", IF( ISNA(VLOOKUP($AP49,#REF!, 1, FALSE)), 1, 0))</f>
        <v/>
      </c>
      <c r="BU49" s="192" t="str">
        <f t="shared" si="37"/>
        <v/>
      </c>
      <c r="BV49" s="192" t="str">
        <f>IF( $B49="", "", IF( ISNA(VLOOKUP($AN49, TABELAS!$T$2:$T$9,1,FALSE)), 1, 0))</f>
        <v/>
      </c>
      <c r="BW49" s="192" t="str">
        <f t="shared" si="38"/>
        <v/>
      </c>
      <c r="BX49" s="192" t="str">
        <f>IF( OR($B49="", $AH49 = "SIM"), "", IF( ISNA( VLOOKUP( $AQ49, SISTEMA!$B:$B, 1, FALSE)), 1, 0))</f>
        <v/>
      </c>
      <c r="BY49" s="193" t="str">
        <f t="shared" si="39"/>
        <v/>
      </c>
      <c r="BZ49" s="193" t="str">
        <f t="shared" si="40"/>
        <v/>
      </c>
      <c r="CA49" s="192" t="str">
        <f t="shared" si="41"/>
        <v/>
      </c>
      <c r="CB49" s="193" t="str">
        <f t="shared" si="42"/>
        <v/>
      </c>
      <c r="CC49" s="193" t="str">
        <f t="shared" si="43"/>
        <v/>
      </c>
      <c r="CD49" s="193" t="str">
        <f t="shared" si="44"/>
        <v/>
      </c>
    </row>
    <row r="50" spans="1:82" x14ac:dyDescent="0.2">
      <c r="A50" s="140"/>
      <c r="B50" s="141" t="str">
        <f t="shared" si="13"/>
        <v/>
      </c>
      <c r="C50" s="142" t="str">
        <f t="shared" si="1"/>
        <v/>
      </c>
      <c r="D50" s="142" t="str">
        <f t="shared" si="14"/>
        <v/>
      </c>
      <c r="E50" s="142" t="str">
        <f>IF($C50="", "", COUNTIF($M$8:$M50,$D50))</f>
        <v/>
      </c>
      <c r="F50" s="254">
        <v>43</v>
      </c>
      <c r="G50" s="143"/>
      <c r="H50" s="144"/>
      <c r="I50" s="144"/>
      <c r="J50" s="145"/>
      <c r="K50" s="144"/>
      <c r="L50" s="144"/>
      <c r="M50" s="144"/>
      <c r="N50" s="146"/>
      <c r="O50" s="147"/>
      <c r="P50" s="147"/>
      <c r="Q50" s="147"/>
      <c r="R50" s="147"/>
      <c r="S50" s="147"/>
      <c r="T50" s="149"/>
      <c r="U50" s="150" t="str">
        <f>IF($T50="", "", VLOOKUP($T50, CONTRATOS!$B:$E, 2, FALSE))</f>
        <v/>
      </c>
      <c r="V50" s="151">
        <f>IF(OR($T50="",TB_DEFESA!$C$2="CARGA BASELINE"),0,
   IF(VLOOKUP($T50, CONTRATOS!B:E, 3, FALSE)&lt;&gt;"",1,IF(VLOOKUP($T50, CONTRATOS!B:E, 4, FALSE)&lt;&gt;"",2,0)))</f>
        <v>0</v>
      </c>
      <c r="W50" s="152"/>
      <c r="X50" s="152"/>
      <c r="Y50" s="153"/>
      <c r="Z50" s="154"/>
      <c r="AA50" s="155"/>
      <c r="AB50" s="156"/>
      <c r="AC50" s="157"/>
      <c r="AD50" s="155"/>
      <c r="AE50" s="158" t="str">
        <f t="shared" si="2"/>
        <v/>
      </c>
      <c r="AF50" s="160" t="str">
        <f t="shared" si="15"/>
        <v/>
      </c>
      <c r="AG50" s="182" t="s">
        <v>59</v>
      </c>
      <c r="AH50" s="183" t="str">
        <f t="shared" si="16"/>
        <v/>
      </c>
      <c r="AI50" s="183" t="str">
        <f t="shared" si="17"/>
        <v/>
      </c>
      <c r="AJ50" s="184" t="str">
        <f t="shared" si="18"/>
        <v/>
      </c>
      <c r="AK50" s="185" t="str">
        <f t="shared" si="19"/>
        <v/>
      </c>
      <c r="AL50" s="186"/>
      <c r="AM50" s="183" t="str">
        <f t="shared" si="20"/>
        <v/>
      </c>
      <c r="AN50" s="183" t="str">
        <f t="shared" si="21"/>
        <v/>
      </c>
      <c r="AO50" s="186" t="str">
        <f t="shared" si="22"/>
        <v/>
      </c>
      <c r="AP50" s="187" t="str">
        <f t="shared" si="23"/>
        <v/>
      </c>
      <c r="AQ50" s="187" t="str">
        <f t="shared" si="24"/>
        <v/>
      </c>
      <c r="AR50" s="188" t="str">
        <f t="shared" si="3"/>
        <v/>
      </c>
      <c r="AS50" s="188" t="str">
        <f t="shared" si="4"/>
        <v/>
      </c>
      <c r="AT50" s="183" t="str">
        <f t="shared" si="5"/>
        <v/>
      </c>
      <c r="AU50" s="189" t="str">
        <f>IF(OR($B50="", $AP50= ""),"",IF(VLOOKUP($AP50, CONTRATOS!B:K,3,FALSE)="","",VLOOKUP($AP50, CONTRATOS!B:K, 3,FALSE)))</f>
        <v/>
      </c>
      <c r="AV50" s="189" t="str">
        <f>IF(OR($B50="", $AP50 = ""), "", IF(VLOOKUP($AP50, CONTRATOS!B:K,4,FALSE)="","",VLOOKUP($AP50, CONTRATOS!B:K,4, FALSE)))</f>
        <v/>
      </c>
      <c r="AW50" s="190" t="str">
        <f t="shared" si="6"/>
        <v/>
      </c>
      <c r="AX50" s="189" t="str">
        <f t="shared" si="7"/>
        <v/>
      </c>
      <c r="AY50" s="189" t="str">
        <f t="shared" si="8"/>
        <v/>
      </c>
      <c r="AZ50" s="189" t="str">
        <f t="shared" si="9"/>
        <v/>
      </c>
      <c r="BA50" s="189" t="str">
        <f t="shared" si="10"/>
        <v/>
      </c>
      <c r="BB50" s="191">
        <f t="shared" si="25"/>
        <v>0</v>
      </c>
      <c r="BC50" s="191" t="str">
        <f t="shared" si="26"/>
        <v/>
      </c>
      <c r="BD50" s="191" t="str">
        <f t="shared" si="27"/>
        <v/>
      </c>
      <c r="BF50" s="192">
        <f t="shared" si="28"/>
        <v>0</v>
      </c>
      <c r="BG50" s="192">
        <f t="shared" si="29"/>
        <v>0</v>
      </c>
      <c r="BH50" s="192" t="str">
        <f>IF( $B50="", "", IF(ISNA(VLOOKUP($C50, Defesa!$C$7:$C$29,1,FALSE)),1,0))</f>
        <v/>
      </c>
      <c r="BI50" s="193" t="str">
        <f t="shared" si="30"/>
        <v/>
      </c>
      <c r="BJ50" s="193" t="str">
        <f>IF($B50="", "", IF( AND( $AI50="ESTIMATIVA", OR( Defesa!$F$7 = "AUTOMÁTICA", Defesa!$F$7 ="100% BASELINE")), 1, 0))</f>
        <v/>
      </c>
      <c r="BK50" s="192" t="str">
        <f t="shared" si="45"/>
        <v/>
      </c>
      <c r="BL50" s="192">
        <f t="shared" si="31"/>
        <v>0</v>
      </c>
      <c r="BM50" s="192" t="str">
        <f>IF($AC50="", "", IF(ISNA(VLOOKUP($AC50, TABELAS!$Q:$Q, 1, FALSE)), 1, 0))</f>
        <v/>
      </c>
      <c r="BN50" s="194" t="str">
        <f t="shared" si="46"/>
        <v/>
      </c>
      <c r="BO50" s="192" t="str">
        <f t="shared" si="32"/>
        <v/>
      </c>
      <c r="BP50" s="192" t="str">
        <f t="shared" si="33"/>
        <v/>
      </c>
      <c r="BQ50" s="193" t="str">
        <f t="shared" si="34"/>
        <v/>
      </c>
      <c r="BR50" s="192" t="str">
        <f t="shared" si="35"/>
        <v/>
      </c>
      <c r="BS50" s="192" t="str">
        <f t="shared" si="36"/>
        <v/>
      </c>
      <c r="BT50" s="192" t="str">
        <f>IF(OR($B50="", $AH50 = "SIM"), "", IF( ISNA(VLOOKUP($AP50,#REF!, 1, FALSE)), 1, 0))</f>
        <v/>
      </c>
      <c r="BU50" s="192" t="str">
        <f t="shared" si="37"/>
        <v/>
      </c>
      <c r="BV50" s="192" t="str">
        <f>IF( $B50="", "", IF( ISNA(VLOOKUP($AN50, TABELAS!$T$2:$T$9,1,FALSE)), 1, 0))</f>
        <v/>
      </c>
      <c r="BW50" s="192" t="str">
        <f t="shared" si="38"/>
        <v/>
      </c>
      <c r="BX50" s="192" t="str">
        <f>IF( OR($B50="", $AH50 = "SIM"), "", IF( ISNA( VLOOKUP( $AQ50, SISTEMA!$B:$B, 1, FALSE)), 1, 0))</f>
        <v/>
      </c>
      <c r="BY50" s="193" t="str">
        <f t="shared" si="39"/>
        <v/>
      </c>
      <c r="BZ50" s="193" t="str">
        <f t="shared" si="40"/>
        <v/>
      </c>
      <c r="CA50" s="192" t="str">
        <f t="shared" si="41"/>
        <v/>
      </c>
      <c r="CB50" s="193" t="str">
        <f t="shared" si="42"/>
        <v/>
      </c>
      <c r="CC50" s="193" t="str">
        <f t="shared" si="43"/>
        <v/>
      </c>
      <c r="CD50" s="193" t="str">
        <f t="shared" si="44"/>
        <v/>
      </c>
    </row>
    <row r="51" spans="1:82" x14ac:dyDescent="0.2">
      <c r="A51" s="140"/>
      <c r="B51" s="141" t="str">
        <f t="shared" si="13"/>
        <v/>
      </c>
      <c r="C51" s="142" t="str">
        <f t="shared" si="1"/>
        <v/>
      </c>
      <c r="D51" s="142" t="str">
        <f t="shared" si="14"/>
        <v/>
      </c>
      <c r="E51" s="142" t="str">
        <f>IF($C51="", "", COUNTIF($M$8:$M51,$D51))</f>
        <v/>
      </c>
      <c r="F51" s="254">
        <v>44</v>
      </c>
      <c r="G51" s="143"/>
      <c r="H51" s="144"/>
      <c r="I51" s="144"/>
      <c r="J51" s="145"/>
      <c r="K51" s="144"/>
      <c r="L51" s="144"/>
      <c r="M51" s="144"/>
      <c r="N51" s="146"/>
      <c r="O51" s="147"/>
      <c r="P51" s="147"/>
      <c r="Q51" s="147"/>
      <c r="R51" s="147"/>
      <c r="S51" s="147"/>
      <c r="T51" s="149"/>
      <c r="U51" s="150" t="str">
        <f>IF($T51="", "", VLOOKUP($T51, CONTRATOS!$B:$E, 2, FALSE))</f>
        <v/>
      </c>
      <c r="V51" s="151">
        <f>IF(OR($T51="",TB_DEFESA!$C$2="CARGA BASELINE"),0,
   IF(VLOOKUP($T51, CONTRATOS!B:E, 3, FALSE)&lt;&gt;"",1,IF(VLOOKUP($T51, CONTRATOS!B:E, 4, FALSE)&lt;&gt;"",2,0)))</f>
        <v>0</v>
      </c>
      <c r="W51" s="152"/>
      <c r="X51" s="152"/>
      <c r="Y51" s="153"/>
      <c r="Z51" s="154"/>
      <c r="AA51" s="155"/>
      <c r="AB51" s="156"/>
      <c r="AC51" s="157"/>
      <c r="AD51" s="155"/>
      <c r="AE51" s="158" t="str">
        <f t="shared" si="2"/>
        <v/>
      </c>
      <c r="AF51" s="160" t="str">
        <f t="shared" si="15"/>
        <v/>
      </c>
      <c r="AG51" s="182" t="s">
        <v>59</v>
      </c>
      <c r="AH51" s="183" t="str">
        <f t="shared" si="16"/>
        <v/>
      </c>
      <c r="AI51" s="183" t="str">
        <f t="shared" si="17"/>
        <v/>
      </c>
      <c r="AJ51" s="184" t="str">
        <f t="shared" si="18"/>
        <v/>
      </c>
      <c r="AK51" s="185" t="str">
        <f t="shared" si="19"/>
        <v/>
      </c>
      <c r="AL51" s="186"/>
      <c r="AM51" s="183" t="str">
        <f t="shared" si="20"/>
        <v/>
      </c>
      <c r="AN51" s="183" t="str">
        <f t="shared" si="21"/>
        <v/>
      </c>
      <c r="AO51" s="186" t="str">
        <f t="shared" si="22"/>
        <v/>
      </c>
      <c r="AP51" s="187" t="str">
        <f t="shared" si="23"/>
        <v/>
      </c>
      <c r="AQ51" s="187" t="str">
        <f t="shared" si="24"/>
        <v/>
      </c>
      <c r="AR51" s="188" t="str">
        <f t="shared" si="3"/>
        <v/>
      </c>
      <c r="AS51" s="188" t="str">
        <f t="shared" si="4"/>
        <v/>
      </c>
      <c r="AT51" s="183" t="str">
        <f t="shared" si="5"/>
        <v/>
      </c>
      <c r="AU51" s="189" t="str">
        <f>IF(OR($B51="", $AP51= ""),"",IF(VLOOKUP($AP51, CONTRATOS!B:K,3,FALSE)="","",VLOOKUP($AP51, CONTRATOS!B:K, 3,FALSE)))</f>
        <v/>
      </c>
      <c r="AV51" s="189" t="str">
        <f>IF(OR($B51="", $AP51 = ""), "", IF(VLOOKUP($AP51, CONTRATOS!B:K,4,FALSE)="","",VLOOKUP($AP51, CONTRATOS!B:K,4, FALSE)))</f>
        <v/>
      </c>
      <c r="AW51" s="190" t="str">
        <f t="shared" si="6"/>
        <v/>
      </c>
      <c r="AX51" s="189" t="str">
        <f t="shared" si="7"/>
        <v/>
      </c>
      <c r="AY51" s="189" t="str">
        <f t="shared" si="8"/>
        <v/>
      </c>
      <c r="AZ51" s="189" t="str">
        <f t="shared" si="9"/>
        <v/>
      </c>
      <c r="BA51" s="189" t="str">
        <f t="shared" si="10"/>
        <v/>
      </c>
      <c r="BB51" s="191">
        <f t="shared" si="25"/>
        <v>0</v>
      </c>
      <c r="BC51" s="191" t="str">
        <f t="shared" si="26"/>
        <v/>
      </c>
      <c r="BD51" s="191" t="str">
        <f t="shared" si="27"/>
        <v/>
      </c>
      <c r="BF51" s="192">
        <f t="shared" si="28"/>
        <v>0</v>
      </c>
      <c r="BG51" s="192">
        <f t="shared" si="29"/>
        <v>0</v>
      </c>
      <c r="BH51" s="192" t="str">
        <f>IF( $B51="", "", IF(ISNA(VLOOKUP($C51, Defesa!$C$7:$C$29,1,FALSE)),1,0))</f>
        <v/>
      </c>
      <c r="BI51" s="193" t="str">
        <f t="shared" si="30"/>
        <v/>
      </c>
      <c r="BJ51" s="193" t="str">
        <f>IF($B51="", "", IF( AND( $AI51="ESTIMATIVA", OR( Defesa!$F$7 = "AUTOMÁTICA", Defesa!$F$7 ="100% BASELINE")), 1, 0))</f>
        <v/>
      </c>
      <c r="BK51" s="192" t="str">
        <f t="shared" si="45"/>
        <v/>
      </c>
      <c r="BL51" s="192">
        <f t="shared" si="31"/>
        <v>0</v>
      </c>
      <c r="BM51" s="192" t="str">
        <f>IF($AC51="", "", IF(ISNA(VLOOKUP($AC51, TABELAS!$Q:$Q, 1, FALSE)), 1, 0))</f>
        <v/>
      </c>
      <c r="BN51" s="194" t="str">
        <f t="shared" si="46"/>
        <v/>
      </c>
      <c r="BO51" s="192" t="str">
        <f t="shared" si="32"/>
        <v/>
      </c>
      <c r="BP51" s="192" t="str">
        <f t="shared" si="33"/>
        <v/>
      </c>
      <c r="BQ51" s="193" t="str">
        <f t="shared" si="34"/>
        <v/>
      </c>
      <c r="BR51" s="192" t="str">
        <f t="shared" si="35"/>
        <v/>
      </c>
      <c r="BS51" s="192" t="str">
        <f t="shared" si="36"/>
        <v/>
      </c>
      <c r="BT51" s="192" t="str">
        <f>IF(OR($B51="", $AH51 = "SIM"), "", IF( ISNA(VLOOKUP($AP51,#REF!, 1, FALSE)), 1, 0))</f>
        <v/>
      </c>
      <c r="BU51" s="192" t="str">
        <f t="shared" si="37"/>
        <v/>
      </c>
      <c r="BV51" s="192" t="str">
        <f>IF( $B51="", "", IF( ISNA(VLOOKUP($AN51, TABELAS!$T$2:$T$9,1,FALSE)), 1, 0))</f>
        <v/>
      </c>
      <c r="BW51" s="192" t="str">
        <f t="shared" si="38"/>
        <v/>
      </c>
      <c r="BX51" s="192" t="str">
        <f>IF( OR($B51="", $AH51 = "SIM"), "", IF( ISNA( VLOOKUP( $AQ51, SISTEMA!$B:$B, 1, FALSE)), 1, 0))</f>
        <v/>
      </c>
      <c r="BY51" s="193" t="str">
        <f t="shared" si="39"/>
        <v/>
      </c>
      <c r="BZ51" s="193" t="str">
        <f t="shared" si="40"/>
        <v/>
      </c>
      <c r="CA51" s="192" t="str">
        <f t="shared" si="41"/>
        <v/>
      </c>
      <c r="CB51" s="193" t="str">
        <f t="shared" si="42"/>
        <v/>
      </c>
      <c r="CC51" s="193" t="str">
        <f t="shared" si="43"/>
        <v/>
      </c>
      <c r="CD51" s="193" t="str">
        <f t="shared" si="44"/>
        <v/>
      </c>
    </row>
    <row r="52" spans="1:82" x14ac:dyDescent="0.2">
      <c r="A52" s="140"/>
      <c r="B52" s="141" t="str">
        <f t="shared" si="13"/>
        <v/>
      </c>
      <c r="C52" s="142" t="str">
        <f t="shared" si="1"/>
        <v/>
      </c>
      <c r="D52" s="142" t="str">
        <f t="shared" si="14"/>
        <v/>
      </c>
      <c r="E52" s="142" t="str">
        <f>IF($C52="", "", COUNTIF($M$8:$M52,$D52))</f>
        <v/>
      </c>
      <c r="F52" s="254">
        <v>45</v>
      </c>
      <c r="G52" s="143"/>
      <c r="H52" s="144"/>
      <c r="I52" s="144"/>
      <c r="J52" s="145"/>
      <c r="K52" s="144"/>
      <c r="L52" s="144"/>
      <c r="M52" s="144"/>
      <c r="N52" s="146"/>
      <c r="O52" s="147"/>
      <c r="P52" s="147"/>
      <c r="Q52" s="147"/>
      <c r="R52" s="147"/>
      <c r="S52" s="147"/>
      <c r="T52" s="149"/>
      <c r="U52" s="150" t="str">
        <f>IF($T52="", "", VLOOKUP($T52, CONTRATOS!$B:$E, 2, FALSE))</f>
        <v/>
      </c>
      <c r="V52" s="151">
        <f>IF(OR($T52="",TB_DEFESA!$C$2="CARGA BASELINE"),0,
   IF(VLOOKUP($T52, CONTRATOS!B:E, 3, FALSE)&lt;&gt;"",1,IF(VLOOKUP($T52, CONTRATOS!B:E, 4, FALSE)&lt;&gt;"",2,0)))</f>
        <v>0</v>
      </c>
      <c r="W52" s="152"/>
      <c r="X52" s="152"/>
      <c r="Y52" s="153"/>
      <c r="Z52" s="154"/>
      <c r="AA52" s="155"/>
      <c r="AB52" s="156"/>
      <c r="AC52" s="157"/>
      <c r="AD52" s="155"/>
      <c r="AE52" s="158" t="str">
        <f t="shared" si="2"/>
        <v/>
      </c>
      <c r="AF52" s="160" t="str">
        <f t="shared" si="15"/>
        <v/>
      </c>
      <c r="AG52" s="182" t="s">
        <v>59</v>
      </c>
      <c r="AH52" s="183" t="str">
        <f t="shared" si="16"/>
        <v/>
      </c>
      <c r="AI52" s="183" t="str">
        <f t="shared" si="17"/>
        <v/>
      </c>
      <c r="AJ52" s="184" t="str">
        <f t="shared" si="18"/>
        <v/>
      </c>
      <c r="AK52" s="185" t="str">
        <f t="shared" si="19"/>
        <v/>
      </c>
      <c r="AL52" s="186"/>
      <c r="AM52" s="183" t="str">
        <f t="shared" si="20"/>
        <v/>
      </c>
      <c r="AN52" s="183" t="str">
        <f t="shared" si="21"/>
        <v/>
      </c>
      <c r="AO52" s="186" t="str">
        <f t="shared" si="22"/>
        <v/>
      </c>
      <c r="AP52" s="187" t="str">
        <f t="shared" si="23"/>
        <v/>
      </c>
      <c r="AQ52" s="187" t="str">
        <f t="shared" si="24"/>
        <v/>
      </c>
      <c r="AR52" s="188" t="str">
        <f t="shared" si="3"/>
        <v/>
      </c>
      <c r="AS52" s="188" t="str">
        <f t="shared" si="4"/>
        <v/>
      </c>
      <c r="AT52" s="183" t="str">
        <f t="shared" si="5"/>
        <v/>
      </c>
      <c r="AU52" s="189" t="str">
        <f>IF(OR($B52="", $AP52= ""),"",IF(VLOOKUP($AP52, CONTRATOS!B:K,3,FALSE)="","",VLOOKUP($AP52, CONTRATOS!B:K, 3,FALSE)))</f>
        <v/>
      </c>
      <c r="AV52" s="189" t="str">
        <f>IF(OR($B52="", $AP52 = ""), "", IF(VLOOKUP($AP52, CONTRATOS!B:K,4,FALSE)="","",VLOOKUP($AP52, CONTRATOS!B:K,4, FALSE)))</f>
        <v/>
      </c>
      <c r="AW52" s="190" t="str">
        <f t="shared" si="6"/>
        <v/>
      </c>
      <c r="AX52" s="189" t="str">
        <f t="shared" si="7"/>
        <v/>
      </c>
      <c r="AY52" s="189" t="str">
        <f t="shared" si="8"/>
        <v/>
      </c>
      <c r="AZ52" s="189" t="str">
        <f t="shared" si="9"/>
        <v/>
      </c>
      <c r="BA52" s="189" t="str">
        <f t="shared" si="10"/>
        <v/>
      </c>
      <c r="BB52" s="191">
        <f t="shared" si="25"/>
        <v>0</v>
      </c>
      <c r="BC52" s="191" t="str">
        <f t="shared" si="26"/>
        <v/>
      </c>
      <c r="BD52" s="191" t="str">
        <f t="shared" si="27"/>
        <v/>
      </c>
      <c r="BF52" s="192">
        <f t="shared" si="28"/>
        <v>0</v>
      </c>
      <c r="BG52" s="192">
        <f t="shared" si="29"/>
        <v>0</v>
      </c>
      <c r="BH52" s="192" t="str">
        <f>IF( $B52="", "", IF(ISNA(VLOOKUP($C52, Defesa!$C$7:$C$29,1,FALSE)),1,0))</f>
        <v/>
      </c>
      <c r="BI52" s="193" t="str">
        <f t="shared" si="30"/>
        <v/>
      </c>
      <c r="BJ52" s="193" t="str">
        <f>IF($B52="", "", IF( AND( $AI52="ESTIMATIVA", OR( Defesa!$F$7 = "AUTOMÁTICA", Defesa!$F$7 ="100% BASELINE")), 1, 0))</f>
        <v/>
      </c>
      <c r="BK52" s="192" t="str">
        <f t="shared" si="45"/>
        <v/>
      </c>
      <c r="BL52" s="192">
        <f t="shared" si="31"/>
        <v>0</v>
      </c>
      <c r="BM52" s="192" t="str">
        <f>IF($AC52="", "", IF(ISNA(VLOOKUP($AC52, TABELAS!$Q:$Q, 1, FALSE)), 1, 0))</f>
        <v/>
      </c>
      <c r="BN52" s="194" t="str">
        <f t="shared" si="46"/>
        <v/>
      </c>
      <c r="BO52" s="192" t="str">
        <f t="shared" si="32"/>
        <v/>
      </c>
      <c r="BP52" s="192" t="str">
        <f t="shared" si="33"/>
        <v/>
      </c>
      <c r="BQ52" s="193" t="str">
        <f t="shared" si="34"/>
        <v/>
      </c>
      <c r="BR52" s="192" t="str">
        <f t="shared" si="35"/>
        <v/>
      </c>
      <c r="BS52" s="192" t="str">
        <f t="shared" si="36"/>
        <v/>
      </c>
      <c r="BT52" s="192" t="str">
        <f>IF(OR($B52="", $AH52 = "SIM"), "", IF( ISNA(VLOOKUP($AP52,#REF!, 1, FALSE)), 1, 0))</f>
        <v/>
      </c>
      <c r="BU52" s="192" t="str">
        <f t="shared" si="37"/>
        <v/>
      </c>
      <c r="BV52" s="192" t="str">
        <f>IF( $B52="", "", IF( ISNA(VLOOKUP($AN52, TABELAS!$T$2:$T$9,1,FALSE)), 1, 0))</f>
        <v/>
      </c>
      <c r="BW52" s="192" t="str">
        <f t="shared" si="38"/>
        <v/>
      </c>
      <c r="BX52" s="192" t="str">
        <f>IF( OR($B52="", $AH52 = "SIM"), "", IF( ISNA( VLOOKUP( $AQ52, SISTEMA!$B:$B, 1, FALSE)), 1, 0))</f>
        <v/>
      </c>
      <c r="BY52" s="193" t="str">
        <f t="shared" si="39"/>
        <v/>
      </c>
      <c r="BZ52" s="193" t="str">
        <f t="shared" si="40"/>
        <v/>
      </c>
      <c r="CA52" s="192" t="str">
        <f t="shared" si="41"/>
        <v/>
      </c>
      <c r="CB52" s="193" t="str">
        <f t="shared" si="42"/>
        <v/>
      </c>
      <c r="CC52" s="193" t="str">
        <f t="shared" si="43"/>
        <v/>
      </c>
      <c r="CD52" s="193" t="str">
        <f t="shared" si="44"/>
        <v/>
      </c>
    </row>
    <row r="53" spans="1:82" x14ac:dyDescent="0.2">
      <c r="A53" s="140"/>
      <c r="B53" s="141" t="str">
        <f t="shared" si="13"/>
        <v/>
      </c>
      <c r="C53" s="142" t="str">
        <f t="shared" si="1"/>
        <v/>
      </c>
      <c r="D53" s="142" t="str">
        <f t="shared" si="14"/>
        <v/>
      </c>
      <c r="E53" s="142" t="str">
        <f>IF($C53="", "", COUNTIF($M$8:$M53,$D53))</f>
        <v/>
      </c>
      <c r="F53" s="254">
        <v>46</v>
      </c>
      <c r="G53" s="143"/>
      <c r="H53" s="144"/>
      <c r="I53" s="144"/>
      <c r="J53" s="145"/>
      <c r="K53" s="144"/>
      <c r="L53" s="144"/>
      <c r="M53" s="144"/>
      <c r="N53" s="146"/>
      <c r="O53" s="147"/>
      <c r="P53" s="147"/>
      <c r="Q53" s="147"/>
      <c r="R53" s="147"/>
      <c r="S53" s="147"/>
      <c r="T53" s="149"/>
      <c r="U53" s="150" t="str">
        <f>IF($T53="", "", VLOOKUP($T53, CONTRATOS!$B:$E, 2, FALSE))</f>
        <v/>
      </c>
      <c r="V53" s="151">
        <f>IF(OR($T53="",TB_DEFESA!$C$2="CARGA BASELINE"),0,
   IF(VLOOKUP($T53, CONTRATOS!B:E, 3, FALSE)&lt;&gt;"",1,IF(VLOOKUP($T53, CONTRATOS!B:E, 4, FALSE)&lt;&gt;"",2,0)))</f>
        <v>0</v>
      </c>
      <c r="W53" s="152"/>
      <c r="X53" s="152"/>
      <c r="Y53" s="153"/>
      <c r="Z53" s="154"/>
      <c r="AA53" s="155"/>
      <c r="AB53" s="156"/>
      <c r="AC53" s="157"/>
      <c r="AD53" s="155"/>
      <c r="AE53" s="158" t="str">
        <f t="shared" si="2"/>
        <v/>
      </c>
      <c r="AF53" s="160" t="str">
        <f t="shared" si="15"/>
        <v/>
      </c>
      <c r="AG53" s="182" t="s">
        <v>59</v>
      </c>
      <c r="AH53" s="183" t="str">
        <f t="shared" si="16"/>
        <v/>
      </c>
      <c r="AI53" s="183" t="str">
        <f t="shared" si="17"/>
        <v/>
      </c>
      <c r="AJ53" s="184" t="str">
        <f t="shared" si="18"/>
        <v/>
      </c>
      <c r="AK53" s="185" t="str">
        <f t="shared" si="19"/>
        <v/>
      </c>
      <c r="AL53" s="186"/>
      <c r="AM53" s="183" t="str">
        <f t="shared" si="20"/>
        <v/>
      </c>
      <c r="AN53" s="183" t="str">
        <f t="shared" si="21"/>
        <v/>
      </c>
      <c r="AO53" s="186" t="str">
        <f t="shared" si="22"/>
        <v/>
      </c>
      <c r="AP53" s="187" t="str">
        <f t="shared" si="23"/>
        <v/>
      </c>
      <c r="AQ53" s="187" t="str">
        <f t="shared" si="24"/>
        <v/>
      </c>
      <c r="AR53" s="188" t="str">
        <f t="shared" si="3"/>
        <v/>
      </c>
      <c r="AS53" s="188" t="str">
        <f t="shared" si="4"/>
        <v/>
      </c>
      <c r="AT53" s="183" t="str">
        <f t="shared" si="5"/>
        <v/>
      </c>
      <c r="AU53" s="189" t="str">
        <f>IF(OR($B53="", $AP53= ""),"",IF(VLOOKUP($AP53, CONTRATOS!B:K,3,FALSE)="","",VLOOKUP($AP53, CONTRATOS!B:K, 3,FALSE)))</f>
        <v/>
      </c>
      <c r="AV53" s="189" t="str">
        <f>IF(OR($B53="", $AP53 = ""), "", IF(VLOOKUP($AP53, CONTRATOS!B:K,4,FALSE)="","",VLOOKUP($AP53, CONTRATOS!B:K,4, FALSE)))</f>
        <v/>
      </c>
      <c r="AW53" s="190" t="str">
        <f t="shared" si="6"/>
        <v/>
      </c>
      <c r="AX53" s="189" t="str">
        <f t="shared" si="7"/>
        <v/>
      </c>
      <c r="AY53" s="189" t="str">
        <f t="shared" si="8"/>
        <v/>
      </c>
      <c r="AZ53" s="189" t="str">
        <f t="shared" si="9"/>
        <v/>
      </c>
      <c r="BA53" s="189" t="str">
        <f t="shared" si="10"/>
        <v/>
      </c>
      <c r="BB53" s="191">
        <f t="shared" si="25"/>
        <v>0</v>
      </c>
      <c r="BC53" s="191" t="str">
        <f t="shared" si="26"/>
        <v/>
      </c>
      <c r="BD53" s="191" t="str">
        <f t="shared" si="27"/>
        <v/>
      </c>
      <c r="BF53" s="192">
        <f t="shared" si="28"/>
        <v>0</v>
      </c>
      <c r="BG53" s="192">
        <f t="shared" si="29"/>
        <v>0</v>
      </c>
      <c r="BH53" s="192" t="str">
        <f>IF( $B53="", "", IF(ISNA(VLOOKUP($C53, Defesa!$C$7:$C$29,1,FALSE)),1,0))</f>
        <v/>
      </c>
      <c r="BI53" s="193" t="str">
        <f t="shared" si="30"/>
        <v/>
      </c>
      <c r="BJ53" s="193" t="str">
        <f>IF($B53="", "", IF( AND( $AI53="ESTIMATIVA", OR( Defesa!$F$7 = "AUTOMÁTICA", Defesa!$F$7 ="100% BASELINE")), 1, 0))</f>
        <v/>
      </c>
      <c r="BK53" s="192" t="str">
        <f t="shared" si="45"/>
        <v/>
      </c>
      <c r="BL53" s="192">
        <f t="shared" si="31"/>
        <v>0</v>
      </c>
      <c r="BM53" s="192" t="str">
        <f>IF($AC53="", "", IF(ISNA(VLOOKUP($AC53, TABELAS!$Q:$Q, 1, FALSE)), 1, 0))</f>
        <v/>
      </c>
      <c r="BN53" s="194" t="str">
        <f t="shared" si="46"/>
        <v/>
      </c>
      <c r="BO53" s="192" t="str">
        <f t="shared" si="32"/>
        <v/>
      </c>
      <c r="BP53" s="192" t="str">
        <f t="shared" si="33"/>
        <v/>
      </c>
      <c r="BQ53" s="193" t="str">
        <f t="shared" si="34"/>
        <v/>
      </c>
      <c r="BR53" s="192" t="str">
        <f t="shared" si="35"/>
        <v/>
      </c>
      <c r="BS53" s="192" t="str">
        <f t="shared" si="36"/>
        <v/>
      </c>
      <c r="BT53" s="192" t="str">
        <f>IF(OR($B53="", $AH53 = "SIM"), "", IF( ISNA(VLOOKUP($AP53,#REF!, 1, FALSE)), 1, 0))</f>
        <v/>
      </c>
      <c r="BU53" s="192" t="str">
        <f t="shared" si="37"/>
        <v/>
      </c>
      <c r="BV53" s="192" t="str">
        <f>IF( $B53="", "", IF( ISNA(VLOOKUP($AN53, TABELAS!$T$2:$T$9,1,FALSE)), 1, 0))</f>
        <v/>
      </c>
      <c r="BW53" s="192" t="str">
        <f t="shared" si="38"/>
        <v/>
      </c>
      <c r="BX53" s="192" t="str">
        <f>IF( OR($B53="", $AH53 = "SIM"), "", IF( ISNA( VLOOKUP( $AQ53, SISTEMA!$B:$B, 1, FALSE)), 1, 0))</f>
        <v/>
      </c>
      <c r="BY53" s="193" t="str">
        <f t="shared" si="39"/>
        <v/>
      </c>
      <c r="BZ53" s="193" t="str">
        <f t="shared" si="40"/>
        <v/>
      </c>
      <c r="CA53" s="192" t="str">
        <f t="shared" si="41"/>
        <v/>
      </c>
      <c r="CB53" s="193" t="str">
        <f t="shared" si="42"/>
        <v/>
      </c>
      <c r="CC53" s="193" t="str">
        <f t="shared" si="43"/>
        <v/>
      </c>
      <c r="CD53" s="193" t="str">
        <f t="shared" si="44"/>
        <v/>
      </c>
    </row>
    <row r="54" spans="1:82" x14ac:dyDescent="0.2">
      <c r="A54" s="140"/>
      <c r="B54" s="141" t="str">
        <f t="shared" si="13"/>
        <v/>
      </c>
      <c r="C54" s="142" t="str">
        <f t="shared" si="1"/>
        <v/>
      </c>
      <c r="D54" s="142" t="str">
        <f t="shared" si="14"/>
        <v/>
      </c>
      <c r="E54" s="142" t="str">
        <f>IF($C54="", "", COUNTIF($M$8:$M54,$D54))</f>
        <v/>
      </c>
      <c r="F54" s="254">
        <v>47</v>
      </c>
      <c r="G54" s="143"/>
      <c r="H54" s="144"/>
      <c r="I54" s="144"/>
      <c r="J54" s="145"/>
      <c r="K54" s="144"/>
      <c r="L54" s="144"/>
      <c r="M54" s="144"/>
      <c r="N54" s="146"/>
      <c r="O54" s="147"/>
      <c r="P54" s="147"/>
      <c r="Q54" s="147"/>
      <c r="R54" s="147"/>
      <c r="S54" s="147"/>
      <c r="T54" s="149"/>
      <c r="U54" s="150" t="str">
        <f>IF($T54="", "", VLOOKUP($T54, CONTRATOS!$B:$E, 2, FALSE))</f>
        <v/>
      </c>
      <c r="V54" s="151">
        <f>IF(OR($T54="",TB_DEFESA!$C$2="CARGA BASELINE"),0,
   IF(VLOOKUP($T54, CONTRATOS!B:E, 3, FALSE)&lt;&gt;"",1,IF(VLOOKUP($T54, CONTRATOS!B:E, 4, FALSE)&lt;&gt;"",2,0)))</f>
        <v>0</v>
      </c>
      <c r="W54" s="152"/>
      <c r="X54" s="152"/>
      <c r="Y54" s="153"/>
      <c r="Z54" s="154"/>
      <c r="AA54" s="155"/>
      <c r="AB54" s="156"/>
      <c r="AC54" s="157"/>
      <c r="AD54" s="155"/>
      <c r="AE54" s="158" t="str">
        <f t="shared" si="2"/>
        <v/>
      </c>
      <c r="AF54" s="160" t="str">
        <f t="shared" si="15"/>
        <v/>
      </c>
      <c r="AG54" s="182" t="s">
        <v>59</v>
      </c>
      <c r="AH54" s="183" t="str">
        <f t="shared" si="16"/>
        <v/>
      </c>
      <c r="AI54" s="183" t="str">
        <f t="shared" si="17"/>
        <v/>
      </c>
      <c r="AJ54" s="184" t="str">
        <f t="shared" si="18"/>
        <v/>
      </c>
      <c r="AK54" s="185" t="str">
        <f t="shared" si="19"/>
        <v/>
      </c>
      <c r="AL54" s="186"/>
      <c r="AM54" s="183" t="str">
        <f t="shared" si="20"/>
        <v/>
      </c>
      <c r="AN54" s="183" t="str">
        <f t="shared" si="21"/>
        <v/>
      </c>
      <c r="AO54" s="186" t="str">
        <f t="shared" si="22"/>
        <v/>
      </c>
      <c r="AP54" s="187" t="str">
        <f t="shared" si="23"/>
        <v/>
      </c>
      <c r="AQ54" s="187" t="str">
        <f t="shared" si="24"/>
        <v/>
      </c>
      <c r="AR54" s="188" t="str">
        <f t="shared" si="3"/>
        <v/>
      </c>
      <c r="AS54" s="188" t="str">
        <f t="shared" si="4"/>
        <v/>
      </c>
      <c r="AT54" s="183" t="str">
        <f t="shared" si="5"/>
        <v/>
      </c>
      <c r="AU54" s="189" t="str">
        <f>IF(OR($B54="", $AP54= ""),"",IF(VLOOKUP($AP54, CONTRATOS!B:K,3,FALSE)="","",VLOOKUP($AP54, CONTRATOS!B:K, 3,FALSE)))</f>
        <v/>
      </c>
      <c r="AV54" s="189" t="str">
        <f>IF(OR($B54="", $AP54 = ""), "", IF(VLOOKUP($AP54, CONTRATOS!B:K,4,FALSE)="","",VLOOKUP($AP54, CONTRATOS!B:K,4, FALSE)))</f>
        <v/>
      </c>
      <c r="AW54" s="190" t="str">
        <f t="shared" si="6"/>
        <v/>
      </c>
      <c r="AX54" s="189" t="str">
        <f t="shared" si="7"/>
        <v/>
      </c>
      <c r="AY54" s="189" t="str">
        <f t="shared" si="8"/>
        <v/>
      </c>
      <c r="AZ54" s="189" t="str">
        <f t="shared" si="9"/>
        <v/>
      </c>
      <c r="BA54" s="189" t="str">
        <f t="shared" si="10"/>
        <v/>
      </c>
      <c r="BB54" s="191">
        <f t="shared" si="25"/>
        <v>0</v>
      </c>
      <c r="BC54" s="191" t="str">
        <f t="shared" si="26"/>
        <v/>
      </c>
      <c r="BD54" s="191" t="str">
        <f t="shared" si="27"/>
        <v/>
      </c>
      <c r="BF54" s="192">
        <f t="shared" si="28"/>
        <v>0</v>
      </c>
      <c r="BG54" s="192">
        <f t="shared" si="29"/>
        <v>0</v>
      </c>
      <c r="BH54" s="192" t="str">
        <f>IF( $B54="", "", IF(ISNA(VLOOKUP($C54, Defesa!$C$7:$C$29,1,FALSE)),1,0))</f>
        <v/>
      </c>
      <c r="BI54" s="193" t="str">
        <f t="shared" si="30"/>
        <v/>
      </c>
      <c r="BJ54" s="193" t="str">
        <f>IF($B54="", "", IF( AND( $AI54="ESTIMATIVA", OR( Defesa!$F$7 = "AUTOMÁTICA", Defesa!$F$7 ="100% BASELINE")), 1, 0))</f>
        <v/>
      </c>
      <c r="BK54" s="192" t="str">
        <f t="shared" si="45"/>
        <v/>
      </c>
      <c r="BL54" s="192">
        <f t="shared" si="31"/>
        <v>0</v>
      </c>
      <c r="BM54" s="192" t="str">
        <f>IF($AC54="", "", IF(ISNA(VLOOKUP($AC54, TABELAS!$Q:$Q, 1, FALSE)), 1, 0))</f>
        <v/>
      </c>
      <c r="BN54" s="194" t="str">
        <f t="shared" si="46"/>
        <v/>
      </c>
      <c r="BO54" s="192" t="str">
        <f t="shared" si="32"/>
        <v/>
      </c>
      <c r="BP54" s="192" t="str">
        <f t="shared" si="33"/>
        <v/>
      </c>
      <c r="BQ54" s="193" t="str">
        <f t="shared" si="34"/>
        <v/>
      </c>
      <c r="BR54" s="192" t="str">
        <f t="shared" si="35"/>
        <v/>
      </c>
      <c r="BS54" s="192" t="str">
        <f t="shared" si="36"/>
        <v/>
      </c>
      <c r="BT54" s="192" t="str">
        <f>IF(OR($B54="", $AH54 = "SIM"), "", IF( ISNA(VLOOKUP($AP54,#REF!, 1, FALSE)), 1, 0))</f>
        <v/>
      </c>
      <c r="BU54" s="192" t="str">
        <f t="shared" si="37"/>
        <v/>
      </c>
      <c r="BV54" s="192" t="str">
        <f>IF( $B54="", "", IF( ISNA(VLOOKUP($AN54, TABELAS!$T$2:$T$9,1,FALSE)), 1, 0))</f>
        <v/>
      </c>
      <c r="BW54" s="192" t="str">
        <f t="shared" si="38"/>
        <v/>
      </c>
      <c r="BX54" s="192" t="str">
        <f>IF( OR($B54="", $AH54 = "SIM"), "", IF( ISNA( VLOOKUP( $AQ54, SISTEMA!$B:$B, 1, FALSE)), 1, 0))</f>
        <v/>
      </c>
      <c r="BY54" s="193" t="str">
        <f t="shared" si="39"/>
        <v/>
      </c>
      <c r="BZ54" s="193" t="str">
        <f t="shared" si="40"/>
        <v/>
      </c>
      <c r="CA54" s="192" t="str">
        <f t="shared" si="41"/>
        <v/>
      </c>
      <c r="CB54" s="193" t="str">
        <f t="shared" si="42"/>
        <v/>
      </c>
      <c r="CC54" s="193" t="str">
        <f t="shared" si="43"/>
        <v/>
      </c>
      <c r="CD54" s="193" t="str">
        <f t="shared" si="44"/>
        <v/>
      </c>
    </row>
    <row r="55" spans="1:82" x14ac:dyDescent="0.2">
      <c r="A55" s="140"/>
      <c r="B55" s="141" t="str">
        <f t="shared" si="13"/>
        <v/>
      </c>
      <c r="C55" s="142" t="str">
        <f t="shared" si="1"/>
        <v/>
      </c>
      <c r="D55" s="142" t="str">
        <f t="shared" si="14"/>
        <v/>
      </c>
      <c r="E55" s="142" t="str">
        <f>IF($C55="", "", COUNTIF($M$8:$M55,$D55))</f>
        <v/>
      </c>
      <c r="F55" s="254">
        <v>48</v>
      </c>
      <c r="G55" s="143"/>
      <c r="H55" s="144"/>
      <c r="I55" s="144"/>
      <c r="J55" s="145"/>
      <c r="K55" s="144"/>
      <c r="L55" s="144"/>
      <c r="M55" s="144"/>
      <c r="N55" s="146"/>
      <c r="O55" s="147"/>
      <c r="P55" s="147"/>
      <c r="Q55" s="147"/>
      <c r="R55" s="147"/>
      <c r="S55" s="147"/>
      <c r="T55" s="149"/>
      <c r="U55" s="150" t="str">
        <f>IF($T55="", "", VLOOKUP($T55, CONTRATOS!$B:$E, 2, FALSE))</f>
        <v/>
      </c>
      <c r="V55" s="151">
        <f>IF(OR($T55="",TB_DEFESA!$C$2="CARGA BASELINE"),0,
   IF(VLOOKUP($T55, CONTRATOS!B:E, 3, FALSE)&lt;&gt;"",1,IF(VLOOKUP($T55, CONTRATOS!B:E, 4, FALSE)&lt;&gt;"",2,0)))</f>
        <v>0</v>
      </c>
      <c r="W55" s="152"/>
      <c r="X55" s="152"/>
      <c r="Y55" s="153"/>
      <c r="Z55" s="154"/>
      <c r="AA55" s="155"/>
      <c r="AB55" s="156"/>
      <c r="AC55" s="157"/>
      <c r="AD55" s="155"/>
      <c r="AE55" s="158" t="str">
        <f t="shared" si="2"/>
        <v/>
      </c>
      <c r="AF55" s="160" t="str">
        <f t="shared" si="15"/>
        <v/>
      </c>
      <c r="AG55" s="182" t="s">
        <v>59</v>
      </c>
      <c r="AH55" s="183" t="str">
        <f t="shared" si="16"/>
        <v/>
      </c>
      <c r="AI55" s="183" t="str">
        <f t="shared" si="17"/>
        <v/>
      </c>
      <c r="AJ55" s="184" t="str">
        <f t="shared" si="18"/>
        <v/>
      </c>
      <c r="AK55" s="185" t="str">
        <f t="shared" si="19"/>
        <v/>
      </c>
      <c r="AL55" s="186"/>
      <c r="AM55" s="183" t="str">
        <f t="shared" si="20"/>
        <v/>
      </c>
      <c r="AN55" s="183" t="str">
        <f t="shared" si="21"/>
        <v/>
      </c>
      <c r="AO55" s="186" t="str">
        <f t="shared" si="22"/>
        <v/>
      </c>
      <c r="AP55" s="187" t="str">
        <f t="shared" si="23"/>
        <v/>
      </c>
      <c r="AQ55" s="187" t="str">
        <f t="shared" si="24"/>
        <v/>
      </c>
      <c r="AR55" s="188" t="str">
        <f t="shared" si="3"/>
        <v/>
      </c>
      <c r="AS55" s="188" t="str">
        <f t="shared" si="4"/>
        <v/>
      </c>
      <c r="AT55" s="183" t="str">
        <f t="shared" si="5"/>
        <v/>
      </c>
      <c r="AU55" s="189" t="str">
        <f>IF(OR($B55="", $AP55= ""),"",IF(VLOOKUP($AP55, CONTRATOS!B:K,3,FALSE)="","",VLOOKUP($AP55, CONTRATOS!B:K, 3,FALSE)))</f>
        <v/>
      </c>
      <c r="AV55" s="189" t="str">
        <f>IF(OR($B55="", $AP55 = ""), "", IF(VLOOKUP($AP55, CONTRATOS!B:K,4,FALSE)="","",VLOOKUP($AP55, CONTRATOS!B:K,4, FALSE)))</f>
        <v/>
      </c>
      <c r="AW55" s="190" t="str">
        <f t="shared" si="6"/>
        <v/>
      </c>
      <c r="AX55" s="189" t="str">
        <f t="shared" si="7"/>
        <v/>
      </c>
      <c r="AY55" s="189" t="str">
        <f t="shared" si="8"/>
        <v/>
      </c>
      <c r="AZ55" s="189" t="str">
        <f t="shared" si="9"/>
        <v/>
      </c>
      <c r="BA55" s="189" t="str">
        <f t="shared" si="10"/>
        <v/>
      </c>
      <c r="BB55" s="191">
        <f t="shared" si="25"/>
        <v>0</v>
      </c>
      <c r="BC55" s="191" t="str">
        <f t="shared" si="26"/>
        <v/>
      </c>
      <c r="BD55" s="191" t="str">
        <f t="shared" si="27"/>
        <v/>
      </c>
      <c r="BF55" s="192">
        <f t="shared" si="28"/>
        <v>0</v>
      </c>
      <c r="BG55" s="192">
        <f t="shared" si="29"/>
        <v>0</v>
      </c>
      <c r="BH55" s="192" t="str">
        <f>IF( $B55="", "", IF(ISNA(VLOOKUP($C55, Defesa!$C$7:$C$29,1,FALSE)),1,0))</f>
        <v/>
      </c>
      <c r="BI55" s="193" t="str">
        <f t="shared" si="30"/>
        <v/>
      </c>
      <c r="BJ55" s="193" t="str">
        <f>IF($B55="", "", IF( AND( $AI55="ESTIMATIVA", OR( Defesa!$F$7 = "AUTOMÁTICA", Defesa!$F$7 ="100% BASELINE")), 1, 0))</f>
        <v/>
      </c>
      <c r="BK55" s="192" t="str">
        <f t="shared" si="45"/>
        <v/>
      </c>
      <c r="BL55" s="192">
        <f t="shared" si="31"/>
        <v>0</v>
      </c>
      <c r="BM55" s="192" t="str">
        <f>IF($AC55="", "", IF(ISNA(VLOOKUP($AC55, TABELAS!$Q:$Q, 1, FALSE)), 1, 0))</f>
        <v/>
      </c>
      <c r="BN55" s="194" t="str">
        <f t="shared" si="46"/>
        <v/>
      </c>
      <c r="BO55" s="192" t="str">
        <f t="shared" si="32"/>
        <v/>
      </c>
      <c r="BP55" s="192" t="str">
        <f t="shared" si="33"/>
        <v/>
      </c>
      <c r="BQ55" s="193" t="str">
        <f t="shared" si="34"/>
        <v/>
      </c>
      <c r="BR55" s="192" t="str">
        <f t="shared" si="35"/>
        <v/>
      </c>
      <c r="BS55" s="192" t="str">
        <f t="shared" si="36"/>
        <v/>
      </c>
      <c r="BT55" s="192" t="str">
        <f>IF(OR($B55="", $AH55 = "SIM"), "", IF( ISNA(VLOOKUP($AP55,#REF!, 1, FALSE)), 1, 0))</f>
        <v/>
      </c>
      <c r="BU55" s="192" t="str">
        <f t="shared" si="37"/>
        <v/>
      </c>
      <c r="BV55" s="192" t="str">
        <f>IF( $B55="", "", IF( ISNA(VLOOKUP($AN55, TABELAS!$T$2:$T$9,1,FALSE)), 1, 0))</f>
        <v/>
      </c>
      <c r="BW55" s="192" t="str">
        <f t="shared" si="38"/>
        <v/>
      </c>
      <c r="BX55" s="192" t="str">
        <f>IF( OR($B55="", $AH55 = "SIM"), "", IF( ISNA( VLOOKUP( $AQ55, SISTEMA!$B:$B, 1, FALSE)), 1, 0))</f>
        <v/>
      </c>
      <c r="BY55" s="193" t="str">
        <f t="shared" si="39"/>
        <v/>
      </c>
      <c r="BZ55" s="193" t="str">
        <f t="shared" si="40"/>
        <v/>
      </c>
      <c r="CA55" s="192" t="str">
        <f t="shared" si="41"/>
        <v/>
      </c>
      <c r="CB55" s="193" t="str">
        <f t="shared" si="42"/>
        <v/>
      </c>
      <c r="CC55" s="193" t="str">
        <f t="shared" si="43"/>
        <v/>
      </c>
      <c r="CD55" s="193" t="str">
        <f t="shared" si="44"/>
        <v/>
      </c>
    </row>
    <row r="56" spans="1:82" x14ac:dyDescent="0.2">
      <c r="A56" s="140"/>
      <c r="B56" s="141" t="str">
        <f t="shared" si="13"/>
        <v/>
      </c>
      <c r="C56" s="142" t="str">
        <f t="shared" si="1"/>
        <v/>
      </c>
      <c r="D56" s="142" t="str">
        <f t="shared" si="14"/>
        <v/>
      </c>
      <c r="E56" s="142" t="str">
        <f>IF($C56="", "", COUNTIF($M$8:$M56,$D56))</f>
        <v/>
      </c>
      <c r="F56" s="254">
        <v>49</v>
      </c>
      <c r="G56" s="143"/>
      <c r="H56" s="144"/>
      <c r="I56" s="144"/>
      <c r="J56" s="145"/>
      <c r="K56" s="144"/>
      <c r="L56" s="144"/>
      <c r="M56" s="144"/>
      <c r="N56" s="146"/>
      <c r="O56" s="147"/>
      <c r="P56" s="147"/>
      <c r="Q56" s="147"/>
      <c r="R56" s="147"/>
      <c r="S56" s="147"/>
      <c r="T56" s="149"/>
      <c r="U56" s="150" t="str">
        <f>IF($T56="", "", VLOOKUP($T56, CONTRATOS!$B:$E, 2, FALSE))</f>
        <v/>
      </c>
      <c r="V56" s="151">
        <f>IF(OR($T56="",TB_DEFESA!$C$2="CARGA BASELINE"),0,
   IF(VLOOKUP($T56, CONTRATOS!B:E, 3, FALSE)&lt;&gt;"",1,IF(VLOOKUP($T56, CONTRATOS!B:E, 4, FALSE)&lt;&gt;"",2,0)))</f>
        <v>0</v>
      </c>
      <c r="W56" s="152"/>
      <c r="X56" s="152"/>
      <c r="Y56" s="153"/>
      <c r="Z56" s="154"/>
      <c r="AA56" s="155"/>
      <c r="AB56" s="156"/>
      <c r="AC56" s="157"/>
      <c r="AD56" s="155"/>
      <c r="AE56" s="158" t="str">
        <f t="shared" si="2"/>
        <v/>
      </c>
      <c r="AF56" s="160" t="str">
        <f t="shared" si="15"/>
        <v/>
      </c>
      <c r="AG56" s="182" t="s">
        <v>59</v>
      </c>
      <c r="AH56" s="183" t="str">
        <f t="shared" si="16"/>
        <v/>
      </c>
      <c r="AI56" s="183" t="str">
        <f t="shared" si="17"/>
        <v/>
      </c>
      <c r="AJ56" s="184" t="str">
        <f t="shared" si="18"/>
        <v/>
      </c>
      <c r="AK56" s="185" t="str">
        <f t="shared" si="19"/>
        <v/>
      </c>
      <c r="AL56" s="186"/>
      <c r="AM56" s="183" t="str">
        <f t="shared" si="20"/>
        <v/>
      </c>
      <c r="AN56" s="183" t="str">
        <f t="shared" si="21"/>
        <v/>
      </c>
      <c r="AO56" s="186" t="str">
        <f t="shared" si="22"/>
        <v/>
      </c>
      <c r="AP56" s="187" t="str">
        <f t="shared" si="23"/>
        <v/>
      </c>
      <c r="AQ56" s="187" t="str">
        <f t="shared" si="24"/>
        <v/>
      </c>
      <c r="AR56" s="188" t="str">
        <f t="shared" si="3"/>
        <v/>
      </c>
      <c r="AS56" s="188" t="str">
        <f t="shared" si="4"/>
        <v/>
      </c>
      <c r="AT56" s="183" t="str">
        <f t="shared" si="5"/>
        <v/>
      </c>
      <c r="AU56" s="189" t="str">
        <f>IF(OR($B56="", $AP56= ""),"",IF(VLOOKUP($AP56, CONTRATOS!B:K,3,FALSE)="","",VLOOKUP($AP56, CONTRATOS!B:K, 3,FALSE)))</f>
        <v/>
      </c>
      <c r="AV56" s="189" t="str">
        <f>IF(OR($B56="", $AP56 = ""), "", IF(VLOOKUP($AP56, CONTRATOS!B:K,4,FALSE)="","",VLOOKUP($AP56, CONTRATOS!B:K,4, FALSE)))</f>
        <v/>
      </c>
      <c r="AW56" s="190" t="str">
        <f t="shared" si="6"/>
        <v/>
      </c>
      <c r="AX56" s="189" t="str">
        <f t="shared" si="7"/>
        <v/>
      </c>
      <c r="AY56" s="189" t="str">
        <f t="shared" si="8"/>
        <v/>
      </c>
      <c r="AZ56" s="189" t="str">
        <f t="shared" si="9"/>
        <v/>
      </c>
      <c r="BA56" s="189" t="str">
        <f t="shared" si="10"/>
        <v/>
      </c>
      <c r="BB56" s="191">
        <f t="shared" si="25"/>
        <v>0</v>
      </c>
      <c r="BC56" s="191" t="str">
        <f t="shared" si="26"/>
        <v/>
      </c>
      <c r="BD56" s="191" t="str">
        <f t="shared" si="27"/>
        <v/>
      </c>
      <c r="BF56" s="192">
        <f t="shared" si="28"/>
        <v>0</v>
      </c>
      <c r="BG56" s="192">
        <f t="shared" si="29"/>
        <v>0</v>
      </c>
      <c r="BH56" s="192" t="str">
        <f>IF( $B56="", "", IF(ISNA(VLOOKUP($C56, Defesa!$C$7:$C$29,1,FALSE)),1,0))</f>
        <v/>
      </c>
      <c r="BI56" s="193" t="str">
        <f t="shared" si="30"/>
        <v/>
      </c>
      <c r="BJ56" s="193" t="str">
        <f>IF($B56="", "", IF( AND( $AI56="ESTIMATIVA", OR( Defesa!$F$7 = "AUTOMÁTICA", Defesa!$F$7 ="100% BASELINE")), 1, 0))</f>
        <v/>
      </c>
      <c r="BK56" s="192" t="str">
        <f t="shared" si="45"/>
        <v/>
      </c>
      <c r="BL56" s="192">
        <f t="shared" si="31"/>
        <v>0</v>
      </c>
      <c r="BM56" s="192" t="str">
        <f>IF($AC56="", "", IF(ISNA(VLOOKUP($AC56, TABELAS!$Q:$Q, 1, FALSE)), 1, 0))</f>
        <v/>
      </c>
      <c r="BN56" s="194" t="str">
        <f t="shared" si="46"/>
        <v/>
      </c>
      <c r="BO56" s="192" t="str">
        <f t="shared" si="32"/>
        <v/>
      </c>
      <c r="BP56" s="192" t="str">
        <f t="shared" si="33"/>
        <v/>
      </c>
      <c r="BQ56" s="193" t="str">
        <f t="shared" si="34"/>
        <v/>
      </c>
      <c r="BR56" s="192" t="str">
        <f t="shared" si="35"/>
        <v/>
      </c>
      <c r="BS56" s="192" t="str">
        <f t="shared" si="36"/>
        <v/>
      </c>
      <c r="BT56" s="192" t="str">
        <f>IF(OR($B56="", $AH56 = "SIM"), "", IF( ISNA(VLOOKUP($AP56,#REF!, 1, FALSE)), 1, 0))</f>
        <v/>
      </c>
      <c r="BU56" s="192" t="str">
        <f t="shared" si="37"/>
        <v/>
      </c>
      <c r="BV56" s="192" t="str">
        <f>IF( $B56="", "", IF( ISNA(VLOOKUP($AN56, TABELAS!$T$2:$T$9,1,FALSE)), 1, 0))</f>
        <v/>
      </c>
      <c r="BW56" s="192" t="str">
        <f t="shared" si="38"/>
        <v/>
      </c>
      <c r="BX56" s="192" t="str">
        <f>IF( OR($B56="", $AH56 = "SIM"), "", IF( ISNA( VLOOKUP( $AQ56, SISTEMA!$B:$B, 1, FALSE)), 1, 0))</f>
        <v/>
      </c>
      <c r="BY56" s="193" t="str">
        <f t="shared" si="39"/>
        <v/>
      </c>
      <c r="BZ56" s="193" t="str">
        <f t="shared" si="40"/>
        <v/>
      </c>
      <c r="CA56" s="192" t="str">
        <f t="shared" si="41"/>
        <v/>
      </c>
      <c r="CB56" s="193" t="str">
        <f t="shared" si="42"/>
        <v/>
      </c>
      <c r="CC56" s="193" t="str">
        <f t="shared" si="43"/>
        <v/>
      </c>
      <c r="CD56" s="193" t="str">
        <f t="shared" si="44"/>
        <v/>
      </c>
    </row>
    <row r="57" spans="1:82" x14ac:dyDescent="0.2">
      <c r="A57" s="140"/>
      <c r="B57" s="141" t="str">
        <f t="shared" si="13"/>
        <v/>
      </c>
      <c r="C57" s="142" t="str">
        <f t="shared" si="1"/>
        <v/>
      </c>
      <c r="D57" s="142" t="str">
        <f t="shared" si="14"/>
        <v/>
      </c>
      <c r="E57" s="142" t="str">
        <f>IF($C57="", "", COUNTIF($M$8:$M57,$D57))</f>
        <v/>
      </c>
      <c r="F57" s="254">
        <v>50</v>
      </c>
      <c r="G57" s="143"/>
      <c r="H57" s="144"/>
      <c r="I57" s="144"/>
      <c r="J57" s="145"/>
      <c r="K57" s="144"/>
      <c r="L57" s="144"/>
      <c r="M57" s="144"/>
      <c r="N57" s="146"/>
      <c r="O57" s="147"/>
      <c r="P57" s="147"/>
      <c r="Q57" s="147"/>
      <c r="R57" s="147"/>
      <c r="S57" s="147"/>
      <c r="T57" s="149"/>
      <c r="U57" s="150" t="str">
        <f>IF($T57="", "", VLOOKUP($T57, CONTRATOS!$B:$E, 2, FALSE))</f>
        <v/>
      </c>
      <c r="V57" s="151">
        <f>IF(OR($T57="",TB_DEFESA!$C$2="CARGA BASELINE"),0,
   IF(VLOOKUP($T57, CONTRATOS!B:E, 3, FALSE)&lt;&gt;"",1,IF(VLOOKUP($T57, CONTRATOS!B:E, 4, FALSE)&lt;&gt;"",2,0)))</f>
        <v>0</v>
      </c>
      <c r="W57" s="152"/>
      <c r="X57" s="152"/>
      <c r="Y57" s="153"/>
      <c r="Z57" s="154"/>
      <c r="AA57" s="155"/>
      <c r="AB57" s="156"/>
      <c r="AC57" s="157"/>
      <c r="AD57" s="155"/>
      <c r="AE57" s="158" t="str">
        <f t="shared" si="2"/>
        <v/>
      </c>
      <c r="AF57" s="160" t="str">
        <f t="shared" si="15"/>
        <v/>
      </c>
      <c r="AG57" s="182" t="s">
        <v>59</v>
      </c>
      <c r="AH57" s="183" t="str">
        <f t="shared" si="16"/>
        <v/>
      </c>
      <c r="AI57" s="183" t="str">
        <f t="shared" si="17"/>
        <v/>
      </c>
      <c r="AJ57" s="184" t="str">
        <f t="shared" si="18"/>
        <v/>
      </c>
      <c r="AK57" s="185" t="str">
        <f t="shared" si="19"/>
        <v/>
      </c>
      <c r="AL57" s="186"/>
      <c r="AM57" s="183" t="str">
        <f t="shared" si="20"/>
        <v/>
      </c>
      <c r="AN57" s="183" t="str">
        <f t="shared" si="21"/>
        <v/>
      </c>
      <c r="AO57" s="186" t="str">
        <f t="shared" si="22"/>
        <v/>
      </c>
      <c r="AP57" s="187" t="str">
        <f t="shared" si="23"/>
        <v/>
      </c>
      <c r="AQ57" s="187" t="str">
        <f t="shared" si="24"/>
        <v/>
      </c>
      <c r="AR57" s="188" t="str">
        <f t="shared" si="3"/>
        <v/>
      </c>
      <c r="AS57" s="188" t="str">
        <f t="shared" si="4"/>
        <v/>
      </c>
      <c r="AT57" s="183" t="str">
        <f t="shared" si="5"/>
        <v/>
      </c>
      <c r="AU57" s="189" t="str">
        <f>IF(OR($B57="", $AP57= ""),"",IF(VLOOKUP($AP57, CONTRATOS!B:K,3,FALSE)="","",VLOOKUP($AP57, CONTRATOS!B:K, 3,FALSE)))</f>
        <v/>
      </c>
      <c r="AV57" s="189" t="str">
        <f>IF(OR($B57="", $AP57 = ""), "", IF(VLOOKUP($AP57, CONTRATOS!B:K,4,FALSE)="","",VLOOKUP($AP57, CONTRATOS!B:K,4, FALSE)))</f>
        <v/>
      </c>
      <c r="AW57" s="190" t="str">
        <f t="shared" si="6"/>
        <v/>
      </c>
      <c r="AX57" s="189" t="str">
        <f t="shared" si="7"/>
        <v/>
      </c>
      <c r="AY57" s="189" t="str">
        <f t="shared" si="8"/>
        <v/>
      </c>
      <c r="AZ57" s="189" t="str">
        <f t="shared" si="9"/>
        <v/>
      </c>
      <c r="BA57" s="189" t="str">
        <f t="shared" si="10"/>
        <v/>
      </c>
      <c r="BB57" s="191">
        <f t="shared" si="25"/>
        <v>0</v>
      </c>
      <c r="BC57" s="191" t="str">
        <f t="shared" si="26"/>
        <v/>
      </c>
      <c r="BD57" s="191" t="str">
        <f t="shared" si="27"/>
        <v/>
      </c>
      <c r="BF57" s="192">
        <f t="shared" si="28"/>
        <v>0</v>
      </c>
      <c r="BG57" s="192">
        <f t="shared" si="29"/>
        <v>0</v>
      </c>
      <c r="BH57" s="192" t="str">
        <f>IF( $B57="", "", IF(ISNA(VLOOKUP($C57, Defesa!$C$7:$C$29,1,FALSE)),1,0))</f>
        <v/>
      </c>
      <c r="BI57" s="193" t="str">
        <f t="shared" si="30"/>
        <v/>
      </c>
      <c r="BJ57" s="193" t="str">
        <f>IF($B57="", "", IF( AND( $AI57="ESTIMATIVA", OR( Defesa!$F$7 = "AUTOMÁTICA", Defesa!$F$7 ="100% BASELINE")), 1, 0))</f>
        <v/>
      </c>
      <c r="BK57" s="192" t="str">
        <f t="shared" si="45"/>
        <v/>
      </c>
      <c r="BL57" s="192">
        <f t="shared" si="31"/>
        <v>0</v>
      </c>
      <c r="BM57" s="192" t="str">
        <f>IF($AC57="", "", IF(ISNA(VLOOKUP($AC57, TABELAS!$Q:$Q, 1, FALSE)), 1, 0))</f>
        <v/>
      </c>
      <c r="BN57" s="194" t="str">
        <f t="shared" si="46"/>
        <v/>
      </c>
      <c r="BO57" s="192" t="str">
        <f t="shared" si="32"/>
        <v/>
      </c>
      <c r="BP57" s="192" t="str">
        <f t="shared" si="33"/>
        <v/>
      </c>
      <c r="BQ57" s="193" t="str">
        <f t="shared" si="34"/>
        <v/>
      </c>
      <c r="BR57" s="192" t="str">
        <f t="shared" si="35"/>
        <v/>
      </c>
      <c r="BS57" s="192" t="str">
        <f t="shared" si="36"/>
        <v/>
      </c>
      <c r="BT57" s="192" t="str">
        <f>IF(OR($B57="", $AH57 = "SIM"), "", IF( ISNA(VLOOKUP($AP57,#REF!, 1, FALSE)), 1, 0))</f>
        <v/>
      </c>
      <c r="BU57" s="192" t="str">
        <f t="shared" si="37"/>
        <v/>
      </c>
      <c r="BV57" s="192" t="str">
        <f>IF( $B57="", "", IF( ISNA(VLOOKUP($AN57, TABELAS!$T$2:$T$9,1,FALSE)), 1, 0))</f>
        <v/>
      </c>
      <c r="BW57" s="192" t="str">
        <f t="shared" si="38"/>
        <v/>
      </c>
      <c r="BX57" s="192" t="str">
        <f>IF( OR($B57="", $AH57 = "SIM"), "", IF( ISNA( VLOOKUP( $AQ57, SISTEMA!$B:$B, 1, FALSE)), 1, 0))</f>
        <v/>
      </c>
      <c r="BY57" s="193" t="str">
        <f t="shared" si="39"/>
        <v/>
      </c>
      <c r="BZ57" s="193" t="str">
        <f t="shared" si="40"/>
        <v/>
      </c>
      <c r="CA57" s="192" t="str">
        <f t="shared" si="41"/>
        <v/>
      </c>
      <c r="CB57" s="193" t="str">
        <f t="shared" si="42"/>
        <v/>
      </c>
      <c r="CC57" s="193" t="str">
        <f t="shared" si="43"/>
        <v/>
      </c>
      <c r="CD57" s="193" t="str">
        <f t="shared" si="44"/>
        <v/>
      </c>
    </row>
    <row r="58" spans="1:82" x14ac:dyDescent="0.2">
      <c r="A58" s="140"/>
      <c r="B58" s="141" t="str">
        <f t="shared" si="13"/>
        <v/>
      </c>
      <c r="C58" s="142" t="str">
        <f t="shared" si="1"/>
        <v/>
      </c>
      <c r="D58" s="142" t="str">
        <f t="shared" si="14"/>
        <v/>
      </c>
      <c r="E58" s="142" t="str">
        <f>IF($C58="", "", COUNTIF($M$8:$M58,$D58))</f>
        <v/>
      </c>
      <c r="F58" s="254">
        <v>51</v>
      </c>
      <c r="G58" s="143"/>
      <c r="H58" s="144"/>
      <c r="I58" s="144"/>
      <c r="J58" s="145"/>
      <c r="K58" s="144"/>
      <c r="L58" s="144"/>
      <c r="M58" s="144"/>
      <c r="N58" s="146"/>
      <c r="O58" s="147"/>
      <c r="P58" s="147"/>
      <c r="Q58" s="147"/>
      <c r="R58" s="147"/>
      <c r="S58" s="147"/>
      <c r="T58" s="149"/>
      <c r="U58" s="150" t="str">
        <f>IF($T58="", "", VLOOKUP($T58, CONTRATOS!$B:$E, 2, FALSE))</f>
        <v/>
      </c>
      <c r="V58" s="151">
        <f>IF(OR($T58="",TB_DEFESA!$C$2="CARGA BASELINE"),0,
   IF(VLOOKUP($T58, CONTRATOS!B:E, 3, FALSE)&lt;&gt;"",1,IF(VLOOKUP($T58, CONTRATOS!B:E, 4, FALSE)&lt;&gt;"",2,0)))</f>
        <v>0</v>
      </c>
      <c r="W58" s="152"/>
      <c r="X58" s="152"/>
      <c r="Y58" s="153"/>
      <c r="Z58" s="154"/>
      <c r="AA58" s="155"/>
      <c r="AB58" s="156"/>
      <c r="AC58" s="157"/>
      <c r="AD58" s="155"/>
      <c r="AE58" s="158" t="str">
        <f t="shared" si="2"/>
        <v/>
      </c>
      <c r="AF58" s="160" t="str">
        <f t="shared" si="15"/>
        <v/>
      </c>
      <c r="AG58" s="182" t="s">
        <v>59</v>
      </c>
      <c r="AH58" s="183" t="str">
        <f t="shared" si="16"/>
        <v/>
      </c>
      <c r="AI58" s="183" t="str">
        <f t="shared" si="17"/>
        <v/>
      </c>
      <c r="AJ58" s="184" t="str">
        <f t="shared" si="18"/>
        <v/>
      </c>
      <c r="AK58" s="185" t="str">
        <f t="shared" si="19"/>
        <v/>
      </c>
      <c r="AL58" s="186"/>
      <c r="AM58" s="183" t="str">
        <f t="shared" si="20"/>
        <v/>
      </c>
      <c r="AN58" s="183" t="str">
        <f t="shared" si="21"/>
        <v/>
      </c>
      <c r="AO58" s="186" t="str">
        <f t="shared" si="22"/>
        <v/>
      </c>
      <c r="AP58" s="187" t="str">
        <f t="shared" si="23"/>
        <v/>
      </c>
      <c r="AQ58" s="187" t="str">
        <f t="shared" si="24"/>
        <v/>
      </c>
      <c r="AR58" s="188" t="str">
        <f t="shared" si="3"/>
        <v/>
      </c>
      <c r="AS58" s="188" t="str">
        <f t="shared" si="4"/>
        <v/>
      </c>
      <c r="AT58" s="183" t="str">
        <f t="shared" si="5"/>
        <v/>
      </c>
      <c r="AU58" s="189" t="str">
        <f>IF(OR($B58="", $AP58= ""),"",IF(VLOOKUP($AP58, CONTRATOS!B:K,3,FALSE)="","",VLOOKUP($AP58, CONTRATOS!B:K, 3,FALSE)))</f>
        <v/>
      </c>
      <c r="AV58" s="189" t="str">
        <f>IF(OR($B58="", $AP58 = ""), "", IF(VLOOKUP($AP58, CONTRATOS!B:K,4,FALSE)="","",VLOOKUP($AP58, CONTRATOS!B:K,4, FALSE)))</f>
        <v/>
      </c>
      <c r="AW58" s="190" t="str">
        <f t="shared" si="6"/>
        <v/>
      </c>
      <c r="AX58" s="189" t="str">
        <f t="shared" si="7"/>
        <v/>
      </c>
      <c r="AY58" s="189" t="str">
        <f t="shared" si="8"/>
        <v/>
      </c>
      <c r="AZ58" s="189" t="str">
        <f t="shared" si="9"/>
        <v/>
      </c>
      <c r="BA58" s="189" t="str">
        <f t="shared" si="10"/>
        <v/>
      </c>
      <c r="BB58" s="191">
        <f t="shared" si="25"/>
        <v>0</v>
      </c>
      <c r="BC58" s="191" t="str">
        <f t="shared" si="26"/>
        <v/>
      </c>
      <c r="BD58" s="191" t="str">
        <f t="shared" si="27"/>
        <v/>
      </c>
      <c r="BF58" s="192">
        <f t="shared" si="28"/>
        <v>0</v>
      </c>
      <c r="BG58" s="192">
        <f t="shared" si="29"/>
        <v>0</v>
      </c>
      <c r="BH58" s="192" t="str">
        <f>IF( $B58="", "", IF(ISNA(VLOOKUP($C58, Defesa!$C$7:$C$29,1,FALSE)),1,0))</f>
        <v/>
      </c>
      <c r="BI58" s="193" t="str">
        <f t="shared" si="30"/>
        <v/>
      </c>
      <c r="BJ58" s="193" t="str">
        <f>IF($B58="", "", IF( AND( $AI58="ESTIMATIVA", OR( Defesa!$F$7 = "AUTOMÁTICA", Defesa!$F$7 ="100% BASELINE")), 1, 0))</f>
        <v/>
      </c>
      <c r="BK58" s="192" t="str">
        <f t="shared" si="45"/>
        <v/>
      </c>
      <c r="BL58" s="192">
        <f t="shared" si="31"/>
        <v>0</v>
      </c>
      <c r="BM58" s="192" t="str">
        <f>IF($AC58="", "", IF(ISNA(VLOOKUP($AC58, TABELAS!$Q:$Q, 1, FALSE)), 1, 0))</f>
        <v/>
      </c>
      <c r="BN58" s="194" t="str">
        <f t="shared" si="46"/>
        <v/>
      </c>
      <c r="BO58" s="192" t="str">
        <f t="shared" si="32"/>
        <v/>
      </c>
      <c r="BP58" s="192" t="str">
        <f t="shared" si="33"/>
        <v/>
      </c>
      <c r="BQ58" s="193" t="str">
        <f t="shared" si="34"/>
        <v/>
      </c>
      <c r="BR58" s="192" t="str">
        <f t="shared" si="35"/>
        <v/>
      </c>
      <c r="BS58" s="192" t="str">
        <f t="shared" si="36"/>
        <v/>
      </c>
      <c r="BT58" s="192" t="str">
        <f>IF(OR($B58="", $AH58 = "SIM"), "", IF( ISNA(VLOOKUP($AP58,#REF!, 1, FALSE)), 1, 0))</f>
        <v/>
      </c>
      <c r="BU58" s="192" t="str">
        <f t="shared" si="37"/>
        <v/>
      </c>
      <c r="BV58" s="192" t="str">
        <f>IF( $B58="", "", IF( ISNA(VLOOKUP($AN58, TABELAS!$T$2:$T$9,1,FALSE)), 1, 0))</f>
        <v/>
      </c>
      <c r="BW58" s="192" t="str">
        <f t="shared" si="38"/>
        <v/>
      </c>
      <c r="BX58" s="192" t="str">
        <f>IF( OR($B58="", $AH58 = "SIM"), "", IF( ISNA( VLOOKUP( $AQ58, SISTEMA!$B:$B, 1, FALSE)), 1, 0))</f>
        <v/>
      </c>
      <c r="BY58" s="193" t="str">
        <f t="shared" si="39"/>
        <v/>
      </c>
      <c r="BZ58" s="193" t="str">
        <f t="shared" si="40"/>
        <v/>
      </c>
      <c r="CA58" s="192" t="str">
        <f t="shared" si="41"/>
        <v/>
      </c>
      <c r="CB58" s="193" t="str">
        <f t="shared" si="42"/>
        <v/>
      </c>
      <c r="CC58" s="193" t="str">
        <f t="shared" si="43"/>
        <v/>
      </c>
      <c r="CD58" s="193" t="str">
        <f t="shared" si="44"/>
        <v/>
      </c>
    </row>
    <row r="59" spans="1:82" x14ac:dyDescent="0.2">
      <c r="A59" s="140"/>
      <c r="B59" s="141" t="str">
        <f t="shared" si="13"/>
        <v/>
      </c>
      <c r="C59" s="142" t="str">
        <f t="shared" si="1"/>
        <v/>
      </c>
      <c r="D59" s="142" t="str">
        <f t="shared" si="14"/>
        <v/>
      </c>
      <c r="E59" s="142" t="str">
        <f>IF($C59="", "", COUNTIF($M$8:$M59,$D59))</f>
        <v/>
      </c>
      <c r="F59" s="254">
        <v>52</v>
      </c>
      <c r="G59" s="143"/>
      <c r="H59" s="144"/>
      <c r="I59" s="144"/>
      <c r="J59" s="145"/>
      <c r="K59" s="144"/>
      <c r="L59" s="144"/>
      <c r="M59" s="144"/>
      <c r="N59" s="146"/>
      <c r="O59" s="147"/>
      <c r="P59" s="147"/>
      <c r="Q59" s="147"/>
      <c r="R59" s="147"/>
      <c r="S59" s="147"/>
      <c r="T59" s="149"/>
      <c r="U59" s="150" t="str">
        <f>IF($T59="", "", VLOOKUP($T59, CONTRATOS!$B:$E, 2, FALSE))</f>
        <v/>
      </c>
      <c r="V59" s="151">
        <f>IF(OR($T59="",TB_DEFESA!$C$2="CARGA BASELINE"),0,
   IF(VLOOKUP($T59, CONTRATOS!B:E, 3, FALSE)&lt;&gt;"",1,IF(VLOOKUP($T59, CONTRATOS!B:E, 4, FALSE)&lt;&gt;"",2,0)))</f>
        <v>0</v>
      </c>
      <c r="W59" s="152"/>
      <c r="X59" s="152"/>
      <c r="Y59" s="153"/>
      <c r="Z59" s="154"/>
      <c r="AA59" s="155"/>
      <c r="AB59" s="156"/>
      <c r="AC59" s="157"/>
      <c r="AD59" s="155"/>
      <c r="AE59" s="158" t="str">
        <f t="shared" si="2"/>
        <v/>
      </c>
      <c r="AF59" s="160" t="str">
        <f t="shared" si="15"/>
        <v/>
      </c>
      <c r="AG59" s="182" t="s">
        <v>59</v>
      </c>
      <c r="AH59" s="183" t="str">
        <f t="shared" si="16"/>
        <v/>
      </c>
      <c r="AI59" s="183" t="str">
        <f t="shared" si="17"/>
        <v/>
      </c>
      <c r="AJ59" s="184" t="str">
        <f t="shared" si="18"/>
        <v/>
      </c>
      <c r="AK59" s="185" t="str">
        <f t="shared" si="19"/>
        <v/>
      </c>
      <c r="AL59" s="186"/>
      <c r="AM59" s="183" t="str">
        <f t="shared" si="20"/>
        <v/>
      </c>
      <c r="AN59" s="183" t="str">
        <f t="shared" si="21"/>
        <v/>
      </c>
      <c r="AO59" s="186" t="str">
        <f t="shared" si="22"/>
        <v/>
      </c>
      <c r="AP59" s="187" t="str">
        <f t="shared" si="23"/>
        <v/>
      </c>
      <c r="AQ59" s="187" t="str">
        <f t="shared" si="24"/>
        <v/>
      </c>
      <c r="AR59" s="188" t="str">
        <f t="shared" si="3"/>
        <v/>
      </c>
      <c r="AS59" s="188" t="str">
        <f t="shared" si="4"/>
        <v/>
      </c>
      <c r="AT59" s="183" t="str">
        <f t="shared" si="5"/>
        <v/>
      </c>
      <c r="AU59" s="189" t="str">
        <f>IF(OR($B59="", $AP59= ""),"",IF(VLOOKUP($AP59, CONTRATOS!B:K,3,FALSE)="","",VLOOKUP($AP59, CONTRATOS!B:K, 3,FALSE)))</f>
        <v/>
      </c>
      <c r="AV59" s="189" t="str">
        <f>IF(OR($B59="", $AP59 = ""), "", IF(VLOOKUP($AP59, CONTRATOS!B:K,4,FALSE)="","",VLOOKUP($AP59, CONTRATOS!B:K,4, FALSE)))</f>
        <v/>
      </c>
      <c r="AW59" s="190" t="str">
        <f t="shared" si="6"/>
        <v/>
      </c>
      <c r="AX59" s="189" t="str">
        <f t="shared" si="7"/>
        <v/>
      </c>
      <c r="AY59" s="189" t="str">
        <f t="shared" si="8"/>
        <v/>
      </c>
      <c r="AZ59" s="189" t="str">
        <f t="shared" si="9"/>
        <v/>
      </c>
      <c r="BA59" s="189" t="str">
        <f t="shared" si="10"/>
        <v/>
      </c>
      <c r="BB59" s="191">
        <f t="shared" si="25"/>
        <v>0</v>
      </c>
      <c r="BC59" s="191" t="str">
        <f t="shared" si="26"/>
        <v/>
      </c>
      <c r="BD59" s="191" t="str">
        <f t="shared" si="27"/>
        <v/>
      </c>
      <c r="BF59" s="192">
        <f t="shared" si="28"/>
        <v>0</v>
      </c>
      <c r="BG59" s="192">
        <f t="shared" si="29"/>
        <v>0</v>
      </c>
      <c r="BH59" s="192" t="str">
        <f>IF( $B59="", "", IF(ISNA(VLOOKUP($C59, Defesa!$C$7:$C$29,1,FALSE)),1,0))</f>
        <v/>
      </c>
      <c r="BI59" s="193" t="str">
        <f t="shared" si="30"/>
        <v/>
      </c>
      <c r="BJ59" s="193" t="str">
        <f>IF($B59="", "", IF( AND( $AI59="ESTIMATIVA", OR( Defesa!$F$7 = "AUTOMÁTICA", Defesa!$F$7 ="100% BASELINE")), 1, 0))</f>
        <v/>
      </c>
      <c r="BK59" s="192" t="str">
        <f t="shared" si="45"/>
        <v/>
      </c>
      <c r="BL59" s="192">
        <f t="shared" si="31"/>
        <v>0</v>
      </c>
      <c r="BM59" s="192" t="str">
        <f>IF($AC59="", "", IF(ISNA(VLOOKUP($AC59, TABELAS!$Q:$Q, 1, FALSE)), 1, 0))</f>
        <v/>
      </c>
      <c r="BN59" s="194" t="str">
        <f t="shared" si="46"/>
        <v/>
      </c>
      <c r="BO59" s="192" t="str">
        <f t="shared" si="32"/>
        <v/>
      </c>
      <c r="BP59" s="192" t="str">
        <f t="shared" si="33"/>
        <v/>
      </c>
      <c r="BQ59" s="193" t="str">
        <f t="shared" si="34"/>
        <v/>
      </c>
      <c r="BR59" s="192" t="str">
        <f t="shared" si="35"/>
        <v/>
      </c>
      <c r="BS59" s="192" t="str">
        <f t="shared" si="36"/>
        <v/>
      </c>
      <c r="BT59" s="192" t="str">
        <f>IF(OR($B59="", $AH59 = "SIM"), "", IF( ISNA(VLOOKUP($AP59,#REF!, 1, FALSE)), 1, 0))</f>
        <v/>
      </c>
      <c r="BU59" s="192" t="str">
        <f t="shared" si="37"/>
        <v/>
      </c>
      <c r="BV59" s="192" t="str">
        <f>IF( $B59="", "", IF( ISNA(VLOOKUP($AN59, TABELAS!$T$2:$T$9,1,FALSE)), 1, 0))</f>
        <v/>
      </c>
      <c r="BW59" s="192" t="str">
        <f t="shared" si="38"/>
        <v/>
      </c>
      <c r="BX59" s="192" t="str">
        <f>IF( OR($B59="", $AH59 = "SIM"), "", IF( ISNA( VLOOKUP( $AQ59, SISTEMA!$B:$B, 1, FALSE)), 1, 0))</f>
        <v/>
      </c>
      <c r="BY59" s="193" t="str">
        <f t="shared" si="39"/>
        <v/>
      </c>
      <c r="BZ59" s="193" t="str">
        <f t="shared" si="40"/>
        <v/>
      </c>
      <c r="CA59" s="192" t="str">
        <f t="shared" si="41"/>
        <v/>
      </c>
      <c r="CB59" s="193" t="str">
        <f t="shared" si="42"/>
        <v/>
      </c>
      <c r="CC59" s="193" t="str">
        <f t="shared" si="43"/>
        <v/>
      </c>
      <c r="CD59" s="193" t="str">
        <f t="shared" si="44"/>
        <v/>
      </c>
    </row>
    <row r="60" spans="1:82" x14ac:dyDescent="0.2">
      <c r="A60" s="140"/>
      <c r="B60" s="141" t="str">
        <f t="shared" si="13"/>
        <v/>
      </c>
      <c r="C60" s="142" t="str">
        <f t="shared" si="1"/>
        <v/>
      </c>
      <c r="D60" s="142" t="str">
        <f t="shared" si="14"/>
        <v/>
      </c>
      <c r="E60" s="142" t="str">
        <f>IF($C60="", "", COUNTIF($M$8:$M60,$D60))</f>
        <v/>
      </c>
      <c r="F60" s="254">
        <v>53</v>
      </c>
      <c r="G60" s="143"/>
      <c r="H60" s="144"/>
      <c r="I60" s="144"/>
      <c r="J60" s="145"/>
      <c r="K60" s="144"/>
      <c r="L60" s="144"/>
      <c r="M60" s="144"/>
      <c r="N60" s="146"/>
      <c r="O60" s="147"/>
      <c r="P60" s="147"/>
      <c r="Q60" s="147"/>
      <c r="R60" s="147"/>
      <c r="S60" s="147"/>
      <c r="T60" s="149"/>
      <c r="U60" s="150" t="str">
        <f>IF($T60="", "", VLOOKUP($T60, CONTRATOS!$B:$E, 2, FALSE))</f>
        <v/>
      </c>
      <c r="V60" s="151">
        <f>IF(OR($T60="",TB_DEFESA!$C$2="CARGA BASELINE"),0,
   IF(VLOOKUP($T60, CONTRATOS!B:E, 3, FALSE)&lt;&gt;"",1,IF(VLOOKUP($T60, CONTRATOS!B:E, 4, FALSE)&lt;&gt;"",2,0)))</f>
        <v>0</v>
      </c>
      <c r="W60" s="152"/>
      <c r="X60" s="152"/>
      <c r="Y60" s="153"/>
      <c r="Z60" s="154"/>
      <c r="AA60" s="155"/>
      <c r="AB60" s="156"/>
      <c r="AC60" s="157"/>
      <c r="AD60" s="155"/>
      <c r="AE60" s="158" t="str">
        <f t="shared" si="2"/>
        <v/>
      </c>
      <c r="AF60" s="160" t="str">
        <f t="shared" si="15"/>
        <v/>
      </c>
      <c r="AG60" s="182" t="s">
        <v>59</v>
      </c>
      <c r="AH60" s="183" t="str">
        <f t="shared" si="16"/>
        <v/>
      </c>
      <c r="AI60" s="183" t="str">
        <f t="shared" si="17"/>
        <v/>
      </c>
      <c r="AJ60" s="184" t="str">
        <f t="shared" si="18"/>
        <v/>
      </c>
      <c r="AK60" s="185" t="str">
        <f t="shared" si="19"/>
        <v/>
      </c>
      <c r="AL60" s="186"/>
      <c r="AM60" s="183" t="str">
        <f t="shared" si="20"/>
        <v/>
      </c>
      <c r="AN60" s="183" t="str">
        <f t="shared" si="21"/>
        <v/>
      </c>
      <c r="AO60" s="186" t="str">
        <f t="shared" si="22"/>
        <v/>
      </c>
      <c r="AP60" s="187" t="str">
        <f t="shared" si="23"/>
        <v/>
      </c>
      <c r="AQ60" s="187" t="str">
        <f t="shared" si="24"/>
        <v/>
      </c>
      <c r="AR60" s="188" t="str">
        <f t="shared" si="3"/>
        <v/>
      </c>
      <c r="AS60" s="188" t="str">
        <f t="shared" si="4"/>
        <v/>
      </c>
      <c r="AT60" s="183" t="str">
        <f t="shared" si="5"/>
        <v/>
      </c>
      <c r="AU60" s="189" t="str">
        <f>IF(OR($B60="", $AP60= ""),"",IF(VLOOKUP($AP60, CONTRATOS!B:K,3,FALSE)="","",VLOOKUP($AP60, CONTRATOS!B:K, 3,FALSE)))</f>
        <v/>
      </c>
      <c r="AV60" s="189" t="str">
        <f>IF(OR($B60="", $AP60 = ""), "", IF(VLOOKUP($AP60, CONTRATOS!B:K,4,FALSE)="","",VLOOKUP($AP60, CONTRATOS!B:K,4, FALSE)))</f>
        <v/>
      </c>
      <c r="AW60" s="190" t="str">
        <f t="shared" si="6"/>
        <v/>
      </c>
      <c r="AX60" s="189" t="str">
        <f t="shared" si="7"/>
        <v/>
      </c>
      <c r="AY60" s="189" t="str">
        <f t="shared" si="8"/>
        <v/>
      </c>
      <c r="AZ60" s="189" t="str">
        <f t="shared" si="9"/>
        <v/>
      </c>
      <c r="BA60" s="189" t="str">
        <f t="shared" si="10"/>
        <v/>
      </c>
      <c r="BB60" s="191">
        <f t="shared" si="25"/>
        <v>0</v>
      </c>
      <c r="BC60" s="191" t="str">
        <f t="shared" si="26"/>
        <v/>
      </c>
      <c r="BD60" s="191" t="str">
        <f t="shared" si="27"/>
        <v/>
      </c>
      <c r="BF60" s="192">
        <f t="shared" si="28"/>
        <v>0</v>
      </c>
      <c r="BG60" s="192">
        <f t="shared" si="29"/>
        <v>0</v>
      </c>
      <c r="BH60" s="192" t="str">
        <f>IF( $B60="", "", IF(ISNA(VLOOKUP($C60, Defesa!$C$7:$C$29,1,FALSE)),1,0))</f>
        <v/>
      </c>
      <c r="BI60" s="193" t="str">
        <f t="shared" si="30"/>
        <v/>
      </c>
      <c r="BJ60" s="193" t="str">
        <f>IF($B60="", "", IF( AND( $AI60="ESTIMATIVA", OR( Defesa!$F$7 = "AUTOMÁTICA", Defesa!$F$7 ="100% BASELINE")), 1, 0))</f>
        <v/>
      </c>
      <c r="BK60" s="192" t="str">
        <f t="shared" si="45"/>
        <v/>
      </c>
      <c r="BL60" s="192">
        <f t="shared" si="31"/>
        <v>0</v>
      </c>
      <c r="BM60" s="192" t="str">
        <f>IF($AC60="", "", IF(ISNA(VLOOKUP($AC60, TABELAS!$Q:$Q, 1, FALSE)), 1, 0))</f>
        <v/>
      </c>
      <c r="BN60" s="194" t="str">
        <f t="shared" si="46"/>
        <v/>
      </c>
      <c r="BO60" s="192" t="str">
        <f t="shared" si="32"/>
        <v/>
      </c>
      <c r="BP60" s="192" t="str">
        <f t="shared" si="33"/>
        <v/>
      </c>
      <c r="BQ60" s="193" t="str">
        <f t="shared" si="34"/>
        <v/>
      </c>
      <c r="BR60" s="192" t="str">
        <f t="shared" si="35"/>
        <v/>
      </c>
      <c r="BS60" s="192" t="str">
        <f t="shared" si="36"/>
        <v/>
      </c>
      <c r="BT60" s="192" t="str">
        <f>IF(OR($B60="", $AH60 = "SIM"), "", IF( ISNA(VLOOKUP($AP60,#REF!, 1, FALSE)), 1, 0))</f>
        <v/>
      </c>
      <c r="BU60" s="192" t="str">
        <f t="shared" si="37"/>
        <v/>
      </c>
      <c r="BV60" s="192" t="str">
        <f>IF( $B60="", "", IF( ISNA(VLOOKUP($AN60, TABELAS!$T$2:$T$9,1,FALSE)), 1, 0))</f>
        <v/>
      </c>
      <c r="BW60" s="192" t="str">
        <f t="shared" si="38"/>
        <v/>
      </c>
      <c r="BX60" s="192" t="str">
        <f>IF( OR($B60="", $AH60 = "SIM"), "", IF( ISNA( VLOOKUP( $AQ60, SISTEMA!$B:$B, 1, FALSE)), 1, 0))</f>
        <v/>
      </c>
      <c r="BY60" s="193" t="str">
        <f t="shared" si="39"/>
        <v/>
      </c>
      <c r="BZ60" s="193" t="str">
        <f t="shared" si="40"/>
        <v/>
      </c>
      <c r="CA60" s="192" t="str">
        <f t="shared" si="41"/>
        <v/>
      </c>
      <c r="CB60" s="193" t="str">
        <f t="shared" si="42"/>
        <v/>
      </c>
      <c r="CC60" s="193" t="str">
        <f t="shared" si="43"/>
        <v/>
      </c>
      <c r="CD60" s="193" t="str">
        <f t="shared" si="44"/>
        <v/>
      </c>
    </row>
    <row r="61" spans="1:82" x14ac:dyDescent="0.2">
      <c r="A61" s="140"/>
      <c r="B61" s="141" t="str">
        <f t="shared" si="13"/>
        <v/>
      </c>
      <c r="C61" s="142" t="str">
        <f t="shared" si="1"/>
        <v/>
      </c>
      <c r="D61" s="142" t="str">
        <f t="shared" si="14"/>
        <v/>
      </c>
      <c r="E61" s="142" t="str">
        <f>IF($C61="", "", COUNTIF($M$8:$M61,$D61))</f>
        <v/>
      </c>
      <c r="F61" s="254">
        <v>54</v>
      </c>
      <c r="G61" s="143"/>
      <c r="H61" s="144"/>
      <c r="I61" s="144"/>
      <c r="J61" s="145"/>
      <c r="K61" s="144"/>
      <c r="L61" s="144"/>
      <c r="M61" s="144"/>
      <c r="N61" s="146"/>
      <c r="O61" s="147"/>
      <c r="P61" s="147"/>
      <c r="Q61" s="147"/>
      <c r="R61" s="147"/>
      <c r="S61" s="147"/>
      <c r="T61" s="149"/>
      <c r="U61" s="150" t="str">
        <f>IF($T61="", "", VLOOKUP($T61, CONTRATOS!$B:$E, 2, FALSE))</f>
        <v/>
      </c>
      <c r="V61" s="151">
        <f>IF(OR($T61="",TB_DEFESA!$C$2="CARGA BASELINE"),0,
   IF(VLOOKUP($T61, CONTRATOS!B:E, 3, FALSE)&lt;&gt;"",1,IF(VLOOKUP($T61, CONTRATOS!B:E, 4, FALSE)&lt;&gt;"",2,0)))</f>
        <v>0</v>
      </c>
      <c r="W61" s="152"/>
      <c r="X61" s="152"/>
      <c r="Y61" s="153"/>
      <c r="Z61" s="154"/>
      <c r="AA61" s="155"/>
      <c r="AB61" s="156"/>
      <c r="AC61" s="157"/>
      <c r="AD61" s="155"/>
      <c r="AE61" s="158" t="str">
        <f t="shared" si="2"/>
        <v/>
      </c>
      <c r="AF61" s="160" t="str">
        <f t="shared" si="15"/>
        <v/>
      </c>
      <c r="AG61" s="182" t="s">
        <v>59</v>
      </c>
      <c r="AH61" s="183" t="str">
        <f t="shared" si="16"/>
        <v/>
      </c>
      <c r="AI61" s="183" t="str">
        <f t="shared" si="17"/>
        <v/>
      </c>
      <c r="AJ61" s="184" t="str">
        <f t="shared" si="18"/>
        <v/>
      </c>
      <c r="AK61" s="185" t="str">
        <f t="shared" si="19"/>
        <v/>
      </c>
      <c r="AL61" s="186"/>
      <c r="AM61" s="183" t="str">
        <f t="shared" si="20"/>
        <v/>
      </c>
      <c r="AN61" s="183" t="str">
        <f t="shared" si="21"/>
        <v/>
      </c>
      <c r="AO61" s="186" t="str">
        <f t="shared" si="22"/>
        <v/>
      </c>
      <c r="AP61" s="187" t="str">
        <f t="shared" si="23"/>
        <v/>
      </c>
      <c r="AQ61" s="187" t="str">
        <f t="shared" si="24"/>
        <v/>
      </c>
      <c r="AR61" s="188" t="str">
        <f t="shared" si="3"/>
        <v/>
      </c>
      <c r="AS61" s="188" t="str">
        <f t="shared" si="4"/>
        <v/>
      </c>
      <c r="AT61" s="183" t="str">
        <f t="shared" si="5"/>
        <v/>
      </c>
      <c r="AU61" s="189" t="str">
        <f>IF(OR($B61="", $AP61= ""),"",IF(VLOOKUP($AP61, CONTRATOS!B:K,3,FALSE)="","",VLOOKUP($AP61, CONTRATOS!B:K, 3,FALSE)))</f>
        <v/>
      </c>
      <c r="AV61" s="189" t="str">
        <f>IF(OR($B61="", $AP61 = ""), "", IF(VLOOKUP($AP61, CONTRATOS!B:K,4,FALSE)="","",VLOOKUP($AP61, CONTRATOS!B:K,4, FALSE)))</f>
        <v/>
      </c>
      <c r="AW61" s="190" t="str">
        <f t="shared" si="6"/>
        <v/>
      </c>
      <c r="AX61" s="189" t="str">
        <f t="shared" si="7"/>
        <v/>
      </c>
      <c r="AY61" s="189" t="str">
        <f t="shared" si="8"/>
        <v/>
      </c>
      <c r="AZ61" s="189" t="str">
        <f t="shared" si="9"/>
        <v/>
      </c>
      <c r="BA61" s="189" t="str">
        <f t="shared" si="10"/>
        <v/>
      </c>
      <c r="BB61" s="191">
        <f t="shared" si="25"/>
        <v>0</v>
      </c>
      <c r="BC61" s="191" t="str">
        <f t="shared" si="26"/>
        <v/>
      </c>
      <c r="BD61" s="191" t="str">
        <f t="shared" si="27"/>
        <v/>
      </c>
      <c r="BF61" s="192">
        <f t="shared" si="28"/>
        <v>0</v>
      </c>
      <c r="BG61" s="192">
        <f t="shared" si="29"/>
        <v>0</v>
      </c>
      <c r="BH61" s="192" t="str">
        <f>IF( $B61="", "", IF(ISNA(VLOOKUP($C61, Defesa!$C$7:$C$29,1,FALSE)),1,0))</f>
        <v/>
      </c>
      <c r="BI61" s="193" t="str">
        <f t="shared" si="30"/>
        <v/>
      </c>
      <c r="BJ61" s="193" t="str">
        <f>IF($B61="", "", IF( AND( $AI61="ESTIMATIVA", OR( Defesa!$F$7 = "AUTOMÁTICA", Defesa!$F$7 ="100% BASELINE")), 1, 0))</f>
        <v/>
      </c>
      <c r="BK61" s="192" t="str">
        <f t="shared" si="45"/>
        <v/>
      </c>
      <c r="BL61" s="192">
        <f t="shared" si="31"/>
        <v>0</v>
      </c>
      <c r="BM61" s="192" t="str">
        <f>IF($AC61="", "", IF(ISNA(VLOOKUP($AC61, TABELAS!$Q:$Q, 1, FALSE)), 1, 0))</f>
        <v/>
      </c>
      <c r="BN61" s="194" t="str">
        <f t="shared" si="46"/>
        <v/>
      </c>
      <c r="BO61" s="192" t="str">
        <f t="shared" si="32"/>
        <v/>
      </c>
      <c r="BP61" s="192" t="str">
        <f t="shared" si="33"/>
        <v/>
      </c>
      <c r="BQ61" s="193" t="str">
        <f t="shared" si="34"/>
        <v/>
      </c>
      <c r="BR61" s="192" t="str">
        <f t="shared" si="35"/>
        <v/>
      </c>
      <c r="BS61" s="192" t="str">
        <f t="shared" si="36"/>
        <v/>
      </c>
      <c r="BT61" s="192" t="str">
        <f>IF(OR($B61="", $AH61 = "SIM"), "", IF( ISNA(VLOOKUP($AP61,#REF!, 1, FALSE)), 1, 0))</f>
        <v/>
      </c>
      <c r="BU61" s="192" t="str">
        <f t="shared" si="37"/>
        <v/>
      </c>
      <c r="BV61" s="192" t="str">
        <f>IF( $B61="", "", IF( ISNA(VLOOKUP($AN61, TABELAS!$T$2:$T$9,1,FALSE)), 1, 0))</f>
        <v/>
      </c>
      <c r="BW61" s="192" t="str">
        <f t="shared" si="38"/>
        <v/>
      </c>
      <c r="BX61" s="192" t="str">
        <f>IF( OR($B61="", $AH61 = "SIM"), "", IF( ISNA( VLOOKUP( $AQ61, SISTEMA!$B:$B, 1, FALSE)), 1, 0))</f>
        <v/>
      </c>
      <c r="BY61" s="193" t="str">
        <f t="shared" si="39"/>
        <v/>
      </c>
      <c r="BZ61" s="193" t="str">
        <f t="shared" si="40"/>
        <v/>
      </c>
      <c r="CA61" s="192" t="str">
        <f t="shared" si="41"/>
        <v/>
      </c>
      <c r="CB61" s="193" t="str">
        <f t="shared" si="42"/>
        <v/>
      </c>
      <c r="CC61" s="193" t="str">
        <f t="shared" si="43"/>
        <v/>
      </c>
      <c r="CD61" s="193" t="str">
        <f t="shared" si="44"/>
        <v/>
      </c>
    </row>
    <row r="62" spans="1:82" x14ac:dyDescent="0.2">
      <c r="A62" s="140"/>
      <c r="B62" s="141" t="str">
        <f t="shared" si="13"/>
        <v/>
      </c>
      <c r="C62" s="142" t="str">
        <f t="shared" si="1"/>
        <v/>
      </c>
      <c r="D62" s="142" t="str">
        <f t="shared" si="14"/>
        <v/>
      </c>
      <c r="E62" s="142" t="str">
        <f>IF($C62="", "", COUNTIF($M$8:$M62,$D62))</f>
        <v/>
      </c>
      <c r="F62" s="254">
        <v>55</v>
      </c>
      <c r="G62" s="143"/>
      <c r="H62" s="144"/>
      <c r="I62" s="144"/>
      <c r="J62" s="145"/>
      <c r="K62" s="144"/>
      <c r="L62" s="144"/>
      <c r="M62" s="144"/>
      <c r="N62" s="146"/>
      <c r="O62" s="147"/>
      <c r="P62" s="147"/>
      <c r="Q62" s="147"/>
      <c r="R62" s="147"/>
      <c r="S62" s="147"/>
      <c r="T62" s="149"/>
      <c r="U62" s="150" t="str">
        <f>IF($T62="", "", VLOOKUP($T62, CONTRATOS!$B:$E, 2, FALSE))</f>
        <v/>
      </c>
      <c r="V62" s="151">
        <f>IF(OR($T62="",TB_DEFESA!$C$2="CARGA BASELINE"),0,
   IF(VLOOKUP($T62, CONTRATOS!B:E, 3, FALSE)&lt;&gt;"",1,IF(VLOOKUP($T62, CONTRATOS!B:E, 4, FALSE)&lt;&gt;"",2,0)))</f>
        <v>0</v>
      </c>
      <c r="W62" s="152"/>
      <c r="X62" s="152"/>
      <c r="Y62" s="153"/>
      <c r="Z62" s="154"/>
      <c r="AA62" s="155"/>
      <c r="AB62" s="156"/>
      <c r="AC62" s="157"/>
      <c r="AD62" s="155"/>
      <c r="AE62" s="158" t="str">
        <f t="shared" si="2"/>
        <v/>
      </c>
      <c r="AF62" s="160" t="str">
        <f t="shared" si="15"/>
        <v/>
      </c>
      <c r="AG62" s="182" t="s">
        <v>59</v>
      </c>
      <c r="AH62" s="183" t="str">
        <f t="shared" si="16"/>
        <v/>
      </c>
      <c r="AI62" s="183" t="str">
        <f t="shared" si="17"/>
        <v/>
      </c>
      <c r="AJ62" s="184" t="str">
        <f t="shared" si="18"/>
        <v/>
      </c>
      <c r="AK62" s="185" t="str">
        <f t="shared" si="19"/>
        <v/>
      </c>
      <c r="AL62" s="186"/>
      <c r="AM62" s="183" t="str">
        <f t="shared" si="20"/>
        <v/>
      </c>
      <c r="AN62" s="183" t="str">
        <f t="shared" si="21"/>
        <v/>
      </c>
      <c r="AO62" s="186" t="str">
        <f t="shared" si="22"/>
        <v/>
      </c>
      <c r="AP62" s="187" t="str">
        <f t="shared" si="23"/>
        <v/>
      </c>
      <c r="AQ62" s="187" t="str">
        <f t="shared" si="24"/>
        <v/>
      </c>
      <c r="AR62" s="188" t="str">
        <f t="shared" si="3"/>
        <v/>
      </c>
      <c r="AS62" s="188" t="str">
        <f t="shared" si="4"/>
        <v/>
      </c>
      <c r="AT62" s="183" t="str">
        <f t="shared" si="5"/>
        <v/>
      </c>
      <c r="AU62" s="189" t="str">
        <f>IF(OR($B62="", $AP62= ""),"",IF(VLOOKUP($AP62, CONTRATOS!B:K,3,FALSE)="","",VLOOKUP($AP62, CONTRATOS!B:K, 3,FALSE)))</f>
        <v/>
      </c>
      <c r="AV62" s="189" t="str">
        <f>IF(OR($B62="", $AP62 = ""), "", IF(VLOOKUP($AP62, CONTRATOS!B:K,4,FALSE)="","",VLOOKUP($AP62, CONTRATOS!B:K,4, FALSE)))</f>
        <v/>
      </c>
      <c r="AW62" s="190" t="str">
        <f t="shared" si="6"/>
        <v/>
      </c>
      <c r="AX62" s="189" t="str">
        <f t="shared" si="7"/>
        <v/>
      </c>
      <c r="AY62" s="189" t="str">
        <f t="shared" si="8"/>
        <v/>
      </c>
      <c r="AZ62" s="189" t="str">
        <f t="shared" si="9"/>
        <v/>
      </c>
      <c r="BA62" s="189" t="str">
        <f t="shared" si="10"/>
        <v/>
      </c>
      <c r="BB62" s="191">
        <f t="shared" si="25"/>
        <v>0</v>
      </c>
      <c r="BC62" s="191" t="str">
        <f t="shared" si="26"/>
        <v/>
      </c>
      <c r="BD62" s="191" t="str">
        <f t="shared" si="27"/>
        <v/>
      </c>
      <c r="BF62" s="192">
        <f t="shared" si="28"/>
        <v>0</v>
      </c>
      <c r="BG62" s="192">
        <f t="shared" si="29"/>
        <v>0</v>
      </c>
      <c r="BH62" s="192" t="str">
        <f>IF( $B62="", "", IF(ISNA(VLOOKUP($C62, Defesa!$C$7:$C$29,1,FALSE)),1,0))</f>
        <v/>
      </c>
      <c r="BI62" s="193" t="str">
        <f t="shared" si="30"/>
        <v/>
      </c>
      <c r="BJ62" s="193" t="str">
        <f>IF($B62="", "", IF( AND( $AI62="ESTIMATIVA", OR( Defesa!$F$7 = "AUTOMÁTICA", Defesa!$F$7 ="100% BASELINE")), 1, 0))</f>
        <v/>
      </c>
      <c r="BK62" s="192" t="str">
        <f t="shared" si="45"/>
        <v/>
      </c>
      <c r="BL62" s="192">
        <f t="shared" si="31"/>
        <v>0</v>
      </c>
      <c r="BM62" s="192" t="str">
        <f>IF($AC62="", "", IF(ISNA(VLOOKUP($AC62, TABELAS!$Q:$Q, 1, FALSE)), 1, 0))</f>
        <v/>
      </c>
      <c r="BN62" s="194" t="str">
        <f t="shared" si="46"/>
        <v/>
      </c>
      <c r="BO62" s="192" t="str">
        <f t="shared" si="32"/>
        <v/>
      </c>
      <c r="BP62" s="192" t="str">
        <f t="shared" si="33"/>
        <v/>
      </c>
      <c r="BQ62" s="193" t="str">
        <f t="shared" si="34"/>
        <v/>
      </c>
      <c r="BR62" s="192" t="str">
        <f t="shared" si="35"/>
        <v/>
      </c>
      <c r="BS62" s="192" t="str">
        <f t="shared" si="36"/>
        <v/>
      </c>
      <c r="BT62" s="192" t="str">
        <f>IF(OR($B62="", $AH62 = "SIM"), "", IF( ISNA(VLOOKUP($AP62,#REF!, 1, FALSE)), 1, 0))</f>
        <v/>
      </c>
      <c r="BU62" s="192" t="str">
        <f t="shared" si="37"/>
        <v/>
      </c>
      <c r="BV62" s="192" t="str">
        <f>IF( $B62="", "", IF( ISNA(VLOOKUP($AN62, TABELAS!$T$2:$T$9,1,FALSE)), 1, 0))</f>
        <v/>
      </c>
      <c r="BW62" s="192" t="str">
        <f t="shared" si="38"/>
        <v/>
      </c>
      <c r="BX62" s="192" t="str">
        <f>IF( OR($B62="", $AH62 = "SIM"), "", IF( ISNA( VLOOKUP( $AQ62, SISTEMA!$B:$B, 1, FALSE)), 1, 0))</f>
        <v/>
      </c>
      <c r="BY62" s="193" t="str">
        <f t="shared" si="39"/>
        <v/>
      </c>
      <c r="BZ62" s="193" t="str">
        <f t="shared" si="40"/>
        <v/>
      </c>
      <c r="CA62" s="192" t="str">
        <f t="shared" si="41"/>
        <v/>
      </c>
      <c r="CB62" s="193" t="str">
        <f t="shared" si="42"/>
        <v/>
      </c>
      <c r="CC62" s="193" t="str">
        <f t="shared" si="43"/>
        <v/>
      </c>
      <c r="CD62" s="193" t="str">
        <f t="shared" si="44"/>
        <v/>
      </c>
    </row>
    <row r="63" spans="1:82" x14ac:dyDescent="0.2">
      <c r="A63" s="140"/>
      <c r="B63" s="141" t="str">
        <f t="shared" si="13"/>
        <v/>
      </c>
      <c r="C63" s="142" t="str">
        <f t="shared" si="1"/>
        <v/>
      </c>
      <c r="D63" s="142" t="str">
        <f t="shared" si="14"/>
        <v/>
      </c>
      <c r="E63" s="142" t="str">
        <f>IF($C63="", "", COUNTIF($M$8:$M63,$D63))</f>
        <v/>
      </c>
      <c r="F63" s="254">
        <v>56</v>
      </c>
      <c r="G63" s="143"/>
      <c r="H63" s="144"/>
      <c r="I63" s="144"/>
      <c r="J63" s="145"/>
      <c r="K63" s="144"/>
      <c r="L63" s="144"/>
      <c r="M63" s="144"/>
      <c r="N63" s="146"/>
      <c r="O63" s="147"/>
      <c r="P63" s="147"/>
      <c r="Q63" s="147"/>
      <c r="R63" s="147"/>
      <c r="S63" s="147"/>
      <c r="T63" s="149"/>
      <c r="U63" s="150" t="str">
        <f>IF($T63="", "", VLOOKUP($T63, CONTRATOS!$B:$E, 2, FALSE))</f>
        <v/>
      </c>
      <c r="V63" s="151">
        <f>IF(OR($T63="",TB_DEFESA!$C$2="CARGA BASELINE"),0,
   IF(VLOOKUP($T63, CONTRATOS!B:E, 3, FALSE)&lt;&gt;"",1,IF(VLOOKUP($T63, CONTRATOS!B:E, 4, FALSE)&lt;&gt;"",2,0)))</f>
        <v>0</v>
      </c>
      <c r="W63" s="152"/>
      <c r="X63" s="152"/>
      <c r="Y63" s="153"/>
      <c r="Z63" s="154"/>
      <c r="AA63" s="155"/>
      <c r="AB63" s="156"/>
      <c r="AC63" s="157"/>
      <c r="AD63" s="155"/>
      <c r="AE63" s="158" t="str">
        <f t="shared" si="2"/>
        <v/>
      </c>
      <c r="AF63" s="160" t="str">
        <f t="shared" si="15"/>
        <v/>
      </c>
      <c r="AG63" s="182" t="s">
        <v>59</v>
      </c>
      <c r="AH63" s="183" t="str">
        <f t="shared" si="16"/>
        <v/>
      </c>
      <c r="AI63" s="183" t="str">
        <f t="shared" si="17"/>
        <v/>
      </c>
      <c r="AJ63" s="184" t="str">
        <f t="shared" si="18"/>
        <v/>
      </c>
      <c r="AK63" s="185" t="str">
        <f t="shared" si="19"/>
        <v/>
      </c>
      <c r="AL63" s="186"/>
      <c r="AM63" s="183" t="str">
        <f t="shared" si="20"/>
        <v/>
      </c>
      <c r="AN63" s="183" t="str">
        <f t="shared" si="21"/>
        <v/>
      </c>
      <c r="AO63" s="186" t="str">
        <f t="shared" si="22"/>
        <v/>
      </c>
      <c r="AP63" s="187" t="str">
        <f t="shared" si="23"/>
        <v/>
      </c>
      <c r="AQ63" s="187" t="str">
        <f t="shared" si="24"/>
        <v/>
      </c>
      <c r="AR63" s="188" t="str">
        <f t="shared" si="3"/>
        <v/>
      </c>
      <c r="AS63" s="188" t="str">
        <f t="shared" si="4"/>
        <v/>
      </c>
      <c r="AT63" s="183" t="str">
        <f t="shared" si="5"/>
        <v/>
      </c>
      <c r="AU63" s="189" t="str">
        <f>IF(OR($B63="", $AP63= ""),"",IF(VLOOKUP($AP63, CONTRATOS!B:K,3,FALSE)="","",VLOOKUP($AP63, CONTRATOS!B:K, 3,FALSE)))</f>
        <v/>
      </c>
      <c r="AV63" s="189" t="str">
        <f>IF(OR($B63="", $AP63 = ""), "", IF(VLOOKUP($AP63, CONTRATOS!B:K,4,FALSE)="","",VLOOKUP($AP63, CONTRATOS!B:K,4, FALSE)))</f>
        <v/>
      </c>
      <c r="AW63" s="190" t="str">
        <f t="shared" si="6"/>
        <v/>
      </c>
      <c r="AX63" s="189" t="str">
        <f t="shared" si="7"/>
        <v/>
      </c>
      <c r="AY63" s="189" t="str">
        <f t="shared" si="8"/>
        <v/>
      </c>
      <c r="AZ63" s="189" t="str">
        <f t="shared" si="9"/>
        <v/>
      </c>
      <c r="BA63" s="189" t="str">
        <f t="shared" si="10"/>
        <v/>
      </c>
      <c r="BB63" s="191">
        <f t="shared" si="25"/>
        <v>0</v>
      </c>
      <c r="BC63" s="191" t="str">
        <f t="shared" si="26"/>
        <v/>
      </c>
      <c r="BD63" s="191" t="str">
        <f t="shared" si="27"/>
        <v/>
      </c>
      <c r="BF63" s="192">
        <f t="shared" si="28"/>
        <v>0</v>
      </c>
      <c r="BG63" s="192">
        <f t="shared" si="29"/>
        <v>0</v>
      </c>
      <c r="BH63" s="192" t="str">
        <f>IF( $B63="", "", IF(ISNA(VLOOKUP($C63, Defesa!$C$7:$C$29,1,FALSE)),1,0))</f>
        <v/>
      </c>
      <c r="BI63" s="193" t="str">
        <f t="shared" si="30"/>
        <v/>
      </c>
      <c r="BJ63" s="193" t="str">
        <f>IF($B63="", "", IF( AND( $AI63="ESTIMATIVA", OR( Defesa!$F$7 = "AUTOMÁTICA", Defesa!$F$7 ="100% BASELINE")), 1, 0))</f>
        <v/>
      </c>
      <c r="BK63" s="192" t="str">
        <f t="shared" si="45"/>
        <v/>
      </c>
      <c r="BL63" s="192">
        <f t="shared" si="31"/>
        <v>0</v>
      </c>
      <c r="BM63" s="192" t="str">
        <f>IF($AC63="", "", IF(ISNA(VLOOKUP($AC63, TABELAS!$Q:$Q, 1, FALSE)), 1, 0))</f>
        <v/>
      </c>
      <c r="BN63" s="194" t="str">
        <f t="shared" si="46"/>
        <v/>
      </c>
      <c r="BO63" s="192" t="str">
        <f t="shared" si="32"/>
        <v/>
      </c>
      <c r="BP63" s="192" t="str">
        <f t="shared" si="33"/>
        <v/>
      </c>
      <c r="BQ63" s="193" t="str">
        <f t="shared" si="34"/>
        <v/>
      </c>
      <c r="BR63" s="192" t="str">
        <f t="shared" si="35"/>
        <v/>
      </c>
      <c r="BS63" s="192" t="str">
        <f t="shared" si="36"/>
        <v/>
      </c>
      <c r="BT63" s="192" t="str">
        <f>IF(OR($B63="", $AH63 = "SIM"), "", IF( ISNA(VLOOKUP($AP63,#REF!, 1, FALSE)), 1, 0))</f>
        <v/>
      </c>
      <c r="BU63" s="192" t="str">
        <f t="shared" si="37"/>
        <v/>
      </c>
      <c r="BV63" s="192" t="str">
        <f>IF( $B63="", "", IF( ISNA(VLOOKUP($AN63, TABELAS!$T$2:$T$9,1,FALSE)), 1, 0))</f>
        <v/>
      </c>
      <c r="BW63" s="192" t="str">
        <f t="shared" si="38"/>
        <v/>
      </c>
      <c r="BX63" s="192" t="str">
        <f>IF( OR($B63="", $AH63 = "SIM"), "", IF( ISNA( VLOOKUP( $AQ63, SISTEMA!$B:$B, 1, FALSE)), 1, 0))</f>
        <v/>
      </c>
      <c r="BY63" s="193" t="str">
        <f t="shared" si="39"/>
        <v/>
      </c>
      <c r="BZ63" s="193" t="str">
        <f t="shared" si="40"/>
        <v/>
      </c>
      <c r="CA63" s="192" t="str">
        <f t="shared" si="41"/>
        <v/>
      </c>
      <c r="CB63" s="193" t="str">
        <f t="shared" si="42"/>
        <v/>
      </c>
      <c r="CC63" s="193" t="str">
        <f t="shared" si="43"/>
        <v/>
      </c>
      <c r="CD63" s="193" t="str">
        <f t="shared" si="44"/>
        <v/>
      </c>
    </row>
    <row r="64" spans="1:82" x14ac:dyDescent="0.2">
      <c r="A64" s="140"/>
      <c r="B64" s="141" t="str">
        <f t="shared" si="13"/>
        <v/>
      </c>
      <c r="C64" s="142" t="str">
        <f t="shared" si="1"/>
        <v/>
      </c>
      <c r="D64" s="142" t="str">
        <f t="shared" si="14"/>
        <v/>
      </c>
      <c r="E64" s="142" t="str">
        <f>IF($C64="", "", COUNTIF($M$8:$M64,$D64))</f>
        <v/>
      </c>
      <c r="F64" s="254">
        <v>57</v>
      </c>
      <c r="G64" s="143"/>
      <c r="H64" s="144"/>
      <c r="I64" s="144"/>
      <c r="J64" s="145"/>
      <c r="K64" s="144"/>
      <c r="L64" s="144"/>
      <c r="M64" s="144"/>
      <c r="N64" s="146"/>
      <c r="O64" s="147"/>
      <c r="P64" s="147"/>
      <c r="Q64" s="147"/>
      <c r="R64" s="147"/>
      <c r="S64" s="147"/>
      <c r="T64" s="149"/>
      <c r="U64" s="150" t="str">
        <f>IF($T64="", "", VLOOKUP($T64, CONTRATOS!$B:$E, 2, FALSE))</f>
        <v/>
      </c>
      <c r="V64" s="151">
        <f>IF(OR($T64="",TB_DEFESA!$C$2="CARGA BASELINE"),0,
   IF(VLOOKUP($T64, CONTRATOS!B:E, 3, FALSE)&lt;&gt;"",1,IF(VLOOKUP($T64, CONTRATOS!B:E, 4, FALSE)&lt;&gt;"",2,0)))</f>
        <v>0</v>
      </c>
      <c r="W64" s="152"/>
      <c r="X64" s="152"/>
      <c r="Y64" s="153"/>
      <c r="Z64" s="154"/>
      <c r="AA64" s="155"/>
      <c r="AB64" s="156"/>
      <c r="AC64" s="157"/>
      <c r="AD64" s="155"/>
      <c r="AE64" s="158" t="str">
        <f t="shared" si="2"/>
        <v/>
      </c>
      <c r="AF64" s="160" t="str">
        <f t="shared" si="15"/>
        <v/>
      </c>
      <c r="AG64" s="182" t="s">
        <v>59</v>
      </c>
      <c r="AH64" s="183" t="str">
        <f t="shared" si="16"/>
        <v/>
      </c>
      <c r="AI64" s="183" t="str">
        <f t="shared" si="17"/>
        <v/>
      </c>
      <c r="AJ64" s="184" t="str">
        <f t="shared" si="18"/>
        <v/>
      </c>
      <c r="AK64" s="185" t="str">
        <f t="shared" si="19"/>
        <v/>
      </c>
      <c r="AL64" s="186"/>
      <c r="AM64" s="183" t="str">
        <f t="shared" si="20"/>
        <v/>
      </c>
      <c r="AN64" s="183" t="str">
        <f t="shared" si="21"/>
        <v/>
      </c>
      <c r="AO64" s="186" t="str">
        <f t="shared" si="22"/>
        <v/>
      </c>
      <c r="AP64" s="187" t="str">
        <f t="shared" si="23"/>
        <v/>
      </c>
      <c r="AQ64" s="187" t="str">
        <f t="shared" si="24"/>
        <v/>
      </c>
      <c r="AR64" s="188" t="str">
        <f t="shared" si="3"/>
        <v/>
      </c>
      <c r="AS64" s="188" t="str">
        <f t="shared" si="4"/>
        <v/>
      </c>
      <c r="AT64" s="183" t="str">
        <f t="shared" si="5"/>
        <v/>
      </c>
      <c r="AU64" s="189" t="str">
        <f>IF(OR($B64="", $AP64= ""),"",IF(VLOOKUP($AP64, CONTRATOS!B:K,3,FALSE)="","",VLOOKUP($AP64, CONTRATOS!B:K, 3,FALSE)))</f>
        <v/>
      </c>
      <c r="AV64" s="189" t="str">
        <f>IF(OR($B64="", $AP64 = ""), "", IF(VLOOKUP($AP64, CONTRATOS!B:K,4,FALSE)="","",VLOOKUP($AP64, CONTRATOS!B:K,4, FALSE)))</f>
        <v/>
      </c>
      <c r="AW64" s="190" t="str">
        <f t="shared" si="6"/>
        <v/>
      </c>
      <c r="AX64" s="189" t="str">
        <f t="shared" si="7"/>
        <v/>
      </c>
      <c r="AY64" s="189" t="str">
        <f t="shared" si="8"/>
        <v/>
      </c>
      <c r="AZ64" s="189" t="str">
        <f t="shared" si="9"/>
        <v/>
      </c>
      <c r="BA64" s="189" t="str">
        <f t="shared" si="10"/>
        <v/>
      </c>
      <c r="BB64" s="191">
        <f t="shared" si="25"/>
        <v>0</v>
      </c>
      <c r="BC64" s="191" t="str">
        <f t="shared" si="26"/>
        <v/>
      </c>
      <c r="BD64" s="191" t="str">
        <f t="shared" si="27"/>
        <v/>
      </c>
      <c r="BF64" s="192">
        <f t="shared" si="28"/>
        <v>0</v>
      </c>
      <c r="BG64" s="192">
        <f t="shared" si="29"/>
        <v>0</v>
      </c>
      <c r="BH64" s="192" t="str">
        <f>IF( $B64="", "", IF(ISNA(VLOOKUP($C64, Defesa!$C$7:$C$29,1,FALSE)),1,0))</f>
        <v/>
      </c>
      <c r="BI64" s="193" t="str">
        <f t="shared" si="30"/>
        <v/>
      </c>
      <c r="BJ64" s="193" t="str">
        <f>IF($B64="", "", IF( AND( $AI64="ESTIMATIVA", OR( Defesa!$F$7 = "AUTOMÁTICA", Defesa!$F$7 ="100% BASELINE")), 1, 0))</f>
        <v/>
      </c>
      <c r="BK64" s="192" t="str">
        <f t="shared" si="45"/>
        <v/>
      </c>
      <c r="BL64" s="192">
        <f t="shared" si="31"/>
        <v>0</v>
      </c>
      <c r="BM64" s="192" t="str">
        <f>IF($AC64="", "", IF(ISNA(VLOOKUP($AC64, TABELAS!$Q:$Q, 1, FALSE)), 1, 0))</f>
        <v/>
      </c>
      <c r="BN64" s="194" t="str">
        <f t="shared" si="46"/>
        <v/>
      </c>
      <c r="BO64" s="192" t="str">
        <f t="shared" si="32"/>
        <v/>
      </c>
      <c r="BP64" s="192" t="str">
        <f t="shared" si="33"/>
        <v/>
      </c>
      <c r="BQ64" s="193" t="str">
        <f t="shared" si="34"/>
        <v/>
      </c>
      <c r="BR64" s="192" t="str">
        <f t="shared" si="35"/>
        <v/>
      </c>
      <c r="BS64" s="192" t="str">
        <f t="shared" si="36"/>
        <v/>
      </c>
      <c r="BT64" s="192" t="str">
        <f>IF(OR($B64="", $AH64 = "SIM"), "", IF( ISNA(VLOOKUP($AP64,#REF!, 1, FALSE)), 1, 0))</f>
        <v/>
      </c>
      <c r="BU64" s="192" t="str">
        <f t="shared" si="37"/>
        <v/>
      </c>
      <c r="BV64" s="192" t="str">
        <f>IF( $B64="", "", IF( ISNA(VLOOKUP($AN64, TABELAS!$T$2:$T$9,1,FALSE)), 1, 0))</f>
        <v/>
      </c>
      <c r="BW64" s="192" t="str">
        <f t="shared" si="38"/>
        <v/>
      </c>
      <c r="BX64" s="192" t="str">
        <f>IF( OR($B64="", $AH64 = "SIM"), "", IF( ISNA( VLOOKUP( $AQ64, SISTEMA!$B:$B, 1, FALSE)), 1, 0))</f>
        <v/>
      </c>
      <c r="BY64" s="193" t="str">
        <f t="shared" si="39"/>
        <v/>
      </c>
      <c r="BZ64" s="193" t="str">
        <f t="shared" si="40"/>
        <v/>
      </c>
      <c r="CA64" s="192" t="str">
        <f t="shared" si="41"/>
        <v/>
      </c>
      <c r="CB64" s="193" t="str">
        <f t="shared" si="42"/>
        <v/>
      </c>
      <c r="CC64" s="193" t="str">
        <f t="shared" si="43"/>
        <v/>
      </c>
      <c r="CD64" s="193" t="str">
        <f t="shared" si="44"/>
        <v/>
      </c>
    </row>
    <row r="65" spans="1:82" x14ac:dyDescent="0.2">
      <c r="A65" s="140"/>
      <c r="B65" s="141" t="str">
        <f t="shared" si="13"/>
        <v/>
      </c>
      <c r="C65" s="142" t="str">
        <f t="shared" si="1"/>
        <v/>
      </c>
      <c r="D65" s="142" t="str">
        <f t="shared" si="14"/>
        <v/>
      </c>
      <c r="E65" s="142" t="str">
        <f>IF($C65="", "", COUNTIF($M$8:$M65,$D65))</f>
        <v/>
      </c>
      <c r="F65" s="254">
        <v>58</v>
      </c>
      <c r="G65" s="143"/>
      <c r="H65" s="144"/>
      <c r="I65" s="144"/>
      <c r="J65" s="145"/>
      <c r="K65" s="144"/>
      <c r="L65" s="144"/>
      <c r="M65" s="144"/>
      <c r="N65" s="146"/>
      <c r="O65" s="147"/>
      <c r="P65" s="147"/>
      <c r="Q65" s="147"/>
      <c r="R65" s="147"/>
      <c r="S65" s="147"/>
      <c r="T65" s="149"/>
      <c r="U65" s="150" t="str">
        <f>IF($T65="", "", VLOOKUP($T65, CONTRATOS!$B:$E, 2, FALSE))</f>
        <v/>
      </c>
      <c r="V65" s="151">
        <f>IF(OR($T65="",TB_DEFESA!$C$2="CARGA BASELINE"),0,
   IF(VLOOKUP($T65, CONTRATOS!B:E, 3, FALSE)&lt;&gt;"",1,IF(VLOOKUP($T65, CONTRATOS!B:E, 4, FALSE)&lt;&gt;"",2,0)))</f>
        <v>0</v>
      </c>
      <c r="W65" s="152"/>
      <c r="X65" s="152"/>
      <c r="Y65" s="153"/>
      <c r="Z65" s="154"/>
      <c r="AA65" s="155"/>
      <c r="AB65" s="156"/>
      <c r="AC65" s="157"/>
      <c r="AD65" s="155"/>
      <c r="AE65" s="158" t="str">
        <f t="shared" si="2"/>
        <v/>
      </c>
      <c r="AF65" s="160" t="str">
        <f t="shared" si="15"/>
        <v/>
      </c>
      <c r="AG65" s="182" t="s">
        <v>59</v>
      </c>
      <c r="AH65" s="183" t="str">
        <f t="shared" si="16"/>
        <v/>
      </c>
      <c r="AI65" s="183" t="str">
        <f t="shared" si="17"/>
        <v/>
      </c>
      <c r="AJ65" s="184" t="str">
        <f t="shared" si="18"/>
        <v/>
      </c>
      <c r="AK65" s="185" t="str">
        <f t="shared" si="19"/>
        <v/>
      </c>
      <c r="AL65" s="186"/>
      <c r="AM65" s="183" t="str">
        <f t="shared" si="20"/>
        <v/>
      </c>
      <c r="AN65" s="183" t="str">
        <f t="shared" si="21"/>
        <v/>
      </c>
      <c r="AO65" s="186" t="str">
        <f t="shared" si="22"/>
        <v/>
      </c>
      <c r="AP65" s="187" t="str">
        <f t="shared" si="23"/>
        <v/>
      </c>
      <c r="AQ65" s="187" t="str">
        <f t="shared" si="24"/>
        <v/>
      </c>
      <c r="AR65" s="188" t="str">
        <f t="shared" si="3"/>
        <v/>
      </c>
      <c r="AS65" s="188" t="str">
        <f t="shared" si="4"/>
        <v/>
      </c>
      <c r="AT65" s="183" t="str">
        <f t="shared" si="5"/>
        <v/>
      </c>
      <c r="AU65" s="189" t="str">
        <f>IF(OR($B65="", $AP65= ""),"",IF(VLOOKUP($AP65, CONTRATOS!B:K,3,FALSE)="","",VLOOKUP($AP65, CONTRATOS!B:K, 3,FALSE)))</f>
        <v/>
      </c>
      <c r="AV65" s="189" t="str">
        <f>IF(OR($B65="", $AP65 = ""), "", IF(VLOOKUP($AP65, CONTRATOS!B:K,4,FALSE)="","",VLOOKUP($AP65, CONTRATOS!B:K,4, FALSE)))</f>
        <v/>
      </c>
      <c r="AW65" s="190" t="str">
        <f t="shared" si="6"/>
        <v/>
      </c>
      <c r="AX65" s="189" t="str">
        <f t="shared" si="7"/>
        <v/>
      </c>
      <c r="AY65" s="189" t="str">
        <f t="shared" si="8"/>
        <v/>
      </c>
      <c r="AZ65" s="189" t="str">
        <f t="shared" si="9"/>
        <v/>
      </c>
      <c r="BA65" s="189" t="str">
        <f t="shared" si="10"/>
        <v/>
      </c>
      <c r="BB65" s="191">
        <f t="shared" si="25"/>
        <v>0</v>
      </c>
      <c r="BC65" s="191" t="str">
        <f t="shared" si="26"/>
        <v/>
      </c>
      <c r="BD65" s="191" t="str">
        <f t="shared" si="27"/>
        <v/>
      </c>
      <c r="BF65" s="192">
        <f t="shared" si="28"/>
        <v>0</v>
      </c>
      <c r="BG65" s="192">
        <f t="shared" si="29"/>
        <v>0</v>
      </c>
      <c r="BH65" s="192" t="str">
        <f>IF( $B65="", "", IF(ISNA(VLOOKUP($C65, Defesa!$C$7:$C$29,1,FALSE)),1,0))</f>
        <v/>
      </c>
      <c r="BI65" s="193" t="str">
        <f t="shared" si="30"/>
        <v/>
      </c>
      <c r="BJ65" s="193" t="str">
        <f>IF($B65="", "", IF( AND( $AI65="ESTIMATIVA", OR( Defesa!$F$7 = "AUTOMÁTICA", Defesa!$F$7 ="100% BASELINE")), 1, 0))</f>
        <v/>
      </c>
      <c r="BK65" s="192" t="str">
        <f t="shared" si="45"/>
        <v/>
      </c>
      <c r="BL65" s="192">
        <f t="shared" si="31"/>
        <v>0</v>
      </c>
      <c r="BM65" s="192" t="str">
        <f>IF($AC65="", "", IF(ISNA(VLOOKUP($AC65, TABELAS!$Q:$Q, 1, FALSE)), 1, 0))</f>
        <v/>
      </c>
      <c r="BN65" s="194" t="str">
        <f t="shared" si="46"/>
        <v/>
      </c>
      <c r="BO65" s="192" t="str">
        <f t="shared" si="32"/>
        <v/>
      </c>
      <c r="BP65" s="192" t="str">
        <f t="shared" si="33"/>
        <v/>
      </c>
      <c r="BQ65" s="193" t="str">
        <f t="shared" si="34"/>
        <v/>
      </c>
      <c r="BR65" s="192" t="str">
        <f t="shared" si="35"/>
        <v/>
      </c>
      <c r="BS65" s="192" t="str">
        <f t="shared" si="36"/>
        <v/>
      </c>
      <c r="BT65" s="192" t="str">
        <f>IF(OR($B65="", $AH65 = "SIM"), "", IF( ISNA(VLOOKUP($AP65,#REF!, 1, FALSE)), 1, 0))</f>
        <v/>
      </c>
      <c r="BU65" s="192" t="str">
        <f t="shared" si="37"/>
        <v/>
      </c>
      <c r="BV65" s="192" t="str">
        <f>IF( $B65="", "", IF( ISNA(VLOOKUP($AN65, TABELAS!$T$2:$T$9,1,FALSE)), 1, 0))</f>
        <v/>
      </c>
      <c r="BW65" s="192" t="str">
        <f t="shared" si="38"/>
        <v/>
      </c>
      <c r="BX65" s="192" t="str">
        <f>IF( OR($B65="", $AH65 = "SIM"), "", IF( ISNA( VLOOKUP( $AQ65, SISTEMA!$B:$B, 1, FALSE)), 1, 0))</f>
        <v/>
      </c>
      <c r="BY65" s="193" t="str">
        <f t="shared" si="39"/>
        <v/>
      </c>
      <c r="BZ65" s="193" t="str">
        <f t="shared" si="40"/>
        <v/>
      </c>
      <c r="CA65" s="192" t="str">
        <f t="shared" si="41"/>
        <v/>
      </c>
      <c r="CB65" s="193" t="str">
        <f t="shared" si="42"/>
        <v/>
      </c>
      <c r="CC65" s="193" t="str">
        <f t="shared" si="43"/>
        <v/>
      </c>
      <c r="CD65" s="193" t="str">
        <f t="shared" si="44"/>
        <v/>
      </c>
    </row>
    <row r="66" spans="1:82" x14ac:dyDescent="0.2">
      <c r="A66" s="140"/>
      <c r="B66" s="141" t="str">
        <f t="shared" si="13"/>
        <v/>
      </c>
      <c r="C66" s="142" t="str">
        <f t="shared" si="1"/>
        <v/>
      </c>
      <c r="D66" s="142" t="str">
        <f t="shared" si="14"/>
        <v/>
      </c>
      <c r="E66" s="142" t="str">
        <f>IF($C66="", "", COUNTIF($M$8:$M66,$D66))</f>
        <v/>
      </c>
      <c r="F66" s="254">
        <v>59</v>
      </c>
      <c r="G66" s="143"/>
      <c r="H66" s="144"/>
      <c r="I66" s="144"/>
      <c r="J66" s="145"/>
      <c r="K66" s="144"/>
      <c r="L66" s="144"/>
      <c r="M66" s="144"/>
      <c r="N66" s="146"/>
      <c r="O66" s="147"/>
      <c r="P66" s="147"/>
      <c r="Q66" s="147"/>
      <c r="R66" s="147"/>
      <c r="S66" s="147"/>
      <c r="T66" s="149"/>
      <c r="U66" s="150" t="str">
        <f>IF($T66="", "", VLOOKUP($T66, CONTRATOS!$B:$E, 2, FALSE))</f>
        <v/>
      </c>
      <c r="V66" s="151">
        <f>IF(OR($T66="",TB_DEFESA!$C$2="CARGA BASELINE"),0,
   IF(VLOOKUP($T66, CONTRATOS!B:E, 3, FALSE)&lt;&gt;"",1,IF(VLOOKUP($T66, CONTRATOS!B:E, 4, FALSE)&lt;&gt;"",2,0)))</f>
        <v>0</v>
      </c>
      <c r="W66" s="152"/>
      <c r="X66" s="152"/>
      <c r="Y66" s="153"/>
      <c r="Z66" s="154"/>
      <c r="AA66" s="155"/>
      <c r="AB66" s="156"/>
      <c r="AC66" s="157"/>
      <c r="AD66" s="155"/>
      <c r="AE66" s="158" t="str">
        <f t="shared" si="2"/>
        <v/>
      </c>
      <c r="AF66" s="160" t="str">
        <f t="shared" si="15"/>
        <v/>
      </c>
      <c r="AG66" s="182" t="s">
        <v>59</v>
      </c>
      <c r="AH66" s="183" t="str">
        <f t="shared" si="16"/>
        <v/>
      </c>
      <c r="AI66" s="183" t="str">
        <f t="shared" si="17"/>
        <v/>
      </c>
      <c r="AJ66" s="184" t="str">
        <f t="shared" si="18"/>
        <v/>
      </c>
      <c r="AK66" s="185" t="str">
        <f t="shared" si="19"/>
        <v/>
      </c>
      <c r="AL66" s="186"/>
      <c r="AM66" s="183" t="str">
        <f t="shared" si="20"/>
        <v/>
      </c>
      <c r="AN66" s="183" t="str">
        <f t="shared" si="21"/>
        <v/>
      </c>
      <c r="AO66" s="186" t="str">
        <f t="shared" si="22"/>
        <v/>
      </c>
      <c r="AP66" s="187" t="str">
        <f t="shared" si="23"/>
        <v/>
      </c>
      <c r="AQ66" s="187" t="str">
        <f t="shared" si="24"/>
        <v/>
      </c>
      <c r="AR66" s="188" t="str">
        <f t="shared" si="3"/>
        <v/>
      </c>
      <c r="AS66" s="188" t="str">
        <f t="shared" si="4"/>
        <v/>
      </c>
      <c r="AT66" s="183" t="str">
        <f t="shared" si="5"/>
        <v/>
      </c>
      <c r="AU66" s="189" t="str">
        <f>IF(OR($B66="", $AP66= ""),"",IF(VLOOKUP($AP66, CONTRATOS!B:K,3,FALSE)="","",VLOOKUP($AP66, CONTRATOS!B:K, 3,FALSE)))</f>
        <v/>
      </c>
      <c r="AV66" s="189" t="str">
        <f>IF(OR($B66="", $AP66 = ""), "", IF(VLOOKUP($AP66, CONTRATOS!B:K,4,FALSE)="","",VLOOKUP($AP66, CONTRATOS!B:K,4, FALSE)))</f>
        <v/>
      </c>
      <c r="AW66" s="190" t="str">
        <f t="shared" si="6"/>
        <v/>
      </c>
      <c r="AX66" s="189" t="str">
        <f t="shared" si="7"/>
        <v/>
      </c>
      <c r="AY66" s="189" t="str">
        <f t="shared" si="8"/>
        <v/>
      </c>
      <c r="AZ66" s="189" t="str">
        <f t="shared" si="9"/>
        <v/>
      </c>
      <c r="BA66" s="189" t="str">
        <f t="shared" si="10"/>
        <v/>
      </c>
      <c r="BB66" s="191">
        <f t="shared" si="25"/>
        <v>0</v>
      </c>
      <c r="BC66" s="191" t="str">
        <f t="shared" si="26"/>
        <v/>
      </c>
      <c r="BD66" s="191" t="str">
        <f t="shared" si="27"/>
        <v/>
      </c>
      <c r="BF66" s="192">
        <f t="shared" si="28"/>
        <v>0</v>
      </c>
      <c r="BG66" s="192">
        <f t="shared" si="29"/>
        <v>0</v>
      </c>
      <c r="BH66" s="192" t="str">
        <f>IF( $B66="", "", IF(ISNA(VLOOKUP($C66, Defesa!$C$7:$C$29,1,FALSE)),1,0))</f>
        <v/>
      </c>
      <c r="BI66" s="193" t="str">
        <f t="shared" si="30"/>
        <v/>
      </c>
      <c r="BJ66" s="193" t="str">
        <f>IF($B66="", "", IF( AND( $AI66="ESTIMATIVA", OR( Defesa!$F$7 = "AUTOMÁTICA", Defesa!$F$7 ="100% BASELINE")), 1, 0))</f>
        <v/>
      </c>
      <c r="BK66" s="192" t="str">
        <f t="shared" si="45"/>
        <v/>
      </c>
      <c r="BL66" s="192">
        <f t="shared" si="31"/>
        <v>0</v>
      </c>
      <c r="BM66" s="192" t="str">
        <f>IF($AC66="", "", IF(ISNA(VLOOKUP($AC66, TABELAS!$Q:$Q, 1, FALSE)), 1, 0))</f>
        <v/>
      </c>
      <c r="BN66" s="194" t="str">
        <f t="shared" si="46"/>
        <v/>
      </c>
      <c r="BO66" s="192" t="str">
        <f t="shared" si="32"/>
        <v/>
      </c>
      <c r="BP66" s="192" t="str">
        <f t="shared" si="33"/>
        <v/>
      </c>
      <c r="BQ66" s="193" t="str">
        <f t="shared" si="34"/>
        <v/>
      </c>
      <c r="BR66" s="192" t="str">
        <f t="shared" si="35"/>
        <v/>
      </c>
      <c r="BS66" s="192" t="str">
        <f t="shared" si="36"/>
        <v/>
      </c>
      <c r="BT66" s="192" t="str">
        <f>IF(OR($B66="", $AH66 = "SIM"), "", IF( ISNA(VLOOKUP($AP66,#REF!, 1, FALSE)), 1, 0))</f>
        <v/>
      </c>
      <c r="BU66" s="192" t="str">
        <f t="shared" si="37"/>
        <v/>
      </c>
      <c r="BV66" s="192" t="str">
        <f>IF( $B66="", "", IF( ISNA(VLOOKUP($AN66, TABELAS!$T$2:$T$9,1,FALSE)), 1, 0))</f>
        <v/>
      </c>
      <c r="BW66" s="192" t="str">
        <f t="shared" si="38"/>
        <v/>
      </c>
      <c r="BX66" s="192" t="str">
        <f>IF( OR($B66="", $AH66 = "SIM"), "", IF( ISNA( VLOOKUP( $AQ66, SISTEMA!$B:$B, 1, FALSE)), 1, 0))</f>
        <v/>
      </c>
      <c r="BY66" s="193" t="str">
        <f t="shared" si="39"/>
        <v/>
      </c>
      <c r="BZ66" s="193" t="str">
        <f t="shared" si="40"/>
        <v/>
      </c>
      <c r="CA66" s="192" t="str">
        <f t="shared" si="41"/>
        <v/>
      </c>
      <c r="CB66" s="193" t="str">
        <f t="shared" si="42"/>
        <v/>
      </c>
      <c r="CC66" s="193" t="str">
        <f t="shared" si="43"/>
        <v/>
      </c>
      <c r="CD66" s="193" t="str">
        <f t="shared" si="44"/>
        <v/>
      </c>
    </row>
    <row r="67" spans="1:82" x14ac:dyDescent="0.2">
      <c r="A67" s="140"/>
      <c r="B67" s="141" t="str">
        <f t="shared" si="13"/>
        <v/>
      </c>
      <c r="C67" s="142" t="str">
        <f t="shared" si="1"/>
        <v/>
      </c>
      <c r="D67" s="142" t="str">
        <f t="shared" si="14"/>
        <v/>
      </c>
      <c r="E67" s="142" t="str">
        <f>IF($C67="", "", COUNTIF($M$8:$M67,$D67))</f>
        <v/>
      </c>
      <c r="F67" s="254">
        <v>60</v>
      </c>
      <c r="G67" s="143"/>
      <c r="H67" s="144"/>
      <c r="I67" s="144"/>
      <c r="J67" s="145"/>
      <c r="K67" s="144"/>
      <c r="L67" s="144"/>
      <c r="M67" s="144"/>
      <c r="N67" s="146"/>
      <c r="O67" s="147"/>
      <c r="P67" s="147"/>
      <c r="Q67" s="147"/>
      <c r="R67" s="147"/>
      <c r="S67" s="147"/>
      <c r="T67" s="149"/>
      <c r="U67" s="150" t="str">
        <f>IF($T67="", "", VLOOKUP($T67, CONTRATOS!$B:$E, 2, FALSE))</f>
        <v/>
      </c>
      <c r="V67" s="151">
        <f>IF(OR($T67="",TB_DEFESA!$C$2="CARGA BASELINE"),0,
   IF(VLOOKUP($T67, CONTRATOS!B:E, 3, FALSE)&lt;&gt;"",1,IF(VLOOKUP($T67, CONTRATOS!B:E, 4, FALSE)&lt;&gt;"",2,0)))</f>
        <v>0</v>
      </c>
      <c r="W67" s="152"/>
      <c r="X67" s="152"/>
      <c r="Y67" s="153"/>
      <c r="Z67" s="154"/>
      <c r="AA67" s="155"/>
      <c r="AB67" s="156"/>
      <c r="AC67" s="157"/>
      <c r="AD67" s="155"/>
      <c r="AE67" s="158" t="str">
        <f t="shared" si="2"/>
        <v/>
      </c>
      <c r="AF67" s="160" t="str">
        <f t="shared" si="15"/>
        <v/>
      </c>
      <c r="AG67" s="182" t="s">
        <v>59</v>
      </c>
      <c r="AH67" s="183" t="str">
        <f t="shared" si="16"/>
        <v/>
      </c>
      <c r="AI67" s="183" t="str">
        <f t="shared" si="17"/>
        <v/>
      </c>
      <c r="AJ67" s="184" t="str">
        <f t="shared" si="18"/>
        <v/>
      </c>
      <c r="AK67" s="185" t="str">
        <f t="shared" si="19"/>
        <v/>
      </c>
      <c r="AL67" s="186"/>
      <c r="AM67" s="183" t="str">
        <f t="shared" si="20"/>
        <v/>
      </c>
      <c r="AN67" s="183" t="str">
        <f t="shared" si="21"/>
        <v/>
      </c>
      <c r="AO67" s="186" t="str">
        <f t="shared" si="22"/>
        <v/>
      </c>
      <c r="AP67" s="187" t="str">
        <f t="shared" si="23"/>
        <v/>
      </c>
      <c r="AQ67" s="187" t="str">
        <f t="shared" si="24"/>
        <v/>
      </c>
      <c r="AR67" s="188" t="str">
        <f t="shared" si="3"/>
        <v/>
      </c>
      <c r="AS67" s="188" t="str">
        <f t="shared" si="4"/>
        <v/>
      </c>
      <c r="AT67" s="183" t="str">
        <f t="shared" si="5"/>
        <v/>
      </c>
      <c r="AU67" s="189" t="str">
        <f>IF(OR($B67="", $AP67= ""),"",IF(VLOOKUP($AP67, CONTRATOS!B:K,3,FALSE)="","",VLOOKUP($AP67, CONTRATOS!B:K, 3,FALSE)))</f>
        <v/>
      </c>
      <c r="AV67" s="189" t="str">
        <f>IF(OR($B67="", $AP67 = ""), "", IF(VLOOKUP($AP67, CONTRATOS!B:K,4,FALSE)="","",VLOOKUP($AP67, CONTRATOS!B:K,4, FALSE)))</f>
        <v/>
      </c>
      <c r="AW67" s="190" t="str">
        <f t="shared" si="6"/>
        <v/>
      </c>
      <c r="AX67" s="189" t="str">
        <f t="shared" si="7"/>
        <v/>
      </c>
      <c r="AY67" s="189" t="str">
        <f t="shared" si="8"/>
        <v/>
      </c>
      <c r="AZ67" s="189" t="str">
        <f t="shared" si="9"/>
        <v/>
      </c>
      <c r="BA67" s="189" t="str">
        <f t="shared" si="10"/>
        <v/>
      </c>
      <c r="BB67" s="191">
        <f t="shared" si="25"/>
        <v>0</v>
      </c>
      <c r="BC67" s="191" t="str">
        <f t="shared" si="26"/>
        <v/>
      </c>
      <c r="BD67" s="191" t="str">
        <f t="shared" si="27"/>
        <v/>
      </c>
      <c r="BF67" s="192">
        <f t="shared" si="28"/>
        <v>0</v>
      </c>
      <c r="BG67" s="192">
        <f t="shared" si="29"/>
        <v>0</v>
      </c>
      <c r="BH67" s="192" t="str">
        <f>IF( $B67="", "", IF(ISNA(VLOOKUP($C67, Defesa!$C$7:$C$29,1,FALSE)),1,0))</f>
        <v/>
      </c>
      <c r="BI67" s="193" t="str">
        <f t="shared" si="30"/>
        <v/>
      </c>
      <c r="BJ67" s="193" t="str">
        <f>IF($B67="", "", IF( AND( $AI67="ESTIMATIVA", OR( Defesa!$F$7 = "AUTOMÁTICA", Defesa!$F$7 ="100% BASELINE")), 1, 0))</f>
        <v/>
      </c>
      <c r="BK67" s="192" t="str">
        <f t="shared" si="45"/>
        <v/>
      </c>
      <c r="BL67" s="192">
        <f t="shared" si="31"/>
        <v>0</v>
      </c>
      <c r="BM67" s="192" t="str">
        <f>IF($AC67="", "", IF(ISNA(VLOOKUP($AC67, TABELAS!$Q:$Q, 1, FALSE)), 1, 0))</f>
        <v/>
      </c>
      <c r="BN67" s="194" t="str">
        <f t="shared" si="46"/>
        <v/>
      </c>
      <c r="BO67" s="192" t="str">
        <f t="shared" si="32"/>
        <v/>
      </c>
      <c r="BP67" s="192" t="str">
        <f t="shared" si="33"/>
        <v/>
      </c>
      <c r="BQ67" s="193" t="str">
        <f t="shared" si="34"/>
        <v/>
      </c>
      <c r="BR67" s="192" t="str">
        <f t="shared" si="35"/>
        <v/>
      </c>
      <c r="BS67" s="192" t="str">
        <f t="shared" si="36"/>
        <v/>
      </c>
      <c r="BT67" s="192" t="str">
        <f>IF(OR($B67="", $AH67 = "SIM"), "", IF( ISNA(VLOOKUP($AP67,#REF!, 1, FALSE)), 1, 0))</f>
        <v/>
      </c>
      <c r="BU67" s="192" t="str">
        <f t="shared" si="37"/>
        <v/>
      </c>
      <c r="BV67" s="192" t="str">
        <f>IF( $B67="", "", IF( ISNA(VLOOKUP($AN67, TABELAS!$T$2:$T$9,1,FALSE)), 1, 0))</f>
        <v/>
      </c>
      <c r="BW67" s="192" t="str">
        <f t="shared" si="38"/>
        <v/>
      </c>
      <c r="BX67" s="192" t="str">
        <f>IF( OR($B67="", $AH67 = "SIM"), "", IF( ISNA( VLOOKUP( $AQ67, SISTEMA!$B:$B, 1, FALSE)), 1, 0))</f>
        <v/>
      </c>
      <c r="BY67" s="193" t="str">
        <f t="shared" si="39"/>
        <v/>
      </c>
      <c r="BZ67" s="193" t="str">
        <f t="shared" si="40"/>
        <v/>
      </c>
      <c r="CA67" s="192" t="str">
        <f t="shared" si="41"/>
        <v/>
      </c>
      <c r="CB67" s="193" t="str">
        <f t="shared" si="42"/>
        <v/>
      </c>
      <c r="CC67" s="193" t="str">
        <f t="shared" si="43"/>
        <v/>
      </c>
      <c r="CD67" s="193" t="str">
        <f t="shared" si="44"/>
        <v/>
      </c>
    </row>
    <row r="68" spans="1:82" x14ac:dyDescent="0.2">
      <c r="A68" s="140"/>
      <c r="B68" s="141" t="str">
        <f t="shared" si="13"/>
        <v/>
      </c>
      <c r="C68" s="142" t="str">
        <f t="shared" si="1"/>
        <v/>
      </c>
      <c r="D68" s="142" t="str">
        <f t="shared" si="14"/>
        <v/>
      </c>
      <c r="E68" s="142" t="str">
        <f>IF($C68="", "", COUNTIF($M$8:$M68,$D68))</f>
        <v/>
      </c>
      <c r="F68" s="254">
        <v>61</v>
      </c>
      <c r="G68" s="143"/>
      <c r="H68" s="144"/>
      <c r="I68" s="144"/>
      <c r="J68" s="145"/>
      <c r="K68" s="144"/>
      <c r="L68" s="144"/>
      <c r="M68" s="144"/>
      <c r="N68" s="146"/>
      <c r="O68" s="147"/>
      <c r="P68" s="147"/>
      <c r="Q68" s="147"/>
      <c r="R68" s="147"/>
      <c r="S68" s="147"/>
      <c r="T68" s="149"/>
      <c r="U68" s="150" t="str">
        <f>IF($T68="", "", VLOOKUP($T68, CONTRATOS!$B:$E, 2, FALSE))</f>
        <v/>
      </c>
      <c r="V68" s="151">
        <f>IF(OR($T68="",TB_DEFESA!$C$2="CARGA BASELINE"),0,
   IF(VLOOKUP($T68, CONTRATOS!B:E, 3, FALSE)&lt;&gt;"",1,IF(VLOOKUP($T68, CONTRATOS!B:E, 4, FALSE)&lt;&gt;"",2,0)))</f>
        <v>0</v>
      </c>
      <c r="W68" s="152"/>
      <c r="X68" s="152"/>
      <c r="Y68" s="153"/>
      <c r="Z68" s="154"/>
      <c r="AA68" s="155"/>
      <c r="AB68" s="156"/>
      <c r="AC68" s="157"/>
      <c r="AD68" s="155"/>
      <c r="AE68" s="158" t="str">
        <f t="shared" si="2"/>
        <v/>
      </c>
      <c r="AF68" s="160" t="str">
        <f t="shared" si="15"/>
        <v/>
      </c>
      <c r="AG68" s="182" t="s">
        <v>59</v>
      </c>
      <c r="AH68" s="183" t="str">
        <f t="shared" si="16"/>
        <v/>
      </c>
      <c r="AI68" s="183" t="str">
        <f t="shared" si="17"/>
        <v/>
      </c>
      <c r="AJ68" s="184" t="str">
        <f t="shared" si="18"/>
        <v/>
      </c>
      <c r="AK68" s="185" t="str">
        <f t="shared" si="19"/>
        <v/>
      </c>
      <c r="AL68" s="186"/>
      <c r="AM68" s="183" t="str">
        <f t="shared" si="20"/>
        <v/>
      </c>
      <c r="AN68" s="183" t="str">
        <f t="shared" si="21"/>
        <v/>
      </c>
      <c r="AO68" s="186" t="str">
        <f t="shared" si="22"/>
        <v/>
      </c>
      <c r="AP68" s="187" t="str">
        <f t="shared" si="23"/>
        <v/>
      </c>
      <c r="AQ68" s="187" t="str">
        <f t="shared" si="24"/>
        <v/>
      </c>
      <c r="AR68" s="188" t="str">
        <f t="shared" si="3"/>
        <v/>
      </c>
      <c r="AS68" s="188" t="str">
        <f t="shared" si="4"/>
        <v/>
      </c>
      <c r="AT68" s="183" t="str">
        <f t="shared" si="5"/>
        <v/>
      </c>
      <c r="AU68" s="189" t="str">
        <f>IF(OR($B68="", $AP68= ""),"",IF(VLOOKUP($AP68, CONTRATOS!B:K,3,FALSE)="","",VLOOKUP($AP68, CONTRATOS!B:K, 3,FALSE)))</f>
        <v/>
      </c>
      <c r="AV68" s="189" t="str">
        <f>IF(OR($B68="", $AP68 = ""), "", IF(VLOOKUP($AP68, CONTRATOS!B:K,4,FALSE)="","",VLOOKUP($AP68, CONTRATOS!B:K,4, FALSE)))</f>
        <v/>
      </c>
      <c r="AW68" s="190" t="str">
        <f t="shared" si="6"/>
        <v/>
      </c>
      <c r="AX68" s="189" t="str">
        <f t="shared" si="7"/>
        <v/>
      </c>
      <c r="AY68" s="189" t="str">
        <f t="shared" si="8"/>
        <v/>
      </c>
      <c r="AZ68" s="189" t="str">
        <f t="shared" si="9"/>
        <v/>
      </c>
      <c r="BA68" s="189" t="str">
        <f t="shared" si="10"/>
        <v/>
      </c>
      <c r="BB68" s="191">
        <f t="shared" si="25"/>
        <v>0</v>
      </c>
      <c r="BC68" s="191" t="str">
        <f t="shared" si="26"/>
        <v/>
      </c>
      <c r="BD68" s="191" t="str">
        <f t="shared" si="27"/>
        <v/>
      </c>
      <c r="BF68" s="192">
        <f t="shared" si="28"/>
        <v>0</v>
      </c>
      <c r="BG68" s="192">
        <f t="shared" si="29"/>
        <v>0</v>
      </c>
      <c r="BH68" s="192" t="str">
        <f>IF( $B68="", "", IF(ISNA(VLOOKUP($C68, Defesa!$C$7:$C$29,1,FALSE)),1,0))</f>
        <v/>
      </c>
      <c r="BI68" s="193" t="str">
        <f t="shared" si="30"/>
        <v/>
      </c>
      <c r="BJ68" s="193" t="str">
        <f>IF($B68="", "", IF( AND( $AI68="ESTIMATIVA", OR( Defesa!$F$7 = "AUTOMÁTICA", Defesa!$F$7 ="100% BASELINE")), 1, 0))</f>
        <v/>
      </c>
      <c r="BK68" s="192" t="str">
        <f t="shared" si="45"/>
        <v/>
      </c>
      <c r="BL68" s="192">
        <f t="shared" si="31"/>
        <v>0</v>
      </c>
      <c r="BM68" s="192" t="str">
        <f>IF($AC68="", "", IF(ISNA(VLOOKUP($AC68, TABELAS!$Q:$Q, 1, FALSE)), 1, 0))</f>
        <v/>
      </c>
      <c r="BN68" s="194" t="str">
        <f t="shared" si="46"/>
        <v/>
      </c>
      <c r="BO68" s="192" t="str">
        <f t="shared" si="32"/>
        <v/>
      </c>
      <c r="BP68" s="192" t="str">
        <f t="shared" si="33"/>
        <v/>
      </c>
      <c r="BQ68" s="193" t="str">
        <f t="shared" si="34"/>
        <v/>
      </c>
      <c r="BR68" s="192" t="str">
        <f t="shared" si="35"/>
        <v/>
      </c>
      <c r="BS68" s="192" t="str">
        <f t="shared" si="36"/>
        <v/>
      </c>
      <c r="BT68" s="192" t="str">
        <f>IF(OR($B68="", $AH68 = "SIM"), "", IF( ISNA(VLOOKUP($AP68,#REF!, 1, FALSE)), 1, 0))</f>
        <v/>
      </c>
      <c r="BU68" s="192" t="str">
        <f t="shared" si="37"/>
        <v/>
      </c>
      <c r="BV68" s="192" t="str">
        <f>IF( $B68="", "", IF( ISNA(VLOOKUP($AN68, TABELAS!$T$2:$T$9,1,FALSE)), 1, 0))</f>
        <v/>
      </c>
      <c r="BW68" s="192" t="str">
        <f t="shared" si="38"/>
        <v/>
      </c>
      <c r="BX68" s="192" t="str">
        <f>IF( OR($B68="", $AH68 = "SIM"), "", IF( ISNA( VLOOKUP( $AQ68, SISTEMA!$B:$B, 1, FALSE)), 1, 0))</f>
        <v/>
      </c>
      <c r="BY68" s="193" t="str">
        <f t="shared" si="39"/>
        <v/>
      </c>
      <c r="BZ68" s="193" t="str">
        <f t="shared" si="40"/>
        <v/>
      </c>
      <c r="CA68" s="192" t="str">
        <f t="shared" si="41"/>
        <v/>
      </c>
      <c r="CB68" s="193" t="str">
        <f t="shared" si="42"/>
        <v/>
      </c>
      <c r="CC68" s="193" t="str">
        <f t="shared" si="43"/>
        <v/>
      </c>
      <c r="CD68" s="193" t="str">
        <f t="shared" si="44"/>
        <v/>
      </c>
    </row>
    <row r="69" spans="1:82" x14ac:dyDescent="0.2">
      <c r="A69" s="140"/>
      <c r="B69" s="141" t="str">
        <f t="shared" si="13"/>
        <v/>
      </c>
      <c r="C69" s="142" t="str">
        <f t="shared" si="1"/>
        <v/>
      </c>
      <c r="D69" s="142" t="str">
        <f t="shared" si="14"/>
        <v/>
      </c>
      <c r="E69" s="142" t="str">
        <f>IF($C69="", "", COUNTIF($M$8:$M69,$D69))</f>
        <v/>
      </c>
      <c r="F69" s="254">
        <v>62</v>
      </c>
      <c r="G69" s="143"/>
      <c r="H69" s="144"/>
      <c r="I69" s="144"/>
      <c r="J69" s="145"/>
      <c r="K69" s="144"/>
      <c r="L69" s="144"/>
      <c r="M69" s="144"/>
      <c r="N69" s="146"/>
      <c r="O69" s="147"/>
      <c r="P69" s="147"/>
      <c r="Q69" s="147"/>
      <c r="R69" s="147"/>
      <c r="S69" s="147"/>
      <c r="T69" s="149"/>
      <c r="U69" s="150" t="str">
        <f>IF($T69="", "", VLOOKUP($T69, CONTRATOS!$B:$E, 2, FALSE))</f>
        <v/>
      </c>
      <c r="V69" s="151">
        <f>IF(OR($T69="",TB_DEFESA!$C$2="CARGA BASELINE"),0,
   IF(VLOOKUP($T69, CONTRATOS!B:E, 3, FALSE)&lt;&gt;"",1,IF(VLOOKUP($T69, CONTRATOS!B:E, 4, FALSE)&lt;&gt;"",2,0)))</f>
        <v>0</v>
      </c>
      <c r="W69" s="152"/>
      <c r="X69" s="152"/>
      <c r="Y69" s="153"/>
      <c r="Z69" s="154"/>
      <c r="AA69" s="155"/>
      <c r="AB69" s="156"/>
      <c r="AC69" s="157"/>
      <c r="AD69" s="155"/>
      <c r="AE69" s="158" t="str">
        <f t="shared" si="2"/>
        <v/>
      </c>
      <c r="AF69" s="160" t="str">
        <f t="shared" si="15"/>
        <v/>
      </c>
      <c r="AG69" s="182" t="s">
        <v>59</v>
      </c>
      <c r="AH69" s="183" t="str">
        <f t="shared" si="16"/>
        <v/>
      </c>
      <c r="AI69" s="183" t="str">
        <f t="shared" si="17"/>
        <v/>
      </c>
      <c r="AJ69" s="184" t="str">
        <f t="shared" si="18"/>
        <v/>
      </c>
      <c r="AK69" s="185" t="str">
        <f t="shared" si="19"/>
        <v/>
      </c>
      <c r="AL69" s="186"/>
      <c r="AM69" s="183" t="str">
        <f t="shared" si="20"/>
        <v/>
      </c>
      <c r="AN69" s="183" t="str">
        <f t="shared" si="21"/>
        <v/>
      </c>
      <c r="AO69" s="186" t="str">
        <f t="shared" si="22"/>
        <v/>
      </c>
      <c r="AP69" s="187" t="str">
        <f t="shared" si="23"/>
        <v/>
      </c>
      <c r="AQ69" s="187" t="str">
        <f t="shared" si="24"/>
        <v/>
      </c>
      <c r="AR69" s="188" t="str">
        <f t="shared" si="3"/>
        <v/>
      </c>
      <c r="AS69" s="188" t="str">
        <f t="shared" si="4"/>
        <v/>
      </c>
      <c r="AT69" s="183" t="str">
        <f t="shared" si="5"/>
        <v/>
      </c>
      <c r="AU69" s="189" t="str">
        <f>IF(OR($B69="", $AP69= ""),"",IF(VLOOKUP($AP69, CONTRATOS!B:K,3,FALSE)="","",VLOOKUP($AP69, CONTRATOS!B:K, 3,FALSE)))</f>
        <v/>
      </c>
      <c r="AV69" s="189" t="str">
        <f>IF(OR($B69="", $AP69 = ""), "", IF(VLOOKUP($AP69, CONTRATOS!B:K,4,FALSE)="","",VLOOKUP($AP69, CONTRATOS!B:K,4, FALSE)))</f>
        <v/>
      </c>
      <c r="AW69" s="190" t="str">
        <f t="shared" si="6"/>
        <v/>
      </c>
      <c r="AX69" s="189" t="str">
        <f t="shared" si="7"/>
        <v/>
      </c>
      <c r="AY69" s="189" t="str">
        <f t="shared" si="8"/>
        <v/>
      </c>
      <c r="AZ69" s="189" t="str">
        <f t="shared" si="9"/>
        <v/>
      </c>
      <c r="BA69" s="189" t="str">
        <f t="shared" si="10"/>
        <v/>
      </c>
      <c r="BB69" s="191">
        <f t="shared" si="25"/>
        <v>0</v>
      </c>
      <c r="BC69" s="191" t="str">
        <f t="shared" si="26"/>
        <v/>
      </c>
      <c r="BD69" s="191" t="str">
        <f t="shared" si="27"/>
        <v/>
      </c>
      <c r="BF69" s="192">
        <f t="shared" si="28"/>
        <v>0</v>
      </c>
      <c r="BG69" s="192">
        <f t="shared" si="29"/>
        <v>0</v>
      </c>
      <c r="BH69" s="192" t="str">
        <f>IF( $B69="", "", IF(ISNA(VLOOKUP($C69, Defesa!$C$7:$C$29,1,FALSE)),1,0))</f>
        <v/>
      </c>
      <c r="BI69" s="193" t="str">
        <f t="shared" si="30"/>
        <v/>
      </c>
      <c r="BJ69" s="193" t="str">
        <f>IF($B69="", "", IF( AND( $AI69="ESTIMATIVA", OR( Defesa!$F$7 = "AUTOMÁTICA", Defesa!$F$7 ="100% BASELINE")), 1, 0))</f>
        <v/>
      </c>
      <c r="BK69" s="192" t="str">
        <f t="shared" si="45"/>
        <v/>
      </c>
      <c r="BL69" s="192">
        <f t="shared" si="31"/>
        <v>0</v>
      </c>
      <c r="BM69" s="192" t="str">
        <f>IF($AC69="", "", IF(ISNA(VLOOKUP($AC69, TABELAS!$Q:$Q, 1, FALSE)), 1, 0))</f>
        <v/>
      </c>
      <c r="BN69" s="194" t="str">
        <f t="shared" si="46"/>
        <v/>
      </c>
      <c r="BO69" s="192" t="str">
        <f t="shared" si="32"/>
        <v/>
      </c>
      <c r="BP69" s="192" t="str">
        <f t="shared" si="33"/>
        <v/>
      </c>
      <c r="BQ69" s="193" t="str">
        <f t="shared" si="34"/>
        <v/>
      </c>
      <c r="BR69" s="192" t="str">
        <f t="shared" si="35"/>
        <v/>
      </c>
      <c r="BS69" s="192" t="str">
        <f t="shared" si="36"/>
        <v/>
      </c>
      <c r="BT69" s="192" t="str">
        <f>IF(OR($B69="", $AH69 = "SIM"), "", IF( ISNA(VLOOKUP($AP69,#REF!, 1, FALSE)), 1, 0))</f>
        <v/>
      </c>
      <c r="BU69" s="192" t="str">
        <f t="shared" si="37"/>
        <v/>
      </c>
      <c r="BV69" s="192" t="str">
        <f>IF( $B69="", "", IF( ISNA(VLOOKUP($AN69, TABELAS!$T$2:$T$9,1,FALSE)), 1, 0))</f>
        <v/>
      </c>
      <c r="BW69" s="192" t="str">
        <f t="shared" si="38"/>
        <v/>
      </c>
      <c r="BX69" s="192" t="str">
        <f>IF( OR($B69="", $AH69 = "SIM"), "", IF( ISNA( VLOOKUP( $AQ69, SISTEMA!$B:$B, 1, FALSE)), 1, 0))</f>
        <v/>
      </c>
      <c r="BY69" s="193" t="str">
        <f t="shared" si="39"/>
        <v/>
      </c>
      <c r="BZ69" s="193" t="str">
        <f t="shared" si="40"/>
        <v/>
      </c>
      <c r="CA69" s="192" t="str">
        <f t="shared" si="41"/>
        <v/>
      </c>
      <c r="CB69" s="193" t="str">
        <f t="shared" si="42"/>
        <v/>
      </c>
      <c r="CC69" s="193" t="str">
        <f t="shared" si="43"/>
        <v/>
      </c>
      <c r="CD69" s="193" t="str">
        <f t="shared" si="44"/>
        <v/>
      </c>
    </row>
    <row r="70" spans="1:82" x14ac:dyDescent="0.2">
      <c r="A70" s="140"/>
      <c r="B70" s="141" t="str">
        <f t="shared" si="13"/>
        <v/>
      </c>
      <c r="C70" s="142" t="str">
        <f t="shared" si="1"/>
        <v/>
      </c>
      <c r="D70" s="142" t="str">
        <f t="shared" si="14"/>
        <v/>
      </c>
      <c r="E70" s="142" t="str">
        <f>IF($C70="", "", COUNTIF($M$8:$M70,$D70))</f>
        <v/>
      </c>
      <c r="F70" s="254">
        <v>63</v>
      </c>
      <c r="G70" s="143"/>
      <c r="H70" s="144"/>
      <c r="I70" s="144"/>
      <c r="J70" s="145"/>
      <c r="K70" s="144"/>
      <c r="L70" s="144"/>
      <c r="M70" s="144"/>
      <c r="N70" s="146"/>
      <c r="O70" s="147"/>
      <c r="P70" s="147"/>
      <c r="Q70" s="147"/>
      <c r="R70" s="147"/>
      <c r="S70" s="147"/>
      <c r="T70" s="149"/>
      <c r="U70" s="150" t="str">
        <f>IF($T70="", "", VLOOKUP($T70, CONTRATOS!$B:$E, 2, FALSE))</f>
        <v/>
      </c>
      <c r="V70" s="151">
        <f>IF(OR($T70="",TB_DEFESA!$C$2="CARGA BASELINE"),0,
   IF(VLOOKUP($T70, CONTRATOS!B:E, 3, FALSE)&lt;&gt;"",1,IF(VLOOKUP($T70, CONTRATOS!B:E, 4, FALSE)&lt;&gt;"",2,0)))</f>
        <v>0</v>
      </c>
      <c r="W70" s="152"/>
      <c r="X70" s="152"/>
      <c r="Y70" s="153"/>
      <c r="Z70" s="154"/>
      <c r="AA70" s="155"/>
      <c r="AB70" s="156"/>
      <c r="AC70" s="157"/>
      <c r="AD70" s="155"/>
      <c r="AE70" s="158" t="str">
        <f t="shared" si="2"/>
        <v/>
      </c>
      <c r="AF70" s="160" t="str">
        <f t="shared" si="15"/>
        <v/>
      </c>
      <c r="AG70" s="182" t="s">
        <v>59</v>
      </c>
      <c r="AH70" s="183" t="str">
        <f t="shared" si="16"/>
        <v/>
      </c>
      <c r="AI70" s="183" t="str">
        <f t="shared" si="17"/>
        <v/>
      </c>
      <c r="AJ70" s="184" t="str">
        <f t="shared" si="18"/>
        <v/>
      </c>
      <c r="AK70" s="185" t="str">
        <f t="shared" si="19"/>
        <v/>
      </c>
      <c r="AL70" s="186"/>
      <c r="AM70" s="183" t="str">
        <f t="shared" si="20"/>
        <v/>
      </c>
      <c r="AN70" s="183" t="str">
        <f t="shared" si="21"/>
        <v/>
      </c>
      <c r="AO70" s="186" t="str">
        <f t="shared" si="22"/>
        <v/>
      </c>
      <c r="AP70" s="187" t="str">
        <f t="shared" si="23"/>
        <v/>
      </c>
      <c r="AQ70" s="187" t="str">
        <f t="shared" si="24"/>
        <v/>
      </c>
      <c r="AR70" s="188" t="str">
        <f t="shared" si="3"/>
        <v/>
      </c>
      <c r="AS70" s="188" t="str">
        <f t="shared" si="4"/>
        <v/>
      </c>
      <c r="AT70" s="183" t="str">
        <f t="shared" si="5"/>
        <v/>
      </c>
      <c r="AU70" s="189" t="str">
        <f>IF(OR($B70="", $AP70= ""),"",IF(VLOOKUP($AP70, CONTRATOS!B:K,3,FALSE)="","",VLOOKUP($AP70, CONTRATOS!B:K, 3,FALSE)))</f>
        <v/>
      </c>
      <c r="AV70" s="189" t="str">
        <f>IF(OR($B70="", $AP70 = ""), "", IF(VLOOKUP($AP70, CONTRATOS!B:K,4,FALSE)="","",VLOOKUP($AP70, CONTRATOS!B:K,4, FALSE)))</f>
        <v/>
      </c>
      <c r="AW70" s="190" t="str">
        <f t="shared" si="6"/>
        <v/>
      </c>
      <c r="AX70" s="189" t="str">
        <f t="shared" si="7"/>
        <v/>
      </c>
      <c r="AY70" s="189" t="str">
        <f t="shared" si="8"/>
        <v/>
      </c>
      <c r="AZ70" s="189" t="str">
        <f t="shared" si="9"/>
        <v/>
      </c>
      <c r="BA70" s="189" t="str">
        <f t="shared" si="10"/>
        <v/>
      </c>
      <c r="BB70" s="191">
        <f t="shared" si="25"/>
        <v>0</v>
      </c>
      <c r="BC70" s="191" t="str">
        <f t="shared" si="26"/>
        <v/>
      </c>
      <c r="BD70" s="191" t="str">
        <f t="shared" si="27"/>
        <v/>
      </c>
      <c r="BF70" s="192">
        <f t="shared" si="28"/>
        <v>0</v>
      </c>
      <c r="BG70" s="192">
        <f t="shared" si="29"/>
        <v>0</v>
      </c>
      <c r="BH70" s="192" t="str">
        <f>IF( $B70="", "", IF(ISNA(VLOOKUP($C70, Defesa!$C$7:$C$29,1,FALSE)),1,0))</f>
        <v/>
      </c>
      <c r="BI70" s="193" t="str">
        <f t="shared" si="30"/>
        <v/>
      </c>
      <c r="BJ70" s="193" t="str">
        <f>IF($B70="", "", IF( AND( $AI70="ESTIMATIVA", OR( Defesa!$F$7 = "AUTOMÁTICA", Defesa!$F$7 ="100% BASELINE")), 1, 0))</f>
        <v/>
      </c>
      <c r="BK70" s="192" t="str">
        <f t="shared" si="45"/>
        <v/>
      </c>
      <c r="BL70" s="192">
        <f t="shared" si="31"/>
        <v>0</v>
      </c>
      <c r="BM70" s="192" t="str">
        <f>IF($AC70="", "", IF(ISNA(VLOOKUP($AC70, TABELAS!$Q:$Q, 1, FALSE)), 1, 0))</f>
        <v/>
      </c>
      <c r="BN70" s="194" t="str">
        <f t="shared" si="46"/>
        <v/>
      </c>
      <c r="BO70" s="192" t="str">
        <f t="shared" si="32"/>
        <v/>
      </c>
      <c r="BP70" s="192" t="str">
        <f t="shared" si="33"/>
        <v/>
      </c>
      <c r="BQ70" s="193" t="str">
        <f t="shared" si="34"/>
        <v/>
      </c>
      <c r="BR70" s="192" t="str">
        <f t="shared" si="35"/>
        <v/>
      </c>
      <c r="BS70" s="192" t="str">
        <f t="shared" si="36"/>
        <v/>
      </c>
      <c r="BT70" s="192" t="str">
        <f>IF(OR($B70="", $AH70 = "SIM"), "", IF( ISNA(VLOOKUP($AP70,#REF!, 1, FALSE)), 1, 0))</f>
        <v/>
      </c>
      <c r="BU70" s="192" t="str">
        <f t="shared" si="37"/>
        <v/>
      </c>
      <c r="BV70" s="192" t="str">
        <f>IF( $B70="", "", IF( ISNA(VLOOKUP($AN70, TABELAS!$T$2:$T$9,1,FALSE)), 1, 0))</f>
        <v/>
      </c>
      <c r="BW70" s="192" t="str">
        <f t="shared" si="38"/>
        <v/>
      </c>
      <c r="BX70" s="192" t="str">
        <f>IF( OR($B70="", $AH70 = "SIM"), "", IF( ISNA( VLOOKUP( $AQ70, SISTEMA!$B:$B, 1, FALSE)), 1, 0))</f>
        <v/>
      </c>
      <c r="BY70" s="193" t="str">
        <f t="shared" si="39"/>
        <v/>
      </c>
      <c r="BZ70" s="193" t="str">
        <f t="shared" si="40"/>
        <v/>
      </c>
      <c r="CA70" s="192" t="str">
        <f t="shared" si="41"/>
        <v/>
      </c>
      <c r="CB70" s="193" t="str">
        <f t="shared" si="42"/>
        <v/>
      </c>
      <c r="CC70" s="193" t="str">
        <f t="shared" si="43"/>
        <v/>
      </c>
      <c r="CD70" s="193" t="str">
        <f t="shared" si="44"/>
        <v/>
      </c>
    </row>
    <row r="71" spans="1:82" x14ac:dyDescent="0.2">
      <c r="A71" s="140"/>
      <c r="B71" s="141" t="str">
        <f t="shared" si="13"/>
        <v/>
      </c>
      <c r="C71" s="142" t="str">
        <f t="shared" si="1"/>
        <v/>
      </c>
      <c r="D71" s="142" t="str">
        <f t="shared" si="14"/>
        <v/>
      </c>
      <c r="E71" s="142" t="str">
        <f>IF($C71="", "", COUNTIF($M$8:$M71,$D71))</f>
        <v/>
      </c>
      <c r="F71" s="254">
        <v>64</v>
      </c>
      <c r="G71" s="143"/>
      <c r="H71" s="144"/>
      <c r="I71" s="144"/>
      <c r="J71" s="145"/>
      <c r="K71" s="144"/>
      <c r="L71" s="144"/>
      <c r="M71" s="144"/>
      <c r="N71" s="146"/>
      <c r="O71" s="147"/>
      <c r="P71" s="147"/>
      <c r="Q71" s="147"/>
      <c r="R71" s="147"/>
      <c r="S71" s="147"/>
      <c r="T71" s="149"/>
      <c r="U71" s="150" t="str">
        <f>IF($T71="", "", VLOOKUP($T71, CONTRATOS!$B:$E, 2, FALSE))</f>
        <v/>
      </c>
      <c r="V71" s="151">
        <f>IF(OR($T71="",TB_DEFESA!$C$2="CARGA BASELINE"),0,
   IF(VLOOKUP($T71, CONTRATOS!B:E, 3, FALSE)&lt;&gt;"",1,IF(VLOOKUP($T71, CONTRATOS!B:E, 4, FALSE)&lt;&gt;"",2,0)))</f>
        <v>0</v>
      </c>
      <c r="W71" s="152"/>
      <c r="X71" s="152"/>
      <c r="Y71" s="153"/>
      <c r="Z71" s="154"/>
      <c r="AA71" s="155"/>
      <c r="AB71" s="156"/>
      <c r="AC71" s="157"/>
      <c r="AD71" s="155"/>
      <c r="AE71" s="158" t="str">
        <f t="shared" si="2"/>
        <v/>
      </c>
      <c r="AF71" s="160" t="str">
        <f t="shared" si="15"/>
        <v/>
      </c>
      <c r="AG71" s="182" t="s">
        <v>59</v>
      </c>
      <c r="AH71" s="183" t="str">
        <f t="shared" si="16"/>
        <v/>
      </c>
      <c r="AI71" s="183" t="str">
        <f t="shared" si="17"/>
        <v/>
      </c>
      <c r="AJ71" s="184" t="str">
        <f t="shared" si="18"/>
        <v/>
      </c>
      <c r="AK71" s="185" t="str">
        <f t="shared" si="19"/>
        <v/>
      </c>
      <c r="AL71" s="186"/>
      <c r="AM71" s="183" t="str">
        <f t="shared" si="20"/>
        <v/>
      </c>
      <c r="AN71" s="183" t="str">
        <f t="shared" si="21"/>
        <v/>
      </c>
      <c r="AO71" s="186" t="str">
        <f t="shared" si="22"/>
        <v/>
      </c>
      <c r="AP71" s="187" t="str">
        <f t="shared" si="23"/>
        <v/>
      </c>
      <c r="AQ71" s="187" t="str">
        <f t="shared" si="24"/>
        <v/>
      </c>
      <c r="AR71" s="188" t="str">
        <f t="shared" si="3"/>
        <v/>
      </c>
      <c r="AS71" s="188" t="str">
        <f t="shared" si="4"/>
        <v/>
      </c>
      <c r="AT71" s="183" t="str">
        <f t="shared" si="5"/>
        <v/>
      </c>
      <c r="AU71" s="189" t="str">
        <f>IF(OR($B71="", $AP71= ""),"",IF(VLOOKUP($AP71, CONTRATOS!B:K,3,FALSE)="","",VLOOKUP($AP71, CONTRATOS!B:K, 3,FALSE)))</f>
        <v/>
      </c>
      <c r="AV71" s="189" t="str">
        <f>IF(OR($B71="", $AP71 = ""), "", IF(VLOOKUP($AP71, CONTRATOS!B:K,4,FALSE)="","",VLOOKUP($AP71, CONTRATOS!B:K,4, FALSE)))</f>
        <v/>
      </c>
      <c r="AW71" s="190" t="str">
        <f t="shared" si="6"/>
        <v/>
      </c>
      <c r="AX71" s="189" t="str">
        <f t="shared" si="7"/>
        <v/>
      </c>
      <c r="AY71" s="189" t="str">
        <f t="shared" si="8"/>
        <v/>
      </c>
      <c r="AZ71" s="189" t="str">
        <f t="shared" si="9"/>
        <v/>
      </c>
      <c r="BA71" s="189" t="str">
        <f t="shared" si="10"/>
        <v/>
      </c>
      <c r="BB71" s="191">
        <f t="shared" si="25"/>
        <v>0</v>
      </c>
      <c r="BC71" s="191" t="str">
        <f t="shared" si="26"/>
        <v/>
      </c>
      <c r="BD71" s="191" t="str">
        <f t="shared" si="27"/>
        <v/>
      </c>
      <c r="BF71" s="192">
        <f t="shared" si="28"/>
        <v>0</v>
      </c>
      <c r="BG71" s="192">
        <f t="shared" si="29"/>
        <v>0</v>
      </c>
      <c r="BH71" s="192" t="str">
        <f>IF( $B71="", "", IF(ISNA(VLOOKUP($C71, Defesa!$C$7:$C$29,1,FALSE)),1,0))</f>
        <v/>
      </c>
      <c r="BI71" s="193" t="str">
        <f t="shared" si="30"/>
        <v/>
      </c>
      <c r="BJ71" s="193" t="str">
        <f>IF($B71="", "", IF( AND( $AI71="ESTIMATIVA", OR( Defesa!$F$7 = "AUTOMÁTICA", Defesa!$F$7 ="100% BASELINE")), 1, 0))</f>
        <v/>
      </c>
      <c r="BK71" s="192" t="str">
        <f t="shared" si="45"/>
        <v/>
      </c>
      <c r="BL71" s="192">
        <f t="shared" si="31"/>
        <v>0</v>
      </c>
      <c r="BM71" s="192" t="str">
        <f>IF($AC71="", "", IF(ISNA(VLOOKUP($AC71, TABELAS!$Q:$Q, 1, FALSE)), 1, 0))</f>
        <v/>
      </c>
      <c r="BN71" s="194" t="str">
        <f t="shared" si="46"/>
        <v/>
      </c>
      <c r="BO71" s="192" t="str">
        <f t="shared" si="32"/>
        <v/>
      </c>
      <c r="BP71" s="192" t="str">
        <f t="shared" si="33"/>
        <v/>
      </c>
      <c r="BQ71" s="193" t="str">
        <f t="shared" si="34"/>
        <v/>
      </c>
      <c r="BR71" s="192" t="str">
        <f t="shared" si="35"/>
        <v/>
      </c>
      <c r="BS71" s="192" t="str">
        <f t="shared" si="36"/>
        <v/>
      </c>
      <c r="BT71" s="192" t="str">
        <f>IF(OR($B71="", $AH71 = "SIM"), "", IF( ISNA(VLOOKUP($AP71,#REF!, 1, FALSE)), 1, 0))</f>
        <v/>
      </c>
      <c r="BU71" s="192" t="str">
        <f t="shared" si="37"/>
        <v/>
      </c>
      <c r="BV71" s="192" t="str">
        <f>IF( $B71="", "", IF( ISNA(VLOOKUP($AN71, TABELAS!$T$2:$T$9,1,FALSE)), 1, 0))</f>
        <v/>
      </c>
      <c r="BW71" s="192" t="str">
        <f t="shared" si="38"/>
        <v/>
      </c>
      <c r="BX71" s="192" t="str">
        <f>IF( OR($B71="", $AH71 = "SIM"), "", IF( ISNA( VLOOKUP( $AQ71, SISTEMA!$B:$B, 1, FALSE)), 1, 0))</f>
        <v/>
      </c>
      <c r="BY71" s="193" t="str">
        <f t="shared" si="39"/>
        <v/>
      </c>
      <c r="BZ71" s="193" t="str">
        <f t="shared" si="40"/>
        <v/>
      </c>
      <c r="CA71" s="192" t="str">
        <f t="shared" si="41"/>
        <v/>
      </c>
      <c r="CB71" s="193" t="str">
        <f t="shared" si="42"/>
        <v/>
      </c>
      <c r="CC71" s="193" t="str">
        <f t="shared" si="43"/>
        <v/>
      </c>
      <c r="CD71" s="193" t="str">
        <f t="shared" si="44"/>
        <v/>
      </c>
    </row>
    <row r="72" spans="1:82" x14ac:dyDescent="0.2">
      <c r="A72" s="140"/>
      <c r="B72" s="141" t="str">
        <f t="shared" si="13"/>
        <v/>
      </c>
      <c r="C72" s="142" t="str">
        <f t="shared" ref="C72:C135" si="47">IF($K72&lt;&gt;"",$K72, IF($AB72 = "", "", $C71))</f>
        <v/>
      </c>
      <c r="D72" s="142" t="str">
        <f t="shared" si="14"/>
        <v/>
      </c>
      <c r="E72" s="142" t="str">
        <f>IF($C72="", "", COUNTIF($M$8:$M72,$D72))</f>
        <v/>
      </c>
      <c r="F72" s="254">
        <v>65</v>
      </c>
      <c r="G72" s="143"/>
      <c r="H72" s="144"/>
      <c r="I72" s="144"/>
      <c r="J72" s="145"/>
      <c r="K72" s="144"/>
      <c r="L72" s="144"/>
      <c r="M72" s="144"/>
      <c r="N72" s="146"/>
      <c r="O72" s="147"/>
      <c r="P72" s="147"/>
      <c r="Q72" s="147"/>
      <c r="R72" s="147"/>
      <c r="S72" s="147"/>
      <c r="T72" s="149"/>
      <c r="U72" s="150" t="str">
        <f>IF($T72="", "", VLOOKUP($T72, CONTRATOS!$B:$E, 2, FALSE))</f>
        <v/>
      </c>
      <c r="V72" s="151">
        <f>IF(OR($T72="",TB_DEFESA!$C$2="CARGA BASELINE"),0,
   IF(VLOOKUP($T72, CONTRATOS!B:E, 3, FALSE)&lt;&gt;"",1,IF(VLOOKUP($T72, CONTRATOS!B:E, 4, FALSE)&lt;&gt;"",2,0)))</f>
        <v>0</v>
      </c>
      <c r="W72" s="152"/>
      <c r="X72" s="152"/>
      <c r="Y72" s="153"/>
      <c r="Z72" s="154"/>
      <c r="AA72" s="155"/>
      <c r="AB72" s="156"/>
      <c r="AC72" s="157"/>
      <c r="AD72" s="155"/>
      <c r="AE72" s="158" t="str">
        <f t="shared" ref="AE72:AE135" si="48">IF(AT72="","",IF(V72=1,1,IF(AT72=0,0,AD72/AT72)))</f>
        <v/>
      </c>
      <c r="AF72" s="160" t="str">
        <f t="shared" si="15"/>
        <v/>
      </c>
      <c r="AG72" s="182" t="s">
        <v>59</v>
      </c>
      <c r="AH72" s="183" t="str">
        <f t="shared" si="16"/>
        <v/>
      </c>
      <c r="AI72" s="183" t="str">
        <f t="shared" si="17"/>
        <v/>
      </c>
      <c r="AJ72" s="184" t="str">
        <f t="shared" si="18"/>
        <v/>
      </c>
      <c r="AK72" s="185" t="str">
        <f t="shared" si="19"/>
        <v/>
      </c>
      <c r="AL72" s="186"/>
      <c r="AM72" s="183" t="str">
        <f t="shared" si="20"/>
        <v/>
      </c>
      <c r="AN72" s="183" t="str">
        <f t="shared" si="21"/>
        <v/>
      </c>
      <c r="AO72" s="186" t="str">
        <f t="shared" si="22"/>
        <v/>
      </c>
      <c r="AP72" s="187" t="str">
        <f t="shared" si="23"/>
        <v/>
      </c>
      <c r="AQ72" s="187" t="str">
        <f t="shared" si="24"/>
        <v/>
      </c>
      <c r="AR72" s="188" t="str">
        <f t="shared" ref="AR72:AR135" si="49">IF($B72 = "", "",  IF($Y72= "", IF(ISNUMBER($AR71), $AR71, 0), $Y72))</f>
        <v/>
      </c>
      <c r="AS72" s="188" t="str">
        <f t="shared" ref="AS72:AS135" si="50">IF($B72 = "", "",  IF($Z72= "", IF(ISNUMBER($AS71), $AS71, 0), $Z72))</f>
        <v/>
      </c>
      <c r="AT72" s="183" t="str">
        <f t="shared" ref="AT72:AT135" si="51">IF($B72="", "", IF($AA72=0, $AT71, $AA72))</f>
        <v/>
      </c>
      <c r="AU72" s="189" t="str">
        <f>IF(OR($B72="", $AP72= ""),"",IF(VLOOKUP($AP72, CONTRATOS!B:K,3,FALSE)="","",VLOOKUP($AP72, CONTRATOS!B:K, 3,FALSE)))</f>
        <v/>
      </c>
      <c r="AV72" s="189" t="str">
        <f>IF(OR($B72="", $AP72 = ""), "", IF(VLOOKUP($AP72, CONTRATOS!B:K,4,FALSE)="","",VLOOKUP($AP72, CONTRATOS!B:K,4, FALSE)))</f>
        <v/>
      </c>
      <c r="AW72" s="190" t="str">
        <f t="shared" ref="AW72:AW135" si="52">IF($B72="", "", IF($V72=1, 1, IF( OR($AT72 = "", $AT72=0), 0, $AD72/$AT72)))</f>
        <v/>
      </c>
      <c r="AX72" s="189" t="str">
        <f t="shared" ref="AX72:AX135" si="53">IF( $B72="", "", IF( $K72="",$AX71, IF($S72 = "", "", $S72)))</f>
        <v/>
      </c>
      <c r="AY72" s="189" t="str">
        <f t="shared" ref="AY72:AY135" si="54">IF( $B72="", "", IF( $K72="",$AY71, IF($P72 = "", "", $P72)))</f>
        <v/>
      </c>
      <c r="AZ72" s="189" t="str">
        <f t="shared" ref="AZ72:AZ135" si="55">IF( $B72="", "", IF( $K72="",$AZ71, IF($Q72 = "", "", $Q72)))</f>
        <v/>
      </c>
      <c r="BA72" s="189" t="str">
        <f t="shared" ref="BA72:BA135" si="56">IF( $B72="", "", IF( $K72="",$BA71, IF($R72 = "", "", $R72)))</f>
        <v/>
      </c>
      <c r="BB72" s="191">
        <f t="shared" si="25"/>
        <v>0</v>
      </c>
      <c r="BC72" s="191" t="str">
        <f t="shared" si="26"/>
        <v/>
      </c>
      <c r="BD72" s="191" t="str">
        <f t="shared" si="27"/>
        <v/>
      </c>
      <c r="BF72" s="192">
        <f t="shared" si="28"/>
        <v>0</v>
      </c>
      <c r="BG72" s="192">
        <f t="shared" si="29"/>
        <v>0</v>
      </c>
      <c r="BH72" s="192" t="str">
        <f>IF( $B72="", "", IF(ISNA(VLOOKUP($C72, Defesa!$C$7:$C$29,1,FALSE)),1,0))</f>
        <v/>
      </c>
      <c r="BI72" s="193" t="str">
        <f t="shared" si="30"/>
        <v/>
      </c>
      <c r="BJ72" s="193" t="str">
        <f>IF($B72="", "", IF( AND( $AI72="ESTIMATIVA", OR( Defesa!$F$7 = "AUTOMÁTICA", Defesa!$F$7 ="100% BASELINE")), 1, 0))</f>
        <v/>
      </c>
      <c r="BK72" s="192" t="str">
        <f t="shared" ref="BK72:BK103" si="57">IF($B72="", "", IF(COUNTIFS($AB:$AB, $AB72,$B:$B, $B72)&gt;1, 1, 0))</f>
        <v/>
      </c>
      <c r="BL72" s="192">
        <f t="shared" si="31"/>
        <v>0</v>
      </c>
      <c r="BM72" s="192" t="str">
        <f>IF($AC72="", "", IF(ISNA(VLOOKUP($AC72, TABELAS!$Q:$Q, 1, FALSE)), 1, 0))</f>
        <v/>
      </c>
      <c r="BN72" s="194" t="str">
        <f t="shared" ref="BN72:BN103" si="58">IF($B72= "", "", IF( SUMIFS($AW:$AW,$C:$C, $C72,$D:$D, $D72,$E:$E, $E72) = 1, 0, 1))</f>
        <v/>
      </c>
      <c r="BO72" s="192" t="str">
        <f t="shared" si="32"/>
        <v/>
      </c>
      <c r="BP72" s="192" t="str">
        <f t="shared" si="33"/>
        <v/>
      </c>
      <c r="BQ72" s="193" t="str">
        <f t="shared" si="34"/>
        <v/>
      </c>
      <c r="BR72" s="192" t="str">
        <f t="shared" si="35"/>
        <v/>
      </c>
      <c r="BS72" s="192" t="str">
        <f t="shared" si="36"/>
        <v/>
      </c>
      <c r="BT72" s="192" t="str">
        <f>IF(OR($B72="", $AH72 = "SIM"), "", IF( ISNA(VLOOKUP($AP72,#REF!, 1, FALSE)), 1, 0))</f>
        <v/>
      </c>
      <c r="BU72" s="192" t="str">
        <f t="shared" si="37"/>
        <v/>
      </c>
      <c r="BV72" s="192" t="str">
        <f>IF( $B72="", "", IF( ISNA(VLOOKUP($AN72, TABELAS!$T$2:$T$9,1,FALSE)), 1, 0))</f>
        <v/>
      </c>
      <c r="BW72" s="192" t="str">
        <f t="shared" si="38"/>
        <v/>
      </c>
      <c r="BX72" s="192" t="str">
        <f>IF( OR($B72="", $AH72 = "SIM"), "", IF( ISNA( VLOOKUP( $AQ72, SISTEMA!$B:$B, 1, FALSE)), 1, 0))</f>
        <v/>
      </c>
      <c r="BY72" s="193" t="str">
        <f t="shared" si="39"/>
        <v/>
      </c>
      <c r="BZ72" s="193" t="str">
        <f t="shared" si="40"/>
        <v/>
      </c>
      <c r="CA72" s="192" t="str">
        <f t="shared" si="41"/>
        <v/>
      </c>
      <c r="CB72" s="193" t="str">
        <f t="shared" si="42"/>
        <v/>
      </c>
      <c r="CC72" s="193" t="str">
        <f t="shared" si="43"/>
        <v/>
      </c>
      <c r="CD72" s="193" t="str">
        <f t="shared" si="44"/>
        <v/>
      </c>
    </row>
    <row r="73" spans="1:82" x14ac:dyDescent="0.2">
      <c r="A73" s="140"/>
      <c r="B73" s="141" t="str">
        <f t="shared" ref="B73:B136" si="59" xml:space="preserve"> IF( C73 = "", "", C73 &amp; "." &amp; D73 &amp; "."  &amp; E73)</f>
        <v/>
      </c>
      <c r="C73" s="142" t="str">
        <f t="shared" si="47"/>
        <v/>
      </c>
      <c r="D73" s="142" t="str">
        <f t="shared" ref="D73:D136" si="60">IF( $C73 = "", "", IF( $M73="", IF(AND($C72=$C73,$G73 = ""), $D72, ""), TEXT($M73,"000")))</f>
        <v/>
      </c>
      <c r="E73" s="142" t="str">
        <f>IF($C73="", "", COUNTIF($M$8:$M73,$D73))</f>
        <v/>
      </c>
      <c r="F73" s="254">
        <v>66</v>
      </c>
      <c r="G73" s="143"/>
      <c r="H73" s="144"/>
      <c r="I73" s="144"/>
      <c r="J73" s="145"/>
      <c r="K73" s="144"/>
      <c r="L73" s="144"/>
      <c r="M73" s="144"/>
      <c r="N73" s="146"/>
      <c r="O73" s="147"/>
      <c r="P73" s="147"/>
      <c r="Q73" s="147"/>
      <c r="R73" s="147"/>
      <c r="S73" s="147"/>
      <c r="T73" s="149"/>
      <c r="U73" s="150" t="str">
        <f>IF($T73="", "", VLOOKUP($T73, CONTRATOS!$B:$E, 2, FALSE))</f>
        <v/>
      </c>
      <c r="V73" s="151">
        <f>IF(OR($T73="",TB_DEFESA!$C$2="CARGA BASELINE"),0,
   IF(VLOOKUP($T73, CONTRATOS!B:E, 3, FALSE)&lt;&gt;"",1,IF(VLOOKUP($T73, CONTRATOS!B:E, 4, FALSE)&lt;&gt;"",2,0)))</f>
        <v>0</v>
      </c>
      <c r="W73" s="152"/>
      <c r="X73" s="152"/>
      <c r="Y73" s="153"/>
      <c r="Z73" s="154"/>
      <c r="AA73" s="155"/>
      <c r="AB73" s="156"/>
      <c r="AC73" s="157"/>
      <c r="AD73" s="155"/>
      <c r="AE73" s="158" t="str">
        <f t="shared" si="48"/>
        <v/>
      </c>
      <c r="AF73" s="160" t="str">
        <f t="shared" ref="AF73:AF136" si="61">IF(B73= "", "", IF(SUM($BF73:$CD73) = 0, 0, 1))</f>
        <v/>
      </c>
      <c r="AG73" s="182" t="s">
        <v>59</v>
      </c>
      <c r="AH73" s="183" t="str">
        <f t="shared" ref="AH73:AH136" si="62">IF($B73="","", IF( AND($G73="", $B73 = $B72 ), $AH72, $G73))</f>
        <v/>
      </c>
      <c r="AI73" s="183" t="str">
        <f t="shared" ref="AI73:AI136" si="63">IF($B73 = "", "",  IF( AND($H73= "", $B73 = $B72 ), $AI72, $H73))</f>
        <v/>
      </c>
      <c r="AJ73" s="184" t="str">
        <f t="shared" ref="AJ73:AJ136" si="64">IF(AND($AB73="", $V73=""),"",IF(AND($I73="",$B73=$B72), $AJ72, IF($I73="","",$I73)))</f>
        <v/>
      </c>
      <c r="AK73" s="185" t="str">
        <f t="shared" ref="AK73:AK136" si="65">IF($B73="", "", IF( AND($J73 = "",$B73=$B72), $AK72, $J73))</f>
        <v/>
      </c>
      <c r="AL73" s="186"/>
      <c r="AM73" s="183" t="str">
        <f t="shared" ref="AM73:AM136" si="66">IF( $B73 = "", "",  IF(AND($N73= "",$B73=$B72), $AM72, $O73))</f>
        <v/>
      </c>
      <c r="AN73" s="183" t="str">
        <f t="shared" ref="AN73:AN136" si="67">IF( $B73 = "", "",  IF( AND($X73= "",$B73=$B72), $AN72, $X73))</f>
        <v/>
      </c>
      <c r="AO73" s="186" t="str">
        <f t="shared" ref="AO73:AO136" si="68">IF($B73="", "",  IF( AND($U73= "",$B73=$B72), $AO72, $U73))</f>
        <v/>
      </c>
      <c r="AP73" s="187" t="str">
        <f t="shared" ref="AP73:AP136" si="69">IF( $B73 = "", "",  IF( AND($U73= "",$B73=$B72), $AP72, IF($T73 = "", "", $T73)))</f>
        <v/>
      </c>
      <c r="AQ73" s="187" t="str">
        <f t="shared" ref="AQ73:AQ136" si="70">IF($B73="","",IF(AND($W73="",$B73=$B72),$AQ72,IF($W73="","",$W73)))</f>
        <v/>
      </c>
      <c r="AR73" s="188" t="str">
        <f t="shared" si="49"/>
        <v/>
      </c>
      <c r="AS73" s="188" t="str">
        <f t="shared" si="50"/>
        <v/>
      </c>
      <c r="AT73" s="183" t="str">
        <f t="shared" si="51"/>
        <v/>
      </c>
      <c r="AU73" s="189" t="str">
        <f>IF(OR($B73="", $AP73= ""),"",IF(VLOOKUP($AP73, CONTRATOS!B:K,3,FALSE)="","",VLOOKUP($AP73, CONTRATOS!B:K, 3,FALSE)))</f>
        <v/>
      </c>
      <c r="AV73" s="189" t="str">
        <f>IF(OR($B73="", $AP73 = ""), "", IF(VLOOKUP($AP73, CONTRATOS!B:K,4,FALSE)="","",VLOOKUP($AP73, CONTRATOS!B:K,4, FALSE)))</f>
        <v/>
      </c>
      <c r="AW73" s="190" t="str">
        <f t="shared" si="52"/>
        <v/>
      </c>
      <c r="AX73" s="189" t="str">
        <f t="shared" si="53"/>
        <v/>
      </c>
      <c r="AY73" s="189" t="str">
        <f t="shared" si="54"/>
        <v/>
      </c>
      <c r="AZ73" s="189" t="str">
        <f t="shared" si="55"/>
        <v/>
      </c>
      <c r="BA73" s="189" t="str">
        <f t="shared" si="56"/>
        <v/>
      </c>
      <c r="BB73" s="191">
        <f t="shared" ref="BB73:BB136" si="71">IF( $B73 = "", 0, ROW($B73))</f>
        <v>0</v>
      </c>
      <c r="BC73" s="191" t="str">
        <f t="shared" ref="BC73:BC136" si="72">IF($AC73="","",IF($AC73="Próximos Anos",$AC73,RIGHT($AC73,4)))</f>
        <v/>
      </c>
      <c r="BD73" s="191" t="str">
        <f t="shared" ref="BD73:BD136" si="73">IF($B73="", "", IF($B73=$B72, $BD72, $V73))</f>
        <v/>
      </c>
      <c r="BF73" s="192">
        <f t="shared" ref="BF73:BF136" si="74">IF( AND($G73="SIM", OR($H73="", $I73="", $J73="", $K73="",  $M73="", $O73="", $P73="", $Q73="", $R73="", $X73="",  $AA73="", $AB73="", $AC73="", $AD73="")), 1, 0)</f>
        <v>0</v>
      </c>
      <c r="BG73" s="192">
        <f t="shared" ref="BG73:BG136" si="75">IF(AND($G73="NÃO", OR($H73="", $I73="", $J73="", $K73="",  $M73="", $O73="", $T73="", $W73="", $X73="", $AA73="")), 1,
    IF( AND($AH73="NÃO",  $AU73 ="", OR( $AB73="", $AC73="", $AD73="")), 1,
    IF( AND($AH73="NÃO",  $AU73 &lt;&gt; "", $BD73&lt;&gt; 0, OR($AB73&lt;&gt;"", $AC73&lt;&gt;"", $AD73&lt;&gt;"") ), 1, 0 ) ) )</f>
        <v>0</v>
      </c>
      <c r="BH73" s="192" t="str">
        <f>IF( $B73="", "", IF(ISNA(VLOOKUP($C73, Defesa!$C$7:$C$29,1,FALSE)),1,0))</f>
        <v/>
      </c>
      <c r="BI73" s="193" t="str">
        <f t="shared" ref="BI73:BI136" si="76">IF($B73= "", "",  IF(OR($D73 = "N/A", LEFT($D73, 2) = "ME", AND(LEN($D73) = 12, LEFT($D73, 4) = "PROP")), 0, 1))</f>
        <v/>
      </c>
      <c r="BJ73" s="193" t="str">
        <f>IF($B73="", "", IF( AND( $AI73="ESTIMATIVA", OR( Defesa!$F$7 = "AUTOMÁTICA", Defesa!$F$7 ="100% BASELINE")), 1, 0))</f>
        <v/>
      </c>
      <c r="BK73" s="192" t="str">
        <f t="shared" si="57"/>
        <v/>
      </c>
      <c r="BL73" s="192">
        <f t="shared" ref="BL73:BL136" si="77">IF( OR($B73= "",$V73 = 1), 0,  IF( OR($AC73 = "", $AD73="", $AB73=""), 1, 0))</f>
        <v>0</v>
      </c>
      <c r="BM73" s="192" t="str">
        <f>IF($AC73="", "", IF(ISNA(VLOOKUP($AC73, TABELAS!$Q:$Q, 1, FALSE)), 1, 0))</f>
        <v/>
      </c>
      <c r="BN73" s="194" t="str">
        <f t="shared" si="58"/>
        <v/>
      </c>
      <c r="BO73" s="192" t="str">
        <f t="shared" ref="BO73:BO136" si="78">IF( $B73 ="", "", IF( AND($V73 = 1, OR( $AC73 &lt;&gt; "", $AB73 &lt;&gt; "", $AD73 &lt;&gt; "")), 1, 0))</f>
        <v/>
      </c>
      <c r="BP73" s="192" t="str">
        <f t="shared" ref="BP73:BP136" si="79" xml:space="preserve"> IF($B73 = "", "", IF(AND( $AI73 = "SIM", $AP73= "&lt; A DEFINIR &gt;"), 1, 0))</f>
        <v/>
      </c>
      <c r="BQ73" s="193" t="str">
        <f t="shared" ref="BQ73:BQ136" si="80">IF($B73="", "", IF( AND($AI73="SIM", OR(LEFT($D73,2)="ME", $D73 = "N/A")), 1, 0))</f>
        <v/>
      </c>
      <c r="BR73" s="192" t="str">
        <f t="shared" ref="BR73:BR136" si="81" xml:space="preserve"> IF($B73 = "", "", IF( AND( $AJ73 = "SIM", OR($AP73= "&lt; A DEFINIR &gt;", $V73 = 1, $AI73 = "ESTIMATIVA")), 1, 0))</f>
        <v/>
      </c>
      <c r="BS73" s="192" t="str">
        <f t="shared" ref="BS73:BS136" si="82" xml:space="preserve"> IF(B73 = "", "", IF(AND($X73 &lt;&gt; "N/A",  V73 = 1), 1, 0))</f>
        <v/>
      </c>
      <c r="BT73" s="192" t="str">
        <f>IF(OR($B73="", $AH73 = "SIM"), "", IF( ISNA(VLOOKUP($AP73,#REF!, 1, FALSE)), 1, 0))</f>
        <v/>
      </c>
      <c r="BU73" s="192" t="str">
        <f t="shared" ref="BU73:BU136" si="83">IF($AP73="", "", IF( AND(OR($AO73=4600046592, $U73 = 4600041840), $AN73&lt;&gt; "BTSA Fixa R2"), 1,0))</f>
        <v/>
      </c>
      <c r="BV73" s="192" t="str">
        <f>IF( $B73="", "", IF( ISNA(VLOOKUP($AN73, TABELAS!$T$2:$T$9,1,FALSE)), 1, 0))</f>
        <v/>
      </c>
      <c r="BW73" s="192" t="str">
        <f t="shared" ref="BW73:BW136" si="84" xml:space="preserve"> IF($B73 = "", "", IF( AND( $AN73 = "N/A", $V73 &lt;&gt;  1), 1, 0) )</f>
        <v/>
      </c>
      <c r="BX73" s="192" t="str">
        <f>IF( OR($B73="", $AH73 = "SIM"), "", IF( ISNA( VLOOKUP( $AQ73, SISTEMA!$B:$B, 1, FALSE)), 1, 0))</f>
        <v/>
      </c>
      <c r="BY73" s="193" t="str">
        <f t="shared" ref="BY73:BY136" si="85">IF( $B73="", "", IF( AND($AI73="ESTIMATIVA", LEFT($D73, 4)="PROP"), 1, 0))</f>
        <v/>
      </c>
      <c r="BZ73" s="193" t="str">
        <f t="shared" ref="BZ73:BZ136" si="86">IF( $B73="", "", IF( AND($AX73&lt;&gt;"", $V73 = 1), 1, 0))</f>
        <v/>
      </c>
      <c r="CA73" s="192" t="str">
        <f t="shared" ref="CA73:CA136" si="87">IF($B73="", "", IF( AND($AM73 &lt;&gt; "SERVIÇOS", $AM73 &lt;&gt; "HARDWARE", $AM73 &lt;&gt; "SOFTWARE", $AM73 &lt;&gt; "FACILITIES", $AM73 &lt;&gt; "VIAGENS"  ), 1, 0))</f>
        <v/>
      </c>
      <c r="CB73" s="193" t="str">
        <f t="shared" ref="CB73:CB136" si="88">IF( $B73="", "", IF( AND( $AH73 = "NÃO", OR( $AM73 = "SOFTWARE", $AM73 = "HARDWARE", $AM73 = "FACILITIES")), 1, 0))</f>
        <v/>
      </c>
      <c r="CC73" s="193" t="str">
        <f t="shared" ref="CC73:CC136" si="89">IF( $B73="", "", IF( AND($AI73="COMPLEMENTO", LEFT($D73, 4)="PROP"), 1, 0))</f>
        <v/>
      </c>
      <c r="CD73" s="193" t="str">
        <f t="shared" ref="CD73:CD136" si="90">IF( $B73="", "", IF( AND($D73=$D72, $AP73 &lt;&gt; $AP72), 1, 0))</f>
        <v/>
      </c>
    </row>
    <row r="74" spans="1:82" x14ac:dyDescent="0.2">
      <c r="A74" s="140"/>
      <c r="B74" s="141" t="str">
        <f t="shared" si="59"/>
        <v/>
      </c>
      <c r="C74" s="142" t="str">
        <f t="shared" si="47"/>
        <v/>
      </c>
      <c r="D74" s="142" t="str">
        <f t="shared" si="60"/>
        <v/>
      </c>
      <c r="E74" s="142" t="str">
        <f>IF($C74="", "", COUNTIF($M$8:$M74,$D74))</f>
        <v/>
      </c>
      <c r="F74" s="254">
        <v>67</v>
      </c>
      <c r="G74" s="143"/>
      <c r="H74" s="144"/>
      <c r="I74" s="144"/>
      <c r="J74" s="145"/>
      <c r="K74" s="144"/>
      <c r="L74" s="144"/>
      <c r="M74" s="144"/>
      <c r="N74" s="146"/>
      <c r="O74" s="147"/>
      <c r="P74" s="147"/>
      <c r="Q74" s="147"/>
      <c r="R74" s="147"/>
      <c r="S74" s="147"/>
      <c r="T74" s="149"/>
      <c r="U74" s="150" t="str">
        <f>IF($T74="", "", VLOOKUP($T74, CONTRATOS!$B:$E, 2, FALSE))</f>
        <v/>
      </c>
      <c r="V74" s="151">
        <f>IF(OR($T74="",TB_DEFESA!$C$2="CARGA BASELINE"),0,
   IF(VLOOKUP($T74, CONTRATOS!B:E, 3, FALSE)&lt;&gt;"",1,IF(VLOOKUP($T74, CONTRATOS!B:E, 4, FALSE)&lt;&gt;"",2,0)))</f>
        <v>0</v>
      </c>
      <c r="W74" s="152"/>
      <c r="X74" s="152"/>
      <c r="Y74" s="153"/>
      <c r="Z74" s="154"/>
      <c r="AA74" s="155"/>
      <c r="AB74" s="156"/>
      <c r="AC74" s="157"/>
      <c r="AD74" s="155"/>
      <c r="AE74" s="158" t="str">
        <f t="shared" si="48"/>
        <v/>
      </c>
      <c r="AF74" s="160" t="str">
        <f t="shared" si="61"/>
        <v/>
      </c>
      <c r="AG74" s="182" t="s">
        <v>59</v>
      </c>
      <c r="AH74" s="183" t="str">
        <f t="shared" si="62"/>
        <v/>
      </c>
      <c r="AI74" s="183" t="str">
        <f t="shared" si="63"/>
        <v/>
      </c>
      <c r="AJ74" s="184" t="str">
        <f t="shared" si="64"/>
        <v/>
      </c>
      <c r="AK74" s="185" t="str">
        <f t="shared" si="65"/>
        <v/>
      </c>
      <c r="AL74" s="186"/>
      <c r="AM74" s="183" t="str">
        <f t="shared" si="66"/>
        <v/>
      </c>
      <c r="AN74" s="183" t="str">
        <f t="shared" si="67"/>
        <v/>
      </c>
      <c r="AO74" s="186" t="str">
        <f t="shared" si="68"/>
        <v/>
      </c>
      <c r="AP74" s="187" t="str">
        <f t="shared" si="69"/>
        <v/>
      </c>
      <c r="AQ74" s="187" t="str">
        <f t="shared" si="70"/>
        <v/>
      </c>
      <c r="AR74" s="188" t="str">
        <f t="shared" si="49"/>
        <v/>
      </c>
      <c r="AS74" s="188" t="str">
        <f t="shared" si="50"/>
        <v/>
      </c>
      <c r="AT74" s="183" t="str">
        <f t="shared" si="51"/>
        <v/>
      </c>
      <c r="AU74" s="189" t="str">
        <f>IF(OR($B74="", $AP74= ""),"",IF(VLOOKUP($AP74, CONTRATOS!B:K,3,FALSE)="","",VLOOKUP($AP74, CONTRATOS!B:K, 3,FALSE)))</f>
        <v/>
      </c>
      <c r="AV74" s="189" t="str">
        <f>IF(OR($B74="", $AP74 = ""), "", IF(VLOOKUP($AP74, CONTRATOS!B:K,4,FALSE)="","",VLOOKUP($AP74, CONTRATOS!B:K,4, FALSE)))</f>
        <v/>
      </c>
      <c r="AW74" s="190" t="str">
        <f t="shared" si="52"/>
        <v/>
      </c>
      <c r="AX74" s="189" t="str">
        <f t="shared" si="53"/>
        <v/>
      </c>
      <c r="AY74" s="189" t="str">
        <f t="shared" si="54"/>
        <v/>
      </c>
      <c r="AZ74" s="189" t="str">
        <f t="shared" si="55"/>
        <v/>
      </c>
      <c r="BA74" s="189" t="str">
        <f t="shared" si="56"/>
        <v/>
      </c>
      <c r="BB74" s="191">
        <f t="shared" si="71"/>
        <v>0</v>
      </c>
      <c r="BC74" s="191" t="str">
        <f t="shared" si="72"/>
        <v/>
      </c>
      <c r="BD74" s="191" t="str">
        <f t="shared" si="73"/>
        <v/>
      </c>
      <c r="BF74" s="192">
        <f t="shared" si="74"/>
        <v>0</v>
      </c>
      <c r="BG74" s="192">
        <f t="shared" si="75"/>
        <v>0</v>
      </c>
      <c r="BH74" s="192" t="str">
        <f>IF( $B74="", "", IF(ISNA(VLOOKUP($C74, Defesa!$C$7:$C$29,1,FALSE)),1,0))</f>
        <v/>
      </c>
      <c r="BI74" s="193" t="str">
        <f t="shared" si="76"/>
        <v/>
      </c>
      <c r="BJ74" s="193" t="str">
        <f>IF($B74="", "", IF( AND( $AI74="ESTIMATIVA", OR( Defesa!$F$7 = "AUTOMÁTICA", Defesa!$F$7 ="100% BASELINE")), 1, 0))</f>
        <v/>
      </c>
      <c r="BK74" s="192" t="str">
        <f t="shared" si="57"/>
        <v/>
      </c>
      <c r="BL74" s="192">
        <f t="shared" si="77"/>
        <v>0</v>
      </c>
      <c r="BM74" s="192" t="str">
        <f>IF($AC74="", "", IF(ISNA(VLOOKUP($AC74, TABELAS!$Q:$Q, 1, FALSE)), 1, 0))</f>
        <v/>
      </c>
      <c r="BN74" s="194" t="str">
        <f t="shared" si="58"/>
        <v/>
      </c>
      <c r="BO74" s="192" t="str">
        <f t="shared" si="78"/>
        <v/>
      </c>
      <c r="BP74" s="192" t="str">
        <f t="shared" si="79"/>
        <v/>
      </c>
      <c r="BQ74" s="193" t="str">
        <f t="shared" si="80"/>
        <v/>
      </c>
      <c r="BR74" s="192" t="str">
        <f t="shared" si="81"/>
        <v/>
      </c>
      <c r="BS74" s="192" t="str">
        <f t="shared" si="82"/>
        <v/>
      </c>
      <c r="BT74" s="192" t="str">
        <f>IF(OR($B74="", $AH74 = "SIM"), "", IF( ISNA(VLOOKUP($AP74,#REF!, 1, FALSE)), 1, 0))</f>
        <v/>
      </c>
      <c r="BU74" s="192" t="str">
        <f t="shared" si="83"/>
        <v/>
      </c>
      <c r="BV74" s="192" t="str">
        <f>IF( $B74="", "", IF( ISNA(VLOOKUP($AN74, TABELAS!$T$2:$T$9,1,FALSE)), 1, 0))</f>
        <v/>
      </c>
      <c r="BW74" s="192" t="str">
        <f t="shared" si="84"/>
        <v/>
      </c>
      <c r="BX74" s="192" t="str">
        <f>IF( OR($B74="", $AH74 = "SIM"), "", IF( ISNA( VLOOKUP( $AQ74, SISTEMA!$B:$B, 1, FALSE)), 1, 0))</f>
        <v/>
      </c>
      <c r="BY74" s="193" t="str">
        <f t="shared" si="85"/>
        <v/>
      </c>
      <c r="BZ74" s="193" t="str">
        <f t="shared" si="86"/>
        <v/>
      </c>
      <c r="CA74" s="192" t="str">
        <f t="shared" si="87"/>
        <v/>
      </c>
      <c r="CB74" s="193" t="str">
        <f t="shared" si="88"/>
        <v/>
      </c>
      <c r="CC74" s="193" t="str">
        <f t="shared" si="89"/>
        <v/>
      </c>
      <c r="CD74" s="193" t="str">
        <f t="shared" si="90"/>
        <v/>
      </c>
    </row>
    <row r="75" spans="1:82" x14ac:dyDescent="0.2">
      <c r="A75" s="140"/>
      <c r="B75" s="141" t="str">
        <f t="shared" si="59"/>
        <v/>
      </c>
      <c r="C75" s="142" t="str">
        <f t="shared" si="47"/>
        <v/>
      </c>
      <c r="D75" s="142" t="str">
        <f t="shared" si="60"/>
        <v/>
      </c>
      <c r="E75" s="142" t="str">
        <f>IF($C75="", "", COUNTIF($M$8:$M75,$D75))</f>
        <v/>
      </c>
      <c r="F75" s="254">
        <v>68</v>
      </c>
      <c r="G75" s="143"/>
      <c r="H75" s="144"/>
      <c r="I75" s="144"/>
      <c r="J75" s="145"/>
      <c r="K75" s="144"/>
      <c r="L75" s="144"/>
      <c r="M75" s="144"/>
      <c r="N75" s="146"/>
      <c r="O75" s="147"/>
      <c r="P75" s="147"/>
      <c r="Q75" s="147"/>
      <c r="R75" s="147"/>
      <c r="S75" s="147"/>
      <c r="T75" s="149"/>
      <c r="U75" s="150" t="str">
        <f>IF($T75="", "", VLOOKUP($T75, CONTRATOS!$B:$E, 2, FALSE))</f>
        <v/>
      </c>
      <c r="V75" s="151">
        <f>IF(OR($T75="",TB_DEFESA!$C$2="CARGA BASELINE"),0,
   IF(VLOOKUP($T75, CONTRATOS!B:E, 3, FALSE)&lt;&gt;"",1,IF(VLOOKUP($T75, CONTRATOS!B:E, 4, FALSE)&lt;&gt;"",2,0)))</f>
        <v>0</v>
      </c>
      <c r="W75" s="152"/>
      <c r="X75" s="152"/>
      <c r="Y75" s="153"/>
      <c r="Z75" s="154"/>
      <c r="AA75" s="155"/>
      <c r="AB75" s="156"/>
      <c r="AC75" s="157"/>
      <c r="AD75" s="155"/>
      <c r="AE75" s="158" t="str">
        <f t="shared" si="48"/>
        <v/>
      </c>
      <c r="AF75" s="160" t="str">
        <f t="shared" si="61"/>
        <v/>
      </c>
      <c r="AG75" s="182" t="s">
        <v>59</v>
      </c>
      <c r="AH75" s="183" t="str">
        <f t="shared" si="62"/>
        <v/>
      </c>
      <c r="AI75" s="183" t="str">
        <f t="shared" si="63"/>
        <v/>
      </c>
      <c r="AJ75" s="184" t="str">
        <f t="shared" si="64"/>
        <v/>
      </c>
      <c r="AK75" s="185" t="str">
        <f t="shared" si="65"/>
        <v/>
      </c>
      <c r="AL75" s="186"/>
      <c r="AM75" s="183" t="str">
        <f t="shared" si="66"/>
        <v/>
      </c>
      <c r="AN75" s="183" t="str">
        <f t="shared" si="67"/>
        <v/>
      </c>
      <c r="AO75" s="186" t="str">
        <f t="shared" si="68"/>
        <v/>
      </c>
      <c r="AP75" s="187" t="str">
        <f t="shared" si="69"/>
        <v/>
      </c>
      <c r="AQ75" s="187" t="str">
        <f t="shared" si="70"/>
        <v/>
      </c>
      <c r="AR75" s="188" t="str">
        <f t="shared" si="49"/>
        <v/>
      </c>
      <c r="AS75" s="188" t="str">
        <f t="shared" si="50"/>
        <v/>
      </c>
      <c r="AT75" s="183" t="str">
        <f t="shared" si="51"/>
        <v/>
      </c>
      <c r="AU75" s="189" t="str">
        <f>IF(OR($B75="", $AP75= ""),"",IF(VLOOKUP($AP75, CONTRATOS!B:K,3,FALSE)="","",VLOOKUP($AP75, CONTRATOS!B:K, 3,FALSE)))</f>
        <v/>
      </c>
      <c r="AV75" s="189" t="str">
        <f>IF(OR($B75="", $AP75 = ""), "", IF(VLOOKUP($AP75, CONTRATOS!B:K,4,FALSE)="","",VLOOKUP($AP75, CONTRATOS!B:K,4, FALSE)))</f>
        <v/>
      </c>
      <c r="AW75" s="190" t="str">
        <f t="shared" si="52"/>
        <v/>
      </c>
      <c r="AX75" s="189" t="str">
        <f t="shared" si="53"/>
        <v/>
      </c>
      <c r="AY75" s="189" t="str">
        <f t="shared" si="54"/>
        <v/>
      </c>
      <c r="AZ75" s="189" t="str">
        <f t="shared" si="55"/>
        <v/>
      </c>
      <c r="BA75" s="189" t="str">
        <f t="shared" si="56"/>
        <v/>
      </c>
      <c r="BB75" s="191">
        <f t="shared" si="71"/>
        <v>0</v>
      </c>
      <c r="BC75" s="191" t="str">
        <f t="shared" si="72"/>
        <v/>
      </c>
      <c r="BD75" s="191" t="str">
        <f t="shared" si="73"/>
        <v/>
      </c>
      <c r="BF75" s="192">
        <f t="shared" si="74"/>
        <v>0</v>
      </c>
      <c r="BG75" s="192">
        <f t="shared" si="75"/>
        <v>0</v>
      </c>
      <c r="BH75" s="192" t="str">
        <f>IF( $B75="", "", IF(ISNA(VLOOKUP($C75, Defesa!$C$7:$C$29,1,FALSE)),1,0))</f>
        <v/>
      </c>
      <c r="BI75" s="193" t="str">
        <f t="shared" si="76"/>
        <v/>
      </c>
      <c r="BJ75" s="193" t="str">
        <f>IF($B75="", "", IF( AND( $AI75="ESTIMATIVA", OR( Defesa!$F$7 = "AUTOMÁTICA", Defesa!$F$7 ="100% BASELINE")), 1, 0))</f>
        <v/>
      </c>
      <c r="BK75" s="192" t="str">
        <f t="shared" si="57"/>
        <v/>
      </c>
      <c r="BL75" s="192">
        <f t="shared" si="77"/>
        <v>0</v>
      </c>
      <c r="BM75" s="192" t="str">
        <f>IF($AC75="", "", IF(ISNA(VLOOKUP($AC75, TABELAS!$Q:$Q, 1, FALSE)), 1, 0))</f>
        <v/>
      </c>
      <c r="BN75" s="194" t="str">
        <f t="shared" si="58"/>
        <v/>
      </c>
      <c r="BO75" s="192" t="str">
        <f t="shared" si="78"/>
        <v/>
      </c>
      <c r="BP75" s="192" t="str">
        <f t="shared" si="79"/>
        <v/>
      </c>
      <c r="BQ75" s="193" t="str">
        <f t="shared" si="80"/>
        <v/>
      </c>
      <c r="BR75" s="192" t="str">
        <f t="shared" si="81"/>
        <v/>
      </c>
      <c r="BS75" s="192" t="str">
        <f t="shared" si="82"/>
        <v/>
      </c>
      <c r="BT75" s="192" t="str">
        <f>IF(OR($B75="", $AH75 = "SIM"), "", IF( ISNA(VLOOKUP($AP75,#REF!, 1, FALSE)), 1, 0))</f>
        <v/>
      </c>
      <c r="BU75" s="192" t="str">
        <f t="shared" si="83"/>
        <v/>
      </c>
      <c r="BV75" s="192" t="str">
        <f>IF( $B75="", "", IF( ISNA(VLOOKUP($AN75, TABELAS!$T$2:$T$9,1,FALSE)), 1, 0))</f>
        <v/>
      </c>
      <c r="BW75" s="192" t="str">
        <f t="shared" si="84"/>
        <v/>
      </c>
      <c r="BX75" s="192" t="str">
        <f>IF( OR($B75="", $AH75 = "SIM"), "", IF( ISNA( VLOOKUP( $AQ75, SISTEMA!$B:$B, 1, FALSE)), 1, 0))</f>
        <v/>
      </c>
      <c r="BY75" s="193" t="str">
        <f t="shared" si="85"/>
        <v/>
      </c>
      <c r="BZ75" s="193" t="str">
        <f t="shared" si="86"/>
        <v/>
      </c>
      <c r="CA75" s="192" t="str">
        <f t="shared" si="87"/>
        <v/>
      </c>
      <c r="CB75" s="193" t="str">
        <f t="shared" si="88"/>
        <v/>
      </c>
      <c r="CC75" s="193" t="str">
        <f t="shared" si="89"/>
        <v/>
      </c>
      <c r="CD75" s="193" t="str">
        <f t="shared" si="90"/>
        <v/>
      </c>
    </row>
    <row r="76" spans="1:82" x14ac:dyDescent="0.2">
      <c r="A76" s="140"/>
      <c r="B76" s="141" t="str">
        <f t="shared" si="59"/>
        <v/>
      </c>
      <c r="C76" s="142" t="str">
        <f t="shared" si="47"/>
        <v/>
      </c>
      <c r="D76" s="142" t="str">
        <f t="shared" si="60"/>
        <v/>
      </c>
      <c r="E76" s="142" t="str">
        <f>IF($C76="", "", COUNTIF($M$8:$M76,$D76))</f>
        <v/>
      </c>
      <c r="F76" s="254">
        <v>69</v>
      </c>
      <c r="G76" s="143"/>
      <c r="H76" s="144"/>
      <c r="I76" s="144"/>
      <c r="J76" s="145"/>
      <c r="K76" s="144"/>
      <c r="L76" s="144"/>
      <c r="M76" s="144"/>
      <c r="N76" s="146"/>
      <c r="O76" s="147"/>
      <c r="P76" s="147"/>
      <c r="Q76" s="147"/>
      <c r="R76" s="147"/>
      <c r="S76" s="147"/>
      <c r="T76" s="149"/>
      <c r="U76" s="150" t="str">
        <f>IF($T76="", "", VLOOKUP($T76, CONTRATOS!$B:$E, 2, FALSE))</f>
        <v/>
      </c>
      <c r="V76" s="151">
        <f>IF(OR($T76="",TB_DEFESA!$C$2="CARGA BASELINE"),0,
   IF(VLOOKUP($T76, CONTRATOS!B:E, 3, FALSE)&lt;&gt;"",1,IF(VLOOKUP($T76, CONTRATOS!B:E, 4, FALSE)&lt;&gt;"",2,0)))</f>
        <v>0</v>
      </c>
      <c r="W76" s="152"/>
      <c r="X76" s="152"/>
      <c r="Y76" s="153"/>
      <c r="Z76" s="154"/>
      <c r="AA76" s="155"/>
      <c r="AB76" s="156"/>
      <c r="AC76" s="157"/>
      <c r="AD76" s="155"/>
      <c r="AE76" s="158" t="str">
        <f t="shared" si="48"/>
        <v/>
      </c>
      <c r="AF76" s="160" t="str">
        <f t="shared" si="61"/>
        <v/>
      </c>
      <c r="AG76" s="182" t="s">
        <v>59</v>
      </c>
      <c r="AH76" s="183" t="str">
        <f t="shared" si="62"/>
        <v/>
      </c>
      <c r="AI76" s="183" t="str">
        <f t="shared" si="63"/>
        <v/>
      </c>
      <c r="AJ76" s="184" t="str">
        <f t="shared" si="64"/>
        <v/>
      </c>
      <c r="AK76" s="185" t="str">
        <f t="shared" si="65"/>
        <v/>
      </c>
      <c r="AL76" s="186"/>
      <c r="AM76" s="183" t="str">
        <f t="shared" si="66"/>
        <v/>
      </c>
      <c r="AN76" s="183" t="str">
        <f t="shared" si="67"/>
        <v/>
      </c>
      <c r="AO76" s="186" t="str">
        <f t="shared" si="68"/>
        <v/>
      </c>
      <c r="AP76" s="187" t="str">
        <f t="shared" si="69"/>
        <v/>
      </c>
      <c r="AQ76" s="187" t="str">
        <f t="shared" si="70"/>
        <v/>
      </c>
      <c r="AR76" s="188" t="str">
        <f t="shared" si="49"/>
        <v/>
      </c>
      <c r="AS76" s="188" t="str">
        <f t="shared" si="50"/>
        <v/>
      </c>
      <c r="AT76" s="183" t="str">
        <f t="shared" si="51"/>
        <v/>
      </c>
      <c r="AU76" s="189" t="str">
        <f>IF(OR($B76="", $AP76= ""),"",IF(VLOOKUP($AP76, CONTRATOS!B:K,3,FALSE)="","",VLOOKUP($AP76, CONTRATOS!B:K, 3,FALSE)))</f>
        <v/>
      </c>
      <c r="AV76" s="189" t="str">
        <f>IF(OR($B76="", $AP76 = ""), "", IF(VLOOKUP($AP76, CONTRATOS!B:K,4,FALSE)="","",VLOOKUP($AP76, CONTRATOS!B:K,4, FALSE)))</f>
        <v/>
      </c>
      <c r="AW76" s="190" t="str">
        <f t="shared" si="52"/>
        <v/>
      </c>
      <c r="AX76" s="189" t="str">
        <f t="shared" si="53"/>
        <v/>
      </c>
      <c r="AY76" s="189" t="str">
        <f t="shared" si="54"/>
        <v/>
      </c>
      <c r="AZ76" s="189" t="str">
        <f t="shared" si="55"/>
        <v/>
      </c>
      <c r="BA76" s="189" t="str">
        <f t="shared" si="56"/>
        <v/>
      </c>
      <c r="BB76" s="191">
        <f t="shared" si="71"/>
        <v>0</v>
      </c>
      <c r="BC76" s="191" t="str">
        <f t="shared" si="72"/>
        <v/>
      </c>
      <c r="BD76" s="191" t="str">
        <f t="shared" si="73"/>
        <v/>
      </c>
      <c r="BF76" s="192">
        <f t="shared" si="74"/>
        <v>0</v>
      </c>
      <c r="BG76" s="192">
        <f t="shared" si="75"/>
        <v>0</v>
      </c>
      <c r="BH76" s="192" t="str">
        <f>IF( $B76="", "", IF(ISNA(VLOOKUP($C76, Defesa!$C$7:$C$29,1,FALSE)),1,0))</f>
        <v/>
      </c>
      <c r="BI76" s="193" t="str">
        <f t="shared" si="76"/>
        <v/>
      </c>
      <c r="BJ76" s="193" t="str">
        <f>IF($B76="", "", IF( AND( $AI76="ESTIMATIVA", OR( Defesa!$F$7 = "AUTOMÁTICA", Defesa!$F$7 ="100% BASELINE")), 1, 0))</f>
        <v/>
      </c>
      <c r="BK76" s="192" t="str">
        <f t="shared" si="57"/>
        <v/>
      </c>
      <c r="BL76" s="192">
        <f t="shared" si="77"/>
        <v>0</v>
      </c>
      <c r="BM76" s="192" t="str">
        <f>IF($AC76="", "", IF(ISNA(VLOOKUP($AC76, TABELAS!$Q:$Q, 1, FALSE)), 1, 0))</f>
        <v/>
      </c>
      <c r="BN76" s="194" t="str">
        <f t="shared" si="58"/>
        <v/>
      </c>
      <c r="BO76" s="192" t="str">
        <f t="shared" si="78"/>
        <v/>
      </c>
      <c r="BP76" s="192" t="str">
        <f t="shared" si="79"/>
        <v/>
      </c>
      <c r="BQ76" s="193" t="str">
        <f t="shared" si="80"/>
        <v/>
      </c>
      <c r="BR76" s="192" t="str">
        <f t="shared" si="81"/>
        <v/>
      </c>
      <c r="BS76" s="192" t="str">
        <f t="shared" si="82"/>
        <v/>
      </c>
      <c r="BT76" s="192" t="str">
        <f>IF(OR($B76="", $AH76 = "SIM"), "", IF( ISNA(VLOOKUP($AP76,#REF!, 1, FALSE)), 1, 0))</f>
        <v/>
      </c>
      <c r="BU76" s="192" t="str">
        <f t="shared" si="83"/>
        <v/>
      </c>
      <c r="BV76" s="192" t="str">
        <f>IF( $B76="", "", IF( ISNA(VLOOKUP($AN76, TABELAS!$T$2:$T$9,1,FALSE)), 1, 0))</f>
        <v/>
      </c>
      <c r="BW76" s="192" t="str">
        <f t="shared" si="84"/>
        <v/>
      </c>
      <c r="BX76" s="192" t="str">
        <f>IF( OR($B76="", $AH76 = "SIM"), "", IF( ISNA( VLOOKUP( $AQ76, SISTEMA!$B:$B, 1, FALSE)), 1, 0))</f>
        <v/>
      </c>
      <c r="BY76" s="193" t="str">
        <f t="shared" si="85"/>
        <v/>
      </c>
      <c r="BZ76" s="193" t="str">
        <f t="shared" si="86"/>
        <v/>
      </c>
      <c r="CA76" s="192" t="str">
        <f t="shared" si="87"/>
        <v/>
      </c>
      <c r="CB76" s="193" t="str">
        <f t="shared" si="88"/>
        <v/>
      </c>
      <c r="CC76" s="193" t="str">
        <f t="shared" si="89"/>
        <v/>
      </c>
      <c r="CD76" s="193" t="str">
        <f t="shared" si="90"/>
        <v/>
      </c>
    </row>
    <row r="77" spans="1:82" x14ac:dyDescent="0.2">
      <c r="A77" s="140"/>
      <c r="B77" s="141" t="str">
        <f t="shared" si="59"/>
        <v/>
      </c>
      <c r="C77" s="142" t="str">
        <f t="shared" si="47"/>
        <v/>
      </c>
      <c r="D77" s="142" t="str">
        <f t="shared" si="60"/>
        <v/>
      </c>
      <c r="E77" s="142" t="str">
        <f>IF($C77="", "", COUNTIF($M$8:$M77,$D77))</f>
        <v/>
      </c>
      <c r="F77" s="254">
        <v>70</v>
      </c>
      <c r="G77" s="143"/>
      <c r="H77" s="144"/>
      <c r="I77" s="144"/>
      <c r="J77" s="145"/>
      <c r="K77" s="144"/>
      <c r="L77" s="144"/>
      <c r="M77" s="144"/>
      <c r="N77" s="146"/>
      <c r="O77" s="147"/>
      <c r="P77" s="147"/>
      <c r="Q77" s="147"/>
      <c r="R77" s="147"/>
      <c r="S77" s="147"/>
      <c r="T77" s="149"/>
      <c r="U77" s="150" t="str">
        <f>IF($T77="", "", VLOOKUP($T77, CONTRATOS!$B:$E, 2, FALSE))</f>
        <v/>
      </c>
      <c r="V77" s="151">
        <f>IF(OR($T77="",TB_DEFESA!$C$2="CARGA BASELINE"),0,
   IF(VLOOKUP($T77, CONTRATOS!B:E, 3, FALSE)&lt;&gt;"",1,IF(VLOOKUP($T77, CONTRATOS!B:E, 4, FALSE)&lt;&gt;"",2,0)))</f>
        <v>0</v>
      </c>
      <c r="W77" s="152"/>
      <c r="X77" s="152"/>
      <c r="Y77" s="153"/>
      <c r="Z77" s="154"/>
      <c r="AA77" s="155"/>
      <c r="AB77" s="156"/>
      <c r="AC77" s="157"/>
      <c r="AD77" s="155"/>
      <c r="AE77" s="158" t="str">
        <f t="shared" si="48"/>
        <v/>
      </c>
      <c r="AF77" s="160" t="str">
        <f t="shared" si="61"/>
        <v/>
      </c>
      <c r="AG77" s="182" t="s">
        <v>59</v>
      </c>
      <c r="AH77" s="183" t="str">
        <f t="shared" si="62"/>
        <v/>
      </c>
      <c r="AI77" s="183" t="str">
        <f t="shared" si="63"/>
        <v/>
      </c>
      <c r="AJ77" s="184" t="str">
        <f t="shared" si="64"/>
        <v/>
      </c>
      <c r="AK77" s="185" t="str">
        <f t="shared" si="65"/>
        <v/>
      </c>
      <c r="AL77" s="186"/>
      <c r="AM77" s="183" t="str">
        <f t="shared" si="66"/>
        <v/>
      </c>
      <c r="AN77" s="183" t="str">
        <f t="shared" si="67"/>
        <v/>
      </c>
      <c r="AO77" s="186" t="str">
        <f t="shared" si="68"/>
        <v/>
      </c>
      <c r="AP77" s="187" t="str">
        <f t="shared" si="69"/>
        <v/>
      </c>
      <c r="AQ77" s="187" t="str">
        <f t="shared" si="70"/>
        <v/>
      </c>
      <c r="AR77" s="188" t="str">
        <f t="shared" si="49"/>
        <v/>
      </c>
      <c r="AS77" s="188" t="str">
        <f t="shared" si="50"/>
        <v/>
      </c>
      <c r="AT77" s="183" t="str">
        <f t="shared" si="51"/>
        <v/>
      </c>
      <c r="AU77" s="189" t="str">
        <f>IF(OR($B77="", $AP77= ""),"",IF(VLOOKUP($AP77, CONTRATOS!B:K,3,FALSE)="","",VLOOKUP($AP77, CONTRATOS!B:K, 3,FALSE)))</f>
        <v/>
      </c>
      <c r="AV77" s="189" t="str">
        <f>IF(OR($B77="", $AP77 = ""), "", IF(VLOOKUP($AP77, CONTRATOS!B:K,4,FALSE)="","",VLOOKUP($AP77, CONTRATOS!B:K,4, FALSE)))</f>
        <v/>
      </c>
      <c r="AW77" s="190" t="str">
        <f t="shared" si="52"/>
        <v/>
      </c>
      <c r="AX77" s="189" t="str">
        <f t="shared" si="53"/>
        <v/>
      </c>
      <c r="AY77" s="189" t="str">
        <f t="shared" si="54"/>
        <v/>
      </c>
      <c r="AZ77" s="189" t="str">
        <f t="shared" si="55"/>
        <v/>
      </c>
      <c r="BA77" s="189" t="str">
        <f t="shared" si="56"/>
        <v/>
      </c>
      <c r="BB77" s="191">
        <f t="shared" si="71"/>
        <v>0</v>
      </c>
      <c r="BC77" s="191" t="str">
        <f t="shared" si="72"/>
        <v/>
      </c>
      <c r="BD77" s="191" t="str">
        <f t="shared" si="73"/>
        <v/>
      </c>
      <c r="BF77" s="192">
        <f t="shared" si="74"/>
        <v>0</v>
      </c>
      <c r="BG77" s="192">
        <f t="shared" si="75"/>
        <v>0</v>
      </c>
      <c r="BH77" s="192" t="str">
        <f>IF( $B77="", "", IF(ISNA(VLOOKUP($C77, Defesa!$C$7:$C$29,1,FALSE)),1,0))</f>
        <v/>
      </c>
      <c r="BI77" s="193" t="str">
        <f t="shared" si="76"/>
        <v/>
      </c>
      <c r="BJ77" s="193" t="str">
        <f>IF($B77="", "", IF( AND( $AI77="ESTIMATIVA", OR( Defesa!$F$7 = "AUTOMÁTICA", Defesa!$F$7 ="100% BASELINE")), 1, 0))</f>
        <v/>
      </c>
      <c r="BK77" s="192" t="str">
        <f t="shared" si="57"/>
        <v/>
      </c>
      <c r="BL77" s="192">
        <f t="shared" si="77"/>
        <v>0</v>
      </c>
      <c r="BM77" s="192" t="str">
        <f>IF($AC77="", "", IF(ISNA(VLOOKUP($AC77, TABELAS!$Q:$Q, 1, FALSE)), 1, 0))</f>
        <v/>
      </c>
      <c r="BN77" s="194" t="str">
        <f t="shared" si="58"/>
        <v/>
      </c>
      <c r="BO77" s="192" t="str">
        <f t="shared" si="78"/>
        <v/>
      </c>
      <c r="BP77" s="192" t="str">
        <f t="shared" si="79"/>
        <v/>
      </c>
      <c r="BQ77" s="193" t="str">
        <f t="shared" si="80"/>
        <v/>
      </c>
      <c r="BR77" s="192" t="str">
        <f t="shared" si="81"/>
        <v/>
      </c>
      <c r="BS77" s="192" t="str">
        <f t="shared" si="82"/>
        <v/>
      </c>
      <c r="BT77" s="192" t="str">
        <f>IF(OR($B77="", $AH77 = "SIM"), "", IF( ISNA(VLOOKUP($AP77,#REF!, 1, FALSE)), 1, 0))</f>
        <v/>
      </c>
      <c r="BU77" s="192" t="str">
        <f t="shared" si="83"/>
        <v/>
      </c>
      <c r="BV77" s="192" t="str">
        <f>IF( $B77="", "", IF( ISNA(VLOOKUP($AN77, TABELAS!$T$2:$T$9,1,FALSE)), 1, 0))</f>
        <v/>
      </c>
      <c r="BW77" s="192" t="str">
        <f t="shared" si="84"/>
        <v/>
      </c>
      <c r="BX77" s="192" t="str">
        <f>IF( OR($B77="", $AH77 = "SIM"), "", IF( ISNA( VLOOKUP( $AQ77, SISTEMA!$B:$B, 1, FALSE)), 1, 0))</f>
        <v/>
      </c>
      <c r="BY77" s="193" t="str">
        <f t="shared" si="85"/>
        <v/>
      </c>
      <c r="BZ77" s="193" t="str">
        <f t="shared" si="86"/>
        <v/>
      </c>
      <c r="CA77" s="192" t="str">
        <f t="shared" si="87"/>
        <v/>
      </c>
      <c r="CB77" s="193" t="str">
        <f t="shared" si="88"/>
        <v/>
      </c>
      <c r="CC77" s="193" t="str">
        <f t="shared" si="89"/>
        <v/>
      </c>
      <c r="CD77" s="193" t="str">
        <f t="shared" si="90"/>
        <v/>
      </c>
    </row>
    <row r="78" spans="1:82" x14ac:dyDescent="0.2">
      <c r="A78" s="140"/>
      <c r="B78" s="141" t="str">
        <f t="shared" si="59"/>
        <v/>
      </c>
      <c r="C78" s="142" t="str">
        <f t="shared" si="47"/>
        <v/>
      </c>
      <c r="D78" s="142" t="str">
        <f t="shared" si="60"/>
        <v/>
      </c>
      <c r="E78" s="142" t="str">
        <f>IF($C78="", "", COUNTIF($M$8:$M78,$D78))</f>
        <v/>
      </c>
      <c r="F78" s="254">
        <v>71</v>
      </c>
      <c r="G78" s="143"/>
      <c r="H78" s="144"/>
      <c r="I78" s="144"/>
      <c r="J78" s="145"/>
      <c r="K78" s="144"/>
      <c r="L78" s="144"/>
      <c r="M78" s="144"/>
      <c r="N78" s="146"/>
      <c r="O78" s="147"/>
      <c r="P78" s="147"/>
      <c r="Q78" s="147"/>
      <c r="R78" s="147"/>
      <c r="S78" s="147"/>
      <c r="T78" s="149"/>
      <c r="U78" s="150" t="str">
        <f>IF($T78="", "", VLOOKUP($T78, CONTRATOS!$B:$E, 2, FALSE))</f>
        <v/>
      </c>
      <c r="V78" s="151">
        <f>IF(OR($T78="",TB_DEFESA!$C$2="CARGA BASELINE"),0,
   IF(VLOOKUP($T78, CONTRATOS!B:E, 3, FALSE)&lt;&gt;"",1,IF(VLOOKUP($T78, CONTRATOS!B:E, 4, FALSE)&lt;&gt;"",2,0)))</f>
        <v>0</v>
      </c>
      <c r="W78" s="152"/>
      <c r="X78" s="152"/>
      <c r="Y78" s="153"/>
      <c r="Z78" s="154"/>
      <c r="AA78" s="155"/>
      <c r="AB78" s="156"/>
      <c r="AC78" s="157"/>
      <c r="AD78" s="155"/>
      <c r="AE78" s="158" t="str">
        <f t="shared" si="48"/>
        <v/>
      </c>
      <c r="AF78" s="160" t="str">
        <f t="shared" si="61"/>
        <v/>
      </c>
      <c r="AG78" s="182" t="s">
        <v>59</v>
      </c>
      <c r="AH78" s="183" t="str">
        <f t="shared" si="62"/>
        <v/>
      </c>
      <c r="AI78" s="183" t="str">
        <f t="shared" si="63"/>
        <v/>
      </c>
      <c r="AJ78" s="184" t="str">
        <f t="shared" si="64"/>
        <v/>
      </c>
      <c r="AK78" s="185" t="str">
        <f t="shared" si="65"/>
        <v/>
      </c>
      <c r="AL78" s="186"/>
      <c r="AM78" s="183" t="str">
        <f t="shared" si="66"/>
        <v/>
      </c>
      <c r="AN78" s="183" t="str">
        <f t="shared" si="67"/>
        <v/>
      </c>
      <c r="AO78" s="186" t="str">
        <f t="shared" si="68"/>
        <v/>
      </c>
      <c r="AP78" s="187" t="str">
        <f t="shared" si="69"/>
        <v/>
      </c>
      <c r="AQ78" s="187" t="str">
        <f t="shared" si="70"/>
        <v/>
      </c>
      <c r="AR78" s="188" t="str">
        <f t="shared" si="49"/>
        <v/>
      </c>
      <c r="AS78" s="188" t="str">
        <f t="shared" si="50"/>
        <v/>
      </c>
      <c r="AT78" s="183" t="str">
        <f t="shared" si="51"/>
        <v/>
      </c>
      <c r="AU78" s="189" t="str">
        <f>IF(OR($B78="", $AP78= ""),"",IF(VLOOKUP($AP78, CONTRATOS!B:K,3,FALSE)="","",VLOOKUP($AP78, CONTRATOS!B:K, 3,FALSE)))</f>
        <v/>
      </c>
      <c r="AV78" s="189" t="str">
        <f>IF(OR($B78="", $AP78 = ""), "", IF(VLOOKUP($AP78, CONTRATOS!B:K,4,FALSE)="","",VLOOKUP($AP78, CONTRATOS!B:K,4, FALSE)))</f>
        <v/>
      </c>
      <c r="AW78" s="190" t="str">
        <f t="shared" si="52"/>
        <v/>
      </c>
      <c r="AX78" s="189" t="str">
        <f t="shared" si="53"/>
        <v/>
      </c>
      <c r="AY78" s="189" t="str">
        <f t="shared" si="54"/>
        <v/>
      </c>
      <c r="AZ78" s="189" t="str">
        <f t="shared" si="55"/>
        <v/>
      </c>
      <c r="BA78" s="189" t="str">
        <f t="shared" si="56"/>
        <v/>
      </c>
      <c r="BB78" s="191">
        <f t="shared" si="71"/>
        <v>0</v>
      </c>
      <c r="BC78" s="191" t="str">
        <f t="shared" si="72"/>
        <v/>
      </c>
      <c r="BD78" s="191" t="str">
        <f t="shared" si="73"/>
        <v/>
      </c>
      <c r="BF78" s="192">
        <f t="shared" si="74"/>
        <v>0</v>
      </c>
      <c r="BG78" s="192">
        <f t="shared" si="75"/>
        <v>0</v>
      </c>
      <c r="BH78" s="192" t="str">
        <f>IF( $B78="", "", IF(ISNA(VLOOKUP($C78, Defesa!$C$7:$C$29,1,FALSE)),1,0))</f>
        <v/>
      </c>
      <c r="BI78" s="193" t="str">
        <f t="shared" si="76"/>
        <v/>
      </c>
      <c r="BJ78" s="193" t="str">
        <f>IF($B78="", "", IF( AND( $AI78="ESTIMATIVA", OR( Defesa!$F$7 = "AUTOMÁTICA", Defesa!$F$7 ="100% BASELINE")), 1, 0))</f>
        <v/>
      </c>
      <c r="BK78" s="192" t="str">
        <f t="shared" si="57"/>
        <v/>
      </c>
      <c r="BL78" s="192">
        <f t="shared" si="77"/>
        <v>0</v>
      </c>
      <c r="BM78" s="192" t="str">
        <f>IF($AC78="", "", IF(ISNA(VLOOKUP($AC78, TABELAS!$Q:$Q, 1, FALSE)), 1, 0))</f>
        <v/>
      </c>
      <c r="BN78" s="194" t="str">
        <f t="shared" si="58"/>
        <v/>
      </c>
      <c r="BO78" s="192" t="str">
        <f t="shared" si="78"/>
        <v/>
      </c>
      <c r="BP78" s="192" t="str">
        <f t="shared" si="79"/>
        <v/>
      </c>
      <c r="BQ78" s="193" t="str">
        <f t="shared" si="80"/>
        <v/>
      </c>
      <c r="BR78" s="192" t="str">
        <f t="shared" si="81"/>
        <v/>
      </c>
      <c r="BS78" s="192" t="str">
        <f t="shared" si="82"/>
        <v/>
      </c>
      <c r="BT78" s="192" t="str">
        <f>IF(OR($B78="", $AH78 = "SIM"), "", IF( ISNA(VLOOKUP($AP78,#REF!, 1, FALSE)), 1, 0))</f>
        <v/>
      </c>
      <c r="BU78" s="192" t="str">
        <f t="shared" si="83"/>
        <v/>
      </c>
      <c r="BV78" s="192" t="str">
        <f>IF( $B78="", "", IF( ISNA(VLOOKUP($AN78, TABELAS!$T$2:$T$9,1,FALSE)), 1, 0))</f>
        <v/>
      </c>
      <c r="BW78" s="192" t="str">
        <f t="shared" si="84"/>
        <v/>
      </c>
      <c r="BX78" s="192" t="str">
        <f>IF( OR($B78="", $AH78 = "SIM"), "", IF( ISNA( VLOOKUP( $AQ78, SISTEMA!$B:$B, 1, FALSE)), 1, 0))</f>
        <v/>
      </c>
      <c r="BY78" s="193" t="str">
        <f t="shared" si="85"/>
        <v/>
      </c>
      <c r="BZ78" s="193" t="str">
        <f t="shared" si="86"/>
        <v/>
      </c>
      <c r="CA78" s="192" t="str">
        <f t="shared" si="87"/>
        <v/>
      </c>
      <c r="CB78" s="193" t="str">
        <f t="shared" si="88"/>
        <v/>
      </c>
      <c r="CC78" s="193" t="str">
        <f t="shared" si="89"/>
        <v/>
      </c>
      <c r="CD78" s="193" t="str">
        <f t="shared" si="90"/>
        <v/>
      </c>
    </row>
    <row r="79" spans="1:82" x14ac:dyDescent="0.2">
      <c r="A79" s="140"/>
      <c r="B79" s="141" t="str">
        <f t="shared" si="59"/>
        <v/>
      </c>
      <c r="C79" s="142" t="str">
        <f t="shared" si="47"/>
        <v/>
      </c>
      <c r="D79" s="142" t="str">
        <f t="shared" si="60"/>
        <v/>
      </c>
      <c r="E79" s="142" t="str">
        <f>IF($C79="", "", COUNTIF($M$8:$M79,$D79))</f>
        <v/>
      </c>
      <c r="F79" s="254">
        <v>72</v>
      </c>
      <c r="G79" s="143"/>
      <c r="H79" s="144"/>
      <c r="I79" s="144"/>
      <c r="J79" s="145"/>
      <c r="K79" s="144"/>
      <c r="L79" s="144"/>
      <c r="M79" s="144"/>
      <c r="N79" s="146"/>
      <c r="O79" s="147"/>
      <c r="P79" s="147"/>
      <c r="Q79" s="147"/>
      <c r="R79" s="147"/>
      <c r="S79" s="147"/>
      <c r="T79" s="149"/>
      <c r="U79" s="150" t="str">
        <f>IF($T79="", "", VLOOKUP($T79, CONTRATOS!$B:$E, 2, FALSE))</f>
        <v/>
      </c>
      <c r="V79" s="151">
        <f>IF(OR($T79="",TB_DEFESA!$C$2="CARGA BASELINE"),0,
   IF(VLOOKUP($T79, CONTRATOS!B:E, 3, FALSE)&lt;&gt;"",1,IF(VLOOKUP($T79, CONTRATOS!B:E, 4, FALSE)&lt;&gt;"",2,0)))</f>
        <v>0</v>
      </c>
      <c r="W79" s="152"/>
      <c r="X79" s="152"/>
      <c r="Y79" s="153"/>
      <c r="Z79" s="154"/>
      <c r="AA79" s="155"/>
      <c r="AB79" s="156"/>
      <c r="AC79" s="157"/>
      <c r="AD79" s="155"/>
      <c r="AE79" s="158" t="str">
        <f t="shared" si="48"/>
        <v/>
      </c>
      <c r="AF79" s="160" t="str">
        <f t="shared" si="61"/>
        <v/>
      </c>
      <c r="AG79" s="182" t="s">
        <v>59</v>
      </c>
      <c r="AH79" s="183" t="str">
        <f t="shared" si="62"/>
        <v/>
      </c>
      <c r="AI79" s="183" t="str">
        <f t="shared" si="63"/>
        <v/>
      </c>
      <c r="AJ79" s="184" t="str">
        <f t="shared" si="64"/>
        <v/>
      </c>
      <c r="AK79" s="185" t="str">
        <f t="shared" si="65"/>
        <v/>
      </c>
      <c r="AL79" s="186"/>
      <c r="AM79" s="183" t="str">
        <f t="shared" si="66"/>
        <v/>
      </c>
      <c r="AN79" s="183" t="str">
        <f t="shared" si="67"/>
        <v/>
      </c>
      <c r="AO79" s="186" t="str">
        <f t="shared" si="68"/>
        <v/>
      </c>
      <c r="AP79" s="187" t="str">
        <f t="shared" si="69"/>
        <v/>
      </c>
      <c r="AQ79" s="187" t="str">
        <f t="shared" si="70"/>
        <v/>
      </c>
      <c r="AR79" s="188" t="str">
        <f t="shared" si="49"/>
        <v/>
      </c>
      <c r="AS79" s="188" t="str">
        <f t="shared" si="50"/>
        <v/>
      </c>
      <c r="AT79" s="183" t="str">
        <f t="shared" si="51"/>
        <v/>
      </c>
      <c r="AU79" s="189" t="str">
        <f>IF(OR($B79="", $AP79= ""),"",IF(VLOOKUP($AP79, CONTRATOS!B:K,3,FALSE)="","",VLOOKUP($AP79, CONTRATOS!B:K, 3,FALSE)))</f>
        <v/>
      </c>
      <c r="AV79" s="189" t="str">
        <f>IF(OR($B79="", $AP79 = ""), "", IF(VLOOKUP($AP79, CONTRATOS!B:K,4,FALSE)="","",VLOOKUP($AP79, CONTRATOS!B:K,4, FALSE)))</f>
        <v/>
      </c>
      <c r="AW79" s="190" t="str">
        <f t="shared" si="52"/>
        <v/>
      </c>
      <c r="AX79" s="189" t="str">
        <f t="shared" si="53"/>
        <v/>
      </c>
      <c r="AY79" s="189" t="str">
        <f t="shared" si="54"/>
        <v/>
      </c>
      <c r="AZ79" s="189" t="str">
        <f t="shared" si="55"/>
        <v/>
      </c>
      <c r="BA79" s="189" t="str">
        <f t="shared" si="56"/>
        <v/>
      </c>
      <c r="BB79" s="191">
        <f t="shared" si="71"/>
        <v>0</v>
      </c>
      <c r="BC79" s="191" t="str">
        <f t="shared" si="72"/>
        <v/>
      </c>
      <c r="BD79" s="191" t="str">
        <f t="shared" si="73"/>
        <v/>
      </c>
      <c r="BF79" s="192">
        <f t="shared" si="74"/>
        <v>0</v>
      </c>
      <c r="BG79" s="192">
        <f t="shared" si="75"/>
        <v>0</v>
      </c>
      <c r="BH79" s="192" t="str">
        <f>IF( $B79="", "", IF(ISNA(VLOOKUP($C79, Defesa!$C$7:$C$29,1,FALSE)),1,0))</f>
        <v/>
      </c>
      <c r="BI79" s="193" t="str">
        <f t="shared" si="76"/>
        <v/>
      </c>
      <c r="BJ79" s="193" t="str">
        <f>IF($B79="", "", IF( AND( $AI79="ESTIMATIVA", OR( Defesa!$F$7 = "AUTOMÁTICA", Defesa!$F$7 ="100% BASELINE")), 1, 0))</f>
        <v/>
      </c>
      <c r="BK79" s="192" t="str">
        <f t="shared" si="57"/>
        <v/>
      </c>
      <c r="BL79" s="192">
        <f t="shared" si="77"/>
        <v>0</v>
      </c>
      <c r="BM79" s="192" t="str">
        <f>IF($AC79="", "", IF(ISNA(VLOOKUP($AC79, TABELAS!$Q:$Q, 1, FALSE)), 1, 0))</f>
        <v/>
      </c>
      <c r="BN79" s="194" t="str">
        <f t="shared" si="58"/>
        <v/>
      </c>
      <c r="BO79" s="192" t="str">
        <f t="shared" si="78"/>
        <v/>
      </c>
      <c r="BP79" s="192" t="str">
        <f t="shared" si="79"/>
        <v/>
      </c>
      <c r="BQ79" s="193" t="str">
        <f t="shared" si="80"/>
        <v/>
      </c>
      <c r="BR79" s="192" t="str">
        <f t="shared" si="81"/>
        <v/>
      </c>
      <c r="BS79" s="192" t="str">
        <f t="shared" si="82"/>
        <v/>
      </c>
      <c r="BT79" s="192" t="str">
        <f>IF(OR($B79="", $AH79 = "SIM"), "", IF( ISNA(VLOOKUP($AP79,#REF!, 1, FALSE)), 1, 0))</f>
        <v/>
      </c>
      <c r="BU79" s="192" t="str">
        <f t="shared" si="83"/>
        <v/>
      </c>
      <c r="BV79" s="192" t="str">
        <f>IF( $B79="", "", IF( ISNA(VLOOKUP($AN79, TABELAS!$T$2:$T$9,1,FALSE)), 1, 0))</f>
        <v/>
      </c>
      <c r="BW79" s="192" t="str">
        <f t="shared" si="84"/>
        <v/>
      </c>
      <c r="BX79" s="192" t="str">
        <f>IF( OR($B79="", $AH79 = "SIM"), "", IF( ISNA( VLOOKUP( $AQ79, SISTEMA!$B:$B, 1, FALSE)), 1, 0))</f>
        <v/>
      </c>
      <c r="BY79" s="193" t="str">
        <f t="shared" si="85"/>
        <v/>
      </c>
      <c r="BZ79" s="193" t="str">
        <f t="shared" si="86"/>
        <v/>
      </c>
      <c r="CA79" s="192" t="str">
        <f t="shared" si="87"/>
        <v/>
      </c>
      <c r="CB79" s="193" t="str">
        <f t="shared" si="88"/>
        <v/>
      </c>
      <c r="CC79" s="193" t="str">
        <f t="shared" si="89"/>
        <v/>
      </c>
      <c r="CD79" s="193" t="str">
        <f t="shared" si="90"/>
        <v/>
      </c>
    </row>
    <row r="80" spans="1:82" x14ac:dyDescent="0.2">
      <c r="A80" s="140"/>
      <c r="B80" s="141" t="str">
        <f t="shared" si="59"/>
        <v/>
      </c>
      <c r="C80" s="142" t="str">
        <f t="shared" si="47"/>
        <v/>
      </c>
      <c r="D80" s="142" t="str">
        <f t="shared" si="60"/>
        <v/>
      </c>
      <c r="E80" s="142" t="str">
        <f>IF($C80="", "", COUNTIF($M$8:$M80,$D80))</f>
        <v/>
      </c>
      <c r="F80" s="254">
        <v>73</v>
      </c>
      <c r="G80" s="143"/>
      <c r="H80" s="144"/>
      <c r="I80" s="144"/>
      <c r="J80" s="145"/>
      <c r="K80" s="144"/>
      <c r="L80" s="144"/>
      <c r="M80" s="144"/>
      <c r="N80" s="146"/>
      <c r="O80" s="147"/>
      <c r="P80" s="147"/>
      <c r="Q80" s="147"/>
      <c r="R80" s="147"/>
      <c r="S80" s="147"/>
      <c r="T80" s="149"/>
      <c r="U80" s="150" t="str">
        <f>IF($T80="", "", VLOOKUP($T80, CONTRATOS!$B:$E, 2, FALSE))</f>
        <v/>
      </c>
      <c r="V80" s="151">
        <f>IF(OR($T80="",TB_DEFESA!$C$2="CARGA BASELINE"),0,
   IF(VLOOKUP($T80, CONTRATOS!B:E, 3, FALSE)&lt;&gt;"",1,IF(VLOOKUP($T80, CONTRATOS!B:E, 4, FALSE)&lt;&gt;"",2,0)))</f>
        <v>0</v>
      </c>
      <c r="W80" s="152"/>
      <c r="X80" s="152"/>
      <c r="Y80" s="153"/>
      <c r="Z80" s="154"/>
      <c r="AA80" s="155"/>
      <c r="AB80" s="156"/>
      <c r="AC80" s="157"/>
      <c r="AD80" s="155"/>
      <c r="AE80" s="158" t="str">
        <f t="shared" si="48"/>
        <v/>
      </c>
      <c r="AF80" s="160" t="str">
        <f t="shared" si="61"/>
        <v/>
      </c>
      <c r="AG80" s="182" t="s">
        <v>59</v>
      </c>
      <c r="AH80" s="183" t="str">
        <f t="shared" si="62"/>
        <v/>
      </c>
      <c r="AI80" s="183" t="str">
        <f t="shared" si="63"/>
        <v/>
      </c>
      <c r="AJ80" s="184" t="str">
        <f t="shared" si="64"/>
        <v/>
      </c>
      <c r="AK80" s="185" t="str">
        <f t="shared" si="65"/>
        <v/>
      </c>
      <c r="AL80" s="186"/>
      <c r="AM80" s="183" t="str">
        <f t="shared" si="66"/>
        <v/>
      </c>
      <c r="AN80" s="183" t="str">
        <f t="shared" si="67"/>
        <v/>
      </c>
      <c r="AO80" s="186" t="str">
        <f t="shared" si="68"/>
        <v/>
      </c>
      <c r="AP80" s="187" t="str">
        <f t="shared" si="69"/>
        <v/>
      </c>
      <c r="AQ80" s="187" t="str">
        <f t="shared" si="70"/>
        <v/>
      </c>
      <c r="AR80" s="188" t="str">
        <f t="shared" si="49"/>
        <v/>
      </c>
      <c r="AS80" s="188" t="str">
        <f t="shared" si="50"/>
        <v/>
      </c>
      <c r="AT80" s="183" t="str">
        <f t="shared" si="51"/>
        <v/>
      </c>
      <c r="AU80" s="189" t="str">
        <f>IF(OR($B80="", $AP80= ""),"",IF(VLOOKUP($AP80, CONTRATOS!B:K,3,FALSE)="","",VLOOKUP($AP80, CONTRATOS!B:K, 3,FALSE)))</f>
        <v/>
      </c>
      <c r="AV80" s="189" t="str">
        <f>IF(OR($B80="", $AP80 = ""), "", IF(VLOOKUP($AP80, CONTRATOS!B:K,4,FALSE)="","",VLOOKUP($AP80, CONTRATOS!B:K,4, FALSE)))</f>
        <v/>
      </c>
      <c r="AW80" s="190" t="str">
        <f t="shared" si="52"/>
        <v/>
      </c>
      <c r="AX80" s="189" t="str">
        <f t="shared" si="53"/>
        <v/>
      </c>
      <c r="AY80" s="189" t="str">
        <f t="shared" si="54"/>
        <v/>
      </c>
      <c r="AZ80" s="189" t="str">
        <f t="shared" si="55"/>
        <v/>
      </c>
      <c r="BA80" s="189" t="str">
        <f t="shared" si="56"/>
        <v/>
      </c>
      <c r="BB80" s="191">
        <f t="shared" si="71"/>
        <v>0</v>
      </c>
      <c r="BC80" s="191" t="str">
        <f t="shared" si="72"/>
        <v/>
      </c>
      <c r="BD80" s="191" t="str">
        <f t="shared" si="73"/>
        <v/>
      </c>
      <c r="BF80" s="192">
        <f t="shared" si="74"/>
        <v>0</v>
      </c>
      <c r="BG80" s="192">
        <f t="shared" si="75"/>
        <v>0</v>
      </c>
      <c r="BH80" s="192" t="str">
        <f>IF( $B80="", "", IF(ISNA(VLOOKUP($C80, Defesa!$C$7:$C$29,1,FALSE)),1,0))</f>
        <v/>
      </c>
      <c r="BI80" s="193" t="str">
        <f t="shared" si="76"/>
        <v/>
      </c>
      <c r="BJ80" s="193" t="str">
        <f>IF($B80="", "", IF( AND( $AI80="ESTIMATIVA", OR( Defesa!$F$7 = "AUTOMÁTICA", Defesa!$F$7 ="100% BASELINE")), 1, 0))</f>
        <v/>
      </c>
      <c r="BK80" s="192" t="str">
        <f t="shared" si="57"/>
        <v/>
      </c>
      <c r="BL80" s="192">
        <f t="shared" si="77"/>
        <v>0</v>
      </c>
      <c r="BM80" s="192" t="str">
        <f>IF($AC80="", "", IF(ISNA(VLOOKUP($AC80, TABELAS!$Q:$Q, 1, FALSE)), 1, 0))</f>
        <v/>
      </c>
      <c r="BN80" s="194" t="str">
        <f t="shared" si="58"/>
        <v/>
      </c>
      <c r="BO80" s="192" t="str">
        <f t="shared" si="78"/>
        <v/>
      </c>
      <c r="BP80" s="192" t="str">
        <f t="shared" si="79"/>
        <v/>
      </c>
      <c r="BQ80" s="193" t="str">
        <f t="shared" si="80"/>
        <v/>
      </c>
      <c r="BR80" s="192" t="str">
        <f t="shared" si="81"/>
        <v/>
      </c>
      <c r="BS80" s="192" t="str">
        <f t="shared" si="82"/>
        <v/>
      </c>
      <c r="BT80" s="192" t="str">
        <f>IF(OR($B80="", $AH80 = "SIM"), "", IF( ISNA(VLOOKUP($AP80,#REF!, 1, FALSE)), 1, 0))</f>
        <v/>
      </c>
      <c r="BU80" s="192" t="str">
        <f t="shared" si="83"/>
        <v/>
      </c>
      <c r="BV80" s="192" t="str">
        <f>IF( $B80="", "", IF( ISNA(VLOOKUP($AN80, TABELAS!$T$2:$T$9,1,FALSE)), 1, 0))</f>
        <v/>
      </c>
      <c r="BW80" s="192" t="str">
        <f t="shared" si="84"/>
        <v/>
      </c>
      <c r="BX80" s="192" t="str">
        <f>IF( OR($B80="", $AH80 = "SIM"), "", IF( ISNA( VLOOKUP( $AQ80, SISTEMA!$B:$B, 1, FALSE)), 1, 0))</f>
        <v/>
      </c>
      <c r="BY80" s="193" t="str">
        <f t="shared" si="85"/>
        <v/>
      </c>
      <c r="BZ80" s="193" t="str">
        <f t="shared" si="86"/>
        <v/>
      </c>
      <c r="CA80" s="192" t="str">
        <f t="shared" si="87"/>
        <v/>
      </c>
      <c r="CB80" s="193" t="str">
        <f t="shared" si="88"/>
        <v/>
      </c>
      <c r="CC80" s="193" t="str">
        <f t="shared" si="89"/>
        <v/>
      </c>
      <c r="CD80" s="193" t="str">
        <f t="shared" si="90"/>
        <v/>
      </c>
    </row>
    <row r="81" spans="1:82" x14ac:dyDescent="0.2">
      <c r="A81" s="140"/>
      <c r="B81" s="141" t="str">
        <f t="shared" si="59"/>
        <v/>
      </c>
      <c r="C81" s="142" t="str">
        <f t="shared" si="47"/>
        <v/>
      </c>
      <c r="D81" s="142" t="str">
        <f t="shared" si="60"/>
        <v/>
      </c>
      <c r="E81" s="142" t="str">
        <f>IF($C81="", "", COUNTIF($M$8:$M81,$D81))</f>
        <v/>
      </c>
      <c r="F81" s="254">
        <v>74</v>
      </c>
      <c r="G81" s="143"/>
      <c r="H81" s="144"/>
      <c r="I81" s="144"/>
      <c r="J81" s="145"/>
      <c r="K81" s="144"/>
      <c r="L81" s="144"/>
      <c r="M81" s="144"/>
      <c r="N81" s="146"/>
      <c r="O81" s="147"/>
      <c r="P81" s="147"/>
      <c r="Q81" s="147"/>
      <c r="R81" s="147"/>
      <c r="S81" s="147"/>
      <c r="T81" s="149"/>
      <c r="U81" s="150" t="str">
        <f>IF($T81="", "", VLOOKUP($T81, CONTRATOS!$B:$E, 2, FALSE))</f>
        <v/>
      </c>
      <c r="V81" s="151">
        <f>IF(OR($T81="",TB_DEFESA!$C$2="CARGA BASELINE"),0,
   IF(VLOOKUP($T81, CONTRATOS!B:E, 3, FALSE)&lt;&gt;"",1,IF(VLOOKUP($T81, CONTRATOS!B:E, 4, FALSE)&lt;&gt;"",2,0)))</f>
        <v>0</v>
      </c>
      <c r="W81" s="152"/>
      <c r="X81" s="152"/>
      <c r="Y81" s="153"/>
      <c r="Z81" s="154"/>
      <c r="AA81" s="155"/>
      <c r="AB81" s="156"/>
      <c r="AC81" s="157"/>
      <c r="AD81" s="155"/>
      <c r="AE81" s="158" t="str">
        <f t="shared" si="48"/>
        <v/>
      </c>
      <c r="AF81" s="160" t="str">
        <f t="shared" si="61"/>
        <v/>
      </c>
      <c r="AG81" s="182" t="s">
        <v>59</v>
      </c>
      <c r="AH81" s="183" t="str">
        <f t="shared" si="62"/>
        <v/>
      </c>
      <c r="AI81" s="183" t="str">
        <f t="shared" si="63"/>
        <v/>
      </c>
      <c r="AJ81" s="184" t="str">
        <f t="shared" si="64"/>
        <v/>
      </c>
      <c r="AK81" s="185" t="str">
        <f t="shared" si="65"/>
        <v/>
      </c>
      <c r="AL81" s="186"/>
      <c r="AM81" s="183" t="str">
        <f t="shared" si="66"/>
        <v/>
      </c>
      <c r="AN81" s="183" t="str">
        <f t="shared" si="67"/>
        <v/>
      </c>
      <c r="AO81" s="186" t="str">
        <f t="shared" si="68"/>
        <v/>
      </c>
      <c r="AP81" s="187" t="str">
        <f t="shared" si="69"/>
        <v/>
      </c>
      <c r="AQ81" s="187" t="str">
        <f t="shared" si="70"/>
        <v/>
      </c>
      <c r="AR81" s="188" t="str">
        <f t="shared" si="49"/>
        <v/>
      </c>
      <c r="AS81" s="188" t="str">
        <f t="shared" si="50"/>
        <v/>
      </c>
      <c r="AT81" s="183" t="str">
        <f t="shared" si="51"/>
        <v/>
      </c>
      <c r="AU81" s="189" t="str">
        <f>IF(OR($B81="", $AP81= ""),"",IF(VLOOKUP($AP81, CONTRATOS!B:K,3,FALSE)="","",VLOOKUP($AP81, CONTRATOS!B:K, 3,FALSE)))</f>
        <v/>
      </c>
      <c r="AV81" s="189" t="str">
        <f>IF(OR($B81="", $AP81 = ""), "", IF(VLOOKUP($AP81, CONTRATOS!B:K,4,FALSE)="","",VLOOKUP($AP81, CONTRATOS!B:K,4, FALSE)))</f>
        <v/>
      </c>
      <c r="AW81" s="190" t="str">
        <f t="shared" si="52"/>
        <v/>
      </c>
      <c r="AX81" s="189" t="str">
        <f t="shared" si="53"/>
        <v/>
      </c>
      <c r="AY81" s="189" t="str">
        <f t="shared" si="54"/>
        <v/>
      </c>
      <c r="AZ81" s="189" t="str">
        <f t="shared" si="55"/>
        <v/>
      </c>
      <c r="BA81" s="189" t="str">
        <f t="shared" si="56"/>
        <v/>
      </c>
      <c r="BB81" s="191">
        <f t="shared" si="71"/>
        <v>0</v>
      </c>
      <c r="BC81" s="191" t="str">
        <f t="shared" si="72"/>
        <v/>
      </c>
      <c r="BD81" s="191" t="str">
        <f t="shared" si="73"/>
        <v/>
      </c>
      <c r="BF81" s="192">
        <f t="shared" si="74"/>
        <v>0</v>
      </c>
      <c r="BG81" s="192">
        <f t="shared" si="75"/>
        <v>0</v>
      </c>
      <c r="BH81" s="192" t="str">
        <f>IF( $B81="", "", IF(ISNA(VLOOKUP($C81, Defesa!$C$7:$C$29,1,FALSE)),1,0))</f>
        <v/>
      </c>
      <c r="BI81" s="193" t="str">
        <f t="shared" si="76"/>
        <v/>
      </c>
      <c r="BJ81" s="193" t="str">
        <f>IF($B81="", "", IF( AND( $AI81="ESTIMATIVA", OR( Defesa!$F$7 = "AUTOMÁTICA", Defesa!$F$7 ="100% BASELINE")), 1, 0))</f>
        <v/>
      </c>
      <c r="BK81" s="192" t="str">
        <f t="shared" si="57"/>
        <v/>
      </c>
      <c r="BL81" s="192">
        <f t="shared" si="77"/>
        <v>0</v>
      </c>
      <c r="BM81" s="192" t="str">
        <f>IF($AC81="", "", IF(ISNA(VLOOKUP($AC81, TABELAS!$Q:$Q, 1, FALSE)), 1, 0))</f>
        <v/>
      </c>
      <c r="BN81" s="194" t="str">
        <f t="shared" si="58"/>
        <v/>
      </c>
      <c r="BO81" s="192" t="str">
        <f t="shared" si="78"/>
        <v/>
      </c>
      <c r="BP81" s="192" t="str">
        <f t="shared" si="79"/>
        <v/>
      </c>
      <c r="BQ81" s="193" t="str">
        <f t="shared" si="80"/>
        <v/>
      </c>
      <c r="BR81" s="192" t="str">
        <f t="shared" si="81"/>
        <v/>
      </c>
      <c r="BS81" s="192" t="str">
        <f t="shared" si="82"/>
        <v/>
      </c>
      <c r="BT81" s="192" t="str">
        <f>IF(OR($B81="", $AH81 = "SIM"), "", IF( ISNA(VLOOKUP($AP81,#REF!, 1, FALSE)), 1, 0))</f>
        <v/>
      </c>
      <c r="BU81" s="192" t="str">
        <f t="shared" si="83"/>
        <v/>
      </c>
      <c r="BV81" s="192" t="str">
        <f>IF( $B81="", "", IF( ISNA(VLOOKUP($AN81, TABELAS!$T$2:$T$9,1,FALSE)), 1, 0))</f>
        <v/>
      </c>
      <c r="BW81" s="192" t="str">
        <f t="shared" si="84"/>
        <v/>
      </c>
      <c r="BX81" s="192" t="str">
        <f>IF( OR($B81="", $AH81 = "SIM"), "", IF( ISNA( VLOOKUP( $AQ81, SISTEMA!$B:$B, 1, FALSE)), 1, 0))</f>
        <v/>
      </c>
      <c r="BY81" s="193" t="str">
        <f t="shared" si="85"/>
        <v/>
      </c>
      <c r="BZ81" s="193" t="str">
        <f t="shared" si="86"/>
        <v/>
      </c>
      <c r="CA81" s="192" t="str">
        <f t="shared" si="87"/>
        <v/>
      </c>
      <c r="CB81" s="193" t="str">
        <f t="shared" si="88"/>
        <v/>
      </c>
      <c r="CC81" s="193" t="str">
        <f t="shared" si="89"/>
        <v/>
      </c>
      <c r="CD81" s="193" t="str">
        <f t="shared" si="90"/>
        <v/>
      </c>
    </row>
    <row r="82" spans="1:82" x14ac:dyDescent="0.2">
      <c r="A82" s="140"/>
      <c r="B82" s="141" t="str">
        <f t="shared" si="59"/>
        <v/>
      </c>
      <c r="C82" s="142" t="str">
        <f t="shared" si="47"/>
        <v/>
      </c>
      <c r="D82" s="142" t="str">
        <f t="shared" si="60"/>
        <v/>
      </c>
      <c r="E82" s="142" t="str">
        <f>IF($C82="", "", COUNTIF($M$8:$M82,$D82))</f>
        <v/>
      </c>
      <c r="F82" s="254">
        <v>75</v>
      </c>
      <c r="G82" s="143"/>
      <c r="H82" s="144"/>
      <c r="I82" s="144"/>
      <c r="J82" s="145"/>
      <c r="K82" s="144"/>
      <c r="L82" s="144"/>
      <c r="M82" s="144"/>
      <c r="N82" s="146"/>
      <c r="O82" s="147"/>
      <c r="P82" s="147"/>
      <c r="Q82" s="147"/>
      <c r="R82" s="147"/>
      <c r="S82" s="147"/>
      <c r="T82" s="149"/>
      <c r="U82" s="150" t="str">
        <f>IF($T82="", "", VLOOKUP($T82, CONTRATOS!$B:$E, 2, FALSE))</f>
        <v/>
      </c>
      <c r="V82" s="151">
        <f>IF(OR($T82="",TB_DEFESA!$C$2="CARGA BASELINE"),0,
   IF(VLOOKUP($T82, CONTRATOS!B:E, 3, FALSE)&lt;&gt;"",1,IF(VLOOKUP($T82, CONTRATOS!B:E, 4, FALSE)&lt;&gt;"",2,0)))</f>
        <v>0</v>
      </c>
      <c r="W82" s="152"/>
      <c r="X82" s="152"/>
      <c r="Y82" s="153"/>
      <c r="Z82" s="154"/>
      <c r="AA82" s="155"/>
      <c r="AB82" s="156"/>
      <c r="AC82" s="157"/>
      <c r="AD82" s="155"/>
      <c r="AE82" s="158" t="str">
        <f t="shared" si="48"/>
        <v/>
      </c>
      <c r="AF82" s="160" t="str">
        <f t="shared" si="61"/>
        <v/>
      </c>
      <c r="AG82" s="182" t="s">
        <v>59</v>
      </c>
      <c r="AH82" s="183" t="str">
        <f t="shared" si="62"/>
        <v/>
      </c>
      <c r="AI82" s="183" t="str">
        <f t="shared" si="63"/>
        <v/>
      </c>
      <c r="AJ82" s="184" t="str">
        <f t="shared" si="64"/>
        <v/>
      </c>
      <c r="AK82" s="185" t="str">
        <f t="shared" si="65"/>
        <v/>
      </c>
      <c r="AL82" s="186"/>
      <c r="AM82" s="183" t="str">
        <f t="shared" si="66"/>
        <v/>
      </c>
      <c r="AN82" s="183" t="str">
        <f t="shared" si="67"/>
        <v/>
      </c>
      <c r="AO82" s="186" t="str">
        <f t="shared" si="68"/>
        <v/>
      </c>
      <c r="AP82" s="187" t="str">
        <f t="shared" si="69"/>
        <v/>
      </c>
      <c r="AQ82" s="187" t="str">
        <f t="shared" si="70"/>
        <v/>
      </c>
      <c r="AR82" s="188" t="str">
        <f t="shared" si="49"/>
        <v/>
      </c>
      <c r="AS82" s="188" t="str">
        <f t="shared" si="50"/>
        <v/>
      </c>
      <c r="AT82" s="183" t="str">
        <f t="shared" si="51"/>
        <v/>
      </c>
      <c r="AU82" s="189" t="str">
        <f>IF(OR($B82="", $AP82= ""),"",IF(VLOOKUP($AP82, CONTRATOS!B:K,3,FALSE)="","",VLOOKUP($AP82, CONTRATOS!B:K, 3,FALSE)))</f>
        <v/>
      </c>
      <c r="AV82" s="189" t="str">
        <f>IF(OR($B82="", $AP82 = ""), "", IF(VLOOKUP($AP82, CONTRATOS!B:K,4,FALSE)="","",VLOOKUP($AP82, CONTRATOS!B:K,4, FALSE)))</f>
        <v/>
      </c>
      <c r="AW82" s="190" t="str">
        <f t="shared" si="52"/>
        <v/>
      </c>
      <c r="AX82" s="189" t="str">
        <f t="shared" si="53"/>
        <v/>
      </c>
      <c r="AY82" s="189" t="str">
        <f t="shared" si="54"/>
        <v/>
      </c>
      <c r="AZ82" s="189" t="str">
        <f t="shared" si="55"/>
        <v/>
      </c>
      <c r="BA82" s="189" t="str">
        <f t="shared" si="56"/>
        <v/>
      </c>
      <c r="BB82" s="191">
        <f t="shared" si="71"/>
        <v>0</v>
      </c>
      <c r="BC82" s="191" t="str">
        <f t="shared" si="72"/>
        <v/>
      </c>
      <c r="BD82" s="191" t="str">
        <f t="shared" si="73"/>
        <v/>
      </c>
      <c r="BF82" s="192">
        <f t="shared" si="74"/>
        <v>0</v>
      </c>
      <c r="BG82" s="192">
        <f t="shared" si="75"/>
        <v>0</v>
      </c>
      <c r="BH82" s="192" t="str">
        <f>IF( $B82="", "", IF(ISNA(VLOOKUP($C82, Defesa!$C$7:$C$29,1,FALSE)),1,0))</f>
        <v/>
      </c>
      <c r="BI82" s="193" t="str">
        <f t="shared" si="76"/>
        <v/>
      </c>
      <c r="BJ82" s="193" t="str">
        <f>IF($B82="", "", IF( AND( $AI82="ESTIMATIVA", OR( Defesa!$F$7 = "AUTOMÁTICA", Defesa!$F$7 ="100% BASELINE")), 1, 0))</f>
        <v/>
      </c>
      <c r="BK82" s="192" t="str">
        <f t="shared" si="57"/>
        <v/>
      </c>
      <c r="BL82" s="192">
        <f t="shared" si="77"/>
        <v>0</v>
      </c>
      <c r="BM82" s="192" t="str">
        <f>IF($AC82="", "", IF(ISNA(VLOOKUP($AC82, TABELAS!$Q:$Q, 1, FALSE)), 1, 0))</f>
        <v/>
      </c>
      <c r="BN82" s="194" t="str">
        <f t="shared" si="58"/>
        <v/>
      </c>
      <c r="BO82" s="192" t="str">
        <f t="shared" si="78"/>
        <v/>
      </c>
      <c r="BP82" s="192" t="str">
        <f t="shared" si="79"/>
        <v/>
      </c>
      <c r="BQ82" s="193" t="str">
        <f t="shared" si="80"/>
        <v/>
      </c>
      <c r="BR82" s="192" t="str">
        <f t="shared" si="81"/>
        <v/>
      </c>
      <c r="BS82" s="192" t="str">
        <f t="shared" si="82"/>
        <v/>
      </c>
      <c r="BT82" s="192" t="str">
        <f>IF(OR($B82="", $AH82 = "SIM"), "", IF( ISNA(VLOOKUP($AP82,#REF!, 1, FALSE)), 1, 0))</f>
        <v/>
      </c>
      <c r="BU82" s="192" t="str">
        <f t="shared" si="83"/>
        <v/>
      </c>
      <c r="BV82" s="192" t="str">
        <f>IF( $B82="", "", IF( ISNA(VLOOKUP($AN82, TABELAS!$T$2:$T$9,1,FALSE)), 1, 0))</f>
        <v/>
      </c>
      <c r="BW82" s="192" t="str">
        <f t="shared" si="84"/>
        <v/>
      </c>
      <c r="BX82" s="192" t="str">
        <f>IF( OR($B82="", $AH82 = "SIM"), "", IF( ISNA( VLOOKUP( $AQ82, SISTEMA!$B:$B, 1, FALSE)), 1, 0))</f>
        <v/>
      </c>
      <c r="BY82" s="193" t="str">
        <f t="shared" si="85"/>
        <v/>
      </c>
      <c r="BZ82" s="193" t="str">
        <f t="shared" si="86"/>
        <v/>
      </c>
      <c r="CA82" s="192" t="str">
        <f t="shared" si="87"/>
        <v/>
      </c>
      <c r="CB82" s="193" t="str">
        <f t="shared" si="88"/>
        <v/>
      </c>
      <c r="CC82" s="193" t="str">
        <f t="shared" si="89"/>
        <v/>
      </c>
      <c r="CD82" s="193" t="str">
        <f t="shared" si="90"/>
        <v/>
      </c>
    </row>
    <row r="83" spans="1:82" x14ac:dyDescent="0.2">
      <c r="A83" s="140"/>
      <c r="B83" s="141" t="str">
        <f t="shared" si="59"/>
        <v/>
      </c>
      <c r="C83" s="142" t="str">
        <f t="shared" si="47"/>
        <v/>
      </c>
      <c r="D83" s="142" t="str">
        <f t="shared" si="60"/>
        <v/>
      </c>
      <c r="E83" s="142" t="str">
        <f>IF($C83="", "", COUNTIF($M$8:$M83,$D83))</f>
        <v/>
      </c>
      <c r="F83" s="254">
        <v>76</v>
      </c>
      <c r="G83" s="143"/>
      <c r="H83" s="144"/>
      <c r="I83" s="144"/>
      <c r="J83" s="145"/>
      <c r="K83" s="144"/>
      <c r="L83" s="144"/>
      <c r="M83" s="144"/>
      <c r="N83" s="146"/>
      <c r="O83" s="147"/>
      <c r="P83" s="147"/>
      <c r="Q83" s="147"/>
      <c r="R83" s="147"/>
      <c r="S83" s="147"/>
      <c r="T83" s="149"/>
      <c r="U83" s="150" t="str">
        <f>IF($T83="", "", VLOOKUP($T83, CONTRATOS!$B:$E, 2, FALSE))</f>
        <v/>
      </c>
      <c r="V83" s="151">
        <f>IF(OR($T83="",TB_DEFESA!$C$2="CARGA BASELINE"),0,
   IF(VLOOKUP($T83, CONTRATOS!B:E, 3, FALSE)&lt;&gt;"",1,IF(VLOOKUP($T83, CONTRATOS!B:E, 4, FALSE)&lt;&gt;"",2,0)))</f>
        <v>0</v>
      </c>
      <c r="W83" s="152"/>
      <c r="X83" s="152"/>
      <c r="Y83" s="153"/>
      <c r="Z83" s="154"/>
      <c r="AA83" s="155"/>
      <c r="AB83" s="156"/>
      <c r="AC83" s="157"/>
      <c r="AD83" s="155"/>
      <c r="AE83" s="158" t="str">
        <f t="shared" si="48"/>
        <v/>
      </c>
      <c r="AF83" s="160" t="str">
        <f t="shared" si="61"/>
        <v/>
      </c>
      <c r="AG83" s="182" t="s">
        <v>59</v>
      </c>
      <c r="AH83" s="183" t="str">
        <f t="shared" si="62"/>
        <v/>
      </c>
      <c r="AI83" s="183" t="str">
        <f t="shared" si="63"/>
        <v/>
      </c>
      <c r="AJ83" s="184" t="str">
        <f t="shared" si="64"/>
        <v/>
      </c>
      <c r="AK83" s="185" t="str">
        <f t="shared" si="65"/>
        <v/>
      </c>
      <c r="AL83" s="186"/>
      <c r="AM83" s="183" t="str">
        <f t="shared" si="66"/>
        <v/>
      </c>
      <c r="AN83" s="183" t="str">
        <f t="shared" si="67"/>
        <v/>
      </c>
      <c r="AO83" s="186" t="str">
        <f t="shared" si="68"/>
        <v/>
      </c>
      <c r="AP83" s="187" t="str">
        <f t="shared" si="69"/>
        <v/>
      </c>
      <c r="AQ83" s="187" t="str">
        <f t="shared" si="70"/>
        <v/>
      </c>
      <c r="AR83" s="188" t="str">
        <f t="shared" si="49"/>
        <v/>
      </c>
      <c r="AS83" s="188" t="str">
        <f t="shared" si="50"/>
        <v/>
      </c>
      <c r="AT83" s="183" t="str">
        <f t="shared" si="51"/>
        <v/>
      </c>
      <c r="AU83" s="189" t="str">
        <f>IF(OR($B83="", $AP83= ""),"",IF(VLOOKUP($AP83, CONTRATOS!B:K,3,FALSE)="","",VLOOKUP($AP83, CONTRATOS!B:K, 3,FALSE)))</f>
        <v/>
      </c>
      <c r="AV83" s="189" t="str">
        <f>IF(OR($B83="", $AP83 = ""), "", IF(VLOOKUP($AP83, CONTRATOS!B:K,4,FALSE)="","",VLOOKUP($AP83, CONTRATOS!B:K,4, FALSE)))</f>
        <v/>
      </c>
      <c r="AW83" s="190" t="str">
        <f t="shared" si="52"/>
        <v/>
      </c>
      <c r="AX83" s="189" t="str">
        <f t="shared" si="53"/>
        <v/>
      </c>
      <c r="AY83" s="189" t="str">
        <f t="shared" si="54"/>
        <v/>
      </c>
      <c r="AZ83" s="189" t="str">
        <f t="shared" si="55"/>
        <v/>
      </c>
      <c r="BA83" s="189" t="str">
        <f t="shared" si="56"/>
        <v/>
      </c>
      <c r="BB83" s="191">
        <f t="shared" si="71"/>
        <v>0</v>
      </c>
      <c r="BC83" s="191" t="str">
        <f t="shared" si="72"/>
        <v/>
      </c>
      <c r="BD83" s="191" t="str">
        <f t="shared" si="73"/>
        <v/>
      </c>
      <c r="BF83" s="192">
        <f t="shared" si="74"/>
        <v>0</v>
      </c>
      <c r="BG83" s="192">
        <f t="shared" si="75"/>
        <v>0</v>
      </c>
      <c r="BH83" s="192" t="str">
        <f>IF( $B83="", "", IF(ISNA(VLOOKUP($C83, Defesa!$C$7:$C$29,1,FALSE)),1,0))</f>
        <v/>
      </c>
      <c r="BI83" s="193" t="str">
        <f t="shared" si="76"/>
        <v/>
      </c>
      <c r="BJ83" s="193" t="str">
        <f>IF($B83="", "", IF( AND( $AI83="ESTIMATIVA", OR( Defesa!$F$7 = "AUTOMÁTICA", Defesa!$F$7 ="100% BASELINE")), 1, 0))</f>
        <v/>
      </c>
      <c r="BK83" s="192" t="str">
        <f t="shared" si="57"/>
        <v/>
      </c>
      <c r="BL83" s="192">
        <f t="shared" si="77"/>
        <v>0</v>
      </c>
      <c r="BM83" s="192" t="str">
        <f>IF($AC83="", "", IF(ISNA(VLOOKUP($AC83, TABELAS!$Q:$Q, 1, FALSE)), 1, 0))</f>
        <v/>
      </c>
      <c r="BN83" s="194" t="str">
        <f t="shared" si="58"/>
        <v/>
      </c>
      <c r="BO83" s="192" t="str">
        <f t="shared" si="78"/>
        <v/>
      </c>
      <c r="BP83" s="192" t="str">
        <f t="shared" si="79"/>
        <v/>
      </c>
      <c r="BQ83" s="193" t="str">
        <f t="shared" si="80"/>
        <v/>
      </c>
      <c r="BR83" s="192" t="str">
        <f t="shared" si="81"/>
        <v/>
      </c>
      <c r="BS83" s="192" t="str">
        <f t="shared" si="82"/>
        <v/>
      </c>
      <c r="BT83" s="192" t="str">
        <f>IF(OR($B83="", $AH83 = "SIM"), "", IF( ISNA(VLOOKUP($AP83,#REF!, 1, FALSE)), 1, 0))</f>
        <v/>
      </c>
      <c r="BU83" s="192" t="str">
        <f t="shared" si="83"/>
        <v/>
      </c>
      <c r="BV83" s="192" t="str">
        <f>IF( $B83="", "", IF( ISNA(VLOOKUP($AN83, TABELAS!$T$2:$T$9,1,FALSE)), 1, 0))</f>
        <v/>
      </c>
      <c r="BW83" s="192" t="str">
        <f t="shared" si="84"/>
        <v/>
      </c>
      <c r="BX83" s="192" t="str">
        <f>IF( OR($B83="", $AH83 = "SIM"), "", IF( ISNA( VLOOKUP( $AQ83, SISTEMA!$B:$B, 1, FALSE)), 1, 0))</f>
        <v/>
      </c>
      <c r="BY83" s="193" t="str">
        <f t="shared" si="85"/>
        <v/>
      </c>
      <c r="BZ83" s="193" t="str">
        <f t="shared" si="86"/>
        <v/>
      </c>
      <c r="CA83" s="192" t="str">
        <f t="shared" si="87"/>
        <v/>
      </c>
      <c r="CB83" s="193" t="str">
        <f t="shared" si="88"/>
        <v/>
      </c>
      <c r="CC83" s="193" t="str">
        <f t="shared" si="89"/>
        <v/>
      </c>
      <c r="CD83" s="193" t="str">
        <f t="shared" si="90"/>
        <v/>
      </c>
    </row>
    <row r="84" spans="1:82" x14ac:dyDescent="0.2">
      <c r="A84" s="140"/>
      <c r="B84" s="141" t="str">
        <f t="shared" si="59"/>
        <v/>
      </c>
      <c r="C84" s="142" t="str">
        <f t="shared" si="47"/>
        <v/>
      </c>
      <c r="D84" s="142" t="str">
        <f t="shared" si="60"/>
        <v/>
      </c>
      <c r="E84" s="142" t="str">
        <f>IF($C84="", "", COUNTIF($M$8:$M84,$D84))</f>
        <v/>
      </c>
      <c r="F84" s="254">
        <v>77</v>
      </c>
      <c r="G84" s="143"/>
      <c r="H84" s="144"/>
      <c r="I84" s="144"/>
      <c r="J84" s="145"/>
      <c r="K84" s="144"/>
      <c r="L84" s="144"/>
      <c r="M84" s="144"/>
      <c r="N84" s="146"/>
      <c r="O84" s="147"/>
      <c r="P84" s="147"/>
      <c r="Q84" s="147"/>
      <c r="R84" s="147"/>
      <c r="S84" s="147"/>
      <c r="T84" s="149"/>
      <c r="U84" s="150" t="str">
        <f>IF($T84="", "", VLOOKUP($T84, CONTRATOS!$B:$E, 2, FALSE))</f>
        <v/>
      </c>
      <c r="V84" s="151">
        <f>IF(OR($T84="",TB_DEFESA!$C$2="CARGA BASELINE"),0,
   IF(VLOOKUP($T84, CONTRATOS!B:E, 3, FALSE)&lt;&gt;"",1,IF(VLOOKUP($T84, CONTRATOS!B:E, 4, FALSE)&lt;&gt;"",2,0)))</f>
        <v>0</v>
      </c>
      <c r="W84" s="152"/>
      <c r="X84" s="152"/>
      <c r="Y84" s="153"/>
      <c r="Z84" s="154"/>
      <c r="AA84" s="155"/>
      <c r="AB84" s="156"/>
      <c r="AC84" s="157"/>
      <c r="AD84" s="155"/>
      <c r="AE84" s="158" t="str">
        <f t="shared" si="48"/>
        <v/>
      </c>
      <c r="AF84" s="160" t="str">
        <f t="shared" si="61"/>
        <v/>
      </c>
      <c r="AG84" s="182" t="s">
        <v>59</v>
      </c>
      <c r="AH84" s="183" t="str">
        <f t="shared" si="62"/>
        <v/>
      </c>
      <c r="AI84" s="183" t="str">
        <f t="shared" si="63"/>
        <v/>
      </c>
      <c r="AJ84" s="184" t="str">
        <f t="shared" si="64"/>
        <v/>
      </c>
      <c r="AK84" s="185" t="str">
        <f t="shared" si="65"/>
        <v/>
      </c>
      <c r="AL84" s="186"/>
      <c r="AM84" s="183" t="str">
        <f t="shared" si="66"/>
        <v/>
      </c>
      <c r="AN84" s="183" t="str">
        <f t="shared" si="67"/>
        <v/>
      </c>
      <c r="AO84" s="186" t="str">
        <f t="shared" si="68"/>
        <v/>
      </c>
      <c r="AP84" s="187" t="str">
        <f t="shared" si="69"/>
        <v/>
      </c>
      <c r="AQ84" s="187" t="str">
        <f t="shared" si="70"/>
        <v/>
      </c>
      <c r="AR84" s="188" t="str">
        <f t="shared" si="49"/>
        <v/>
      </c>
      <c r="AS84" s="188" t="str">
        <f t="shared" si="50"/>
        <v/>
      </c>
      <c r="AT84" s="183" t="str">
        <f t="shared" si="51"/>
        <v/>
      </c>
      <c r="AU84" s="189" t="str">
        <f>IF(OR($B84="", $AP84= ""),"",IF(VLOOKUP($AP84, CONTRATOS!B:K,3,FALSE)="","",VLOOKUP($AP84, CONTRATOS!B:K, 3,FALSE)))</f>
        <v/>
      </c>
      <c r="AV84" s="189" t="str">
        <f>IF(OR($B84="", $AP84 = ""), "", IF(VLOOKUP($AP84, CONTRATOS!B:K,4,FALSE)="","",VLOOKUP($AP84, CONTRATOS!B:K,4, FALSE)))</f>
        <v/>
      </c>
      <c r="AW84" s="190" t="str">
        <f t="shared" si="52"/>
        <v/>
      </c>
      <c r="AX84" s="189" t="str">
        <f t="shared" si="53"/>
        <v/>
      </c>
      <c r="AY84" s="189" t="str">
        <f t="shared" si="54"/>
        <v/>
      </c>
      <c r="AZ84" s="189" t="str">
        <f t="shared" si="55"/>
        <v/>
      </c>
      <c r="BA84" s="189" t="str">
        <f t="shared" si="56"/>
        <v/>
      </c>
      <c r="BB84" s="191">
        <f t="shared" si="71"/>
        <v>0</v>
      </c>
      <c r="BC84" s="191" t="str">
        <f t="shared" si="72"/>
        <v/>
      </c>
      <c r="BD84" s="191" t="str">
        <f t="shared" si="73"/>
        <v/>
      </c>
      <c r="BF84" s="192">
        <f t="shared" si="74"/>
        <v>0</v>
      </c>
      <c r="BG84" s="192">
        <f t="shared" si="75"/>
        <v>0</v>
      </c>
      <c r="BH84" s="192" t="str">
        <f>IF( $B84="", "", IF(ISNA(VLOOKUP($C84, Defesa!$C$7:$C$29,1,FALSE)),1,0))</f>
        <v/>
      </c>
      <c r="BI84" s="193" t="str">
        <f t="shared" si="76"/>
        <v/>
      </c>
      <c r="BJ84" s="193" t="str">
        <f>IF($B84="", "", IF( AND( $AI84="ESTIMATIVA", OR( Defesa!$F$7 = "AUTOMÁTICA", Defesa!$F$7 ="100% BASELINE")), 1, 0))</f>
        <v/>
      </c>
      <c r="BK84" s="192" t="str">
        <f t="shared" si="57"/>
        <v/>
      </c>
      <c r="BL84" s="192">
        <f t="shared" si="77"/>
        <v>0</v>
      </c>
      <c r="BM84" s="192" t="str">
        <f>IF($AC84="", "", IF(ISNA(VLOOKUP($AC84, TABELAS!$Q:$Q, 1, FALSE)), 1, 0))</f>
        <v/>
      </c>
      <c r="BN84" s="194" t="str">
        <f t="shared" si="58"/>
        <v/>
      </c>
      <c r="BO84" s="192" t="str">
        <f t="shared" si="78"/>
        <v/>
      </c>
      <c r="BP84" s="192" t="str">
        <f t="shared" si="79"/>
        <v/>
      </c>
      <c r="BQ84" s="193" t="str">
        <f t="shared" si="80"/>
        <v/>
      </c>
      <c r="BR84" s="192" t="str">
        <f t="shared" si="81"/>
        <v/>
      </c>
      <c r="BS84" s="192" t="str">
        <f t="shared" si="82"/>
        <v/>
      </c>
      <c r="BT84" s="192" t="str">
        <f>IF(OR($B84="", $AH84 = "SIM"), "", IF( ISNA(VLOOKUP($AP84,#REF!, 1, FALSE)), 1, 0))</f>
        <v/>
      </c>
      <c r="BU84" s="192" t="str">
        <f t="shared" si="83"/>
        <v/>
      </c>
      <c r="BV84" s="192" t="str">
        <f>IF( $B84="", "", IF( ISNA(VLOOKUP($AN84, TABELAS!$T$2:$T$9,1,FALSE)), 1, 0))</f>
        <v/>
      </c>
      <c r="BW84" s="192" t="str">
        <f t="shared" si="84"/>
        <v/>
      </c>
      <c r="BX84" s="192" t="str">
        <f>IF( OR($B84="", $AH84 = "SIM"), "", IF( ISNA( VLOOKUP( $AQ84, SISTEMA!$B:$B, 1, FALSE)), 1, 0))</f>
        <v/>
      </c>
      <c r="BY84" s="193" t="str">
        <f t="shared" si="85"/>
        <v/>
      </c>
      <c r="BZ84" s="193" t="str">
        <f t="shared" si="86"/>
        <v/>
      </c>
      <c r="CA84" s="192" t="str">
        <f t="shared" si="87"/>
        <v/>
      </c>
      <c r="CB84" s="193" t="str">
        <f t="shared" si="88"/>
        <v/>
      </c>
      <c r="CC84" s="193" t="str">
        <f t="shared" si="89"/>
        <v/>
      </c>
      <c r="CD84" s="193" t="str">
        <f t="shared" si="90"/>
        <v/>
      </c>
    </row>
    <row r="85" spans="1:82" x14ac:dyDescent="0.2">
      <c r="A85" s="140"/>
      <c r="B85" s="141" t="str">
        <f t="shared" si="59"/>
        <v/>
      </c>
      <c r="C85" s="142" t="str">
        <f t="shared" si="47"/>
        <v/>
      </c>
      <c r="D85" s="142" t="str">
        <f t="shared" si="60"/>
        <v/>
      </c>
      <c r="E85" s="142" t="str">
        <f>IF($C85="", "", COUNTIF($M$8:$M85,$D85))</f>
        <v/>
      </c>
      <c r="F85" s="254">
        <v>78</v>
      </c>
      <c r="G85" s="143"/>
      <c r="H85" s="144"/>
      <c r="I85" s="144"/>
      <c r="J85" s="145"/>
      <c r="K85" s="144"/>
      <c r="L85" s="144"/>
      <c r="M85" s="144"/>
      <c r="N85" s="146"/>
      <c r="O85" s="147"/>
      <c r="P85" s="147"/>
      <c r="Q85" s="147"/>
      <c r="R85" s="147"/>
      <c r="S85" s="147"/>
      <c r="T85" s="149"/>
      <c r="U85" s="150" t="str">
        <f>IF($T85="", "", VLOOKUP($T85, CONTRATOS!$B:$E, 2, FALSE))</f>
        <v/>
      </c>
      <c r="V85" s="151">
        <f>IF(OR($T85="",TB_DEFESA!$C$2="CARGA BASELINE"),0,
   IF(VLOOKUP($T85, CONTRATOS!B:E, 3, FALSE)&lt;&gt;"",1,IF(VLOOKUP($T85, CONTRATOS!B:E, 4, FALSE)&lt;&gt;"",2,0)))</f>
        <v>0</v>
      </c>
      <c r="W85" s="152"/>
      <c r="X85" s="152"/>
      <c r="Y85" s="153"/>
      <c r="Z85" s="154"/>
      <c r="AA85" s="155"/>
      <c r="AB85" s="156"/>
      <c r="AC85" s="157"/>
      <c r="AD85" s="155"/>
      <c r="AE85" s="158" t="str">
        <f t="shared" si="48"/>
        <v/>
      </c>
      <c r="AF85" s="160" t="str">
        <f t="shared" si="61"/>
        <v/>
      </c>
      <c r="AG85" s="182" t="s">
        <v>59</v>
      </c>
      <c r="AH85" s="183" t="str">
        <f t="shared" si="62"/>
        <v/>
      </c>
      <c r="AI85" s="183" t="str">
        <f t="shared" si="63"/>
        <v/>
      </c>
      <c r="AJ85" s="184" t="str">
        <f t="shared" si="64"/>
        <v/>
      </c>
      <c r="AK85" s="185" t="str">
        <f t="shared" si="65"/>
        <v/>
      </c>
      <c r="AL85" s="186"/>
      <c r="AM85" s="183" t="str">
        <f t="shared" si="66"/>
        <v/>
      </c>
      <c r="AN85" s="183" t="str">
        <f t="shared" si="67"/>
        <v/>
      </c>
      <c r="AO85" s="186" t="str">
        <f t="shared" si="68"/>
        <v/>
      </c>
      <c r="AP85" s="187" t="str">
        <f t="shared" si="69"/>
        <v/>
      </c>
      <c r="AQ85" s="187" t="str">
        <f t="shared" si="70"/>
        <v/>
      </c>
      <c r="AR85" s="188" t="str">
        <f t="shared" si="49"/>
        <v/>
      </c>
      <c r="AS85" s="188" t="str">
        <f t="shared" si="50"/>
        <v/>
      </c>
      <c r="AT85" s="183" t="str">
        <f t="shared" si="51"/>
        <v/>
      </c>
      <c r="AU85" s="189" t="str">
        <f>IF(OR($B85="", $AP85= ""),"",IF(VLOOKUP($AP85, CONTRATOS!B:K,3,FALSE)="","",VLOOKUP($AP85, CONTRATOS!B:K, 3,FALSE)))</f>
        <v/>
      </c>
      <c r="AV85" s="189" t="str">
        <f>IF(OR($B85="", $AP85 = ""), "", IF(VLOOKUP($AP85, CONTRATOS!B:K,4,FALSE)="","",VLOOKUP($AP85, CONTRATOS!B:K,4, FALSE)))</f>
        <v/>
      </c>
      <c r="AW85" s="190" t="str">
        <f t="shared" si="52"/>
        <v/>
      </c>
      <c r="AX85" s="189" t="str">
        <f t="shared" si="53"/>
        <v/>
      </c>
      <c r="AY85" s="189" t="str">
        <f t="shared" si="54"/>
        <v/>
      </c>
      <c r="AZ85" s="189" t="str">
        <f t="shared" si="55"/>
        <v/>
      </c>
      <c r="BA85" s="189" t="str">
        <f t="shared" si="56"/>
        <v/>
      </c>
      <c r="BB85" s="191">
        <f t="shared" si="71"/>
        <v>0</v>
      </c>
      <c r="BC85" s="191" t="str">
        <f t="shared" si="72"/>
        <v/>
      </c>
      <c r="BD85" s="191" t="str">
        <f t="shared" si="73"/>
        <v/>
      </c>
      <c r="BF85" s="192">
        <f t="shared" si="74"/>
        <v>0</v>
      </c>
      <c r="BG85" s="192">
        <f t="shared" si="75"/>
        <v>0</v>
      </c>
      <c r="BH85" s="192" t="str">
        <f>IF( $B85="", "", IF(ISNA(VLOOKUP($C85, Defesa!$C$7:$C$29,1,FALSE)),1,0))</f>
        <v/>
      </c>
      <c r="BI85" s="193" t="str">
        <f t="shared" si="76"/>
        <v/>
      </c>
      <c r="BJ85" s="193" t="str">
        <f>IF($B85="", "", IF( AND( $AI85="ESTIMATIVA", OR( Defesa!$F$7 = "AUTOMÁTICA", Defesa!$F$7 ="100% BASELINE")), 1, 0))</f>
        <v/>
      </c>
      <c r="BK85" s="192" t="str">
        <f t="shared" si="57"/>
        <v/>
      </c>
      <c r="BL85" s="192">
        <f t="shared" si="77"/>
        <v>0</v>
      </c>
      <c r="BM85" s="192" t="str">
        <f>IF($AC85="", "", IF(ISNA(VLOOKUP($AC85, TABELAS!$Q:$Q, 1, FALSE)), 1, 0))</f>
        <v/>
      </c>
      <c r="BN85" s="194" t="str">
        <f t="shared" si="58"/>
        <v/>
      </c>
      <c r="BO85" s="192" t="str">
        <f t="shared" si="78"/>
        <v/>
      </c>
      <c r="BP85" s="192" t="str">
        <f t="shared" si="79"/>
        <v/>
      </c>
      <c r="BQ85" s="193" t="str">
        <f t="shared" si="80"/>
        <v/>
      </c>
      <c r="BR85" s="192" t="str">
        <f t="shared" si="81"/>
        <v/>
      </c>
      <c r="BS85" s="192" t="str">
        <f t="shared" si="82"/>
        <v/>
      </c>
      <c r="BT85" s="192" t="str">
        <f>IF(OR($B85="", $AH85 = "SIM"), "", IF( ISNA(VLOOKUP($AP85,#REF!, 1, FALSE)), 1, 0))</f>
        <v/>
      </c>
      <c r="BU85" s="192" t="str">
        <f t="shared" si="83"/>
        <v/>
      </c>
      <c r="BV85" s="192" t="str">
        <f>IF( $B85="", "", IF( ISNA(VLOOKUP($AN85, TABELAS!$T$2:$T$9,1,FALSE)), 1, 0))</f>
        <v/>
      </c>
      <c r="BW85" s="192" t="str">
        <f t="shared" si="84"/>
        <v/>
      </c>
      <c r="BX85" s="192" t="str">
        <f>IF( OR($B85="", $AH85 = "SIM"), "", IF( ISNA( VLOOKUP( $AQ85, SISTEMA!$B:$B, 1, FALSE)), 1, 0))</f>
        <v/>
      </c>
      <c r="BY85" s="193" t="str">
        <f t="shared" si="85"/>
        <v/>
      </c>
      <c r="BZ85" s="193" t="str">
        <f t="shared" si="86"/>
        <v/>
      </c>
      <c r="CA85" s="192" t="str">
        <f t="shared" si="87"/>
        <v/>
      </c>
      <c r="CB85" s="193" t="str">
        <f t="shared" si="88"/>
        <v/>
      </c>
      <c r="CC85" s="193" t="str">
        <f t="shared" si="89"/>
        <v/>
      </c>
      <c r="CD85" s="193" t="str">
        <f t="shared" si="90"/>
        <v/>
      </c>
    </row>
    <row r="86" spans="1:82" x14ac:dyDescent="0.2">
      <c r="A86" s="140"/>
      <c r="B86" s="141" t="str">
        <f t="shared" si="59"/>
        <v/>
      </c>
      <c r="C86" s="142" t="str">
        <f t="shared" si="47"/>
        <v/>
      </c>
      <c r="D86" s="142" t="str">
        <f t="shared" si="60"/>
        <v/>
      </c>
      <c r="E86" s="142" t="str">
        <f>IF($C86="", "", COUNTIF($M$8:$M86,$D86))</f>
        <v/>
      </c>
      <c r="F86" s="254">
        <v>79</v>
      </c>
      <c r="G86" s="143"/>
      <c r="H86" s="144"/>
      <c r="I86" s="144"/>
      <c r="J86" s="145"/>
      <c r="K86" s="144"/>
      <c r="L86" s="144"/>
      <c r="M86" s="144"/>
      <c r="N86" s="146"/>
      <c r="O86" s="147"/>
      <c r="P86" s="147"/>
      <c r="Q86" s="147"/>
      <c r="R86" s="147"/>
      <c r="S86" s="147"/>
      <c r="T86" s="149"/>
      <c r="U86" s="150" t="str">
        <f>IF($T86="", "", VLOOKUP($T86, CONTRATOS!$B:$E, 2, FALSE))</f>
        <v/>
      </c>
      <c r="V86" s="151">
        <f>IF(OR($T86="",TB_DEFESA!$C$2="CARGA BASELINE"),0,
   IF(VLOOKUP($T86, CONTRATOS!B:E, 3, FALSE)&lt;&gt;"",1,IF(VLOOKUP($T86, CONTRATOS!B:E, 4, FALSE)&lt;&gt;"",2,0)))</f>
        <v>0</v>
      </c>
      <c r="W86" s="152"/>
      <c r="X86" s="152"/>
      <c r="Y86" s="153"/>
      <c r="Z86" s="154"/>
      <c r="AA86" s="155"/>
      <c r="AB86" s="156"/>
      <c r="AC86" s="157"/>
      <c r="AD86" s="155"/>
      <c r="AE86" s="158" t="str">
        <f t="shared" si="48"/>
        <v/>
      </c>
      <c r="AF86" s="160" t="str">
        <f t="shared" si="61"/>
        <v/>
      </c>
      <c r="AG86" s="182" t="s">
        <v>59</v>
      </c>
      <c r="AH86" s="183" t="str">
        <f t="shared" si="62"/>
        <v/>
      </c>
      <c r="AI86" s="183" t="str">
        <f t="shared" si="63"/>
        <v/>
      </c>
      <c r="AJ86" s="184" t="str">
        <f t="shared" si="64"/>
        <v/>
      </c>
      <c r="AK86" s="185" t="str">
        <f t="shared" si="65"/>
        <v/>
      </c>
      <c r="AL86" s="186"/>
      <c r="AM86" s="183" t="str">
        <f t="shared" si="66"/>
        <v/>
      </c>
      <c r="AN86" s="183" t="str">
        <f t="shared" si="67"/>
        <v/>
      </c>
      <c r="AO86" s="186" t="str">
        <f t="shared" si="68"/>
        <v/>
      </c>
      <c r="AP86" s="187" t="str">
        <f t="shared" si="69"/>
        <v/>
      </c>
      <c r="AQ86" s="187" t="str">
        <f t="shared" si="70"/>
        <v/>
      </c>
      <c r="AR86" s="188" t="str">
        <f t="shared" si="49"/>
        <v/>
      </c>
      <c r="AS86" s="188" t="str">
        <f t="shared" si="50"/>
        <v/>
      </c>
      <c r="AT86" s="183" t="str">
        <f t="shared" si="51"/>
        <v/>
      </c>
      <c r="AU86" s="189" t="str">
        <f>IF(OR($B86="", $AP86= ""),"",IF(VLOOKUP($AP86, CONTRATOS!B:K,3,FALSE)="","",VLOOKUP($AP86, CONTRATOS!B:K, 3,FALSE)))</f>
        <v/>
      </c>
      <c r="AV86" s="189" t="str">
        <f>IF(OR($B86="", $AP86 = ""), "", IF(VLOOKUP($AP86, CONTRATOS!B:K,4,FALSE)="","",VLOOKUP($AP86, CONTRATOS!B:K,4, FALSE)))</f>
        <v/>
      </c>
      <c r="AW86" s="190" t="str">
        <f t="shared" si="52"/>
        <v/>
      </c>
      <c r="AX86" s="189" t="str">
        <f t="shared" si="53"/>
        <v/>
      </c>
      <c r="AY86" s="189" t="str">
        <f t="shared" si="54"/>
        <v/>
      </c>
      <c r="AZ86" s="189" t="str">
        <f t="shared" si="55"/>
        <v/>
      </c>
      <c r="BA86" s="189" t="str">
        <f t="shared" si="56"/>
        <v/>
      </c>
      <c r="BB86" s="191">
        <f t="shared" si="71"/>
        <v>0</v>
      </c>
      <c r="BC86" s="191" t="str">
        <f t="shared" si="72"/>
        <v/>
      </c>
      <c r="BD86" s="191" t="str">
        <f t="shared" si="73"/>
        <v/>
      </c>
      <c r="BF86" s="192">
        <f t="shared" si="74"/>
        <v>0</v>
      </c>
      <c r="BG86" s="192">
        <f t="shared" si="75"/>
        <v>0</v>
      </c>
      <c r="BH86" s="192" t="str">
        <f>IF( $B86="", "", IF(ISNA(VLOOKUP($C86, Defesa!$C$7:$C$29,1,FALSE)),1,0))</f>
        <v/>
      </c>
      <c r="BI86" s="193" t="str">
        <f t="shared" si="76"/>
        <v/>
      </c>
      <c r="BJ86" s="193" t="str">
        <f>IF($B86="", "", IF( AND( $AI86="ESTIMATIVA", OR( Defesa!$F$7 = "AUTOMÁTICA", Defesa!$F$7 ="100% BASELINE")), 1, 0))</f>
        <v/>
      </c>
      <c r="BK86" s="192" t="str">
        <f t="shared" si="57"/>
        <v/>
      </c>
      <c r="BL86" s="192">
        <f t="shared" si="77"/>
        <v>0</v>
      </c>
      <c r="BM86" s="192" t="str">
        <f>IF($AC86="", "", IF(ISNA(VLOOKUP($AC86, TABELAS!$Q:$Q, 1, FALSE)), 1, 0))</f>
        <v/>
      </c>
      <c r="BN86" s="194" t="str">
        <f t="shared" si="58"/>
        <v/>
      </c>
      <c r="BO86" s="192" t="str">
        <f t="shared" si="78"/>
        <v/>
      </c>
      <c r="BP86" s="192" t="str">
        <f t="shared" si="79"/>
        <v/>
      </c>
      <c r="BQ86" s="193" t="str">
        <f t="shared" si="80"/>
        <v/>
      </c>
      <c r="BR86" s="192" t="str">
        <f t="shared" si="81"/>
        <v/>
      </c>
      <c r="BS86" s="192" t="str">
        <f t="shared" si="82"/>
        <v/>
      </c>
      <c r="BT86" s="192" t="str">
        <f>IF(OR($B86="", $AH86 = "SIM"), "", IF( ISNA(VLOOKUP($AP86,#REF!, 1, FALSE)), 1, 0))</f>
        <v/>
      </c>
      <c r="BU86" s="192" t="str">
        <f t="shared" si="83"/>
        <v/>
      </c>
      <c r="BV86" s="192" t="str">
        <f>IF( $B86="", "", IF( ISNA(VLOOKUP($AN86, TABELAS!$T$2:$T$9,1,FALSE)), 1, 0))</f>
        <v/>
      </c>
      <c r="BW86" s="192" t="str">
        <f t="shared" si="84"/>
        <v/>
      </c>
      <c r="BX86" s="192" t="str">
        <f>IF( OR($B86="", $AH86 = "SIM"), "", IF( ISNA( VLOOKUP( $AQ86, SISTEMA!$B:$B, 1, FALSE)), 1, 0))</f>
        <v/>
      </c>
      <c r="BY86" s="193" t="str">
        <f t="shared" si="85"/>
        <v/>
      </c>
      <c r="BZ86" s="193" t="str">
        <f t="shared" si="86"/>
        <v/>
      </c>
      <c r="CA86" s="192" t="str">
        <f t="shared" si="87"/>
        <v/>
      </c>
      <c r="CB86" s="193" t="str">
        <f t="shared" si="88"/>
        <v/>
      </c>
      <c r="CC86" s="193" t="str">
        <f t="shared" si="89"/>
        <v/>
      </c>
      <c r="CD86" s="193" t="str">
        <f t="shared" si="90"/>
        <v/>
      </c>
    </row>
    <row r="87" spans="1:82" x14ac:dyDescent="0.2">
      <c r="A87" s="140"/>
      <c r="B87" s="141" t="str">
        <f t="shared" si="59"/>
        <v/>
      </c>
      <c r="C87" s="142" t="str">
        <f t="shared" si="47"/>
        <v/>
      </c>
      <c r="D87" s="142" t="str">
        <f t="shared" si="60"/>
        <v/>
      </c>
      <c r="E87" s="142" t="str">
        <f>IF($C87="", "", COUNTIF($M$8:$M87,$D87))</f>
        <v/>
      </c>
      <c r="F87" s="254">
        <v>80</v>
      </c>
      <c r="G87" s="143"/>
      <c r="H87" s="144"/>
      <c r="I87" s="144"/>
      <c r="J87" s="145"/>
      <c r="K87" s="144"/>
      <c r="L87" s="144"/>
      <c r="M87" s="144"/>
      <c r="N87" s="146"/>
      <c r="O87" s="147"/>
      <c r="P87" s="147"/>
      <c r="Q87" s="147"/>
      <c r="R87" s="147"/>
      <c r="S87" s="147"/>
      <c r="T87" s="149"/>
      <c r="U87" s="150" t="str">
        <f>IF($T87="", "", VLOOKUP($T87, CONTRATOS!$B:$E, 2, FALSE))</f>
        <v/>
      </c>
      <c r="V87" s="151">
        <f>IF(OR($T87="",TB_DEFESA!$C$2="CARGA BASELINE"),0,
   IF(VLOOKUP($T87, CONTRATOS!B:E, 3, FALSE)&lt;&gt;"",1,IF(VLOOKUP($T87, CONTRATOS!B:E, 4, FALSE)&lt;&gt;"",2,0)))</f>
        <v>0</v>
      </c>
      <c r="W87" s="152"/>
      <c r="X87" s="152"/>
      <c r="Y87" s="153"/>
      <c r="Z87" s="154"/>
      <c r="AA87" s="155"/>
      <c r="AB87" s="156"/>
      <c r="AC87" s="157"/>
      <c r="AD87" s="155"/>
      <c r="AE87" s="158" t="str">
        <f t="shared" si="48"/>
        <v/>
      </c>
      <c r="AF87" s="160" t="str">
        <f t="shared" si="61"/>
        <v/>
      </c>
      <c r="AG87" s="182" t="s">
        <v>59</v>
      </c>
      <c r="AH87" s="183" t="str">
        <f t="shared" si="62"/>
        <v/>
      </c>
      <c r="AI87" s="183" t="str">
        <f t="shared" si="63"/>
        <v/>
      </c>
      <c r="AJ87" s="184" t="str">
        <f t="shared" si="64"/>
        <v/>
      </c>
      <c r="AK87" s="185" t="str">
        <f t="shared" si="65"/>
        <v/>
      </c>
      <c r="AL87" s="186"/>
      <c r="AM87" s="183" t="str">
        <f t="shared" si="66"/>
        <v/>
      </c>
      <c r="AN87" s="183" t="str">
        <f t="shared" si="67"/>
        <v/>
      </c>
      <c r="AO87" s="186" t="str">
        <f t="shared" si="68"/>
        <v/>
      </c>
      <c r="AP87" s="187" t="str">
        <f t="shared" si="69"/>
        <v/>
      </c>
      <c r="AQ87" s="187" t="str">
        <f t="shared" si="70"/>
        <v/>
      </c>
      <c r="AR87" s="188" t="str">
        <f t="shared" si="49"/>
        <v/>
      </c>
      <c r="AS87" s="188" t="str">
        <f t="shared" si="50"/>
        <v/>
      </c>
      <c r="AT87" s="183" t="str">
        <f t="shared" si="51"/>
        <v/>
      </c>
      <c r="AU87" s="189" t="str">
        <f>IF(OR($B87="", $AP87= ""),"",IF(VLOOKUP($AP87, CONTRATOS!B:K,3,FALSE)="","",VLOOKUP($AP87, CONTRATOS!B:K, 3,FALSE)))</f>
        <v/>
      </c>
      <c r="AV87" s="189" t="str">
        <f>IF(OR($B87="", $AP87 = ""), "", IF(VLOOKUP($AP87, CONTRATOS!B:K,4,FALSE)="","",VLOOKUP($AP87, CONTRATOS!B:K,4, FALSE)))</f>
        <v/>
      </c>
      <c r="AW87" s="190" t="str">
        <f t="shared" si="52"/>
        <v/>
      </c>
      <c r="AX87" s="189" t="str">
        <f t="shared" si="53"/>
        <v/>
      </c>
      <c r="AY87" s="189" t="str">
        <f t="shared" si="54"/>
        <v/>
      </c>
      <c r="AZ87" s="189" t="str">
        <f t="shared" si="55"/>
        <v/>
      </c>
      <c r="BA87" s="189" t="str">
        <f t="shared" si="56"/>
        <v/>
      </c>
      <c r="BB87" s="191">
        <f t="shared" si="71"/>
        <v>0</v>
      </c>
      <c r="BC87" s="191" t="str">
        <f t="shared" si="72"/>
        <v/>
      </c>
      <c r="BD87" s="191" t="str">
        <f t="shared" si="73"/>
        <v/>
      </c>
      <c r="BF87" s="192">
        <f t="shared" si="74"/>
        <v>0</v>
      </c>
      <c r="BG87" s="192">
        <f t="shared" si="75"/>
        <v>0</v>
      </c>
      <c r="BH87" s="192" t="str">
        <f>IF( $B87="", "", IF(ISNA(VLOOKUP($C87, Defesa!$C$7:$C$29,1,FALSE)),1,0))</f>
        <v/>
      </c>
      <c r="BI87" s="193" t="str">
        <f t="shared" si="76"/>
        <v/>
      </c>
      <c r="BJ87" s="193" t="str">
        <f>IF($B87="", "", IF( AND( $AI87="ESTIMATIVA", OR( Defesa!$F$7 = "AUTOMÁTICA", Defesa!$F$7 ="100% BASELINE")), 1, 0))</f>
        <v/>
      </c>
      <c r="BK87" s="192" t="str">
        <f t="shared" si="57"/>
        <v/>
      </c>
      <c r="BL87" s="192">
        <f t="shared" si="77"/>
        <v>0</v>
      </c>
      <c r="BM87" s="192" t="str">
        <f>IF($AC87="", "", IF(ISNA(VLOOKUP($AC87, TABELAS!$Q:$Q, 1, FALSE)), 1, 0))</f>
        <v/>
      </c>
      <c r="BN87" s="194" t="str">
        <f t="shared" si="58"/>
        <v/>
      </c>
      <c r="BO87" s="192" t="str">
        <f t="shared" si="78"/>
        <v/>
      </c>
      <c r="BP87" s="192" t="str">
        <f t="shared" si="79"/>
        <v/>
      </c>
      <c r="BQ87" s="193" t="str">
        <f t="shared" si="80"/>
        <v/>
      </c>
      <c r="BR87" s="192" t="str">
        <f t="shared" si="81"/>
        <v/>
      </c>
      <c r="BS87" s="192" t="str">
        <f t="shared" si="82"/>
        <v/>
      </c>
      <c r="BT87" s="192" t="str">
        <f>IF(OR($B87="", $AH87 = "SIM"), "", IF( ISNA(VLOOKUP($AP87,#REF!, 1, FALSE)), 1, 0))</f>
        <v/>
      </c>
      <c r="BU87" s="192" t="str">
        <f t="shared" si="83"/>
        <v/>
      </c>
      <c r="BV87" s="192" t="str">
        <f>IF( $B87="", "", IF( ISNA(VLOOKUP($AN87, TABELAS!$T$2:$T$9,1,FALSE)), 1, 0))</f>
        <v/>
      </c>
      <c r="BW87" s="192" t="str">
        <f t="shared" si="84"/>
        <v/>
      </c>
      <c r="BX87" s="192" t="str">
        <f>IF( OR($B87="", $AH87 = "SIM"), "", IF( ISNA( VLOOKUP( $AQ87, SISTEMA!$B:$B, 1, FALSE)), 1, 0))</f>
        <v/>
      </c>
      <c r="BY87" s="193" t="str">
        <f t="shared" si="85"/>
        <v/>
      </c>
      <c r="BZ87" s="193" t="str">
        <f t="shared" si="86"/>
        <v/>
      </c>
      <c r="CA87" s="192" t="str">
        <f t="shared" si="87"/>
        <v/>
      </c>
      <c r="CB87" s="193" t="str">
        <f t="shared" si="88"/>
        <v/>
      </c>
      <c r="CC87" s="193" t="str">
        <f t="shared" si="89"/>
        <v/>
      </c>
      <c r="CD87" s="193" t="str">
        <f t="shared" si="90"/>
        <v/>
      </c>
    </row>
    <row r="88" spans="1:82" x14ac:dyDescent="0.2">
      <c r="A88" s="140"/>
      <c r="B88" s="141" t="str">
        <f t="shared" si="59"/>
        <v/>
      </c>
      <c r="C88" s="142" t="str">
        <f t="shared" si="47"/>
        <v/>
      </c>
      <c r="D88" s="142" t="str">
        <f t="shared" si="60"/>
        <v/>
      </c>
      <c r="E88" s="142" t="str">
        <f>IF($C88="", "", COUNTIF($M$8:$M88,$D88))</f>
        <v/>
      </c>
      <c r="F88" s="254">
        <v>81</v>
      </c>
      <c r="G88" s="143"/>
      <c r="H88" s="144"/>
      <c r="I88" s="144"/>
      <c r="J88" s="145"/>
      <c r="K88" s="144"/>
      <c r="L88" s="144"/>
      <c r="M88" s="144"/>
      <c r="N88" s="146"/>
      <c r="O88" s="147"/>
      <c r="P88" s="147"/>
      <c r="Q88" s="147"/>
      <c r="R88" s="147"/>
      <c r="S88" s="147"/>
      <c r="T88" s="149"/>
      <c r="U88" s="150" t="str">
        <f>IF($T88="", "", VLOOKUP($T88, CONTRATOS!$B:$E, 2, FALSE))</f>
        <v/>
      </c>
      <c r="V88" s="151">
        <f>IF(OR($T88="",TB_DEFESA!$C$2="CARGA BASELINE"),0,
   IF(VLOOKUP($T88, CONTRATOS!B:E, 3, FALSE)&lt;&gt;"",1,IF(VLOOKUP($T88, CONTRATOS!B:E, 4, FALSE)&lt;&gt;"",2,0)))</f>
        <v>0</v>
      </c>
      <c r="W88" s="152"/>
      <c r="X88" s="152"/>
      <c r="Y88" s="153"/>
      <c r="Z88" s="154"/>
      <c r="AA88" s="155"/>
      <c r="AB88" s="156"/>
      <c r="AC88" s="157"/>
      <c r="AD88" s="155"/>
      <c r="AE88" s="158" t="str">
        <f t="shared" si="48"/>
        <v/>
      </c>
      <c r="AF88" s="160" t="str">
        <f t="shared" si="61"/>
        <v/>
      </c>
      <c r="AG88" s="182" t="s">
        <v>59</v>
      </c>
      <c r="AH88" s="183" t="str">
        <f t="shared" si="62"/>
        <v/>
      </c>
      <c r="AI88" s="183" t="str">
        <f t="shared" si="63"/>
        <v/>
      </c>
      <c r="AJ88" s="184" t="str">
        <f t="shared" si="64"/>
        <v/>
      </c>
      <c r="AK88" s="185" t="str">
        <f t="shared" si="65"/>
        <v/>
      </c>
      <c r="AL88" s="186"/>
      <c r="AM88" s="183" t="str">
        <f t="shared" si="66"/>
        <v/>
      </c>
      <c r="AN88" s="183" t="str">
        <f t="shared" si="67"/>
        <v/>
      </c>
      <c r="AO88" s="186" t="str">
        <f t="shared" si="68"/>
        <v/>
      </c>
      <c r="AP88" s="187" t="str">
        <f t="shared" si="69"/>
        <v/>
      </c>
      <c r="AQ88" s="187" t="str">
        <f t="shared" si="70"/>
        <v/>
      </c>
      <c r="AR88" s="188" t="str">
        <f t="shared" si="49"/>
        <v/>
      </c>
      <c r="AS88" s="188" t="str">
        <f t="shared" si="50"/>
        <v/>
      </c>
      <c r="AT88" s="183" t="str">
        <f t="shared" si="51"/>
        <v/>
      </c>
      <c r="AU88" s="189" t="str">
        <f>IF(OR($B88="", $AP88= ""),"",IF(VLOOKUP($AP88, CONTRATOS!B:K,3,FALSE)="","",VLOOKUP($AP88, CONTRATOS!B:K, 3,FALSE)))</f>
        <v/>
      </c>
      <c r="AV88" s="189" t="str">
        <f>IF(OR($B88="", $AP88 = ""), "", IF(VLOOKUP($AP88, CONTRATOS!B:K,4,FALSE)="","",VLOOKUP($AP88, CONTRATOS!B:K,4, FALSE)))</f>
        <v/>
      </c>
      <c r="AW88" s="190" t="str">
        <f t="shared" si="52"/>
        <v/>
      </c>
      <c r="AX88" s="189" t="str">
        <f t="shared" si="53"/>
        <v/>
      </c>
      <c r="AY88" s="189" t="str">
        <f t="shared" si="54"/>
        <v/>
      </c>
      <c r="AZ88" s="189" t="str">
        <f t="shared" si="55"/>
        <v/>
      </c>
      <c r="BA88" s="189" t="str">
        <f t="shared" si="56"/>
        <v/>
      </c>
      <c r="BB88" s="191">
        <f t="shared" si="71"/>
        <v>0</v>
      </c>
      <c r="BC88" s="191" t="str">
        <f t="shared" si="72"/>
        <v/>
      </c>
      <c r="BD88" s="191" t="str">
        <f t="shared" si="73"/>
        <v/>
      </c>
      <c r="BF88" s="192">
        <f t="shared" si="74"/>
        <v>0</v>
      </c>
      <c r="BG88" s="192">
        <f t="shared" si="75"/>
        <v>0</v>
      </c>
      <c r="BH88" s="192" t="str">
        <f>IF( $B88="", "", IF(ISNA(VLOOKUP($C88, Defesa!$C$7:$C$29,1,FALSE)),1,0))</f>
        <v/>
      </c>
      <c r="BI88" s="193" t="str">
        <f t="shared" si="76"/>
        <v/>
      </c>
      <c r="BJ88" s="193" t="str">
        <f>IF($B88="", "", IF( AND( $AI88="ESTIMATIVA", OR( Defesa!$F$7 = "AUTOMÁTICA", Defesa!$F$7 ="100% BASELINE")), 1, 0))</f>
        <v/>
      </c>
      <c r="BK88" s="192" t="str">
        <f t="shared" si="57"/>
        <v/>
      </c>
      <c r="BL88" s="192">
        <f t="shared" si="77"/>
        <v>0</v>
      </c>
      <c r="BM88" s="192" t="str">
        <f>IF($AC88="", "", IF(ISNA(VLOOKUP($AC88, TABELAS!$Q:$Q, 1, FALSE)), 1, 0))</f>
        <v/>
      </c>
      <c r="BN88" s="194" t="str">
        <f t="shared" si="58"/>
        <v/>
      </c>
      <c r="BO88" s="192" t="str">
        <f t="shared" si="78"/>
        <v/>
      </c>
      <c r="BP88" s="192" t="str">
        <f t="shared" si="79"/>
        <v/>
      </c>
      <c r="BQ88" s="193" t="str">
        <f t="shared" si="80"/>
        <v/>
      </c>
      <c r="BR88" s="192" t="str">
        <f t="shared" si="81"/>
        <v/>
      </c>
      <c r="BS88" s="192" t="str">
        <f t="shared" si="82"/>
        <v/>
      </c>
      <c r="BT88" s="192" t="str">
        <f>IF(OR($B88="", $AH88 = "SIM"), "", IF( ISNA(VLOOKUP($AP88,#REF!, 1, FALSE)), 1, 0))</f>
        <v/>
      </c>
      <c r="BU88" s="192" t="str">
        <f t="shared" si="83"/>
        <v/>
      </c>
      <c r="BV88" s="192" t="str">
        <f>IF( $B88="", "", IF( ISNA(VLOOKUP($AN88, TABELAS!$T$2:$T$9,1,FALSE)), 1, 0))</f>
        <v/>
      </c>
      <c r="BW88" s="192" t="str">
        <f t="shared" si="84"/>
        <v/>
      </c>
      <c r="BX88" s="192" t="str">
        <f>IF( OR($B88="", $AH88 = "SIM"), "", IF( ISNA( VLOOKUP( $AQ88, SISTEMA!$B:$B, 1, FALSE)), 1, 0))</f>
        <v/>
      </c>
      <c r="BY88" s="193" t="str">
        <f t="shared" si="85"/>
        <v/>
      </c>
      <c r="BZ88" s="193" t="str">
        <f t="shared" si="86"/>
        <v/>
      </c>
      <c r="CA88" s="192" t="str">
        <f t="shared" si="87"/>
        <v/>
      </c>
      <c r="CB88" s="193" t="str">
        <f t="shared" si="88"/>
        <v/>
      </c>
      <c r="CC88" s="193" t="str">
        <f t="shared" si="89"/>
        <v/>
      </c>
      <c r="CD88" s="193" t="str">
        <f t="shared" si="90"/>
        <v/>
      </c>
    </row>
    <row r="89" spans="1:82" x14ac:dyDescent="0.2">
      <c r="A89" s="140"/>
      <c r="B89" s="141" t="str">
        <f t="shared" si="59"/>
        <v/>
      </c>
      <c r="C89" s="142" t="str">
        <f t="shared" si="47"/>
        <v/>
      </c>
      <c r="D89" s="142" t="str">
        <f t="shared" si="60"/>
        <v/>
      </c>
      <c r="E89" s="142" t="str">
        <f>IF($C89="", "", COUNTIF($M$8:$M89,$D89))</f>
        <v/>
      </c>
      <c r="F89" s="254">
        <v>82</v>
      </c>
      <c r="G89" s="143"/>
      <c r="H89" s="144"/>
      <c r="I89" s="144"/>
      <c r="J89" s="145"/>
      <c r="K89" s="144"/>
      <c r="L89" s="144"/>
      <c r="M89" s="144"/>
      <c r="N89" s="146"/>
      <c r="O89" s="147"/>
      <c r="P89" s="147"/>
      <c r="Q89" s="147"/>
      <c r="R89" s="147"/>
      <c r="S89" s="147"/>
      <c r="T89" s="149"/>
      <c r="U89" s="150" t="str">
        <f>IF($T89="", "", VLOOKUP($T89, CONTRATOS!$B:$E, 2, FALSE))</f>
        <v/>
      </c>
      <c r="V89" s="151">
        <f>IF(OR($T89="",TB_DEFESA!$C$2="CARGA BASELINE"),0,
   IF(VLOOKUP($T89, CONTRATOS!B:E, 3, FALSE)&lt;&gt;"",1,IF(VLOOKUP($T89, CONTRATOS!B:E, 4, FALSE)&lt;&gt;"",2,0)))</f>
        <v>0</v>
      </c>
      <c r="W89" s="152"/>
      <c r="X89" s="152"/>
      <c r="Y89" s="153"/>
      <c r="Z89" s="154"/>
      <c r="AA89" s="155"/>
      <c r="AB89" s="156"/>
      <c r="AC89" s="157"/>
      <c r="AD89" s="155"/>
      <c r="AE89" s="158" t="str">
        <f t="shared" si="48"/>
        <v/>
      </c>
      <c r="AF89" s="160" t="str">
        <f t="shared" si="61"/>
        <v/>
      </c>
      <c r="AG89" s="182" t="s">
        <v>59</v>
      </c>
      <c r="AH89" s="183" t="str">
        <f t="shared" si="62"/>
        <v/>
      </c>
      <c r="AI89" s="183" t="str">
        <f t="shared" si="63"/>
        <v/>
      </c>
      <c r="AJ89" s="184" t="str">
        <f t="shared" si="64"/>
        <v/>
      </c>
      <c r="AK89" s="185" t="str">
        <f t="shared" si="65"/>
        <v/>
      </c>
      <c r="AL89" s="186"/>
      <c r="AM89" s="183" t="str">
        <f t="shared" si="66"/>
        <v/>
      </c>
      <c r="AN89" s="183" t="str">
        <f t="shared" si="67"/>
        <v/>
      </c>
      <c r="AO89" s="186" t="str">
        <f t="shared" si="68"/>
        <v/>
      </c>
      <c r="AP89" s="187" t="str">
        <f t="shared" si="69"/>
        <v/>
      </c>
      <c r="AQ89" s="187" t="str">
        <f t="shared" si="70"/>
        <v/>
      </c>
      <c r="AR89" s="188" t="str">
        <f t="shared" si="49"/>
        <v/>
      </c>
      <c r="AS89" s="188" t="str">
        <f t="shared" si="50"/>
        <v/>
      </c>
      <c r="AT89" s="183" t="str">
        <f t="shared" si="51"/>
        <v/>
      </c>
      <c r="AU89" s="189" t="str">
        <f>IF(OR($B89="", $AP89= ""),"",IF(VLOOKUP($AP89, CONTRATOS!B:K,3,FALSE)="","",VLOOKUP($AP89, CONTRATOS!B:K, 3,FALSE)))</f>
        <v/>
      </c>
      <c r="AV89" s="189" t="str">
        <f>IF(OR($B89="", $AP89 = ""), "", IF(VLOOKUP($AP89, CONTRATOS!B:K,4,FALSE)="","",VLOOKUP($AP89, CONTRATOS!B:K,4, FALSE)))</f>
        <v/>
      </c>
      <c r="AW89" s="190" t="str">
        <f t="shared" si="52"/>
        <v/>
      </c>
      <c r="AX89" s="189" t="str">
        <f t="shared" si="53"/>
        <v/>
      </c>
      <c r="AY89" s="189" t="str">
        <f t="shared" si="54"/>
        <v/>
      </c>
      <c r="AZ89" s="189" t="str">
        <f t="shared" si="55"/>
        <v/>
      </c>
      <c r="BA89" s="189" t="str">
        <f t="shared" si="56"/>
        <v/>
      </c>
      <c r="BB89" s="191">
        <f t="shared" si="71"/>
        <v>0</v>
      </c>
      <c r="BC89" s="191" t="str">
        <f t="shared" si="72"/>
        <v/>
      </c>
      <c r="BD89" s="191" t="str">
        <f t="shared" si="73"/>
        <v/>
      </c>
      <c r="BF89" s="192">
        <f t="shared" si="74"/>
        <v>0</v>
      </c>
      <c r="BG89" s="192">
        <f t="shared" si="75"/>
        <v>0</v>
      </c>
      <c r="BH89" s="192" t="str">
        <f>IF( $B89="", "", IF(ISNA(VLOOKUP($C89, Defesa!$C$7:$C$29,1,FALSE)),1,0))</f>
        <v/>
      </c>
      <c r="BI89" s="193" t="str">
        <f t="shared" si="76"/>
        <v/>
      </c>
      <c r="BJ89" s="193" t="str">
        <f>IF($B89="", "", IF( AND( $AI89="ESTIMATIVA", OR( Defesa!$F$7 = "AUTOMÁTICA", Defesa!$F$7 ="100% BASELINE")), 1, 0))</f>
        <v/>
      </c>
      <c r="BK89" s="192" t="str">
        <f t="shared" si="57"/>
        <v/>
      </c>
      <c r="BL89" s="192">
        <f t="shared" si="77"/>
        <v>0</v>
      </c>
      <c r="BM89" s="192" t="str">
        <f>IF($AC89="", "", IF(ISNA(VLOOKUP($AC89, TABELAS!$Q:$Q, 1, FALSE)), 1, 0))</f>
        <v/>
      </c>
      <c r="BN89" s="194" t="str">
        <f t="shared" si="58"/>
        <v/>
      </c>
      <c r="BO89" s="192" t="str">
        <f t="shared" si="78"/>
        <v/>
      </c>
      <c r="BP89" s="192" t="str">
        <f t="shared" si="79"/>
        <v/>
      </c>
      <c r="BQ89" s="193" t="str">
        <f t="shared" si="80"/>
        <v/>
      </c>
      <c r="BR89" s="192" t="str">
        <f t="shared" si="81"/>
        <v/>
      </c>
      <c r="BS89" s="192" t="str">
        <f t="shared" si="82"/>
        <v/>
      </c>
      <c r="BT89" s="192" t="str">
        <f>IF(OR($B89="", $AH89 = "SIM"), "", IF( ISNA(VLOOKUP($AP89,#REF!, 1, FALSE)), 1, 0))</f>
        <v/>
      </c>
      <c r="BU89" s="192" t="str">
        <f t="shared" si="83"/>
        <v/>
      </c>
      <c r="BV89" s="192" t="str">
        <f>IF( $B89="", "", IF( ISNA(VLOOKUP($AN89, TABELAS!$T$2:$T$9,1,FALSE)), 1, 0))</f>
        <v/>
      </c>
      <c r="BW89" s="192" t="str">
        <f t="shared" si="84"/>
        <v/>
      </c>
      <c r="BX89" s="192" t="str">
        <f>IF( OR($B89="", $AH89 = "SIM"), "", IF( ISNA( VLOOKUP( $AQ89, SISTEMA!$B:$B, 1, FALSE)), 1, 0))</f>
        <v/>
      </c>
      <c r="BY89" s="193" t="str">
        <f t="shared" si="85"/>
        <v/>
      </c>
      <c r="BZ89" s="193" t="str">
        <f t="shared" si="86"/>
        <v/>
      </c>
      <c r="CA89" s="192" t="str">
        <f t="shared" si="87"/>
        <v/>
      </c>
      <c r="CB89" s="193" t="str">
        <f t="shared" si="88"/>
        <v/>
      </c>
      <c r="CC89" s="193" t="str">
        <f t="shared" si="89"/>
        <v/>
      </c>
      <c r="CD89" s="193" t="str">
        <f t="shared" si="90"/>
        <v/>
      </c>
    </row>
    <row r="90" spans="1:82" x14ac:dyDescent="0.2">
      <c r="A90" s="140"/>
      <c r="B90" s="141" t="str">
        <f t="shared" si="59"/>
        <v/>
      </c>
      <c r="C90" s="142" t="str">
        <f t="shared" si="47"/>
        <v/>
      </c>
      <c r="D90" s="142" t="str">
        <f t="shared" si="60"/>
        <v/>
      </c>
      <c r="E90" s="142" t="str">
        <f>IF($C90="", "", COUNTIF($M$8:$M90,$D90))</f>
        <v/>
      </c>
      <c r="F90" s="254">
        <v>83</v>
      </c>
      <c r="G90" s="143"/>
      <c r="H90" s="144"/>
      <c r="I90" s="144"/>
      <c r="J90" s="145"/>
      <c r="K90" s="144"/>
      <c r="L90" s="144"/>
      <c r="M90" s="144"/>
      <c r="N90" s="146"/>
      <c r="O90" s="147"/>
      <c r="P90" s="147"/>
      <c r="Q90" s="147"/>
      <c r="R90" s="147"/>
      <c r="S90" s="147"/>
      <c r="T90" s="149"/>
      <c r="U90" s="150" t="str">
        <f>IF($T90="", "", VLOOKUP($T90, CONTRATOS!$B:$E, 2, FALSE))</f>
        <v/>
      </c>
      <c r="V90" s="151">
        <f>IF(OR($T90="",TB_DEFESA!$C$2="CARGA BASELINE"),0,
   IF(VLOOKUP($T90, CONTRATOS!B:E, 3, FALSE)&lt;&gt;"",1,IF(VLOOKUP($T90, CONTRATOS!B:E, 4, FALSE)&lt;&gt;"",2,0)))</f>
        <v>0</v>
      </c>
      <c r="W90" s="152"/>
      <c r="X90" s="152"/>
      <c r="Y90" s="153"/>
      <c r="Z90" s="154"/>
      <c r="AA90" s="155"/>
      <c r="AB90" s="156"/>
      <c r="AC90" s="157"/>
      <c r="AD90" s="155"/>
      <c r="AE90" s="158" t="str">
        <f t="shared" si="48"/>
        <v/>
      </c>
      <c r="AF90" s="160" t="str">
        <f t="shared" si="61"/>
        <v/>
      </c>
      <c r="AG90" s="182" t="s">
        <v>59</v>
      </c>
      <c r="AH90" s="183" t="str">
        <f t="shared" si="62"/>
        <v/>
      </c>
      <c r="AI90" s="183" t="str">
        <f t="shared" si="63"/>
        <v/>
      </c>
      <c r="AJ90" s="184" t="str">
        <f t="shared" si="64"/>
        <v/>
      </c>
      <c r="AK90" s="185" t="str">
        <f t="shared" si="65"/>
        <v/>
      </c>
      <c r="AL90" s="186"/>
      <c r="AM90" s="183" t="str">
        <f t="shared" si="66"/>
        <v/>
      </c>
      <c r="AN90" s="183" t="str">
        <f t="shared" si="67"/>
        <v/>
      </c>
      <c r="AO90" s="186" t="str">
        <f t="shared" si="68"/>
        <v/>
      </c>
      <c r="AP90" s="187" t="str">
        <f t="shared" si="69"/>
        <v/>
      </c>
      <c r="AQ90" s="187" t="str">
        <f t="shared" si="70"/>
        <v/>
      </c>
      <c r="AR90" s="188" t="str">
        <f t="shared" si="49"/>
        <v/>
      </c>
      <c r="AS90" s="188" t="str">
        <f t="shared" si="50"/>
        <v/>
      </c>
      <c r="AT90" s="183" t="str">
        <f t="shared" si="51"/>
        <v/>
      </c>
      <c r="AU90" s="189" t="str">
        <f>IF(OR($B90="", $AP90= ""),"",IF(VLOOKUP($AP90, CONTRATOS!B:K,3,FALSE)="","",VLOOKUP($AP90, CONTRATOS!B:K, 3,FALSE)))</f>
        <v/>
      </c>
      <c r="AV90" s="189" t="str">
        <f>IF(OR($B90="", $AP90 = ""), "", IF(VLOOKUP($AP90, CONTRATOS!B:K,4,FALSE)="","",VLOOKUP($AP90, CONTRATOS!B:K,4, FALSE)))</f>
        <v/>
      </c>
      <c r="AW90" s="190" t="str">
        <f t="shared" si="52"/>
        <v/>
      </c>
      <c r="AX90" s="189" t="str">
        <f t="shared" si="53"/>
        <v/>
      </c>
      <c r="AY90" s="189" t="str">
        <f t="shared" si="54"/>
        <v/>
      </c>
      <c r="AZ90" s="189" t="str">
        <f t="shared" si="55"/>
        <v/>
      </c>
      <c r="BA90" s="189" t="str">
        <f t="shared" si="56"/>
        <v/>
      </c>
      <c r="BB90" s="191">
        <f t="shared" si="71"/>
        <v>0</v>
      </c>
      <c r="BC90" s="191" t="str">
        <f t="shared" si="72"/>
        <v/>
      </c>
      <c r="BD90" s="191" t="str">
        <f t="shared" si="73"/>
        <v/>
      </c>
      <c r="BF90" s="192">
        <f t="shared" si="74"/>
        <v>0</v>
      </c>
      <c r="BG90" s="192">
        <f t="shared" si="75"/>
        <v>0</v>
      </c>
      <c r="BH90" s="192" t="str">
        <f>IF( $B90="", "", IF(ISNA(VLOOKUP($C90, Defesa!$C$7:$C$29,1,FALSE)),1,0))</f>
        <v/>
      </c>
      <c r="BI90" s="193" t="str">
        <f t="shared" si="76"/>
        <v/>
      </c>
      <c r="BJ90" s="193" t="str">
        <f>IF($B90="", "", IF( AND( $AI90="ESTIMATIVA", OR( Defesa!$F$7 = "AUTOMÁTICA", Defesa!$F$7 ="100% BASELINE")), 1, 0))</f>
        <v/>
      </c>
      <c r="BK90" s="192" t="str">
        <f t="shared" si="57"/>
        <v/>
      </c>
      <c r="BL90" s="192">
        <f t="shared" si="77"/>
        <v>0</v>
      </c>
      <c r="BM90" s="192" t="str">
        <f>IF($AC90="", "", IF(ISNA(VLOOKUP($AC90, TABELAS!$Q:$Q, 1, FALSE)), 1, 0))</f>
        <v/>
      </c>
      <c r="BN90" s="194" t="str">
        <f t="shared" si="58"/>
        <v/>
      </c>
      <c r="BO90" s="192" t="str">
        <f t="shared" si="78"/>
        <v/>
      </c>
      <c r="BP90" s="192" t="str">
        <f t="shared" si="79"/>
        <v/>
      </c>
      <c r="BQ90" s="193" t="str">
        <f t="shared" si="80"/>
        <v/>
      </c>
      <c r="BR90" s="192" t="str">
        <f t="shared" si="81"/>
        <v/>
      </c>
      <c r="BS90" s="192" t="str">
        <f t="shared" si="82"/>
        <v/>
      </c>
      <c r="BT90" s="192" t="str">
        <f>IF(OR($B90="", $AH90 = "SIM"), "", IF( ISNA(VLOOKUP($AP90,#REF!, 1, FALSE)), 1, 0))</f>
        <v/>
      </c>
      <c r="BU90" s="192" t="str">
        <f t="shared" si="83"/>
        <v/>
      </c>
      <c r="BV90" s="192" t="str">
        <f>IF( $B90="", "", IF( ISNA(VLOOKUP($AN90, TABELAS!$T$2:$T$9,1,FALSE)), 1, 0))</f>
        <v/>
      </c>
      <c r="BW90" s="192" t="str">
        <f t="shared" si="84"/>
        <v/>
      </c>
      <c r="BX90" s="192" t="str">
        <f>IF( OR($B90="", $AH90 = "SIM"), "", IF( ISNA( VLOOKUP( $AQ90, SISTEMA!$B:$B, 1, FALSE)), 1, 0))</f>
        <v/>
      </c>
      <c r="BY90" s="193" t="str">
        <f t="shared" si="85"/>
        <v/>
      </c>
      <c r="BZ90" s="193" t="str">
        <f t="shared" si="86"/>
        <v/>
      </c>
      <c r="CA90" s="192" t="str">
        <f t="shared" si="87"/>
        <v/>
      </c>
      <c r="CB90" s="193" t="str">
        <f t="shared" si="88"/>
        <v/>
      </c>
      <c r="CC90" s="193" t="str">
        <f t="shared" si="89"/>
        <v/>
      </c>
      <c r="CD90" s="193" t="str">
        <f t="shared" si="90"/>
        <v/>
      </c>
    </row>
    <row r="91" spans="1:82" x14ac:dyDescent="0.2">
      <c r="A91" s="140"/>
      <c r="B91" s="141" t="str">
        <f t="shared" si="59"/>
        <v/>
      </c>
      <c r="C91" s="142" t="str">
        <f t="shared" si="47"/>
        <v/>
      </c>
      <c r="D91" s="142" t="str">
        <f t="shared" si="60"/>
        <v/>
      </c>
      <c r="E91" s="142" t="str">
        <f>IF($C91="", "", COUNTIF($M$8:$M91,$D91))</f>
        <v/>
      </c>
      <c r="F91" s="254">
        <v>84</v>
      </c>
      <c r="G91" s="143"/>
      <c r="H91" s="144"/>
      <c r="I91" s="144"/>
      <c r="J91" s="145"/>
      <c r="K91" s="144"/>
      <c r="L91" s="144"/>
      <c r="M91" s="144"/>
      <c r="N91" s="146"/>
      <c r="O91" s="147"/>
      <c r="P91" s="147"/>
      <c r="Q91" s="147"/>
      <c r="R91" s="147"/>
      <c r="S91" s="147"/>
      <c r="T91" s="149"/>
      <c r="U91" s="150" t="str">
        <f>IF($T91="", "", VLOOKUP($T91, CONTRATOS!$B:$E, 2, FALSE))</f>
        <v/>
      </c>
      <c r="V91" s="151">
        <f>IF(OR($T91="",TB_DEFESA!$C$2="CARGA BASELINE"),0,
   IF(VLOOKUP($T91, CONTRATOS!B:E, 3, FALSE)&lt;&gt;"",1,IF(VLOOKUP($T91, CONTRATOS!B:E, 4, FALSE)&lt;&gt;"",2,0)))</f>
        <v>0</v>
      </c>
      <c r="W91" s="152"/>
      <c r="X91" s="152"/>
      <c r="Y91" s="153"/>
      <c r="Z91" s="154"/>
      <c r="AA91" s="155"/>
      <c r="AB91" s="156"/>
      <c r="AC91" s="157"/>
      <c r="AD91" s="155"/>
      <c r="AE91" s="158" t="str">
        <f t="shared" si="48"/>
        <v/>
      </c>
      <c r="AF91" s="160" t="str">
        <f t="shared" si="61"/>
        <v/>
      </c>
      <c r="AG91" s="182" t="s">
        <v>59</v>
      </c>
      <c r="AH91" s="183" t="str">
        <f t="shared" si="62"/>
        <v/>
      </c>
      <c r="AI91" s="183" t="str">
        <f t="shared" si="63"/>
        <v/>
      </c>
      <c r="AJ91" s="184" t="str">
        <f t="shared" si="64"/>
        <v/>
      </c>
      <c r="AK91" s="185" t="str">
        <f t="shared" si="65"/>
        <v/>
      </c>
      <c r="AL91" s="186"/>
      <c r="AM91" s="183" t="str">
        <f t="shared" si="66"/>
        <v/>
      </c>
      <c r="AN91" s="183" t="str">
        <f t="shared" si="67"/>
        <v/>
      </c>
      <c r="AO91" s="186" t="str">
        <f t="shared" si="68"/>
        <v/>
      </c>
      <c r="AP91" s="187" t="str">
        <f t="shared" si="69"/>
        <v/>
      </c>
      <c r="AQ91" s="187" t="str">
        <f t="shared" si="70"/>
        <v/>
      </c>
      <c r="AR91" s="188" t="str">
        <f t="shared" si="49"/>
        <v/>
      </c>
      <c r="AS91" s="188" t="str">
        <f t="shared" si="50"/>
        <v/>
      </c>
      <c r="AT91" s="183" t="str">
        <f t="shared" si="51"/>
        <v/>
      </c>
      <c r="AU91" s="189" t="str">
        <f>IF(OR($B91="", $AP91= ""),"",IF(VLOOKUP($AP91, CONTRATOS!B:K,3,FALSE)="","",VLOOKUP($AP91, CONTRATOS!B:K, 3,FALSE)))</f>
        <v/>
      </c>
      <c r="AV91" s="189" t="str">
        <f>IF(OR($B91="", $AP91 = ""), "", IF(VLOOKUP($AP91, CONTRATOS!B:K,4,FALSE)="","",VLOOKUP($AP91, CONTRATOS!B:K,4, FALSE)))</f>
        <v/>
      </c>
      <c r="AW91" s="190" t="str">
        <f t="shared" si="52"/>
        <v/>
      </c>
      <c r="AX91" s="189" t="str">
        <f t="shared" si="53"/>
        <v/>
      </c>
      <c r="AY91" s="189" t="str">
        <f t="shared" si="54"/>
        <v/>
      </c>
      <c r="AZ91" s="189" t="str">
        <f t="shared" si="55"/>
        <v/>
      </c>
      <c r="BA91" s="189" t="str">
        <f t="shared" si="56"/>
        <v/>
      </c>
      <c r="BB91" s="191">
        <f t="shared" si="71"/>
        <v>0</v>
      </c>
      <c r="BC91" s="191" t="str">
        <f t="shared" si="72"/>
        <v/>
      </c>
      <c r="BD91" s="191" t="str">
        <f t="shared" si="73"/>
        <v/>
      </c>
      <c r="BF91" s="192">
        <f t="shared" si="74"/>
        <v>0</v>
      </c>
      <c r="BG91" s="192">
        <f t="shared" si="75"/>
        <v>0</v>
      </c>
      <c r="BH91" s="192" t="str">
        <f>IF( $B91="", "", IF(ISNA(VLOOKUP($C91, Defesa!$C$7:$C$29,1,FALSE)),1,0))</f>
        <v/>
      </c>
      <c r="BI91" s="193" t="str">
        <f t="shared" si="76"/>
        <v/>
      </c>
      <c r="BJ91" s="193" t="str">
        <f>IF($B91="", "", IF( AND( $AI91="ESTIMATIVA", OR( Defesa!$F$7 = "AUTOMÁTICA", Defesa!$F$7 ="100% BASELINE")), 1, 0))</f>
        <v/>
      </c>
      <c r="BK91" s="192" t="str">
        <f t="shared" si="57"/>
        <v/>
      </c>
      <c r="BL91" s="192">
        <f t="shared" si="77"/>
        <v>0</v>
      </c>
      <c r="BM91" s="192" t="str">
        <f>IF($AC91="", "", IF(ISNA(VLOOKUP($AC91, TABELAS!$Q:$Q, 1, FALSE)), 1, 0))</f>
        <v/>
      </c>
      <c r="BN91" s="194" t="str">
        <f t="shared" si="58"/>
        <v/>
      </c>
      <c r="BO91" s="192" t="str">
        <f t="shared" si="78"/>
        <v/>
      </c>
      <c r="BP91" s="192" t="str">
        <f t="shared" si="79"/>
        <v/>
      </c>
      <c r="BQ91" s="193" t="str">
        <f t="shared" si="80"/>
        <v/>
      </c>
      <c r="BR91" s="192" t="str">
        <f t="shared" si="81"/>
        <v/>
      </c>
      <c r="BS91" s="192" t="str">
        <f t="shared" si="82"/>
        <v/>
      </c>
      <c r="BT91" s="192" t="str">
        <f>IF(OR($B91="", $AH91 = "SIM"), "", IF( ISNA(VLOOKUP($AP91,#REF!, 1, FALSE)), 1, 0))</f>
        <v/>
      </c>
      <c r="BU91" s="192" t="str">
        <f t="shared" si="83"/>
        <v/>
      </c>
      <c r="BV91" s="192" t="str">
        <f>IF( $B91="", "", IF( ISNA(VLOOKUP($AN91, TABELAS!$T$2:$T$9,1,FALSE)), 1, 0))</f>
        <v/>
      </c>
      <c r="BW91" s="192" t="str">
        <f t="shared" si="84"/>
        <v/>
      </c>
      <c r="BX91" s="192" t="str">
        <f>IF( OR($B91="", $AH91 = "SIM"), "", IF( ISNA( VLOOKUP( $AQ91, SISTEMA!$B:$B, 1, FALSE)), 1, 0))</f>
        <v/>
      </c>
      <c r="BY91" s="193" t="str">
        <f t="shared" si="85"/>
        <v/>
      </c>
      <c r="BZ91" s="193" t="str">
        <f t="shared" si="86"/>
        <v/>
      </c>
      <c r="CA91" s="192" t="str">
        <f t="shared" si="87"/>
        <v/>
      </c>
      <c r="CB91" s="193" t="str">
        <f t="shared" si="88"/>
        <v/>
      </c>
      <c r="CC91" s="193" t="str">
        <f t="shared" si="89"/>
        <v/>
      </c>
      <c r="CD91" s="193" t="str">
        <f t="shared" si="90"/>
        <v/>
      </c>
    </row>
    <row r="92" spans="1:82" x14ac:dyDescent="0.2">
      <c r="A92" s="140"/>
      <c r="B92" s="141" t="str">
        <f t="shared" si="59"/>
        <v/>
      </c>
      <c r="C92" s="142" t="str">
        <f t="shared" si="47"/>
        <v/>
      </c>
      <c r="D92" s="142" t="str">
        <f t="shared" si="60"/>
        <v/>
      </c>
      <c r="E92" s="142" t="str">
        <f>IF($C92="", "", COUNTIF($M$8:$M92,$D92))</f>
        <v/>
      </c>
      <c r="F92" s="254">
        <v>85</v>
      </c>
      <c r="G92" s="143"/>
      <c r="H92" s="144"/>
      <c r="I92" s="144"/>
      <c r="J92" s="145"/>
      <c r="K92" s="144"/>
      <c r="L92" s="144"/>
      <c r="M92" s="144"/>
      <c r="N92" s="146"/>
      <c r="O92" s="147"/>
      <c r="P92" s="147"/>
      <c r="Q92" s="147"/>
      <c r="R92" s="147"/>
      <c r="S92" s="147"/>
      <c r="T92" s="149"/>
      <c r="U92" s="150" t="str">
        <f>IF($T92="", "", VLOOKUP($T92, CONTRATOS!$B:$E, 2, FALSE))</f>
        <v/>
      </c>
      <c r="V92" s="151">
        <f>IF(OR($T92="",TB_DEFESA!$C$2="CARGA BASELINE"),0,
   IF(VLOOKUP($T92, CONTRATOS!B:E, 3, FALSE)&lt;&gt;"",1,IF(VLOOKUP($T92, CONTRATOS!B:E, 4, FALSE)&lt;&gt;"",2,0)))</f>
        <v>0</v>
      </c>
      <c r="W92" s="152"/>
      <c r="X92" s="152"/>
      <c r="Y92" s="153"/>
      <c r="Z92" s="154"/>
      <c r="AA92" s="155"/>
      <c r="AB92" s="156"/>
      <c r="AC92" s="157"/>
      <c r="AD92" s="155"/>
      <c r="AE92" s="158" t="str">
        <f t="shared" si="48"/>
        <v/>
      </c>
      <c r="AF92" s="160" t="str">
        <f t="shared" si="61"/>
        <v/>
      </c>
      <c r="AG92" s="182" t="s">
        <v>59</v>
      </c>
      <c r="AH92" s="183" t="str">
        <f t="shared" si="62"/>
        <v/>
      </c>
      <c r="AI92" s="183" t="str">
        <f t="shared" si="63"/>
        <v/>
      </c>
      <c r="AJ92" s="184" t="str">
        <f t="shared" si="64"/>
        <v/>
      </c>
      <c r="AK92" s="185" t="str">
        <f t="shared" si="65"/>
        <v/>
      </c>
      <c r="AL92" s="186"/>
      <c r="AM92" s="183" t="str">
        <f t="shared" si="66"/>
        <v/>
      </c>
      <c r="AN92" s="183" t="str">
        <f t="shared" si="67"/>
        <v/>
      </c>
      <c r="AO92" s="186" t="str">
        <f t="shared" si="68"/>
        <v/>
      </c>
      <c r="AP92" s="187" t="str">
        <f t="shared" si="69"/>
        <v/>
      </c>
      <c r="AQ92" s="187" t="str">
        <f t="shared" si="70"/>
        <v/>
      </c>
      <c r="AR92" s="188" t="str">
        <f t="shared" si="49"/>
        <v/>
      </c>
      <c r="AS92" s="188" t="str">
        <f t="shared" si="50"/>
        <v/>
      </c>
      <c r="AT92" s="183" t="str">
        <f t="shared" si="51"/>
        <v/>
      </c>
      <c r="AU92" s="189" t="str">
        <f>IF(OR($B92="", $AP92= ""),"",IF(VLOOKUP($AP92, CONTRATOS!B:K,3,FALSE)="","",VLOOKUP($AP92, CONTRATOS!B:K, 3,FALSE)))</f>
        <v/>
      </c>
      <c r="AV92" s="189" t="str">
        <f>IF(OR($B92="", $AP92 = ""), "", IF(VLOOKUP($AP92, CONTRATOS!B:K,4,FALSE)="","",VLOOKUP($AP92, CONTRATOS!B:K,4, FALSE)))</f>
        <v/>
      </c>
      <c r="AW92" s="190" t="str">
        <f t="shared" si="52"/>
        <v/>
      </c>
      <c r="AX92" s="189" t="str">
        <f t="shared" si="53"/>
        <v/>
      </c>
      <c r="AY92" s="189" t="str">
        <f t="shared" si="54"/>
        <v/>
      </c>
      <c r="AZ92" s="189" t="str">
        <f t="shared" si="55"/>
        <v/>
      </c>
      <c r="BA92" s="189" t="str">
        <f t="shared" si="56"/>
        <v/>
      </c>
      <c r="BB92" s="191">
        <f t="shared" si="71"/>
        <v>0</v>
      </c>
      <c r="BC92" s="191" t="str">
        <f t="shared" si="72"/>
        <v/>
      </c>
      <c r="BD92" s="191" t="str">
        <f t="shared" si="73"/>
        <v/>
      </c>
      <c r="BF92" s="192">
        <f t="shared" si="74"/>
        <v>0</v>
      </c>
      <c r="BG92" s="192">
        <f t="shared" si="75"/>
        <v>0</v>
      </c>
      <c r="BH92" s="192" t="str">
        <f>IF( $B92="", "", IF(ISNA(VLOOKUP($C92, Defesa!$C$7:$C$29,1,FALSE)),1,0))</f>
        <v/>
      </c>
      <c r="BI92" s="193" t="str">
        <f t="shared" si="76"/>
        <v/>
      </c>
      <c r="BJ92" s="193" t="str">
        <f>IF($B92="", "", IF( AND( $AI92="ESTIMATIVA", OR( Defesa!$F$7 = "AUTOMÁTICA", Defesa!$F$7 ="100% BASELINE")), 1, 0))</f>
        <v/>
      </c>
      <c r="BK92" s="192" t="str">
        <f t="shared" si="57"/>
        <v/>
      </c>
      <c r="BL92" s="192">
        <f t="shared" si="77"/>
        <v>0</v>
      </c>
      <c r="BM92" s="192" t="str">
        <f>IF($AC92="", "", IF(ISNA(VLOOKUP($AC92, TABELAS!$Q:$Q, 1, FALSE)), 1, 0))</f>
        <v/>
      </c>
      <c r="BN92" s="194" t="str">
        <f t="shared" si="58"/>
        <v/>
      </c>
      <c r="BO92" s="192" t="str">
        <f t="shared" si="78"/>
        <v/>
      </c>
      <c r="BP92" s="192" t="str">
        <f t="shared" si="79"/>
        <v/>
      </c>
      <c r="BQ92" s="193" t="str">
        <f t="shared" si="80"/>
        <v/>
      </c>
      <c r="BR92" s="192" t="str">
        <f t="shared" si="81"/>
        <v/>
      </c>
      <c r="BS92" s="192" t="str">
        <f t="shared" si="82"/>
        <v/>
      </c>
      <c r="BT92" s="192" t="str">
        <f>IF(OR($B92="", $AH92 = "SIM"), "", IF( ISNA(VLOOKUP($AP92,#REF!, 1, FALSE)), 1, 0))</f>
        <v/>
      </c>
      <c r="BU92" s="192" t="str">
        <f t="shared" si="83"/>
        <v/>
      </c>
      <c r="BV92" s="192" t="str">
        <f>IF( $B92="", "", IF( ISNA(VLOOKUP($AN92, TABELAS!$T$2:$T$9,1,FALSE)), 1, 0))</f>
        <v/>
      </c>
      <c r="BW92" s="192" t="str">
        <f t="shared" si="84"/>
        <v/>
      </c>
      <c r="BX92" s="192" t="str">
        <f>IF( OR($B92="", $AH92 = "SIM"), "", IF( ISNA( VLOOKUP( $AQ92, SISTEMA!$B:$B, 1, FALSE)), 1, 0))</f>
        <v/>
      </c>
      <c r="BY92" s="193" t="str">
        <f t="shared" si="85"/>
        <v/>
      </c>
      <c r="BZ92" s="193" t="str">
        <f t="shared" si="86"/>
        <v/>
      </c>
      <c r="CA92" s="192" t="str">
        <f t="shared" si="87"/>
        <v/>
      </c>
      <c r="CB92" s="193" t="str">
        <f t="shared" si="88"/>
        <v/>
      </c>
      <c r="CC92" s="193" t="str">
        <f t="shared" si="89"/>
        <v/>
      </c>
      <c r="CD92" s="193" t="str">
        <f t="shared" si="90"/>
        <v/>
      </c>
    </row>
    <row r="93" spans="1:82" x14ac:dyDescent="0.2">
      <c r="A93" s="140"/>
      <c r="B93" s="141" t="str">
        <f t="shared" si="59"/>
        <v/>
      </c>
      <c r="C93" s="142" t="str">
        <f t="shared" si="47"/>
        <v/>
      </c>
      <c r="D93" s="142" t="str">
        <f t="shared" si="60"/>
        <v/>
      </c>
      <c r="E93" s="142" t="str">
        <f>IF($C93="", "", COUNTIF($M$8:$M93,$D93))</f>
        <v/>
      </c>
      <c r="F93" s="254">
        <v>86</v>
      </c>
      <c r="G93" s="143"/>
      <c r="H93" s="144"/>
      <c r="I93" s="144"/>
      <c r="J93" s="145"/>
      <c r="K93" s="144"/>
      <c r="L93" s="144"/>
      <c r="M93" s="144"/>
      <c r="N93" s="146"/>
      <c r="O93" s="147"/>
      <c r="P93" s="147"/>
      <c r="Q93" s="147"/>
      <c r="R93" s="147"/>
      <c r="S93" s="147"/>
      <c r="T93" s="149"/>
      <c r="U93" s="150" t="str">
        <f>IF($T93="", "", VLOOKUP($T93, CONTRATOS!$B:$E, 2, FALSE))</f>
        <v/>
      </c>
      <c r="V93" s="151">
        <f>IF(OR($T93="",TB_DEFESA!$C$2="CARGA BASELINE"),0,
   IF(VLOOKUP($T93, CONTRATOS!B:E, 3, FALSE)&lt;&gt;"",1,IF(VLOOKUP($T93, CONTRATOS!B:E, 4, FALSE)&lt;&gt;"",2,0)))</f>
        <v>0</v>
      </c>
      <c r="W93" s="152"/>
      <c r="X93" s="152"/>
      <c r="Y93" s="153"/>
      <c r="Z93" s="154"/>
      <c r="AA93" s="155"/>
      <c r="AB93" s="156"/>
      <c r="AC93" s="157"/>
      <c r="AD93" s="155"/>
      <c r="AE93" s="158" t="str">
        <f t="shared" si="48"/>
        <v/>
      </c>
      <c r="AF93" s="160" t="str">
        <f t="shared" si="61"/>
        <v/>
      </c>
      <c r="AG93" s="182" t="s">
        <v>59</v>
      </c>
      <c r="AH93" s="183" t="str">
        <f t="shared" si="62"/>
        <v/>
      </c>
      <c r="AI93" s="183" t="str">
        <f t="shared" si="63"/>
        <v/>
      </c>
      <c r="AJ93" s="184" t="str">
        <f t="shared" si="64"/>
        <v/>
      </c>
      <c r="AK93" s="185" t="str">
        <f t="shared" si="65"/>
        <v/>
      </c>
      <c r="AL93" s="186"/>
      <c r="AM93" s="183" t="str">
        <f t="shared" si="66"/>
        <v/>
      </c>
      <c r="AN93" s="183" t="str">
        <f t="shared" si="67"/>
        <v/>
      </c>
      <c r="AO93" s="186" t="str">
        <f t="shared" si="68"/>
        <v/>
      </c>
      <c r="AP93" s="187" t="str">
        <f t="shared" si="69"/>
        <v/>
      </c>
      <c r="AQ93" s="187" t="str">
        <f t="shared" si="70"/>
        <v/>
      </c>
      <c r="AR93" s="188" t="str">
        <f t="shared" si="49"/>
        <v/>
      </c>
      <c r="AS93" s="188" t="str">
        <f t="shared" si="50"/>
        <v/>
      </c>
      <c r="AT93" s="183" t="str">
        <f t="shared" si="51"/>
        <v/>
      </c>
      <c r="AU93" s="189" t="str">
        <f>IF(OR($B93="", $AP93= ""),"",IF(VLOOKUP($AP93, CONTRATOS!B:K,3,FALSE)="","",VLOOKUP($AP93, CONTRATOS!B:K, 3,FALSE)))</f>
        <v/>
      </c>
      <c r="AV93" s="189" t="str">
        <f>IF(OR($B93="", $AP93 = ""), "", IF(VLOOKUP($AP93, CONTRATOS!B:K,4,FALSE)="","",VLOOKUP($AP93, CONTRATOS!B:K,4, FALSE)))</f>
        <v/>
      </c>
      <c r="AW93" s="190" t="str">
        <f t="shared" si="52"/>
        <v/>
      </c>
      <c r="AX93" s="189" t="str">
        <f t="shared" si="53"/>
        <v/>
      </c>
      <c r="AY93" s="189" t="str">
        <f t="shared" si="54"/>
        <v/>
      </c>
      <c r="AZ93" s="189" t="str">
        <f t="shared" si="55"/>
        <v/>
      </c>
      <c r="BA93" s="189" t="str">
        <f t="shared" si="56"/>
        <v/>
      </c>
      <c r="BB93" s="191">
        <f t="shared" si="71"/>
        <v>0</v>
      </c>
      <c r="BC93" s="191" t="str">
        <f t="shared" si="72"/>
        <v/>
      </c>
      <c r="BD93" s="191" t="str">
        <f t="shared" si="73"/>
        <v/>
      </c>
      <c r="BF93" s="192">
        <f t="shared" si="74"/>
        <v>0</v>
      </c>
      <c r="BG93" s="192">
        <f t="shared" si="75"/>
        <v>0</v>
      </c>
      <c r="BH93" s="192" t="str">
        <f>IF( $B93="", "", IF(ISNA(VLOOKUP($C93, Defesa!$C$7:$C$29,1,FALSE)),1,0))</f>
        <v/>
      </c>
      <c r="BI93" s="193" t="str">
        <f t="shared" si="76"/>
        <v/>
      </c>
      <c r="BJ93" s="193" t="str">
        <f>IF($B93="", "", IF( AND( $AI93="ESTIMATIVA", OR( Defesa!$F$7 = "AUTOMÁTICA", Defesa!$F$7 ="100% BASELINE")), 1, 0))</f>
        <v/>
      </c>
      <c r="BK93" s="192" t="str">
        <f t="shared" si="57"/>
        <v/>
      </c>
      <c r="BL93" s="192">
        <f t="shared" si="77"/>
        <v>0</v>
      </c>
      <c r="BM93" s="192" t="str">
        <f>IF($AC93="", "", IF(ISNA(VLOOKUP($AC93, TABELAS!$Q:$Q, 1, FALSE)), 1, 0))</f>
        <v/>
      </c>
      <c r="BN93" s="194" t="str">
        <f t="shared" si="58"/>
        <v/>
      </c>
      <c r="BO93" s="192" t="str">
        <f t="shared" si="78"/>
        <v/>
      </c>
      <c r="BP93" s="192" t="str">
        <f t="shared" si="79"/>
        <v/>
      </c>
      <c r="BQ93" s="193" t="str">
        <f t="shared" si="80"/>
        <v/>
      </c>
      <c r="BR93" s="192" t="str">
        <f t="shared" si="81"/>
        <v/>
      </c>
      <c r="BS93" s="192" t="str">
        <f t="shared" si="82"/>
        <v/>
      </c>
      <c r="BT93" s="192" t="str">
        <f>IF(OR($B93="", $AH93 = "SIM"), "", IF( ISNA(VLOOKUP($AP93,#REF!, 1, FALSE)), 1, 0))</f>
        <v/>
      </c>
      <c r="BU93" s="192" t="str">
        <f t="shared" si="83"/>
        <v/>
      </c>
      <c r="BV93" s="192" t="str">
        <f>IF( $B93="", "", IF( ISNA(VLOOKUP($AN93, TABELAS!$T$2:$T$9,1,FALSE)), 1, 0))</f>
        <v/>
      </c>
      <c r="BW93" s="192" t="str">
        <f t="shared" si="84"/>
        <v/>
      </c>
      <c r="BX93" s="192" t="str">
        <f>IF( OR($B93="", $AH93 = "SIM"), "", IF( ISNA( VLOOKUP( $AQ93, SISTEMA!$B:$B, 1, FALSE)), 1, 0))</f>
        <v/>
      </c>
      <c r="BY93" s="193" t="str">
        <f t="shared" si="85"/>
        <v/>
      </c>
      <c r="BZ93" s="193" t="str">
        <f t="shared" si="86"/>
        <v/>
      </c>
      <c r="CA93" s="192" t="str">
        <f t="shared" si="87"/>
        <v/>
      </c>
      <c r="CB93" s="193" t="str">
        <f t="shared" si="88"/>
        <v/>
      </c>
      <c r="CC93" s="193" t="str">
        <f t="shared" si="89"/>
        <v/>
      </c>
      <c r="CD93" s="193" t="str">
        <f t="shared" si="90"/>
        <v/>
      </c>
    </row>
    <row r="94" spans="1:82" x14ac:dyDescent="0.2">
      <c r="A94" s="140"/>
      <c r="B94" s="141" t="str">
        <f t="shared" si="59"/>
        <v/>
      </c>
      <c r="C94" s="142" t="str">
        <f t="shared" si="47"/>
        <v/>
      </c>
      <c r="D94" s="142" t="str">
        <f t="shared" si="60"/>
        <v/>
      </c>
      <c r="E94" s="142" t="str">
        <f>IF($C94="", "", COUNTIF($M$8:$M94,$D94))</f>
        <v/>
      </c>
      <c r="F94" s="254">
        <v>87</v>
      </c>
      <c r="G94" s="143"/>
      <c r="H94" s="144"/>
      <c r="I94" s="144"/>
      <c r="J94" s="145"/>
      <c r="K94" s="144"/>
      <c r="L94" s="144"/>
      <c r="M94" s="144"/>
      <c r="N94" s="146"/>
      <c r="O94" s="147"/>
      <c r="P94" s="147"/>
      <c r="Q94" s="147"/>
      <c r="R94" s="147"/>
      <c r="S94" s="147"/>
      <c r="T94" s="149"/>
      <c r="U94" s="150" t="str">
        <f>IF($T94="", "", VLOOKUP($T94, CONTRATOS!$B:$E, 2, FALSE))</f>
        <v/>
      </c>
      <c r="V94" s="151">
        <f>IF(OR($T94="",TB_DEFESA!$C$2="CARGA BASELINE"),0,
   IF(VLOOKUP($T94, CONTRATOS!B:E, 3, FALSE)&lt;&gt;"",1,IF(VLOOKUP($T94, CONTRATOS!B:E, 4, FALSE)&lt;&gt;"",2,0)))</f>
        <v>0</v>
      </c>
      <c r="W94" s="152"/>
      <c r="X94" s="152"/>
      <c r="Y94" s="153"/>
      <c r="Z94" s="154"/>
      <c r="AA94" s="155"/>
      <c r="AB94" s="156"/>
      <c r="AC94" s="157"/>
      <c r="AD94" s="155"/>
      <c r="AE94" s="158" t="str">
        <f t="shared" si="48"/>
        <v/>
      </c>
      <c r="AF94" s="160" t="str">
        <f t="shared" si="61"/>
        <v/>
      </c>
      <c r="AG94" s="182" t="s">
        <v>59</v>
      </c>
      <c r="AH94" s="183" t="str">
        <f t="shared" si="62"/>
        <v/>
      </c>
      <c r="AI94" s="183" t="str">
        <f t="shared" si="63"/>
        <v/>
      </c>
      <c r="AJ94" s="184" t="str">
        <f t="shared" si="64"/>
        <v/>
      </c>
      <c r="AK94" s="185" t="str">
        <f t="shared" si="65"/>
        <v/>
      </c>
      <c r="AL94" s="186"/>
      <c r="AM94" s="183" t="str">
        <f t="shared" si="66"/>
        <v/>
      </c>
      <c r="AN94" s="183" t="str">
        <f t="shared" si="67"/>
        <v/>
      </c>
      <c r="AO94" s="186" t="str">
        <f t="shared" si="68"/>
        <v/>
      </c>
      <c r="AP94" s="187" t="str">
        <f t="shared" si="69"/>
        <v/>
      </c>
      <c r="AQ94" s="187" t="str">
        <f t="shared" si="70"/>
        <v/>
      </c>
      <c r="AR94" s="188" t="str">
        <f t="shared" si="49"/>
        <v/>
      </c>
      <c r="AS94" s="188" t="str">
        <f t="shared" si="50"/>
        <v/>
      </c>
      <c r="AT94" s="183" t="str">
        <f t="shared" si="51"/>
        <v/>
      </c>
      <c r="AU94" s="189" t="str">
        <f>IF(OR($B94="", $AP94= ""),"",IF(VLOOKUP($AP94, CONTRATOS!B:K,3,FALSE)="","",VLOOKUP($AP94, CONTRATOS!B:K, 3,FALSE)))</f>
        <v/>
      </c>
      <c r="AV94" s="189" t="str">
        <f>IF(OR($B94="", $AP94 = ""), "", IF(VLOOKUP($AP94, CONTRATOS!B:K,4,FALSE)="","",VLOOKUP($AP94, CONTRATOS!B:K,4, FALSE)))</f>
        <v/>
      </c>
      <c r="AW94" s="190" t="str">
        <f t="shared" si="52"/>
        <v/>
      </c>
      <c r="AX94" s="189" t="str">
        <f t="shared" si="53"/>
        <v/>
      </c>
      <c r="AY94" s="189" t="str">
        <f t="shared" si="54"/>
        <v/>
      </c>
      <c r="AZ94" s="189" t="str">
        <f t="shared" si="55"/>
        <v/>
      </c>
      <c r="BA94" s="189" t="str">
        <f t="shared" si="56"/>
        <v/>
      </c>
      <c r="BB94" s="191">
        <f t="shared" si="71"/>
        <v>0</v>
      </c>
      <c r="BC94" s="191" t="str">
        <f t="shared" si="72"/>
        <v/>
      </c>
      <c r="BD94" s="191" t="str">
        <f t="shared" si="73"/>
        <v/>
      </c>
      <c r="BF94" s="192">
        <f t="shared" si="74"/>
        <v>0</v>
      </c>
      <c r="BG94" s="192">
        <f t="shared" si="75"/>
        <v>0</v>
      </c>
      <c r="BH94" s="192" t="str">
        <f>IF( $B94="", "", IF(ISNA(VLOOKUP($C94, Defesa!$C$7:$C$29,1,FALSE)),1,0))</f>
        <v/>
      </c>
      <c r="BI94" s="193" t="str">
        <f t="shared" si="76"/>
        <v/>
      </c>
      <c r="BJ94" s="193" t="str">
        <f>IF($B94="", "", IF( AND( $AI94="ESTIMATIVA", OR( Defesa!$F$7 = "AUTOMÁTICA", Defesa!$F$7 ="100% BASELINE")), 1, 0))</f>
        <v/>
      </c>
      <c r="BK94" s="192" t="str">
        <f t="shared" si="57"/>
        <v/>
      </c>
      <c r="BL94" s="192">
        <f t="shared" si="77"/>
        <v>0</v>
      </c>
      <c r="BM94" s="192" t="str">
        <f>IF($AC94="", "", IF(ISNA(VLOOKUP($AC94, TABELAS!$Q:$Q, 1, FALSE)), 1, 0))</f>
        <v/>
      </c>
      <c r="BN94" s="194" t="str">
        <f t="shared" si="58"/>
        <v/>
      </c>
      <c r="BO94" s="192" t="str">
        <f t="shared" si="78"/>
        <v/>
      </c>
      <c r="BP94" s="192" t="str">
        <f t="shared" si="79"/>
        <v/>
      </c>
      <c r="BQ94" s="193" t="str">
        <f t="shared" si="80"/>
        <v/>
      </c>
      <c r="BR94" s="192" t="str">
        <f t="shared" si="81"/>
        <v/>
      </c>
      <c r="BS94" s="192" t="str">
        <f t="shared" si="82"/>
        <v/>
      </c>
      <c r="BT94" s="192" t="str">
        <f>IF(OR($B94="", $AH94 = "SIM"), "", IF( ISNA(VLOOKUP($AP94,#REF!, 1, FALSE)), 1, 0))</f>
        <v/>
      </c>
      <c r="BU94" s="192" t="str">
        <f t="shared" si="83"/>
        <v/>
      </c>
      <c r="BV94" s="192" t="str">
        <f>IF( $B94="", "", IF( ISNA(VLOOKUP($AN94, TABELAS!$T$2:$T$9,1,FALSE)), 1, 0))</f>
        <v/>
      </c>
      <c r="BW94" s="192" t="str">
        <f t="shared" si="84"/>
        <v/>
      </c>
      <c r="BX94" s="192" t="str">
        <f>IF( OR($B94="", $AH94 = "SIM"), "", IF( ISNA( VLOOKUP( $AQ94, SISTEMA!$B:$B, 1, FALSE)), 1, 0))</f>
        <v/>
      </c>
      <c r="BY94" s="193" t="str">
        <f t="shared" si="85"/>
        <v/>
      </c>
      <c r="BZ94" s="193" t="str">
        <f t="shared" si="86"/>
        <v/>
      </c>
      <c r="CA94" s="192" t="str">
        <f t="shared" si="87"/>
        <v/>
      </c>
      <c r="CB94" s="193" t="str">
        <f t="shared" si="88"/>
        <v/>
      </c>
      <c r="CC94" s="193" t="str">
        <f t="shared" si="89"/>
        <v/>
      </c>
      <c r="CD94" s="193" t="str">
        <f t="shared" si="90"/>
        <v/>
      </c>
    </row>
    <row r="95" spans="1:82" x14ac:dyDescent="0.2">
      <c r="A95" s="140"/>
      <c r="B95" s="141" t="str">
        <f t="shared" si="59"/>
        <v/>
      </c>
      <c r="C95" s="142" t="str">
        <f t="shared" si="47"/>
        <v/>
      </c>
      <c r="D95" s="142" t="str">
        <f t="shared" si="60"/>
        <v/>
      </c>
      <c r="E95" s="142" t="str">
        <f>IF($C95="", "", COUNTIF($M$8:$M95,$D95))</f>
        <v/>
      </c>
      <c r="F95" s="254">
        <v>88</v>
      </c>
      <c r="G95" s="143"/>
      <c r="H95" s="144"/>
      <c r="I95" s="144"/>
      <c r="J95" s="145"/>
      <c r="K95" s="144"/>
      <c r="L95" s="144"/>
      <c r="M95" s="144"/>
      <c r="N95" s="146"/>
      <c r="O95" s="147"/>
      <c r="P95" s="147"/>
      <c r="Q95" s="147"/>
      <c r="R95" s="147"/>
      <c r="S95" s="147"/>
      <c r="T95" s="149"/>
      <c r="U95" s="150" t="str">
        <f>IF($T95="", "", VLOOKUP($T95, CONTRATOS!$B:$E, 2, FALSE))</f>
        <v/>
      </c>
      <c r="V95" s="151">
        <f>IF(OR($T95="",TB_DEFESA!$C$2="CARGA BASELINE"),0,
   IF(VLOOKUP($T95, CONTRATOS!B:E, 3, FALSE)&lt;&gt;"",1,IF(VLOOKUP($T95, CONTRATOS!B:E, 4, FALSE)&lt;&gt;"",2,0)))</f>
        <v>0</v>
      </c>
      <c r="W95" s="152"/>
      <c r="X95" s="152"/>
      <c r="Y95" s="153"/>
      <c r="Z95" s="154"/>
      <c r="AA95" s="155"/>
      <c r="AB95" s="156"/>
      <c r="AC95" s="157"/>
      <c r="AD95" s="155"/>
      <c r="AE95" s="158" t="str">
        <f t="shared" si="48"/>
        <v/>
      </c>
      <c r="AF95" s="160" t="str">
        <f t="shared" si="61"/>
        <v/>
      </c>
      <c r="AG95" s="182" t="s">
        <v>59</v>
      </c>
      <c r="AH95" s="183" t="str">
        <f t="shared" si="62"/>
        <v/>
      </c>
      <c r="AI95" s="183" t="str">
        <f t="shared" si="63"/>
        <v/>
      </c>
      <c r="AJ95" s="184" t="str">
        <f t="shared" si="64"/>
        <v/>
      </c>
      <c r="AK95" s="185" t="str">
        <f t="shared" si="65"/>
        <v/>
      </c>
      <c r="AL95" s="186"/>
      <c r="AM95" s="183" t="str">
        <f t="shared" si="66"/>
        <v/>
      </c>
      <c r="AN95" s="183" t="str">
        <f t="shared" si="67"/>
        <v/>
      </c>
      <c r="AO95" s="186" t="str">
        <f t="shared" si="68"/>
        <v/>
      </c>
      <c r="AP95" s="187" t="str">
        <f t="shared" si="69"/>
        <v/>
      </c>
      <c r="AQ95" s="187" t="str">
        <f t="shared" si="70"/>
        <v/>
      </c>
      <c r="AR95" s="188" t="str">
        <f t="shared" si="49"/>
        <v/>
      </c>
      <c r="AS95" s="188" t="str">
        <f t="shared" si="50"/>
        <v/>
      </c>
      <c r="AT95" s="183" t="str">
        <f t="shared" si="51"/>
        <v/>
      </c>
      <c r="AU95" s="189" t="str">
        <f>IF(OR($B95="", $AP95= ""),"",IF(VLOOKUP($AP95, CONTRATOS!B:K,3,FALSE)="","",VLOOKUP($AP95, CONTRATOS!B:K, 3,FALSE)))</f>
        <v/>
      </c>
      <c r="AV95" s="189" t="str">
        <f>IF(OR($B95="", $AP95 = ""), "", IF(VLOOKUP($AP95, CONTRATOS!B:K,4,FALSE)="","",VLOOKUP($AP95, CONTRATOS!B:K,4, FALSE)))</f>
        <v/>
      </c>
      <c r="AW95" s="190" t="str">
        <f t="shared" si="52"/>
        <v/>
      </c>
      <c r="AX95" s="189" t="str">
        <f t="shared" si="53"/>
        <v/>
      </c>
      <c r="AY95" s="189" t="str">
        <f t="shared" si="54"/>
        <v/>
      </c>
      <c r="AZ95" s="189" t="str">
        <f t="shared" si="55"/>
        <v/>
      </c>
      <c r="BA95" s="189" t="str">
        <f t="shared" si="56"/>
        <v/>
      </c>
      <c r="BB95" s="191">
        <f t="shared" si="71"/>
        <v>0</v>
      </c>
      <c r="BC95" s="191" t="str">
        <f t="shared" si="72"/>
        <v/>
      </c>
      <c r="BD95" s="191" t="str">
        <f t="shared" si="73"/>
        <v/>
      </c>
      <c r="BF95" s="192">
        <f t="shared" si="74"/>
        <v>0</v>
      </c>
      <c r="BG95" s="192">
        <f t="shared" si="75"/>
        <v>0</v>
      </c>
      <c r="BH95" s="192" t="str">
        <f>IF( $B95="", "", IF(ISNA(VLOOKUP($C95, Defesa!$C$7:$C$29,1,FALSE)),1,0))</f>
        <v/>
      </c>
      <c r="BI95" s="193" t="str">
        <f t="shared" si="76"/>
        <v/>
      </c>
      <c r="BJ95" s="193" t="str">
        <f>IF($B95="", "", IF( AND( $AI95="ESTIMATIVA", OR( Defesa!$F$7 = "AUTOMÁTICA", Defesa!$F$7 ="100% BASELINE")), 1, 0))</f>
        <v/>
      </c>
      <c r="BK95" s="192" t="str">
        <f t="shared" si="57"/>
        <v/>
      </c>
      <c r="BL95" s="192">
        <f t="shared" si="77"/>
        <v>0</v>
      </c>
      <c r="BM95" s="192" t="str">
        <f>IF($AC95="", "", IF(ISNA(VLOOKUP($AC95, TABELAS!$Q:$Q, 1, FALSE)), 1, 0))</f>
        <v/>
      </c>
      <c r="BN95" s="194" t="str">
        <f t="shared" si="58"/>
        <v/>
      </c>
      <c r="BO95" s="192" t="str">
        <f t="shared" si="78"/>
        <v/>
      </c>
      <c r="BP95" s="192" t="str">
        <f t="shared" si="79"/>
        <v/>
      </c>
      <c r="BQ95" s="193" t="str">
        <f t="shared" si="80"/>
        <v/>
      </c>
      <c r="BR95" s="192" t="str">
        <f t="shared" si="81"/>
        <v/>
      </c>
      <c r="BS95" s="192" t="str">
        <f t="shared" si="82"/>
        <v/>
      </c>
      <c r="BT95" s="192" t="str">
        <f>IF(OR($B95="", $AH95 = "SIM"), "", IF( ISNA(VLOOKUP($AP95,#REF!, 1, FALSE)), 1, 0))</f>
        <v/>
      </c>
      <c r="BU95" s="192" t="str">
        <f t="shared" si="83"/>
        <v/>
      </c>
      <c r="BV95" s="192" t="str">
        <f>IF( $B95="", "", IF( ISNA(VLOOKUP($AN95, TABELAS!$T$2:$T$9,1,FALSE)), 1, 0))</f>
        <v/>
      </c>
      <c r="BW95" s="192" t="str">
        <f t="shared" si="84"/>
        <v/>
      </c>
      <c r="BX95" s="192" t="str">
        <f>IF( OR($B95="", $AH95 = "SIM"), "", IF( ISNA( VLOOKUP( $AQ95, SISTEMA!$B:$B, 1, FALSE)), 1, 0))</f>
        <v/>
      </c>
      <c r="BY95" s="193" t="str">
        <f t="shared" si="85"/>
        <v/>
      </c>
      <c r="BZ95" s="193" t="str">
        <f t="shared" si="86"/>
        <v/>
      </c>
      <c r="CA95" s="192" t="str">
        <f t="shared" si="87"/>
        <v/>
      </c>
      <c r="CB95" s="193" t="str">
        <f t="shared" si="88"/>
        <v/>
      </c>
      <c r="CC95" s="193" t="str">
        <f t="shared" si="89"/>
        <v/>
      </c>
      <c r="CD95" s="193" t="str">
        <f t="shared" si="90"/>
        <v/>
      </c>
    </row>
    <row r="96" spans="1:82" x14ac:dyDescent="0.2">
      <c r="A96" s="140"/>
      <c r="B96" s="141" t="str">
        <f t="shared" si="59"/>
        <v/>
      </c>
      <c r="C96" s="142" t="str">
        <f t="shared" si="47"/>
        <v/>
      </c>
      <c r="D96" s="142" t="str">
        <f t="shared" si="60"/>
        <v/>
      </c>
      <c r="E96" s="142" t="str">
        <f>IF($C96="", "", COUNTIF($M$8:$M96,$D96))</f>
        <v/>
      </c>
      <c r="F96" s="254">
        <v>89</v>
      </c>
      <c r="G96" s="143"/>
      <c r="H96" s="144"/>
      <c r="I96" s="144"/>
      <c r="J96" s="145"/>
      <c r="K96" s="144"/>
      <c r="L96" s="144"/>
      <c r="M96" s="144"/>
      <c r="N96" s="146"/>
      <c r="O96" s="147"/>
      <c r="P96" s="147"/>
      <c r="Q96" s="147"/>
      <c r="R96" s="147"/>
      <c r="S96" s="147"/>
      <c r="T96" s="149"/>
      <c r="U96" s="150" t="str">
        <f>IF($T96="", "", VLOOKUP($T96, CONTRATOS!$B:$E, 2, FALSE))</f>
        <v/>
      </c>
      <c r="V96" s="151">
        <f>IF(OR($T96="",TB_DEFESA!$C$2="CARGA BASELINE"),0,
   IF(VLOOKUP($T96, CONTRATOS!B:E, 3, FALSE)&lt;&gt;"",1,IF(VLOOKUP($T96, CONTRATOS!B:E, 4, FALSE)&lt;&gt;"",2,0)))</f>
        <v>0</v>
      </c>
      <c r="W96" s="152"/>
      <c r="X96" s="152"/>
      <c r="Y96" s="153"/>
      <c r="Z96" s="154"/>
      <c r="AA96" s="155"/>
      <c r="AB96" s="156"/>
      <c r="AC96" s="157"/>
      <c r="AD96" s="155"/>
      <c r="AE96" s="158" t="str">
        <f t="shared" si="48"/>
        <v/>
      </c>
      <c r="AF96" s="160" t="str">
        <f t="shared" si="61"/>
        <v/>
      </c>
      <c r="AG96" s="182" t="s">
        <v>59</v>
      </c>
      <c r="AH96" s="183" t="str">
        <f t="shared" si="62"/>
        <v/>
      </c>
      <c r="AI96" s="183" t="str">
        <f t="shared" si="63"/>
        <v/>
      </c>
      <c r="AJ96" s="184" t="str">
        <f t="shared" si="64"/>
        <v/>
      </c>
      <c r="AK96" s="185" t="str">
        <f t="shared" si="65"/>
        <v/>
      </c>
      <c r="AL96" s="186"/>
      <c r="AM96" s="183" t="str">
        <f t="shared" si="66"/>
        <v/>
      </c>
      <c r="AN96" s="183" t="str">
        <f t="shared" si="67"/>
        <v/>
      </c>
      <c r="AO96" s="186" t="str">
        <f t="shared" si="68"/>
        <v/>
      </c>
      <c r="AP96" s="187" t="str">
        <f t="shared" si="69"/>
        <v/>
      </c>
      <c r="AQ96" s="187" t="str">
        <f t="shared" si="70"/>
        <v/>
      </c>
      <c r="AR96" s="188" t="str">
        <f t="shared" si="49"/>
        <v/>
      </c>
      <c r="AS96" s="188" t="str">
        <f t="shared" si="50"/>
        <v/>
      </c>
      <c r="AT96" s="183" t="str">
        <f t="shared" si="51"/>
        <v/>
      </c>
      <c r="AU96" s="189" t="str">
        <f>IF(OR($B96="", $AP96= ""),"",IF(VLOOKUP($AP96, CONTRATOS!B:K,3,FALSE)="","",VLOOKUP($AP96, CONTRATOS!B:K, 3,FALSE)))</f>
        <v/>
      </c>
      <c r="AV96" s="189" t="str">
        <f>IF(OR($B96="", $AP96 = ""), "", IF(VLOOKUP($AP96, CONTRATOS!B:K,4,FALSE)="","",VLOOKUP($AP96, CONTRATOS!B:K,4, FALSE)))</f>
        <v/>
      </c>
      <c r="AW96" s="190" t="str">
        <f t="shared" si="52"/>
        <v/>
      </c>
      <c r="AX96" s="189" t="str">
        <f t="shared" si="53"/>
        <v/>
      </c>
      <c r="AY96" s="189" t="str">
        <f t="shared" si="54"/>
        <v/>
      </c>
      <c r="AZ96" s="189" t="str">
        <f t="shared" si="55"/>
        <v/>
      </c>
      <c r="BA96" s="189" t="str">
        <f t="shared" si="56"/>
        <v/>
      </c>
      <c r="BB96" s="191">
        <f t="shared" si="71"/>
        <v>0</v>
      </c>
      <c r="BC96" s="191" t="str">
        <f t="shared" si="72"/>
        <v/>
      </c>
      <c r="BD96" s="191" t="str">
        <f t="shared" si="73"/>
        <v/>
      </c>
      <c r="BF96" s="192">
        <f t="shared" si="74"/>
        <v>0</v>
      </c>
      <c r="BG96" s="192">
        <f t="shared" si="75"/>
        <v>0</v>
      </c>
      <c r="BH96" s="192" t="str">
        <f>IF( $B96="", "", IF(ISNA(VLOOKUP($C96, Defesa!$C$7:$C$29,1,FALSE)),1,0))</f>
        <v/>
      </c>
      <c r="BI96" s="193" t="str">
        <f t="shared" si="76"/>
        <v/>
      </c>
      <c r="BJ96" s="193" t="str">
        <f>IF($B96="", "", IF( AND( $AI96="ESTIMATIVA", OR( Defesa!$F$7 = "AUTOMÁTICA", Defesa!$F$7 ="100% BASELINE")), 1, 0))</f>
        <v/>
      </c>
      <c r="BK96" s="192" t="str">
        <f t="shared" si="57"/>
        <v/>
      </c>
      <c r="BL96" s="192">
        <f t="shared" si="77"/>
        <v>0</v>
      </c>
      <c r="BM96" s="192" t="str">
        <f>IF($AC96="", "", IF(ISNA(VLOOKUP($AC96, TABELAS!$Q:$Q, 1, FALSE)), 1, 0))</f>
        <v/>
      </c>
      <c r="BN96" s="194" t="str">
        <f t="shared" si="58"/>
        <v/>
      </c>
      <c r="BO96" s="192" t="str">
        <f t="shared" si="78"/>
        <v/>
      </c>
      <c r="BP96" s="192" t="str">
        <f t="shared" si="79"/>
        <v/>
      </c>
      <c r="BQ96" s="193" t="str">
        <f t="shared" si="80"/>
        <v/>
      </c>
      <c r="BR96" s="192" t="str">
        <f t="shared" si="81"/>
        <v/>
      </c>
      <c r="BS96" s="192" t="str">
        <f t="shared" si="82"/>
        <v/>
      </c>
      <c r="BT96" s="192" t="str">
        <f>IF(OR($B96="", $AH96 = "SIM"), "", IF( ISNA(VLOOKUP($AP96,#REF!, 1, FALSE)), 1, 0))</f>
        <v/>
      </c>
      <c r="BU96" s="192" t="str">
        <f t="shared" si="83"/>
        <v/>
      </c>
      <c r="BV96" s="192" t="str">
        <f>IF( $B96="", "", IF( ISNA(VLOOKUP($AN96, TABELAS!$T$2:$T$9,1,FALSE)), 1, 0))</f>
        <v/>
      </c>
      <c r="BW96" s="192" t="str">
        <f t="shared" si="84"/>
        <v/>
      </c>
      <c r="BX96" s="192" t="str">
        <f>IF( OR($B96="", $AH96 = "SIM"), "", IF( ISNA( VLOOKUP( $AQ96, SISTEMA!$B:$B, 1, FALSE)), 1, 0))</f>
        <v/>
      </c>
      <c r="BY96" s="193" t="str">
        <f t="shared" si="85"/>
        <v/>
      </c>
      <c r="BZ96" s="193" t="str">
        <f t="shared" si="86"/>
        <v/>
      </c>
      <c r="CA96" s="192" t="str">
        <f t="shared" si="87"/>
        <v/>
      </c>
      <c r="CB96" s="193" t="str">
        <f t="shared" si="88"/>
        <v/>
      </c>
      <c r="CC96" s="193" t="str">
        <f t="shared" si="89"/>
        <v/>
      </c>
      <c r="CD96" s="193" t="str">
        <f t="shared" si="90"/>
        <v/>
      </c>
    </row>
    <row r="97" spans="1:82" x14ac:dyDescent="0.2">
      <c r="A97" s="140"/>
      <c r="B97" s="141" t="str">
        <f t="shared" si="59"/>
        <v/>
      </c>
      <c r="C97" s="142" t="str">
        <f t="shared" si="47"/>
        <v/>
      </c>
      <c r="D97" s="142" t="str">
        <f t="shared" si="60"/>
        <v/>
      </c>
      <c r="E97" s="142" t="str">
        <f>IF($C97="", "", COUNTIF($M$8:$M97,$D97))</f>
        <v/>
      </c>
      <c r="F97" s="254">
        <v>90</v>
      </c>
      <c r="G97" s="143"/>
      <c r="H97" s="144"/>
      <c r="I97" s="144"/>
      <c r="J97" s="145"/>
      <c r="K97" s="144"/>
      <c r="L97" s="144"/>
      <c r="M97" s="144"/>
      <c r="N97" s="146"/>
      <c r="O97" s="147"/>
      <c r="P97" s="147"/>
      <c r="Q97" s="147"/>
      <c r="R97" s="147"/>
      <c r="S97" s="147"/>
      <c r="T97" s="149"/>
      <c r="U97" s="150" t="str">
        <f>IF($T97="", "", VLOOKUP($T97, CONTRATOS!$B:$E, 2, FALSE))</f>
        <v/>
      </c>
      <c r="V97" s="151">
        <f>IF(OR($T97="",TB_DEFESA!$C$2="CARGA BASELINE"),0,
   IF(VLOOKUP($T97, CONTRATOS!B:E, 3, FALSE)&lt;&gt;"",1,IF(VLOOKUP($T97, CONTRATOS!B:E, 4, FALSE)&lt;&gt;"",2,0)))</f>
        <v>0</v>
      </c>
      <c r="W97" s="152"/>
      <c r="X97" s="152"/>
      <c r="Y97" s="153"/>
      <c r="Z97" s="154"/>
      <c r="AA97" s="155"/>
      <c r="AB97" s="156"/>
      <c r="AC97" s="157"/>
      <c r="AD97" s="155"/>
      <c r="AE97" s="158" t="str">
        <f t="shared" si="48"/>
        <v/>
      </c>
      <c r="AF97" s="160" t="str">
        <f t="shared" si="61"/>
        <v/>
      </c>
      <c r="AG97" s="182" t="s">
        <v>59</v>
      </c>
      <c r="AH97" s="183" t="str">
        <f t="shared" si="62"/>
        <v/>
      </c>
      <c r="AI97" s="183" t="str">
        <f t="shared" si="63"/>
        <v/>
      </c>
      <c r="AJ97" s="184" t="str">
        <f t="shared" si="64"/>
        <v/>
      </c>
      <c r="AK97" s="185" t="str">
        <f t="shared" si="65"/>
        <v/>
      </c>
      <c r="AL97" s="186"/>
      <c r="AM97" s="183" t="str">
        <f t="shared" si="66"/>
        <v/>
      </c>
      <c r="AN97" s="183" t="str">
        <f t="shared" si="67"/>
        <v/>
      </c>
      <c r="AO97" s="186" t="str">
        <f t="shared" si="68"/>
        <v/>
      </c>
      <c r="AP97" s="187" t="str">
        <f t="shared" si="69"/>
        <v/>
      </c>
      <c r="AQ97" s="187" t="str">
        <f t="shared" si="70"/>
        <v/>
      </c>
      <c r="AR97" s="188" t="str">
        <f t="shared" si="49"/>
        <v/>
      </c>
      <c r="AS97" s="188" t="str">
        <f t="shared" si="50"/>
        <v/>
      </c>
      <c r="AT97" s="183" t="str">
        <f t="shared" si="51"/>
        <v/>
      </c>
      <c r="AU97" s="189" t="str">
        <f>IF(OR($B97="", $AP97= ""),"",IF(VLOOKUP($AP97, CONTRATOS!B:K,3,FALSE)="","",VLOOKUP($AP97, CONTRATOS!B:K, 3,FALSE)))</f>
        <v/>
      </c>
      <c r="AV97" s="189" t="str">
        <f>IF(OR($B97="", $AP97 = ""), "", IF(VLOOKUP($AP97, CONTRATOS!B:K,4,FALSE)="","",VLOOKUP($AP97, CONTRATOS!B:K,4, FALSE)))</f>
        <v/>
      </c>
      <c r="AW97" s="190" t="str">
        <f t="shared" si="52"/>
        <v/>
      </c>
      <c r="AX97" s="189" t="str">
        <f t="shared" si="53"/>
        <v/>
      </c>
      <c r="AY97" s="189" t="str">
        <f t="shared" si="54"/>
        <v/>
      </c>
      <c r="AZ97" s="189" t="str">
        <f t="shared" si="55"/>
        <v/>
      </c>
      <c r="BA97" s="189" t="str">
        <f t="shared" si="56"/>
        <v/>
      </c>
      <c r="BB97" s="191">
        <f t="shared" si="71"/>
        <v>0</v>
      </c>
      <c r="BC97" s="191" t="str">
        <f t="shared" si="72"/>
        <v/>
      </c>
      <c r="BD97" s="191" t="str">
        <f t="shared" si="73"/>
        <v/>
      </c>
      <c r="BF97" s="192">
        <f t="shared" si="74"/>
        <v>0</v>
      </c>
      <c r="BG97" s="192">
        <f t="shared" si="75"/>
        <v>0</v>
      </c>
      <c r="BH97" s="192" t="str">
        <f>IF( $B97="", "", IF(ISNA(VLOOKUP($C97, Defesa!$C$7:$C$29,1,FALSE)),1,0))</f>
        <v/>
      </c>
      <c r="BI97" s="193" t="str">
        <f t="shared" si="76"/>
        <v/>
      </c>
      <c r="BJ97" s="193" t="str">
        <f>IF($B97="", "", IF( AND( $AI97="ESTIMATIVA", OR( Defesa!$F$7 = "AUTOMÁTICA", Defesa!$F$7 ="100% BASELINE")), 1, 0))</f>
        <v/>
      </c>
      <c r="BK97" s="192" t="str">
        <f t="shared" si="57"/>
        <v/>
      </c>
      <c r="BL97" s="192">
        <f t="shared" si="77"/>
        <v>0</v>
      </c>
      <c r="BM97" s="192" t="str">
        <f>IF($AC97="", "", IF(ISNA(VLOOKUP($AC97, TABELAS!$Q:$Q, 1, FALSE)), 1, 0))</f>
        <v/>
      </c>
      <c r="BN97" s="194" t="str">
        <f t="shared" si="58"/>
        <v/>
      </c>
      <c r="BO97" s="192" t="str">
        <f t="shared" si="78"/>
        <v/>
      </c>
      <c r="BP97" s="192" t="str">
        <f t="shared" si="79"/>
        <v/>
      </c>
      <c r="BQ97" s="193" t="str">
        <f t="shared" si="80"/>
        <v/>
      </c>
      <c r="BR97" s="192" t="str">
        <f t="shared" si="81"/>
        <v/>
      </c>
      <c r="BS97" s="192" t="str">
        <f t="shared" si="82"/>
        <v/>
      </c>
      <c r="BT97" s="192" t="str">
        <f>IF(OR($B97="", $AH97 = "SIM"), "", IF( ISNA(VLOOKUP($AP97,#REF!, 1, FALSE)), 1, 0))</f>
        <v/>
      </c>
      <c r="BU97" s="192" t="str">
        <f t="shared" si="83"/>
        <v/>
      </c>
      <c r="BV97" s="192" t="str">
        <f>IF( $B97="", "", IF( ISNA(VLOOKUP($AN97, TABELAS!$T$2:$T$9,1,FALSE)), 1, 0))</f>
        <v/>
      </c>
      <c r="BW97" s="192" t="str">
        <f t="shared" si="84"/>
        <v/>
      </c>
      <c r="BX97" s="192" t="str">
        <f>IF( OR($B97="", $AH97 = "SIM"), "", IF( ISNA( VLOOKUP( $AQ97, SISTEMA!$B:$B, 1, FALSE)), 1, 0))</f>
        <v/>
      </c>
      <c r="BY97" s="193" t="str">
        <f t="shared" si="85"/>
        <v/>
      </c>
      <c r="BZ97" s="193" t="str">
        <f t="shared" si="86"/>
        <v/>
      </c>
      <c r="CA97" s="192" t="str">
        <f t="shared" si="87"/>
        <v/>
      </c>
      <c r="CB97" s="193" t="str">
        <f t="shared" si="88"/>
        <v/>
      </c>
      <c r="CC97" s="193" t="str">
        <f t="shared" si="89"/>
        <v/>
      </c>
      <c r="CD97" s="193" t="str">
        <f t="shared" si="90"/>
        <v/>
      </c>
    </row>
    <row r="98" spans="1:82" x14ac:dyDescent="0.2">
      <c r="A98" s="140"/>
      <c r="B98" s="141" t="str">
        <f t="shared" si="59"/>
        <v/>
      </c>
      <c r="C98" s="142" t="str">
        <f t="shared" si="47"/>
        <v/>
      </c>
      <c r="D98" s="142" t="str">
        <f t="shared" si="60"/>
        <v/>
      </c>
      <c r="E98" s="142" t="str">
        <f>IF($C98="", "", COUNTIF($M$8:$M98,$D98))</f>
        <v/>
      </c>
      <c r="F98" s="254">
        <v>91</v>
      </c>
      <c r="G98" s="143"/>
      <c r="H98" s="144"/>
      <c r="I98" s="144"/>
      <c r="J98" s="145"/>
      <c r="K98" s="144"/>
      <c r="L98" s="144"/>
      <c r="M98" s="144"/>
      <c r="N98" s="146"/>
      <c r="O98" s="147"/>
      <c r="P98" s="147"/>
      <c r="Q98" s="147"/>
      <c r="R98" s="147"/>
      <c r="S98" s="147"/>
      <c r="T98" s="149"/>
      <c r="U98" s="150" t="str">
        <f>IF($T98="", "", VLOOKUP($T98, CONTRATOS!$B:$E, 2, FALSE))</f>
        <v/>
      </c>
      <c r="V98" s="151">
        <f>IF(OR($T98="",TB_DEFESA!$C$2="CARGA BASELINE"),0,
   IF(VLOOKUP($T98, CONTRATOS!B:E, 3, FALSE)&lt;&gt;"",1,IF(VLOOKUP($T98, CONTRATOS!B:E, 4, FALSE)&lt;&gt;"",2,0)))</f>
        <v>0</v>
      </c>
      <c r="W98" s="152"/>
      <c r="X98" s="152"/>
      <c r="Y98" s="153"/>
      <c r="Z98" s="154"/>
      <c r="AA98" s="155"/>
      <c r="AB98" s="156"/>
      <c r="AC98" s="157"/>
      <c r="AD98" s="155"/>
      <c r="AE98" s="158" t="str">
        <f t="shared" si="48"/>
        <v/>
      </c>
      <c r="AF98" s="160" t="str">
        <f t="shared" si="61"/>
        <v/>
      </c>
      <c r="AG98" s="182" t="s">
        <v>59</v>
      </c>
      <c r="AH98" s="183" t="str">
        <f t="shared" si="62"/>
        <v/>
      </c>
      <c r="AI98" s="183" t="str">
        <f t="shared" si="63"/>
        <v/>
      </c>
      <c r="AJ98" s="184" t="str">
        <f t="shared" si="64"/>
        <v/>
      </c>
      <c r="AK98" s="185" t="str">
        <f t="shared" si="65"/>
        <v/>
      </c>
      <c r="AL98" s="186"/>
      <c r="AM98" s="183" t="str">
        <f t="shared" si="66"/>
        <v/>
      </c>
      <c r="AN98" s="183" t="str">
        <f t="shared" si="67"/>
        <v/>
      </c>
      <c r="AO98" s="186" t="str">
        <f t="shared" si="68"/>
        <v/>
      </c>
      <c r="AP98" s="187" t="str">
        <f t="shared" si="69"/>
        <v/>
      </c>
      <c r="AQ98" s="187" t="str">
        <f t="shared" si="70"/>
        <v/>
      </c>
      <c r="AR98" s="188" t="str">
        <f t="shared" si="49"/>
        <v/>
      </c>
      <c r="AS98" s="188" t="str">
        <f t="shared" si="50"/>
        <v/>
      </c>
      <c r="AT98" s="183" t="str">
        <f t="shared" si="51"/>
        <v/>
      </c>
      <c r="AU98" s="189" t="str">
        <f>IF(OR($B98="", $AP98= ""),"",IF(VLOOKUP($AP98, CONTRATOS!B:K,3,FALSE)="","",VLOOKUP($AP98, CONTRATOS!B:K, 3,FALSE)))</f>
        <v/>
      </c>
      <c r="AV98" s="189" t="str">
        <f>IF(OR($B98="", $AP98 = ""), "", IF(VLOOKUP($AP98, CONTRATOS!B:K,4,FALSE)="","",VLOOKUP($AP98, CONTRATOS!B:K,4, FALSE)))</f>
        <v/>
      </c>
      <c r="AW98" s="190" t="str">
        <f t="shared" si="52"/>
        <v/>
      </c>
      <c r="AX98" s="189" t="str">
        <f t="shared" si="53"/>
        <v/>
      </c>
      <c r="AY98" s="189" t="str">
        <f t="shared" si="54"/>
        <v/>
      </c>
      <c r="AZ98" s="189" t="str">
        <f t="shared" si="55"/>
        <v/>
      </c>
      <c r="BA98" s="189" t="str">
        <f t="shared" si="56"/>
        <v/>
      </c>
      <c r="BB98" s="191">
        <f t="shared" si="71"/>
        <v>0</v>
      </c>
      <c r="BC98" s="191" t="str">
        <f t="shared" si="72"/>
        <v/>
      </c>
      <c r="BD98" s="191" t="str">
        <f t="shared" si="73"/>
        <v/>
      </c>
      <c r="BF98" s="192">
        <f t="shared" si="74"/>
        <v>0</v>
      </c>
      <c r="BG98" s="192">
        <f t="shared" si="75"/>
        <v>0</v>
      </c>
      <c r="BH98" s="192" t="str">
        <f>IF( $B98="", "", IF(ISNA(VLOOKUP($C98, Defesa!$C$7:$C$29,1,FALSE)),1,0))</f>
        <v/>
      </c>
      <c r="BI98" s="193" t="str">
        <f t="shared" si="76"/>
        <v/>
      </c>
      <c r="BJ98" s="193" t="str">
        <f>IF($B98="", "", IF( AND( $AI98="ESTIMATIVA", OR( Defesa!$F$7 = "AUTOMÁTICA", Defesa!$F$7 ="100% BASELINE")), 1, 0))</f>
        <v/>
      </c>
      <c r="BK98" s="192" t="str">
        <f t="shared" si="57"/>
        <v/>
      </c>
      <c r="BL98" s="192">
        <f t="shared" si="77"/>
        <v>0</v>
      </c>
      <c r="BM98" s="192" t="str">
        <f>IF($AC98="", "", IF(ISNA(VLOOKUP($AC98, TABELAS!$Q:$Q, 1, FALSE)), 1, 0))</f>
        <v/>
      </c>
      <c r="BN98" s="194" t="str">
        <f t="shared" si="58"/>
        <v/>
      </c>
      <c r="BO98" s="192" t="str">
        <f t="shared" si="78"/>
        <v/>
      </c>
      <c r="BP98" s="192" t="str">
        <f t="shared" si="79"/>
        <v/>
      </c>
      <c r="BQ98" s="193" t="str">
        <f t="shared" si="80"/>
        <v/>
      </c>
      <c r="BR98" s="192" t="str">
        <f t="shared" si="81"/>
        <v/>
      </c>
      <c r="BS98" s="192" t="str">
        <f t="shared" si="82"/>
        <v/>
      </c>
      <c r="BT98" s="192" t="str">
        <f>IF(OR($B98="", $AH98 = "SIM"), "", IF( ISNA(VLOOKUP($AP98,#REF!, 1, FALSE)), 1, 0))</f>
        <v/>
      </c>
      <c r="BU98" s="192" t="str">
        <f t="shared" si="83"/>
        <v/>
      </c>
      <c r="BV98" s="192" t="str">
        <f>IF( $B98="", "", IF( ISNA(VLOOKUP($AN98, TABELAS!$T$2:$T$9,1,FALSE)), 1, 0))</f>
        <v/>
      </c>
      <c r="BW98" s="192" t="str">
        <f t="shared" si="84"/>
        <v/>
      </c>
      <c r="BX98" s="192" t="str">
        <f>IF( OR($B98="", $AH98 = "SIM"), "", IF( ISNA( VLOOKUP( $AQ98, SISTEMA!$B:$B, 1, FALSE)), 1, 0))</f>
        <v/>
      </c>
      <c r="BY98" s="193" t="str">
        <f t="shared" si="85"/>
        <v/>
      </c>
      <c r="BZ98" s="193" t="str">
        <f t="shared" si="86"/>
        <v/>
      </c>
      <c r="CA98" s="192" t="str">
        <f t="shared" si="87"/>
        <v/>
      </c>
      <c r="CB98" s="193" t="str">
        <f t="shared" si="88"/>
        <v/>
      </c>
      <c r="CC98" s="193" t="str">
        <f t="shared" si="89"/>
        <v/>
      </c>
      <c r="CD98" s="193" t="str">
        <f t="shared" si="90"/>
        <v/>
      </c>
    </row>
    <row r="99" spans="1:82" x14ac:dyDescent="0.2">
      <c r="A99" s="140"/>
      <c r="B99" s="141" t="str">
        <f t="shared" si="59"/>
        <v/>
      </c>
      <c r="C99" s="142" t="str">
        <f t="shared" si="47"/>
        <v/>
      </c>
      <c r="D99" s="142" t="str">
        <f t="shared" si="60"/>
        <v/>
      </c>
      <c r="E99" s="142" t="str">
        <f>IF($C99="", "", COUNTIF($M$8:$M99,$D99))</f>
        <v/>
      </c>
      <c r="F99" s="254">
        <v>92</v>
      </c>
      <c r="G99" s="143"/>
      <c r="H99" s="144"/>
      <c r="I99" s="144"/>
      <c r="J99" s="145"/>
      <c r="K99" s="144"/>
      <c r="L99" s="144"/>
      <c r="M99" s="144"/>
      <c r="N99" s="146"/>
      <c r="O99" s="147"/>
      <c r="P99" s="147"/>
      <c r="Q99" s="147"/>
      <c r="R99" s="147"/>
      <c r="S99" s="147"/>
      <c r="T99" s="149"/>
      <c r="U99" s="150" t="str">
        <f>IF($T99="", "", VLOOKUP($T99, CONTRATOS!$B:$E, 2, FALSE))</f>
        <v/>
      </c>
      <c r="V99" s="151">
        <f>IF(OR($T99="",TB_DEFESA!$C$2="CARGA BASELINE"),0,
   IF(VLOOKUP($T99, CONTRATOS!B:E, 3, FALSE)&lt;&gt;"",1,IF(VLOOKUP($T99, CONTRATOS!B:E, 4, FALSE)&lt;&gt;"",2,0)))</f>
        <v>0</v>
      </c>
      <c r="W99" s="152"/>
      <c r="X99" s="152"/>
      <c r="Y99" s="153"/>
      <c r="Z99" s="154"/>
      <c r="AA99" s="155"/>
      <c r="AB99" s="156"/>
      <c r="AC99" s="157"/>
      <c r="AD99" s="155"/>
      <c r="AE99" s="158" t="str">
        <f t="shared" si="48"/>
        <v/>
      </c>
      <c r="AF99" s="160" t="str">
        <f t="shared" si="61"/>
        <v/>
      </c>
      <c r="AG99" s="182" t="s">
        <v>59</v>
      </c>
      <c r="AH99" s="183" t="str">
        <f t="shared" si="62"/>
        <v/>
      </c>
      <c r="AI99" s="183" t="str">
        <f t="shared" si="63"/>
        <v/>
      </c>
      <c r="AJ99" s="184" t="str">
        <f t="shared" si="64"/>
        <v/>
      </c>
      <c r="AK99" s="185" t="str">
        <f t="shared" si="65"/>
        <v/>
      </c>
      <c r="AL99" s="186"/>
      <c r="AM99" s="183" t="str">
        <f t="shared" si="66"/>
        <v/>
      </c>
      <c r="AN99" s="183" t="str">
        <f t="shared" si="67"/>
        <v/>
      </c>
      <c r="AO99" s="186" t="str">
        <f t="shared" si="68"/>
        <v/>
      </c>
      <c r="AP99" s="187" t="str">
        <f t="shared" si="69"/>
        <v/>
      </c>
      <c r="AQ99" s="187" t="str">
        <f t="shared" si="70"/>
        <v/>
      </c>
      <c r="AR99" s="188" t="str">
        <f t="shared" si="49"/>
        <v/>
      </c>
      <c r="AS99" s="188" t="str">
        <f t="shared" si="50"/>
        <v/>
      </c>
      <c r="AT99" s="183" t="str">
        <f t="shared" si="51"/>
        <v/>
      </c>
      <c r="AU99" s="189" t="str">
        <f>IF(OR($B99="", $AP99= ""),"",IF(VLOOKUP($AP99, CONTRATOS!B:K,3,FALSE)="","",VLOOKUP($AP99, CONTRATOS!B:K, 3,FALSE)))</f>
        <v/>
      </c>
      <c r="AV99" s="189" t="str">
        <f>IF(OR($B99="", $AP99 = ""), "", IF(VLOOKUP($AP99, CONTRATOS!B:K,4,FALSE)="","",VLOOKUP($AP99, CONTRATOS!B:K,4, FALSE)))</f>
        <v/>
      </c>
      <c r="AW99" s="190" t="str">
        <f t="shared" si="52"/>
        <v/>
      </c>
      <c r="AX99" s="189" t="str">
        <f t="shared" si="53"/>
        <v/>
      </c>
      <c r="AY99" s="189" t="str">
        <f t="shared" si="54"/>
        <v/>
      </c>
      <c r="AZ99" s="189" t="str">
        <f t="shared" si="55"/>
        <v/>
      </c>
      <c r="BA99" s="189" t="str">
        <f t="shared" si="56"/>
        <v/>
      </c>
      <c r="BB99" s="191">
        <f t="shared" si="71"/>
        <v>0</v>
      </c>
      <c r="BC99" s="191" t="str">
        <f t="shared" si="72"/>
        <v/>
      </c>
      <c r="BD99" s="191" t="str">
        <f t="shared" si="73"/>
        <v/>
      </c>
      <c r="BF99" s="192">
        <f t="shared" si="74"/>
        <v>0</v>
      </c>
      <c r="BG99" s="192">
        <f t="shared" si="75"/>
        <v>0</v>
      </c>
      <c r="BH99" s="192" t="str">
        <f>IF( $B99="", "", IF(ISNA(VLOOKUP($C99, Defesa!$C$7:$C$29,1,FALSE)),1,0))</f>
        <v/>
      </c>
      <c r="BI99" s="193" t="str">
        <f t="shared" si="76"/>
        <v/>
      </c>
      <c r="BJ99" s="193" t="str">
        <f>IF($B99="", "", IF( AND( $AI99="ESTIMATIVA", OR( Defesa!$F$7 = "AUTOMÁTICA", Defesa!$F$7 ="100% BASELINE")), 1, 0))</f>
        <v/>
      </c>
      <c r="BK99" s="192" t="str">
        <f t="shared" si="57"/>
        <v/>
      </c>
      <c r="BL99" s="192">
        <f t="shared" si="77"/>
        <v>0</v>
      </c>
      <c r="BM99" s="192" t="str">
        <f>IF($AC99="", "", IF(ISNA(VLOOKUP($AC99, TABELAS!$Q:$Q, 1, FALSE)), 1, 0))</f>
        <v/>
      </c>
      <c r="BN99" s="194" t="str">
        <f t="shared" si="58"/>
        <v/>
      </c>
      <c r="BO99" s="192" t="str">
        <f t="shared" si="78"/>
        <v/>
      </c>
      <c r="BP99" s="192" t="str">
        <f t="shared" si="79"/>
        <v/>
      </c>
      <c r="BQ99" s="193" t="str">
        <f t="shared" si="80"/>
        <v/>
      </c>
      <c r="BR99" s="192" t="str">
        <f t="shared" si="81"/>
        <v/>
      </c>
      <c r="BS99" s="192" t="str">
        <f t="shared" si="82"/>
        <v/>
      </c>
      <c r="BT99" s="192" t="str">
        <f>IF(OR($B99="", $AH99 = "SIM"), "", IF( ISNA(VLOOKUP($AP99,#REF!, 1, FALSE)), 1, 0))</f>
        <v/>
      </c>
      <c r="BU99" s="192" t="str">
        <f t="shared" si="83"/>
        <v/>
      </c>
      <c r="BV99" s="192" t="str">
        <f>IF( $B99="", "", IF( ISNA(VLOOKUP($AN99, TABELAS!$T$2:$T$9,1,FALSE)), 1, 0))</f>
        <v/>
      </c>
      <c r="BW99" s="192" t="str">
        <f t="shared" si="84"/>
        <v/>
      </c>
      <c r="BX99" s="192" t="str">
        <f>IF( OR($B99="", $AH99 = "SIM"), "", IF( ISNA( VLOOKUP( $AQ99, SISTEMA!$B:$B, 1, FALSE)), 1, 0))</f>
        <v/>
      </c>
      <c r="BY99" s="193" t="str">
        <f t="shared" si="85"/>
        <v/>
      </c>
      <c r="BZ99" s="193" t="str">
        <f t="shared" si="86"/>
        <v/>
      </c>
      <c r="CA99" s="192" t="str">
        <f t="shared" si="87"/>
        <v/>
      </c>
      <c r="CB99" s="193" t="str">
        <f t="shared" si="88"/>
        <v/>
      </c>
      <c r="CC99" s="193" t="str">
        <f t="shared" si="89"/>
        <v/>
      </c>
      <c r="CD99" s="193" t="str">
        <f t="shared" si="90"/>
        <v/>
      </c>
    </row>
    <row r="100" spans="1:82" x14ac:dyDescent="0.2">
      <c r="A100" s="140"/>
      <c r="B100" s="141" t="str">
        <f t="shared" si="59"/>
        <v/>
      </c>
      <c r="C100" s="142" t="str">
        <f t="shared" si="47"/>
        <v/>
      </c>
      <c r="D100" s="142" t="str">
        <f t="shared" si="60"/>
        <v/>
      </c>
      <c r="E100" s="142" t="str">
        <f>IF($C100="", "", COUNTIF($M$8:$M100,$D100))</f>
        <v/>
      </c>
      <c r="F100" s="254">
        <v>93</v>
      </c>
      <c r="G100" s="143"/>
      <c r="H100" s="144"/>
      <c r="I100" s="144"/>
      <c r="J100" s="145"/>
      <c r="K100" s="144"/>
      <c r="L100" s="144"/>
      <c r="M100" s="144"/>
      <c r="N100" s="146"/>
      <c r="O100" s="147"/>
      <c r="P100" s="147"/>
      <c r="Q100" s="147"/>
      <c r="R100" s="147"/>
      <c r="S100" s="147"/>
      <c r="T100" s="149"/>
      <c r="U100" s="150" t="str">
        <f>IF($T100="", "", VLOOKUP($T100, CONTRATOS!$B:$E, 2, FALSE))</f>
        <v/>
      </c>
      <c r="V100" s="151">
        <f>IF(OR($T100="",TB_DEFESA!$C$2="CARGA BASELINE"),0,
   IF(VLOOKUP($T100, CONTRATOS!B:E, 3, FALSE)&lt;&gt;"",1,IF(VLOOKUP($T100, CONTRATOS!B:E, 4, FALSE)&lt;&gt;"",2,0)))</f>
        <v>0</v>
      </c>
      <c r="W100" s="152"/>
      <c r="X100" s="152"/>
      <c r="Y100" s="153"/>
      <c r="Z100" s="154"/>
      <c r="AA100" s="155"/>
      <c r="AB100" s="156"/>
      <c r="AC100" s="157"/>
      <c r="AD100" s="155"/>
      <c r="AE100" s="158" t="str">
        <f t="shared" si="48"/>
        <v/>
      </c>
      <c r="AF100" s="160" t="str">
        <f t="shared" si="61"/>
        <v/>
      </c>
      <c r="AG100" s="182" t="s">
        <v>59</v>
      </c>
      <c r="AH100" s="183" t="str">
        <f t="shared" si="62"/>
        <v/>
      </c>
      <c r="AI100" s="183" t="str">
        <f t="shared" si="63"/>
        <v/>
      </c>
      <c r="AJ100" s="184" t="str">
        <f t="shared" si="64"/>
        <v/>
      </c>
      <c r="AK100" s="185" t="str">
        <f t="shared" si="65"/>
        <v/>
      </c>
      <c r="AL100" s="186"/>
      <c r="AM100" s="183" t="str">
        <f t="shared" si="66"/>
        <v/>
      </c>
      <c r="AN100" s="183" t="str">
        <f t="shared" si="67"/>
        <v/>
      </c>
      <c r="AO100" s="186" t="str">
        <f t="shared" si="68"/>
        <v/>
      </c>
      <c r="AP100" s="187" t="str">
        <f t="shared" si="69"/>
        <v/>
      </c>
      <c r="AQ100" s="187" t="str">
        <f t="shared" si="70"/>
        <v/>
      </c>
      <c r="AR100" s="188" t="str">
        <f t="shared" si="49"/>
        <v/>
      </c>
      <c r="AS100" s="188" t="str">
        <f t="shared" si="50"/>
        <v/>
      </c>
      <c r="AT100" s="183" t="str">
        <f t="shared" si="51"/>
        <v/>
      </c>
      <c r="AU100" s="189" t="str">
        <f>IF(OR($B100="", $AP100= ""),"",IF(VLOOKUP($AP100, CONTRATOS!B:K,3,FALSE)="","",VLOOKUP($AP100, CONTRATOS!B:K, 3,FALSE)))</f>
        <v/>
      </c>
      <c r="AV100" s="189" t="str">
        <f>IF(OR($B100="", $AP100 = ""), "", IF(VLOOKUP($AP100, CONTRATOS!B:K,4,FALSE)="","",VLOOKUP($AP100, CONTRATOS!B:K,4, FALSE)))</f>
        <v/>
      </c>
      <c r="AW100" s="190" t="str">
        <f t="shared" si="52"/>
        <v/>
      </c>
      <c r="AX100" s="189" t="str">
        <f t="shared" si="53"/>
        <v/>
      </c>
      <c r="AY100" s="189" t="str">
        <f t="shared" si="54"/>
        <v/>
      </c>
      <c r="AZ100" s="189" t="str">
        <f t="shared" si="55"/>
        <v/>
      </c>
      <c r="BA100" s="189" t="str">
        <f t="shared" si="56"/>
        <v/>
      </c>
      <c r="BB100" s="191">
        <f t="shared" si="71"/>
        <v>0</v>
      </c>
      <c r="BC100" s="191" t="str">
        <f t="shared" si="72"/>
        <v/>
      </c>
      <c r="BD100" s="191" t="str">
        <f t="shared" si="73"/>
        <v/>
      </c>
      <c r="BF100" s="192">
        <f t="shared" si="74"/>
        <v>0</v>
      </c>
      <c r="BG100" s="192">
        <f t="shared" si="75"/>
        <v>0</v>
      </c>
      <c r="BH100" s="192" t="str">
        <f>IF( $B100="", "", IF(ISNA(VLOOKUP($C100, Defesa!$C$7:$C$29,1,FALSE)),1,0))</f>
        <v/>
      </c>
      <c r="BI100" s="193" t="str">
        <f t="shared" si="76"/>
        <v/>
      </c>
      <c r="BJ100" s="193" t="str">
        <f>IF($B100="", "", IF( AND( $AI100="ESTIMATIVA", OR( Defesa!$F$7 = "AUTOMÁTICA", Defesa!$F$7 ="100% BASELINE")), 1, 0))</f>
        <v/>
      </c>
      <c r="BK100" s="192" t="str">
        <f t="shared" si="57"/>
        <v/>
      </c>
      <c r="BL100" s="192">
        <f t="shared" si="77"/>
        <v>0</v>
      </c>
      <c r="BM100" s="192" t="str">
        <f>IF($AC100="", "", IF(ISNA(VLOOKUP($AC100, TABELAS!$Q:$Q, 1, FALSE)), 1, 0))</f>
        <v/>
      </c>
      <c r="BN100" s="194" t="str">
        <f t="shared" si="58"/>
        <v/>
      </c>
      <c r="BO100" s="192" t="str">
        <f t="shared" si="78"/>
        <v/>
      </c>
      <c r="BP100" s="192" t="str">
        <f t="shared" si="79"/>
        <v/>
      </c>
      <c r="BQ100" s="193" t="str">
        <f t="shared" si="80"/>
        <v/>
      </c>
      <c r="BR100" s="192" t="str">
        <f t="shared" si="81"/>
        <v/>
      </c>
      <c r="BS100" s="192" t="str">
        <f t="shared" si="82"/>
        <v/>
      </c>
      <c r="BT100" s="192" t="str">
        <f>IF(OR($B100="", $AH100 = "SIM"), "", IF( ISNA(VLOOKUP($AP100,#REF!, 1, FALSE)), 1, 0))</f>
        <v/>
      </c>
      <c r="BU100" s="192" t="str">
        <f t="shared" si="83"/>
        <v/>
      </c>
      <c r="BV100" s="192" t="str">
        <f>IF( $B100="", "", IF( ISNA(VLOOKUP($AN100, TABELAS!$T$2:$T$9,1,FALSE)), 1, 0))</f>
        <v/>
      </c>
      <c r="BW100" s="192" t="str">
        <f t="shared" si="84"/>
        <v/>
      </c>
      <c r="BX100" s="192" t="str">
        <f>IF( OR($B100="", $AH100 = "SIM"), "", IF( ISNA( VLOOKUP( $AQ100, SISTEMA!$B:$B, 1, FALSE)), 1, 0))</f>
        <v/>
      </c>
      <c r="BY100" s="193" t="str">
        <f t="shared" si="85"/>
        <v/>
      </c>
      <c r="BZ100" s="193" t="str">
        <f t="shared" si="86"/>
        <v/>
      </c>
      <c r="CA100" s="192" t="str">
        <f t="shared" si="87"/>
        <v/>
      </c>
      <c r="CB100" s="193" t="str">
        <f t="shared" si="88"/>
        <v/>
      </c>
      <c r="CC100" s="193" t="str">
        <f t="shared" si="89"/>
        <v/>
      </c>
      <c r="CD100" s="193" t="str">
        <f t="shared" si="90"/>
        <v/>
      </c>
    </row>
    <row r="101" spans="1:82" x14ac:dyDescent="0.2">
      <c r="A101" s="140"/>
      <c r="B101" s="141" t="str">
        <f t="shared" si="59"/>
        <v/>
      </c>
      <c r="C101" s="142" t="str">
        <f t="shared" si="47"/>
        <v/>
      </c>
      <c r="D101" s="142" t="str">
        <f t="shared" si="60"/>
        <v/>
      </c>
      <c r="E101" s="142" t="str">
        <f>IF($C101="", "", COUNTIF($M$8:$M101,$D101))</f>
        <v/>
      </c>
      <c r="F101" s="254">
        <v>94</v>
      </c>
      <c r="G101" s="143"/>
      <c r="H101" s="144"/>
      <c r="I101" s="144"/>
      <c r="J101" s="145"/>
      <c r="K101" s="144"/>
      <c r="L101" s="144"/>
      <c r="M101" s="144"/>
      <c r="N101" s="146"/>
      <c r="O101" s="147"/>
      <c r="P101" s="147"/>
      <c r="Q101" s="147"/>
      <c r="R101" s="147"/>
      <c r="S101" s="147"/>
      <c r="T101" s="149"/>
      <c r="U101" s="150" t="str">
        <f>IF($T101="", "", VLOOKUP($T101, CONTRATOS!$B:$E, 2, FALSE))</f>
        <v/>
      </c>
      <c r="V101" s="151">
        <f>IF(OR($T101="",TB_DEFESA!$C$2="CARGA BASELINE"),0,
   IF(VLOOKUP($T101, CONTRATOS!B:E, 3, FALSE)&lt;&gt;"",1,IF(VLOOKUP($T101, CONTRATOS!B:E, 4, FALSE)&lt;&gt;"",2,0)))</f>
        <v>0</v>
      </c>
      <c r="W101" s="152"/>
      <c r="X101" s="152"/>
      <c r="Y101" s="153"/>
      <c r="Z101" s="154"/>
      <c r="AA101" s="155"/>
      <c r="AB101" s="156"/>
      <c r="AC101" s="157"/>
      <c r="AD101" s="155"/>
      <c r="AE101" s="158" t="str">
        <f t="shared" si="48"/>
        <v/>
      </c>
      <c r="AF101" s="160" t="str">
        <f t="shared" si="61"/>
        <v/>
      </c>
      <c r="AG101" s="182" t="s">
        <v>59</v>
      </c>
      <c r="AH101" s="183" t="str">
        <f t="shared" si="62"/>
        <v/>
      </c>
      <c r="AI101" s="183" t="str">
        <f t="shared" si="63"/>
        <v/>
      </c>
      <c r="AJ101" s="184" t="str">
        <f t="shared" si="64"/>
        <v/>
      </c>
      <c r="AK101" s="185" t="str">
        <f t="shared" si="65"/>
        <v/>
      </c>
      <c r="AL101" s="186"/>
      <c r="AM101" s="183" t="str">
        <f t="shared" si="66"/>
        <v/>
      </c>
      <c r="AN101" s="183" t="str">
        <f t="shared" si="67"/>
        <v/>
      </c>
      <c r="AO101" s="186" t="str">
        <f t="shared" si="68"/>
        <v/>
      </c>
      <c r="AP101" s="187" t="str">
        <f t="shared" si="69"/>
        <v/>
      </c>
      <c r="AQ101" s="187" t="str">
        <f t="shared" si="70"/>
        <v/>
      </c>
      <c r="AR101" s="188" t="str">
        <f t="shared" si="49"/>
        <v/>
      </c>
      <c r="AS101" s="188" t="str">
        <f t="shared" si="50"/>
        <v/>
      </c>
      <c r="AT101" s="183" t="str">
        <f t="shared" si="51"/>
        <v/>
      </c>
      <c r="AU101" s="189" t="str">
        <f>IF(OR($B101="", $AP101= ""),"",IF(VLOOKUP($AP101, CONTRATOS!B:K,3,FALSE)="","",VLOOKUP($AP101, CONTRATOS!B:K, 3,FALSE)))</f>
        <v/>
      </c>
      <c r="AV101" s="189" t="str">
        <f>IF(OR($B101="", $AP101 = ""), "", IF(VLOOKUP($AP101, CONTRATOS!B:K,4,FALSE)="","",VLOOKUP($AP101, CONTRATOS!B:K,4, FALSE)))</f>
        <v/>
      </c>
      <c r="AW101" s="190" t="str">
        <f t="shared" si="52"/>
        <v/>
      </c>
      <c r="AX101" s="189" t="str">
        <f t="shared" si="53"/>
        <v/>
      </c>
      <c r="AY101" s="189" t="str">
        <f t="shared" si="54"/>
        <v/>
      </c>
      <c r="AZ101" s="189" t="str">
        <f t="shared" si="55"/>
        <v/>
      </c>
      <c r="BA101" s="189" t="str">
        <f t="shared" si="56"/>
        <v/>
      </c>
      <c r="BB101" s="191">
        <f t="shared" si="71"/>
        <v>0</v>
      </c>
      <c r="BC101" s="191" t="str">
        <f t="shared" si="72"/>
        <v/>
      </c>
      <c r="BD101" s="191" t="str">
        <f t="shared" si="73"/>
        <v/>
      </c>
      <c r="BF101" s="192">
        <f t="shared" si="74"/>
        <v>0</v>
      </c>
      <c r="BG101" s="192">
        <f t="shared" si="75"/>
        <v>0</v>
      </c>
      <c r="BH101" s="192" t="str">
        <f>IF( $B101="", "", IF(ISNA(VLOOKUP($C101, Defesa!$C$7:$C$29,1,FALSE)),1,0))</f>
        <v/>
      </c>
      <c r="BI101" s="193" t="str">
        <f t="shared" si="76"/>
        <v/>
      </c>
      <c r="BJ101" s="193" t="str">
        <f>IF($B101="", "", IF( AND( $AI101="ESTIMATIVA", OR( Defesa!$F$7 = "AUTOMÁTICA", Defesa!$F$7 ="100% BASELINE")), 1, 0))</f>
        <v/>
      </c>
      <c r="BK101" s="192" t="str">
        <f t="shared" si="57"/>
        <v/>
      </c>
      <c r="BL101" s="192">
        <f t="shared" si="77"/>
        <v>0</v>
      </c>
      <c r="BM101" s="192" t="str">
        <f>IF($AC101="", "", IF(ISNA(VLOOKUP($AC101, TABELAS!$Q:$Q, 1, FALSE)), 1, 0))</f>
        <v/>
      </c>
      <c r="BN101" s="194" t="str">
        <f t="shared" si="58"/>
        <v/>
      </c>
      <c r="BO101" s="192" t="str">
        <f t="shared" si="78"/>
        <v/>
      </c>
      <c r="BP101" s="192" t="str">
        <f t="shared" si="79"/>
        <v/>
      </c>
      <c r="BQ101" s="193" t="str">
        <f t="shared" si="80"/>
        <v/>
      </c>
      <c r="BR101" s="192" t="str">
        <f t="shared" si="81"/>
        <v/>
      </c>
      <c r="BS101" s="192" t="str">
        <f t="shared" si="82"/>
        <v/>
      </c>
      <c r="BT101" s="192" t="str">
        <f>IF(OR($B101="", $AH101 = "SIM"), "", IF( ISNA(VLOOKUP($AP101,#REF!, 1, FALSE)), 1, 0))</f>
        <v/>
      </c>
      <c r="BU101" s="192" t="str">
        <f t="shared" si="83"/>
        <v/>
      </c>
      <c r="BV101" s="192" t="str">
        <f>IF( $B101="", "", IF( ISNA(VLOOKUP($AN101, TABELAS!$T$2:$T$9,1,FALSE)), 1, 0))</f>
        <v/>
      </c>
      <c r="BW101" s="192" t="str">
        <f t="shared" si="84"/>
        <v/>
      </c>
      <c r="BX101" s="192" t="str">
        <f>IF( OR($B101="", $AH101 = "SIM"), "", IF( ISNA( VLOOKUP( $AQ101, SISTEMA!$B:$B, 1, FALSE)), 1, 0))</f>
        <v/>
      </c>
      <c r="BY101" s="193" t="str">
        <f t="shared" si="85"/>
        <v/>
      </c>
      <c r="BZ101" s="193" t="str">
        <f t="shared" si="86"/>
        <v/>
      </c>
      <c r="CA101" s="192" t="str">
        <f t="shared" si="87"/>
        <v/>
      </c>
      <c r="CB101" s="193" t="str">
        <f t="shared" si="88"/>
        <v/>
      </c>
      <c r="CC101" s="193" t="str">
        <f t="shared" si="89"/>
        <v/>
      </c>
      <c r="CD101" s="193" t="str">
        <f t="shared" si="90"/>
        <v/>
      </c>
    </row>
    <row r="102" spans="1:82" x14ac:dyDescent="0.2">
      <c r="A102" s="140"/>
      <c r="B102" s="141" t="str">
        <f t="shared" si="59"/>
        <v/>
      </c>
      <c r="C102" s="142" t="str">
        <f t="shared" si="47"/>
        <v/>
      </c>
      <c r="D102" s="142" t="str">
        <f t="shared" si="60"/>
        <v/>
      </c>
      <c r="E102" s="142" t="str">
        <f>IF($C102="", "", COUNTIF($M$8:$M102,$D102))</f>
        <v/>
      </c>
      <c r="F102" s="254">
        <v>95</v>
      </c>
      <c r="G102" s="143"/>
      <c r="H102" s="144"/>
      <c r="I102" s="144"/>
      <c r="J102" s="145"/>
      <c r="K102" s="144"/>
      <c r="L102" s="144"/>
      <c r="M102" s="144"/>
      <c r="N102" s="146"/>
      <c r="O102" s="147"/>
      <c r="P102" s="147"/>
      <c r="Q102" s="147"/>
      <c r="R102" s="147"/>
      <c r="S102" s="147"/>
      <c r="T102" s="149"/>
      <c r="U102" s="150" t="str">
        <f>IF($T102="", "", VLOOKUP($T102, CONTRATOS!$B:$E, 2, FALSE))</f>
        <v/>
      </c>
      <c r="V102" s="151">
        <f>IF(OR($T102="",TB_DEFESA!$C$2="CARGA BASELINE"),0,
   IF(VLOOKUP($T102, CONTRATOS!B:E, 3, FALSE)&lt;&gt;"",1,IF(VLOOKUP($T102, CONTRATOS!B:E, 4, FALSE)&lt;&gt;"",2,0)))</f>
        <v>0</v>
      </c>
      <c r="W102" s="152"/>
      <c r="X102" s="152"/>
      <c r="Y102" s="153"/>
      <c r="Z102" s="154"/>
      <c r="AA102" s="155"/>
      <c r="AB102" s="156"/>
      <c r="AC102" s="157"/>
      <c r="AD102" s="155"/>
      <c r="AE102" s="158" t="str">
        <f t="shared" si="48"/>
        <v/>
      </c>
      <c r="AF102" s="160" t="str">
        <f t="shared" si="61"/>
        <v/>
      </c>
      <c r="AG102" s="182" t="s">
        <v>59</v>
      </c>
      <c r="AH102" s="183" t="str">
        <f t="shared" si="62"/>
        <v/>
      </c>
      <c r="AI102" s="183" t="str">
        <f t="shared" si="63"/>
        <v/>
      </c>
      <c r="AJ102" s="184" t="str">
        <f t="shared" si="64"/>
        <v/>
      </c>
      <c r="AK102" s="185" t="str">
        <f t="shared" si="65"/>
        <v/>
      </c>
      <c r="AL102" s="186"/>
      <c r="AM102" s="183" t="str">
        <f t="shared" si="66"/>
        <v/>
      </c>
      <c r="AN102" s="183" t="str">
        <f t="shared" si="67"/>
        <v/>
      </c>
      <c r="AO102" s="186" t="str">
        <f t="shared" si="68"/>
        <v/>
      </c>
      <c r="AP102" s="187" t="str">
        <f t="shared" si="69"/>
        <v/>
      </c>
      <c r="AQ102" s="187" t="str">
        <f t="shared" si="70"/>
        <v/>
      </c>
      <c r="AR102" s="188" t="str">
        <f t="shared" si="49"/>
        <v/>
      </c>
      <c r="AS102" s="188" t="str">
        <f t="shared" si="50"/>
        <v/>
      </c>
      <c r="AT102" s="183" t="str">
        <f t="shared" si="51"/>
        <v/>
      </c>
      <c r="AU102" s="189" t="str">
        <f>IF(OR($B102="", $AP102= ""),"",IF(VLOOKUP($AP102, CONTRATOS!B:K,3,FALSE)="","",VLOOKUP($AP102, CONTRATOS!B:K, 3,FALSE)))</f>
        <v/>
      </c>
      <c r="AV102" s="189" t="str">
        <f>IF(OR($B102="", $AP102 = ""), "", IF(VLOOKUP($AP102, CONTRATOS!B:K,4,FALSE)="","",VLOOKUP($AP102, CONTRATOS!B:K,4, FALSE)))</f>
        <v/>
      </c>
      <c r="AW102" s="190" t="str">
        <f t="shared" si="52"/>
        <v/>
      </c>
      <c r="AX102" s="189" t="str">
        <f t="shared" si="53"/>
        <v/>
      </c>
      <c r="AY102" s="189" t="str">
        <f t="shared" si="54"/>
        <v/>
      </c>
      <c r="AZ102" s="189" t="str">
        <f t="shared" si="55"/>
        <v/>
      </c>
      <c r="BA102" s="189" t="str">
        <f t="shared" si="56"/>
        <v/>
      </c>
      <c r="BB102" s="191">
        <f t="shared" si="71"/>
        <v>0</v>
      </c>
      <c r="BC102" s="191" t="str">
        <f t="shared" si="72"/>
        <v/>
      </c>
      <c r="BD102" s="191" t="str">
        <f t="shared" si="73"/>
        <v/>
      </c>
      <c r="BF102" s="192">
        <f t="shared" si="74"/>
        <v>0</v>
      </c>
      <c r="BG102" s="192">
        <f t="shared" si="75"/>
        <v>0</v>
      </c>
      <c r="BH102" s="192" t="str">
        <f>IF( $B102="", "", IF(ISNA(VLOOKUP($C102, Defesa!$C$7:$C$29,1,FALSE)),1,0))</f>
        <v/>
      </c>
      <c r="BI102" s="193" t="str">
        <f t="shared" si="76"/>
        <v/>
      </c>
      <c r="BJ102" s="193" t="str">
        <f>IF($B102="", "", IF( AND( $AI102="ESTIMATIVA", OR( Defesa!$F$7 = "AUTOMÁTICA", Defesa!$F$7 ="100% BASELINE")), 1, 0))</f>
        <v/>
      </c>
      <c r="BK102" s="192" t="str">
        <f t="shared" si="57"/>
        <v/>
      </c>
      <c r="BL102" s="192">
        <f t="shared" si="77"/>
        <v>0</v>
      </c>
      <c r="BM102" s="192" t="str">
        <f>IF($AC102="", "", IF(ISNA(VLOOKUP($AC102, TABELAS!$Q:$Q, 1, FALSE)), 1, 0))</f>
        <v/>
      </c>
      <c r="BN102" s="194" t="str">
        <f t="shared" si="58"/>
        <v/>
      </c>
      <c r="BO102" s="192" t="str">
        <f t="shared" si="78"/>
        <v/>
      </c>
      <c r="BP102" s="192" t="str">
        <f t="shared" si="79"/>
        <v/>
      </c>
      <c r="BQ102" s="193" t="str">
        <f t="shared" si="80"/>
        <v/>
      </c>
      <c r="BR102" s="192" t="str">
        <f t="shared" si="81"/>
        <v/>
      </c>
      <c r="BS102" s="192" t="str">
        <f t="shared" si="82"/>
        <v/>
      </c>
      <c r="BT102" s="192" t="str">
        <f>IF(OR($B102="", $AH102 = "SIM"), "", IF( ISNA(VLOOKUP($AP102,#REF!, 1, FALSE)), 1, 0))</f>
        <v/>
      </c>
      <c r="BU102" s="192" t="str">
        <f t="shared" si="83"/>
        <v/>
      </c>
      <c r="BV102" s="192" t="str">
        <f>IF( $B102="", "", IF( ISNA(VLOOKUP($AN102, TABELAS!$T$2:$T$9,1,FALSE)), 1, 0))</f>
        <v/>
      </c>
      <c r="BW102" s="192" t="str">
        <f t="shared" si="84"/>
        <v/>
      </c>
      <c r="BX102" s="192" t="str">
        <f>IF( OR($B102="", $AH102 = "SIM"), "", IF( ISNA( VLOOKUP( $AQ102, SISTEMA!$B:$B, 1, FALSE)), 1, 0))</f>
        <v/>
      </c>
      <c r="BY102" s="193" t="str">
        <f t="shared" si="85"/>
        <v/>
      </c>
      <c r="BZ102" s="193" t="str">
        <f t="shared" si="86"/>
        <v/>
      </c>
      <c r="CA102" s="192" t="str">
        <f t="shared" si="87"/>
        <v/>
      </c>
      <c r="CB102" s="193" t="str">
        <f t="shared" si="88"/>
        <v/>
      </c>
      <c r="CC102" s="193" t="str">
        <f t="shared" si="89"/>
        <v/>
      </c>
      <c r="CD102" s="193" t="str">
        <f t="shared" si="90"/>
        <v/>
      </c>
    </row>
    <row r="103" spans="1:82" x14ac:dyDescent="0.2">
      <c r="A103" s="140"/>
      <c r="B103" s="141" t="str">
        <f t="shared" si="59"/>
        <v/>
      </c>
      <c r="C103" s="142" t="str">
        <f t="shared" si="47"/>
        <v/>
      </c>
      <c r="D103" s="142" t="str">
        <f t="shared" si="60"/>
        <v/>
      </c>
      <c r="E103" s="142" t="str">
        <f>IF($C103="", "", COUNTIF($M$8:$M103,$D103))</f>
        <v/>
      </c>
      <c r="F103" s="254">
        <v>96</v>
      </c>
      <c r="G103" s="143"/>
      <c r="H103" s="144"/>
      <c r="I103" s="144"/>
      <c r="J103" s="145"/>
      <c r="K103" s="144"/>
      <c r="L103" s="144"/>
      <c r="M103" s="144"/>
      <c r="N103" s="146"/>
      <c r="O103" s="147"/>
      <c r="P103" s="147"/>
      <c r="Q103" s="147"/>
      <c r="R103" s="147"/>
      <c r="S103" s="147"/>
      <c r="T103" s="149"/>
      <c r="U103" s="150" t="str">
        <f>IF($T103="", "", VLOOKUP($T103, CONTRATOS!$B:$E, 2, FALSE))</f>
        <v/>
      </c>
      <c r="V103" s="151">
        <f>IF(OR($T103="",TB_DEFESA!$C$2="CARGA BASELINE"),0,
   IF(VLOOKUP($T103, CONTRATOS!B:E, 3, FALSE)&lt;&gt;"",1,IF(VLOOKUP($T103, CONTRATOS!B:E, 4, FALSE)&lt;&gt;"",2,0)))</f>
        <v>0</v>
      </c>
      <c r="W103" s="152"/>
      <c r="X103" s="152"/>
      <c r="Y103" s="153"/>
      <c r="Z103" s="154"/>
      <c r="AA103" s="155"/>
      <c r="AB103" s="156"/>
      <c r="AC103" s="157"/>
      <c r="AD103" s="155"/>
      <c r="AE103" s="158" t="str">
        <f t="shared" si="48"/>
        <v/>
      </c>
      <c r="AF103" s="160" t="str">
        <f t="shared" si="61"/>
        <v/>
      </c>
      <c r="AG103" s="182" t="s">
        <v>59</v>
      </c>
      <c r="AH103" s="183" t="str">
        <f t="shared" si="62"/>
        <v/>
      </c>
      <c r="AI103" s="183" t="str">
        <f t="shared" si="63"/>
        <v/>
      </c>
      <c r="AJ103" s="184" t="str">
        <f t="shared" si="64"/>
        <v/>
      </c>
      <c r="AK103" s="185" t="str">
        <f t="shared" si="65"/>
        <v/>
      </c>
      <c r="AL103" s="186"/>
      <c r="AM103" s="183" t="str">
        <f t="shared" si="66"/>
        <v/>
      </c>
      <c r="AN103" s="183" t="str">
        <f t="shared" si="67"/>
        <v/>
      </c>
      <c r="AO103" s="186" t="str">
        <f t="shared" si="68"/>
        <v/>
      </c>
      <c r="AP103" s="187" t="str">
        <f t="shared" si="69"/>
        <v/>
      </c>
      <c r="AQ103" s="187" t="str">
        <f t="shared" si="70"/>
        <v/>
      </c>
      <c r="AR103" s="188" t="str">
        <f t="shared" si="49"/>
        <v/>
      </c>
      <c r="AS103" s="188" t="str">
        <f t="shared" si="50"/>
        <v/>
      </c>
      <c r="AT103" s="183" t="str">
        <f t="shared" si="51"/>
        <v/>
      </c>
      <c r="AU103" s="189" t="str">
        <f>IF(OR($B103="", $AP103= ""),"",IF(VLOOKUP($AP103, CONTRATOS!B:K,3,FALSE)="","",VLOOKUP($AP103, CONTRATOS!B:K, 3,FALSE)))</f>
        <v/>
      </c>
      <c r="AV103" s="189" t="str">
        <f>IF(OR($B103="", $AP103 = ""), "", IF(VLOOKUP($AP103, CONTRATOS!B:K,4,FALSE)="","",VLOOKUP($AP103, CONTRATOS!B:K,4, FALSE)))</f>
        <v/>
      </c>
      <c r="AW103" s="190" t="str">
        <f t="shared" si="52"/>
        <v/>
      </c>
      <c r="AX103" s="189" t="str">
        <f t="shared" si="53"/>
        <v/>
      </c>
      <c r="AY103" s="189" t="str">
        <f t="shared" si="54"/>
        <v/>
      </c>
      <c r="AZ103" s="189" t="str">
        <f t="shared" si="55"/>
        <v/>
      </c>
      <c r="BA103" s="189" t="str">
        <f t="shared" si="56"/>
        <v/>
      </c>
      <c r="BB103" s="191">
        <f t="shared" si="71"/>
        <v>0</v>
      </c>
      <c r="BC103" s="191" t="str">
        <f t="shared" si="72"/>
        <v/>
      </c>
      <c r="BD103" s="191" t="str">
        <f t="shared" si="73"/>
        <v/>
      </c>
      <c r="BF103" s="192">
        <f t="shared" si="74"/>
        <v>0</v>
      </c>
      <c r="BG103" s="192">
        <f t="shared" si="75"/>
        <v>0</v>
      </c>
      <c r="BH103" s="192" t="str">
        <f>IF( $B103="", "", IF(ISNA(VLOOKUP($C103, Defesa!$C$7:$C$29,1,FALSE)),1,0))</f>
        <v/>
      </c>
      <c r="BI103" s="193" t="str">
        <f t="shared" si="76"/>
        <v/>
      </c>
      <c r="BJ103" s="193" t="str">
        <f>IF($B103="", "", IF( AND( $AI103="ESTIMATIVA", OR( Defesa!$F$7 = "AUTOMÁTICA", Defesa!$F$7 ="100% BASELINE")), 1, 0))</f>
        <v/>
      </c>
      <c r="BK103" s="192" t="str">
        <f t="shared" si="57"/>
        <v/>
      </c>
      <c r="BL103" s="192">
        <f t="shared" si="77"/>
        <v>0</v>
      </c>
      <c r="BM103" s="192" t="str">
        <f>IF($AC103="", "", IF(ISNA(VLOOKUP($AC103, TABELAS!$Q:$Q, 1, FALSE)), 1, 0))</f>
        <v/>
      </c>
      <c r="BN103" s="194" t="str">
        <f t="shared" si="58"/>
        <v/>
      </c>
      <c r="BO103" s="192" t="str">
        <f t="shared" si="78"/>
        <v/>
      </c>
      <c r="BP103" s="192" t="str">
        <f t="shared" si="79"/>
        <v/>
      </c>
      <c r="BQ103" s="193" t="str">
        <f t="shared" si="80"/>
        <v/>
      </c>
      <c r="BR103" s="192" t="str">
        <f t="shared" si="81"/>
        <v/>
      </c>
      <c r="BS103" s="192" t="str">
        <f t="shared" si="82"/>
        <v/>
      </c>
      <c r="BT103" s="192" t="str">
        <f>IF(OR($B103="", $AH103 = "SIM"), "", IF( ISNA(VLOOKUP($AP103,#REF!, 1, FALSE)), 1, 0))</f>
        <v/>
      </c>
      <c r="BU103" s="192" t="str">
        <f t="shared" si="83"/>
        <v/>
      </c>
      <c r="BV103" s="192" t="str">
        <f>IF( $B103="", "", IF( ISNA(VLOOKUP($AN103, TABELAS!$T$2:$T$9,1,FALSE)), 1, 0))</f>
        <v/>
      </c>
      <c r="BW103" s="192" t="str">
        <f t="shared" si="84"/>
        <v/>
      </c>
      <c r="BX103" s="192" t="str">
        <f>IF( OR($B103="", $AH103 = "SIM"), "", IF( ISNA( VLOOKUP( $AQ103, SISTEMA!$B:$B, 1, FALSE)), 1, 0))</f>
        <v/>
      </c>
      <c r="BY103" s="193" t="str">
        <f t="shared" si="85"/>
        <v/>
      </c>
      <c r="BZ103" s="193" t="str">
        <f t="shared" si="86"/>
        <v/>
      </c>
      <c r="CA103" s="192" t="str">
        <f t="shared" si="87"/>
        <v/>
      </c>
      <c r="CB103" s="193" t="str">
        <f t="shared" si="88"/>
        <v/>
      </c>
      <c r="CC103" s="193" t="str">
        <f t="shared" si="89"/>
        <v/>
      </c>
      <c r="CD103" s="193" t="str">
        <f t="shared" si="90"/>
        <v/>
      </c>
    </row>
    <row r="104" spans="1:82" x14ac:dyDescent="0.2">
      <c r="A104" s="140"/>
      <c r="B104" s="141" t="str">
        <f t="shared" si="59"/>
        <v/>
      </c>
      <c r="C104" s="142" t="str">
        <f t="shared" si="47"/>
        <v/>
      </c>
      <c r="D104" s="142" t="str">
        <f t="shared" si="60"/>
        <v/>
      </c>
      <c r="E104" s="142" t="str">
        <f>IF($C104="", "", COUNTIF($M$8:$M104,$D104))</f>
        <v/>
      </c>
      <c r="F104" s="254">
        <v>97</v>
      </c>
      <c r="G104" s="143"/>
      <c r="H104" s="144"/>
      <c r="I104" s="144"/>
      <c r="J104" s="145"/>
      <c r="K104" s="144"/>
      <c r="L104" s="144"/>
      <c r="M104" s="144"/>
      <c r="N104" s="146"/>
      <c r="O104" s="147"/>
      <c r="P104" s="147"/>
      <c r="Q104" s="147"/>
      <c r="R104" s="147"/>
      <c r="S104" s="147"/>
      <c r="T104" s="149"/>
      <c r="U104" s="150" t="str">
        <f>IF($T104="", "", VLOOKUP($T104, CONTRATOS!$B:$E, 2, FALSE))</f>
        <v/>
      </c>
      <c r="V104" s="151">
        <f>IF(OR($T104="",TB_DEFESA!$C$2="CARGA BASELINE"),0,
   IF(VLOOKUP($T104, CONTRATOS!B:E, 3, FALSE)&lt;&gt;"",1,IF(VLOOKUP($T104, CONTRATOS!B:E, 4, FALSE)&lt;&gt;"",2,0)))</f>
        <v>0</v>
      </c>
      <c r="W104" s="152"/>
      <c r="X104" s="152"/>
      <c r="Y104" s="153"/>
      <c r="Z104" s="154"/>
      <c r="AA104" s="155"/>
      <c r="AB104" s="156"/>
      <c r="AC104" s="157"/>
      <c r="AD104" s="155"/>
      <c r="AE104" s="158" t="str">
        <f t="shared" si="48"/>
        <v/>
      </c>
      <c r="AF104" s="160" t="str">
        <f t="shared" si="61"/>
        <v/>
      </c>
      <c r="AG104" s="182" t="s">
        <v>59</v>
      </c>
      <c r="AH104" s="183" t="str">
        <f t="shared" si="62"/>
        <v/>
      </c>
      <c r="AI104" s="183" t="str">
        <f t="shared" si="63"/>
        <v/>
      </c>
      <c r="AJ104" s="184" t="str">
        <f t="shared" si="64"/>
        <v/>
      </c>
      <c r="AK104" s="185" t="str">
        <f t="shared" si="65"/>
        <v/>
      </c>
      <c r="AL104" s="186"/>
      <c r="AM104" s="183" t="str">
        <f t="shared" si="66"/>
        <v/>
      </c>
      <c r="AN104" s="183" t="str">
        <f t="shared" si="67"/>
        <v/>
      </c>
      <c r="AO104" s="186" t="str">
        <f t="shared" si="68"/>
        <v/>
      </c>
      <c r="AP104" s="187" t="str">
        <f t="shared" si="69"/>
        <v/>
      </c>
      <c r="AQ104" s="187" t="str">
        <f t="shared" si="70"/>
        <v/>
      </c>
      <c r="AR104" s="188" t="str">
        <f t="shared" si="49"/>
        <v/>
      </c>
      <c r="AS104" s="188" t="str">
        <f t="shared" si="50"/>
        <v/>
      </c>
      <c r="AT104" s="183" t="str">
        <f t="shared" si="51"/>
        <v/>
      </c>
      <c r="AU104" s="189" t="str">
        <f>IF(OR($B104="", $AP104= ""),"",IF(VLOOKUP($AP104, CONTRATOS!B:K,3,FALSE)="","",VLOOKUP($AP104, CONTRATOS!B:K, 3,FALSE)))</f>
        <v/>
      </c>
      <c r="AV104" s="189" t="str">
        <f>IF(OR($B104="", $AP104 = ""), "", IF(VLOOKUP($AP104, CONTRATOS!B:K,4,FALSE)="","",VLOOKUP($AP104, CONTRATOS!B:K,4, FALSE)))</f>
        <v/>
      </c>
      <c r="AW104" s="190" t="str">
        <f t="shared" si="52"/>
        <v/>
      </c>
      <c r="AX104" s="189" t="str">
        <f t="shared" si="53"/>
        <v/>
      </c>
      <c r="AY104" s="189" t="str">
        <f t="shared" si="54"/>
        <v/>
      </c>
      <c r="AZ104" s="189" t="str">
        <f t="shared" si="55"/>
        <v/>
      </c>
      <c r="BA104" s="189" t="str">
        <f t="shared" si="56"/>
        <v/>
      </c>
      <c r="BB104" s="191">
        <f t="shared" si="71"/>
        <v>0</v>
      </c>
      <c r="BC104" s="191" t="str">
        <f t="shared" si="72"/>
        <v/>
      </c>
      <c r="BD104" s="191" t="str">
        <f t="shared" si="73"/>
        <v/>
      </c>
      <c r="BF104" s="192">
        <f t="shared" si="74"/>
        <v>0</v>
      </c>
      <c r="BG104" s="192">
        <f t="shared" si="75"/>
        <v>0</v>
      </c>
      <c r="BH104" s="192" t="str">
        <f>IF( $B104="", "", IF(ISNA(VLOOKUP($C104, Defesa!$C$7:$C$29,1,FALSE)),1,0))</f>
        <v/>
      </c>
      <c r="BI104" s="193" t="str">
        <f t="shared" si="76"/>
        <v/>
      </c>
      <c r="BJ104" s="193" t="str">
        <f>IF($B104="", "", IF( AND( $AI104="ESTIMATIVA", OR( Defesa!$F$7 = "AUTOMÁTICA", Defesa!$F$7 ="100% BASELINE")), 1, 0))</f>
        <v/>
      </c>
      <c r="BK104" s="192" t="str">
        <f t="shared" ref="BK104:BK135" si="91">IF($B104="", "", IF(COUNTIFS($AB:$AB, $AB104,$B:$B, $B104)&gt;1, 1, 0))</f>
        <v/>
      </c>
      <c r="BL104" s="192">
        <f t="shared" si="77"/>
        <v>0</v>
      </c>
      <c r="BM104" s="192" t="str">
        <f>IF($AC104="", "", IF(ISNA(VLOOKUP($AC104, TABELAS!$Q:$Q, 1, FALSE)), 1, 0))</f>
        <v/>
      </c>
      <c r="BN104" s="194" t="str">
        <f t="shared" ref="BN104:BN135" si="92">IF($B104= "", "", IF( SUMIFS($AW:$AW,$C:$C, $C104,$D:$D, $D104,$E:$E, $E104) = 1, 0, 1))</f>
        <v/>
      </c>
      <c r="BO104" s="192" t="str">
        <f t="shared" si="78"/>
        <v/>
      </c>
      <c r="BP104" s="192" t="str">
        <f t="shared" si="79"/>
        <v/>
      </c>
      <c r="BQ104" s="193" t="str">
        <f t="shared" si="80"/>
        <v/>
      </c>
      <c r="BR104" s="192" t="str">
        <f t="shared" si="81"/>
        <v/>
      </c>
      <c r="BS104" s="192" t="str">
        <f t="shared" si="82"/>
        <v/>
      </c>
      <c r="BT104" s="192" t="str">
        <f>IF(OR($B104="", $AH104 = "SIM"), "", IF( ISNA(VLOOKUP($AP104,#REF!, 1, FALSE)), 1, 0))</f>
        <v/>
      </c>
      <c r="BU104" s="192" t="str">
        <f t="shared" si="83"/>
        <v/>
      </c>
      <c r="BV104" s="192" t="str">
        <f>IF( $B104="", "", IF( ISNA(VLOOKUP($AN104, TABELAS!$T$2:$T$9,1,FALSE)), 1, 0))</f>
        <v/>
      </c>
      <c r="BW104" s="192" t="str">
        <f t="shared" si="84"/>
        <v/>
      </c>
      <c r="BX104" s="192" t="str">
        <f>IF( OR($B104="", $AH104 = "SIM"), "", IF( ISNA( VLOOKUP( $AQ104, SISTEMA!$B:$B, 1, FALSE)), 1, 0))</f>
        <v/>
      </c>
      <c r="BY104" s="193" t="str">
        <f t="shared" si="85"/>
        <v/>
      </c>
      <c r="BZ104" s="193" t="str">
        <f t="shared" si="86"/>
        <v/>
      </c>
      <c r="CA104" s="192" t="str">
        <f t="shared" si="87"/>
        <v/>
      </c>
      <c r="CB104" s="193" t="str">
        <f t="shared" si="88"/>
        <v/>
      </c>
      <c r="CC104" s="193" t="str">
        <f t="shared" si="89"/>
        <v/>
      </c>
      <c r="CD104" s="193" t="str">
        <f t="shared" si="90"/>
        <v/>
      </c>
    </row>
    <row r="105" spans="1:82" x14ac:dyDescent="0.2">
      <c r="A105" s="140"/>
      <c r="B105" s="141" t="str">
        <f t="shared" si="59"/>
        <v/>
      </c>
      <c r="C105" s="142" t="str">
        <f t="shared" si="47"/>
        <v/>
      </c>
      <c r="D105" s="142" t="str">
        <f t="shared" si="60"/>
        <v/>
      </c>
      <c r="E105" s="142" t="str">
        <f>IF($C105="", "", COUNTIF($M$8:$M105,$D105))</f>
        <v/>
      </c>
      <c r="F105" s="254">
        <v>98</v>
      </c>
      <c r="G105" s="143"/>
      <c r="H105" s="144"/>
      <c r="I105" s="144"/>
      <c r="J105" s="145"/>
      <c r="K105" s="144"/>
      <c r="L105" s="144"/>
      <c r="M105" s="144"/>
      <c r="N105" s="146"/>
      <c r="O105" s="147"/>
      <c r="P105" s="147"/>
      <c r="Q105" s="147"/>
      <c r="R105" s="147"/>
      <c r="S105" s="147"/>
      <c r="T105" s="149"/>
      <c r="U105" s="150" t="str">
        <f>IF($T105="", "", VLOOKUP($T105, CONTRATOS!$B:$E, 2, FALSE))</f>
        <v/>
      </c>
      <c r="V105" s="151">
        <f>IF(OR($T105="",TB_DEFESA!$C$2="CARGA BASELINE"),0,
   IF(VLOOKUP($T105, CONTRATOS!B:E, 3, FALSE)&lt;&gt;"",1,IF(VLOOKUP($T105, CONTRATOS!B:E, 4, FALSE)&lt;&gt;"",2,0)))</f>
        <v>0</v>
      </c>
      <c r="W105" s="152"/>
      <c r="X105" s="152"/>
      <c r="Y105" s="153"/>
      <c r="Z105" s="154"/>
      <c r="AA105" s="155"/>
      <c r="AB105" s="156"/>
      <c r="AC105" s="157"/>
      <c r="AD105" s="155"/>
      <c r="AE105" s="158" t="str">
        <f t="shared" si="48"/>
        <v/>
      </c>
      <c r="AF105" s="160" t="str">
        <f t="shared" si="61"/>
        <v/>
      </c>
      <c r="AG105" s="182" t="s">
        <v>59</v>
      </c>
      <c r="AH105" s="183" t="str">
        <f t="shared" si="62"/>
        <v/>
      </c>
      <c r="AI105" s="183" t="str">
        <f t="shared" si="63"/>
        <v/>
      </c>
      <c r="AJ105" s="184" t="str">
        <f t="shared" si="64"/>
        <v/>
      </c>
      <c r="AK105" s="185" t="str">
        <f t="shared" si="65"/>
        <v/>
      </c>
      <c r="AL105" s="186"/>
      <c r="AM105" s="183" t="str">
        <f t="shared" si="66"/>
        <v/>
      </c>
      <c r="AN105" s="183" t="str">
        <f t="shared" si="67"/>
        <v/>
      </c>
      <c r="AO105" s="186" t="str">
        <f t="shared" si="68"/>
        <v/>
      </c>
      <c r="AP105" s="187" t="str">
        <f t="shared" si="69"/>
        <v/>
      </c>
      <c r="AQ105" s="187" t="str">
        <f t="shared" si="70"/>
        <v/>
      </c>
      <c r="AR105" s="188" t="str">
        <f t="shared" si="49"/>
        <v/>
      </c>
      <c r="AS105" s="188" t="str">
        <f t="shared" si="50"/>
        <v/>
      </c>
      <c r="AT105" s="183" t="str">
        <f t="shared" si="51"/>
        <v/>
      </c>
      <c r="AU105" s="189" t="str">
        <f>IF(OR($B105="", $AP105= ""),"",IF(VLOOKUP($AP105, CONTRATOS!B:K,3,FALSE)="","",VLOOKUP($AP105, CONTRATOS!B:K, 3,FALSE)))</f>
        <v/>
      </c>
      <c r="AV105" s="189" t="str">
        <f>IF(OR($B105="", $AP105 = ""), "", IF(VLOOKUP($AP105, CONTRATOS!B:K,4,FALSE)="","",VLOOKUP($AP105, CONTRATOS!B:K,4, FALSE)))</f>
        <v/>
      </c>
      <c r="AW105" s="190" t="str">
        <f t="shared" si="52"/>
        <v/>
      </c>
      <c r="AX105" s="189" t="str">
        <f t="shared" si="53"/>
        <v/>
      </c>
      <c r="AY105" s="189" t="str">
        <f t="shared" si="54"/>
        <v/>
      </c>
      <c r="AZ105" s="189" t="str">
        <f t="shared" si="55"/>
        <v/>
      </c>
      <c r="BA105" s="189" t="str">
        <f t="shared" si="56"/>
        <v/>
      </c>
      <c r="BB105" s="191">
        <f t="shared" si="71"/>
        <v>0</v>
      </c>
      <c r="BC105" s="191" t="str">
        <f t="shared" si="72"/>
        <v/>
      </c>
      <c r="BD105" s="191" t="str">
        <f t="shared" si="73"/>
        <v/>
      </c>
      <c r="BF105" s="192">
        <f t="shared" si="74"/>
        <v>0</v>
      </c>
      <c r="BG105" s="192">
        <f t="shared" si="75"/>
        <v>0</v>
      </c>
      <c r="BH105" s="192" t="str">
        <f>IF( $B105="", "", IF(ISNA(VLOOKUP($C105, Defesa!$C$7:$C$29,1,FALSE)),1,0))</f>
        <v/>
      </c>
      <c r="BI105" s="193" t="str">
        <f t="shared" si="76"/>
        <v/>
      </c>
      <c r="BJ105" s="193" t="str">
        <f>IF($B105="", "", IF( AND( $AI105="ESTIMATIVA", OR( Defesa!$F$7 = "AUTOMÁTICA", Defesa!$F$7 ="100% BASELINE")), 1, 0))</f>
        <v/>
      </c>
      <c r="BK105" s="192" t="str">
        <f t="shared" si="91"/>
        <v/>
      </c>
      <c r="BL105" s="192">
        <f t="shared" si="77"/>
        <v>0</v>
      </c>
      <c r="BM105" s="192" t="str">
        <f>IF($AC105="", "", IF(ISNA(VLOOKUP($AC105, TABELAS!$Q:$Q, 1, FALSE)), 1, 0))</f>
        <v/>
      </c>
      <c r="BN105" s="194" t="str">
        <f t="shared" si="92"/>
        <v/>
      </c>
      <c r="BO105" s="192" t="str">
        <f t="shared" si="78"/>
        <v/>
      </c>
      <c r="BP105" s="192" t="str">
        <f t="shared" si="79"/>
        <v/>
      </c>
      <c r="BQ105" s="193" t="str">
        <f t="shared" si="80"/>
        <v/>
      </c>
      <c r="BR105" s="192" t="str">
        <f t="shared" si="81"/>
        <v/>
      </c>
      <c r="BS105" s="192" t="str">
        <f t="shared" si="82"/>
        <v/>
      </c>
      <c r="BT105" s="192" t="str">
        <f>IF(OR($B105="", $AH105 = "SIM"), "", IF( ISNA(VLOOKUP($AP105,#REF!, 1, FALSE)), 1, 0))</f>
        <v/>
      </c>
      <c r="BU105" s="192" t="str">
        <f t="shared" si="83"/>
        <v/>
      </c>
      <c r="BV105" s="192" t="str">
        <f>IF( $B105="", "", IF( ISNA(VLOOKUP($AN105, TABELAS!$T$2:$T$9,1,FALSE)), 1, 0))</f>
        <v/>
      </c>
      <c r="BW105" s="192" t="str">
        <f t="shared" si="84"/>
        <v/>
      </c>
      <c r="BX105" s="192" t="str">
        <f>IF( OR($B105="", $AH105 = "SIM"), "", IF( ISNA( VLOOKUP( $AQ105, SISTEMA!$B:$B, 1, FALSE)), 1, 0))</f>
        <v/>
      </c>
      <c r="BY105" s="193" t="str">
        <f t="shared" si="85"/>
        <v/>
      </c>
      <c r="BZ105" s="193" t="str">
        <f t="shared" si="86"/>
        <v/>
      </c>
      <c r="CA105" s="192" t="str">
        <f t="shared" si="87"/>
        <v/>
      </c>
      <c r="CB105" s="193" t="str">
        <f t="shared" si="88"/>
        <v/>
      </c>
      <c r="CC105" s="193" t="str">
        <f t="shared" si="89"/>
        <v/>
      </c>
      <c r="CD105" s="193" t="str">
        <f t="shared" si="90"/>
        <v/>
      </c>
    </row>
    <row r="106" spans="1:82" x14ac:dyDescent="0.2">
      <c r="A106" s="140"/>
      <c r="B106" s="141" t="str">
        <f t="shared" si="59"/>
        <v/>
      </c>
      <c r="C106" s="142" t="str">
        <f t="shared" si="47"/>
        <v/>
      </c>
      <c r="D106" s="142" t="str">
        <f t="shared" si="60"/>
        <v/>
      </c>
      <c r="E106" s="142" t="str">
        <f>IF($C106="", "", COUNTIF($M$8:$M106,$D106))</f>
        <v/>
      </c>
      <c r="F106" s="254">
        <v>99</v>
      </c>
      <c r="G106" s="143"/>
      <c r="H106" s="144"/>
      <c r="I106" s="144"/>
      <c r="J106" s="145"/>
      <c r="K106" s="144"/>
      <c r="L106" s="144"/>
      <c r="M106" s="144"/>
      <c r="N106" s="146"/>
      <c r="O106" s="147"/>
      <c r="P106" s="147"/>
      <c r="Q106" s="147"/>
      <c r="R106" s="147"/>
      <c r="S106" s="147"/>
      <c r="T106" s="149"/>
      <c r="U106" s="150" t="str">
        <f>IF($T106="", "", VLOOKUP($T106, CONTRATOS!$B:$E, 2, FALSE))</f>
        <v/>
      </c>
      <c r="V106" s="151">
        <f>IF(OR($T106="",TB_DEFESA!$C$2="CARGA BASELINE"),0,
   IF(VLOOKUP($T106, CONTRATOS!B:E, 3, FALSE)&lt;&gt;"",1,IF(VLOOKUP($T106, CONTRATOS!B:E, 4, FALSE)&lt;&gt;"",2,0)))</f>
        <v>0</v>
      </c>
      <c r="W106" s="152"/>
      <c r="X106" s="152"/>
      <c r="Y106" s="153"/>
      <c r="Z106" s="154"/>
      <c r="AA106" s="155"/>
      <c r="AB106" s="156"/>
      <c r="AC106" s="157"/>
      <c r="AD106" s="155"/>
      <c r="AE106" s="158" t="str">
        <f t="shared" si="48"/>
        <v/>
      </c>
      <c r="AF106" s="160" t="str">
        <f t="shared" si="61"/>
        <v/>
      </c>
      <c r="AG106" s="182" t="s">
        <v>59</v>
      </c>
      <c r="AH106" s="183" t="str">
        <f t="shared" si="62"/>
        <v/>
      </c>
      <c r="AI106" s="183" t="str">
        <f t="shared" si="63"/>
        <v/>
      </c>
      <c r="AJ106" s="184" t="str">
        <f t="shared" si="64"/>
        <v/>
      </c>
      <c r="AK106" s="185" t="str">
        <f t="shared" si="65"/>
        <v/>
      </c>
      <c r="AL106" s="186"/>
      <c r="AM106" s="183" t="str">
        <f t="shared" si="66"/>
        <v/>
      </c>
      <c r="AN106" s="183" t="str">
        <f t="shared" si="67"/>
        <v/>
      </c>
      <c r="AO106" s="186" t="str">
        <f t="shared" si="68"/>
        <v/>
      </c>
      <c r="AP106" s="187" t="str">
        <f t="shared" si="69"/>
        <v/>
      </c>
      <c r="AQ106" s="187" t="str">
        <f t="shared" si="70"/>
        <v/>
      </c>
      <c r="AR106" s="188" t="str">
        <f t="shared" si="49"/>
        <v/>
      </c>
      <c r="AS106" s="188" t="str">
        <f t="shared" si="50"/>
        <v/>
      </c>
      <c r="AT106" s="183" t="str">
        <f t="shared" si="51"/>
        <v/>
      </c>
      <c r="AU106" s="189" t="str">
        <f>IF(OR($B106="", $AP106= ""),"",IF(VLOOKUP($AP106, CONTRATOS!B:K,3,FALSE)="","",VLOOKUP($AP106, CONTRATOS!B:K, 3,FALSE)))</f>
        <v/>
      </c>
      <c r="AV106" s="189" t="str">
        <f>IF(OR($B106="", $AP106 = ""), "", IF(VLOOKUP($AP106, CONTRATOS!B:K,4,FALSE)="","",VLOOKUP($AP106, CONTRATOS!B:K,4, FALSE)))</f>
        <v/>
      </c>
      <c r="AW106" s="190" t="str">
        <f t="shared" si="52"/>
        <v/>
      </c>
      <c r="AX106" s="189" t="str">
        <f t="shared" si="53"/>
        <v/>
      </c>
      <c r="AY106" s="189" t="str">
        <f t="shared" si="54"/>
        <v/>
      </c>
      <c r="AZ106" s="189" t="str">
        <f t="shared" si="55"/>
        <v/>
      </c>
      <c r="BA106" s="189" t="str">
        <f t="shared" si="56"/>
        <v/>
      </c>
      <c r="BB106" s="191">
        <f t="shared" si="71"/>
        <v>0</v>
      </c>
      <c r="BC106" s="191" t="str">
        <f t="shared" si="72"/>
        <v/>
      </c>
      <c r="BD106" s="191" t="str">
        <f t="shared" si="73"/>
        <v/>
      </c>
      <c r="BF106" s="192">
        <f t="shared" si="74"/>
        <v>0</v>
      </c>
      <c r="BG106" s="192">
        <f t="shared" si="75"/>
        <v>0</v>
      </c>
      <c r="BH106" s="192" t="str">
        <f>IF( $B106="", "", IF(ISNA(VLOOKUP($C106, Defesa!$C$7:$C$29,1,FALSE)),1,0))</f>
        <v/>
      </c>
      <c r="BI106" s="193" t="str">
        <f t="shared" si="76"/>
        <v/>
      </c>
      <c r="BJ106" s="193" t="str">
        <f>IF($B106="", "", IF( AND( $AI106="ESTIMATIVA", OR( Defesa!$F$7 = "AUTOMÁTICA", Defesa!$F$7 ="100% BASELINE")), 1, 0))</f>
        <v/>
      </c>
      <c r="BK106" s="192" t="str">
        <f t="shared" si="91"/>
        <v/>
      </c>
      <c r="BL106" s="192">
        <f t="shared" si="77"/>
        <v>0</v>
      </c>
      <c r="BM106" s="192" t="str">
        <f>IF($AC106="", "", IF(ISNA(VLOOKUP($AC106, TABELAS!$Q:$Q, 1, FALSE)), 1, 0))</f>
        <v/>
      </c>
      <c r="BN106" s="194" t="str">
        <f t="shared" si="92"/>
        <v/>
      </c>
      <c r="BO106" s="192" t="str">
        <f t="shared" si="78"/>
        <v/>
      </c>
      <c r="BP106" s="192" t="str">
        <f t="shared" si="79"/>
        <v/>
      </c>
      <c r="BQ106" s="193" t="str">
        <f t="shared" si="80"/>
        <v/>
      </c>
      <c r="BR106" s="192" t="str">
        <f t="shared" si="81"/>
        <v/>
      </c>
      <c r="BS106" s="192" t="str">
        <f t="shared" si="82"/>
        <v/>
      </c>
      <c r="BT106" s="192" t="str">
        <f>IF(OR($B106="", $AH106 = "SIM"), "", IF( ISNA(VLOOKUP($AP106,#REF!, 1, FALSE)), 1, 0))</f>
        <v/>
      </c>
      <c r="BU106" s="192" t="str">
        <f t="shared" si="83"/>
        <v/>
      </c>
      <c r="BV106" s="192" t="str">
        <f>IF( $B106="", "", IF( ISNA(VLOOKUP($AN106, TABELAS!$T$2:$T$9,1,FALSE)), 1, 0))</f>
        <v/>
      </c>
      <c r="BW106" s="192" t="str">
        <f t="shared" si="84"/>
        <v/>
      </c>
      <c r="BX106" s="192" t="str">
        <f>IF( OR($B106="", $AH106 = "SIM"), "", IF( ISNA( VLOOKUP( $AQ106, SISTEMA!$B:$B, 1, FALSE)), 1, 0))</f>
        <v/>
      </c>
      <c r="BY106" s="193" t="str">
        <f t="shared" si="85"/>
        <v/>
      </c>
      <c r="BZ106" s="193" t="str">
        <f t="shared" si="86"/>
        <v/>
      </c>
      <c r="CA106" s="192" t="str">
        <f t="shared" si="87"/>
        <v/>
      </c>
      <c r="CB106" s="193" t="str">
        <f t="shared" si="88"/>
        <v/>
      </c>
      <c r="CC106" s="193" t="str">
        <f t="shared" si="89"/>
        <v/>
      </c>
      <c r="CD106" s="193" t="str">
        <f t="shared" si="90"/>
        <v/>
      </c>
    </row>
    <row r="107" spans="1:82" x14ac:dyDescent="0.2">
      <c r="A107" s="140"/>
      <c r="B107" s="141" t="str">
        <f t="shared" si="59"/>
        <v/>
      </c>
      <c r="C107" s="142" t="str">
        <f t="shared" si="47"/>
        <v/>
      </c>
      <c r="D107" s="142" t="str">
        <f t="shared" si="60"/>
        <v/>
      </c>
      <c r="E107" s="142" t="str">
        <f>IF($C107="", "", COUNTIF($M$8:$M107,$D107))</f>
        <v/>
      </c>
      <c r="F107" s="254">
        <v>100</v>
      </c>
      <c r="G107" s="143"/>
      <c r="H107" s="144"/>
      <c r="I107" s="144"/>
      <c r="J107" s="145"/>
      <c r="K107" s="144"/>
      <c r="L107" s="144"/>
      <c r="M107" s="144"/>
      <c r="N107" s="146"/>
      <c r="O107" s="147"/>
      <c r="P107" s="147"/>
      <c r="Q107" s="147"/>
      <c r="R107" s="147"/>
      <c r="S107" s="147"/>
      <c r="T107" s="149"/>
      <c r="U107" s="150" t="str">
        <f>IF($T107="", "", VLOOKUP($T107, CONTRATOS!$B:$E, 2, FALSE))</f>
        <v/>
      </c>
      <c r="V107" s="151">
        <f>IF(OR($T107="",TB_DEFESA!$C$2="CARGA BASELINE"),0,
   IF(VLOOKUP($T107, CONTRATOS!B:E, 3, FALSE)&lt;&gt;"",1,IF(VLOOKUP($T107, CONTRATOS!B:E, 4, FALSE)&lt;&gt;"",2,0)))</f>
        <v>0</v>
      </c>
      <c r="W107" s="152"/>
      <c r="X107" s="152"/>
      <c r="Y107" s="153"/>
      <c r="Z107" s="154"/>
      <c r="AA107" s="155"/>
      <c r="AB107" s="156"/>
      <c r="AC107" s="157"/>
      <c r="AD107" s="155"/>
      <c r="AE107" s="158" t="str">
        <f t="shared" si="48"/>
        <v/>
      </c>
      <c r="AF107" s="160" t="str">
        <f t="shared" si="61"/>
        <v/>
      </c>
      <c r="AG107" s="182" t="s">
        <v>59</v>
      </c>
      <c r="AH107" s="183" t="str">
        <f t="shared" si="62"/>
        <v/>
      </c>
      <c r="AI107" s="183" t="str">
        <f t="shared" si="63"/>
        <v/>
      </c>
      <c r="AJ107" s="184" t="str">
        <f t="shared" si="64"/>
        <v/>
      </c>
      <c r="AK107" s="185" t="str">
        <f t="shared" si="65"/>
        <v/>
      </c>
      <c r="AL107" s="186"/>
      <c r="AM107" s="183" t="str">
        <f t="shared" si="66"/>
        <v/>
      </c>
      <c r="AN107" s="183" t="str">
        <f t="shared" si="67"/>
        <v/>
      </c>
      <c r="AO107" s="186" t="str">
        <f t="shared" si="68"/>
        <v/>
      </c>
      <c r="AP107" s="187" t="str">
        <f t="shared" si="69"/>
        <v/>
      </c>
      <c r="AQ107" s="187" t="str">
        <f t="shared" si="70"/>
        <v/>
      </c>
      <c r="AR107" s="188" t="str">
        <f t="shared" si="49"/>
        <v/>
      </c>
      <c r="AS107" s="188" t="str">
        <f t="shared" si="50"/>
        <v/>
      </c>
      <c r="AT107" s="183" t="str">
        <f t="shared" si="51"/>
        <v/>
      </c>
      <c r="AU107" s="189" t="str">
        <f>IF(OR($B107="", $AP107= ""),"",IF(VLOOKUP($AP107, CONTRATOS!B:K,3,FALSE)="","",VLOOKUP($AP107, CONTRATOS!B:K, 3,FALSE)))</f>
        <v/>
      </c>
      <c r="AV107" s="189" t="str">
        <f>IF(OR($B107="", $AP107 = ""), "", IF(VLOOKUP($AP107, CONTRATOS!B:K,4,FALSE)="","",VLOOKUP($AP107, CONTRATOS!B:K,4, FALSE)))</f>
        <v/>
      </c>
      <c r="AW107" s="190" t="str">
        <f t="shared" si="52"/>
        <v/>
      </c>
      <c r="AX107" s="189" t="str">
        <f t="shared" si="53"/>
        <v/>
      </c>
      <c r="AY107" s="189" t="str">
        <f t="shared" si="54"/>
        <v/>
      </c>
      <c r="AZ107" s="189" t="str">
        <f t="shared" si="55"/>
        <v/>
      </c>
      <c r="BA107" s="189" t="str">
        <f t="shared" si="56"/>
        <v/>
      </c>
      <c r="BB107" s="191">
        <f t="shared" si="71"/>
        <v>0</v>
      </c>
      <c r="BC107" s="191" t="str">
        <f t="shared" si="72"/>
        <v/>
      </c>
      <c r="BD107" s="191" t="str">
        <f t="shared" si="73"/>
        <v/>
      </c>
      <c r="BF107" s="192">
        <f t="shared" si="74"/>
        <v>0</v>
      </c>
      <c r="BG107" s="192">
        <f t="shared" si="75"/>
        <v>0</v>
      </c>
      <c r="BH107" s="192" t="str">
        <f>IF( $B107="", "", IF(ISNA(VLOOKUP($C107, Defesa!$C$7:$C$29,1,FALSE)),1,0))</f>
        <v/>
      </c>
      <c r="BI107" s="193" t="str">
        <f t="shared" si="76"/>
        <v/>
      </c>
      <c r="BJ107" s="193" t="str">
        <f>IF($B107="", "", IF( AND( $AI107="ESTIMATIVA", OR( Defesa!$F$7 = "AUTOMÁTICA", Defesa!$F$7 ="100% BASELINE")), 1, 0))</f>
        <v/>
      </c>
      <c r="BK107" s="192" t="str">
        <f t="shared" si="91"/>
        <v/>
      </c>
      <c r="BL107" s="192">
        <f t="shared" si="77"/>
        <v>0</v>
      </c>
      <c r="BM107" s="192" t="str">
        <f>IF($AC107="", "", IF(ISNA(VLOOKUP($AC107, TABELAS!$Q:$Q, 1, FALSE)), 1, 0))</f>
        <v/>
      </c>
      <c r="BN107" s="194" t="str">
        <f t="shared" si="92"/>
        <v/>
      </c>
      <c r="BO107" s="192" t="str">
        <f t="shared" si="78"/>
        <v/>
      </c>
      <c r="BP107" s="192" t="str">
        <f t="shared" si="79"/>
        <v/>
      </c>
      <c r="BQ107" s="193" t="str">
        <f t="shared" si="80"/>
        <v/>
      </c>
      <c r="BR107" s="192" t="str">
        <f t="shared" si="81"/>
        <v/>
      </c>
      <c r="BS107" s="192" t="str">
        <f t="shared" si="82"/>
        <v/>
      </c>
      <c r="BT107" s="192" t="str">
        <f>IF(OR($B107="", $AH107 = "SIM"), "", IF( ISNA(VLOOKUP($AP107,#REF!, 1, FALSE)), 1, 0))</f>
        <v/>
      </c>
      <c r="BU107" s="192" t="str">
        <f t="shared" si="83"/>
        <v/>
      </c>
      <c r="BV107" s="192" t="str">
        <f>IF( $B107="", "", IF( ISNA(VLOOKUP($AN107, TABELAS!$T$2:$T$9,1,FALSE)), 1, 0))</f>
        <v/>
      </c>
      <c r="BW107" s="192" t="str">
        <f t="shared" si="84"/>
        <v/>
      </c>
      <c r="BX107" s="192" t="str">
        <f>IF( OR($B107="", $AH107 = "SIM"), "", IF( ISNA( VLOOKUP( $AQ107, SISTEMA!$B:$B, 1, FALSE)), 1, 0))</f>
        <v/>
      </c>
      <c r="BY107" s="193" t="str">
        <f t="shared" si="85"/>
        <v/>
      </c>
      <c r="BZ107" s="193" t="str">
        <f t="shared" si="86"/>
        <v/>
      </c>
      <c r="CA107" s="192" t="str">
        <f t="shared" si="87"/>
        <v/>
      </c>
      <c r="CB107" s="193" t="str">
        <f t="shared" si="88"/>
        <v/>
      </c>
      <c r="CC107" s="193" t="str">
        <f t="shared" si="89"/>
        <v/>
      </c>
      <c r="CD107" s="193" t="str">
        <f t="shared" si="90"/>
        <v/>
      </c>
    </row>
    <row r="108" spans="1:82" x14ac:dyDescent="0.2">
      <c r="A108" s="140"/>
      <c r="B108" s="141" t="str">
        <f t="shared" si="59"/>
        <v/>
      </c>
      <c r="C108" s="142" t="str">
        <f t="shared" si="47"/>
        <v/>
      </c>
      <c r="D108" s="142" t="str">
        <f t="shared" si="60"/>
        <v/>
      </c>
      <c r="E108" s="142" t="str">
        <f>IF($C108="", "", COUNTIF($M$8:$M108,$D108))</f>
        <v/>
      </c>
      <c r="F108" s="254">
        <v>101</v>
      </c>
      <c r="G108" s="143"/>
      <c r="H108" s="144"/>
      <c r="I108" s="144"/>
      <c r="J108" s="145"/>
      <c r="K108" s="144"/>
      <c r="L108" s="144"/>
      <c r="M108" s="144"/>
      <c r="N108" s="146"/>
      <c r="O108" s="147"/>
      <c r="P108" s="147"/>
      <c r="Q108" s="147"/>
      <c r="R108" s="147"/>
      <c r="S108" s="147"/>
      <c r="T108" s="149"/>
      <c r="U108" s="150" t="str">
        <f>IF($T108="", "", VLOOKUP($T108, CONTRATOS!$B:$E, 2, FALSE))</f>
        <v/>
      </c>
      <c r="V108" s="151">
        <f>IF(OR($T108="",TB_DEFESA!$C$2="CARGA BASELINE"),0,
   IF(VLOOKUP($T108, CONTRATOS!B:E, 3, FALSE)&lt;&gt;"",1,IF(VLOOKUP($T108, CONTRATOS!B:E, 4, FALSE)&lt;&gt;"",2,0)))</f>
        <v>0</v>
      </c>
      <c r="W108" s="152"/>
      <c r="X108" s="152"/>
      <c r="Y108" s="153"/>
      <c r="Z108" s="154"/>
      <c r="AA108" s="155"/>
      <c r="AB108" s="156"/>
      <c r="AC108" s="157"/>
      <c r="AD108" s="155"/>
      <c r="AE108" s="158" t="str">
        <f t="shared" si="48"/>
        <v/>
      </c>
      <c r="AF108" s="160" t="str">
        <f t="shared" si="61"/>
        <v/>
      </c>
      <c r="AG108" s="182" t="s">
        <v>59</v>
      </c>
      <c r="AH108" s="183" t="str">
        <f t="shared" si="62"/>
        <v/>
      </c>
      <c r="AI108" s="183" t="str">
        <f t="shared" si="63"/>
        <v/>
      </c>
      <c r="AJ108" s="184" t="str">
        <f t="shared" si="64"/>
        <v/>
      </c>
      <c r="AK108" s="185" t="str">
        <f t="shared" si="65"/>
        <v/>
      </c>
      <c r="AL108" s="186"/>
      <c r="AM108" s="183" t="str">
        <f t="shared" si="66"/>
        <v/>
      </c>
      <c r="AN108" s="183" t="str">
        <f t="shared" si="67"/>
        <v/>
      </c>
      <c r="AO108" s="186" t="str">
        <f t="shared" si="68"/>
        <v/>
      </c>
      <c r="AP108" s="187" t="str">
        <f t="shared" si="69"/>
        <v/>
      </c>
      <c r="AQ108" s="187" t="str">
        <f t="shared" si="70"/>
        <v/>
      </c>
      <c r="AR108" s="188" t="str">
        <f t="shared" si="49"/>
        <v/>
      </c>
      <c r="AS108" s="188" t="str">
        <f t="shared" si="50"/>
        <v/>
      </c>
      <c r="AT108" s="183" t="str">
        <f t="shared" si="51"/>
        <v/>
      </c>
      <c r="AU108" s="189" t="str">
        <f>IF(OR($B108="", $AP108= ""),"",IF(VLOOKUP($AP108, CONTRATOS!B:K,3,FALSE)="","",VLOOKUP($AP108, CONTRATOS!B:K, 3,FALSE)))</f>
        <v/>
      </c>
      <c r="AV108" s="189" t="str">
        <f>IF(OR($B108="", $AP108 = ""), "", IF(VLOOKUP($AP108, CONTRATOS!B:K,4,FALSE)="","",VLOOKUP($AP108, CONTRATOS!B:K,4, FALSE)))</f>
        <v/>
      </c>
      <c r="AW108" s="190" t="str">
        <f t="shared" si="52"/>
        <v/>
      </c>
      <c r="AX108" s="189" t="str">
        <f t="shared" si="53"/>
        <v/>
      </c>
      <c r="AY108" s="189" t="str">
        <f t="shared" si="54"/>
        <v/>
      </c>
      <c r="AZ108" s="189" t="str">
        <f t="shared" si="55"/>
        <v/>
      </c>
      <c r="BA108" s="189" t="str">
        <f t="shared" si="56"/>
        <v/>
      </c>
      <c r="BB108" s="191">
        <f t="shared" si="71"/>
        <v>0</v>
      </c>
      <c r="BC108" s="191" t="str">
        <f t="shared" si="72"/>
        <v/>
      </c>
      <c r="BD108" s="191" t="str">
        <f t="shared" si="73"/>
        <v/>
      </c>
      <c r="BF108" s="192">
        <f t="shared" si="74"/>
        <v>0</v>
      </c>
      <c r="BG108" s="192">
        <f t="shared" si="75"/>
        <v>0</v>
      </c>
      <c r="BH108" s="192" t="str">
        <f>IF( $B108="", "", IF(ISNA(VLOOKUP($C108, Defesa!$C$7:$C$29,1,FALSE)),1,0))</f>
        <v/>
      </c>
      <c r="BI108" s="193" t="str">
        <f t="shared" si="76"/>
        <v/>
      </c>
      <c r="BJ108" s="193" t="str">
        <f>IF($B108="", "", IF( AND( $AI108="ESTIMATIVA", OR( Defesa!$F$7 = "AUTOMÁTICA", Defesa!$F$7 ="100% BASELINE")), 1, 0))</f>
        <v/>
      </c>
      <c r="BK108" s="192" t="str">
        <f t="shared" si="91"/>
        <v/>
      </c>
      <c r="BL108" s="192">
        <f t="shared" si="77"/>
        <v>0</v>
      </c>
      <c r="BM108" s="192" t="str">
        <f>IF($AC108="", "", IF(ISNA(VLOOKUP($AC108, TABELAS!$Q:$Q, 1, FALSE)), 1, 0))</f>
        <v/>
      </c>
      <c r="BN108" s="194" t="str">
        <f t="shared" si="92"/>
        <v/>
      </c>
      <c r="BO108" s="192" t="str">
        <f t="shared" si="78"/>
        <v/>
      </c>
      <c r="BP108" s="192" t="str">
        <f t="shared" si="79"/>
        <v/>
      </c>
      <c r="BQ108" s="193" t="str">
        <f t="shared" si="80"/>
        <v/>
      </c>
      <c r="BR108" s="192" t="str">
        <f t="shared" si="81"/>
        <v/>
      </c>
      <c r="BS108" s="192" t="str">
        <f t="shared" si="82"/>
        <v/>
      </c>
      <c r="BT108" s="192" t="str">
        <f>IF(OR($B108="", $AH108 = "SIM"), "", IF( ISNA(VLOOKUP($AP108,#REF!, 1, FALSE)), 1, 0))</f>
        <v/>
      </c>
      <c r="BU108" s="192" t="str">
        <f t="shared" si="83"/>
        <v/>
      </c>
      <c r="BV108" s="192" t="str">
        <f>IF( $B108="", "", IF( ISNA(VLOOKUP($AN108, TABELAS!$T$2:$T$9,1,FALSE)), 1, 0))</f>
        <v/>
      </c>
      <c r="BW108" s="192" t="str">
        <f t="shared" si="84"/>
        <v/>
      </c>
      <c r="BX108" s="192" t="str">
        <f>IF( OR($B108="", $AH108 = "SIM"), "", IF( ISNA( VLOOKUP( $AQ108, SISTEMA!$B:$B, 1, FALSE)), 1, 0))</f>
        <v/>
      </c>
      <c r="BY108" s="193" t="str">
        <f t="shared" si="85"/>
        <v/>
      </c>
      <c r="BZ108" s="193" t="str">
        <f t="shared" si="86"/>
        <v/>
      </c>
      <c r="CA108" s="192" t="str">
        <f t="shared" si="87"/>
        <v/>
      </c>
      <c r="CB108" s="193" t="str">
        <f t="shared" si="88"/>
        <v/>
      </c>
      <c r="CC108" s="193" t="str">
        <f t="shared" si="89"/>
        <v/>
      </c>
      <c r="CD108" s="193" t="str">
        <f t="shared" si="90"/>
        <v/>
      </c>
    </row>
    <row r="109" spans="1:82" x14ac:dyDescent="0.2">
      <c r="A109" s="140"/>
      <c r="B109" s="141" t="str">
        <f t="shared" si="59"/>
        <v/>
      </c>
      <c r="C109" s="142" t="str">
        <f t="shared" si="47"/>
        <v/>
      </c>
      <c r="D109" s="142" t="str">
        <f t="shared" si="60"/>
        <v/>
      </c>
      <c r="E109" s="142" t="str">
        <f>IF($C109="", "", COUNTIF($M$8:$M109,$D109))</f>
        <v/>
      </c>
      <c r="F109" s="254">
        <v>102</v>
      </c>
      <c r="G109" s="143"/>
      <c r="H109" s="144"/>
      <c r="I109" s="144"/>
      <c r="J109" s="145"/>
      <c r="K109" s="144"/>
      <c r="L109" s="144"/>
      <c r="M109" s="144"/>
      <c r="N109" s="146"/>
      <c r="O109" s="147"/>
      <c r="P109" s="147"/>
      <c r="Q109" s="147"/>
      <c r="R109" s="147"/>
      <c r="S109" s="147"/>
      <c r="T109" s="149"/>
      <c r="U109" s="150" t="str">
        <f>IF($T109="", "", VLOOKUP($T109, CONTRATOS!$B:$E, 2, FALSE))</f>
        <v/>
      </c>
      <c r="V109" s="151">
        <f>IF(OR($T109="",TB_DEFESA!$C$2="CARGA BASELINE"),0,
   IF(VLOOKUP($T109, CONTRATOS!B:E, 3, FALSE)&lt;&gt;"",1,IF(VLOOKUP($T109, CONTRATOS!B:E, 4, FALSE)&lt;&gt;"",2,0)))</f>
        <v>0</v>
      </c>
      <c r="W109" s="152"/>
      <c r="X109" s="152"/>
      <c r="Y109" s="153"/>
      <c r="Z109" s="154"/>
      <c r="AA109" s="155"/>
      <c r="AB109" s="156"/>
      <c r="AC109" s="157"/>
      <c r="AD109" s="155"/>
      <c r="AE109" s="158" t="str">
        <f t="shared" si="48"/>
        <v/>
      </c>
      <c r="AF109" s="160" t="str">
        <f t="shared" si="61"/>
        <v/>
      </c>
      <c r="AG109" s="182" t="s">
        <v>59</v>
      </c>
      <c r="AH109" s="183" t="str">
        <f t="shared" si="62"/>
        <v/>
      </c>
      <c r="AI109" s="183" t="str">
        <f t="shared" si="63"/>
        <v/>
      </c>
      <c r="AJ109" s="184" t="str">
        <f t="shared" si="64"/>
        <v/>
      </c>
      <c r="AK109" s="185" t="str">
        <f t="shared" si="65"/>
        <v/>
      </c>
      <c r="AL109" s="186"/>
      <c r="AM109" s="183" t="str">
        <f t="shared" si="66"/>
        <v/>
      </c>
      <c r="AN109" s="183" t="str">
        <f t="shared" si="67"/>
        <v/>
      </c>
      <c r="AO109" s="186" t="str">
        <f t="shared" si="68"/>
        <v/>
      </c>
      <c r="AP109" s="187" t="str">
        <f t="shared" si="69"/>
        <v/>
      </c>
      <c r="AQ109" s="187" t="str">
        <f t="shared" si="70"/>
        <v/>
      </c>
      <c r="AR109" s="188" t="str">
        <f t="shared" si="49"/>
        <v/>
      </c>
      <c r="AS109" s="188" t="str">
        <f t="shared" si="50"/>
        <v/>
      </c>
      <c r="AT109" s="183" t="str">
        <f t="shared" si="51"/>
        <v/>
      </c>
      <c r="AU109" s="189" t="str">
        <f>IF(OR($B109="", $AP109= ""),"",IF(VLOOKUP($AP109, CONTRATOS!B:K,3,FALSE)="","",VLOOKUP($AP109, CONTRATOS!B:K, 3,FALSE)))</f>
        <v/>
      </c>
      <c r="AV109" s="189" t="str">
        <f>IF(OR($B109="", $AP109 = ""), "", IF(VLOOKUP($AP109, CONTRATOS!B:K,4,FALSE)="","",VLOOKUP($AP109, CONTRATOS!B:K,4, FALSE)))</f>
        <v/>
      </c>
      <c r="AW109" s="190" t="str">
        <f t="shared" si="52"/>
        <v/>
      </c>
      <c r="AX109" s="189" t="str">
        <f t="shared" si="53"/>
        <v/>
      </c>
      <c r="AY109" s="189" t="str">
        <f t="shared" si="54"/>
        <v/>
      </c>
      <c r="AZ109" s="189" t="str">
        <f t="shared" si="55"/>
        <v/>
      </c>
      <c r="BA109" s="189" t="str">
        <f t="shared" si="56"/>
        <v/>
      </c>
      <c r="BB109" s="191">
        <f t="shared" si="71"/>
        <v>0</v>
      </c>
      <c r="BC109" s="191" t="str">
        <f t="shared" si="72"/>
        <v/>
      </c>
      <c r="BD109" s="191" t="str">
        <f t="shared" si="73"/>
        <v/>
      </c>
      <c r="BF109" s="192">
        <f t="shared" si="74"/>
        <v>0</v>
      </c>
      <c r="BG109" s="192">
        <f t="shared" si="75"/>
        <v>0</v>
      </c>
      <c r="BH109" s="192" t="str">
        <f>IF( $B109="", "", IF(ISNA(VLOOKUP($C109, Defesa!$C$7:$C$29,1,FALSE)),1,0))</f>
        <v/>
      </c>
      <c r="BI109" s="193" t="str">
        <f t="shared" si="76"/>
        <v/>
      </c>
      <c r="BJ109" s="193" t="str">
        <f>IF($B109="", "", IF( AND( $AI109="ESTIMATIVA", OR( Defesa!$F$7 = "AUTOMÁTICA", Defesa!$F$7 ="100% BASELINE")), 1, 0))</f>
        <v/>
      </c>
      <c r="BK109" s="192" t="str">
        <f t="shared" si="91"/>
        <v/>
      </c>
      <c r="BL109" s="192">
        <f t="shared" si="77"/>
        <v>0</v>
      </c>
      <c r="BM109" s="192" t="str">
        <f>IF($AC109="", "", IF(ISNA(VLOOKUP($AC109, TABELAS!$Q:$Q, 1, FALSE)), 1, 0))</f>
        <v/>
      </c>
      <c r="BN109" s="194" t="str">
        <f t="shared" si="92"/>
        <v/>
      </c>
      <c r="BO109" s="192" t="str">
        <f t="shared" si="78"/>
        <v/>
      </c>
      <c r="BP109" s="192" t="str">
        <f t="shared" si="79"/>
        <v/>
      </c>
      <c r="BQ109" s="193" t="str">
        <f t="shared" si="80"/>
        <v/>
      </c>
      <c r="BR109" s="192" t="str">
        <f t="shared" si="81"/>
        <v/>
      </c>
      <c r="BS109" s="192" t="str">
        <f t="shared" si="82"/>
        <v/>
      </c>
      <c r="BT109" s="192" t="str">
        <f>IF(OR($B109="", $AH109 = "SIM"), "", IF( ISNA(VLOOKUP($AP109,#REF!, 1, FALSE)), 1, 0))</f>
        <v/>
      </c>
      <c r="BU109" s="192" t="str">
        <f t="shared" si="83"/>
        <v/>
      </c>
      <c r="BV109" s="192" t="str">
        <f>IF( $B109="", "", IF( ISNA(VLOOKUP($AN109, TABELAS!$T$2:$T$9,1,FALSE)), 1, 0))</f>
        <v/>
      </c>
      <c r="BW109" s="192" t="str">
        <f t="shared" si="84"/>
        <v/>
      </c>
      <c r="BX109" s="192" t="str">
        <f>IF( OR($B109="", $AH109 = "SIM"), "", IF( ISNA( VLOOKUP( $AQ109, SISTEMA!$B:$B, 1, FALSE)), 1, 0))</f>
        <v/>
      </c>
      <c r="BY109" s="193" t="str">
        <f t="shared" si="85"/>
        <v/>
      </c>
      <c r="BZ109" s="193" t="str">
        <f t="shared" si="86"/>
        <v/>
      </c>
      <c r="CA109" s="192" t="str">
        <f t="shared" si="87"/>
        <v/>
      </c>
      <c r="CB109" s="193" t="str">
        <f t="shared" si="88"/>
        <v/>
      </c>
      <c r="CC109" s="193" t="str">
        <f t="shared" si="89"/>
        <v/>
      </c>
      <c r="CD109" s="193" t="str">
        <f t="shared" si="90"/>
        <v/>
      </c>
    </row>
    <row r="110" spans="1:82" x14ac:dyDescent="0.2">
      <c r="A110" s="140"/>
      <c r="B110" s="141" t="str">
        <f t="shared" si="59"/>
        <v/>
      </c>
      <c r="C110" s="142" t="str">
        <f t="shared" si="47"/>
        <v/>
      </c>
      <c r="D110" s="142" t="str">
        <f t="shared" si="60"/>
        <v/>
      </c>
      <c r="E110" s="142" t="str">
        <f>IF($C110="", "", COUNTIF($M$8:$M110,$D110))</f>
        <v/>
      </c>
      <c r="F110" s="254">
        <v>103</v>
      </c>
      <c r="G110" s="143"/>
      <c r="H110" s="144"/>
      <c r="I110" s="144"/>
      <c r="J110" s="145"/>
      <c r="K110" s="144"/>
      <c r="L110" s="144"/>
      <c r="M110" s="144"/>
      <c r="N110" s="146"/>
      <c r="O110" s="147"/>
      <c r="P110" s="147"/>
      <c r="Q110" s="147"/>
      <c r="R110" s="147"/>
      <c r="S110" s="147"/>
      <c r="T110" s="149"/>
      <c r="U110" s="150" t="str">
        <f>IF($T110="", "", VLOOKUP($T110, CONTRATOS!$B:$E, 2, FALSE))</f>
        <v/>
      </c>
      <c r="V110" s="151">
        <f>IF(OR($T110="",TB_DEFESA!$C$2="CARGA BASELINE"),0,
   IF(VLOOKUP($T110, CONTRATOS!B:E, 3, FALSE)&lt;&gt;"",1,IF(VLOOKUP($T110, CONTRATOS!B:E, 4, FALSE)&lt;&gt;"",2,0)))</f>
        <v>0</v>
      </c>
      <c r="W110" s="152"/>
      <c r="X110" s="152"/>
      <c r="Y110" s="153"/>
      <c r="Z110" s="154"/>
      <c r="AA110" s="155"/>
      <c r="AB110" s="156"/>
      <c r="AC110" s="157"/>
      <c r="AD110" s="155"/>
      <c r="AE110" s="158" t="str">
        <f t="shared" si="48"/>
        <v/>
      </c>
      <c r="AF110" s="160" t="str">
        <f t="shared" si="61"/>
        <v/>
      </c>
      <c r="AG110" s="182" t="s">
        <v>59</v>
      </c>
      <c r="AH110" s="183" t="str">
        <f t="shared" si="62"/>
        <v/>
      </c>
      <c r="AI110" s="183" t="str">
        <f t="shared" si="63"/>
        <v/>
      </c>
      <c r="AJ110" s="184" t="str">
        <f t="shared" si="64"/>
        <v/>
      </c>
      <c r="AK110" s="185" t="str">
        <f t="shared" si="65"/>
        <v/>
      </c>
      <c r="AL110" s="186"/>
      <c r="AM110" s="183" t="str">
        <f t="shared" si="66"/>
        <v/>
      </c>
      <c r="AN110" s="183" t="str">
        <f t="shared" si="67"/>
        <v/>
      </c>
      <c r="AO110" s="186" t="str">
        <f t="shared" si="68"/>
        <v/>
      </c>
      <c r="AP110" s="187" t="str">
        <f t="shared" si="69"/>
        <v/>
      </c>
      <c r="AQ110" s="187" t="str">
        <f t="shared" si="70"/>
        <v/>
      </c>
      <c r="AR110" s="188" t="str">
        <f t="shared" si="49"/>
        <v/>
      </c>
      <c r="AS110" s="188" t="str">
        <f t="shared" si="50"/>
        <v/>
      </c>
      <c r="AT110" s="183" t="str">
        <f t="shared" si="51"/>
        <v/>
      </c>
      <c r="AU110" s="189" t="str">
        <f>IF(OR($B110="", $AP110= ""),"",IF(VLOOKUP($AP110, CONTRATOS!B:K,3,FALSE)="","",VLOOKUP($AP110, CONTRATOS!B:K, 3,FALSE)))</f>
        <v/>
      </c>
      <c r="AV110" s="189" t="str">
        <f>IF(OR($B110="", $AP110 = ""), "", IF(VLOOKUP($AP110, CONTRATOS!B:K,4,FALSE)="","",VLOOKUP($AP110, CONTRATOS!B:K,4, FALSE)))</f>
        <v/>
      </c>
      <c r="AW110" s="190" t="str">
        <f t="shared" si="52"/>
        <v/>
      </c>
      <c r="AX110" s="189" t="str">
        <f t="shared" si="53"/>
        <v/>
      </c>
      <c r="AY110" s="189" t="str">
        <f t="shared" si="54"/>
        <v/>
      </c>
      <c r="AZ110" s="189" t="str">
        <f t="shared" si="55"/>
        <v/>
      </c>
      <c r="BA110" s="189" t="str">
        <f t="shared" si="56"/>
        <v/>
      </c>
      <c r="BB110" s="191">
        <f t="shared" si="71"/>
        <v>0</v>
      </c>
      <c r="BC110" s="191" t="str">
        <f t="shared" si="72"/>
        <v/>
      </c>
      <c r="BD110" s="191" t="str">
        <f t="shared" si="73"/>
        <v/>
      </c>
      <c r="BF110" s="192">
        <f t="shared" si="74"/>
        <v>0</v>
      </c>
      <c r="BG110" s="192">
        <f t="shared" si="75"/>
        <v>0</v>
      </c>
      <c r="BH110" s="192" t="str">
        <f>IF( $B110="", "", IF(ISNA(VLOOKUP($C110, Defesa!$C$7:$C$29,1,FALSE)),1,0))</f>
        <v/>
      </c>
      <c r="BI110" s="193" t="str">
        <f t="shared" si="76"/>
        <v/>
      </c>
      <c r="BJ110" s="193" t="str">
        <f>IF($B110="", "", IF( AND( $AI110="ESTIMATIVA", OR( Defesa!$F$7 = "AUTOMÁTICA", Defesa!$F$7 ="100% BASELINE")), 1, 0))</f>
        <v/>
      </c>
      <c r="BK110" s="192" t="str">
        <f t="shared" si="91"/>
        <v/>
      </c>
      <c r="BL110" s="192">
        <f t="shared" si="77"/>
        <v>0</v>
      </c>
      <c r="BM110" s="192" t="str">
        <f>IF($AC110="", "", IF(ISNA(VLOOKUP($AC110, TABELAS!$Q:$Q, 1, FALSE)), 1, 0))</f>
        <v/>
      </c>
      <c r="BN110" s="194" t="str">
        <f t="shared" si="92"/>
        <v/>
      </c>
      <c r="BO110" s="192" t="str">
        <f t="shared" si="78"/>
        <v/>
      </c>
      <c r="BP110" s="192" t="str">
        <f t="shared" si="79"/>
        <v/>
      </c>
      <c r="BQ110" s="193" t="str">
        <f t="shared" si="80"/>
        <v/>
      </c>
      <c r="BR110" s="192" t="str">
        <f t="shared" si="81"/>
        <v/>
      </c>
      <c r="BS110" s="192" t="str">
        <f t="shared" si="82"/>
        <v/>
      </c>
      <c r="BT110" s="192" t="str">
        <f>IF(OR($B110="", $AH110 = "SIM"), "", IF( ISNA(VLOOKUP($AP110,#REF!, 1, FALSE)), 1, 0))</f>
        <v/>
      </c>
      <c r="BU110" s="192" t="str">
        <f t="shared" si="83"/>
        <v/>
      </c>
      <c r="BV110" s="192" t="str">
        <f>IF( $B110="", "", IF( ISNA(VLOOKUP($AN110, TABELAS!$T$2:$T$9,1,FALSE)), 1, 0))</f>
        <v/>
      </c>
      <c r="BW110" s="192" t="str">
        <f t="shared" si="84"/>
        <v/>
      </c>
      <c r="BX110" s="192" t="str">
        <f>IF( OR($B110="", $AH110 = "SIM"), "", IF( ISNA( VLOOKUP( $AQ110, SISTEMA!$B:$B, 1, FALSE)), 1, 0))</f>
        <v/>
      </c>
      <c r="BY110" s="193" t="str">
        <f t="shared" si="85"/>
        <v/>
      </c>
      <c r="BZ110" s="193" t="str">
        <f t="shared" si="86"/>
        <v/>
      </c>
      <c r="CA110" s="192" t="str">
        <f t="shared" si="87"/>
        <v/>
      </c>
      <c r="CB110" s="193" t="str">
        <f t="shared" si="88"/>
        <v/>
      </c>
      <c r="CC110" s="193" t="str">
        <f t="shared" si="89"/>
        <v/>
      </c>
      <c r="CD110" s="193" t="str">
        <f t="shared" si="90"/>
        <v/>
      </c>
    </row>
    <row r="111" spans="1:82" x14ac:dyDescent="0.2">
      <c r="A111" s="140"/>
      <c r="B111" s="141" t="str">
        <f t="shared" si="59"/>
        <v/>
      </c>
      <c r="C111" s="142" t="str">
        <f t="shared" si="47"/>
        <v/>
      </c>
      <c r="D111" s="142" t="str">
        <f t="shared" si="60"/>
        <v/>
      </c>
      <c r="E111" s="142" t="str">
        <f>IF($C111="", "", COUNTIF($M$8:$M111,$D111))</f>
        <v/>
      </c>
      <c r="F111" s="254">
        <v>104</v>
      </c>
      <c r="G111" s="143"/>
      <c r="H111" s="144"/>
      <c r="I111" s="144"/>
      <c r="J111" s="145"/>
      <c r="K111" s="144"/>
      <c r="L111" s="144"/>
      <c r="M111" s="144"/>
      <c r="N111" s="146"/>
      <c r="O111" s="147"/>
      <c r="P111" s="147"/>
      <c r="Q111" s="147"/>
      <c r="R111" s="147"/>
      <c r="S111" s="147"/>
      <c r="T111" s="149"/>
      <c r="U111" s="150" t="str">
        <f>IF($T111="", "", VLOOKUP($T111, CONTRATOS!$B:$E, 2, FALSE))</f>
        <v/>
      </c>
      <c r="V111" s="151">
        <f>IF(OR($T111="",TB_DEFESA!$C$2="CARGA BASELINE"),0,
   IF(VLOOKUP($T111, CONTRATOS!B:E, 3, FALSE)&lt;&gt;"",1,IF(VLOOKUP($T111, CONTRATOS!B:E, 4, FALSE)&lt;&gt;"",2,0)))</f>
        <v>0</v>
      </c>
      <c r="W111" s="152"/>
      <c r="X111" s="152"/>
      <c r="Y111" s="153"/>
      <c r="Z111" s="154"/>
      <c r="AA111" s="155"/>
      <c r="AB111" s="156"/>
      <c r="AC111" s="157"/>
      <c r="AD111" s="155"/>
      <c r="AE111" s="158" t="str">
        <f t="shared" si="48"/>
        <v/>
      </c>
      <c r="AF111" s="160" t="str">
        <f t="shared" si="61"/>
        <v/>
      </c>
      <c r="AG111" s="182" t="s">
        <v>59</v>
      </c>
      <c r="AH111" s="183" t="str">
        <f t="shared" si="62"/>
        <v/>
      </c>
      <c r="AI111" s="183" t="str">
        <f t="shared" si="63"/>
        <v/>
      </c>
      <c r="AJ111" s="184" t="str">
        <f t="shared" si="64"/>
        <v/>
      </c>
      <c r="AK111" s="185" t="str">
        <f t="shared" si="65"/>
        <v/>
      </c>
      <c r="AL111" s="186"/>
      <c r="AM111" s="183" t="str">
        <f t="shared" si="66"/>
        <v/>
      </c>
      <c r="AN111" s="183" t="str">
        <f t="shared" si="67"/>
        <v/>
      </c>
      <c r="AO111" s="186" t="str">
        <f t="shared" si="68"/>
        <v/>
      </c>
      <c r="AP111" s="187" t="str">
        <f t="shared" si="69"/>
        <v/>
      </c>
      <c r="AQ111" s="187" t="str">
        <f t="shared" si="70"/>
        <v/>
      </c>
      <c r="AR111" s="188" t="str">
        <f t="shared" si="49"/>
        <v/>
      </c>
      <c r="AS111" s="188" t="str">
        <f t="shared" si="50"/>
        <v/>
      </c>
      <c r="AT111" s="183" t="str">
        <f t="shared" si="51"/>
        <v/>
      </c>
      <c r="AU111" s="189" t="str">
        <f>IF(OR($B111="", $AP111= ""),"",IF(VLOOKUP($AP111, CONTRATOS!B:K,3,FALSE)="","",VLOOKUP($AP111, CONTRATOS!B:K, 3,FALSE)))</f>
        <v/>
      </c>
      <c r="AV111" s="189" t="str">
        <f>IF(OR($B111="", $AP111 = ""), "", IF(VLOOKUP($AP111, CONTRATOS!B:K,4,FALSE)="","",VLOOKUP($AP111, CONTRATOS!B:K,4, FALSE)))</f>
        <v/>
      </c>
      <c r="AW111" s="190" t="str">
        <f t="shared" si="52"/>
        <v/>
      </c>
      <c r="AX111" s="189" t="str">
        <f t="shared" si="53"/>
        <v/>
      </c>
      <c r="AY111" s="189" t="str">
        <f t="shared" si="54"/>
        <v/>
      </c>
      <c r="AZ111" s="189" t="str">
        <f t="shared" si="55"/>
        <v/>
      </c>
      <c r="BA111" s="189" t="str">
        <f t="shared" si="56"/>
        <v/>
      </c>
      <c r="BB111" s="191">
        <f t="shared" si="71"/>
        <v>0</v>
      </c>
      <c r="BC111" s="191" t="str">
        <f t="shared" si="72"/>
        <v/>
      </c>
      <c r="BD111" s="191" t="str">
        <f t="shared" si="73"/>
        <v/>
      </c>
      <c r="BF111" s="192">
        <f t="shared" si="74"/>
        <v>0</v>
      </c>
      <c r="BG111" s="192">
        <f t="shared" si="75"/>
        <v>0</v>
      </c>
      <c r="BH111" s="192" t="str">
        <f>IF( $B111="", "", IF(ISNA(VLOOKUP($C111, Defesa!$C$7:$C$29,1,FALSE)),1,0))</f>
        <v/>
      </c>
      <c r="BI111" s="193" t="str">
        <f t="shared" si="76"/>
        <v/>
      </c>
      <c r="BJ111" s="193" t="str">
        <f>IF($B111="", "", IF( AND( $AI111="ESTIMATIVA", OR( Defesa!$F$7 = "AUTOMÁTICA", Defesa!$F$7 ="100% BASELINE")), 1, 0))</f>
        <v/>
      </c>
      <c r="BK111" s="192" t="str">
        <f t="shared" si="91"/>
        <v/>
      </c>
      <c r="BL111" s="192">
        <f t="shared" si="77"/>
        <v>0</v>
      </c>
      <c r="BM111" s="192" t="str">
        <f>IF($AC111="", "", IF(ISNA(VLOOKUP($AC111, TABELAS!$Q:$Q, 1, FALSE)), 1, 0))</f>
        <v/>
      </c>
      <c r="BN111" s="194" t="str">
        <f t="shared" si="92"/>
        <v/>
      </c>
      <c r="BO111" s="192" t="str">
        <f t="shared" si="78"/>
        <v/>
      </c>
      <c r="BP111" s="192" t="str">
        <f t="shared" si="79"/>
        <v/>
      </c>
      <c r="BQ111" s="193" t="str">
        <f t="shared" si="80"/>
        <v/>
      </c>
      <c r="BR111" s="192" t="str">
        <f t="shared" si="81"/>
        <v/>
      </c>
      <c r="BS111" s="192" t="str">
        <f t="shared" si="82"/>
        <v/>
      </c>
      <c r="BT111" s="192" t="str">
        <f>IF(OR($B111="", $AH111 = "SIM"), "", IF( ISNA(VLOOKUP($AP111,#REF!, 1, FALSE)), 1, 0))</f>
        <v/>
      </c>
      <c r="BU111" s="192" t="str">
        <f t="shared" si="83"/>
        <v/>
      </c>
      <c r="BV111" s="192" t="str">
        <f>IF( $B111="", "", IF( ISNA(VLOOKUP($AN111, TABELAS!$T$2:$T$9,1,FALSE)), 1, 0))</f>
        <v/>
      </c>
      <c r="BW111" s="192" t="str">
        <f t="shared" si="84"/>
        <v/>
      </c>
      <c r="BX111" s="192" t="str">
        <f>IF( OR($B111="", $AH111 = "SIM"), "", IF( ISNA( VLOOKUP( $AQ111, SISTEMA!$B:$B, 1, FALSE)), 1, 0))</f>
        <v/>
      </c>
      <c r="BY111" s="193" t="str">
        <f t="shared" si="85"/>
        <v/>
      </c>
      <c r="BZ111" s="193" t="str">
        <f t="shared" si="86"/>
        <v/>
      </c>
      <c r="CA111" s="192" t="str">
        <f t="shared" si="87"/>
        <v/>
      </c>
      <c r="CB111" s="193" t="str">
        <f t="shared" si="88"/>
        <v/>
      </c>
      <c r="CC111" s="193" t="str">
        <f t="shared" si="89"/>
        <v/>
      </c>
      <c r="CD111" s="193" t="str">
        <f t="shared" si="90"/>
        <v/>
      </c>
    </row>
    <row r="112" spans="1:82" x14ac:dyDescent="0.2">
      <c r="A112" s="140"/>
      <c r="B112" s="141" t="str">
        <f t="shared" si="59"/>
        <v/>
      </c>
      <c r="C112" s="142" t="str">
        <f t="shared" si="47"/>
        <v/>
      </c>
      <c r="D112" s="142" t="str">
        <f t="shared" si="60"/>
        <v/>
      </c>
      <c r="E112" s="142" t="str">
        <f>IF($C112="", "", COUNTIF($M$8:$M112,$D112))</f>
        <v/>
      </c>
      <c r="F112" s="254">
        <v>105</v>
      </c>
      <c r="G112" s="143"/>
      <c r="H112" s="144"/>
      <c r="I112" s="144"/>
      <c r="J112" s="145"/>
      <c r="K112" s="144"/>
      <c r="L112" s="144"/>
      <c r="M112" s="144"/>
      <c r="N112" s="146"/>
      <c r="O112" s="147"/>
      <c r="P112" s="147"/>
      <c r="Q112" s="147"/>
      <c r="R112" s="147"/>
      <c r="S112" s="147"/>
      <c r="T112" s="149"/>
      <c r="U112" s="150" t="str">
        <f>IF($T112="", "", VLOOKUP($T112, CONTRATOS!$B:$E, 2, FALSE))</f>
        <v/>
      </c>
      <c r="V112" s="151">
        <f>IF(OR($T112="",TB_DEFESA!$C$2="CARGA BASELINE"),0,
   IF(VLOOKUP($T112, CONTRATOS!B:E, 3, FALSE)&lt;&gt;"",1,IF(VLOOKUP($T112, CONTRATOS!B:E, 4, FALSE)&lt;&gt;"",2,0)))</f>
        <v>0</v>
      </c>
      <c r="W112" s="152"/>
      <c r="X112" s="152"/>
      <c r="Y112" s="153"/>
      <c r="Z112" s="154"/>
      <c r="AA112" s="155"/>
      <c r="AB112" s="156"/>
      <c r="AC112" s="157"/>
      <c r="AD112" s="155"/>
      <c r="AE112" s="158" t="str">
        <f t="shared" si="48"/>
        <v/>
      </c>
      <c r="AF112" s="160" t="str">
        <f t="shared" si="61"/>
        <v/>
      </c>
      <c r="AG112" s="182" t="s">
        <v>59</v>
      </c>
      <c r="AH112" s="183" t="str">
        <f t="shared" si="62"/>
        <v/>
      </c>
      <c r="AI112" s="183" t="str">
        <f t="shared" si="63"/>
        <v/>
      </c>
      <c r="AJ112" s="184" t="str">
        <f t="shared" si="64"/>
        <v/>
      </c>
      <c r="AK112" s="185" t="str">
        <f t="shared" si="65"/>
        <v/>
      </c>
      <c r="AL112" s="186"/>
      <c r="AM112" s="183" t="str">
        <f t="shared" si="66"/>
        <v/>
      </c>
      <c r="AN112" s="183" t="str">
        <f t="shared" si="67"/>
        <v/>
      </c>
      <c r="AO112" s="186" t="str">
        <f t="shared" si="68"/>
        <v/>
      </c>
      <c r="AP112" s="187" t="str">
        <f t="shared" si="69"/>
        <v/>
      </c>
      <c r="AQ112" s="187" t="str">
        <f t="shared" si="70"/>
        <v/>
      </c>
      <c r="AR112" s="188" t="str">
        <f t="shared" si="49"/>
        <v/>
      </c>
      <c r="AS112" s="188" t="str">
        <f t="shared" si="50"/>
        <v/>
      </c>
      <c r="AT112" s="183" t="str">
        <f t="shared" si="51"/>
        <v/>
      </c>
      <c r="AU112" s="189" t="str">
        <f>IF(OR($B112="", $AP112= ""),"",IF(VLOOKUP($AP112, CONTRATOS!B:K,3,FALSE)="","",VLOOKUP($AP112, CONTRATOS!B:K, 3,FALSE)))</f>
        <v/>
      </c>
      <c r="AV112" s="189" t="str">
        <f>IF(OR($B112="", $AP112 = ""), "", IF(VLOOKUP($AP112, CONTRATOS!B:K,4,FALSE)="","",VLOOKUP($AP112, CONTRATOS!B:K,4, FALSE)))</f>
        <v/>
      </c>
      <c r="AW112" s="190" t="str">
        <f t="shared" si="52"/>
        <v/>
      </c>
      <c r="AX112" s="189" t="str">
        <f t="shared" si="53"/>
        <v/>
      </c>
      <c r="AY112" s="189" t="str">
        <f t="shared" si="54"/>
        <v/>
      </c>
      <c r="AZ112" s="189" t="str">
        <f t="shared" si="55"/>
        <v/>
      </c>
      <c r="BA112" s="189" t="str">
        <f t="shared" si="56"/>
        <v/>
      </c>
      <c r="BB112" s="191">
        <f t="shared" si="71"/>
        <v>0</v>
      </c>
      <c r="BC112" s="191" t="str">
        <f t="shared" si="72"/>
        <v/>
      </c>
      <c r="BD112" s="191" t="str">
        <f t="shared" si="73"/>
        <v/>
      </c>
      <c r="BF112" s="192">
        <f t="shared" si="74"/>
        <v>0</v>
      </c>
      <c r="BG112" s="192">
        <f t="shared" si="75"/>
        <v>0</v>
      </c>
      <c r="BH112" s="192" t="str">
        <f>IF( $B112="", "", IF(ISNA(VLOOKUP($C112, Defesa!$C$7:$C$29,1,FALSE)),1,0))</f>
        <v/>
      </c>
      <c r="BI112" s="193" t="str">
        <f t="shared" si="76"/>
        <v/>
      </c>
      <c r="BJ112" s="193" t="str">
        <f>IF($B112="", "", IF( AND( $AI112="ESTIMATIVA", OR( Defesa!$F$7 = "AUTOMÁTICA", Defesa!$F$7 ="100% BASELINE")), 1, 0))</f>
        <v/>
      </c>
      <c r="BK112" s="192" t="str">
        <f t="shared" si="91"/>
        <v/>
      </c>
      <c r="BL112" s="192">
        <f t="shared" si="77"/>
        <v>0</v>
      </c>
      <c r="BM112" s="192" t="str">
        <f>IF($AC112="", "", IF(ISNA(VLOOKUP($AC112, TABELAS!$Q:$Q, 1, FALSE)), 1, 0))</f>
        <v/>
      </c>
      <c r="BN112" s="194" t="str">
        <f t="shared" si="92"/>
        <v/>
      </c>
      <c r="BO112" s="192" t="str">
        <f t="shared" si="78"/>
        <v/>
      </c>
      <c r="BP112" s="192" t="str">
        <f t="shared" si="79"/>
        <v/>
      </c>
      <c r="BQ112" s="193" t="str">
        <f t="shared" si="80"/>
        <v/>
      </c>
      <c r="BR112" s="192" t="str">
        <f t="shared" si="81"/>
        <v/>
      </c>
      <c r="BS112" s="192" t="str">
        <f t="shared" si="82"/>
        <v/>
      </c>
      <c r="BT112" s="192" t="str">
        <f>IF(OR($B112="", $AH112 = "SIM"), "", IF( ISNA(VLOOKUP($AP112,#REF!, 1, FALSE)), 1, 0))</f>
        <v/>
      </c>
      <c r="BU112" s="192" t="str">
        <f t="shared" si="83"/>
        <v/>
      </c>
      <c r="BV112" s="192" t="str">
        <f>IF( $B112="", "", IF( ISNA(VLOOKUP($AN112, TABELAS!$T$2:$T$9,1,FALSE)), 1, 0))</f>
        <v/>
      </c>
      <c r="BW112" s="192" t="str">
        <f t="shared" si="84"/>
        <v/>
      </c>
      <c r="BX112" s="192" t="str">
        <f>IF( OR($B112="", $AH112 = "SIM"), "", IF( ISNA( VLOOKUP( $AQ112, SISTEMA!$B:$B, 1, FALSE)), 1, 0))</f>
        <v/>
      </c>
      <c r="BY112" s="193" t="str">
        <f t="shared" si="85"/>
        <v/>
      </c>
      <c r="BZ112" s="193" t="str">
        <f t="shared" si="86"/>
        <v/>
      </c>
      <c r="CA112" s="192" t="str">
        <f t="shared" si="87"/>
        <v/>
      </c>
      <c r="CB112" s="193" t="str">
        <f t="shared" si="88"/>
        <v/>
      </c>
      <c r="CC112" s="193" t="str">
        <f t="shared" si="89"/>
        <v/>
      </c>
      <c r="CD112" s="193" t="str">
        <f t="shared" si="90"/>
        <v/>
      </c>
    </row>
    <row r="113" spans="1:82" x14ac:dyDescent="0.2">
      <c r="A113" s="140"/>
      <c r="B113" s="141" t="str">
        <f t="shared" si="59"/>
        <v/>
      </c>
      <c r="C113" s="142" t="str">
        <f t="shared" si="47"/>
        <v/>
      </c>
      <c r="D113" s="142" t="str">
        <f t="shared" si="60"/>
        <v/>
      </c>
      <c r="E113" s="142" t="str">
        <f>IF($C113="", "", COUNTIF($M$8:$M113,$D113))</f>
        <v/>
      </c>
      <c r="F113" s="254">
        <v>106</v>
      </c>
      <c r="G113" s="143"/>
      <c r="H113" s="144"/>
      <c r="I113" s="144"/>
      <c r="J113" s="145"/>
      <c r="K113" s="144"/>
      <c r="L113" s="144"/>
      <c r="M113" s="144"/>
      <c r="N113" s="146"/>
      <c r="O113" s="147"/>
      <c r="P113" s="147"/>
      <c r="Q113" s="147"/>
      <c r="R113" s="147"/>
      <c r="S113" s="147"/>
      <c r="T113" s="149"/>
      <c r="U113" s="150" t="str">
        <f>IF($T113="", "", VLOOKUP($T113, CONTRATOS!$B:$E, 2, FALSE))</f>
        <v/>
      </c>
      <c r="V113" s="151">
        <f>IF(OR($T113="",TB_DEFESA!$C$2="CARGA BASELINE"),0,
   IF(VLOOKUP($T113, CONTRATOS!B:E, 3, FALSE)&lt;&gt;"",1,IF(VLOOKUP($T113, CONTRATOS!B:E, 4, FALSE)&lt;&gt;"",2,0)))</f>
        <v>0</v>
      </c>
      <c r="W113" s="152"/>
      <c r="X113" s="152"/>
      <c r="Y113" s="153"/>
      <c r="Z113" s="154"/>
      <c r="AA113" s="155"/>
      <c r="AB113" s="156"/>
      <c r="AC113" s="157"/>
      <c r="AD113" s="155"/>
      <c r="AE113" s="158" t="str">
        <f t="shared" si="48"/>
        <v/>
      </c>
      <c r="AF113" s="160" t="str">
        <f t="shared" si="61"/>
        <v/>
      </c>
      <c r="AG113" s="182" t="s">
        <v>59</v>
      </c>
      <c r="AH113" s="183" t="str">
        <f t="shared" si="62"/>
        <v/>
      </c>
      <c r="AI113" s="183" t="str">
        <f t="shared" si="63"/>
        <v/>
      </c>
      <c r="AJ113" s="184" t="str">
        <f t="shared" si="64"/>
        <v/>
      </c>
      <c r="AK113" s="185" t="str">
        <f t="shared" si="65"/>
        <v/>
      </c>
      <c r="AL113" s="186"/>
      <c r="AM113" s="183" t="str">
        <f t="shared" si="66"/>
        <v/>
      </c>
      <c r="AN113" s="183" t="str">
        <f t="shared" si="67"/>
        <v/>
      </c>
      <c r="AO113" s="186" t="str">
        <f t="shared" si="68"/>
        <v/>
      </c>
      <c r="AP113" s="187" t="str">
        <f t="shared" si="69"/>
        <v/>
      </c>
      <c r="AQ113" s="187" t="str">
        <f t="shared" si="70"/>
        <v/>
      </c>
      <c r="AR113" s="188" t="str">
        <f t="shared" si="49"/>
        <v/>
      </c>
      <c r="AS113" s="188" t="str">
        <f t="shared" si="50"/>
        <v/>
      </c>
      <c r="AT113" s="183" t="str">
        <f t="shared" si="51"/>
        <v/>
      </c>
      <c r="AU113" s="189" t="str">
        <f>IF(OR($B113="", $AP113= ""),"",IF(VLOOKUP($AP113, CONTRATOS!B:K,3,FALSE)="","",VLOOKUP($AP113, CONTRATOS!B:K, 3,FALSE)))</f>
        <v/>
      </c>
      <c r="AV113" s="189" t="str">
        <f>IF(OR($B113="", $AP113 = ""), "", IF(VLOOKUP($AP113, CONTRATOS!B:K,4,FALSE)="","",VLOOKUP($AP113, CONTRATOS!B:K,4, FALSE)))</f>
        <v/>
      </c>
      <c r="AW113" s="190" t="str">
        <f t="shared" si="52"/>
        <v/>
      </c>
      <c r="AX113" s="189" t="str">
        <f t="shared" si="53"/>
        <v/>
      </c>
      <c r="AY113" s="189" t="str">
        <f t="shared" si="54"/>
        <v/>
      </c>
      <c r="AZ113" s="189" t="str">
        <f t="shared" si="55"/>
        <v/>
      </c>
      <c r="BA113" s="189" t="str">
        <f t="shared" si="56"/>
        <v/>
      </c>
      <c r="BB113" s="191">
        <f t="shared" si="71"/>
        <v>0</v>
      </c>
      <c r="BC113" s="191" t="str">
        <f t="shared" si="72"/>
        <v/>
      </c>
      <c r="BD113" s="191" t="str">
        <f t="shared" si="73"/>
        <v/>
      </c>
      <c r="BF113" s="192">
        <f t="shared" si="74"/>
        <v>0</v>
      </c>
      <c r="BG113" s="192">
        <f t="shared" si="75"/>
        <v>0</v>
      </c>
      <c r="BH113" s="192" t="str">
        <f>IF( $B113="", "", IF(ISNA(VLOOKUP($C113, Defesa!$C$7:$C$29,1,FALSE)),1,0))</f>
        <v/>
      </c>
      <c r="BI113" s="193" t="str">
        <f t="shared" si="76"/>
        <v/>
      </c>
      <c r="BJ113" s="193" t="str">
        <f>IF($B113="", "", IF( AND( $AI113="ESTIMATIVA", OR( Defesa!$F$7 = "AUTOMÁTICA", Defesa!$F$7 ="100% BASELINE")), 1, 0))</f>
        <v/>
      </c>
      <c r="BK113" s="192" t="str">
        <f t="shared" si="91"/>
        <v/>
      </c>
      <c r="BL113" s="192">
        <f t="shared" si="77"/>
        <v>0</v>
      </c>
      <c r="BM113" s="192" t="str">
        <f>IF($AC113="", "", IF(ISNA(VLOOKUP($AC113, TABELAS!$Q:$Q, 1, FALSE)), 1, 0))</f>
        <v/>
      </c>
      <c r="BN113" s="194" t="str">
        <f t="shared" si="92"/>
        <v/>
      </c>
      <c r="BO113" s="192" t="str">
        <f t="shared" si="78"/>
        <v/>
      </c>
      <c r="BP113" s="192" t="str">
        <f t="shared" si="79"/>
        <v/>
      </c>
      <c r="BQ113" s="193" t="str">
        <f t="shared" si="80"/>
        <v/>
      </c>
      <c r="BR113" s="192" t="str">
        <f t="shared" si="81"/>
        <v/>
      </c>
      <c r="BS113" s="192" t="str">
        <f t="shared" si="82"/>
        <v/>
      </c>
      <c r="BT113" s="192" t="str">
        <f>IF(OR($B113="", $AH113 = "SIM"), "", IF( ISNA(VLOOKUP($AP113,#REF!, 1, FALSE)), 1, 0))</f>
        <v/>
      </c>
      <c r="BU113" s="192" t="str">
        <f t="shared" si="83"/>
        <v/>
      </c>
      <c r="BV113" s="192" t="str">
        <f>IF( $B113="", "", IF( ISNA(VLOOKUP($AN113, TABELAS!$T$2:$T$9,1,FALSE)), 1, 0))</f>
        <v/>
      </c>
      <c r="BW113" s="192" t="str">
        <f t="shared" si="84"/>
        <v/>
      </c>
      <c r="BX113" s="192" t="str">
        <f>IF( OR($B113="", $AH113 = "SIM"), "", IF( ISNA( VLOOKUP( $AQ113, SISTEMA!$B:$B, 1, FALSE)), 1, 0))</f>
        <v/>
      </c>
      <c r="BY113" s="193" t="str">
        <f t="shared" si="85"/>
        <v/>
      </c>
      <c r="BZ113" s="193" t="str">
        <f t="shared" si="86"/>
        <v/>
      </c>
      <c r="CA113" s="192" t="str">
        <f t="shared" si="87"/>
        <v/>
      </c>
      <c r="CB113" s="193" t="str">
        <f t="shared" si="88"/>
        <v/>
      </c>
      <c r="CC113" s="193" t="str">
        <f t="shared" si="89"/>
        <v/>
      </c>
      <c r="CD113" s="193" t="str">
        <f t="shared" si="90"/>
        <v/>
      </c>
    </row>
    <row r="114" spans="1:82" x14ac:dyDescent="0.2">
      <c r="A114" s="140"/>
      <c r="B114" s="141" t="str">
        <f t="shared" si="59"/>
        <v/>
      </c>
      <c r="C114" s="142" t="str">
        <f t="shared" si="47"/>
        <v/>
      </c>
      <c r="D114" s="142" t="str">
        <f t="shared" si="60"/>
        <v/>
      </c>
      <c r="E114" s="142" t="str">
        <f>IF($C114="", "", COUNTIF($M$8:$M114,$D114))</f>
        <v/>
      </c>
      <c r="F114" s="254">
        <v>107</v>
      </c>
      <c r="G114" s="143"/>
      <c r="H114" s="144"/>
      <c r="I114" s="144"/>
      <c r="J114" s="145"/>
      <c r="K114" s="144"/>
      <c r="L114" s="144"/>
      <c r="M114" s="144"/>
      <c r="N114" s="146"/>
      <c r="O114" s="147"/>
      <c r="P114" s="147"/>
      <c r="Q114" s="147"/>
      <c r="R114" s="147"/>
      <c r="S114" s="147"/>
      <c r="T114" s="149"/>
      <c r="U114" s="150" t="str">
        <f>IF($T114="", "", VLOOKUP($T114, CONTRATOS!$B:$E, 2, FALSE))</f>
        <v/>
      </c>
      <c r="V114" s="151">
        <f>IF(OR($T114="",TB_DEFESA!$C$2="CARGA BASELINE"),0,
   IF(VLOOKUP($T114, CONTRATOS!B:E, 3, FALSE)&lt;&gt;"",1,IF(VLOOKUP($T114, CONTRATOS!B:E, 4, FALSE)&lt;&gt;"",2,0)))</f>
        <v>0</v>
      </c>
      <c r="W114" s="152"/>
      <c r="X114" s="152"/>
      <c r="Y114" s="153"/>
      <c r="Z114" s="154"/>
      <c r="AA114" s="155"/>
      <c r="AB114" s="156"/>
      <c r="AC114" s="157"/>
      <c r="AD114" s="155"/>
      <c r="AE114" s="158" t="str">
        <f t="shared" si="48"/>
        <v/>
      </c>
      <c r="AF114" s="160" t="str">
        <f t="shared" si="61"/>
        <v/>
      </c>
      <c r="AG114" s="182" t="s">
        <v>59</v>
      </c>
      <c r="AH114" s="183" t="str">
        <f t="shared" si="62"/>
        <v/>
      </c>
      <c r="AI114" s="183" t="str">
        <f t="shared" si="63"/>
        <v/>
      </c>
      <c r="AJ114" s="184" t="str">
        <f t="shared" si="64"/>
        <v/>
      </c>
      <c r="AK114" s="185" t="str">
        <f t="shared" si="65"/>
        <v/>
      </c>
      <c r="AL114" s="186"/>
      <c r="AM114" s="183" t="str">
        <f t="shared" si="66"/>
        <v/>
      </c>
      <c r="AN114" s="183" t="str">
        <f t="shared" si="67"/>
        <v/>
      </c>
      <c r="AO114" s="186" t="str">
        <f t="shared" si="68"/>
        <v/>
      </c>
      <c r="AP114" s="187" t="str">
        <f t="shared" si="69"/>
        <v/>
      </c>
      <c r="AQ114" s="187" t="str">
        <f t="shared" si="70"/>
        <v/>
      </c>
      <c r="AR114" s="188" t="str">
        <f t="shared" si="49"/>
        <v/>
      </c>
      <c r="AS114" s="188" t="str">
        <f t="shared" si="50"/>
        <v/>
      </c>
      <c r="AT114" s="183" t="str">
        <f t="shared" si="51"/>
        <v/>
      </c>
      <c r="AU114" s="189" t="str">
        <f>IF(OR($B114="", $AP114= ""),"",IF(VLOOKUP($AP114, CONTRATOS!B:K,3,FALSE)="","",VLOOKUP($AP114, CONTRATOS!B:K, 3,FALSE)))</f>
        <v/>
      </c>
      <c r="AV114" s="189" t="str">
        <f>IF(OR($B114="", $AP114 = ""), "", IF(VLOOKUP($AP114, CONTRATOS!B:K,4,FALSE)="","",VLOOKUP($AP114, CONTRATOS!B:K,4, FALSE)))</f>
        <v/>
      </c>
      <c r="AW114" s="190" t="str">
        <f t="shared" si="52"/>
        <v/>
      </c>
      <c r="AX114" s="189" t="str">
        <f t="shared" si="53"/>
        <v/>
      </c>
      <c r="AY114" s="189" t="str">
        <f t="shared" si="54"/>
        <v/>
      </c>
      <c r="AZ114" s="189" t="str">
        <f t="shared" si="55"/>
        <v/>
      </c>
      <c r="BA114" s="189" t="str">
        <f t="shared" si="56"/>
        <v/>
      </c>
      <c r="BB114" s="191">
        <f t="shared" si="71"/>
        <v>0</v>
      </c>
      <c r="BC114" s="191" t="str">
        <f t="shared" si="72"/>
        <v/>
      </c>
      <c r="BD114" s="191" t="str">
        <f t="shared" si="73"/>
        <v/>
      </c>
      <c r="BF114" s="192">
        <f t="shared" si="74"/>
        <v>0</v>
      </c>
      <c r="BG114" s="192">
        <f t="shared" si="75"/>
        <v>0</v>
      </c>
      <c r="BH114" s="192" t="str">
        <f>IF( $B114="", "", IF(ISNA(VLOOKUP($C114, Defesa!$C$7:$C$29,1,FALSE)),1,0))</f>
        <v/>
      </c>
      <c r="BI114" s="193" t="str">
        <f t="shared" si="76"/>
        <v/>
      </c>
      <c r="BJ114" s="193" t="str">
        <f>IF($B114="", "", IF( AND( $AI114="ESTIMATIVA", OR( Defesa!$F$7 = "AUTOMÁTICA", Defesa!$F$7 ="100% BASELINE")), 1, 0))</f>
        <v/>
      </c>
      <c r="BK114" s="192" t="str">
        <f t="shared" si="91"/>
        <v/>
      </c>
      <c r="BL114" s="192">
        <f t="shared" si="77"/>
        <v>0</v>
      </c>
      <c r="BM114" s="192" t="str">
        <f>IF($AC114="", "", IF(ISNA(VLOOKUP($AC114, TABELAS!$Q:$Q, 1, FALSE)), 1, 0))</f>
        <v/>
      </c>
      <c r="BN114" s="194" t="str">
        <f t="shared" si="92"/>
        <v/>
      </c>
      <c r="BO114" s="192" t="str">
        <f t="shared" si="78"/>
        <v/>
      </c>
      <c r="BP114" s="192" t="str">
        <f t="shared" si="79"/>
        <v/>
      </c>
      <c r="BQ114" s="193" t="str">
        <f t="shared" si="80"/>
        <v/>
      </c>
      <c r="BR114" s="192" t="str">
        <f t="shared" si="81"/>
        <v/>
      </c>
      <c r="BS114" s="192" t="str">
        <f t="shared" si="82"/>
        <v/>
      </c>
      <c r="BT114" s="192" t="str">
        <f>IF(OR($B114="", $AH114 = "SIM"), "", IF( ISNA(VLOOKUP($AP114,#REF!, 1, FALSE)), 1, 0))</f>
        <v/>
      </c>
      <c r="BU114" s="192" t="str">
        <f t="shared" si="83"/>
        <v/>
      </c>
      <c r="BV114" s="192" t="str">
        <f>IF( $B114="", "", IF( ISNA(VLOOKUP($AN114, TABELAS!$T$2:$T$9,1,FALSE)), 1, 0))</f>
        <v/>
      </c>
      <c r="BW114" s="192" t="str">
        <f t="shared" si="84"/>
        <v/>
      </c>
      <c r="BX114" s="192" t="str">
        <f>IF( OR($B114="", $AH114 = "SIM"), "", IF( ISNA( VLOOKUP( $AQ114, SISTEMA!$B:$B, 1, FALSE)), 1, 0))</f>
        <v/>
      </c>
      <c r="BY114" s="193" t="str">
        <f t="shared" si="85"/>
        <v/>
      </c>
      <c r="BZ114" s="193" t="str">
        <f t="shared" si="86"/>
        <v/>
      </c>
      <c r="CA114" s="192" t="str">
        <f t="shared" si="87"/>
        <v/>
      </c>
      <c r="CB114" s="193" t="str">
        <f t="shared" si="88"/>
        <v/>
      </c>
      <c r="CC114" s="193" t="str">
        <f t="shared" si="89"/>
        <v/>
      </c>
      <c r="CD114" s="193" t="str">
        <f t="shared" si="90"/>
        <v/>
      </c>
    </row>
    <row r="115" spans="1:82" x14ac:dyDescent="0.2">
      <c r="A115" s="140"/>
      <c r="B115" s="141" t="str">
        <f t="shared" si="59"/>
        <v/>
      </c>
      <c r="C115" s="142" t="str">
        <f t="shared" si="47"/>
        <v/>
      </c>
      <c r="D115" s="142" t="str">
        <f t="shared" si="60"/>
        <v/>
      </c>
      <c r="E115" s="142" t="str">
        <f>IF($C115="", "", COUNTIF($M$8:$M115,$D115))</f>
        <v/>
      </c>
      <c r="F115" s="254">
        <v>108</v>
      </c>
      <c r="G115" s="143"/>
      <c r="H115" s="144"/>
      <c r="I115" s="144"/>
      <c r="J115" s="145"/>
      <c r="K115" s="144"/>
      <c r="L115" s="144"/>
      <c r="M115" s="144"/>
      <c r="N115" s="146"/>
      <c r="O115" s="147"/>
      <c r="P115" s="147"/>
      <c r="Q115" s="147"/>
      <c r="R115" s="147"/>
      <c r="S115" s="147"/>
      <c r="T115" s="149"/>
      <c r="U115" s="150" t="str">
        <f>IF($T115="", "", VLOOKUP($T115, CONTRATOS!$B:$E, 2, FALSE))</f>
        <v/>
      </c>
      <c r="V115" s="151">
        <f>IF(OR($T115="",TB_DEFESA!$C$2="CARGA BASELINE"),0,
   IF(VLOOKUP($T115, CONTRATOS!B:E, 3, FALSE)&lt;&gt;"",1,IF(VLOOKUP($T115, CONTRATOS!B:E, 4, FALSE)&lt;&gt;"",2,0)))</f>
        <v>0</v>
      </c>
      <c r="W115" s="152"/>
      <c r="X115" s="152"/>
      <c r="Y115" s="153"/>
      <c r="Z115" s="154"/>
      <c r="AA115" s="155"/>
      <c r="AB115" s="156"/>
      <c r="AC115" s="157"/>
      <c r="AD115" s="155"/>
      <c r="AE115" s="158" t="str">
        <f t="shared" si="48"/>
        <v/>
      </c>
      <c r="AF115" s="160" t="str">
        <f t="shared" si="61"/>
        <v/>
      </c>
      <c r="AG115" s="182" t="s">
        <v>59</v>
      </c>
      <c r="AH115" s="183" t="str">
        <f t="shared" si="62"/>
        <v/>
      </c>
      <c r="AI115" s="183" t="str">
        <f t="shared" si="63"/>
        <v/>
      </c>
      <c r="AJ115" s="184" t="str">
        <f t="shared" si="64"/>
        <v/>
      </c>
      <c r="AK115" s="185" t="str">
        <f t="shared" si="65"/>
        <v/>
      </c>
      <c r="AL115" s="186"/>
      <c r="AM115" s="183" t="str">
        <f t="shared" si="66"/>
        <v/>
      </c>
      <c r="AN115" s="183" t="str">
        <f t="shared" si="67"/>
        <v/>
      </c>
      <c r="AO115" s="186" t="str">
        <f t="shared" si="68"/>
        <v/>
      </c>
      <c r="AP115" s="187" t="str">
        <f t="shared" si="69"/>
        <v/>
      </c>
      <c r="AQ115" s="187" t="str">
        <f t="shared" si="70"/>
        <v/>
      </c>
      <c r="AR115" s="188" t="str">
        <f t="shared" si="49"/>
        <v/>
      </c>
      <c r="AS115" s="188" t="str">
        <f t="shared" si="50"/>
        <v/>
      </c>
      <c r="AT115" s="183" t="str">
        <f t="shared" si="51"/>
        <v/>
      </c>
      <c r="AU115" s="189" t="str">
        <f>IF(OR($B115="", $AP115= ""),"",IF(VLOOKUP($AP115, CONTRATOS!B:K,3,FALSE)="","",VLOOKUP($AP115, CONTRATOS!B:K, 3,FALSE)))</f>
        <v/>
      </c>
      <c r="AV115" s="189" t="str">
        <f>IF(OR($B115="", $AP115 = ""), "", IF(VLOOKUP($AP115, CONTRATOS!B:K,4,FALSE)="","",VLOOKUP($AP115, CONTRATOS!B:K,4, FALSE)))</f>
        <v/>
      </c>
      <c r="AW115" s="190" t="str">
        <f t="shared" si="52"/>
        <v/>
      </c>
      <c r="AX115" s="189" t="str">
        <f t="shared" si="53"/>
        <v/>
      </c>
      <c r="AY115" s="189" t="str">
        <f t="shared" si="54"/>
        <v/>
      </c>
      <c r="AZ115" s="189" t="str">
        <f t="shared" si="55"/>
        <v/>
      </c>
      <c r="BA115" s="189" t="str">
        <f t="shared" si="56"/>
        <v/>
      </c>
      <c r="BB115" s="191">
        <f t="shared" si="71"/>
        <v>0</v>
      </c>
      <c r="BC115" s="191" t="str">
        <f t="shared" si="72"/>
        <v/>
      </c>
      <c r="BD115" s="191" t="str">
        <f t="shared" si="73"/>
        <v/>
      </c>
      <c r="BF115" s="192">
        <f t="shared" si="74"/>
        <v>0</v>
      </c>
      <c r="BG115" s="192">
        <f t="shared" si="75"/>
        <v>0</v>
      </c>
      <c r="BH115" s="192" t="str">
        <f>IF( $B115="", "", IF(ISNA(VLOOKUP($C115, Defesa!$C$7:$C$29,1,FALSE)),1,0))</f>
        <v/>
      </c>
      <c r="BI115" s="193" t="str">
        <f t="shared" si="76"/>
        <v/>
      </c>
      <c r="BJ115" s="193" t="str">
        <f>IF($B115="", "", IF( AND( $AI115="ESTIMATIVA", OR( Defesa!$F$7 = "AUTOMÁTICA", Defesa!$F$7 ="100% BASELINE")), 1, 0))</f>
        <v/>
      </c>
      <c r="BK115" s="192" t="str">
        <f t="shared" si="91"/>
        <v/>
      </c>
      <c r="BL115" s="192">
        <f t="shared" si="77"/>
        <v>0</v>
      </c>
      <c r="BM115" s="192" t="str">
        <f>IF($AC115="", "", IF(ISNA(VLOOKUP($AC115, TABELAS!$Q:$Q, 1, FALSE)), 1, 0))</f>
        <v/>
      </c>
      <c r="BN115" s="194" t="str">
        <f t="shared" si="92"/>
        <v/>
      </c>
      <c r="BO115" s="192" t="str">
        <f t="shared" si="78"/>
        <v/>
      </c>
      <c r="BP115" s="192" t="str">
        <f t="shared" si="79"/>
        <v/>
      </c>
      <c r="BQ115" s="193" t="str">
        <f t="shared" si="80"/>
        <v/>
      </c>
      <c r="BR115" s="192" t="str">
        <f t="shared" si="81"/>
        <v/>
      </c>
      <c r="BS115" s="192" t="str">
        <f t="shared" si="82"/>
        <v/>
      </c>
      <c r="BT115" s="192" t="str">
        <f>IF(OR($B115="", $AH115 = "SIM"), "", IF( ISNA(VLOOKUP($AP115,#REF!, 1, FALSE)), 1, 0))</f>
        <v/>
      </c>
      <c r="BU115" s="192" t="str">
        <f t="shared" si="83"/>
        <v/>
      </c>
      <c r="BV115" s="192" t="str">
        <f>IF( $B115="", "", IF( ISNA(VLOOKUP($AN115, TABELAS!$T$2:$T$9,1,FALSE)), 1, 0))</f>
        <v/>
      </c>
      <c r="BW115" s="192" t="str">
        <f t="shared" si="84"/>
        <v/>
      </c>
      <c r="BX115" s="192" t="str">
        <f>IF( OR($B115="", $AH115 = "SIM"), "", IF( ISNA( VLOOKUP( $AQ115, SISTEMA!$B:$B, 1, FALSE)), 1, 0))</f>
        <v/>
      </c>
      <c r="BY115" s="193" t="str">
        <f t="shared" si="85"/>
        <v/>
      </c>
      <c r="BZ115" s="193" t="str">
        <f t="shared" si="86"/>
        <v/>
      </c>
      <c r="CA115" s="192" t="str">
        <f t="shared" si="87"/>
        <v/>
      </c>
      <c r="CB115" s="193" t="str">
        <f t="shared" si="88"/>
        <v/>
      </c>
      <c r="CC115" s="193" t="str">
        <f t="shared" si="89"/>
        <v/>
      </c>
      <c r="CD115" s="193" t="str">
        <f t="shared" si="90"/>
        <v/>
      </c>
    </row>
    <row r="116" spans="1:82" x14ac:dyDescent="0.2">
      <c r="A116" s="140"/>
      <c r="B116" s="141" t="str">
        <f t="shared" si="59"/>
        <v/>
      </c>
      <c r="C116" s="142" t="str">
        <f t="shared" si="47"/>
        <v/>
      </c>
      <c r="D116" s="142" t="str">
        <f t="shared" si="60"/>
        <v/>
      </c>
      <c r="E116" s="142" t="str">
        <f>IF($C116="", "", COUNTIF($M$8:$M116,$D116))</f>
        <v/>
      </c>
      <c r="F116" s="254">
        <v>109</v>
      </c>
      <c r="G116" s="143"/>
      <c r="H116" s="144"/>
      <c r="I116" s="144"/>
      <c r="J116" s="145"/>
      <c r="K116" s="144"/>
      <c r="L116" s="144"/>
      <c r="M116" s="144"/>
      <c r="N116" s="146"/>
      <c r="O116" s="147"/>
      <c r="P116" s="147"/>
      <c r="Q116" s="147"/>
      <c r="R116" s="147"/>
      <c r="S116" s="147"/>
      <c r="T116" s="149"/>
      <c r="U116" s="150" t="str">
        <f>IF($T116="", "", VLOOKUP($T116, CONTRATOS!$B:$E, 2, FALSE))</f>
        <v/>
      </c>
      <c r="V116" s="151">
        <f>IF(OR($T116="",TB_DEFESA!$C$2="CARGA BASELINE"),0,
   IF(VLOOKUP($T116, CONTRATOS!B:E, 3, FALSE)&lt;&gt;"",1,IF(VLOOKUP($T116, CONTRATOS!B:E, 4, FALSE)&lt;&gt;"",2,0)))</f>
        <v>0</v>
      </c>
      <c r="W116" s="152"/>
      <c r="X116" s="152"/>
      <c r="Y116" s="153"/>
      <c r="Z116" s="154"/>
      <c r="AA116" s="155"/>
      <c r="AB116" s="156"/>
      <c r="AC116" s="157"/>
      <c r="AD116" s="155"/>
      <c r="AE116" s="158" t="str">
        <f t="shared" si="48"/>
        <v/>
      </c>
      <c r="AF116" s="160" t="str">
        <f t="shared" si="61"/>
        <v/>
      </c>
      <c r="AG116" s="182" t="s">
        <v>59</v>
      </c>
      <c r="AH116" s="183" t="str">
        <f t="shared" si="62"/>
        <v/>
      </c>
      <c r="AI116" s="183" t="str">
        <f t="shared" si="63"/>
        <v/>
      </c>
      <c r="AJ116" s="184" t="str">
        <f t="shared" si="64"/>
        <v/>
      </c>
      <c r="AK116" s="185" t="str">
        <f t="shared" si="65"/>
        <v/>
      </c>
      <c r="AL116" s="186"/>
      <c r="AM116" s="183" t="str">
        <f t="shared" si="66"/>
        <v/>
      </c>
      <c r="AN116" s="183" t="str">
        <f t="shared" si="67"/>
        <v/>
      </c>
      <c r="AO116" s="186" t="str">
        <f t="shared" si="68"/>
        <v/>
      </c>
      <c r="AP116" s="187" t="str">
        <f t="shared" si="69"/>
        <v/>
      </c>
      <c r="AQ116" s="187" t="str">
        <f t="shared" si="70"/>
        <v/>
      </c>
      <c r="AR116" s="188" t="str">
        <f t="shared" si="49"/>
        <v/>
      </c>
      <c r="AS116" s="188" t="str">
        <f t="shared" si="50"/>
        <v/>
      </c>
      <c r="AT116" s="183" t="str">
        <f t="shared" si="51"/>
        <v/>
      </c>
      <c r="AU116" s="189" t="str">
        <f>IF(OR($B116="", $AP116= ""),"",IF(VLOOKUP($AP116, CONTRATOS!B:K,3,FALSE)="","",VLOOKUP($AP116, CONTRATOS!B:K, 3,FALSE)))</f>
        <v/>
      </c>
      <c r="AV116" s="189" t="str">
        <f>IF(OR($B116="", $AP116 = ""), "", IF(VLOOKUP($AP116, CONTRATOS!B:K,4,FALSE)="","",VLOOKUP($AP116, CONTRATOS!B:K,4, FALSE)))</f>
        <v/>
      </c>
      <c r="AW116" s="190" t="str">
        <f t="shared" si="52"/>
        <v/>
      </c>
      <c r="AX116" s="189" t="str">
        <f t="shared" si="53"/>
        <v/>
      </c>
      <c r="AY116" s="189" t="str">
        <f t="shared" si="54"/>
        <v/>
      </c>
      <c r="AZ116" s="189" t="str">
        <f t="shared" si="55"/>
        <v/>
      </c>
      <c r="BA116" s="189" t="str">
        <f t="shared" si="56"/>
        <v/>
      </c>
      <c r="BB116" s="191">
        <f t="shared" si="71"/>
        <v>0</v>
      </c>
      <c r="BC116" s="191" t="str">
        <f t="shared" si="72"/>
        <v/>
      </c>
      <c r="BD116" s="191" t="str">
        <f t="shared" si="73"/>
        <v/>
      </c>
      <c r="BF116" s="192">
        <f t="shared" si="74"/>
        <v>0</v>
      </c>
      <c r="BG116" s="192">
        <f t="shared" si="75"/>
        <v>0</v>
      </c>
      <c r="BH116" s="192" t="str">
        <f>IF( $B116="", "", IF(ISNA(VLOOKUP($C116, Defesa!$C$7:$C$29,1,FALSE)),1,0))</f>
        <v/>
      </c>
      <c r="BI116" s="193" t="str">
        <f t="shared" si="76"/>
        <v/>
      </c>
      <c r="BJ116" s="193" t="str">
        <f>IF($B116="", "", IF( AND( $AI116="ESTIMATIVA", OR( Defesa!$F$7 = "AUTOMÁTICA", Defesa!$F$7 ="100% BASELINE")), 1, 0))</f>
        <v/>
      </c>
      <c r="BK116" s="192" t="str">
        <f t="shared" si="91"/>
        <v/>
      </c>
      <c r="BL116" s="192">
        <f t="shared" si="77"/>
        <v>0</v>
      </c>
      <c r="BM116" s="192" t="str">
        <f>IF($AC116="", "", IF(ISNA(VLOOKUP($AC116, TABELAS!$Q:$Q, 1, FALSE)), 1, 0))</f>
        <v/>
      </c>
      <c r="BN116" s="194" t="str">
        <f t="shared" si="92"/>
        <v/>
      </c>
      <c r="BO116" s="192" t="str">
        <f t="shared" si="78"/>
        <v/>
      </c>
      <c r="BP116" s="192" t="str">
        <f t="shared" si="79"/>
        <v/>
      </c>
      <c r="BQ116" s="193" t="str">
        <f t="shared" si="80"/>
        <v/>
      </c>
      <c r="BR116" s="192" t="str">
        <f t="shared" si="81"/>
        <v/>
      </c>
      <c r="BS116" s="192" t="str">
        <f t="shared" si="82"/>
        <v/>
      </c>
      <c r="BT116" s="192" t="str">
        <f>IF(OR($B116="", $AH116 = "SIM"), "", IF( ISNA(VLOOKUP($AP116,#REF!, 1, FALSE)), 1, 0))</f>
        <v/>
      </c>
      <c r="BU116" s="192" t="str">
        <f t="shared" si="83"/>
        <v/>
      </c>
      <c r="BV116" s="192" t="str">
        <f>IF( $B116="", "", IF( ISNA(VLOOKUP($AN116, TABELAS!$T$2:$T$9,1,FALSE)), 1, 0))</f>
        <v/>
      </c>
      <c r="BW116" s="192" t="str">
        <f t="shared" si="84"/>
        <v/>
      </c>
      <c r="BX116" s="192" t="str">
        <f>IF( OR($B116="", $AH116 = "SIM"), "", IF( ISNA( VLOOKUP( $AQ116, SISTEMA!$B:$B, 1, FALSE)), 1, 0))</f>
        <v/>
      </c>
      <c r="BY116" s="193" t="str">
        <f t="shared" si="85"/>
        <v/>
      </c>
      <c r="BZ116" s="193" t="str">
        <f t="shared" si="86"/>
        <v/>
      </c>
      <c r="CA116" s="192" t="str">
        <f t="shared" si="87"/>
        <v/>
      </c>
      <c r="CB116" s="193" t="str">
        <f t="shared" si="88"/>
        <v/>
      </c>
      <c r="CC116" s="193" t="str">
        <f t="shared" si="89"/>
        <v/>
      </c>
      <c r="CD116" s="193" t="str">
        <f t="shared" si="90"/>
        <v/>
      </c>
    </row>
    <row r="117" spans="1:82" x14ac:dyDescent="0.2">
      <c r="A117" s="140"/>
      <c r="B117" s="141" t="str">
        <f t="shared" si="59"/>
        <v/>
      </c>
      <c r="C117" s="142" t="str">
        <f t="shared" si="47"/>
        <v/>
      </c>
      <c r="D117" s="142" t="str">
        <f t="shared" si="60"/>
        <v/>
      </c>
      <c r="E117" s="142" t="str">
        <f>IF($C117="", "", COUNTIF($M$8:$M117,$D117))</f>
        <v/>
      </c>
      <c r="F117" s="254">
        <v>110</v>
      </c>
      <c r="G117" s="143"/>
      <c r="H117" s="144"/>
      <c r="I117" s="144"/>
      <c r="J117" s="145"/>
      <c r="K117" s="144"/>
      <c r="L117" s="144"/>
      <c r="M117" s="144"/>
      <c r="N117" s="146"/>
      <c r="O117" s="147"/>
      <c r="P117" s="147"/>
      <c r="Q117" s="147"/>
      <c r="R117" s="147"/>
      <c r="S117" s="147"/>
      <c r="T117" s="149"/>
      <c r="U117" s="150" t="str">
        <f>IF($T117="", "", VLOOKUP($T117, CONTRATOS!$B:$E, 2, FALSE))</f>
        <v/>
      </c>
      <c r="V117" s="151">
        <f>IF(OR($T117="",TB_DEFESA!$C$2="CARGA BASELINE"),0,
   IF(VLOOKUP($T117, CONTRATOS!B:E, 3, FALSE)&lt;&gt;"",1,IF(VLOOKUP($T117, CONTRATOS!B:E, 4, FALSE)&lt;&gt;"",2,0)))</f>
        <v>0</v>
      </c>
      <c r="W117" s="152"/>
      <c r="X117" s="152"/>
      <c r="Y117" s="153"/>
      <c r="Z117" s="154"/>
      <c r="AA117" s="155"/>
      <c r="AB117" s="156"/>
      <c r="AC117" s="157"/>
      <c r="AD117" s="155"/>
      <c r="AE117" s="158" t="str">
        <f t="shared" si="48"/>
        <v/>
      </c>
      <c r="AF117" s="160" t="str">
        <f t="shared" si="61"/>
        <v/>
      </c>
      <c r="AG117" s="182" t="s">
        <v>59</v>
      </c>
      <c r="AH117" s="183" t="str">
        <f t="shared" si="62"/>
        <v/>
      </c>
      <c r="AI117" s="183" t="str">
        <f t="shared" si="63"/>
        <v/>
      </c>
      <c r="AJ117" s="184" t="str">
        <f t="shared" si="64"/>
        <v/>
      </c>
      <c r="AK117" s="185" t="str">
        <f t="shared" si="65"/>
        <v/>
      </c>
      <c r="AL117" s="186"/>
      <c r="AM117" s="183" t="str">
        <f t="shared" si="66"/>
        <v/>
      </c>
      <c r="AN117" s="183" t="str">
        <f t="shared" si="67"/>
        <v/>
      </c>
      <c r="AO117" s="186" t="str">
        <f t="shared" si="68"/>
        <v/>
      </c>
      <c r="AP117" s="187" t="str">
        <f t="shared" si="69"/>
        <v/>
      </c>
      <c r="AQ117" s="187" t="str">
        <f t="shared" si="70"/>
        <v/>
      </c>
      <c r="AR117" s="188" t="str">
        <f t="shared" si="49"/>
        <v/>
      </c>
      <c r="AS117" s="188" t="str">
        <f t="shared" si="50"/>
        <v/>
      </c>
      <c r="AT117" s="183" t="str">
        <f t="shared" si="51"/>
        <v/>
      </c>
      <c r="AU117" s="189" t="str">
        <f>IF(OR($B117="", $AP117= ""),"",IF(VLOOKUP($AP117, CONTRATOS!B:K,3,FALSE)="","",VLOOKUP($AP117, CONTRATOS!B:K, 3,FALSE)))</f>
        <v/>
      </c>
      <c r="AV117" s="189" t="str">
        <f>IF(OR($B117="", $AP117 = ""), "", IF(VLOOKUP($AP117, CONTRATOS!B:K,4,FALSE)="","",VLOOKUP($AP117, CONTRATOS!B:K,4, FALSE)))</f>
        <v/>
      </c>
      <c r="AW117" s="190" t="str">
        <f t="shared" si="52"/>
        <v/>
      </c>
      <c r="AX117" s="189" t="str">
        <f t="shared" si="53"/>
        <v/>
      </c>
      <c r="AY117" s="189" t="str">
        <f t="shared" si="54"/>
        <v/>
      </c>
      <c r="AZ117" s="189" t="str">
        <f t="shared" si="55"/>
        <v/>
      </c>
      <c r="BA117" s="189" t="str">
        <f t="shared" si="56"/>
        <v/>
      </c>
      <c r="BB117" s="191">
        <f t="shared" si="71"/>
        <v>0</v>
      </c>
      <c r="BC117" s="191" t="str">
        <f t="shared" si="72"/>
        <v/>
      </c>
      <c r="BD117" s="191" t="str">
        <f t="shared" si="73"/>
        <v/>
      </c>
      <c r="BF117" s="192">
        <f t="shared" si="74"/>
        <v>0</v>
      </c>
      <c r="BG117" s="192">
        <f t="shared" si="75"/>
        <v>0</v>
      </c>
      <c r="BH117" s="192" t="str">
        <f>IF( $B117="", "", IF(ISNA(VLOOKUP($C117, Defesa!$C$7:$C$29,1,FALSE)),1,0))</f>
        <v/>
      </c>
      <c r="BI117" s="193" t="str">
        <f t="shared" si="76"/>
        <v/>
      </c>
      <c r="BJ117" s="193" t="str">
        <f>IF($B117="", "", IF( AND( $AI117="ESTIMATIVA", OR( Defesa!$F$7 = "AUTOMÁTICA", Defesa!$F$7 ="100% BASELINE")), 1, 0))</f>
        <v/>
      </c>
      <c r="BK117" s="192" t="str">
        <f t="shared" si="91"/>
        <v/>
      </c>
      <c r="BL117" s="192">
        <f t="shared" si="77"/>
        <v>0</v>
      </c>
      <c r="BM117" s="192" t="str">
        <f>IF($AC117="", "", IF(ISNA(VLOOKUP($AC117, TABELAS!$Q:$Q, 1, FALSE)), 1, 0))</f>
        <v/>
      </c>
      <c r="BN117" s="194" t="str">
        <f t="shared" si="92"/>
        <v/>
      </c>
      <c r="BO117" s="192" t="str">
        <f t="shared" si="78"/>
        <v/>
      </c>
      <c r="BP117" s="192" t="str">
        <f t="shared" si="79"/>
        <v/>
      </c>
      <c r="BQ117" s="193" t="str">
        <f t="shared" si="80"/>
        <v/>
      </c>
      <c r="BR117" s="192" t="str">
        <f t="shared" si="81"/>
        <v/>
      </c>
      <c r="BS117" s="192" t="str">
        <f t="shared" si="82"/>
        <v/>
      </c>
      <c r="BT117" s="192" t="str">
        <f>IF(OR($B117="", $AH117 = "SIM"), "", IF( ISNA(VLOOKUP($AP117,#REF!, 1, FALSE)), 1, 0))</f>
        <v/>
      </c>
      <c r="BU117" s="192" t="str">
        <f t="shared" si="83"/>
        <v/>
      </c>
      <c r="BV117" s="192" t="str">
        <f>IF( $B117="", "", IF( ISNA(VLOOKUP($AN117, TABELAS!$T$2:$T$9,1,FALSE)), 1, 0))</f>
        <v/>
      </c>
      <c r="BW117" s="192" t="str">
        <f t="shared" si="84"/>
        <v/>
      </c>
      <c r="BX117" s="192" t="str">
        <f>IF( OR($B117="", $AH117 = "SIM"), "", IF( ISNA( VLOOKUP( $AQ117, SISTEMA!$B:$B, 1, FALSE)), 1, 0))</f>
        <v/>
      </c>
      <c r="BY117" s="193" t="str">
        <f t="shared" si="85"/>
        <v/>
      </c>
      <c r="BZ117" s="193" t="str">
        <f t="shared" si="86"/>
        <v/>
      </c>
      <c r="CA117" s="192" t="str">
        <f t="shared" si="87"/>
        <v/>
      </c>
      <c r="CB117" s="193" t="str">
        <f t="shared" si="88"/>
        <v/>
      </c>
      <c r="CC117" s="193" t="str">
        <f t="shared" si="89"/>
        <v/>
      </c>
      <c r="CD117" s="193" t="str">
        <f t="shared" si="90"/>
        <v/>
      </c>
    </row>
    <row r="118" spans="1:82" x14ac:dyDescent="0.2">
      <c r="A118" s="140"/>
      <c r="B118" s="141" t="str">
        <f t="shared" si="59"/>
        <v/>
      </c>
      <c r="C118" s="142" t="str">
        <f t="shared" si="47"/>
        <v/>
      </c>
      <c r="D118" s="142" t="str">
        <f t="shared" si="60"/>
        <v/>
      </c>
      <c r="E118" s="142" t="str">
        <f>IF($C118="", "", COUNTIF($M$8:$M118,$D118))</f>
        <v/>
      </c>
      <c r="F118" s="254">
        <v>111</v>
      </c>
      <c r="G118" s="143"/>
      <c r="H118" s="144"/>
      <c r="I118" s="144"/>
      <c r="J118" s="145"/>
      <c r="K118" s="144"/>
      <c r="L118" s="144"/>
      <c r="M118" s="144"/>
      <c r="N118" s="146"/>
      <c r="O118" s="147"/>
      <c r="P118" s="147"/>
      <c r="Q118" s="147"/>
      <c r="R118" s="147"/>
      <c r="S118" s="147"/>
      <c r="T118" s="149"/>
      <c r="U118" s="150" t="str">
        <f>IF($T118="", "", VLOOKUP($T118, CONTRATOS!$B:$E, 2, FALSE))</f>
        <v/>
      </c>
      <c r="V118" s="151">
        <f>IF(OR($T118="",TB_DEFESA!$C$2="CARGA BASELINE"),0,
   IF(VLOOKUP($T118, CONTRATOS!B:E, 3, FALSE)&lt;&gt;"",1,IF(VLOOKUP($T118, CONTRATOS!B:E, 4, FALSE)&lt;&gt;"",2,0)))</f>
        <v>0</v>
      </c>
      <c r="W118" s="152"/>
      <c r="X118" s="152"/>
      <c r="Y118" s="153"/>
      <c r="Z118" s="154"/>
      <c r="AA118" s="155"/>
      <c r="AB118" s="156"/>
      <c r="AC118" s="157"/>
      <c r="AD118" s="155"/>
      <c r="AE118" s="158" t="str">
        <f t="shared" si="48"/>
        <v/>
      </c>
      <c r="AF118" s="160" t="str">
        <f t="shared" si="61"/>
        <v/>
      </c>
      <c r="AG118" s="182" t="s">
        <v>59</v>
      </c>
      <c r="AH118" s="183" t="str">
        <f t="shared" si="62"/>
        <v/>
      </c>
      <c r="AI118" s="183" t="str">
        <f t="shared" si="63"/>
        <v/>
      </c>
      <c r="AJ118" s="184" t="str">
        <f t="shared" si="64"/>
        <v/>
      </c>
      <c r="AK118" s="185" t="str">
        <f t="shared" si="65"/>
        <v/>
      </c>
      <c r="AL118" s="186"/>
      <c r="AM118" s="183" t="str">
        <f t="shared" si="66"/>
        <v/>
      </c>
      <c r="AN118" s="183" t="str">
        <f t="shared" si="67"/>
        <v/>
      </c>
      <c r="AO118" s="186" t="str">
        <f t="shared" si="68"/>
        <v/>
      </c>
      <c r="AP118" s="187" t="str">
        <f t="shared" si="69"/>
        <v/>
      </c>
      <c r="AQ118" s="187" t="str">
        <f t="shared" si="70"/>
        <v/>
      </c>
      <c r="AR118" s="188" t="str">
        <f t="shared" si="49"/>
        <v/>
      </c>
      <c r="AS118" s="188" t="str">
        <f t="shared" si="50"/>
        <v/>
      </c>
      <c r="AT118" s="183" t="str">
        <f t="shared" si="51"/>
        <v/>
      </c>
      <c r="AU118" s="189" t="str">
        <f>IF(OR($B118="", $AP118= ""),"",IF(VLOOKUP($AP118, CONTRATOS!B:K,3,FALSE)="","",VLOOKUP($AP118, CONTRATOS!B:K, 3,FALSE)))</f>
        <v/>
      </c>
      <c r="AV118" s="189" t="str">
        <f>IF(OR($B118="", $AP118 = ""), "", IF(VLOOKUP($AP118, CONTRATOS!B:K,4,FALSE)="","",VLOOKUP($AP118, CONTRATOS!B:K,4, FALSE)))</f>
        <v/>
      </c>
      <c r="AW118" s="190" t="str">
        <f t="shared" si="52"/>
        <v/>
      </c>
      <c r="AX118" s="189" t="str">
        <f t="shared" si="53"/>
        <v/>
      </c>
      <c r="AY118" s="189" t="str">
        <f t="shared" si="54"/>
        <v/>
      </c>
      <c r="AZ118" s="189" t="str">
        <f t="shared" si="55"/>
        <v/>
      </c>
      <c r="BA118" s="189" t="str">
        <f t="shared" si="56"/>
        <v/>
      </c>
      <c r="BB118" s="191">
        <f t="shared" si="71"/>
        <v>0</v>
      </c>
      <c r="BC118" s="191" t="str">
        <f t="shared" si="72"/>
        <v/>
      </c>
      <c r="BD118" s="191" t="str">
        <f t="shared" si="73"/>
        <v/>
      </c>
      <c r="BF118" s="192">
        <f t="shared" si="74"/>
        <v>0</v>
      </c>
      <c r="BG118" s="192">
        <f t="shared" si="75"/>
        <v>0</v>
      </c>
      <c r="BH118" s="192" t="str">
        <f>IF( $B118="", "", IF(ISNA(VLOOKUP($C118, Defesa!$C$7:$C$29,1,FALSE)),1,0))</f>
        <v/>
      </c>
      <c r="BI118" s="193" t="str">
        <f t="shared" si="76"/>
        <v/>
      </c>
      <c r="BJ118" s="193" t="str">
        <f>IF($B118="", "", IF( AND( $AI118="ESTIMATIVA", OR( Defesa!$F$7 = "AUTOMÁTICA", Defesa!$F$7 ="100% BASELINE")), 1, 0))</f>
        <v/>
      </c>
      <c r="BK118" s="192" t="str">
        <f t="shared" si="91"/>
        <v/>
      </c>
      <c r="BL118" s="192">
        <f t="shared" si="77"/>
        <v>0</v>
      </c>
      <c r="BM118" s="192" t="str">
        <f>IF($AC118="", "", IF(ISNA(VLOOKUP($AC118, TABELAS!$Q:$Q, 1, FALSE)), 1, 0))</f>
        <v/>
      </c>
      <c r="BN118" s="194" t="str">
        <f t="shared" si="92"/>
        <v/>
      </c>
      <c r="BO118" s="192" t="str">
        <f t="shared" si="78"/>
        <v/>
      </c>
      <c r="BP118" s="192" t="str">
        <f t="shared" si="79"/>
        <v/>
      </c>
      <c r="BQ118" s="193" t="str">
        <f t="shared" si="80"/>
        <v/>
      </c>
      <c r="BR118" s="192" t="str">
        <f t="shared" si="81"/>
        <v/>
      </c>
      <c r="BS118" s="192" t="str">
        <f t="shared" si="82"/>
        <v/>
      </c>
      <c r="BT118" s="192" t="str">
        <f>IF(OR($B118="", $AH118 = "SIM"), "", IF( ISNA(VLOOKUP($AP118,#REF!, 1, FALSE)), 1, 0))</f>
        <v/>
      </c>
      <c r="BU118" s="192" t="str">
        <f t="shared" si="83"/>
        <v/>
      </c>
      <c r="BV118" s="192" t="str">
        <f>IF( $B118="", "", IF( ISNA(VLOOKUP($AN118, TABELAS!$T$2:$T$9,1,FALSE)), 1, 0))</f>
        <v/>
      </c>
      <c r="BW118" s="192" t="str">
        <f t="shared" si="84"/>
        <v/>
      </c>
      <c r="BX118" s="192" t="str">
        <f>IF( OR($B118="", $AH118 = "SIM"), "", IF( ISNA( VLOOKUP( $AQ118, SISTEMA!$B:$B, 1, FALSE)), 1, 0))</f>
        <v/>
      </c>
      <c r="BY118" s="193" t="str">
        <f t="shared" si="85"/>
        <v/>
      </c>
      <c r="BZ118" s="193" t="str">
        <f t="shared" si="86"/>
        <v/>
      </c>
      <c r="CA118" s="192" t="str">
        <f t="shared" si="87"/>
        <v/>
      </c>
      <c r="CB118" s="193" t="str">
        <f t="shared" si="88"/>
        <v/>
      </c>
      <c r="CC118" s="193" t="str">
        <f t="shared" si="89"/>
        <v/>
      </c>
      <c r="CD118" s="193" t="str">
        <f t="shared" si="90"/>
        <v/>
      </c>
    </row>
    <row r="119" spans="1:82" x14ac:dyDescent="0.2">
      <c r="A119" s="140"/>
      <c r="B119" s="141" t="str">
        <f t="shared" si="59"/>
        <v/>
      </c>
      <c r="C119" s="142" t="str">
        <f t="shared" si="47"/>
        <v/>
      </c>
      <c r="D119" s="142" t="str">
        <f t="shared" si="60"/>
        <v/>
      </c>
      <c r="E119" s="142" t="str">
        <f>IF($C119="", "", COUNTIF($M$8:$M119,$D119))</f>
        <v/>
      </c>
      <c r="F119" s="254">
        <v>112</v>
      </c>
      <c r="G119" s="143"/>
      <c r="H119" s="144"/>
      <c r="I119" s="144"/>
      <c r="J119" s="145"/>
      <c r="K119" s="144"/>
      <c r="L119" s="144"/>
      <c r="M119" s="144"/>
      <c r="N119" s="146"/>
      <c r="O119" s="147"/>
      <c r="P119" s="147"/>
      <c r="Q119" s="147"/>
      <c r="R119" s="147"/>
      <c r="S119" s="147"/>
      <c r="T119" s="149"/>
      <c r="U119" s="150" t="str">
        <f>IF($T119="", "", VLOOKUP($T119, CONTRATOS!$B:$E, 2, FALSE))</f>
        <v/>
      </c>
      <c r="V119" s="151">
        <f>IF(OR($T119="",TB_DEFESA!$C$2="CARGA BASELINE"),0,
   IF(VLOOKUP($T119, CONTRATOS!B:E, 3, FALSE)&lt;&gt;"",1,IF(VLOOKUP($T119, CONTRATOS!B:E, 4, FALSE)&lt;&gt;"",2,0)))</f>
        <v>0</v>
      </c>
      <c r="W119" s="152"/>
      <c r="X119" s="152"/>
      <c r="Y119" s="153"/>
      <c r="Z119" s="154"/>
      <c r="AA119" s="155"/>
      <c r="AB119" s="156"/>
      <c r="AC119" s="157"/>
      <c r="AD119" s="155"/>
      <c r="AE119" s="158" t="str">
        <f t="shared" si="48"/>
        <v/>
      </c>
      <c r="AF119" s="160" t="str">
        <f t="shared" si="61"/>
        <v/>
      </c>
      <c r="AG119" s="182" t="s">
        <v>59</v>
      </c>
      <c r="AH119" s="183" t="str">
        <f t="shared" si="62"/>
        <v/>
      </c>
      <c r="AI119" s="183" t="str">
        <f t="shared" si="63"/>
        <v/>
      </c>
      <c r="AJ119" s="184" t="str">
        <f t="shared" si="64"/>
        <v/>
      </c>
      <c r="AK119" s="185" t="str">
        <f t="shared" si="65"/>
        <v/>
      </c>
      <c r="AL119" s="186"/>
      <c r="AM119" s="183" t="str">
        <f t="shared" si="66"/>
        <v/>
      </c>
      <c r="AN119" s="183" t="str">
        <f t="shared" si="67"/>
        <v/>
      </c>
      <c r="AO119" s="186" t="str">
        <f t="shared" si="68"/>
        <v/>
      </c>
      <c r="AP119" s="187" t="str">
        <f t="shared" si="69"/>
        <v/>
      </c>
      <c r="AQ119" s="187" t="str">
        <f t="shared" si="70"/>
        <v/>
      </c>
      <c r="AR119" s="188" t="str">
        <f t="shared" si="49"/>
        <v/>
      </c>
      <c r="AS119" s="188" t="str">
        <f t="shared" si="50"/>
        <v/>
      </c>
      <c r="AT119" s="183" t="str">
        <f t="shared" si="51"/>
        <v/>
      </c>
      <c r="AU119" s="189" t="str">
        <f>IF(OR($B119="", $AP119= ""),"",IF(VLOOKUP($AP119, CONTRATOS!B:K,3,FALSE)="","",VLOOKUP($AP119, CONTRATOS!B:K, 3,FALSE)))</f>
        <v/>
      </c>
      <c r="AV119" s="189" t="str">
        <f>IF(OR($B119="", $AP119 = ""), "", IF(VLOOKUP($AP119, CONTRATOS!B:K,4,FALSE)="","",VLOOKUP($AP119, CONTRATOS!B:K,4, FALSE)))</f>
        <v/>
      </c>
      <c r="AW119" s="190" t="str">
        <f t="shared" si="52"/>
        <v/>
      </c>
      <c r="AX119" s="189" t="str">
        <f t="shared" si="53"/>
        <v/>
      </c>
      <c r="AY119" s="189" t="str">
        <f t="shared" si="54"/>
        <v/>
      </c>
      <c r="AZ119" s="189" t="str">
        <f t="shared" si="55"/>
        <v/>
      </c>
      <c r="BA119" s="189" t="str">
        <f t="shared" si="56"/>
        <v/>
      </c>
      <c r="BB119" s="191">
        <f t="shared" si="71"/>
        <v>0</v>
      </c>
      <c r="BC119" s="191" t="str">
        <f t="shared" si="72"/>
        <v/>
      </c>
      <c r="BD119" s="191" t="str">
        <f t="shared" si="73"/>
        <v/>
      </c>
      <c r="BF119" s="192">
        <f t="shared" si="74"/>
        <v>0</v>
      </c>
      <c r="BG119" s="192">
        <f t="shared" si="75"/>
        <v>0</v>
      </c>
      <c r="BH119" s="192" t="str">
        <f>IF( $B119="", "", IF(ISNA(VLOOKUP($C119, Defesa!$C$7:$C$29,1,FALSE)),1,0))</f>
        <v/>
      </c>
      <c r="BI119" s="193" t="str">
        <f t="shared" si="76"/>
        <v/>
      </c>
      <c r="BJ119" s="193" t="str">
        <f>IF($B119="", "", IF( AND( $AI119="ESTIMATIVA", OR( Defesa!$F$7 = "AUTOMÁTICA", Defesa!$F$7 ="100% BASELINE")), 1, 0))</f>
        <v/>
      </c>
      <c r="BK119" s="192" t="str">
        <f t="shared" si="91"/>
        <v/>
      </c>
      <c r="BL119" s="192">
        <f t="shared" si="77"/>
        <v>0</v>
      </c>
      <c r="BM119" s="192" t="str">
        <f>IF($AC119="", "", IF(ISNA(VLOOKUP($AC119, TABELAS!$Q:$Q, 1, FALSE)), 1, 0))</f>
        <v/>
      </c>
      <c r="BN119" s="194" t="str">
        <f t="shared" si="92"/>
        <v/>
      </c>
      <c r="BO119" s="192" t="str">
        <f t="shared" si="78"/>
        <v/>
      </c>
      <c r="BP119" s="192" t="str">
        <f t="shared" si="79"/>
        <v/>
      </c>
      <c r="BQ119" s="193" t="str">
        <f t="shared" si="80"/>
        <v/>
      </c>
      <c r="BR119" s="192" t="str">
        <f t="shared" si="81"/>
        <v/>
      </c>
      <c r="BS119" s="192" t="str">
        <f t="shared" si="82"/>
        <v/>
      </c>
      <c r="BT119" s="192" t="str">
        <f>IF(OR($B119="", $AH119 = "SIM"), "", IF( ISNA(VLOOKUP($AP119,#REF!, 1, FALSE)), 1, 0))</f>
        <v/>
      </c>
      <c r="BU119" s="192" t="str">
        <f t="shared" si="83"/>
        <v/>
      </c>
      <c r="BV119" s="192" t="str">
        <f>IF( $B119="", "", IF( ISNA(VLOOKUP($AN119, TABELAS!$T$2:$T$9,1,FALSE)), 1, 0))</f>
        <v/>
      </c>
      <c r="BW119" s="192" t="str">
        <f t="shared" si="84"/>
        <v/>
      </c>
      <c r="BX119" s="192" t="str">
        <f>IF( OR($B119="", $AH119 = "SIM"), "", IF( ISNA( VLOOKUP( $AQ119, SISTEMA!$B:$B, 1, FALSE)), 1, 0))</f>
        <v/>
      </c>
      <c r="BY119" s="193" t="str">
        <f t="shared" si="85"/>
        <v/>
      </c>
      <c r="BZ119" s="193" t="str">
        <f t="shared" si="86"/>
        <v/>
      </c>
      <c r="CA119" s="192" t="str">
        <f t="shared" si="87"/>
        <v/>
      </c>
      <c r="CB119" s="193" t="str">
        <f t="shared" si="88"/>
        <v/>
      </c>
      <c r="CC119" s="193" t="str">
        <f t="shared" si="89"/>
        <v/>
      </c>
      <c r="CD119" s="193" t="str">
        <f t="shared" si="90"/>
        <v/>
      </c>
    </row>
    <row r="120" spans="1:82" x14ac:dyDescent="0.2">
      <c r="A120" s="140"/>
      <c r="B120" s="141" t="str">
        <f t="shared" si="59"/>
        <v/>
      </c>
      <c r="C120" s="142" t="str">
        <f t="shared" si="47"/>
        <v/>
      </c>
      <c r="D120" s="142" t="str">
        <f t="shared" si="60"/>
        <v/>
      </c>
      <c r="E120" s="142" t="str">
        <f>IF($C120="", "", COUNTIF($M$8:$M120,$D120))</f>
        <v/>
      </c>
      <c r="F120" s="254">
        <v>113</v>
      </c>
      <c r="G120" s="143"/>
      <c r="H120" s="144"/>
      <c r="I120" s="144"/>
      <c r="J120" s="145"/>
      <c r="K120" s="144"/>
      <c r="L120" s="144"/>
      <c r="M120" s="144"/>
      <c r="N120" s="146"/>
      <c r="O120" s="147"/>
      <c r="P120" s="147"/>
      <c r="Q120" s="147"/>
      <c r="R120" s="147"/>
      <c r="S120" s="147"/>
      <c r="T120" s="149"/>
      <c r="U120" s="150" t="str">
        <f>IF($T120="", "", VLOOKUP($T120, CONTRATOS!$B:$E, 2, FALSE))</f>
        <v/>
      </c>
      <c r="V120" s="151">
        <f>IF(OR($T120="",TB_DEFESA!$C$2="CARGA BASELINE"),0,
   IF(VLOOKUP($T120, CONTRATOS!B:E, 3, FALSE)&lt;&gt;"",1,IF(VLOOKUP($T120, CONTRATOS!B:E, 4, FALSE)&lt;&gt;"",2,0)))</f>
        <v>0</v>
      </c>
      <c r="W120" s="152"/>
      <c r="X120" s="152"/>
      <c r="Y120" s="153"/>
      <c r="Z120" s="154"/>
      <c r="AA120" s="155"/>
      <c r="AB120" s="156"/>
      <c r="AC120" s="157"/>
      <c r="AD120" s="155"/>
      <c r="AE120" s="158" t="str">
        <f t="shared" si="48"/>
        <v/>
      </c>
      <c r="AF120" s="160" t="str">
        <f t="shared" si="61"/>
        <v/>
      </c>
      <c r="AG120" s="182" t="s">
        <v>59</v>
      </c>
      <c r="AH120" s="183" t="str">
        <f t="shared" si="62"/>
        <v/>
      </c>
      <c r="AI120" s="183" t="str">
        <f t="shared" si="63"/>
        <v/>
      </c>
      <c r="AJ120" s="184" t="str">
        <f t="shared" si="64"/>
        <v/>
      </c>
      <c r="AK120" s="185" t="str">
        <f t="shared" si="65"/>
        <v/>
      </c>
      <c r="AL120" s="186"/>
      <c r="AM120" s="183" t="str">
        <f t="shared" si="66"/>
        <v/>
      </c>
      <c r="AN120" s="183" t="str">
        <f t="shared" si="67"/>
        <v/>
      </c>
      <c r="AO120" s="186" t="str">
        <f t="shared" si="68"/>
        <v/>
      </c>
      <c r="AP120" s="187" t="str">
        <f t="shared" si="69"/>
        <v/>
      </c>
      <c r="AQ120" s="187" t="str">
        <f t="shared" si="70"/>
        <v/>
      </c>
      <c r="AR120" s="188" t="str">
        <f t="shared" si="49"/>
        <v/>
      </c>
      <c r="AS120" s="188" t="str">
        <f t="shared" si="50"/>
        <v/>
      </c>
      <c r="AT120" s="183" t="str">
        <f t="shared" si="51"/>
        <v/>
      </c>
      <c r="AU120" s="189" t="str">
        <f>IF(OR($B120="", $AP120= ""),"",IF(VLOOKUP($AP120, CONTRATOS!B:K,3,FALSE)="","",VLOOKUP($AP120, CONTRATOS!B:K, 3,FALSE)))</f>
        <v/>
      </c>
      <c r="AV120" s="189" t="str">
        <f>IF(OR($B120="", $AP120 = ""), "", IF(VLOOKUP($AP120, CONTRATOS!B:K,4,FALSE)="","",VLOOKUP($AP120, CONTRATOS!B:K,4, FALSE)))</f>
        <v/>
      </c>
      <c r="AW120" s="190" t="str">
        <f t="shared" si="52"/>
        <v/>
      </c>
      <c r="AX120" s="189" t="str">
        <f t="shared" si="53"/>
        <v/>
      </c>
      <c r="AY120" s="189" t="str">
        <f t="shared" si="54"/>
        <v/>
      </c>
      <c r="AZ120" s="189" t="str">
        <f t="shared" si="55"/>
        <v/>
      </c>
      <c r="BA120" s="189" t="str">
        <f t="shared" si="56"/>
        <v/>
      </c>
      <c r="BB120" s="191">
        <f t="shared" si="71"/>
        <v>0</v>
      </c>
      <c r="BC120" s="191" t="str">
        <f t="shared" si="72"/>
        <v/>
      </c>
      <c r="BD120" s="191" t="str">
        <f t="shared" si="73"/>
        <v/>
      </c>
      <c r="BF120" s="192">
        <f t="shared" si="74"/>
        <v>0</v>
      </c>
      <c r="BG120" s="192">
        <f t="shared" si="75"/>
        <v>0</v>
      </c>
      <c r="BH120" s="192" t="str">
        <f>IF( $B120="", "", IF(ISNA(VLOOKUP($C120, Defesa!$C$7:$C$29,1,FALSE)),1,0))</f>
        <v/>
      </c>
      <c r="BI120" s="193" t="str">
        <f t="shared" si="76"/>
        <v/>
      </c>
      <c r="BJ120" s="193" t="str">
        <f>IF($B120="", "", IF( AND( $AI120="ESTIMATIVA", OR( Defesa!$F$7 = "AUTOMÁTICA", Defesa!$F$7 ="100% BASELINE")), 1, 0))</f>
        <v/>
      </c>
      <c r="BK120" s="192" t="str">
        <f t="shared" si="91"/>
        <v/>
      </c>
      <c r="BL120" s="192">
        <f t="shared" si="77"/>
        <v>0</v>
      </c>
      <c r="BM120" s="192" t="str">
        <f>IF($AC120="", "", IF(ISNA(VLOOKUP($AC120, TABELAS!$Q:$Q, 1, FALSE)), 1, 0))</f>
        <v/>
      </c>
      <c r="BN120" s="194" t="str">
        <f t="shared" si="92"/>
        <v/>
      </c>
      <c r="BO120" s="192" t="str">
        <f t="shared" si="78"/>
        <v/>
      </c>
      <c r="BP120" s="192" t="str">
        <f t="shared" si="79"/>
        <v/>
      </c>
      <c r="BQ120" s="193" t="str">
        <f t="shared" si="80"/>
        <v/>
      </c>
      <c r="BR120" s="192" t="str">
        <f t="shared" si="81"/>
        <v/>
      </c>
      <c r="BS120" s="192" t="str">
        <f t="shared" si="82"/>
        <v/>
      </c>
      <c r="BT120" s="192" t="str">
        <f>IF(OR($B120="", $AH120 = "SIM"), "", IF( ISNA(VLOOKUP($AP120,#REF!, 1, FALSE)), 1, 0))</f>
        <v/>
      </c>
      <c r="BU120" s="192" t="str">
        <f t="shared" si="83"/>
        <v/>
      </c>
      <c r="BV120" s="192" t="str">
        <f>IF( $B120="", "", IF( ISNA(VLOOKUP($AN120, TABELAS!$T$2:$T$9,1,FALSE)), 1, 0))</f>
        <v/>
      </c>
      <c r="BW120" s="192" t="str">
        <f t="shared" si="84"/>
        <v/>
      </c>
      <c r="BX120" s="192" t="str">
        <f>IF( OR($B120="", $AH120 = "SIM"), "", IF( ISNA( VLOOKUP( $AQ120, SISTEMA!$B:$B, 1, FALSE)), 1, 0))</f>
        <v/>
      </c>
      <c r="BY120" s="193" t="str">
        <f t="shared" si="85"/>
        <v/>
      </c>
      <c r="BZ120" s="193" t="str">
        <f t="shared" si="86"/>
        <v/>
      </c>
      <c r="CA120" s="192" t="str">
        <f t="shared" si="87"/>
        <v/>
      </c>
      <c r="CB120" s="193" t="str">
        <f t="shared" si="88"/>
        <v/>
      </c>
      <c r="CC120" s="193" t="str">
        <f t="shared" si="89"/>
        <v/>
      </c>
      <c r="CD120" s="193" t="str">
        <f t="shared" si="90"/>
        <v/>
      </c>
    </row>
    <row r="121" spans="1:82" x14ac:dyDescent="0.2">
      <c r="A121" s="140"/>
      <c r="B121" s="141" t="str">
        <f t="shared" si="59"/>
        <v/>
      </c>
      <c r="C121" s="142" t="str">
        <f t="shared" si="47"/>
        <v/>
      </c>
      <c r="D121" s="142" t="str">
        <f t="shared" si="60"/>
        <v/>
      </c>
      <c r="E121" s="142" t="str">
        <f>IF($C121="", "", COUNTIF($M$8:$M121,$D121))</f>
        <v/>
      </c>
      <c r="F121" s="254">
        <v>114</v>
      </c>
      <c r="G121" s="143"/>
      <c r="H121" s="144"/>
      <c r="I121" s="144"/>
      <c r="J121" s="145"/>
      <c r="K121" s="144"/>
      <c r="L121" s="144"/>
      <c r="M121" s="144"/>
      <c r="N121" s="146"/>
      <c r="O121" s="147"/>
      <c r="P121" s="147"/>
      <c r="Q121" s="147"/>
      <c r="R121" s="147"/>
      <c r="S121" s="147"/>
      <c r="T121" s="149"/>
      <c r="U121" s="150" t="str">
        <f>IF($T121="", "", VLOOKUP($T121, CONTRATOS!$B:$E, 2, FALSE))</f>
        <v/>
      </c>
      <c r="V121" s="151">
        <f>IF(OR($T121="",TB_DEFESA!$C$2="CARGA BASELINE"),0,
   IF(VLOOKUP($T121, CONTRATOS!B:E, 3, FALSE)&lt;&gt;"",1,IF(VLOOKUP($T121, CONTRATOS!B:E, 4, FALSE)&lt;&gt;"",2,0)))</f>
        <v>0</v>
      </c>
      <c r="W121" s="152"/>
      <c r="X121" s="152"/>
      <c r="Y121" s="153"/>
      <c r="Z121" s="154"/>
      <c r="AA121" s="155"/>
      <c r="AB121" s="156"/>
      <c r="AC121" s="157"/>
      <c r="AD121" s="155"/>
      <c r="AE121" s="158" t="str">
        <f t="shared" si="48"/>
        <v/>
      </c>
      <c r="AF121" s="160" t="str">
        <f t="shared" si="61"/>
        <v/>
      </c>
      <c r="AG121" s="182" t="s">
        <v>59</v>
      </c>
      <c r="AH121" s="183" t="str">
        <f t="shared" si="62"/>
        <v/>
      </c>
      <c r="AI121" s="183" t="str">
        <f t="shared" si="63"/>
        <v/>
      </c>
      <c r="AJ121" s="184" t="str">
        <f t="shared" si="64"/>
        <v/>
      </c>
      <c r="AK121" s="185" t="str">
        <f t="shared" si="65"/>
        <v/>
      </c>
      <c r="AL121" s="186"/>
      <c r="AM121" s="183" t="str">
        <f t="shared" si="66"/>
        <v/>
      </c>
      <c r="AN121" s="183" t="str">
        <f t="shared" si="67"/>
        <v/>
      </c>
      <c r="AO121" s="186" t="str">
        <f t="shared" si="68"/>
        <v/>
      </c>
      <c r="AP121" s="187" t="str">
        <f t="shared" si="69"/>
        <v/>
      </c>
      <c r="AQ121" s="187" t="str">
        <f t="shared" si="70"/>
        <v/>
      </c>
      <c r="AR121" s="188" t="str">
        <f t="shared" si="49"/>
        <v/>
      </c>
      <c r="AS121" s="188" t="str">
        <f t="shared" si="50"/>
        <v/>
      </c>
      <c r="AT121" s="183" t="str">
        <f t="shared" si="51"/>
        <v/>
      </c>
      <c r="AU121" s="189" t="str">
        <f>IF(OR($B121="", $AP121= ""),"",IF(VLOOKUP($AP121, CONTRATOS!B:K,3,FALSE)="","",VLOOKUP($AP121, CONTRATOS!B:K, 3,FALSE)))</f>
        <v/>
      </c>
      <c r="AV121" s="189" t="str">
        <f>IF(OR($B121="", $AP121 = ""), "", IF(VLOOKUP($AP121, CONTRATOS!B:K,4,FALSE)="","",VLOOKUP($AP121, CONTRATOS!B:K,4, FALSE)))</f>
        <v/>
      </c>
      <c r="AW121" s="190" t="str">
        <f t="shared" si="52"/>
        <v/>
      </c>
      <c r="AX121" s="189" t="str">
        <f t="shared" si="53"/>
        <v/>
      </c>
      <c r="AY121" s="189" t="str">
        <f t="shared" si="54"/>
        <v/>
      </c>
      <c r="AZ121" s="189" t="str">
        <f t="shared" si="55"/>
        <v/>
      </c>
      <c r="BA121" s="189" t="str">
        <f t="shared" si="56"/>
        <v/>
      </c>
      <c r="BB121" s="191">
        <f t="shared" si="71"/>
        <v>0</v>
      </c>
      <c r="BC121" s="191" t="str">
        <f t="shared" si="72"/>
        <v/>
      </c>
      <c r="BD121" s="191" t="str">
        <f t="shared" si="73"/>
        <v/>
      </c>
      <c r="BF121" s="192">
        <f t="shared" si="74"/>
        <v>0</v>
      </c>
      <c r="BG121" s="192">
        <f t="shared" si="75"/>
        <v>0</v>
      </c>
      <c r="BH121" s="192" t="str">
        <f>IF( $B121="", "", IF(ISNA(VLOOKUP($C121, Defesa!$C$7:$C$29,1,FALSE)),1,0))</f>
        <v/>
      </c>
      <c r="BI121" s="193" t="str">
        <f t="shared" si="76"/>
        <v/>
      </c>
      <c r="BJ121" s="193" t="str">
        <f>IF($B121="", "", IF( AND( $AI121="ESTIMATIVA", OR( Defesa!$F$7 = "AUTOMÁTICA", Defesa!$F$7 ="100% BASELINE")), 1, 0))</f>
        <v/>
      </c>
      <c r="BK121" s="192" t="str">
        <f t="shared" si="91"/>
        <v/>
      </c>
      <c r="BL121" s="192">
        <f t="shared" si="77"/>
        <v>0</v>
      </c>
      <c r="BM121" s="192" t="str">
        <f>IF($AC121="", "", IF(ISNA(VLOOKUP($AC121, TABELAS!$Q:$Q, 1, FALSE)), 1, 0))</f>
        <v/>
      </c>
      <c r="BN121" s="194" t="str">
        <f t="shared" si="92"/>
        <v/>
      </c>
      <c r="BO121" s="192" t="str">
        <f t="shared" si="78"/>
        <v/>
      </c>
      <c r="BP121" s="192" t="str">
        <f t="shared" si="79"/>
        <v/>
      </c>
      <c r="BQ121" s="193" t="str">
        <f t="shared" si="80"/>
        <v/>
      </c>
      <c r="BR121" s="192" t="str">
        <f t="shared" si="81"/>
        <v/>
      </c>
      <c r="BS121" s="192" t="str">
        <f t="shared" si="82"/>
        <v/>
      </c>
      <c r="BT121" s="192" t="str">
        <f>IF(OR($B121="", $AH121 = "SIM"), "", IF( ISNA(VLOOKUP($AP121,#REF!, 1, FALSE)), 1, 0))</f>
        <v/>
      </c>
      <c r="BU121" s="192" t="str">
        <f t="shared" si="83"/>
        <v/>
      </c>
      <c r="BV121" s="192" t="str">
        <f>IF( $B121="", "", IF( ISNA(VLOOKUP($AN121, TABELAS!$T$2:$T$9,1,FALSE)), 1, 0))</f>
        <v/>
      </c>
      <c r="BW121" s="192" t="str">
        <f t="shared" si="84"/>
        <v/>
      </c>
      <c r="BX121" s="192" t="str">
        <f>IF( OR($B121="", $AH121 = "SIM"), "", IF( ISNA( VLOOKUP( $AQ121, SISTEMA!$B:$B, 1, FALSE)), 1, 0))</f>
        <v/>
      </c>
      <c r="BY121" s="193" t="str">
        <f t="shared" si="85"/>
        <v/>
      </c>
      <c r="BZ121" s="193" t="str">
        <f t="shared" si="86"/>
        <v/>
      </c>
      <c r="CA121" s="192" t="str">
        <f t="shared" si="87"/>
        <v/>
      </c>
      <c r="CB121" s="193" t="str">
        <f t="shared" si="88"/>
        <v/>
      </c>
      <c r="CC121" s="193" t="str">
        <f t="shared" si="89"/>
        <v/>
      </c>
      <c r="CD121" s="193" t="str">
        <f t="shared" si="90"/>
        <v/>
      </c>
    </row>
    <row r="122" spans="1:82" x14ac:dyDescent="0.2">
      <c r="A122" s="140"/>
      <c r="B122" s="141" t="str">
        <f t="shared" si="59"/>
        <v/>
      </c>
      <c r="C122" s="142" t="str">
        <f t="shared" si="47"/>
        <v/>
      </c>
      <c r="D122" s="142" t="str">
        <f t="shared" si="60"/>
        <v/>
      </c>
      <c r="E122" s="142" t="str">
        <f>IF($C122="", "", COUNTIF($M$8:$M122,$D122))</f>
        <v/>
      </c>
      <c r="F122" s="254">
        <v>115</v>
      </c>
      <c r="G122" s="143"/>
      <c r="H122" s="144"/>
      <c r="I122" s="144"/>
      <c r="J122" s="145"/>
      <c r="K122" s="144"/>
      <c r="L122" s="144"/>
      <c r="M122" s="144"/>
      <c r="N122" s="146"/>
      <c r="O122" s="147"/>
      <c r="P122" s="147"/>
      <c r="Q122" s="147"/>
      <c r="R122" s="147"/>
      <c r="S122" s="147"/>
      <c r="T122" s="149"/>
      <c r="U122" s="150" t="str">
        <f>IF($T122="", "", VLOOKUP($T122, CONTRATOS!$B:$E, 2, FALSE))</f>
        <v/>
      </c>
      <c r="V122" s="151">
        <f>IF(OR($T122="",TB_DEFESA!$C$2="CARGA BASELINE"),0,
   IF(VLOOKUP($T122, CONTRATOS!B:E, 3, FALSE)&lt;&gt;"",1,IF(VLOOKUP($T122, CONTRATOS!B:E, 4, FALSE)&lt;&gt;"",2,0)))</f>
        <v>0</v>
      </c>
      <c r="W122" s="152"/>
      <c r="X122" s="152"/>
      <c r="Y122" s="153"/>
      <c r="Z122" s="154"/>
      <c r="AA122" s="155"/>
      <c r="AB122" s="156"/>
      <c r="AC122" s="157"/>
      <c r="AD122" s="155"/>
      <c r="AE122" s="158" t="str">
        <f t="shared" si="48"/>
        <v/>
      </c>
      <c r="AF122" s="160" t="str">
        <f t="shared" si="61"/>
        <v/>
      </c>
      <c r="AG122" s="182" t="s">
        <v>59</v>
      </c>
      <c r="AH122" s="183" t="str">
        <f t="shared" si="62"/>
        <v/>
      </c>
      <c r="AI122" s="183" t="str">
        <f t="shared" si="63"/>
        <v/>
      </c>
      <c r="AJ122" s="184" t="str">
        <f t="shared" si="64"/>
        <v/>
      </c>
      <c r="AK122" s="185" t="str">
        <f t="shared" si="65"/>
        <v/>
      </c>
      <c r="AL122" s="186"/>
      <c r="AM122" s="183" t="str">
        <f t="shared" si="66"/>
        <v/>
      </c>
      <c r="AN122" s="183" t="str">
        <f t="shared" si="67"/>
        <v/>
      </c>
      <c r="AO122" s="186" t="str">
        <f t="shared" si="68"/>
        <v/>
      </c>
      <c r="AP122" s="187" t="str">
        <f t="shared" si="69"/>
        <v/>
      </c>
      <c r="AQ122" s="187" t="str">
        <f t="shared" si="70"/>
        <v/>
      </c>
      <c r="AR122" s="188" t="str">
        <f t="shared" si="49"/>
        <v/>
      </c>
      <c r="AS122" s="188" t="str">
        <f t="shared" si="50"/>
        <v/>
      </c>
      <c r="AT122" s="183" t="str">
        <f t="shared" si="51"/>
        <v/>
      </c>
      <c r="AU122" s="189" t="str">
        <f>IF(OR($B122="", $AP122= ""),"",IF(VLOOKUP($AP122, CONTRATOS!B:K,3,FALSE)="","",VLOOKUP($AP122, CONTRATOS!B:K, 3,FALSE)))</f>
        <v/>
      </c>
      <c r="AV122" s="189" t="str">
        <f>IF(OR($B122="", $AP122 = ""), "", IF(VLOOKUP($AP122, CONTRATOS!B:K,4,FALSE)="","",VLOOKUP($AP122, CONTRATOS!B:K,4, FALSE)))</f>
        <v/>
      </c>
      <c r="AW122" s="190" t="str">
        <f t="shared" si="52"/>
        <v/>
      </c>
      <c r="AX122" s="189" t="str">
        <f t="shared" si="53"/>
        <v/>
      </c>
      <c r="AY122" s="189" t="str">
        <f t="shared" si="54"/>
        <v/>
      </c>
      <c r="AZ122" s="189" t="str">
        <f t="shared" si="55"/>
        <v/>
      </c>
      <c r="BA122" s="189" t="str">
        <f t="shared" si="56"/>
        <v/>
      </c>
      <c r="BB122" s="191">
        <f t="shared" si="71"/>
        <v>0</v>
      </c>
      <c r="BC122" s="191" t="str">
        <f t="shared" si="72"/>
        <v/>
      </c>
      <c r="BD122" s="191" t="str">
        <f t="shared" si="73"/>
        <v/>
      </c>
      <c r="BF122" s="192">
        <f t="shared" si="74"/>
        <v>0</v>
      </c>
      <c r="BG122" s="192">
        <f t="shared" si="75"/>
        <v>0</v>
      </c>
      <c r="BH122" s="192" t="str">
        <f>IF( $B122="", "", IF(ISNA(VLOOKUP($C122, Defesa!$C$7:$C$29,1,FALSE)),1,0))</f>
        <v/>
      </c>
      <c r="BI122" s="193" t="str">
        <f t="shared" si="76"/>
        <v/>
      </c>
      <c r="BJ122" s="193" t="str">
        <f>IF($B122="", "", IF( AND( $AI122="ESTIMATIVA", OR( Defesa!$F$7 = "AUTOMÁTICA", Defesa!$F$7 ="100% BASELINE")), 1, 0))</f>
        <v/>
      </c>
      <c r="BK122" s="192" t="str">
        <f t="shared" si="91"/>
        <v/>
      </c>
      <c r="BL122" s="192">
        <f t="shared" si="77"/>
        <v>0</v>
      </c>
      <c r="BM122" s="192" t="str">
        <f>IF($AC122="", "", IF(ISNA(VLOOKUP($AC122, TABELAS!$Q:$Q, 1, FALSE)), 1, 0))</f>
        <v/>
      </c>
      <c r="BN122" s="194" t="str">
        <f t="shared" si="92"/>
        <v/>
      </c>
      <c r="BO122" s="192" t="str">
        <f t="shared" si="78"/>
        <v/>
      </c>
      <c r="BP122" s="192" t="str">
        <f t="shared" si="79"/>
        <v/>
      </c>
      <c r="BQ122" s="193" t="str">
        <f t="shared" si="80"/>
        <v/>
      </c>
      <c r="BR122" s="192" t="str">
        <f t="shared" si="81"/>
        <v/>
      </c>
      <c r="BS122" s="192" t="str">
        <f t="shared" si="82"/>
        <v/>
      </c>
      <c r="BT122" s="192" t="str">
        <f>IF(OR($B122="", $AH122 = "SIM"), "", IF( ISNA(VLOOKUP($AP122,#REF!, 1, FALSE)), 1, 0))</f>
        <v/>
      </c>
      <c r="BU122" s="192" t="str">
        <f t="shared" si="83"/>
        <v/>
      </c>
      <c r="BV122" s="192" t="str">
        <f>IF( $B122="", "", IF( ISNA(VLOOKUP($AN122, TABELAS!$T$2:$T$9,1,FALSE)), 1, 0))</f>
        <v/>
      </c>
      <c r="BW122" s="192" t="str">
        <f t="shared" si="84"/>
        <v/>
      </c>
      <c r="BX122" s="192" t="str">
        <f>IF( OR($B122="", $AH122 = "SIM"), "", IF( ISNA( VLOOKUP( $AQ122, SISTEMA!$B:$B, 1, FALSE)), 1, 0))</f>
        <v/>
      </c>
      <c r="BY122" s="193" t="str">
        <f t="shared" si="85"/>
        <v/>
      </c>
      <c r="BZ122" s="193" t="str">
        <f t="shared" si="86"/>
        <v/>
      </c>
      <c r="CA122" s="192" t="str">
        <f t="shared" si="87"/>
        <v/>
      </c>
      <c r="CB122" s="193" t="str">
        <f t="shared" si="88"/>
        <v/>
      </c>
      <c r="CC122" s="193" t="str">
        <f t="shared" si="89"/>
        <v/>
      </c>
      <c r="CD122" s="193" t="str">
        <f t="shared" si="90"/>
        <v/>
      </c>
    </row>
    <row r="123" spans="1:82" x14ac:dyDescent="0.2">
      <c r="A123" s="140"/>
      <c r="B123" s="141" t="str">
        <f t="shared" si="59"/>
        <v/>
      </c>
      <c r="C123" s="142" t="str">
        <f t="shared" si="47"/>
        <v/>
      </c>
      <c r="D123" s="142" t="str">
        <f t="shared" si="60"/>
        <v/>
      </c>
      <c r="E123" s="142" t="str">
        <f>IF($C123="", "", COUNTIF($M$8:$M123,$D123))</f>
        <v/>
      </c>
      <c r="F123" s="254">
        <v>116</v>
      </c>
      <c r="G123" s="143"/>
      <c r="H123" s="144"/>
      <c r="I123" s="144"/>
      <c r="J123" s="145"/>
      <c r="K123" s="144"/>
      <c r="L123" s="144"/>
      <c r="M123" s="144"/>
      <c r="N123" s="146"/>
      <c r="O123" s="147"/>
      <c r="P123" s="147"/>
      <c r="Q123" s="147"/>
      <c r="R123" s="147"/>
      <c r="S123" s="147"/>
      <c r="T123" s="149"/>
      <c r="U123" s="150" t="str">
        <f>IF($T123="", "", VLOOKUP($T123, CONTRATOS!$B:$E, 2, FALSE))</f>
        <v/>
      </c>
      <c r="V123" s="151">
        <f>IF(OR($T123="",TB_DEFESA!$C$2="CARGA BASELINE"),0,
   IF(VLOOKUP($T123, CONTRATOS!B:E, 3, FALSE)&lt;&gt;"",1,IF(VLOOKUP($T123, CONTRATOS!B:E, 4, FALSE)&lt;&gt;"",2,0)))</f>
        <v>0</v>
      </c>
      <c r="W123" s="152"/>
      <c r="X123" s="152"/>
      <c r="Y123" s="153"/>
      <c r="Z123" s="154"/>
      <c r="AA123" s="155"/>
      <c r="AB123" s="156"/>
      <c r="AC123" s="157"/>
      <c r="AD123" s="155"/>
      <c r="AE123" s="158" t="str">
        <f t="shared" si="48"/>
        <v/>
      </c>
      <c r="AF123" s="160" t="str">
        <f t="shared" si="61"/>
        <v/>
      </c>
      <c r="AG123" s="182" t="s">
        <v>59</v>
      </c>
      <c r="AH123" s="183" t="str">
        <f t="shared" si="62"/>
        <v/>
      </c>
      <c r="AI123" s="183" t="str">
        <f t="shared" si="63"/>
        <v/>
      </c>
      <c r="AJ123" s="184" t="str">
        <f t="shared" si="64"/>
        <v/>
      </c>
      <c r="AK123" s="185" t="str">
        <f t="shared" si="65"/>
        <v/>
      </c>
      <c r="AL123" s="186"/>
      <c r="AM123" s="183" t="str">
        <f t="shared" si="66"/>
        <v/>
      </c>
      <c r="AN123" s="183" t="str">
        <f t="shared" si="67"/>
        <v/>
      </c>
      <c r="AO123" s="186" t="str">
        <f t="shared" si="68"/>
        <v/>
      </c>
      <c r="AP123" s="187" t="str">
        <f t="shared" si="69"/>
        <v/>
      </c>
      <c r="AQ123" s="187" t="str">
        <f t="shared" si="70"/>
        <v/>
      </c>
      <c r="AR123" s="188" t="str">
        <f t="shared" si="49"/>
        <v/>
      </c>
      <c r="AS123" s="188" t="str">
        <f t="shared" si="50"/>
        <v/>
      </c>
      <c r="AT123" s="183" t="str">
        <f t="shared" si="51"/>
        <v/>
      </c>
      <c r="AU123" s="189" t="str">
        <f>IF(OR($B123="", $AP123= ""),"",IF(VLOOKUP($AP123, CONTRATOS!B:K,3,FALSE)="","",VLOOKUP($AP123, CONTRATOS!B:K, 3,FALSE)))</f>
        <v/>
      </c>
      <c r="AV123" s="189" t="str">
        <f>IF(OR($B123="", $AP123 = ""), "", IF(VLOOKUP($AP123, CONTRATOS!B:K,4,FALSE)="","",VLOOKUP($AP123, CONTRATOS!B:K,4, FALSE)))</f>
        <v/>
      </c>
      <c r="AW123" s="190" t="str">
        <f t="shared" si="52"/>
        <v/>
      </c>
      <c r="AX123" s="189" t="str">
        <f t="shared" si="53"/>
        <v/>
      </c>
      <c r="AY123" s="189" t="str">
        <f t="shared" si="54"/>
        <v/>
      </c>
      <c r="AZ123" s="189" t="str">
        <f t="shared" si="55"/>
        <v/>
      </c>
      <c r="BA123" s="189" t="str">
        <f t="shared" si="56"/>
        <v/>
      </c>
      <c r="BB123" s="191">
        <f t="shared" si="71"/>
        <v>0</v>
      </c>
      <c r="BC123" s="191" t="str">
        <f t="shared" si="72"/>
        <v/>
      </c>
      <c r="BD123" s="191" t="str">
        <f t="shared" si="73"/>
        <v/>
      </c>
      <c r="BF123" s="192">
        <f t="shared" si="74"/>
        <v>0</v>
      </c>
      <c r="BG123" s="192">
        <f t="shared" si="75"/>
        <v>0</v>
      </c>
      <c r="BH123" s="192" t="str">
        <f>IF( $B123="", "", IF(ISNA(VLOOKUP($C123, Defesa!$C$7:$C$29,1,FALSE)),1,0))</f>
        <v/>
      </c>
      <c r="BI123" s="193" t="str">
        <f t="shared" si="76"/>
        <v/>
      </c>
      <c r="BJ123" s="193" t="str">
        <f>IF($B123="", "", IF( AND( $AI123="ESTIMATIVA", OR( Defesa!$F$7 = "AUTOMÁTICA", Defesa!$F$7 ="100% BASELINE")), 1, 0))</f>
        <v/>
      </c>
      <c r="BK123" s="192" t="str">
        <f t="shared" si="91"/>
        <v/>
      </c>
      <c r="BL123" s="192">
        <f t="shared" si="77"/>
        <v>0</v>
      </c>
      <c r="BM123" s="192" t="str">
        <f>IF($AC123="", "", IF(ISNA(VLOOKUP($AC123, TABELAS!$Q:$Q, 1, FALSE)), 1, 0))</f>
        <v/>
      </c>
      <c r="BN123" s="194" t="str">
        <f t="shared" si="92"/>
        <v/>
      </c>
      <c r="BO123" s="192" t="str">
        <f t="shared" si="78"/>
        <v/>
      </c>
      <c r="BP123" s="192" t="str">
        <f t="shared" si="79"/>
        <v/>
      </c>
      <c r="BQ123" s="193" t="str">
        <f t="shared" si="80"/>
        <v/>
      </c>
      <c r="BR123" s="192" t="str">
        <f t="shared" si="81"/>
        <v/>
      </c>
      <c r="BS123" s="192" t="str">
        <f t="shared" si="82"/>
        <v/>
      </c>
      <c r="BT123" s="192" t="str">
        <f>IF(OR($B123="", $AH123 = "SIM"), "", IF( ISNA(VLOOKUP($AP123,#REF!, 1, FALSE)), 1, 0))</f>
        <v/>
      </c>
      <c r="BU123" s="192" t="str">
        <f t="shared" si="83"/>
        <v/>
      </c>
      <c r="BV123" s="192" t="str">
        <f>IF( $B123="", "", IF( ISNA(VLOOKUP($AN123, TABELAS!$T$2:$T$9,1,FALSE)), 1, 0))</f>
        <v/>
      </c>
      <c r="BW123" s="192" t="str">
        <f t="shared" si="84"/>
        <v/>
      </c>
      <c r="BX123" s="192" t="str">
        <f>IF( OR($B123="", $AH123 = "SIM"), "", IF( ISNA( VLOOKUP( $AQ123, SISTEMA!$B:$B, 1, FALSE)), 1, 0))</f>
        <v/>
      </c>
      <c r="BY123" s="193" t="str">
        <f t="shared" si="85"/>
        <v/>
      </c>
      <c r="BZ123" s="193" t="str">
        <f t="shared" si="86"/>
        <v/>
      </c>
      <c r="CA123" s="192" t="str">
        <f t="shared" si="87"/>
        <v/>
      </c>
      <c r="CB123" s="193" t="str">
        <f t="shared" si="88"/>
        <v/>
      </c>
      <c r="CC123" s="193" t="str">
        <f t="shared" si="89"/>
        <v/>
      </c>
      <c r="CD123" s="193" t="str">
        <f t="shared" si="90"/>
        <v/>
      </c>
    </row>
    <row r="124" spans="1:82" x14ac:dyDescent="0.2">
      <c r="A124" s="140"/>
      <c r="B124" s="141" t="str">
        <f t="shared" si="59"/>
        <v/>
      </c>
      <c r="C124" s="142" t="str">
        <f t="shared" si="47"/>
        <v/>
      </c>
      <c r="D124" s="142" t="str">
        <f t="shared" si="60"/>
        <v/>
      </c>
      <c r="E124" s="142" t="str">
        <f>IF($C124="", "", COUNTIF($M$8:$M124,$D124))</f>
        <v/>
      </c>
      <c r="F124" s="254">
        <v>117</v>
      </c>
      <c r="G124" s="143"/>
      <c r="H124" s="144"/>
      <c r="I124" s="144"/>
      <c r="J124" s="145"/>
      <c r="K124" s="144"/>
      <c r="L124" s="144"/>
      <c r="M124" s="144"/>
      <c r="N124" s="146"/>
      <c r="O124" s="147"/>
      <c r="P124" s="147"/>
      <c r="Q124" s="147"/>
      <c r="R124" s="147"/>
      <c r="S124" s="147"/>
      <c r="T124" s="149"/>
      <c r="U124" s="150" t="str">
        <f>IF($T124="", "", VLOOKUP($T124, CONTRATOS!$B:$E, 2, FALSE))</f>
        <v/>
      </c>
      <c r="V124" s="151">
        <f>IF(OR($T124="",TB_DEFESA!$C$2="CARGA BASELINE"),0,
   IF(VLOOKUP($T124, CONTRATOS!B:E, 3, FALSE)&lt;&gt;"",1,IF(VLOOKUP($T124, CONTRATOS!B:E, 4, FALSE)&lt;&gt;"",2,0)))</f>
        <v>0</v>
      </c>
      <c r="W124" s="152"/>
      <c r="X124" s="152"/>
      <c r="Y124" s="153"/>
      <c r="Z124" s="154"/>
      <c r="AA124" s="155"/>
      <c r="AB124" s="156"/>
      <c r="AC124" s="157"/>
      <c r="AD124" s="155"/>
      <c r="AE124" s="158" t="str">
        <f t="shared" si="48"/>
        <v/>
      </c>
      <c r="AF124" s="160" t="str">
        <f t="shared" si="61"/>
        <v/>
      </c>
      <c r="AG124" s="182" t="s">
        <v>59</v>
      </c>
      <c r="AH124" s="183" t="str">
        <f t="shared" si="62"/>
        <v/>
      </c>
      <c r="AI124" s="183" t="str">
        <f t="shared" si="63"/>
        <v/>
      </c>
      <c r="AJ124" s="184" t="str">
        <f t="shared" si="64"/>
        <v/>
      </c>
      <c r="AK124" s="185" t="str">
        <f t="shared" si="65"/>
        <v/>
      </c>
      <c r="AL124" s="186"/>
      <c r="AM124" s="183" t="str">
        <f t="shared" si="66"/>
        <v/>
      </c>
      <c r="AN124" s="183" t="str">
        <f t="shared" si="67"/>
        <v/>
      </c>
      <c r="AO124" s="186" t="str">
        <f t="shared" si="68"/>
        <v/>
      </c>
      <c r="AP124" s="187" t="str">
        <f t="shared" si="69"/>
        <v/>
      </c>
      <c r="AQ124" s="187" t="str">
        <f t="shared" si="70"/>
        <v/>
      </c>
      <c r="AR124" s="188" t="str">
        <f t="shared" si="49"/>
        <v/>
      </c>
      <c r="AS124" s="188" t="str">
        <f t="shared" si="50"/>
        <v/>
      </c>
      <c r="AT124" s="183" t="str">
        <f t="shared" si="51"/>
        <v/>
      </c>
      <c r="AU124" s="189" t="str">
        <f>IF(OR($B124="", $AP124= ""),"",IF(VLOOKUP($AP124, CONTRATOS!B:K,3,FALSE)="","",VLOOKUP($AP124, CONTRATOS!B:K, 3,FALSE)))</f>
        <v/>
      </c>
      <c r="AV124" s="189" t="str">
        <f>IF(OR($B124="", $AP124 = ""), "", IF(VLOOKUP($AP124, CONTRATOS!B:K,4,FALSE)="","",VLOOKUP($AP124, CONTRATOS!B:K,4, FALSE)))</f>
        <v/>
      </c>
      <c r="AW124" s="190" t="str">
        <f t="shared" si="52"/>
        <v/>
      </c>
      <c r="AX124" s="189" t="str">
        <f t="shared" si="53"/>
        <v/>
      </c>
      <c r="AY124" s="189" t="str">
        <f t="shared" si="54"/>
        <v/>
      </c>
      <c r="AZ124" s="189" t="str">
        <f t="shared" si="55"/>
        <v/>
      </c>
      <c r="BA124" s="189" t="str">
        <f t="shared" si="56"/>
        <v/>
      </c>
      <c r="BB124" s="191">
        <f t="shared" si="71"/>
        <v>0</v>
      </c>
      <c r="BC124" s="191" t="str">
        <f t="shared" si="72"/>
        <v/>
      </c>
      <c r="BD124" s="191" t="str">
        <f t="shared" si="73"/>
        <v/>
      </c>
      <c r="BF124" s="192">
        <f t="shared" si="74"/>
        <v>0</v>
      </c>
      <c r="BG124" s="192">
        <f t="shared" si="75"/>
        <v>0</v>
      </c>
      <c r="BH124" s="192" t="str">
        <f>IF( $B124="", "", IF(ISNA(VLOOKUP($C124, Defesa!$C$7:$C$29,1,FALSE)),1,0))</f>
        <v/>
      </c>
      <c r="BI124" s="193" t="str">
        <f t="shared" si="76"/>
        <v/>
      </c>
      <c r="BJ124" s="193" t="str">
        <f>IF($B124="", "", IF( AND( $AI124="ESTIMATIVA", OR( Defesa!$F$7 = "AUTOMÁTICA", Defesa!$F$7 ="100% BASELINE")), 1, 0))</f>
        <v/>
      </c>
      <c r="BK124" s="192" t="str">
        <f t="shared" si="91"/>
        <v/>
      </c>
      <c r="BL124" s="192">
        <f t="shared" si="77"/>
        <v>0</v>
      </c>
      <c r="BM124" s="192" t="str">
        <f>IF($AC124="", "", IF(ISNA(VLOOKUP($AC124, TABELAS!$Q:$Q, 1, FALSE)), 1, 0))</f>
        <v/>
      </c>
      <c r="BN124" s="194" t="str">
        <f t="shared" si="92"/>
        <v/>
      </c>
      <c r="BO124" s="192" t="str">
        <f t="shared" si="78"/>
        <v/>
      </c>
      <c r="BP124" s="192" t="str">
        <f t="shared" si="79"/>
        <v/>
      </c>
      <c r="BQ124" s="193" t="str">
        <f t="shared" si="80"/>
        <v/>
      </c>
      <c r="BR124" s="192" t="str">
        <f t="shared" si="81"/>
        <v/>
      </c>
      <c r="BS124" s="192" t="str">
        <f t="shared" si="82"/>
        <v/>
      </c>
      <c r="BT124" s="192" t="str">
        <f>IF(OR($B124="", $AH124 = "SIM"), "", IF( ISNA(VLOOKUP($AP124,#REF!, 1, FALSE)), 1, 0))</f>
        <v/>
      </c>
      <c r="BU124" s="192" t="str">
        <f t="shared" si="83"/>
        <v/>
      </c>
      <c r="BV124" s="192" t="str">
        <f>IF( $B124="", "", IF( ISNA(VLOOKUP($AN124, TABELAS!$T$2:$T$9,1,FALSE)), 1, 0))</f>
        <v/>
      </c>
      <c r="BW124" s="192" t="str">
        <f t="shared" si="84"/>
        <v/>
      </c>
      <c r="BX124" s="192" t="str">
        <f>IF( OR($B124="", $AH124 = "SIM"), "", IF( ISNA( VLOOKUP( $AQ124, SISTEMA!$B:$B, 1, FALSE)), 1, 0))</f>
        <v/>
      </c>
      <c r="BY124" s="193" t="str">
        <f t="shared" si="85"/>
        <v/>
      </c>
      <c r="BZ124" s="193" t="str">
        <f t="shared" si="86"/>
        <v/>
      </c>
      <c r="CA124" s="192" t="str">
        <f t="shared" si="87"/>
        <v/>
      </c>
      <c r="CB124" s="193" t="str">
        <f t="shared" si="88"/>
        <v/>
      </c>
      <c r="CC124" s="193" t="str">
        <f t="shared" si="89"/>
        <v/>
      </c>
      <c r="CD124" s="193" t="str">
        <f t="shared" si="90"/>
        <v/>
      </c>
    </row>
    <row r="125" spans="1:82" x14ac:dyDescent="0.2">
      <c r="A125" s="140"/>
      <c r="B125" s="141" t="str">
        <f t="shared" si="59"/>
        <v/>
      </c>
      <c r="C125" s="142" t="str">
        <f t="shared" si="47"/>
        <v/>
      </c>
      <c r="D125" s="142" t="str">
        <f t="shared" si="60"/>
        <v/>
      </c>
      <c r="E125" s="142" t="str">
        <f>IF($C125="", "", COUNTIF($M$8:$M125,$D125))</f>
        <v/>
      </c>
      <c r="F125" s="254">
        <v>118</v>
      </c>
      <c r="G125" s="143"/>
      <c r="H125" s="144"/>
      <c r="I125" s="144"/>
      <c r="J125" s="145"/>
      <c r="K125" s="144"/>
      <c r="L125" s="144"/>
      <c r="M125" s="144"/>
      <c r="N125" s="146"/>
      <c r="O125" s="147"/>
      <c r="P125" s="147"/>
      <c r="Q125" s="147"/>
      <c r="R125" s="147"/>
      <c r="S125" s="147"/>
      <c r="T125" s="149"/>
      <c r="U125" s="150" t="str">
        <f>IF($T125="", "", VLOOKUP($T125, CONTRATOS!$B:$E, 2, FALSE))</f>
        <v/>
      </c>
      <c r="V125" s="151">
        <f>IF(OR($T125="",TB_DEFESA!$C$2="CARGA BASELINE"),0,
   IF(VLOOKUP($T125, CONTRATOS!B:E, 3, FALSE)&lt;&gt;"",1,IF(VLOOKUP($T125, CONTRATOS!B:E, 4, FALSE)&lt;&gt;"",2,0)))</f>
        <v>0</v>
      </c>
      <c r="W125" s="152"/>
      <c r="X125" s="152"/>
      <c r="Y125" s="153"/>
      <c r="Z125" s="154"/>
      <c r="AA125" s="155"/>
      <c r="AB125" s="156"/>
      <c r="AC125" s="157"/>
      <c r="AD125" s="155"/>
      <c r="AE125" s="158" t="str">
        <f t="shared" si="48"/>
        <v/>
      </c>
      <c r="AF125" s="160" t="str">
        <f t="shared" si="61"/>
        <v/>
      </c>
      <c r="AG125" s="182" t="s">
        <v>59</v>
      </c>
      <c r="AH125" s="183" t="str">
        <f t="shared" si="62"/>
        <v/>
      </c>
      <c r="AI125" s="183" t="str">
        <f t="shared" si="63"/>
        <v/>
      </c>
      <c r="AJ125" s="184" t="str">
        <f t="shared" si="64"/>
        <v/>
      </c>
      <c r="AK125" s="185" t="str">
        <f t="shared" si="65"/>
        <v/>
      </c>
      <c r="AL125" s="186"/>
      <c r="AM125" s="183" t="str">
        <f t="shared" si="66"/>
        <v/>
      </c>
      <c r="AN125" s="183" t="str">
        <f t="shared" si="67"/>
        <v/>
      </c>
      <c r="AO125" s="186" t="str">
        <f t="shared" si="68"/>
        <v/>
      </c>
      <c r="AP125" s="187" t="str">
        <f t="shared" si="69"/>
        <v/>
      </c>
      <c r="AQ125" s="187" t="str">
        <f t="shared" si="70"/>
        <v/>
      </c>
      <c r="AR125" s="188" t="str">
        <f t="shared" si="49"/>
        <v/>
      </c>
      <c r="AS125" s="188" t="str">
        <f t="shared" si="50"/>
        <v/>
      </c>
      <c r="AT125" s="183" t="str">
        <f t="shared" si="51"/>
        <v/>
      </c>
      <c r="AU125" s="189" t="str">
        <f>IF(OR($B125="", $AP125= ""),"",IF(VLOOKUP($AP125, CONTRATOS!B:K,3,FALSE)="","",VLOOKUP($AP125, CONTRATOS!B:K, 3,FALSE)))</f>
        <v/>
      </c>
      <c r="AV125" s="189" t="str">
        <f>IF(OR($B125="", $AP125 = ""), "", IF(VLOOKUP($AP125, CONTRATOS!B:K,4,FALSE)="","",VLOOKUP($AP125, CONTRATOS!B:K,4, FALSE)))</f>
        <v/>
      </c>
      <c r="AW125" s="190" t="str">
        <f t="shared" si="52"/>
        <v/>
      </c>
      <c r="AX125" s="189" t="str">
        <f t="shared" si="53"/>
        <v/>
      </c>
      <c r="AY125" s="189" t="str">
        <f t="shared" si="54"/>
        <v/>
      </c>
      <c r="AZ125" s="189" t="str">
        <f t="shared" si="55"/>
        <v/>
      </c>
      <c r="BA125" s="189" t="str">
        <f t="shared" si="56"/>
        <v/>
      </c>
      <c r="BB125" s="191">
        <f t="shared" si="71"/>
        <v>0</v>
      </c>
      <c r="BC125" s="191" t="str">
        <f t="shared" si="72"/>
        <v/>
      </c>
      <c r="BD125" s="191" t="str">
        <f t="shared" si="73"/>
        <v/>
      </c>
      <c r="BF125" s="192">
        <f t="shared" si="74"/>
        <v>0</v>
      </c>
      <c r="BG125" s="192">
        <f t="shared" si="75"/>
        <v>0</v>
      </c>
      <c r="BH125" s="192" t="str">
        <f>IF( $B125="", "", IF(ISNA(VLOOKUP($C125, Defesa!$C$7:$C$29,1,FALSE)),1,0))</f>
        <v/>
      </c>
      <c r="BI125" s="193" t="str">
        <f t="shared" si="76"/>
        <v/>
      </c>
      <c r="BJ125" s="193" t="str">
        <f>IF($B125="", "", IF( AND( $AI125="ESTIMATIVA", OR( Defesa!$F$7 = "AUTOMÁTICA", Defesa!$F$7 ="100% BASELINE")), 1, 0))</f>
        <v/>
      </c>
      <c r="BK125" s="192" t="str">
        <f t="shared" si="91"/>
        <v/>
      </c>
      <c r="BL125" s="192">
        <f t="shared" si="77"/>
        <v>0</v>
      </c>
      <c r="BM125" s="192" t="str">
        <f>IF($AC125="", "", IF(ISNA(VLOOKUP($AC125, TABELAS!$Q:$Q, 1, FALSE)), 1, 0))</f>
        <v/>
      </c>
      <c r="BN125" s="194" t="str">
        <f t="shared" si="92"/>
        <v/>
      </c>
      <c r="BO125" s="192" t="str">
        <f t="shared" si="78"/>
        <v/>
      </c>
      <c r="BP125" s="192" t="str">
        <f t="shared" si="79"/>
        <v/>
      </c>
      <c r="BQ125" s="193" t="str">
        <f t="shared" si="80"/>
        <v/>
      </c>
      <c r="BR125" s="192" t="str">
        <f t="shared" si="81"/>
        <v/>
      </c>
      <c r="BS125" s="192" t="str">
        <f t="shared" si="82"/>
        <v/>
      </c>
      <c r="BT125" s="192" t="str">
        <f>IF(OR($B125="", $AH125 = "SIM"), "", IF( ISNA(VLOOKUP($AP125,#REF!, 1, FALSE)), 1, 0))</f>
        <v/>
      </c>
      <c r="BU125" s="192" t="str">
        <f t="shared" si="83"/>
        <v/>
      </c>
      <c r="BV125" s="192" t="str">
        <f>IF( $B125="", "", IF( ISNA(VLOOKUP($AN125, TABELAS!$T$2:$T$9,1,FALSE)), 1, 0))</f>
        <v/>
      </c>
      <c r="BW125" s="192" t="str">
        <f t="shared" si="84"/>
        <v/>
      </c>
      <c r="BX125" s="192" t="str">
        <f>IF( OR($B125="", $AH125 = "SIM"), "", IF( ISNA( VLOOKUP( $AQ125, SISTEMA!$B:$B, 1, FALSE)), 1, 0))</f>
        <v/>
      </c>
      <c r="BY125" s="193" t="str">
        <f t="shared" si="85"/>
        <v/>
      </c>
      <c r="BZ125" s="193" t="str">
        <f t="shared" si="86"/>
        <v/>
      </c>
      <c r="CA125" s="192" t="str">
        <f t="shared" si="87"/>
        <v/>
      </c>
      <c r="CB125" s="193" t="str">
        <f t="shared" si="88"/>
        <v/>
      </c>
      <c r="CC125" s="193" t="str">
        <f t="shared" si="89"/>
        <v/>
      </c>
      <c r="CD125" s="193" t="str">
        <f t="shared" si="90"/>
        <v/>
      </c>
    </row>
    <row r="126" spans="1:82" x14ac:dyDescent="0.2">
      <c r="A126" s="140"/>
      <c r="B126" s="141" t="str">
        <f t="shared" si="59"/>
        <v/>
      </c>
      <c r="C126" s="142" t="str">
        <f t="shared" si="47"/>
        <v/>
      </c>
      <c r="D126" s="142" t="str">
        <f t="shared" si="60"/>
        <v/>
      </c>
      <c r="E126" s="142" t="str">
        <f>IF($C126="", "", COUNTIF($M$8:$M126,$D126))</f>
        <v/>
      </c>
      <c r="F126" s="254">
        <v>119</v>
      </c>
      <c r="G126" s="143"/>
      <c r="H126" s="144"/>
      <c r="I126" s="144"/>
      <c r="J126" s="145"/>
      <c r="K126" s="144"/>
      <c r="L126" s="144"/>
      <c r="M126" s="144"/>
      <c r="N126" s="146"/>
      <c r="O126" s="147"/>
      <c r="P126" s="147"/>
      <c r="Q126" s="147"/>
      <c r="R126" s="147"/>
      <c r="S126" s="147"/>
      <c r="T126" s="149"/>
      <c r="U126" s="150" t="str">
        <f>IF($T126="", "", VLOOKUP($T126, CONTRATOS!$B:$E, 2, FALSE))</f>
        <v/>
      </c>
      <c r="V126" s="151">
        <f>IF(OR($T126="",TB_DEFESA!$C$2="CARGA BASELINE"),0,
   IF(VLOOKUP($T126, CONTRATOS!B:E, 3, FALSE)&lt;&gt;"",1,IF(VLOOKUP($T126, CONTRATOS!B:E, 4, FALSE)&lt;&gt;"",2,0)))</f>
        <v>0</v>
      </c>
      <c r="W126" s="152"/>
      <c r="X126" s="152"/>
      <c r="Y126" s="153"/>
      <c r="Z126" s="154"/>
      <c r="AA126" s="155"/>
      <c r="AB126" s="156"/>
      <c r="AC126" s="157"/>
      <c r="AD126" s="155"/>
      <c r="AE126" s="158" t="str">
        <f t="shared" si="48"/>
        <v/>
      </c>
      <c r="AF126" s="160" t="str">
        <f t="shared" si="61"/>
        <v/>
      </c>
      <c r="AG126" s="182" t="s">
        <v>59</v>
      </c>
      <c r="AH126" s="183" t="str">
        <f t="shared" si="62"/>
        <v/>
      </c>
      <c r="AI126" s="183" t="str">
        <f t="shared" si="63"/>
        <v/>
      </c>
      <c r="AJ126" s="184" t="str">
        <f t="shared" si="64"/>
        <v/>
      </c>
      <c r="AK126" s="185" t="str">
        <f t="shared" si="65"/>
        <v/>
      </c>
      <c r="AL126" s="186"/>
      <c r="AM126" s="183" t="str">
        <f t="shared" si="66"/>
        <v/>
      </c>
      <c r="AN126" s="183" t="str">
        <f t="shared" si="67"/>
        <v/>
      </c>
      <c r="AO126" s="186" t="str">
        <f t="shared" si="68"/>
        <v/>
      </c>
      <c r="AP126" s="187" t="str">
        <f t="shared" si="69"/>
        <v/>
      </c>
      <c r="AQ126" s="187" t="str">
        <f t="shared" si="70"/>
        <v/>
      </c>
      <c r="AR126" s="188" t="str">
        <f t="shared" si="49"/>
        <v/>
      </c>
      <c r="AS126" s="188" t="str">
        <f t="shared" si="50"/>
        <v/>
      </c>
      <c r="AT126" s="183" t="str">
        <f t="shared" si="51"/>
        <v/>
      </c>
      <c r="AU126" s="189" t="str">
        <f>IF(OR($B126="", $AP126= ""),"",IF(VLOOKUP($AP126, CONTRATOS!B:K,3,FALSE)="","",VLOOKUP($AP126, CONTRATOS!B:K, 3,FALSE)))</f>
        <v/>
      </c>
      <c r="AV126" s="189" t="str">
        <f>IF(OR($B126="", $AP126 = ""), "", IF(VLOOKUP($AP126, CONTRATOS!B:K,4,FALSE)="","",VLOOKUP($AP126, CONTRATOS!B:K,4, FALSE)))</f>
        <v/>
      </c>
      <c r="AW126" s="190" t="str">
        <f t="shared" si="52"/>
        <v/>
      </c>
      <c r="AX126" s="189" t="str">
        <f t="shared" si="53"/>
        <v/>
      </c>
      <c r="AY126" s="189" t="str">
        <f t="shared" si="54"/>
        <v/>
      </c>
      <c r="AZ126" s="189" t="str">
        <f t="shared" si="55"/>
        <v/>
      </c>
      <c r="BA126" s="189" t="str">
        <f t="shared" si="56"/>
        <v/>
      </c>
      <c r="BB126" s="191">
        <f t="shared" si="71"/>
        <v>0</v>
      </c>
      <c r="BC126" s="191" t="str">
        <f t="shared" si="72"/>
        <v/>
      </c>
      <c r="BD126" s="191" t="str">
        <f t="shared" si="73"/>
        <v/>
      </c>
      <c r="BF126" s="192">
        <f t="shared" si="74"/>
        <v>0</v>
      </c>
      <c r="BG126" s="192">
        <f t="shared" si="75"/>
        <v>0</v>
      </c>
      <c r="BH126" s="192" t="str">
        <f>IF( $B126="", "", IF(ISNA(VLOOKUP($C126, Defesa!$C$7:$C$29,1,FALSE)),1,0))</f>
        <v/>
      </c>
      <c r="BI126" s="193" t="str">
        <f t="shared" si="76"/>
        <v/>
      </c>
      <c r="BJ126" s="193" t="str">
        <f>IF($B126="", "", IF( AND( $AI126="ESTIMATIVA", OR( Defesa!$F$7 = "AUTOMÁTICA", Defesa!$F$7 ="100% BASELINE")), 1, 0))</f>
        <v/>
      </c>
      <c r="BK126" s="192" t="str">
        <f t="shared" si="91"/>
        <v/>
      </c>
      <c r="BL126" s="192">
        <f t="shared" si="77"/>
        <v>0</v>
      </c>
      <c r="BM126" s="192" t="str">
        <f>IF($AC126="", "", IF(ISNA(VLOOKUP($AC126, TABELAS!$Q:$Q, 1, FALSE)), 1, 0))</f>
        <v/>
      </c>
      <c r="BN126" s="194" t="str">
        <f t="shared" si="92"/>
        <v/>
      </c>
      <c r="BO126" s="192" t="str">
        <f t="shared" si="78"/>
        <v/>
      </c>
      <c r="BP126" s="192" t="str">
        <f t="shared" si="79"/>
        <v/>
      </c>
      <c r="BQ126" s="193" t="str">
        <f t="shared" si="80"/>
        <v/>
      </c>
      <c r="BR126" s="192" t="str">
        <f t="shared" si="81"/>
        <v/>
      </c>
      <c r="BS126" s="192" t="str">
        <f t="shared" si="82"/>
        <v/>
      </c>
      <c r="BT126" s="192" t="str">
        <f>IF(OR($B126="", $AH126 = "SIM"), "", IF( ISNA(VLOOKUP($AP126,#REF!, 1, FALSE)), 1, 0))</f>
        <v/>
      </c>
      <c r="BU126" s="192" t="str">
        <f t="shared" si="83"/>
        <v/>
      </c>
      <c r="BV126" s="192" t="str">
        <f>IF( $B126="", "", IF( ISNA(VLOOKUP($AN126, TABELAS!$T$2:$T$9,1,FALSE)), 1, 0))</f>
        <v/>
      </c>
      <c r="BW126" s="192" t="str">
        <f t="shared" si="84"/>
        <v/>
      </c>
      <c r="BX126" s="192" t="str">
        <f>IF( OR($B126="", $AH126 = "SIM"), "", IF( ISNA( VLOOKUP( $AQ126, SISTEMA!$B:$B, 1, FALSE)), 1, 0))</f>
        <v/>
      </c>
      <c r="BY126" s="193" t="str">
        <f t="shared" si="85"/>
        <v/>
      </c>
      <c r="BZ126" s="193" t="str">
        <f t="shared" si="86"/>
        <v/>
      </c>
      <c r="CA126" s="192" t="str">
        <f t="shared" si="87"/>
        <v/>
      </c>
      <c r="CB126" s="193" t="str">
        <f t="shared" si="88"/>
        <v/>
      </c>
      <c r="CC126" s="193" t="str">
        <f t="shared" si="89"/>
        <v/>
      </c>
      <c r="CD126" s="193" t="str">
        <f t="shared" si="90"/>
        <v/>
      </c>
    </row>
    <row r="127" spans="1:82" x14ac:dyDescent="0.2">
      <c r="A127" s="140"/>
      <c r="B127" s="141" t="str">
        <f t="shared" si="59"/>
        <v/>
      </c>
      <c r="C127" s="142" t="str">
        <f t="shared" si="47"/>
        <v/>
      </c>
      <c r="D127" s="142" t="str">
        <f t="shared" si="60"/>
        <v/>
      </c>
      <c r="E127" s="142" t="str">
        <f>IF($C127="", "", COUNTIF($M$8:$M127,$D127))</f>
        <v/>
      </c>
      <c r="F127" s="254">
        <v>120</v>
      </c>
      <c r="G127" s="143"/>
      <c r="H127" s="144"/>
      <c r="I127" s="144"/>
      <c r="J127" s="145"/>
      <c r="K127" s="144"/>
      <c r="L127" s="144"/>
      <c r="M127" s="144"/>
      <c r="N127" s="146"/>
      <c r="O127" s="147"/>
      <c r="P127" s="147"/>
      <c r="Q127" s="147"/>
      <c r="R127" s="147"/>
      <c r="S127" s="147"/>
      <c r="T127" s="149"/>
      <c r="U127" s="150" t="str">
        <f>IF($T127="", "", VLOOKUP($T127, CONTRATOS!$B:$E, 2, FALSE))</f>
        <v/>
      </c>
      <c r="V127" s="151">
        <f>IF(OR($T127="",TB_DEFESA!$C$2="CARGA BASELINE"),0,
   IF(VLOOKUP($T127, CONTRATOS!B:E, 3, FALSE)&lt;&gt;"",1,IF(VLOOKUP($T127, CONTRATOS!B:E, 4, FALSE)&lt;&gt;"",2,0)))</f>
        <v>0</v>
      </c>
      <c r="W127" s="152"/>
      <c r="X127" s="152"/>
      <c r="Y127" s="153"/>
      <c r="Z127" s="154"/>
      <c r="AA127" s="155"/>
      <c r="AB127" s="156"/>
      <c r="AC127" s="157"/>
      <c r="AD127" s="155"/>
      <c r="AE127" s="158" t="str">
        <f t="shared" si="48"/>
        <v/>
      </c>
      <c r="AF127" s="160" t="str">
        <f t="shared" si="61"/>
        <v/>
      </c>
      <c r="AG127" s="182" t="s">
        <v>59</v>
      </c>
      <c r="AH127" s="183" t="str">
        <f t="shared" si="62"/>
        <v/>
      </c>
      <c r="AI127" s="183" t="str">
        <f t="shared" si="63"/>
        <v/>
      </c>
      <c r="AJ127" s="184" t="str">
        <f t="shared" si="64"/>
        <v/>
      </c>
      <c r="AK127" s="185" t="str">
        <f t="shared" si="65"/>
        <v/>
      </c>
      <c r="AL127" s="186"/>
      <c r="AM127" s="183" t="str">
        <f t="shared" si="66"/>
        <v/>
      </c>
      <c r="AN127" s="183" t="str">
        <f t="shared" si="67"/>
        <v/>
      </c>
      <c r="AO127" s="186" t="str">
        <f t="shared" si="68"/>
        <v/>
      </c>
      <c r="AP127" s="187" t="str">
        <f t="shared" si="69"/>
        <v/>
      </c>
      <c r="AQ127" s="187" t="str">
        <f t="shared" si="70"/>
        <v/>
      </c>
      <c r="AR127" s="188" t="str">
        <f t="shared" si="49"/>
        <v/>
      </c>
      <c r="AS127" s="188" t="str">
        <f t="shared" si="50"/>
        <v/>
      </c>
      <c r="AT127" s="183" t="str">
        <f t="shared" si="51"/>
        <v/>
      </c>
      <c r="AU127" s="189" t="str">
        <f>IF(OR($B127="", $AP127= ""),"",IF(VLOOKUP($AP127, CONTRATOS!B:K,3,FALSE)="","",VLOOKUP($AP127, CONTRATOS!B:K, 3,FALSE)))</f>
        <v/>
      </c>
      <c r="AV127" s="189" t="str">
        <f>IF(OR($B127="", $AP127 = ""), "", IF(VLOOKUP($AP127, CONTRATOS!B:K,4,FALSE)="","",VLOOKUP($AP127, CONTRATOS!B:K,4, FALSE)))</f>
        <v/>
      </c>
      <c r="AW127" s="190" t="str">
        <f t="shared" si="52"/>
        <v/>
      </c>
      <c r="AX127" s="189" t="str">
        <f t="shared" si="53"/>
        <v/>
      </c>
      <c r="AY127" s="189" t="str">
        <f t="shared" si="54"/>
        <v/>
      </c>
      <c r="AZ127" s="189" t="str">
        <f t="shared" si="55"/>
        <v/>
      </c>
      <c r="BA127" s="189" t="str">
        <f t="shared" si="56"/>
        <v/>
      </c>
      <c r="BB127" s="191">
        <f t="shared" si="71"/>
        <v>0</v>
      </c>
      <c r="BC127" s="191" t="str">
        <f t="shared" si="72"/>
        <v/>
      </c>
      <c r="BD127" s="191" t="str">
        <f t="shared" si="73"/>
        <v/>
      </c>
      <c r="BF127" s="192">
        <f t="shared" si="74"/>
        <v>0</v>
      </c>
      <c r="BG127" s="192">
        <f t="shared" si="75"/>
        <v>0</v>
      </c>
      <c r="BH127" s="192" t="str">
        <f>IF( $B127="", "", IF(ISNA(VLOOKUP($C127, Defesa!$C$7:$C$29,1,FALSE)),1,0))</f>
        <v/>
      </c>
      <c r="BI127" s="193" t="str">
        <f t="shared" si="76"/>
        <v/>
      </c>
      <c r="BJ127" s="193" t="str">
        <f>IF($B127="", "", IF( AND( $AI127="ESTIMATIVA", OR( Defesa!$F$7 = "AUTOMÁTICA", Defesa!$F$7 ="100% BASELINE")), 1, 0))</f>
        <v/>
      </c>
      <c r="BK127" s="192" t="str">
        <f t="shared" si="91"/>
        <v/>
      </c>
      <c r="BL127" s="192">
        <f t="shared" si="77"/>
        <v>0</v>
      </c>
      <c r="BM127" s="192" t="str">
        <f>IF($AC127="", "", IF(ISNA(VLOOKUP($AC127, TABELAS!$Q:$Q, 1, FALSE)), 1, 0))</f>
        <v/>
      </c>
      <c r="BN127" s="194" t="str">
        <f t="shared" si="92"/>
        <v/>
      </c>
      <c r="BO127" s="192" t="str">
        <f t="shared" si="78"/>
        <v/>
      </c>
      <c r="BP127" s="192" t="str">
        <f t="shared" si="79"/>
        <v/>
      </c>
      <c r="BQ127" s="193" t="str">
        <f t="shared" si="80"/>
        <v/>
      </c>
      <c r="BR127" s="192" t="str">
        <f t="shared" si="81"/>
        <v/>
      </c>
      <c r="BS127" s="192" t="str">
        <f t="shared" si="82"/>
        <v/>
      </c>
      <c r="BT127" s="192" t="str">
        <f>IF(OR($B127="", $AH127 = "SIM"), "", IF( ISNA(VLOOKUP($AP127,#REF!, 1, FALSE)), 1, 0))</f>
        <v/>
      </c>
      <c r="BU127" s="192" t="str">
        <f t="shared" si="83"/>
        <v/>
      </c>
      <c r="BV127" s="192" t="str">
        <f>IF( $B127="", "", IF( ISNA(VLOOKUP($AN127, TABELAS!$T$2:$T$9,1,FALSE)), 1, 0))</f>
        <v/>
      </c>
      <c r="BW127" s="192" t="str">
        <f t="shared" si="84"/>
        <v/>
      </c>
      <c r="BX127" s="192" t="str">
        <f>IF( OR($B127="", $AH127 = "SIM"), "", IF( ISNA( VLOOKUP( $AQ127, SISTEMA!$B:$B, 1, FALSE)), 1, 0))</f>
        <v/>
      </c>
      <c r="BY127" s="193" t="str">
        <f t="shared" si="85"/>
        <v/>
      </c>
      <c r="BZ127" s="193" t="str">
        <f t="shared" si="86"/>
        <v/>
      </c>
      <c r="CA127" s="192" t="str">
        <f t="shared" si="87"/>
        <v/>
      </c>
      <c r="CB127" s="193" t="str">
        <f t="shared" si="88"/>
        <v/>
      </c>
      <c r="CC127" s="193" t="str">
        <f t="shared" si="89"/>
        <v/>
      </c>
      <c r="CD127" s="193" t="str">
        <f t="shared" si="90"/>
        <v/>
      </c>
    </row>
    <row r="128" spans="1:82" x14ac:dyDescent="0.2">
      <c r="A128" s="140"/>
      <c r="B128" s="141" t="str">
        <f t="shared" si="59"/>
        <v/>
      </c>
      <c r="C128" s="142" t="str">
        <f t="shared" si="47"/>
        <v/>
      </c>
      <c r="D128" s="142" t="str">
        <f t="shared" si="60"/>
        <v/>
      </c>
      <c r="E128" s="142" t="str">
        <f>IF($C128="", "", COUNTIF($M$8:$M128,$D128))</f>
        <v/>
      </c>
      <c r="F128" s="254">
        <v>121</v>
      </c>
      <c r="G128" s="143"/>
      <c r="H128" s="144"/>
      <c r="I128" s="144"/>
      <c r="J128" s="145"/>
      <c r="K128" s="144"/>
      <c r="L128" s="144"/>
      <c r="M128" s="144"/>
      <c r="N128" s="146"/>
      <c r="O128" s="147"/>
      <c r="P128" s="147"/>
      <c r="Q128" s="147"/>
      <c r="R128" s="147"/>
      <c r="S128" s="147"/>
      <c r="T128" s="149"/>
      <c r="U128" s="150" t="str">
        <f>IF($T128="", "", VLOOKUP($T128, CONTRATOS!$B:$E, 2, FALSE))</f>
        <v/>
      </c>
      <c r="V128" s="151">
        <f>IF(OR($T128="",TB_DEFESA!$C$2="CARGA BASELINE"),0,
   IF(VLOOKUP($T128, CONTRATOS!B:E, 3, FALSE)&lt;&gt;"",1,IF(VLOOKUP($T128, CONTRATOS!B:E, 4, FALSE)&lt;&gt;"",2,0)))</f>
        <v>0</v>
      </c>
      <c r="W128" s="152"/>
      <c r="X128" s="152"/>
      <c r="Y128" s="153"/>
      <c r="Z128" s="154"/>
      <c r="AA128" s="155"/>
      <c r="AB128" s="156"/>
      <c r="AC128" s="157"/>
      <c r="AD128" s="155"/>
      <c r="AE128" s="158" t="str">
        <f t="shared" si="48"/>
        <v/>
      </c>
      <c r="AF128" s="160" t="str">
        <f t="shared" si="61"/>
        <v/>
      </c>
      <c r="AG128" s="182" t="s">
        <v>59</v>
      </c>
      <c r="AH128" s="183" t="str">
        <f t="shared" si="62"/>
        <v/>
      </c>
      <c r="AI128" s="183" t="str">
        <f t="shared" si="63"/>
        <v/>
      </c>
      <c r="AJ128" s="184" t="str">
        <f t="shared" si="64"/>
        <v/>
      </c>
      <c r="AK128" s="185" t="str">
        <f t="shared" si="65"/>
        <v/>
      </c>
      <c r="AL128" s="186"/>
      <c r="AM128" s="183" t="str">
        <f t="shared" si="66"/>
        <v/>
      </c>
      <c r="AN128" s="183" t="str">
        <f t="shared" si="67"/>
        <v/>
      </c>
      <c r="AO128" s="186" t="str">
        <f t="shared" si="68"/>
        <v/>
      </c>
      <c r="AP128" s="187" t="str">
        <f t="shared" si="69"/>
        <v/>
      </c>
      <c r="AQ128" s="187" t="str">
        <f t="shared" si="70"/>
        <v/>
      </c>
      <c r="AR128" s="188" t="str">
        <f t="shared" si="49"/>
        <v/>
      </c>
      <c r="AS128" s="188" t="str">
        <f t="shared" si="50"/>
        <v/>
      </c>
      <c r="AT128" s="183" t="str">
        <f t="shared" si="51"/>
        <v/>
      </c>
      <c r="AU128" s="189" t="str">
        <f>IF(OR($B128="", $AP128= ""),"",IF(VLOOKUP($AP128, CONTRATOS!B:K,3,FALSE)="","",VLOOKUP($AP128, CONTRATOS!B:K, 3,FALSE)))</f>
        <v/>
      </c>
      <c r="AV128" s="189" t="str">
        <f>IF(OR($B128="", $AP128 = ""), "", IF(VLOOKUP($AP128, CONTRATOS!B:K,4,FALSE)="","",VLOOKUP($AP128, CONTRATOS!B:K,4, FALSE)))</f>
        <v/>
      </c>
      <c r="AW128" s="190" t="str">
        <f t="shared" si="52"/>
        <v/>
      </c>
      <c r="AX128" s="189" t="str">
        <f t="shared" si="53"/>
        <v/>
      </c>
      <c r="AY128" s="189" t="str">
        <f t="shared" si="54"/>
        <v/>
      </c>
      <c r="AZ128" s="189" t="str">
        <f t="shared" si="55"/>
        <v/>
      </c>
      <c r="BA128" s="189" t="str">
        <f t="shared" si="56"/>
        <v/>
      </c>
      <c r="BB128" s="191">
        <f t="shared" si="71"/>
        <v>0</v>
      </c>
      <c r="BC128" s="191" t="str">
        <f t="shared" si="72"/>
        <v/>
      </c>
      <c r="BD128" s="191" t="str">
        <f t="shared" si="73"/>
        <v/>
      </c>
      <c r="BF128" s="192">
        <f t="shared" si="74"/>
        <v>0</v>
      </c>
      <c r="BG128" s="192">
        <f t="shared" si="75"/>
        <v>0</v>
      </c>
      <c r="BH128" s="192" t="str">
        <f>IF( $B128="", "", IF(ISNA(VLOOKUP($C128, Defesa!$C$7:$C$29,1,FALSE)),1,0))</f>
        <v/>
      </c>
      <c r="BI128" s="193" t="str">
        <f t="shared" si="76"/>
        <v/>
      </c>
      <c r="BJ128" s="193" t="str">
        <f>IF($B128="", "", IF( AND( $AI128="ESTIMATIVA", OR( Defesa!$F$7 = "AUTOMÁTICA", Defesa!$F$7 ="100% BASELINE")), 1, 0))</f>
        <v/>
      </c>
      <c r="BK128" s="192" t="str">
        <f t="shared" si="91"/>
        <v/>
      </c>
      <c r="BL128" s="192">
        <f t="shared" si="77"/>
        <v>0</v>
      </c>
      <c r="BM128" s="192" t="str">
        <f>IF($AC128="", "", IF(ISNA(VLOOKUP($AC128, TABELAS!$Q:$Q, 1, FALSE)), 1, 0))</f>
        <v/>
      </c>
      <c r="BN128" s="194" t="str">
        <f t="shared" si="92"/>
        <v/>
      </c>
      <c r="BO128" s="192" t="str">
        <f t="shared" si="78"/>
        <v/>
      </c>
      <c r="BP128" s="192" t="str">
        <f t="shared" si="79"/>
        <v/>
      </c>
      <c r="BQ128" s="193" t="str">
        <f t="shared" si="80"/>
        <v/>
      </c>
      <c r="BR128" s="192" t="str">
        <f t="shared" si="81"/>
        <v/>
      </c>
      <c r="BS128" s="192" t="str">
        <f t="shared" si="82"/>
        <v/>
      </c>
      <c r="BT128" s="192" t="str">
        <f>IF(OR($B128="", $AH128 = "SIM"), "", IF( ISNA(VLOOKUP($AP128,#REF!, 1, FALSE)), 1, 0))</f>
        <v/>
      </c>
      <c r="BU128" s="192" t="str">
        <f t="shared" si="83"/>
        <v/>
      </c>
      <c r="BV128" s="192" t="str">
        <f>IF( $B128="", "", IF( ISNA(VLOOKUP($AN128, TABELAS!$T$2:$T$9,1,FALSE)), 1, 0))</f>
        <v/>
      </c>
      <c r="BW128" s="192" t="str">
        <f t="shared" si="84"/>
        <v/>
      </c>
      <c r="BX128" s="192" t="str">
        <f>IF( OR($B128="", $AH128 = "SIM"), "", IF( ISNA( VLOOKUP( $AQ128, SISTEMA!$B:$B, 1, FALSE)), 1, 0))</f>
        <v/>
      </c>
      <c r="BY128" s="193" t="str">
        <f t="shared" si="85"/>
        <v/>
      </c>
      <c r="BZ128" s="193" t="str">
        <f t="shared" si="86"/>
        <v/>
      </c>
      <c r="CA128" s="192" t="str">
        <f t="shared" si="87"/>
        <v/>
      </c>
      <c r="CB128" s="193" t="str">
        <f t="shared" si="88"/>
        <v/>
      </c>
      <c r="CC128" s="193" t="str">
        <f t="shared" si="89"/>
        <v/>
      </c>
      <c r="CD128" s="193" t="str">
        <f t="shared" si="90"/>
        <v/>
      </c>
    </row>
    <row r="129" spans="1:82" x14ac:dyDescent="0.2">
      <c r="A129" s="140"/>
      <c r="B129" s="141" t="str">
        <f t="shared" si="59"/>
        <v/>
      </c>
      <c r="C129" s="142" t="str">
        <f t="shared" si="47"/>
        <v/>
      </c>
      <c r="D129" s="142" t="str">
        <f t="shared" si="60"/>
        <v/>
      </c>
      <c r="E129" s="142" t="str">
        <f>IF($C129="", "", COUNTIF($M$8:$M129,$D129))</f>
        <v/>
      </c>
      <c r="F129" s="254">
        <v>122</v>
      </c>
      <c r="G129" s="143"/>
      <c r="H129" s="144"/>
      <c r="I129" s="144"/>
      <c r="J129" s="145"/>
      <c r="K129" s="144"/>
      <c r="L129" s="144"/>
      <c r="M129" s="144"/>
      <c r="N129" s="146"/>
      <c r="O129" s="147"/>
      <c r="P129" s="147"/>
      <c r="Q129" s="147"/>
      <c r="R129" s="147"/>
      <c r="S129" s="147"/>
      <c r="T129" s="149"/>
      <c r="U129" s="150" t="str">
        <f>IF($T129="", "", VLOOKUP($T129, CONTRATOS!$B:$E, 2, FALSE))</f>
        <v/>
      </c>
      <c r="V129" s="151">
        <f>IF(OR($T129="",TB_DEFESA!$C$2="CARGA BASELINE"),0,
   IF(VLOOKUP($T129, CONTRATOS!B:E, 3, FALSE)&lt;&gt;"",1,IF(VLOOKUP($T129, CONTRATOS!B:E, 4, FALSE)&lt;&gt;"",2,0)))</f>
        <v>0</v>
      </c>
      <c r="W129" s="152"/>
      <c r="X129" s="152"/>
      <c r="Y129" s="153"/>
      <c r="Z129" s="154"/>
      <c r="AA129" s="155"/>
      <c r="AB129" s="156"/>
      <c r="AC129" s="157"/>
      <c r="AD129" s="155"/>
      <c r="AE129" s="158" t="str">
        <f t="shared" si="48"/>
        <v/>
      </c>
      <c r="AF129" s="160" t="str">
        <f t="shared" si="61"/>
        <v/>
      </c>
      <c r="AG129" s="182" t="s">
        <v>59</v>
      </c>
      <c r="AH129" s="183" t="str">
        <f t="shared" si="62"/>
        <v/>
      </c>
      <c r="AI129" s="183" t="str">
        <f t="shared" si="63"/>
        <v/>
      </c>
      <c r="AJ129" s="184" t="str">
        <f t="shared" si="64"/>
        <v/>
      </c>
      <c r="AK129" s="185" t="str">
        <f t="shared" si="65"/>
        <v/>
      </c>
      <c r="AL129" s="186"/>
      <c r="AM129" s="183" t="str">
        <f t="shared" si="66"/>
        <v/>
      </c>
      <c r="AN129" s="183" t="str">
        <f t="shared" si="67"/>
        <v/>
      </c>
      <c r="AO129" s="186" t="str">
        <f t="shared" si="68"/>
        <v/>
      </c>
      <c r="AP129" s="187" t="str">
        <f t="shared" si="69"/>
        <v/>
      </c>
      <c r="AQ129" s="187" t="str">
        <f t="shared" si="70"/>
        <v/>
      </c>
      <c r="AR129" s="188" t="str">
        <f t="shared" si="49"/>
        <v/>
      </c>
      <c r="AS129" s="188" t="str">
        <f t="shared" si="50"/>
        <v/>
      </c>
      <c r="AT129" s="183" t="str">
        <f t="shared" si="51"/>
        <v/>
      </c>
      <c r="AU129" s="189" t="str">
        <f>IF(OR($B129="", $AP129= ""),"",IF(VLOOKUP($AP129, CONTRATOS!B:K,3,FALSE)="","",VLOOKUP($AP129, CONTRATOS!B:K, 3,FALSE)))</f>
        <v/>
      </c>
      <c r="AV129" s="189" t="str">
        <f>IF(OR($B129="", $AP129 = ""), "", IF(VLOOKUP($AP129, CONTRATOS!B:K,4,FALSE)="","",VLOOKUP($AP129, CONTRATOS!B:K,4, FALSE)))</f>
        <v/>
      </c>
      <c r="AW129" s="190" t="str">
        <f t="shared" si="52"/>
        <v/>
      </c>
      <c r="AX129" s="189" t="str">
        <f t="shared" si="53"/>
        <v/>
      </c>
      <c r="AY129" s="189" t="str">
        <f t="shared" si="54"/>
        <v/>
      </c>
      <c r="AZ129" s="189" t="str">
        <f t="shared" si="55"/>
        <v/>
      </c>
      <c r="BA129" s="189" t="str">
        <f t="shared" si="56"/>
        <v/>
      </c>
      <c r="BB129" s="191">
        <f t="shared" si="71"/>
        <v>0</v>
      </c>
      <c r="BC129" s="191" t="str">
        <f t="shared" si="72"/>
        <v/>
      </c>
      <c r="BD129" s="191" t="str">
        <f t="shared" si="73"/>
        <v/>
      </c>
      <c r="BF129" s="192">
        <f t="shared" si="74"/>
        <v>0</v>
      </c>
      <c r="BG129" s="192">
        <f t="shared" si="75"/>
        <v>0</v>
      </c>
      <c r="BH129" s="192" t="str">
        <f>IF( $B129="", "", IF(ISNA(VLOOKUP($C129, Defesa!$C$7:$C$29,1,FALSE)),1,0))</f>
        <v/>
      </c>
      <c r="BI129" s="193" t="str">
        <f t="shared" si="76"/>
        <v/>
      </c>
      <c r="BJ129" s="193" t="str">
        <f>IF($B129="", "", IF( AND( $AI129="ESTIMATIVA", OR( Defesa!$F$7 = "AUTOMÁTICA", Defesa!$F$7 ="100% BASELINE")), 1, 0))</f>
        <v/>
      </c>
      <c r="BK129" s="192" t="str">
        <f t="shared" si="91"/>
        <v/>
      </c>
      <c r="BL129" s="192">
        <f t="shared" si="77"/>
        <v>0</v>
      </c>
      <c r="BM129" s="192" t="str">
        <f>IF($AC129="", "", IF(ISNA(VLOOKUP($AC129, TABELAS!$Q:$Q, 1, FALSE)), 1, 0))</f>
        <v/>
      </c>
      <c r="BN129" s="194" t="str">
        <f t="shared" si="92"/>
        <v/>
      </c>
      <c r="BO129" s="192" t="str">
        <f t="shared" si="78"/>
        <v/>
      </c>
      <c r="BP129" s="192" t="str">
        <f t="shared" si="79"/>
        <v/>
      </c>
      <c r="BQ129" s="193" t="str">
        <f t="shared" si="80"/>
        <v/>
      </c>
      <c r="BR129" s="192" t="str">
        <f t="shared" si="81"/>
        <v/>
      </c>
      <c r="BS129" s="192" t="str">
        <f t="shared" si="82"/>
        <v/>
      </c>
      <c r="BT129" s="192" t="str">
        <f>IF(OR($B129="", $AH129 = "SIM"), "", IF( ISNA(VLOOKUP($AP129,#REF!, 1, FALSE)), 1, 0))</f>
        <v/>
      </c>
      <c r="BU129" s="192" t="str">
        <f t="shared" si="83"/>
        <v/>
      </c>
      <c r="BV129" s="192" t="str">
        <f>IF( $B129="", "", IF( ISNA(VLOOKUP($AN129, TABELAS!$T$2:$T$9,1,FALSE)), 1, 0))</f>
        <v/>
      </c>
      <c r="BW129" s="192" t="str">
        <f t="shared" si="84"/>
        <v/>
      </c>
      <c r="BX129" s="192" t="str">
        <f>IF( OR($B129="", $AH129 = "SIM"), "", IF( ISNA( VLOOKUP( $AQ129, SISTEMA!$B:$B, 1, FALSE)), 1, 0))</f>
        <v/>
      </c>
      <c r="BY129" s="193" t="str">
        <f t="shared" si="85"/>
        <v/>
      </c>
      <c r="BZ129" s="193" t="str">
        <f t="shared" si="86"/>
        <v/>
      </c>
      <c r="CA129" s="192" t="str">
        <f t="shared" si="87"/>
        <v/>
      </c>
      <c r="CB129" s="193" t="str">
        <f t="shared" si="88"/>
        <v/>
      </c>
      <c r="CC129" s="193" t="str">
        <f t="shared" si="89"/>
        <v/>
      </c>
      <c r="CD129" s="193" t="str">
        <f t="shared" si="90"/>
        <v/>
      </c>
    </row>
    <row r="130" spans="1:82" x14ac:dyDescent="0.2">
      <c r="A130" s="140"/>
      <c r="B130" s="141" t="str">
        <f t="shared" si="59"/>
        <v/>
      </c>
      <c r="C130" s="142" t="str">
        <f t="shared" si="47"/>
        <v/>
      </c>
      <c r="D130" s="142" t="str">
        <f t="shared" si="60"/>
        <v/>
      </c>
      <c r="E130" s="142" t="str">
        <f>IF($C130="", "", COUNTIF($M$8:$M130,$D130))</f>
        <v/>
      </c>
      <c r="F130" s="254">
        <v>123</v>
      </c>
      <c r="G130" s="143"/>
      <c r="H130" s="144"/>
      <c r="I130" s="144"/>
      <c r="J130" s="145"/>
      <c r="K130" s="144"/>
      <c r="L130" s="144"/>
      <c r="M130" s="144"/>
      <c r="N130" s="146"/>
      <c r="O130" s="147"/>
      <c r="P130" s="147"/>
      <c r="Q130" s="147"/>
      <c r="R130" s="147"/>
      <c r="S130" s="147"/>
      <c r="T130" s="149"/>
      <c r="U130" s="150" t="str">
        <f>IF($T130="", "", VLOOKUP($T130, CONTRATOS!$B:$E, 2, FALSE))</f>
        <v/>
      </c>
      <c r="V130" s="151">
        <f>IF(OR($T130="",TB_DEFESA!$C$2="CARGA BASELINE"),0,
   IF(VLOOKUP($T130, CONTRATOS!B:E, 3, FALSE)&lt;&gt;"",1,IF(VLOOKUP($T130, CONTRATOS!B:E, 4, FALSE)&lt;&gt;"",2,0)))</f>
        <v>0</v>
      </c>
      <c r="W130" s="152"/>
      <c r="X130" s="152"/>
      <c r="Y130" s="153"/>
      <c r="Z130" s="154"/>
      <c r="AA130" s="155"/>
      <c r="AB130" s="156"/>
      <c r="AC130" s="157"/>
      <c r="AD130" s="155"/>
      <c r="AE130" s="158" t="str">
        <f t="shared" si="48"/>
        <v/>
      </c>
      <c r="AF130" s="160" t="str">
        <f t="shared" si="61"/>
        <v/>
      </c>
      <c r="AG130" s="182" t="s">
        <v>59</v>
      </c>
      <c r="AH130" s="183" t="str">
        <f t="shared" si="62"/>
        <v/>
      </c>
      <c r="AI130" s="183" t="str">
        <f t="shared" si="63"/>
        <v/>
      </c>
      <c r="AJ130" s="184" t="str">
        <f t="shared" si="64"/>
        <v/>
      </c>
      <c r="AK130" s="185" t="str">
        <f t="shared" si="65"/>
        <v/>
      </c>
      <c r="AL130" s="186"/>
      <c r="AM130" s="183" t="str">
        <f t="shared" si="66"/>
        <v/>
      </c>
      <c r="AN130" s="183" t="str">
        <f t="shared" si="67"/>
        <v/>
      </c>
      <c r="AO130" s="186" t="str">
        <f t="shared" si="68"/>
        <v/>
      </c>
      <c r="AP130" s="187" t="str">
        <f t="shared" si="69"/>
        <v/>
      </c>
      <c r="AQ130" s="187" t="str">
        <f t="shared" si="70"/>
        <v/>
      </c>
      <c r="AR130" s="188" t="str">
        <f t="shared" si="49"/>
        <v/>
      </c>
      <c r="AS130" s="188" t="str">
        <f t="shared" si="50"/>
        <v/>
      </c>
      <c r="AT130" s="183" t="str">
        <f t="shared" si="51"/>
        <v/>
      </c>
      <c r="AU130" s="189" t="str">
        <f>IF(OR($B130="", $AP130= ""),"",IF(VLOOKUP($AP130, CONTRATOS!B:K,3,FALSE)="","",VLOOKUP($AP130, CONTRATOS!B:K, 3,FALSE)))</f>
        <v/>
      </c>
      <c r="AV130" s="189" t="str">
        <f>IF(OR($B130="", $AP130 = ""), "", IF(VLOOKUP($AP130, CONTRATOS!B:K,4,FALSE)="","",VLOOKUP($AP130, CONTRATOS!B:K,4, FALSE)))</f>
        <v/>
      </c>
      <c r="AW130" s="190" t="str">
        <f t="shared" si="52"/>
        <v/>
      </c>
      <c r="AX130" s="189" t="str">
        <f t="shared" si="53"/>
        <v/>
      </c>
      <c r="AY130" s="189" t="str">
        <f t="shared" si="54"/>
        <v/>
      </c>
      <c r="AZ130" s="189" t="str">
        <f t="shared" si="55"/>
        <v/>
      </c>
      <c r="BA130" s="189" t="str">
        <f t="shared" si="56"/>
        <v/>
      </c>
      <c r="BB130" s="191">
        <f t="shared" si="71"/>
        <v>0</v>
      </c>
      <c r="BC130" s="191" t="str">
        <f t="shared" si="72"/>
        <v/>
      </c>
      <c r="BD130" s="191" t="str">
        <f t="shared" si="73"/>
        <v/>
      </c>
      <c r="BF130" s="192">
        <f t="shared" si="74"/>
        <v>0</v>
      </c>
      <c r="BG130" s="192">
        <f t="shared" si="75"/>
        <v>0</v>
      </c>
      <c r="BH130" s="192" t="str">
        <f>IF( $B130="", "", IF(ISNA(VLOOKUP($C130, Defesa!$C$7:$C$29,1,FALSE)),1,0))</f>
        <v/>
      </c>
      <c r="BI130" s="193" t="str">
        <f t="shared" si="76"/>
        <v/>
      </c>
      <c r="BJ130" s="193" t="str">
        <f>IF($B130="", "", IF( AND( $AI130="ESTIMATIVA", OR( Defesa!$F$7 = "AUTOMÁTICA", Defesa!$F$7 ="100% BASELINE")), 1, 0))</f>
        <v/>
      </c>
      <c r="BK130" s="192" t="str">
        <f t="shared" si="91"/>
        <v/>
      </c>
      <c r="BL130" s="192">
        <f t="shared" si="77"/>
        <v>0</v>
      </c>
      <c r="BM130" s="192" t="str">
        <f>IF($AC130="", "", IF(ISNA(VLOOKUP($AC130, TABELAS!$Q:$Q, 1, FALSE)), 1, 0))</f>
        <v/>
      </c>
      <c r="BN130" s="194" t="str">
        <f t="shared" si="92"/>
        <v/>
      </c>
      <c r="BO130" s="192" t="str">
        <f t="shared" si="78"/>
        <v/>
      </c>
      <c r="BP130" s="192" t="str">
        <f t="shared" si="79"/>
        <v/>
      </c>
      <c r="BQ130" s="193" t="str">
        <f t="shared" si="80"/>
        <v/>
      </c>
      <c r="BR130" s="192" t="str">
        <f t="shared" si="81"/>
        <v/>
      </c>
      <c r="BS130" s="192" t="str">
        <f t="shared" si="82"/>
        <v/>
      </c>
      <c r="BT130" s="192" t="str">
        <f>IF(OR($B130="", $AH130 = "SIM"), "", IF( ISNA(VLOOKUP($AP130,#REF!, 1, FALSE)), 1, 0))</f>
        <v/>
      </c>
      <c r="BU130" s="192" t="str">
        <f t="shared" si="83"/>
        <v/>
      </c>
      <c r="BV130" s="192" t="str">
        <f>IF( $B130="", "", IF( ISNA(VLOOKUP($AN130, TABELAS!$T$2:$T$9,1,FALSE)), 1, 0))</f>
        <v/>
      </c>
      <c r="BW130" s="192" t="str">
        <f t="shared" si="84"/>
        <v/>
      </c>
      <c r="BX130" s="192" t="str">
        <f>IF( OR($B130="", $AH130 = "SIM"), "", IF( ISNA( VLOOKUP( $AQ130, SISTEMA!$B:$B, 1, FALSE)), 1, 0))</f>
        <v/>
      </c>
      <c r="BY130" s="193" t="str">
        <f t="shared" si="85"/>
        <v/>
      </c>
      <c r="BZ130" s="193" t="str">
        <f t="shared" si="86"/>
        <v/>
      </c>
      <c r="CA130" s="192" t="str">
        <f t="shared" si="87"/>
        <v/>
      </c>
      <c r="CB130" s="193" t="str">
        <f t="shared" si="88"/>
        <v/>
      </c>
      <c r="CC130" s="193" t="str">
        <f t="shared" si="89"/>
        <v/>
      </c>
      <c r="CD130" s="193" t="str">
        <f t="shared" si="90"/>
        <v/>
      </c>
    </row>
    <row r="131" spans="1:82" x14ac:dyDescent="0.2">
      <c r="A131" s="140"/>
      <c r="B131" s="141" t="str">
        <f t="shared" si="59"/>
        <v/>
      </c>
      <c r="C131" s="142" t="str">
        <f t="shared" si="47"/>
        <v/>
      </c>
      <c r="D131" s="142" t="str">
        <f t="shared" si="60"/>
        <v/>
      </c>
      <c r="E131" s="142" t="str">
        <f>IF($C131="", "", COUNTIF($M$8:$M131,$D131))</f>
        <v/>
      </c>
      <c r="F131" s="254">
        <v>124</v>
      </c>
      <c r="G131" s="143"/>
      <c r="H131" s="144"/>
      <c r="I131" s="144"/>
      <c r="J131" s="145"/>
      <c r="K131" s="144"/>
      <c r="L131" s="144"/>
      <c r="M131" s="144"/>
      <c r="N131" s="146"/>
      <c r="O131" s="147"/>
      <c r="P131" s="147"/>
      <c r="Q131" s="147"/>
      <c r="R131" s="147"/>
      <c r="S131" s="147"/>
      <c r="T131" s="149"/>
      <c r="U131" s="150" t="str">
        <f>IF($T131="", "", VLOOKUP($T131, CONTRATOS!$B:$E, 2, FALSE))</f>
        <v/>
      </c>
      <c r="V131" s="151">
        <f>IF(OR($T131="",TB_DEFESA!$C$2="CARGA BASELINE"),0,
   IF(VLOOKUP($T131, CONTRATOS!B:E, 3, FALSE)&lt;&gt;"",1,IF(VLOOKUP($T131, CONTRATOS!B:E, 4, FALSE)&lt;&gt;"",2,0)))</f>
        <v>0</v>
      </c>
      <c r="W131" s="152"/>
      <c r="X131" s="152"/>
      <c r="Y131" s="153"/>
      <c r="Z131" s="154"/>
      <c r="AA131" s="155"/>
      <c r="AB131" s="156"/>
      <c r="AC131" s="157"/>
      <c r="AD131" s="155"/>
      <c r="AE131" s="158" t="str">
        <f t="shared" si="48"/>
        <v/>
      </c>
      <c r="AF131" s="160" t="str">
        <f t="shared" si="61"/>
        <v/>
      </c>
      <c r="AG131" s="182" t="s">
        <v>59</v>
      </c>
      <c r="AH131" s="183" t="str">
        <f t="shared" si="62"/>
        <v/>
      </c>
      <c r="AI131" s="183" t="str">
        <f t="shared" si="63"/>
        <v/>
      </c>
      <c r="AJ131" s="184" t="str">
        <f t="shared" si="64"/>
        <v/>
      </c>
      <c r="AK131" s="185" t="str">
        <f t="shared" si="65"/>
        <v/>
      </c>
      <c r="AL131" s="186"/>
      <c r="AM131" s="183" t="str">
        <f t="shared" si="66"/>
        <v/>
      </c>
      <c r="AN131" s="183" t="str">
        <f t="shared" si="67"/>
        <v/>
      </c>
      <c r="AO131" s="186" t="str">
        <f t="shared" si="68"/>
        <v/>
      </c>
      <c r="AP131" s="187" t="str">
        <f t="shared" si="69"/>
        <v/>
      </c>
      <c r="AQ131" s="187" t="str">
        <f t="shared" si="70"/>
        <v/>
      </c>
      <c r="AR131" s="188" t="str">
        <f t="shared" si="49"/>
        <v/>
      </c>
      <c r="AS131" s="188" t="str">
        <f t="shared" si="50"/>
        <v/>
      </c>
      <c r="AT131" s="183" t="str">
        <f t="shared" si="51"/>
        <v/>
      </c>
      <c r="AU131" s="189" t="str">
        <f>IF(OR($B131="", $AP131= ""),"",IF(VLOOKUP($AP131, CONTRATOS!B:K,3,FALSE)="","",VLOOKUP($AP131, CONTRATOS!B:K, 3,FALSE)))</f>
        <v/>
      </c>
      <c r="AV131" s="189" t="str">
        <f>IF(OR($B131="", $AP131 = ""), "", IF(VLOOKUP($AP131, CONTRATOS!B:K,4,FALSE)="","",VLOOKUP($AP131, CONTRATOS!B:K,4, FALSE)))</f>
        <v/>
      </c>
      <c r="AW131" s="190" t="str">
        <f t="shared" si="52"/>
        <v/>
      </c>
      <c r="AX131" s="189" t="str">
        <f t="shared" si="53"/>
        <v/>
      </c>
      <c r="AY131" s="189" t="str">
        <f t="shared" si="54"/>
        <v/>
      </c>
      <c r="AZ131" s="189" t="str">
        <f t="shared" si="55"/>
        <v/>
      </c>
      <c r="BA131" s="189" t="str">
        <f t="shared" si="56"/>
        <v/>
      </c>
      <c r="BB131" s="191">
        <f t="shared" si="71"/>
        <v>0</v>
      </c>
      <c r="BC131" s="191" t="str">
        <f t="shared" si="72"/>
        <v/>
      </c>
      <c r="BD131" s="191" t="str">
        <f t="shared" si="73"/>
        <v/>
      </c>
      <c r="BF131" s="192">
        <f t="shared" si="74"/>
        <v>0</v>
      </c>
      <c r="BG131" s="192">
        <f t="shared" si="75"/>
        <v>0</v>
      </c>
      <c r="BH131" s="192" t="str">
        <f>IF( $B131="", "", IF(ISNA(VLOOKUP($C131, Defesa!$C$7:$C$29,1,FALSE)),1,0))</f>
        <v/>
      </c>
      <c r="BI131" s="193" t="str">
        <f t="shared" si="76"/>
        <v/>
      </c>
      <c r="BJ131" s="193" t="str">
        <f>IF($B131="", "", IF( AND( $AI131="ESTIMATIVA", OR( Defesa!$F$7 = "AUTOMÁTICA", Defesa!$F$7 ="100% BASELINE")), 1, 0))</f>
        <v/>
      </c>
      <c r="BK131" s="192" t="str">
        <f t="shared" si="91"/>
        <v/>
      </c>
      <c r="BL131" s="192">
        <f t="shared" si="77"/>
        <v>0</v>
      </c>
      <c r="BM131" s="192" t="str">
        <f>IF($AC131="", "", IF(ISNA(VLOOKUP($AC131, TABELAS!$Q:$Q, 1, FALSE)), 1, 0))</f>
        <v/>
      </c>
      <c r="BN131" s="194" t="str">
        <f t="shared" si="92"/>
        <v/>
      </c>
      <c r="BO131" s="192" t="str">
        <f t="shared" si="78"/>
        <v/>
      </c>
      <c r="BP131" s="192" t="str">
        <f t="shared" si="79"/>
        <v/>
      </c>
      <c r="BQ131" s="193" t="str">
        <f t="shared" si="80"/>
        <v/>
      </c>
      <c r="BR131" s="192" t="str">
        <f t="shared" si="81"/>
        <v/>
      </c>
      <c r="BS131" s="192" t="str">
        <f t="shared" si="82"/>
        <v/>
      </c>
      <c r="BT131" s="192" t="str">
        <f>IF(OR($B131="", $AH131 = "SIM"), "", IF( ISNA(VLOOKUP($AP131,#REF!, 1, FALSE)), 1, 0))</f>
        <v/>
      </c>
      <c r="BU131" s="192" t="str">
        <f t="shared" si="83"/>
        <v/>
      </c>
      <c r="BV131" s="192" t="str">
        <f>IF( $B131="", "", IF( ISNA(VLOOKUP($AN131, TABELAS!$T$2:$T$9,1,FALSE)), 1, 0))</f>
        <v/>
      </c>
      <c r="BW131" s="192" t="str">
        <f t="shared" si="84"/>
        <v/>
      </c>
      <c r="BX131" s="192" t="str">
        <f>IF( OR($B131="", $AH131 = "SIM"), "", IF( ISNA( VLOOKUP( $AQ131, SISTEMA!$B:$B, 1, FALSE)), 1, 0))</f>
        <v/>
      </c>
      <c r="BY131" s="193" t="str">
        <f t="shared" si="85"/>
        <v/>
      </c>
      <c r="BZ131" s="193" t="str">
        <f t="shared" si="86"/>
        <v/>
      </c>
      <c r="CA131" s="192" t="str">
        <f t="shared" si="87"/>
        <v/>
      </c>
      <c r="CB131" s="193" t="str">
        <f t="shared" si="88"/>
        <v/>
      </c>
      <c r="CC131" s="193" t="str">
        <f t="shared" si="89"/>
        <v/>
      </c>
      <c r="CD131" s="193" t="str">
        <f t="shared" si="90"/>
        <v/>
      </c>
    </row>
    <row r="132" spans="1:82" x14ac:dyDescent="0.2">
      <c r="A132" s="140"/>
      <c r="B132" s="141" t="str">
        <f t="shared" si="59"/>
        <v/>
      </c>
      <c r="C132" s="142" t="str">
        <f t="shared" si="47"/>
        <v/>
      </c>
      <c r="D132" s="142" t="str">
        <f t="shared" si="60"/>
        <v/>
      </c>
      <c r="E132" s="142" t="str">
        <f>IF($C132="", "", COUNTIF($M$8:$M132,$D132))</f>
        <v/>
      </c>
      <c r="F132" s="254">
        <v>125</v>
      </c>
      <c r="G132" s="143"/>
      <c r="H132" s="144"/>
      <c r="I132" s="144"/>
      <c r="J132" s="145"/>
      <c r="K132" s="144"/>
      <c r="L132" s="144"/>
      <c r="M132" s="144"/>
      <c r="N132" s="146"/>
      <c r="O132" s="147"/>
      <c r="P132" s="147"/>
      <c r="Q132" s="147"/>
      <c r="R132" s="147"/>
      <c r="S132" s="147"/>
      <c r="T132" s="149"/>
      <c r="U132" s="150" t="str">
        <f>IF($T132="", "", VLOOKUP($T132, CONTRATOS!$B:$E, 2, FALSE))</f>
        <v/>
      </c>
      <c r="V132" s="151">
        <f>IF(OR($T132="",TB_DEFESA!$C$2="CARGA BASELINE"),0,
   IF(VLOOKUP($T132, CONTRATOS!B:E, 3, FALSE)&lt;&gt;"",1,IF(VLOOKUP($T132, CONTRATOS!B:E, 4, FALSE)&lt;&gt;"",2,0)))</f>
        <v>0</v>
      </c>
      <c r="W132" s="152"/>
      <c r="X132" s="152"/>
      <c r="Y132" s="153"/>
      <c r="Z132" s="154"/>
      <c r="AA132" s="155"/>
      <c r="AB132" s="156"/>
      <c r="AC132" s="157"/>
      <c r="AD132" s="155"/>
      <c r="AE132" s="158" t="str">
        <f t="shared" si="48"/>
        <v/>
      </c>
      <c r="AF132" s="160" t="str">
        <f t="shared" si="61"/>
        <v/>
      </c>
      <c r="AG132" s="182" t="s">
        <v>59</v>
      </c>
      <c r="AH132" s="183" t="str">
        <f t="shared" si="62"/>
        <v/>
      </c>
      <c r="AI132" s="183" t="str">
        <f t="shared" si="63"/>
        <v/>
      </c>
      <c r="AJ132" s="184" t="str">
        <f t="shared" si="64"/>
        <v/>
      </c>
      <c r="AK132" s="185" t="str">
        <f t="shared" si="65"/>
        <v/>
      </c>
      <c r="AL132" s="186"/>
      <c r="AM132" s="183" t="str">
        <f t="shared" si="66"/>
        <v/>
      </c>
      <c r="AN132" s="183" t="str">
        <f t="shared" si="67"/>
        <v/>
      </c>
      <c r="AO132" s="186" t="str">
        <f t="shared" si="68"/>
        <v/>
      </c>
      <c r="AP132" s="187" t="str">
        <f t="shared" si="69"/>
        <v/>
      </c>
      <c r="AQ132" s="187" t="str">
        <f t="shared" si="70"/>
        <v/>
      </c>
      <c r="AR132" s="188" t="str">
        <f t="shared" si="49"/>
        <v/>
      </c>
      <c r="AS132" s="188" t="str">
        <f t="shared" si="50"/>
        <v/>
      </c>
      <c r="AT132" s="183" t="str">
        <f t="shared" si="51"/>
        <v/>
      </c>
      <c r="AU132" s="189" t="str">
        <f>IF(OR($B132="", $AP132= ""),"",IF(VLOOKUP($AP132, CONTRATOS!B:K,3,FALSE)="","",VLOOKUP($AP132, CONTRATOS!B:K, 3,FALSE)))</f>
        <v/>
      </c>
      <c r="AV132" s="189" t="str">
        <f>IF(OR($B132="", $AP132 = ""), "", IF(VLOOKUP($AP132, CONTRATOS!B:K,4,FALSE)="","",VLOOKUP($AP132, CONTRATOS!B:K,4, FALSE)))</f>
        <v/>
      </c>
      <c r="AW132" s="190" t="str">
        <f t="shared" si="52"/>
        <v/>
      </c>
      <c r="AX132" s="189" t="str">
        <f t="shared" si="53"/>
        <v/>
      </c>
      <c r="AY132" s="189" t="str">
        <f t="shared" si="54"/>
        <v/>
      </c>
      <c r="AZ132" s="189" t="str">
        <f t="shared" si="55"/>
        <v/>
      </c>
      <c r="BA132" s="189" t="str">
        <f t="shared" si="56"/>
        <v/>
      </c>
      <c r="BB132" s="191">
        <f t="shared" si="71"/>
        <v>0</v>
      </c>
      <c r="BC132" s="191" t="str">
        <f t="shared" si="72"/>
        <v/>
      </c>
      <c r="BD132" s="191" t="str">
        <f t="shared" si="73"/>
        <v/>
      </c>
      <c r="BF132" s="192">
        <f t="shared" si="74"/>
        <v>0</v>
      </c>
      <c r="BG132" s="192">
        <f t="shared" si="75"/>
        <v>0</v>
      </c>
      <c r="BH132" s="192" t="str">
        <f>IF( $B132="", "", IF(ISNA(VLOOKUP($C132, Defesa!$C$7:$C$29,1,FALSE)),1,0))</f>
        <v/>
      </c>
      <c r="BI132" s="193" t="str">
        <f t="shared" si="76"/>
        <v/>
      </c>
      <c r="BJ132" s="193" t="str">
        <f>IF($B132="", "", IF( AND( $AI132="ESTIMATIVA", OR( Defesa!$F$7 = "AUTOMÁTICA", Defesa!$F$7 ="100% BASELINE")), 1, 0))</f>
        <v/>
      </c>
      <c r="BK132" s="192" t="str">
        <f t="shared" si="91"/>
        <v/>
      </c>
      <c r="BL132" s="192">
        <f t="shared" si="77"/>
        <v>0</v>
      </c>
      <c r="BM132" s="192" t="str">
        <f>IF($AC132="", "", IF(ISNA(VLOOKUP($AC132, TABELAS!$Q:$Q, 1, FALSE)), 1, 0))</f>
        <v/>
      </c>
      <c r="BN132" s="194" t="str">
        <f t="shared" si="92"/>
        <v/>
      </c>
      <c r="BO132" s="192" t="str">
        <f t="shared" si="78"/>
        <v/>
      </c>
      <c r="BP132" s="192" t="str">
        <f t="shared" si="79"/>
        <v/>
      </c>
      <c r="BQ132" s="193" t="str">
        <f t="shared" si="80"/>
        <v/>
      </c>
      <c r="BR132" s="192" t="str">
        <f t="shared" si="81"/>
        <v/>
      </c>
      <c r="BS132" s="192" t="str">
        <f t="shared" si="82"/>
        <v/>
      </c>
      <c r="BT132" s="192" t="str">
        <f>IF(OR($B132="", $AH132 = "SIM"), "", IF( ISNA(VLOOKUP($AP132,#REF!, 1, FALSE)), 1, 0))</f>
        <v/>
      </c>
      <c r="BU132" s="192" t="str">
        <f t="shared" si="83"/>
        <v/>
      </c>
      <c r="BV132" s="192" t="str">
        <f>IF( $B132="", "", IF( ISNA(VLOOKUP($AN132, TABELAS!$T$2:$T$9,1,FALSE)), 1, 0))</f>
        <v/>
      </c>
      <c r="BW132" s="192" t="str">
        <f t="shared" si="84"/>
        <v/>
      </c>
      <c r="BX132" s="192" t="str">
        <f>IF( OR($B132="", $AH132 = "SIM"), "", IF( ISNA( VLOOKUP( $AQ132, SISTEMA!$B:$B, 1, FALSE)), 1, 0))</f>
        <v/>
      </c>
      <c r="BY132" s="193" t="str">
        <f t="shared" si="85"/>
        <v/>
      </c>
      <c r="BZ132" s="193" t="str">
        <f t="shared" si="86"/>
        <v/>
      </c>
      <c r="CA132" s="192" t="str">
        <f t="shared" si="87"/>
        <v/>
      </c>
      <c r="CB132" s="193" t="str">
        <f t="shared" si="88"/>
        <v/>
      </c>
      <c r="CC132" s="193" t="str">
        <f t="shared" si="89"/>
        <v/>
      </c>
      <c r="CD132" s="193" t="str">
        <f t="shared" si="90"/>
        <v/>
      </c>
    </row>
    <row r="133" spans="1:82" x14ac:dyDescent="0.2">
      <c r="A133" s="140"/>
      <c r="B133" s="141" t="str">
        <f t="shared" si="59"/>
        <v/>
      </c>
      <c r="C133" s="142" t="str">
        <f t="shared" si="47"/>
        <v/>
      </c>
      <c r="D133" s="142" t="str">
        <f t="shared" si="60"/>
        <v/>
      </c>
      <c r="E133" s="142" t="str">
        <f>IF($C133="", "", COUNTIF($M$8:$M133,$D133))</f>
        <v/>
      </c>
      <c r="F133" s="254">
        <v>126</v>
      </c>
      <c r="G133" s="143"/>
      <c r="H133" s="144"/>
      <c r="I133" s="144"/>
      <c r="J133" s="145"/>
      <c r="K133" s="144"/>
      <c r="L133" s="144"/>
      <c r="M133" s="144"/>
      <c r="N133" s="146"/>
      <c r="O133" s="147"/>
      <c r="P133" s="147"/>
      <c r="Q133" s="147"/>
      <c r="R133" s="147"/>
      <c r="S133" s="147"/>
      <c r="T133" s="149"/>
      <c r="U133" s="150" t="str">
        <f>IF($T133="", "", VLOOKUP($T133, CONTRATOS!$B:$E, 2, FALSE))</f>
        <v/>
      </c>
      <c r="V133" s="151">
        <f>IF(OR($T133="",TB_DEFESA!$C$2="CARGA BASELINE"),0,
   IF(VLOOKUP($T133, CONTRATOS!B:E, 3, FALSE)&lt;&gt;"",1,IF(VLOOKUP($T133, CONTRATOS!B:E, 4, FALSE)&lt;&gt;"",2,0)))</f>
        <v>0</v>
      </c>
      <c r="W133" s="152"/>
      <c r="X133" s="152"/>
      <c r="Y133" s="153"/>
      <c r="Z133" s="154"/>
      <c r="AA133" s="155"/>
      <c r="AB133" s="156"/>
      <c r="AC133" s="157"/>
      <c r="AD133" s="155"/>
      <c r="AE133" s="158" t="str">
        <f t="shared" si="48"/>
        <v/>
      </c>
      <c r="AF133" s="160" t="str">
        <f t="shared" si="61"/>
        <v/>
      </c>
      <c r="AG133" s="182" t="s">
        <v>59</v>
      </c>
      <c r="AH133" s="183" t="str">
        <f t="shared" si="62"/>
        <v/>
      </c>
      <c r="AI133" s="183" t="str">
        <f t="shared" si="63"/>
        <v/>
      </c>
      <c r="AJ133" s="184" t="str">
        <f t="shared" si="64"/>
        <v/>
      </c>
      <c r="AK133" s="185" t="str">
        <f t="shared" si="65"/>
        <v/>
      </c>
      <c r="AL133" s="186"/>
      <c r="AM133" s="183" t="str">
        <f t="shared" si="66"/>
        <v/>
      </c>
      <c r="AN133" s="183" t="str">
        <f t="shared" si="67"/>
        <v/>
      </c>
      <c r="AO133" s="186" t="str">
        <f t="shared" si="68"/>
        <v/>
      </c>
      <c r="AP133" s="187" t="str">
        <f t="shared" si="69"/>
        <v/>
      </c>
      <c r="AQ133" s="187" t="str">
        <f t="shared" si="70"/>
        <v/>
      </c>
      <c r="AR133" s="188" t="str">
        <f t="shared" si="49"/>
        <v/>
      </c>
      <c r="AS133" s="188" t="str">
        <f t="shared" si="50"/>
        <v/>
      </c>
      <c r="AT133" s="183" t="str">
        <f t="shared" si="51"/>
        <v/>
      </c>
      <c r="AU133" s="189" t="str">
        <f>IF(OR($B133="", $AP133= ""),"",IF(VLOOKUP($AP133, CONTRATOS!B:K,3,FALSE)="","",VLOOKUP($AP133, CONTRATOS!B:K, 3,FALSE)))</f>
        <v/>
      </c>
      <c r="AV133" s="189" t="str">
        <f>IF(OR($B133="", $AP133 = ""), "", IF(VLOOKUP($AP133, CONTRATOS!B:K,4,FALSE)="","",VLOOKUP($AP133, CONTRATOS!B:K,4, FALSE)))</f>
        <v/>
      </c>
      <c r="AW133" s="190" t="str">
        <f t="shared" si="52"/>
        <v/>
      </c>
      <c r="AX133" s="189" t="str">
        <f t="shared" si="53"/>
        <v/>
      </c>
      <c r="AY133" s="189" t="str">
        <f t="shared" si="54"/>
        <v/>
      </c>
      <c r="AZ133" s="189" t="str">
        <f t="shared" si="55"/>
        <v/>
      </c>
      <c r="BA133" s="189" t="str">
        <f t="shared" si="56"/>
        <v/>
      </c>
      <c r="BB133" s="191">
        <f t="shared" si="71"/>
        <v>0</v>
      </c>
      <c r="BC133" s="191" t="str">
        <f t="shared" si="72"/>
        <v/>
      </c>
      <c r="BD133" s="191" t="str">
        <f t="shared" si="73"/>
        <v/>
      </c>
      <c r="BF133" s="192">
        <f t="shared" si="74"/>
        <v>0</v>
      </c>
      <c r="BG133" s="192">
        <f t="shared" si="75"/>
        <v>0</v>
      </c>
      <c r="BH133" s="192" t="str">
        <f>IF( $B133="", "", IF(ISNA(VLOOKUP($C133, Defesa!$C$7:$C$29,1,FALSE)),1,0))</f>
        <v/>
      </c>
      <c r="BI133" s="193" t="str">
        <f t="shared" si="76"/>
        <v/>
      </c>
      <c r="BJ133" s="193" t="str">
        <f>IF($B133="", "", IF( AND( $AI133="ESTIMATIVA", OR( Defesa!$F$7 = "AUTOMÁTICA", Defesa!$F$7 ="100% BASELINE")), 1, 0))</f>
        <v/>
      </c>
      <c r="BK133" s="192" t="str">
        <f t="shared" si="91"/>
        <v/>
      </c>
      <c r="BL133" s="192">
        <f t="shared" si="77"/>
        <v>0</v>
      </c>
      <c r="BM133" s="192" t="str">
        <f>IF($AC133="", "", IF(ISNA(VLOOKUP($AC133, TABELAS!$Q:$Q, 1, FALSE)), 1, 0))</f>
        <v/>
      </c>
      <c r="BN133" s="194" t="str">
        <f t="shared" si="92"/>
        <v/>
      </c>
      <c r="BO133" s="192" t="str">
        <f t="shared" si="78"/>
        <v/>
      </c>
      <c r="BP133" s="192" t="str">
        <f t="shared" si="79"/>
        <v/>
      </c>
      <c r="BQ133" s="193" t="str">
        <f t="shared" si="80"/>
        <v/>
      </c>
      <c r="BR133" s="192" t="str">
        <f t="shared" si="81"/>
        <v/>
      </c>
      <c r="BS133" s="192" t="str">
        <f t="shared" si="82"/>
        <v/>
      </c>
      <c r="BT133" s="192" t="str">
        <f>IF(OR($B133="", $AH133 = "SIM"), "", IF( ISNA(VLOOKUP($AP133,#REF!, 1, FALSE)), 1, 0))</f>
        <v/>
      </c>
      <c r="BU133" s="192" t="str">
        <f t="shared" si="83"/>
        <v/>
      </c>
      <c r="BV133" s="192" t="str">
        <f>IF( $B133="", "", IF( ISNA(VLOOKUP($AN133, TABELAS!$T$2:$T$9,1,FALSE)), 1, 0))</f>
        <v/>
      </c>
      <c r="BW133" s="192" t="str">
        <f t="shared" si="84"/>
        <v/>
      </c>
      <c r="BX133" s="192" t="str">
        <f>IF( OR($B133="", $AH133 = "SIM"), "", IF( ISNA( VLOOKUP( $AQ133, SISTEMA!$B:$B, 1, FALSE)), 1, 0))</f>
        <v/>
      </c>
      <c r="BY133" s="193" t="str">
        <f t="shared" si="85"/>
        <v/>
      </c>
      <c r="BZ133" s="193" t="str">
        <f t="shared" si="86"/>
        <v/>
      </c>
      <c r="CA133" s="192" t="str">
        <f t="shared" si="87"/>
        <v/>
      </c>
      <c r="CB133" s="193" t="str">
        <f t="shared" si="88"/>
        <v/>
      </c>
      <c r="CC133" s="193" t="str">
        <f t="shared" si="89"/>
        <v/>
      </c>
      <c r="CD133" s="193" t="str">
        <f t="shared" si="90"/>
        <v/>
      </c>
    </row>
    <row r="134" spans="1:82" x14ac:dyDescent="0.2">
      <c r="A134" s="140"/>
      <c r="B134" s="141" t="str">
        <f t="shared" si="59"/>
        <v/>
      </c>
      <c r="C134" s="142" t="str">
        <f t="shared" si="47"/>
        <v/>
      </c>
      <c r="D134" s="142" t="str">
        <f t="shared" si="60"/>
        <v/>
      </c>
      <c r="E134" s="142" t="str">
        <f>IF($C134="", "", COUNTIF($M$8:$M134,$D134))</f>
        <v/>
      </c>
      <c r="F134" s="254">
        <v>127</v>
      </c>
      <c r="G134" s="143"/>
      <c r="H134" s="144"/>
      <c r="I134" s="144"/>
      <c r="J134" s="145"/>
      <c r="K134" s="144"/>
      <c r="L134" s="144"/>
      <c r="M134" s="144"/>
      <c r="N134" s="146"/>
      <c r="O134" s="147"/>
      <c r="P134" s="147"/>
      <c r="Q134" s="147"/>
      <c r="R134" s="147"/>
      <c r="S134" s="147"/>
      <c r="T134" s="149"/>
      <c r="U134" s="150" t="str">
        <f>IF($T134="", "", VLOOKUP($T134, CONTRATOS!$B:$E, 2, FALSE))</f>
        <v/>
      </c>
      <c r="V134" s="151">
        <f>IF(OR($T134="",TB_DEFESA!$C$2="CARGA BASELINE"),0,
   IF(VLOOKUP($T134, CONTRATOS!B:E, 3, FALSE)&lt;&gt;"",1,IF(VLOOKUP($T134, CONTRATOS!B:E, 4, FALSE)&lt;&gt;"",2,0)))</f>
        <v>0</v>
      </c>
      <c r="W134" s="152"/>
      <c r="X134" s="152"/>
      <c r="Y134" s="153"/>
      <c r="Z134" s="154"/>
      <c r="AA134" s="155"/>
      <c r="AB134" s="156"/>
      <c r="AC134" s="157"/>
      <c r="AD134" s="155"/>
      <c r="AE134" s="158" t="str">
        <f t="shared" si="48"/>
        <v/>
      </c>
      <c r="AF134" s="160" t="str">
        <f t="shared" si="61"/>
        <v/>
      </c>
      <c r="AG134" s="182" t="s">
        <v>59</v>
      </c>
      <c r="AH134" s="183" t="str">
        <f t="shared" si="62"/>
        <v/>
      </c>
      <c r="AI134" s="183" t="str">
        <f t="shared" si="63"/>
        <v/>
      </c>
      <c r="AJ134" s="184" t="str">
        <f t="shared" si="64"/>
        <v/>
      </c>
      <c r="AK134" s="185" t="str">
        <f t="shared" si="65"/>
        <v/>
      </c>
      <c r="AL134" s="186"/>
      <c r="AM134" s="183" t="str">
        <f t="shared" si="66"/>
        <v/>
      </c>
      <c r="AN134" s="183" t="str">
        <f t="shared" si="67"/>
        <v/>
      </c>
      <c r="AO134" s="186" t="str">
        <f t="shared" si="68"/>
        <v/>
      </c>
      <c r="AP134" s="187" t="str">
        <f t="shared" si="69"/>
        <v/>
      </c>
      <c r="AQ134" s="187" t="str">
        <f t="shared" si="70"/>
        <v/>
      </c>
      <c r="AR134" s="188" t="str">
        <f t="shared" si="49"/>
        <v/>
      </c>
      <c r="AS134" s="188" t="str">
        <f t="shared" si="50"/>
        <v/>
      </c>
      <c r="AT134" s="183" t="str">
        <f t="shared" si="51"/>
        <v/>
      </c>
      <c r="AU134" s="189" t="str">
        <f>IF(OR($B134="", $AP134= ""),"",IF(VLOOKUP($AP134, CONTRATOS!B:K,3,FALSE)="","",VLOOKUP($AP134, CONTRATOS!B:K, 3,FALSE)))</f>
        <v/>
      </c>
      <c r="AV134" s="189" t="str">
        <f>IF(OR($B134="", $AP134 = ""), "", IF(VLOOKUP($AP134, CONTRATOS!B:K,4,FALSE)="","",VLOOKUP($AP134, CONTRATOS!B:K,4, FALSE)))</f>
        <v/>
      </c>
      <c r="AW134" s="190" t="str">
        <f t="shared" si="52"/>
        <v/>
      </c>
      <c r="AX134" s="189" t="str">
        <f t="shared" si="53"/>
        <v/>
      </c>
      <c r="AY134" s="189" t="str">
        <f t="shared" si="54"/>
        <v/>
      </c>
      <c r="AZ134" s="189" t="str">
        <f t="shared" si="55"/>
        <v/>
      </c>
      <c r="BA134" s="189" t="str">
        <f t="shared" si="56"/>
        <v/>
      </c>
      <c r="BB134" s="191">
        <f t="shared" si="71"/>
        <v>0</v>
      </c>
      <c r="BC134" s="191" t="str">
        <f t="shared" si="72"/>
        <v/>
      </c>
      <c r="BD134" s="191" t="str">
        <f t="shared" si="73"/>
        <v/>
      </c>
      <c r="BF134" s="192">
        <f t="shared" si="74"/>
        <v>0</v>
      </c>
      <c r="BG134" s="192">
        <f t="shared" si="75"/>
        <v>0</v>
      </c>
      <c r="BH134" s="192" t="str">
        <f>IF( $B134="", "", IF(ISNA(VLOOKUP($C134, Defesa!$C$7:$C$29,1,FALSE)),1,0))</f>
        <v/>
      </c>
      <c r="BI134" s="193" t="str">
        <f t="shared" si="76"/>
        <v/>
      </c>
      <c r="BJ134" s="193" t="str">
        <f>IF($B134="", "", IF( AND( $AI134="ESTIMATIVA", OR( Defesa!$F$7 = "AUTOMÁTICA", Defesa!$F$7 ="100% BASELINE")), 1, 0))</f>
        <v/>
      </c>
      <c r="BK134" s="192" t="str">
        <f t="shared" si="91"/>
        <v/>
      </c>
      <c r="BL134" s="192">
        <f t="shared" si="77"/>
        <v>0</v>
      </c>
      <c r="BM134" s="192" t="str">
        <f>IF($AC134="", "", IF(ISNA(VLOOKUP($AC134, TABELAS!$Q:$Q, 1, FALSE)), 1, 0))</f>
        <v/>
      </c>
      <c r="BN134" s="194" t="str">
        <f t="shared" si="92"/>
        <v/>
      </c>
      <c r="BO134" s="192" t="str">
        <f t="shared" si="78"/>
        <v/>
      </c>
      <c r="BP134" s="192" t="str">
        <f t="shared" si="79"/>
        <v/>
      </c>
      <c r="BQ134" s="193" t="str">
        <f t="shared" si="80"/>
        <v/>
      </c>
      <c r="BR134" s="192" t="str">
        <f t="shared" si="81"/>
        <v/>
      </c>
      <c r="BS134" s="192" t="str">
        <f t="shared" si="82"/>
        <v/>
      </c>
      <c r="BT134" s="192" t="str">
        <f>IF(OR($B134="", $AH134 = "SIM"), "", IF( ISNA(VLOOKUP($AP134,#REF!, 1, FALSE)), 1, 0))</f>
        <v/>
      </c>
      <c r="BU134" s="192" t="str">
        <f t="shared" si="83"/>
        <v/>
      </c>
      <c r="BV134" s="192" t="str">
        <f>IF( $B134="", "", IF( ISNA(VLOOKUP($AN134, TABELAS!$T$2:$T$9,1,FALSE)), 1, 0))</f>
        <v/>
      </c>
      <c r="BW134" s="192" t="str">
        <f t="shared" si="84"/>
        <v/>
      </c>
      <c r="BX134" s="192" t="str">
        <f>IF( OR($B134="", $AH134 = "SIM"), "", IF( ISNA( VLOOKUP( $AQ134, SISTEMA!$B:$B, 1, FALSE)), 1, 0))</f>
        <v/>
      </c>
      <c r="BY134" s="193" t="str">
        <f t="shared" si="85"/>
        <v/>
      </c>
      <c r="BZ134" s="193" t="str">
        <f t="shared" si="86"/>
        <v/>
      </c>
      <c r="CA134" s="192" t="str">
        <f t="shared" si="87"/>
        <v/>
      </c>
      <c r="CB134" s="193" t="str">
        <f t="shared" si="88"/>
        <v/>
      </c>
      <c r="CC134" s="193" t="str">
        <f t="shared" si="89"/>
        <v/>
      </c>
      <c r="CD134" s="193" t="str">
        <f t="shared" si="90"/>
        <v/>
      </c>
    </row>
    <row r="135" spans="1:82" x14ac:dyDescent="0.2">
      <c r="A135" s="140"/>
      <c r="B135" s="141" t="str">
        <f t="shared" si="59"/>
        <v/>
      </c>
      <c r="C135" s="142" t="str">
        <f t="shared" si="47"/>
        <v/>
      </c>
      <c r="D135" s="142" t="str">
        <f t="shared" si="60"/>
        <v/>
      </c>
      <c r="E135" s="142" t="str">
        <f>IF($C135="", "", COUNTIF($M$8:$M135,$D135))</f>
        <v/>
      </c>
      <c r="F135" s="254">
        <v>128</v>
      </c>
      <c r="G135" s="143"/>
      <c r="H135" s="144"/>
      <c r="I135" s="144"/>
      <c r="J135" s="145"/>
      <c r="K135" s="144"/>
      <c r="L135" s="144"/>
      <c r="M135" s="144"/>
      <c r="N135" s="146"/>
      <c r="O135" s="147"/>
      <c r="P135" s="147"/>
      <c r="Q135" s="147"/>
      <c r="R135" s="147"/>
      <c r="S135" s="147"/>
      <c r="T135" s="149"/>
      <c r="U135" s="150" t="str">
        <f>IF($T135="", "", VLOOKUP($T135, CONTRATOS!$B:$E, 2, FALSE))</f>
        <v/>
      </c>
      <c r="V135" s="151">
        <f>IF(OR($T135="",TB_DEFESA!$C$2="CARGA BASELINE"),0,
   IF(VLOOKUP($T135, CONTRATOS!B:E, 3, FALSE)&lt;&gt;"",1,IF(VLOOKUP($T135, CONTRATOS!B:E, 4, FALSE)&lt;&gt;"",2,0)))</f>
        <v>0</v>
      </c>
      <c r="W135" s="152"/>
      <c r="X135" s="152"/>
      <c r="Y135" s="153"/>
      <c r="Z135" s="154"/>
      <c r="AA135" s="155"/>
      <c r="AB135" s="156"/>
      <c r="AC135" s="157"/>
      <c r="AD135" s="155"/>
      <c r="AE135" s="158" t="str">
        <f t="shared" si="48"/>
        <v/>
      </c>
      <c r="AF135" s="160" t="str">
        <f t="shared" si="61"/>
        <v/>
      </c>
      <c r="AG135" s="182" t="s">
        <v>59</v>
      </c>
      <c r="AH135" s="183" t="str">
        <f t="shared" si="62"/>
        <v/>
      </c>
      <c r="AI135" s="183" t="str">
        <f t="shared" si="63"/>
        <v/>
      </c>
      <c r="AJ135" s="184" t="str">
        <f t="shared" si="64"/>
        <v/>
      </c>
      <c r="AK135" s="185" t="str">
        <f t="shared" si="65"/>
        <v/>
      </c>
      <c r="AL135" s="186"/>
      <c r="AM135" s="183" t="str">
        <f t="shared" si="66"/>
        <v/>
      </c>
      <c r="AN135" s="183" t="str">
        <f t="shared" si="67"/>
        <v/>
      </c>
      <c r="AO135" s="186" t="str">
        <f t="shared" si="68"/>
        <v/>
      </c>
      <c r="AP135" s="187" t="str">
        <f t="shared" si="69"/>
        <v/>
      </c>
      <c r="AQ135" s="187" t="str">
        <f t="shared" si="70"/>
        <v/>
      </c>
      <c r="AR135" s="188" t="str">
        <f t="shared" si="49"/>
        <v/>
      </c>
      <c r="AS135" s="188" t="str">
        <f t="shared" si="50"/>
        <v/>
      </c>
      <c r="AT135" s="183" t="str">
        <f t="shared" si="51"/>
        <v/>
      </c>
      <c r="AU135" s="189" t="str">
        <f>IF(OR($B135="", $AP135= ""),"",IF(VLOOKUP($AP135, CONTRATOS!B:K,3,FALSE)="","",VLOOKUP($AP135, CONTRATOS!B:K, 3,FALSE)))</f>
        <v/>
      </c>
      <c r="AV135" s="189" t="str">
        <f>IF(OR($B135="", $AP135 = ""), "", IF(VLOOKUP($AP135, CONTRATOS!B:K,4,FALSE)="","",VLOOKUP($AP135, CONTRATOS!B:K,4, FALSE)))</f>
        <v/>
      </c>
      <c r="AW135" s="190" t="str">
        <f t="shared" si="52"/>
        <v/>
      </c>
      <c r="AX135" s="189" t="str">
        <f t="shared" si="53"/>
        <v/>
      </c>
      <c r="AY135" s="189" t="str">
        <f t="shared" si="54"/>
        <v/>
      </c>
      <c r="AZ135" s="189" t="str">
        <f t="shared" si="55"/>
        <v/>
      </c>
      <c r="BA135" s="189" t="str">
        <f t="shared" si="56"/>
        <v/>
      </c>
      <c r="BB135" s="191">
        <f t="shared" si="71"/>
        <v>0</v>
      </c>
      <c r="BC135" s="191" t="str">
        <f t="shared" si="72"/>
        <v/>
      </c>
      <c r="BD135" s="191" t="str">
        <f t="shared" si="73"/>
        <v/>
      </c>
      <c r="BF135" s="192">
        <f t="shared" si="74"/>
        <v>0</v>
      </c>
      <c r="BG135" s="192">
        <f t="shared" si="75"/>
        <v>0</v>
      </c>
      <c r="BH135" s="192" t="str">
        <f>IF( $B135="", "", IF(ISNA(VLOOKUP($C135, Defesa!$C$7:$C$29,1,FALSE)),1,0))</f>
        <v/>
      </c>
      <c r="BI135" s="193" t="str">
        <f t="shared" si="76"/>
        <v/>
      </c>
      <c r="BJ135" s="193" t="str">
        <f>IF($B135="", "", IF( AND( $AI135="ESTIMATIVA", OR( Defesa!$F$7 = "AUTOMÁTICA", Defesa!$F$7 ="100% BASELINE")), 1, 0))</f>
        <v/>
      </c>
      <c r="BK135" s="192" t="str">
        <f t="shared" si="91"/>
        <v/>
      </c>
      <c r="BL135" s="192">
        <f t="shared" si="77"/>
        <v>0</v>
      </c>
      <c r="BM135" s="192" t="str">
        <f>IF($AC135="", "", IF(ISNA(VLOOKUP($AC135, TABELAS!$Q:$Q, 1, FALSE)), 1, 0))</f>
        <v/>
      </c>
      <c r="BN135" s="194" t="str">
        <f t="shared" si="92"/>
        <v/>
      </c>
      <c r="BO135" s="192" t="str">
        <f t="shared" si="78"/>
        <v/>
      </c>
      <c r="BP135" s="192" t="str">
        <f t="shared" si="79"/>
        <v/>
      </c>
      <c r="BQ135" s="193" t="str">
        <f t="shared" si="80"/>
        <v/>
      </c>
      <c r="BR135" s="192" t="str">
        <f t="shared" si="81"/>
        <v/>
      </c>
      <c r="BS135" s="192" t="str">
        <f t="shared" si="82"/>
        <v/>
      </c>
      <c r="BT135" s="192" t="str">
        <f>IF(OR($B135="", $AH135 = "SIM"), "", IF( ISNA(VLOOKUP($AP135,#REF!, 1, FALSE)), 1, 0))</f>
        <v/>
      </c>
      <c r="BU135" s="192" t="str">
        <f t="shared" si="83"/>
        <v/>
      </c>
      <c r="BV135" s="192" t="str">
        <f>IF( $B135="", "", IF( ISNA(VLOOKUP($AN135, TABELAS!$T$2:$T$9,1,FALSE)), 1, 0))</f>
        <v/>
      </c>
      <c r="BW135" s="192" t="str">
        <f t="shared" si="84"/>
        <v/>
      </c>
      <c r="BX135" s="192" t="str">
        <f>IF( OR($B135="", $AH135 = "SIM"), "", IF( ISNA( VLOOKUP( $AQ135, SISTEMA!$B:$B, 1, FALSE)), 1, 0))</f>
        <v/>
      </c>
      <c r="BY135" s="193" t="str">
        <f t="shared" si="85"/>
        <v/>
      </c>
      <c r="BZ135" s="193" t="str">
        <f t="shared" si="86"/>
        <v/>
      </c>
      <c r="CA135" s="192" t="str">
        <f t="shared" si="87"/>
        <v/>
      </c>
      <c r="CB135" s="193" t="str">
        <f t="shared" si="88"/>
        <v/>
      </c>
      <c r="CC135" s="193" t="str">
        <f t="shared" si="89"/>
        <v/>
      </c>
      <c r="CD135" s="193" t="str">
        <f t="shared" si="90"/>
        <v/>
      </c>
    </row>
    <row r="136" spans="1:82" x14ac:dyDescent="0.2">
      <c r="A136" s="140"/>
      <c r="B136" s="141" t="str">
        <f t="shared" si="59"/>
        <v/>
      </c>
      <c r="C136" s="142" t="str">
        <f t="shared" ref="C136:C199" si="93">IF($K136&lt;&gt;"",$K136, IF($AB136 = "", "", $C135))</f>
        <v/>
      </c>
      <c r="D136" s="142" t="str">
        <f t="shared" si="60"/>
        <v/>
      </c>
      <c r="E136" s="142" t="str">
        <f>IF($C136="", "", COUNTIF($M$8:$M136,$D136))</f>
        <v/>
      </c>
      <c r="F136" s="254">
        <v>129</v>
      </c>
      <c r="G136" s="143"/>
      <c r="H136" s="144"/>
      <c r="I136" s="144"/>
      <c r="J136" s="145"/>
      <c r="K136" s="144"/>
      <c r="L136" s="144"/>
      <c r="M136" s="144"/>
      <c r="N136" s="146"/>
      <c r="O136" s="147"/>
      <c r="P136" s="147"/>
      <c r="Q136" s="147"/>
      <c r="R136" s="147"/>
      <c r="S136" s="147"/>
      <c r="T136" s="149"/>
      <c r="U136" s="150" t="str">
        <f>IF($T136="", "", VLOOKUP($T136, CONTRATOS!$B:$E, 2, FALSE))</f>
        <v/>
      </c>
      <c r="V136" s="151">
        <f>IF(OR($T136="",TB_DEFESA!$C$2="CARGA BASELINE"),0,
   IF(VLOOKUP($T136, CONTRATOS!B:E, 3, FALSE)&lt;&gt;"",1,IF(VLOOKUP($T136, CONTRATOS!B:E, 4, FALSE)&lt;&gt;"",2,0)))</f>
        <v>0</v>
      </c>
      <c r="W136" s="152"/>
      <c r="X136" s="152"/>
      <c r="Y136" s="153"/>
      <c r="Z136" s="154"/>
      <c r="AA136" s="155"/>
      <c r="AB136" s="156"/>
      <c r="AC136" s="157"/>
      <c r="AD136" s="155"/>
      <c r="AE136" s="158" t="str">
        <f t="shared" ref="AE136:AE199" si="94">IF(AT136="","",IF(V136=1,1,IF(AT136=0,0,AD136/AT136)))</f>
        <v/>
      </c>
      <c r="AF136" s="160" t="str">
        <f t="shared" si="61"/>
        <v/>
      </c>
      <c r="AG136" s="182" t="s">
        <v>59</v>
      </c>
      <c r="AH136" s="183" t="str">
        <f t="shared" si="62"/>
        <v/>
      </c>
      <c r="AI136" s="183" t="str">
        <f t="shared" si="63"/>
        <v/>
      </c>
      <c r="AJ136" s="184" t="str">
        <f t="shared" si="64"/>
        <v/>
      </c>
      <c r="AK136" s="185" t="str">
        <f t="shared" si="65"/>
        <v/>
      </c>
      <c r="AL136" s="186"/>
      <c r="AM136" s="183" t="str">
        <f t="shared" si="66"/>
        <v/>
      </c>
      <c r="AN136" s="183" t="str">
        <f t="shared" si="67"/>
        <v/>
      </c>
      <c r="AO136" s="186" t="str">
        <f t="shared" si="68"/>
        <v/>
      </c>
      <c r="AP136" s="187" t="str">
        <f t="shared" si="69"/>
        <v/>
      </c>
      <c r="AQ136" s="187" t="str">
        <f t="shared" si="70"/>
        <v/>
      </c>
      <c r="AR136" s="188" t="str">
        <f t="shared" ref="AR136:AR199" si="95">IF($B136 = "", "",  IF($Y136= "", IF(ISNUMBER($AR135), $AR135, 0), $Y136))</f>
        <v/>
      </c>
      <c r="AS136" s="188" t="str">
        <f t="shared" ref="AS136:AS199" si="96">IF($B136 = "", "",  IF($Z136= "", IF(ISNUMBER($AS135), $AS135, 0), $Z136))</f>
        <v/>
      </c>
      <c r="AT136" s="183" t="str">
        <f t="shared" ref="AT136:AT199" si="97">IF($B136="", "", IF($AA136=0, $AT135, $AA136))</f>
        <v/>
      </c>
      <c r="AU136" s="189" t="str">
        <f>IF(OR($B136="", $AP136= ""),"",IF(VLOOKUP($AP136, CONTRATOS!B:K,3,FALSE)="","",VLOOKUP($AP136, CONTRATOS!B:K, 3,FALSE)))</f>
        <v/>
      </c>
      <c r="AV136" s="189" t="str">
        <f>IF(OR($B136="", $AP136 = ""), "", IF(VLOOKUP($AP136, CONTRATOS!B:K,4,FALSE)="","",VLOOKUP($AP136, CONTRATOS!B:K,4, FALSE)))</f>
        <v/>
      </c>
      <c r="AW136" s="190" t="str">
        <f t="shared" ref="AW136:AW199" si="98">IF($B136="", "", IF($V136=1, 1, IF( OR($AT136 = "", $AT136=0), 0, $AD136/$AT136)))</f>
        <v/>
      </c>
      <c r="AX136" s="189" t="str">
        <f t="shared" ref="AX136:AX199" si="99">IF( $B136="", "", IF( $K136="",$AX135, IF($S136 = "", "", $S136)))</f>
        <v/>
      </c>
      <c r="AY136" s="189" t="str">
        <f t="shared" ref="AY136:AY199" si="100">IF( $B136="", "", IF( $K136="",$AY135, IF($P136 = "", "", $P136)))</f>
        <v/>
      </c>
      <c r="AZ136" s="189" t="str">
        <f t="shared" ref="AZ136:AZ199" si="101">IF( $B136="", "", IF( $K136="",$AZ135, IF($Q136 = "", "", $Q136)))</f>
        <v/>
      </c>
      <c r="BA136" s="189" t="str">
        <f t="shared" ref="BA136:BA199" si="102">IF( $B136="", "", IF( $K136="",$BA135, IF($R136 = "", "", $R136)))</f>
        <v/>
      </c>
      <c r="BB136" s="191">
        <f t="shared" si="71"/>
        <v>0</v>
      </c>
      <c r="BC136" s="191" t="str">
        <f t="shared" si="72"/>
        <v/>
      </c>
      <c r="BD136" s="191" t="str">
        <f t="shared" si="73"/>
        <v/>
      </c>
      <c r="BF136" s="192">
        <f t="shared" si="74"/>
        <v>0</v>
      </c>
      <c r="BG136" s="192">
        <f t="shared" si="75"/>
        <v>0</v>
      </c>
      <c r="BH136" s="192" t="str">
        <f>IF( $B136="", "", IF(ISNA(VLOOKUP($C136, Defesa!$C$7:$C$29,1,FALSE)),1,0))</f>
        <v/>
      </c>
      <c r="BI136" s="193" t="str">
        <f t="shared" si="76"/>
        <v/>
      </c>
      <c r="BJ136" s="193" t="str">
        <f>IF($B136="", "", IF( AND( $AI136="ESTIMATIVA", OR( Defesa!$F$7 = "AUTOMÁTICA", Defesa!$F$7 ="100% BASELINE")), 1, 0))</f>
        <v/>
      </c>
      <c r="BK136" s="192" t="str">
        <f t="shared" ref="BK136:BK167" si="103">IF($B136="", "", IF(COUNTIFS($AB:$AB, $AB136,$B:$B, $B136)&gt;1, 1, 0))</f>
        <v/>
      </c>
      <c r="BL136" s="192">
        <f t="shared" si="77"/>
        <v>0</v>
      </c>
      <c r="BM136" s="192" t="str">
        <f>IF($AC136="", "", IF(ISNA(VLOOKUP($AC136, TABELAS!$Q:$Q, 1, FALSE)), 1, 0))</f>
        <v/>
      </c>
      <c r="BN136" s="194" t="str">
        <f t="shared" ref="BN136:BN167" si="104">IF($B136= "", "", IF( SUMIFS($AW:$AW,$C:$C, $C136,$D:$D, $D136,$E:$E, $E136) = 1, 0, 1))</f>
        <v/>
      </c>
      <c r="BO136" s="192" t="str">
        <f t="shared" si="78"/>
        <v/>
      </c>
      <c r="BP136" s="192" t="str">
        <f t="shared" si="79"/>
        <v/>
      </c>
      <c r="BQ136" s="193" t="str">
        <f t="shared" si="80"/>
        <v/>
      </c>
      <c r="BR136" s="192" t="str">
        <f t="shared" si="81"/>
        <v/>
      </c>
      <c r="BS136" s="192" t="str">
        <f t="shared" si="82"/>
        <v/>
      </c>
      <c r="BT136" s="192" t="str">
        <f>IF(OR($B136="", $AH136 = "SIM"), "", IF( ISNA(VLOOKUP($AP136,#REF!, 1, FALSE)), 1, 0))</f>
        <v/>
      </c>
      <c r="BU136" s="192" t="str">
        <f t="shared" si="83"/>
        <v/>
      </c>
      <c r="BV136" s="192" t="str">
        <f>IF( $B136="", "", IF( ISNA(VLOOKUP($AN136, TABELAS!$T$2:$T$9,1,FALSE)), 1, 0))</f>
        <v/>
      </c>
      <c r="BW136" s="192" t="str">
        <f t="shared" si="84"/>
        <v/>
      </c>
      <c r="BX136" s="192" t="str">
        <f>IF( OR($B136="", $AH136 = "SIM"), "", IF( ISNA( VLOOKUP( $AQ136, SISTEMA!$B:$B, 1, FALSE)), 1, 0))</f>
        <v/>
      </c>
      <c r="BY136" s="193" t="str">
        <f t="shared" si="85"/>
        <v/>
      </c>
      <c r="BZ136" s="193" t="str">
        <f t="shared" si="86"/>
        <v/>
      </c>
      <c r="CA136" s="192" t="str">
        <f t="shared" si="87"/>
        <v/>
      </c>
      <c r="CB136" s="193" t="str">
        <f t="shared" si="88"/>
        <v/>
      </c>
      <c r="CC136" s="193" t="str">
        <f t="shared" si="89"/>
        <v/>
      </c>
      <c r="CD136" s="193" t="str">
        <f t="shared" si="90"/>
        <v/>
      </c>
    </row>
    <row r="137" spans="1:82" x14ac:dyDescent="0.2">
      <c r="A137" s="140"/>
      <c r="B137" s="141" t="str">
        <f t="shared" ref="B137:B200" si="105" xml:space="preserve"> IF( C137 = "", "", C137 &amp; "." &amp; D137 &amp; "."  &amp; E137)</f>
        <v/>
      </c>
      <c r="C137" s="142" t="str">
        <f t="shared" si="93"/>
        <v/>
      </c>
      <c r="D137" s="142" t="str">
        <f t="shared" ref="D137:D200" si="106">IF( $C137 = "", "", IF( $M137="", IF(AND($C136=$C137,$G137 = ""), $D136, ""), TEXT($M137,"000")))</f>
        <v/>
      </c>
      <c r="E137" s="142" t="str">
        <f>IF($C137="", "", COUNTIF($M$8:$M137,$D137))</f>
        <v/>
      </c>
      <c r="F137" s="254">
        <v>130</v>
      </c>
      <c r="G137" s="143"/>
      <c r="H137" s="144"/>
      <c r="I137" s="144"/>
      <c r="J137" s="145"/>
      <c r="K137" s="144"/>
      <c r="L137" s="144"/>
      <c r="M137" s="144"/>
      <c r="N137" s="146"/>
      <c r="O137" s="147"/>
      <c r="P137" s="147"/>
      <c r="Q137" s="147"/>
      <c r="R137" s="147"/>
      <c r="S137" s="147"/>
      <c r="T137" s="149"/>
      <c r="U137" s="150" t="str">
        <f>IF($T137="", "", VLOOKUP($T137, CONTRATOS!$B:$E, 2, FALSE))</f>
        <v/>
      </c>
      <c r="V137" s="151">
        <f>IF(OR($T137="",TB_DEFESA!$C$2="CARGA BASELINE"),0,
   IF(VLOOKUP($T137, CONTRATOS!B:E, 3, FALSE)&lt;&gt;"",1,IF(VLOOKUP($T137, CONTRATOS!B:E, 4, FALSE)&lt;&gt;"",2,0)))</f>
        <v>0</v>
      </c>
      <c r="W137" s="152"/>
      <c r="X137" s="152"/>
      <c r="Y137" s="153"/>
      <c r="Z137" s="154"/>
      <c r="AA137" s="155"/>
      <c r="AB137" s="156"/>
      <c r="AC137" s="157"/>
      <c r="AD137" s="155"/>
      <c r="AE137" s="158" t="str">
        <f t="shared" si="94"/>
        <v/>
      </c>
      <c r="AF137" s="160" t="str">
        <f t="shared" ref="AF137:AF200" si="107">IF(B137= "", "", IF(SUM($BF137:$CD137) = 0, 0, 1))</f>
        <v/>
      </c>
      <c r="AG137" s="182" t="s">
        <v>59</v>
      </c>
      <c r="AH137" s="183" t="str">
        <f t="shared" ref="AH137:AH200" si="108">IF($B137="","", IF( AND($G137="", $B137 = $B136 ), $AH136, $G137))</f>
        <v/>
      </c>
      <c r="AI137" s="183" t="str">
        <f t="shared" ref="AI137:AI200" si="109">IF($B137 = "", "",  IF( AND($H137= "", $B137 = $B136 ), $AI136, $H137))</f>
        <v/>
      </c>
      <c r="AJ137" s="184" t="str">
        <f t="shared" ref="AJ137:AJ200" si="110">IF(AND($AB137="", $V137=""),"",IF(AND($I137="",$B137=$B136), $AJ136, IF($I137="","",$I137)))</f>
        <v/>
      </c>
      <c r="AK137" s="185" t="str">
        <f t="shared" ref="AK137:AK200" si="111">IF($B137="", "", IF( AND($J137 = "",$B137=$B136), $AK136, $J137))</f>
        <v/>
      </c>
      <c r="AL137" s="186"/>
      <c r="AM137" s="183" t="str">
        <f t="shared" ref="AM137:AM200" si="112">IF( $B137 = "", "",  IF(AND($N137= "",$B137=$B136), $AM136, $O137))</f>
        <v/>
      </c>
      <c r="AN137" s="183" t="str">
        <f t="shared" ref="AN137:AN200" si="113">IF( $B137 = "", "",  IF( AND($X137= "",$B137=$B136), $AN136, $X137))</f>
        <v/>
      </c>
      <c r="AO137" s="186" t="str">
        <f t="shared" ref="AO137:AO200" si="114">IF($B137="", "",  IF( AND($U137= "",$B137=$B136), $AO136, $U137))</f>
        <v/>
      </c>
      <c r="AP137" s="187" t="str">
        <f t="shared" ref="AP137:AP200" si="115">IF( $B137 = "", "",  IF( AND($U137= "",$B137=$B136), $AP136, IF($T137 = "", "", $T137)))</f>
        <v/>
      </c>
      <c r="AQ137" s="187" t="str">
        <f t="shared" ref="AQ137:AQ200" si="116">IF($B137="","",IF(AND($W137="",$B137=$B136),$AQ136,IF($W137="","",$W137)))</f>
        <v/>
      </c>
      <c r="AR137" s="188" t="str">
        <f t="shared" si="95"/>
        <v/>
      </c>
      <c r="AS137" s="188" t="str">
        <f t="shared" si="96"/>
        <v/>
      </c>
      <c r="AT137" s="183" t="str">
        <f t="shared" si="97"/>
        <v/>
      </c>
      <c r="AU137" s="189" t="str">
        <f>IF(OR($B137="", $AP137= ""),"",IF(VLOOKUP($AP137, CONTRATOS!B:K,3,FALSE)="","",VLOOKUP($AP137, CONTRATOS!B:K, 3,FALSE)))</f>
        <v/>
      </c>
      <c r="AV137" s="189" t="str">
        <f>IF(OR($B137="", $AP137 = ""), "", IF(VLOOKUP($AP137, CONTRATOS!B:K,4,FALSE)="","",VLOOKUP($AP137, CONTRATOS!B:K,4, FALSE)))</f>
        <v/>
      </c>
      <c r="AW137" s="190" t="str">
        <f t="shared" si="98"/>
        <v/>
      </c>
      <c r="AX137" s="189" t="str">
        <f t="shared" si="99"/>
        <v/>
      </c>
      <c r="AY137" s="189" t="str">
        <f t="shared" si="100"/>
        <v/>
      </c>
      <c r="AZ137" s="189" t="str">
        <f t="shared" si="101"/>
        <v/>
      </c>
      <c r="BA137" s="189" t="str">
        <f t="shared" si="102"/>
        <v/>
      </c>
      <c r="BB137" s="191">
        <f t="shared" ref="BB137:BB200" si="117">IF( $B137 = "", 0, ROW($B137))</f>
        <v>0</v>
      </c>
      <c r="BC137" s="191" t="str">
        <f t="shared" ref="BC137:BC200" si="118">IF($AC137="","",IF($AC137="Próximos Anos",$AC137,RIGHT($AC137,4)))</f>
        <v/>
      </c>
      <c r="BD137" s="191" t="str">
        <f t="shared" ref="BD137:BD200" si="119">IF($B137="", "", IF($B137=$B136, $BD136, $V137))</f>
        <v/>
      </c>
      <c r="BF137" s="192">
        <f t="shared" ref="BF137:BF200" si="120">IF( AND($G137="SIM", OR($H137="", $I137="", $J137="", $K137="",  $M137="", $O137="", $P137="", $Q137="", $R137="", $X137="",  $AA137="", $AB137="", $AC137="", $AD137="")), 1, 0)</f>
        <v>0</v>
      </c>
      <c r="BG137" s="192">
        <f t="shared" ref="BG137:BG200" si="121">IF(AND($G137="NÃO", OR($H137="", $I137="", $J137="", $K137="",  $M137="", $O137="", $T137="", $W137="", $X137="", $AA137="")), 1,
    IF( AND($AH137="NÃO",  $AU137 ="", OR( $AB137="", $AC137="", $AD137="")), 1,
    IF( AND($AH137="NÃO",  $AU137 &lt;&gt; "", $BD137&lt;&gt; 0, OR($AB137&lt;&gt;"", $AC137&lt;&gt;"", $AD137&lt;&gt;"") ), 1, 0 ) ) )</f>
        <v>0</v>
      </c>
      <c r="BH137" s="192" t="str">
        <f>IF( $B137="", "", IF(ISNA(VLOOKUP($C137, Defesa!$C$7:$C$29,1,FALSE)),1,0))</f>
        <v/>
      </c>
      <c r="BI137" s="193" t="str">
        <f t="shared" ref="BI137:BI200" si="122">IF($B137= "", "",  IF(OR($D137 = "N/A", LEFT($D137, 2) = "ME", AND(LEN($D137) = 12, LEFT($D137, 4) = "PROP")), 0, 1))</f>
        <v/>
      </c>
      <c r="BJ137" s="193" t="str">
        <f>IF($B137="", "", IF( AND( $AI137="ESTIMATIVA", OR( Defesa!$F$7 = "AUTOMÁTICA", Defesa!$F$7 ="100% BASELINE")), 1, 0))</f>
        <v/>
      </c>
      <c r="BK137" s="192" t="str">
        <f t="shared" si="103"/>
        <v/>
      </c>
      <c r="BL137" s="192">
        <f t="shared" ref="BL137:BL200" si="123">IF( OR($B137= "",$V137 = 1), 0,  IF( OR($AC137 = "", $AD137="", $AB137=""), 1, 0))</f>
        <v>0</v>
      </c>
      <c r="BM137" s="192" t="str">
        <f>IF($AC137="", "", IF(ISNA(VLOOKUP($AC137, TABELAS!$Q:$Q, 1, FALSE)), 1, 0))</f>
        <v/>
      </c>
      <c r="BN137" s="194" t="str">
        <f t="shared" si="104"/>
        <v/>
      </c>
      <c r="BO137" s="192" t="str">
        <f t="shared" ref="BO137:BO200" si="124">IF( $B137 ="", "", IF( AND($V137 = 1, OR( $AC137 &lt;&gt; "", $AB137 &lt;&gt; "", $AD137 &lt;&gt; "")), 1, 0))</f>
        <v/>
      </c>
      <c r="BP137" s="192" t="str">
        <f t="shared" ref="BP137:BP200" si="125" xml:space="preserve"> IF($B137 = "", "", IF(AND( $AI137 = "SIM", $AP137= "&lt; A DEFINIR &gt;"), 1, 0))</f>
        <v/>
      </c>
      <c r="BQ137" s="193" t="str">
        <f t="shared" ref="BQ137:BQ200" si="126">IF($B137="", "", IF( AND($AI137="SIM", OR(LEFT($D137,2)="ME", $D137 = "N/A")), 1, 0))</f>
        <v/>
      </c>
      <c r="BR137" s="192" t="str">
        <f t="shared" ref="BR137:BR200" si="127" xml:space="preserve"> IF($B137 = "", "", IF( AND( $AJ137 = "SIM", OR($AP137= "&lt; A DEFINIR &gt;", $V137 = 1, $AI137 = "ESTIMATIVA")), 1, 0))</f>
        <v/>
      </c>
      <c r="BS137" s="192" t="str">
        <f t="shared" ref="BS137:BS200" si="128" xml:space="preserve"> IF(B137 = "", "", IF(AND($X137 &lt;&gt; "N/A",  V137 = 1), 1, 0))</f>
        <v/>
      </c>
      <c r="BT137" s="192" t="str">
        <f>IF(OR($B137="", $AH137 = "SIM"), "", IF( ISNA(VLOOKUP($AP137,#REF!, 1, FALSE)), 1, 0))</f>
        <v/>
      </c>
      <c r="BU137" s="192" t="str">
        <f t="shared" ref="BU137:BU200" si="129">IF($AP137="", "", IF( AND(OR($AO137=4600046592, $U137 = 4600041840), $AN137&lt;&gt; "BTSA Fixa R2"), 1,0))</f>
        <v/>
      </c>
      <c r="BV137" s="192" t="str">
        <f>IF( $B137="", "", IF( ISNA(VLOOKUP($AN137, TABELAS!$T$2:$T$9,1,FALSE)), 1, 0))</f>
        <v/>
      </c>
      <c r="BW137" s="192" t="str">
        <f t="shared" ref="BW137:BW200" si="130" xml:space="preserve"> IF($B137 = "", "", IF( AND( $AN137 = "N/A", $V137 &lt;&gt;  1), 1, 0) )</f>
        <v/>
      </c>
      <c r="BX137" s="192" t="str">
        <f>IF( OR($B137="", $AH137 = "SIM"), "", IF( ISNA( VLOOKUP( $AQ137, SISTEMA!$B:$B, 1, FALSE)), 1, 0))</f>
        <v/>
      </c>
      <c r="BY137" s="193" t="str">
        <f t="shared" ref="BY137:BY200" si="131">IF( $B137="", "", IF( AND($AI137="ESTIMATIVA", LEFT($D137, 4)="PROP"), 1, 0))</f>
        <v/>
      </c>
      <c r="BZ137" s="193" t="str">
        <f t="shared" ref="BZ137:BZ200" si="132">IF( $B137="", "", IF( AND($AX137&lt;&gt;"", $V137 = 1), 1, 0))</f>
        <v/>
      </c>
      <c r="CA137" s="192" t="str">
        <f t="shared" ref="CA137:CA200" si="133">IF($B137="", "", IF( AND($AM137 &lt;&gt; "SERVIÇOS", $AM137 &lt;&gt; "HARDWARE", $AM137 &lt;&gt; "SOFTWARE", $AM137 &lt;&gt; "FACILITIES", $AM137 &lt;&gt; "VIAGENS"  ), 1, 0))</f>
        <v/>
      </c>
      <c r="CB137" s="193" t="str">
        <f t="shared" ref="CB137:CB200" si="134">IF( $B137="", "", IF( AND( $AH137 = "NÃO", OR( $AM137 = "SOFTWARE", $AM137 = "HARDWARE", $AM137 = "FACILITIES")), 1, 0))</f>
        <v/>
      </c>
      <c r="CC137" s="193" t="str">
        <f t="shared" ref="CC137:CC200" si="135">IF( $B137="", "", IF( AND($AI137="COMPLEMENTO", LEFT($D137, 4)="PROP"), 1, 0))</f>
        <v/>
      </c>
      <c r="CD137" s="193" t="str">
        <f t="shared" ref="CD137:CD200" si="136">IF( $B137="", "", IF( AND($D137=$D136, $AP137 &lt;&gt; $AP136), 1, 0))</f>
        <v/>
      </c>
    </row>
    <row r="138" spans="1:82" x14ac:dyDescent="0.2">
      <c r="A138" s="140"/>
      <c r="B138" s="141" t="str">
        <f t="shared" si="105"/>
        <v/>
      </c>
      <c r="C138" s="142" t="str">
        <f t="shared" si="93"/>
        <v/>
      </c>
      <c r="D138" s="142" t="str">
        <f t="shared" si="106"/>
        <v/>
      </c>
      <c r="E138" s="142" t="str">
        <f>IF($C138="", "", COUNTIF($M$8:$M138,$D138))</f>
        <v/>
      </c>
      <c r="F138" s="254">
        <v>131</v>
      </c>
      <c r="G138" s="143"/>
      <c r="H138" s="144"/>
      <c r="I138" s="144"/>
      <c r="J138" s="145"/>
      <c r="K138" s="144"/>
      <c r="L138" s="144"/>
      <c r="M138" s="144"/>
      <c r="N138" s="146"/>
      <c r="O138" s="147"/>
      <c r="P138" s="147"/>
      <c r="Q138" s="147"/>
      <c r="R138" s="147"/>
      <c r="S138" s="147"/>
      <c r="T138" s="149"/>
      <c r="U138" s="150" t="str">
        <f>IF($T138="", "", VLOOKUP($T138, CONTRATOS!$B:$E, 2, FALSE))</f>
        <v/>
      </c>
      <c r="V138" s="151">
        <f>IF(OR($T138="",TB_DEFESA!$C$2="CARGA BASELINE"),0,
   IF(VLOOKUP($T138, CONTRATOS!B:E, 3, FALSE)&lt;&gt;"",1,IF(VLOOKUP($T138, CONTRATOS!B:E, 4, FALSE)&lt;&gt;"",2,0)))</f>
        <v>0</v>
      </c>
      <c r="W138" s="152"/>
      <c r="X138" s="152"/>
      <c r="Y138" s="153"/>
      <c r="Z138" s="154"/>
      <c r="AA138" s="155"/>
      <c r="AB138" s="156"/>
      <c r="AC138" s="157"/>
      <c r="AD138" s="155"/>
      <c r="AE138" s="158" t="str">
        <f t="shared" si="94"/>
        <v/>
      </c>
      <c r="AF138" s="160" t="str">
        <f t="shared" si="107"/>
        <v/>
      </c>
      <c r="AG138" s="182" t="s">
        <v>59</v>
      </c>
      <c r="AH138" s="183" t="str">
        <f t="shared" si="108"/>
        <v/>
      </c>
      <c r="AI138" s="183" t="str">
        <f t="shared" si="109"/>
        <v/>
      </c>
      <c r="AJ138" s="184" t="str">
        <f t="shared" si="110"/>
        <v/>
      </c>
      <c r="AK138" s="185" t="str">
        <f t="shared" si="111"/>
        <v/>
      </c>
      <c r="AL138" s="186"/>
      <c r="AM138" s="183" t="str">
        <f t="shared" si="112"/>
        <v/>
      </c>
      <c r="AN138" s="183" t="str">
        <f t="shared" si="113"/>
        <v/>
      </c>
      <c r="AO138" s="186" t="str">
        <f t="shared" si="114"/>
        <v/>
      </c>
      <c r="AP138" s="187" t="str">
        <f t="shared" si="115"/>
        <v/>
      </c>
      <c r="AQ138" s="187" t="str">
        <f t="shared" si="116"/>
        <v/>
      </c>
      <c r="AR138" s="188" t="str">
        <f t="shared" si="95"/>
        <v/>
      </c>
      <c r="AS138" s="188" t="str">
        <f t="shared" si="96"/>
        <v/>
      </c>
      <c r="AT138" s="183" t="str">
        <f t="shared" si="97"/>
        <v/>
      </c>
      <c r="AU138" s="189" t="str">
        <f>IF(OR($B138="", $AP138= ""),"",IF(VLOOKUP($AP138, CONTRATOS!B:K,3,FALSE)="","",VLOOKUP($AP138, CONTRATOS!B:K, 3,FALSE)))</f>
        <v/>
      </c>
      <c r="AV138" s="189" t="str">
        <f>IF(OR($B138="", $AP138 = ""), "", IF(VLOOKUP($AP138, CONTRATOS!B:K,4,FALSE)="","",VLOOKUP($AP138, CONTRATOS!B:K,4, FALSE)))</f>
        <v/>
      </c>
      <c r="AW138" s="190" t="str">
        <f t="shared" si="98"/>
        <v/>
      </c>
      <c r="AX138" s="189" t="str">
        <f t="shared" si="99"/>
        <v/>
      </c>
      <c r="AY138" s="189" t="str">
        <f t="shared" si="100"/>
        <v/>
      </c>
      <c r="AZ138" s="189" t="str">
        <f t="shared" si="101"/>
        <v/>
      </c>
      <c r="BA138" s="189" t="str">
        <f t="shared" si="102"/>
        <v/>
      </c>
      <c r="BB138" s="191">
        <f t="shared" si="117"/>
        <v>0</v>
      </c>
      <c r="BC138" s="191" t="str">
        <f t="shared" si="118"/>
        <v/>
      </c>
      <c r="BD138" s="191" t="str">
        <f t="shared" si="119"/>
        <v/>
      </c>
      <c r="BF138" s="192">
        <f t="shared" si="120"/>
        <v>0</v>
      </c>
      <c r="BG138" s="192">
        <f t="shared" si="121"/>
        <v>0</v>
      </c>
      <c r="BH138" s="192" t="str">
        <f>IF( $B138="", "", IF(ISNA(VLOOKUP($C138, Defesa!$C$7:$C$29,1,FALSE)),1,0))</f>
        <v/>
      </c>
      <c r="BI138" s="193" t="str">
        <f t="shared" si="122"/>
        <v/>
      </c>
      <c r="BJ138" s="193" t="str">
        <f>IF($B138="", "", IF( AND( $AI138="ESTIMATIVA", OR( Defesa!$F$7 = "AUTOMÁTICA", Defesa!$F$7 ="100% BASELINE")), 1, 0))</f>
        <v/>
      </c>
      <c r="BK138" s="192" t="str">
        <f t="shared" si="103"/>
        <v/>
      </c>
      <c r="BL138" s="192">
        <f t="shared" si="123"/>
        <v>0</v>
      </c>
      <c r="BM138" s="192" t="str">
        <f>IF($AC138="", "", IF(ISNA(VLOOKUP($AC138, TABELAS!$Q:$Q, 1, FALSE)), 1, 0))</f>
        <v/>
      </c>
      <c r="BN138" s="194" t="str">
        <f t="shared" si="104"/>
        <v/>
      </c>
      <c r="BO138" s="192" t="str">
        <f t="shared" si="124"/>
        <v/>
      </c>
      <c r="BP138" s="192" t="str">
        <f t="shared" si="125"/>
        <v/>
      </c>
      <c r="BQ138" s="193" t="str">
        <f t="shared" si="126"/>
        <v/>
      </c>
      <c r="BR138" s="192" t="str">
        <f t="shared" si="127"/>
        <v/>
      </c>
      <c r="BS138" s="192" t="str">
        <f t="shared" si="128"/>
        <v/>
      </c>
      <c r="BT138" s="192" t="str">
        <f>IF(OR($B138="", $AH138 = "SIM"), "", IF( ISNA(VLOOKUP($AP138,#REF!, 1, FALSE)), 1, 0))</f>
        <v/>
      </c>
      <c r="BU138" s="192" t="str">
        <f t="shared" si="129"/>
        <v/>
      </c>
      <c r="BV138" s="192" t="str">
        <f>IF( $B138="", "", IF( ISNA(VLOOKUP($AN138, TABELAS!$T$2:$T$9,1,FALSE)), 1, 0))</f>
        <v/>
      </c>
      <c r="BW138" s="192" t="str">
        <f t="shared" si="130"/>
        <v/>
      </c>
      <c r="BX138" s="192" t="str">
        <f>IF( OR($B138="", $AH138 = "SIM"), "", IF( ISNA( VLOOKUP( $AQ138, SISTEMA!$B:$B, 1, FALSE)), 1, 0))</f>
        <v/>
      </c>
      <c r="BY138" s="193" t="str">
        <f t="shared" si="131"/>
        <v/>
      </c>
      <c r="BZ138" s="193" t="str">
        <f t="shared" si="132"/>
        <v/>
      </c>
      <c r="CA138" s="192" t="str">
        <f t="shared" si="133"/>
        <v/>
      </c>
      <c r="CB138" s="193" t="str">
        <f t="shared" si="134"/>
        <v/>
      </c>
      <c r="CC138" s="193" t="str">
        <f t="shared" si="135"/>
        <v/>
      </c>
      <c r="CD138" s="193" t="str">
        <f t="shared" si="136"/>
        <v/>
      </c>
    </row>
    <row r="139" spans="1:82" x14ac:dyDescent="0.2">
      <c r="A139" s="140"/>
      <c r="B139" s="141" t="str">
        <f t="shared" si="105"/>
        <v/>
      </c>
      <c r="C139" s="142" t="str">
        <f t="shared" si="93"/>
        <v/>
      </c>
      <c r="D139" s="142" t="str">
        <f t="shared" si="106"/>
        <v/>
      </c>
      <c r="E139" s="142" t="str">
        <f>IF($C139="", "", COUNTIF($M$8:$M139,$D139))</f>
        <v/>
      </c>
      <c r="F139" s="254">
        <v>132</v>
      </c>
      <c r="G139" s="143"/>
      <c r="H139" s="144"/>
      <c r="I139" s="144"/>
      <c r="J139" s="145"/>
      <c r="K139" s="144"/>
      <c r="L139" s="144"/>
      <c r="M139" s="144"/>
      <c r="N139" s="146"/>
      <c r="O139" s="147"/>
      <c r="P139" s="147"/>
      <c r="Q139" s="147"/>
      <c r="R139" s="147"/>
      <c r="S139" s="147"/>
      <c r="T139" s="149"/>
      <c r="U139" s="150" t="str">
        <f>IF($T139="", "", VLOOKUP($T139, CONTRATOS!$B:$E, 2, FALSE))</f>
        <v/>
      </c>
      <c r="V139" s="151">
        <f>IF(OR($T139="",TB_DEFESA!$C$2="CARGA BASELINE"),0,
   IF(VLOOKUP($T139, CONTRATOS!B:E, 3, FALSE)&lt;&gt;"",1,IF(VLOOKUP($T139, CONTRATOS!B:E, 4, FALSE)&lt;&gt;"",2,0)))</f>
        <v>0</v>
      </c>
      <c r="W139" s="152"/>
      <c r="X139" s="152"/>
      <c r="Y139" s="153"/>
      <c r="Z139" s="154"/>
      <c r="AA139" s="155"/>
      <c r="AB139" s="156"/>
      <c r="AC139" s="157"/>
      <c r="AD139" s="155"/>
      <c r="AE139" s="158" t="str">
        <f t="shared" si="94"/>
        <v/>
      </c>
      <c r="AF139" s="160" t="str">
        <f t="shared" si="107"/>
        <v/>
      </c>
      <c r="AG139" s="182" t="s">
        <v>59</v>
      </c>
      <c r="AH139" s="183" t="str">
        <f t="shared" si="108"/>
        <v/>
      </c>
      <c r="AI139" s="183" t="str">
        <f t="shared" si="109"/>
        <v/>
      </c>
      <c r="AJ139" s="184" t="str">
        <f t="shared" si="110"/>
        <v/>
      </c>
      <c r="AK139" s="185" t="str">
        <f t="shared" si="111"/>
        <v/>
      </c>
      <c r="AL139" s="186"/>
      <c r="AM139" s="183" t="str">
        <f t="shared" si="112"/>
        <v/>
      </c>
      <c r="AN139" s="183" t="str">
        <f t="shared" si="113"/>
        <v/>
      </c>
      <c r="AO139" s="186" t="str">
        <f t="shared" si="114"/>
        <v/>
      </c>
      <c r="AP139" s="187" t="str">
        <f t="shared" si="115"/>
        <v/>
      </c>
      <c r="AQ139" s="187" t="str">
        <f t="shared" si="116"/>
        <v/>
      </c>
      <c r="AR139" s="188" t="str">
        <f t="shared" si="95"/>
        <v/>
      </c>
      <c r="AS139" s="188" t="str">
        <f t="shared" si="96"/>
        <v/>
      </c>
      <c r="AT139" s="183" t="str">
        <f t="shared" si="97"/>
        <v/>
      </c>
      <c r="AU139" s="189" t="str">
        <f>IF(OR($B139="", $AP139= ""),"",IF(VLOOKUP($AP139, CONTRATOS!B:K,3,FALSE)="","",VLOOKUP($AP139, CONTRATOS!B:K, 3,FALSE)))</f>
        <v/>
      </c>
      <c r="AV139" s="189" t="str">
        <f>IF(OR($B139="", $AP139 = ""), "", IF(VLOOKUP($AP139, CONTRATOS!B:K,4,FALSE)="","",VLOOKUP($AP139, CONTRATOS!B:K,4, FALSE)))</f>
        <v/>
      </c>
      <c r="AW139" s="190" t="str">
        <f t="shared" si="98"/>
        <v/>
      </c>
      <c r="AX139" s="189" t="str">
        <f t="shared" si="99"/>
        <v/>
      </c>
      <c r="AY139" s="189" t="str">
        <f t="shared" si="100"/>
        <v/>
      </c>
      <c r="AZ139" s="189" t="str">
        <f t="shared" si="101"/>
        <v/>
      </c>
      <c r="BA139" s="189" t="str">
        <f t="shared" si="102"/>
        <v/>
      </c>
      <c r="BB139" s="191">
        <f t="shared" si="117"/>
        <v>0</v>
      </c>
      <c r="BC139" s="191" t="str">
        <f t="shared" si="118"/>
        <v/>
      </c>
      <c r="BD139" s="191" t="str">
        <f t="shared" si="119"/>
        <v/>
      </c>
      <c r="BF139" s="192">
        <f t="shared" si="120"/>
        <v>0</v>
      </c>
      <c r="BG139" s="192">
        <f t="shared" si="121"/>
        <v>0</v>
      </c>
      <c r="BH139" s="192" t="str">
        <f>IF( $B139="", "", IF(ISNA(VLOOKUP($C139, Defesa!$C$7:$C$29,1,FALSE)),1,0))</f>
        <v/>
      </c>
      <c r="BI139" s="193" t="str">
        <f t="shared" si="122"/>
        <v/>
      </c>
      <c r="BJ139" s="193" t="str">
        <f>IF($B139="", "", IF( AND( $AI139="ESTIMATIVA", OR( Defesa!$F$7 = "AUTOMÁTICA", Defesa!$F$7 ="100% BASELINE")), 1, 0))</f>
        <v/>
      </c>
      <c r="BK139" s="192" t="str">
        <f t="shared" si="103"/>
        <v/>
      </c>
      <c r="BL139" s="192">
        <f t="shared" si="123"/>
        <v>0</v>
      </c>
      <c r="BM139" s="192" t="str">
        <f>IF($AC139="", "", IF(ISNA(VLOOKUP($AC139, TABELAS!$Q:$Q, 1, FALSE)), 1, 0))</f>
        <v/>
      </c>
      <c r="BN139" s="194" t="str">
        <f t="shared" si="104"/>
        <v/>
      </c>
      <c r="BO139" s="192" t="str">
        <f t="shared" si="124"/>
        <v/>
      </c>
      <c r="BP139" s="192" t="str">
        <f t="shared" si="125"/>
        <v/>
      </c>
      <c r="BQ139" s="193" t="str">
        <f t="shared" si="126"/>
        <v/>
      </c>
      <c r="BR139" s="192" t="str">
        <f t="shared" si="127"/>
        <v/>
      </c>
      <c r="BS139" s="192" t="str">
        <f t="shared" si="128"/>
        <v/>
      </c>
      <c r="BT139" s="192" t="str">
        <f>IF(OR($B139="", $AH139 = "SIM"), "", IF( ISNA(VLOOKUP($AP139,#REF!, 1, FALSE)), 1, 0))</f>
        <v/>
      </c>
      <c r="BU139" s="192" t="str">
        <f t="shared" si="129"/>
        <v/>
      </c>
      <c r="BV139" s="192" t="str">
        <f>IF( $B139="", "", IF( ISNA(VLOOKUP($AN139, TABELAS!$T$2:$T$9,1,FALSE)), 1, 0))</f>
        <v/>
      </c>
      <c r="BW139" s="192" t="str">
        <f t="shared" si="130"/>
        <v/>
      </c>
      <c r="BX139" s="192" t="str">
        <f>IF( OR($B139="", $AH139 = "SIM"), "", IF( ISNA( VLOOKUP( $AQ139, SISTEMA!$B:$B, 1, FALSE)), 1, 0))</f>
        <v/>
      </c>
      <c r="BY139" s="193" t="str">
        <f t="shared" si="131"/>
        <v/>
      </c>
      <c r="BZ139" s="193" t="str">
        <f t="shared" si="132"/>
        <v/>
      </c>
      <c r="CA139" s="192" t="str">
        <f t="shared" si="133"/>
        <v/>
      </c>
      <c r="CB139" s="193" t="str">
        <f t="shared" si="134"/>
        <v/>
      </c>
      <c r="CC139" s="193" t="str">
        <f t="shared" si="135"/>
        <v/>
      </c>
      <c r="CD139" s="193" t="str">
        <f t="shared" si="136"/>
        <v/>
      </c>
    </row>
    <row r="140" spans="1:82" x14ac:dyDescent="0.2">
      <c r="A140" s="140"/>
      <c r="B140" s="141" t="str">
        <f t="shared" si="105"/>
        <v/>
      </c>
      <c r="C140" s="142" t="str">
        <f t="shared" si="93"/>
        <v/>
      </c>
      <c r="D140" s="142" t="str">
        <f t="shared" si="106"/>
        <v/>
      </c>
      <c r="E140" s="142" t="str">
        <f>IF($C140="", "", COUNTIF($M$8:$M140,$D140))</f>
        <v/>
      </c>
      <c r="F140" s="254">
        <v>133</v>
      </c>
      <c r="G140" s="143"/>
      <c r="H140" s="144"/>
      <c r="I140" s="144"/>
      <c r="J140" s="145"/>
      <c r="K140" s="144"/>
      <c r="L140" s="144"/>
      <c r="M140" s="144"/>
      <c r="N140" s="146"/>
      <c r="O140" s="147"/>
      <c r="P140" s="147"/>
      <c r="Q140" s="147"/>
      <c r="R140" s="147"/>
      <c r="S140" s="147"/>
      <c r="T140" s="149"/>
      <c r="U140" s="150" t="str">
        <f>IF($T140="", "", VLOOKUP($T140, CONTRATOS!$B:$E, 2, FALSE))</f>
        <v/>
      </c>
      <c r="V140" s="151">
        <f>IF(OR($T140="",TB_DEFESA!$C$2="CARGA BASELINE"),0,
   IF(VLOOKUP($T140, CONTRATOS!B:E, 3, FALSE)&lt;&gt;"",1,IF(VLOOKUP($T140, CONTRATOS!B:E, 4, FALSE)&lt;&gt;"",2,0)))</f>
        <v>0</v>
      </c>
      <c r="W140" s="152"/>
      <c r="X140" s="152"/>
      <c r="Y140" s="153"/>
      <c r="Z140" s="154"/>
      <c r="AA140" s="155"/>
      <c r="AB140" s="156"/>
      <c r="AC140" s="157"/>
      <c r="AD140" s="155"/>
      <c r="AE140" s="158" t="str">
        <f t="shared" si="94"/>
        <v/>
      </c>
      <c r="AF140" s="160" t="str">
        <f t="shared" si="107"/>
        <v/>
      </c>
      <c r="AG140" s="182" t="s">
        <v>59</v>
      </c>
      <c r="AH140" s="183" t="str">
        <f t="shared" si="108"/>
        <v/>
      </c>
      <c r="AI140" s="183" t="str">
        <f t="shared" si="109"/>
        <v/>
      </c>
      <c r="AJ140" s="184" t="str">
        <f t="shared" si="110"/>
        <v/>
      </c>
      <c r="AK140" s="185" t="str">
        <f t="shared" si="111"/>
        <v/>
      </c>
      <c r="AL140" s="186"/>
      <c r="AM140" s="183" t="str">
        <f t="shared" si="112"/>
        <v/>
      </c>
      <c r="AN140" s="183" t="str">
        <f t="shared" si="113"/>
        <v/>
      </c>
      <c r="AO140" s="186" t="str">
        <f t="shared" si="114"/>
        <v/>
      </c>
      <c r="AP140" s="187" t="str">
        <f t="shared" si="115"/>
        <v/>
      </c>
      <c r="AQ140" s="187" t="str">
        <f t="shared" si="116"/>
        <v/>
      </c>
      <c r="AR140" s="188" t="str">
        <f t="shared" si="95"/>
        <v/>
      </c>
      <c r="AS140" s="188" t="str">
        <f t="shared" si="96"/>
        <v/>
      </c>
      <c r="AT140" s="183" t="str">
        <f t="shared" si="97"/>
        <v/>
      </c>
      <c r="AU140" s="189" t="str">
        <f>IF(OR($B140="", $AP140= ""),"",IF(VLOOKUP($AP140, CONTRATOS!B:K,3,FALSE)="","",VLOOKUP($AP140, CONTRATOS!B:K, 3,FALSE)))</f>
        <v/>
      </c>
      <c r="AV140" s="189" t="str">
        <f>IF(OR($B140="", $AP140 = ""), "", IF(VLOOKUP($AP140, CONTRATOS!B:K,4,FALSE)="","",VLOOKUP($AP140, CONTRATOS!B:K,4, FALSE)))</f>
        <v/>
      </c>
      <c r="AW140" s="190" t="str">
        <f t="shared" si="98"/>
        <v/>
      </c>
      <c r="AX140" s="189" t="str">
        <f t="shared" si="99"/>
        <v/>
      </c>
      <c r="AY140" s="189" t="str">
        <f t="shared" si="100"/>
        <v/>
      </c>
      <c r="AZ140" s="189" t="str">
        <f t="shared" si="101"/>
        <v/>
      </c>
      <c r="BA140" s="189" t="str">
        <f t="shared" si="102"/>
        <v/>
      </c>
      <c r="BB140" s="191">
        <f t="shared" si="117"/>
        <v>0</v>
      </c>
      <c r="BC140" s="191" t="str">
        <f t="shared" si="118"/>
        <v/>
      </c>
      <c r="BD140" s="191" t="str">
        <f t="shared" si="119"/>
        <v/>
      </c>
      <c r="BF140" s="192">
        <f t="shared" si="120"/>
        <v>0</v>
      </c>
      <c r="BG140" s="192">
        <f t="shared" si="121"/>
        <v>0</v>
      </c>
      <c r="BH140" s="192" t="str">
        <f>IF( $B140="", "", IF(ISNA(VLOOKUP($C140, Defesa!$C$7:$C$29,1,FALSE)),1,0))</f>
        <v/>
      </c>
      <c r="BI140" s="193" t="str">
        <f t="shared" si="122"/>
        <v/>
      </c>
      <c r="BJ140" s="193" t="str">
        <f>IF($B140="", "", IF( AND( $AI140="ESTIMATIVA", OR( Defesa!$F$7 = "AUTOMÁTICA", Defesa!$F$7 ="100% BASELINE")), 1, 0))</f>
        <v/>
      </c>
      <c r="BK140" s="192" t="str">
        <f t="shared" si="103"/>
        <v/>
      </c>
      <c r="BL140" s="192">
        <f t="shared" si="123"/>
        <v>0</v>
      </c>
      <c r="BM140" s="192" t="str">
        <f>IF($AC140="", "", IF(ISNA(VLOOKUP($AC140, TABELAS!$Q:$Q, 1, FALSE)), 1, 0))</f>
        <v/>
      </c>
      <c r="BN140" s="194" t="str">
        <f t="shared" si="104"/>
        <v/>
      </c>
      <c r="BO140" s="192" t="str">
        <f t="shared" si="124"/>
        <v/>
      </c>
      <c r="BP140" s="192" t="str">
        <f t="shared" si="125"/>
        <v/>
      </c>
      <c r="BQ140" s="193" t="str">
        <f t="shared" si="126"/>
        <v/>
      </c>
      <c r="BR140" s="192" t="str">
        <f t="shared" si="127"/>
        <v/>
      </c>
      <c r="BS140" s="192" t="str">
        <f t="shared" si="128"/>
        <v/>
      </c>
      <c r="BT140" s="192" t="str">
        <f>IF(OR($B140="", $AH140 = "SIM"), "", IF( ISNA(VLOOKUP($AP140,#REF!, 1, FALSE)), 1, 0))</f>
        <v/>
      </c>
      <c r="BU140" s="192" t="str">
        <f t="shared" si="129"/>
        <v/>
      </c>
      <c r="BV140" s="192" t="str">
        <f>IF( $B140="", "", IF( ISNA(VLOOKUP($AN140, TABELAS!$T$2:$T$9,1,FALSE)), 1, 0))</f>
        <v/>
      </c>
      <c r="BW140" s="192" t="str">
        <f t="shared" si="130"/>
        <v/>
      </c>
      <c r="BX140" s="192" t="str">
        <f>IF( OR($B140="", $AH140 = "SIM"), "", IF( ISNA( VLOOKUP( $AQ140, SISTEMA!$B:$B, 1, FALSE)), 1, 0))</f>
        <v/>
      </c>
      <c r="BY140" s="193" t="str">
        <f t="shared" si="131"/>
        <v/>
      </c>
      <c r="BZ140" s="193" t="str">
        <f t="shared" si="132"/>
        <v/>
      </c>
      <c r="CA140" s="192" t="str">
        <f t="shared" si="133"/>
        <v/>
      </c>
      <c r="CB140" s="193" t="str">
        <f t="shared" si="134"/>
        <v/>
      </c>
      <c r="CC140" s="193" t="str">
        <f t="shared" si="135"/>
        <v/>
      </c>
      <c r="CD140" s="193" t="str">
        <f t="shared" si="136"/>
        <v/>
      </c>
    </row>
    <row r="141" spans="1:82" x14ac:dyDescent="0.2">
      <c r="A141" s="140"/>
      <c r="B141" s="141" t="str">
        <f t="shared" si="105"/>
        <v/>
      </c>
      <c r="C141" s="142" t="str">
        <f t="shared" si="93"/>
        <v/>
      </c>
      <c r="D141" s="142" t="str">
        <f t="shared" si="106"/>
        <v/>
      </c>
      <c r="E141" s="142" t="str">
        <f>IF($C141="", "", COUNTIF($M$8:$M141,$D141))</f>
        <v/>
      </c>
      <c r="F141" s="254">
        <v>134</v>
      </c>
      <c r="G141" s="143"/>
      <c r="H141" s="144"/>
      <c r="I141" s="144"/>
      <c r="J141" s="145"/>
      <c r="K141" s="144"/>
      <c r="L141" s="144"/>
      <c r="M141" s="144"/>
      <c r="N141" s="146"/>
      <c r="O141" s="147"/>
      <c r="P141" s="147"/>
      <c r="Q141" s="147"/>
      <c r="R141" s="147"/>
      <c r="S141" s="147"/>
      <c r="T141" s="149"/>
      <c r="U141" s="150" t="str">
        <f>IF($T141="", "", VLOOKUP($T141, CONTRATOS!$B:$E, 2, FALSE))</f>
        <v/>
      </c>
      <c r="V141" s="151">
        <f>IF(OR($T141="",TB_DEFESA!$C$2="CARGA BASELINE"),0,
   IF(VLOOKUP($T141, CONTRATOS!B:E, 3, FALSE)&lt;&gt;"",1,IF(VLOOKUP($T141, CONTRATOS!B:E, 4, FALSE)&lt;&gt;"",2,0)))</f>
        <v>0</v>
      </c>
      <c r="W141" s="152"/>
      <c r="X141" s="152"/>
      <c r="Y141" s="153"/>
      <c r="Z141" s="154"/>
      <c r="AA141" s="155"/>
      <c r="AB141" s="156"/>
      <c r="AC141" s="157"/>
      <c r="AD141" s="155"/>
      <c r="AE141" s="158" t="str">
        <f t="shared" si="94"/>
        <v/>
      </c>
      <c r="AF141" s="160" t="str">
        <f t="shared" si="107"/>
        <v/>
      </c>
      <c r="AG141" s="182" t="s">
        <v>59</v>
      </c>
      <c r="AH141" s="183" t="str">
        <f t="shared" si="108"/>
        <v/>
      </c>
      <c r="AI141" s="183" t="str">
        <f t="shared" si="109"/>
        <v/>
      </c>
      <c r="AJ141" s="184" t="str">
        <f t="shared" si="110"/>
        <v/>
      </c>
      <c r="AK141" s="185" t="str">
        <f t="shared" si="111"/>
        <v/>
      </c>
      <c r="AL141" s="186"/>
      <c r="AM141" s="183" t="str">
        <f t="shared" si="112"/>
        <v/>
      </c>
      <c r="AN141" s="183" t="str">
        <f t="shared" si="113"/>
        <v/>
      </c>
      <c r="AO141" s="186" t="str">
        <f t="shared" si="114"/>
        <v/>
      </c>
      <c r="AP141" s="187" t="str">
        <f t="shared" si="115"/>
        <v/>
      </c>
      <c r="AQ141" s="187" t="str">
        <f t="shared" si="116"/>
        <v/>
      </c>
      <c r="AR141" s="188" t="str">
        <f t="shared" si="95"/>
        <v/>
      </c>
      <c r="AS141" s="188" t="str">
        <f t="shared" si="96"/>
        <v/>
      </c>
      <c r="AT141" s="183" t="str">
        <f t="shared" si="97"/>
        <v/>
      </c>
      <c r="AU141" s="189" t="str">
        <f>IF(OR($B141="", $AP141= ""),"",IF(VLOOKUP($AP141, CONTRATOS!B:K,3,FALSE)="","",VLOOKUP($AP141, CONTRATOS!B:K, 3,FALSE)))</f>
        <v/>
      </c>
      <c r="AV141" s="189" t="str">
        <f>IF(OR($B141="", $AP141 = ""), "", IF(VLOOKUP($AP141, CONTRATOS!B:K,4,FALSE)="","",VLOOKUP($AP141, CONTRATOS!B:K,4, FALSE)))</f>
        <v/>
      </c>
      <c r="AW141" s="190" t="str">
        <f t="shared" si="98"/>
        <v/>
      </c>
      <c r="AX141" s="189" t="str">
        <f t="shared" si="99"/>
        <v/>
      </c>
      <c r="AY141" s="189" t="str">
        <f t="shared" si="100"/>
        <v/>
      </c>
      <c r="AZ141" s="189" t="str">
        <f t="shared" si="101"/>
        <v/>
      </c>
      <c r="BA141" s="189" t="str">
        <f t="shared" si="102"/>
        <v/>
      </c>
      <c r="BB141" s="191">
        <f t="shared" si="117"/>
        <v>0</v>
      </c>
      <c r="BC141" s="191" t="str">
        <f t="shared" si="118"/>
        <v/>
      </c>
      <c r="BD141" s="191" t="str">
        <f t="shared" si="119"/>
        <v/>
      </c>
      <c r="BF141" s="192">
        <f t="shared" si="120"/>
        <v>0</v>
      </c>
      <c r="BG141" s="192">
        <f t="shared" si="121"/>
        <v>0</v>
      </c>
      <c r="BH141" s="192" t="str">
        <f>IF( $B141="", "", IF(ISNA(VLOOKUP($C141, Defesa!$C$7:$C$29,1,FALSE)),1,0))</f>
        <v/>
      </c>
      <c r="BI141" s="193" t="str">
        <f t="shared" si="122"/>
        <v/>
      </c>
      <c r="BJ141" s="193" t="str">
        <f>IF($B141="", "", IF( AND( $AI141="ESTIMATIVA", OR( Defesa!$F$7 = "AUTOMÁTICA", Defesa!$F$7 ="100% BASELINE")), 1, 0))</f>
        <v/>
      </c>
      <c r="BK141" s="192" t="str">
        <f t="shared" si="103"/>
        <v/>
      </c>
      <c r="BL141" s="192">
        <f t="shared" si="123"/>
        <v>0</v>
      </c>
      <c r="BM141" s="192" t="str">
        <f>IF($AC141="", "", IF(ISNA(VLOOKUP($AC141, TABELAS!$Q:$Q, 1, FALSE)), 1, 0))</f>
        <v/>
      </c>
      <c r="BN141" s="194" t="str">
        <f t="shared" si="104"/>
        <v/>
      </c>
      <c r="BO141" s="192" t="str">
        <f t="shared" si="124"/>
        <v/>
      </c>
      <c r="BP141" s="192" t="str">
        <f t="shared" si="125"/>
        <v/>
      </c>
      <c r="BQ141" s="193" t="str">
        <f t="shared" si="126"/>
        <v/>
      </c>
      <c r="BR141" s="192" t="str">
        <f t="shared" si="127"/>
        <v/>
      </c>
      <c r="BS141" s="192" t="str">
        <f t="shared" si="128"/>
        <v/>
      </c>
      <c r="BT141" s="192" t="str">
        <f>IF(OR($B141="", $AH141 = "SIM"), "", IF( ISNA(VLOOKUP($AP141,#REF!, 1, FALSE)), 1, 0))</f>
        <v/>
      </c>
      <c r="BU141" s="192" t="str">
        <f t="shared" si="129"/>
        <v/>
      </c>
      <c r="BV141" s="192" t="str">
        <f>IF( $B141="", "", IF( ISNA(VLOOKUP($AN141, TABELAS!$T$2:$T$9,1,FALSE)), 1, 0))</f>
        <v/>
      </c>
      <c r="BW141" s="192" t="str">
        <f t="shared" si="130"/>
        <v/>
      </c>
      <c r="BX141" s="192" t="str">
        <f>IF( OR($B141="", $AH141 = "SIM"), "", IF( ISNA( VLOOKUP( $AQ141, SISTEMA!$B:$B, 1, FALSE)), 1, 0))</f>
        <v/>
      </c>
      <c r="BY141" s="193" t="str">
        <f t="shared" si="131"/>
        <v/>
      </c>
      <c r="BZ141" s="193" t="str">
        <f t="shared" si="132"/>
        <v/>
      </c>
      <c r="CA141" s="192" t="str">
        <f t="shared" si="133"/>
        <v/>
      </c>
      <c r="CB141" s="193" t="str">
        <f t="shared" si="134"/>
        <v/>
      </c>
      <c r="CC141" s="193" t="str">
        <f t="shared" si="135"/>
        <v/>
      </c>
      <c r="CD141" s="193" t="str">
        <f t="shared" si="136"/>
        <v/>
      </c>
    </row>
    <row r="142" spans="1:82" x14ac:dyDescent="0.2">
      <c r="A142" s="140"/>
      <c r="B142" s="141" t="str">
        <f t="shared" si="105"/>
        <v/>
      </c>
      <c r="C142" s="142" t="str">
        <f t="shared" si="93"/>
        <v/>
      </c>
      <c r="D142" s="142" t="str">
        <f t="shared" si="106"/>
        <v/>
      </c>
      <c r="E142" s="142" t="str">
        <f>IF($C142="", "", COUNTIF($M$8:$M142,$D142))</f>
        <v/>
      </c>
      <c r="F142" s="254">
        <v>135</v>
      </c>
      <c r="G142" s="143"/>
      <c r="H142" s="144"/>
      <c r="I142" s="144"/>
      <c r="J142" s="145"/>
      <c r="K142" s="144"/>
      <c r="L142" s="144"/>
      <c r="M142" s="144"/>
      <c r="N142" s="146"/>
      <c r="O142" s="147"/>
      <c r="P142" s="147"/>
      <c r="Q142" s="147"/>
      <c r="R142" s="147"/>
      <c r="S142" s="147"/>
      <c r="T142" s="149"/>
      <c r="U142" s="150" t="str">
        <f>IF($T142="", "", VLOOKUP($T142, CONTRATOS!$B:$E, 2, FALSE))</f>
        <v/>
      </c>
      <c r="V142" s="151">
        <f>IF(OR($T142="",TB_DEFESA!$C$2="CARGA BASELINE"),0,
   IF(VLOOKUP($T142, CONTRATOS!B:E, 3, FALSE)&lt;&gt;"",1,IF(VLOOKUP($T142, CONTRATOS!B:E, 4, FALSE)&lt;&gt;"",2,0)))</f>
        <v>0</v>
      </c>
      <c r="W142" s="152"/>
      <c r="X142" s="152"/>
      <c r="Y142" s="153"/>
      <c r="Z142" s="154"/>
      <c r="AA142" s="155"/>
      <c r="AB142" s="156"/>
      <c r="AC142" s="157"/>
      <c r="AD142" s="155"/>
      <c r="AE142" s="158" t="str">
        <f t="shared" si="94"/>
        <v/>
      </c>
      <c r="AF142" s="160" t="str">
        <f t="shared" si="107"/>
        <v/>
      </c>
      <c r="AG142" s="182" t="s">
        <v>59</v>
      </c>
      <c r="AH142" s="183" t="str">
        <f t="shared" si="108"/>
        <v/>
      </c>
      <c r="AI142" s="183" t="str">
        <f t="shared" si="109"/>
        <v/>
      </c>
      <c r="AJ142" s="184" t="str">
        <f t="shared" si="110"/>
        <v/>
      </c>
      <c r="AK142" s="185" t="str">
        <f t="shared" si="111"/>
        <v/>
      </c>
      <c r="AL142" s="186"/>
      <c r="AM142" s="183" t="str">
        <f t="shared" si="112"/>
        <v/>
      </c>
      <c r="AN142" s="183" t="str">
        <f t="shared" si="113"/>
        <v/>
      </c>
      <c r="AO142" s="186" t="str">
        <f t="shared" si="114"/>
        <v/>
      </c>
      <c r="AP142" s="187" t="str">
        <f t="shared" si="115"/>
        <v/>
      </c>
      <c r="AQ142" s="187" t="str">
        <f t="shared" si="116"/>
        <v/>
      </c>
      <c r="AR142" s="188" t="str">
        <f t="shared" si="95"/>
        <v/>
      </c>
      <c r="AS142" s="188" t="str">
        <f t="shared" si="96"/>
        <v/>
      </c>
      <c r="AT142" s="183" t="str">
        <f t="shared" si="97"/>
        <v/>
      </c>
      <c r="AU142" s="189" t="str">
        <f>IF(OR($B142="", $AP142= ""),"",IF(VLOOKUP($AP142, CONTRATOS!B:K,3,FALSE)="","",VLOOKUP($AP142, CONTRATOS!B:K, 3,FALSE)))</f>
        <v/>
      </c>
      <c r="AV142" s="189" t="str">
        <f>IF(OR($B142="", $AP142 = ""), "", IF(VLOOKUP($AP142, CONTRATOS!B:K,4,FALSE)="","",VLOOKUP($AP142, CONTRATOS!B:K,4, FALSE)))</f>
        <v/>
      </c>
      <c r="AW142" s="190" t="str">
        <f t="shared" si="98"/>
        <v/>
      </c>
      <c r="AX142" s="189" t="str">
        <f t="shared" si="99"/>
        <v/>
      </c>
      <c r="AY142" s="189" t="str">
        <f t="shared" si="100"/>
        <v/>
      </c>
      <c r="AZ142" s="189" t="str">
        <f t="shared" si="101"/>
        <v/>
      </c>
      <c r="BA142" s="189" t="str">
        <f t="shared" si="102"/>
        <v/>
      </c>
      <c r="BB142" s="191">
        <f t="shared" si="117"/>
        <v>0</v>
      </c>
      <c r="BC142" s="191" t="str">
        <f t="shared" si="118"/>
        <v/>
      </c>
      <c r="BD142" s="191" t="str">
        <f t="shared" si="119"/>
        <v/>
      </c>
      <c r="BF142" s="192">
        <f t="shared" si="120"/>
        <v>0</v>
      </c>
      <c r="BG142" s="192">
        <f t="shared" si="121"/>
        <v>0</v>
      </c>
      <c r="BH142" s="192" t="str">
        <f>IF( $B142="", "", IF(ISNA(VLOOKUP($C142, Defesa!$C$7:$C$29,1,FALSE)),1,0))</f>
        <v/>
      </c>
      <c r="BI142" s="193" t="str">
        <f t="shared" si="122"/>
        <v/>
      </c>
      <c r="BJ142" s="193" t="str">
        <f>IF($B142="", "", IF( AND( $AI142="ESTIMATIVA", OR( Defesa!$F$7 = "AUTOMÁTICA", Defesa!$F$7 ="100% BASELINE")), 1, 0))</f>
        <v/>
      </c>
      <c r="BK142" s="192" t="str">
        <f t="shared" si="103"/>
        <v/>
      </c>
      <c r="BL142" s="192">
        <f t="shared" si="123"/>
        <v>0</v>
      </c>
      <c r="BM142" s="192" t="str">
        <f>IF($AC142="", "", IF(ISNA(VLOOKUP($AC142, TABELAS!$Q:$Q, 1, FALSE)), 1, 0))</f>
        <v/>
      </c>
      <c r="BN142" s="194" t="str">
        <f t="shared" si="104"/>
        <v/>
      </c>
      <c r="BO142" s="192" t="str">
        <f t="shared" si="124"/>
        <v/>
      </c>
      <c r="BP142" s="192" t="str">
        <f t="shared" si="125"/>
        <v/>
      </c>
      <c r="BQ142" s="193" t="str">
        <f t="shared" si="126"/>
        <v/>
      </c>
      <c r="BR142" s="192" t="str">
        <f t="shared" si="127"/>
        <v/>
      </c>
      <c r="BS142" s="192" t="str">
        <f t="shared" si="128"/>
        <v/>
      </c>
      <c r="BT142" s="192" t="str">
        <f>IF(OR($B142="", $AH142 = "SIM"), "", IF( ISNA(VLOOKUP($AP142,#REF!, 1, FALSE)), 1, 0))</f>
        <v/>
      </c>
      <c r="BU142" s="192" t="str">
        <f t="shared" si="129"/>
        <v/>
      </c>
      <c r="BV142" s="192" t="str">
        <f>IF( $B142="", "", IF( ISNA(VLOOKUP($AN142, TABELAS!$T$2:$T$9,1,FALSE)), 1, 0))</f>
        <v/>
      </c>
      <c r="BW142" s="192" t="str">
        <f t="shared" si="130"/>
        <v/>
      </c>
      <c r="BX142" s="192" t="str">
        <f>IF( OR($B142="", $AH142 = "SIM"), "", IF( ISNA( VLOOKUP( $AQ142, SISTEMA!$B:$B, 1, FALSE)), 1, 0))</f>
        <v/>
      </c>
      <c r="BY142" s="193" t="str">
        <f t="shared" si="131"/>
        <v/>
      </c>
      <c r="BZ142" s="193" t="str">
        <f t="shared" si="132"/>
        <v/>
      </c>
      <c r="CA142" s="192" t="str">
        <f t="shared" si="133"/>
        <v/>
      </c>
      <c r="CB142" s="193" t="str">
        <f t="shared" si="134"/>
        <v/>
      </c>
      <c r="CC142" s="193" t="str">
        <f t="shared" si="135"/>
        <v/>
      </c>
      <c r="CD142" s="193" t="str">
        <f t="shared" si="136"/>
        <v/>
      </c>
    </row>
    <row r="143" spans="1:82" x14ac:dyDescent="0.2">
      <c r="A143" s="140"/>
      <c r="B143" s="141" t="str">
        <f t="shared" si="105"/>
        <v/>
      </c>
      <c r="C143" s="142" t="str">
        <f t="shared" si="93"/>
        <v/>
      </c>
      <c r="D143" s="142" t="str">
        <f t="shared" si="106"/>
        <v/>
      </c>
      <c r="E143" s="142" t="str">
        <f>IF($C143="", "", COUNTIF($M$8:$M143,$D143))</f>
        <v/>
      </c>
      <c r="F143" s="254">
        <v>136</v>
      </c>
      <c r="G143" s="143"/>
      <c r="H143" s="144"/>
      <c r="I143" s="144"/>
      <c r="J143" s="145"/>
      <c r="K143" s="144"/>
      <c r="L143" s="144"/>
      <c r="M143" s="144"/>
      <c r="N143" s="146"/>
      <c r="O143" s="147"/>
      <c r="P143" s="147"/>
      <c r="Q143" s="147"/>
      <c r="R143" s="147"/>
      <c r="S143" s="147"/>
      <c r="T143" s="149"/>
      <c r="U143" s="150" t="str">
        <f>IF($T143="", "", VLOOKUP($T143, CONTRATOS!$B:$E, 2, FALSE))</f>
        <v/>
      </c>
      <c r="V143" s="151">
        <f>IF(OR($T143="",TB_DEFESA!$C$2="CARGA BASELINE"),0,
   IF(VLOOKUP($T143, CONTRATOS!B:E, 3, FALSE)&lt;&gt;"",1,IF(VLOOKUP($T143, CONTRATOS!B:E, 4, FALSE)&lt;&gt;"",2,0)))</f>
        <v>0</v>
      </c>
      <c r="W143" s="152"/>
      <c r="X143" s="152"/>
      <c r="Y143" s="153"/>
      <c r="Z143" s="154"/>
      <c r="AA143" s="155"/>
      <c r="AB143" s="156"/>
      <c r="AC143" s="157"/>
      <c r="AD143" s="155"/>
      <c r="AE143" s="158" t="str">
        <f t="shared" si="94"/>
        <v/>
      </c>
      <c r="AF143" s="160" t="str">
        <f t="shared" si="107"/>
        <v/>
      </c>
      <c r="AG143" s="182" t="s">
        <v>59</v>
      </c>
      <c r="AH143" s="183" t="str">
        <f t="shared" si="108"/>
        <v/>
      </c>
      <c r="AI143" s="183" t="str">
        <f t="shared" si="109"/>
        <v/>
      </c>
      <c r="AJ143" s="184" t="str">
        <f t="shared" si="110"/>
        <v/>
      </c>
      <c r="AK143" s="185" t="str">
        <f t="shared" si="111"/>
        <v/>
      </c>
      <c r="AL143" s="186"/>
      <c r="AM143" s="183" t="str">
        <f t="shared" si="112"/>
        <v/>
      </c>
      <c r="AN143" s="183" t="str">
        <f t="shared" si="113"/>
        <v/>
      </c>
      <c r="AO143" s="186" t="str">
        <f t="shared" si="114"/>
        <v/>
      </c>
      <c r="AP143" s="187" t="str">
        <f t="shared" si="115"/>
        <v/>
      </c>
      <c r="AQ143" s="187" t="str">
        <f t="shared" si="116"/>
        <v/>
      </c>
      <c r="AR143" s="188" t="str">
        <f t="shared" si="95"/>
        <v/>
      </c>
      <c r="AS143" s="188" t="str">
        <f t="shared" si="96"/>
        <v/>
      </c>
      <c r="AT143" s="183" t="str">
        <f t="shared" si="97"/>
        <v/>
      </c>
      <c r="AU143" s="189" t="str">
        <f>IF(OR($B143="", $AP143= ""),"",IF(VLOOKUP($AP143, CONTRATOS!B:K,3,FALSE)="","",VLOOKUP($AP143, CONTRATOS!B:K, 3,FALSE)))</f>
        <v/>
      </c>
      <c r="AV143" s="189" t="str">
        <f>IF(OR($B143="", $AP143 = ""), "", IF(VLOOKUP($AP143, CONTRATOS!B:K,4,FALSE)="","",VLOOKUP($AP143, CONTRATOS!B:K,4, FALSE)))</f>
        <v/>
      </c>
      <c r="AW143" s="190" t="str">
        <f t="shared" si="98"/>
        <v/>
      </c>
      <c r="AX143" s="189" t="str">
        <f t="shared" si="99"/>
        <v/>
      </c>
      <c r="AY143" s="189" t="str">
        <f t="shared" si="100"/>
        <v/>
      </c>
      <c r="AZ143" s="189" t="str">
        <f t="shared" si="101"/>
        <v/>
      </c>
      <c r="BA143" s="189" t="str">
        <f t="shared" si="102"/>
        <v/>
      </c>
      <c r="BB143" s="191">
        <f t="shared" si="117"/>
        <v>0</v>
      </c>
      <c r="BC143" s="191" t="str">
        <f t="shared" si="118"/>
        <v/>
      </c>
      <c r="BD143" s="191" t="str">
        <f t="shared" si="119"/>
        <v/>
      </c>
      <c r="BF143" s="192">
        <f t="shared" si="120"/>
        <v>0</v>
      </c>
      <c r="BG143" s="192">
        <f t="shared" si="121"/>
        <v>0</v>
      </c>
      <c r="BH143" s="192" t="str">
        <f>IF( $B143="", "", IF(ISNA(VLOOKUP($C143, Defesa!$C$7:$C$29,1,FALSE)),1,0))</f>
        <v/>
      </c>
      <c r="BI143" s="193" t="str">
        <f t="shared" si="122"/>
        <v/>
      </c>
      <c r="BJ143" s="193" t="str">
        <f>IF($B143="", "", IF( AND( $AI143="ESTIMATIVA", OR( Defesa!$F$7 = "AUTOMÁTICA", Defesa!$F$7 ="100% BASELINE")), 1, 0))</f>
        <v/>
      </c>
      <c r="BK143" s="192" t="str">
        <f t="shared" si="103"/>
        <v/>
      </c>
      <c r="BL143" s="192">
        <f t="shared" si="123"/>
        <v>0</v>
      </c>
      <c r="BM143" s="192" t="str">
        <f>IF($AC143="", "", IF(ISNA(VLOOKUP($AC143, TABELAS!$Q:$Q, 1, FALSE)), 1, 0))</f>
        <v/>
      </c>
      <c r="BN143" s="194" t="str">
        <f t="shared" si="104"/>
        <v/>
      </c>
      <c r="BO143" s="192" t="str">
        <f t="shared" si="124"/>
        <v/>
      </c>
      <c r="BP143" s="192" t="str">
        <f t="shared" si="125"/>
        <v/>
      </c>
      <c r="BQ143" s="193" t="str">
        <f t="shared" si="126"/>
        <v/>
      </c>
      <c r="BR143" s="192" t="str">
        <f t="shared" si="127"/>
        <v/>
      </c>
      <c r="BS143" s="192" t="str">
        <f t="shared" si="128"/>
        <v/>
      </c>
      <c r="BT143" s="192" t="str">
        <f>IF(OR($B143="", $AH143 = "SIM"), "", IF( ISNA(VLOOKUP($AP143,#REF!, 1, FALSE)), 1, 0))</f>
        <v/>
      </c>
      <c r="BU143" s="192" t="str">
        <f t="shared" si="129"/>
        <v/>
      </c>
      <c r="BV143" s="192" t="str">
        <f>IF( $B143="", "", IF( ISNA(VLOOKUP($AN143, TABELAS!$T$2:$T$9,1,FALSE)), 1, 0))</f>
        <v/>
      </c>
      <c r="BW143" s="192" t="str">
        <f t="shared" si="130"/>
        <v/>
      </c>
      <c r="BX143" s="192" t="str">
        <f>IF( OR($B143="", $AH143 = "SIM"), "", IF( ISNA( VLOOKUP( $AQ143, SISTEMA!$B:$B, 1, FALSE)), 1, 0))</f>
        <v/>
      </c>
      <c r="BY143" s="193" t="str">
        <f t="shared" si="131"/>
        <v/>
      </c>
      <c r="BZ143" s="193" t="str">
        <f t="shared" si="132"/>
        <v/>
      </c>
      <c r="CA143" s="192" t="str">
        <f t="shared" si="133"/>
        <v/>
      </c>
      <c r="CB143" s="193" t="str">
        <f t="shared" si="134"/>
        <v/>
      </c>
      <c r="CC143" s="193" t="str">
        <f t="shared" si="135"/>
        <v/>
      </c>
      <c r="CD143" s="193" t="str">
        <f t="shared" si="136"/>
        <v/>
      </c>
    </row>
    <row r="144" spans="1:82" x14ac:dyDescent="0.2">
      <c r="A144" s="140"/>
      <c r="B144" s="141" t="str">
        <f t="shared" si="105"/>
        <v/>
      </c>
      <c r="C144" s="142" t="str">
        <f t="shared" si="93"/>
        <v/>
      </c>
      <c r="D144" s="142" t="str">
        <f t="shared" si="106"/>
        <v/>
      </c>
      <c r="E144" s="142" t="str">
        <f>IF($C144="", "", COUNTIF($M$8:$M144,$D144))</f>
        <v/>
      </c>
      <c r="F144" s="254">
        <v>137</v>
      </c>
      <c r="G144" s="143"/>
      <c r="H144" s="144"/>
      <c r="I144" s="144"/>
      <c r="J144" s="145"/>
      <c r="K144" s="144"/>
      <c r="L144" s="144"/>
      <c r="M144" s="144"/>
      <c r="N144" s="146"/>
      <c r="O144" s="147"/>
      <c r="P144" s="147"/>
      <c r="Q144" s="147"/>
      <c r="R144" s="147"/>
      <c r="S144" s="147"/>
      <c r="T144" s="149"/>
      <c r="U144" s="150" t="str">
        <f>IF($T144="", "", VLOOKUP($T144, CONTRATOS!$B:$E, 2, FALSE))</f>
        <v/>
      </c>
      <c r="V144" s="151">
        <f>IF(OR($T144="",TB_DEFESA!$C$2="CARGA BASELINE"),0,
   IF(VLOOKUP($T144, CONTRATOS!B:E, 3, FALSE)&lt;&gt;"",1,IF(VLOOKUP($T144, CONTRATOS!B:E, 4, FALSE)&lt;&gt;"",2,0)))</f>
        <v>0</v>
      </c>
      <c r="W144" s="152"/>
      <c r="X144" s="152"/>
      <c r="Y144" s="153"/>
      <c r="Z144" s="154"/>
      <c r="AA144" s="155"/>
      <c r="AB144" s="156"/>
      <c r="AC144" s="157"/>
      <c r="AD144" s="155"/>
      <c r="AE144" s="158" t="str">
        <f t="shared" si="94"/>
        <v/>
      </c>
      <c r="AF144" s="160" t="str">
        <f t="shared" si="107"/>
        <v/>
      </c>
      <c r="AG144" s="182" t="s">
        <v>59</v>
      </c>
      <c r="AH144" s="183" t="str">
        <f t="shared" si="108"/>
        <v/>
      </c>
      <c r="AI144" s="183" t="str">
        <f t="shared" si="109"/>
        <v/>
      </c>
      <c r="AJ144" s="184" t="str">
        <f t="shared" si="110"/>
        <v/>
      </c>
      <c r="AK144" s="185" t="str">
        <f t="shared" si="111"/>
        <v/>
      </c>
      <c r="AL144" s="186"/>
      <c r="AM144" s="183" t="str">
        <f t="shared" si="112"/>
        <v/>
      </c>
      <c r="AN144" s="183" t="str">
        <f t="shared" si="113"/>
        <v/>
      </c>
      <c r="AO144" s="186" t="str">
        <f t="shared" si="114"/>
        <v/>
      </c>
      <c r="AP144" s="187" t="str">
        <f t="shared" si="115"/>
        <v/>
      </c>
      <c r="AQ144" s="187" t="str">
        <f t="shared" si="116"/>
        <v/>
      </c>
      <c r="AR144" s="188" t="str">
        <f t="shared" si="95"/>
        <v/>
      </c>
      <c r="AS144" s="188" t="str">
        <f t="shared" si="96"/>
        <v/>
      </c>
      <c r="AT144" s="183" t="str">
        <f t="shared" si="97"/>
        <v/>
      </c>
      <c r="AU144" s="189" t="str">
        <f>IF(OR($B144="", $AP144= ""),"",IF(VLOOKUP($AP144, CONTRATOS!B:K,3,FALSE)="","",VLOOKUP($AP144, CONTRATOS!B:K, 3,FALSE)))</f>
        <v/>
      </c>
      <c r="AV144" s="189" t="str">
        <f>IF(OR($B144="", $AP144 = ""), "", IF(VLOOKUP($AP144, CONTRATOS!B:K,4,FALSE)="","",VLOOKUP($AP144, CONTRATOS!B:K,4, FALSE)))</f>
        <v/>
      </c>
      <c r="AW144" s="190" t="str">
        <f t="shared" si="98"/>
        <v/>
      </c>
      <c r="AX144" s="189" t="str">
        <f t="shared" si="99"/>
        <v/>
      </c>
      <c r="AY144" s="189" t="str">
        <f t="shared" si="100"/>
        <v/>
      </c>
      <c r="AZ144" s="189" t="str">
        <f t="shared" si="101"/>
        <v/>
      </c>
      <c r="BA144" s="189" t="str">
        <f t="shared" si="102"/>
        <v/>
      </c>
      <c r="BB144" s="191">
        <f t="shared" si="117"/>
        <v>0</v>
      </c>
      <c r="BC144" s="191" t="str">
        <f t="shared" si="118"/>
        <v/>
      </c>
      <c r="BD144" s="191" t="str">
        <f t="shared" si="119"/>
        <v/>
      </c>
      <c r="BF144" s="192">
        <f t="shared" si="120"/>
        <v>0</v>
      </c>
      <c r="BG144" s="192">
        <f t="shared" si="121"/>
        <v>0</v>
      </c>
      <c r="BH144" s="192" t="str">
        <f>IF( $B144="", "", IF(ISNA(VLOOKUP($C144, Defesa!$C$7:$C$29,1,FALSE)),1,0))</f>
        <v/>
      </c>
      <c r="BI144" s="193" t="str">
        <f t="shared" si="122"/>
        <v/>
      </c>
      <c r="BJ144" s="193" t="str">
        <f>IF($B144="", "", IF( AND( $AI144="ESTIMATIVA", OR( Defesa!$F$7 = "AUTOMÁTICA", Defesa!$F$7 ="100% BASELINE")), 1, 0))</f>
        <v/>
      </c>
      <c r="BK144" s="192" t="str">
        <f t="shared" si="103"/>
        <v/>
      </c>
      <c r="BL144" s="192">
        <f t="shared" si="123"/>
        <v>0</v>
      </c>
      <c r="BM144" s="192" t="str">
        <f>IF($AC144="", "", IF(ISNA(VLOOKUP($AC144, TABELAS!$Q:$Q, 1, FALSE)), 1, 0))</f>
        <v/>
      </c>
      <c r="BN144" s="194" t="str">
        <f t="shared" si="104"/>
        <v/>
      </c>
      <c r="BO144" s="192" t="str">
        <f t="shared" si="124"/>
        <v/>
      </c>
      <c r="BP144" s="192" t="str">
        <f t="shared" si="125"/>
        <v/>
      </c>
      <c r="BQ144" s="193" t="str">
        <f t="shared" si="126"/>
        <v/>
      </c>
      <c r="BR144" s="192" t="str">
        <f t="shared" si="127"/>
        <v/>
      </c>
      <c r="BS144" s="192" t="str">
        <f t="shared" si="128"/>
        <v/>
      </c>
      <c r="BT144" s="192" t="str">
        <f>IF(OR($B144="", $AH144 = "SIM"), "", IF( ISNA(VLOOKUP($AP144,#REF!, 1, FALSE)), 1, 0))</f>
        <v/>
      </c>
      <c r="BU144" s="192" t="str">
        <f t="shared" si="129"/>
        <v/>
      </c>
      <c r="BV144" s="192" t="str">
        <f>IF( $B144="", "", IF( ISNA(VLOOKUP($AN144, TABELAS!$T$2:$T$9,1,FALSE)), 1, 0))</f>
        <v/>
      </c>
      <c r="BW144" s="192" t="str">
        <f t="shared" si="130"/>
        <v/>
      </c>
      <c r="BX144" s="192" t="str">
        <f>IF( OR($B144="", $AH144 = "SIM"), "", IF( ISNA( VLOOKUP( $AQ144, SISTEMA!$B:$B, 1, FALSE)), 1, 0))</f>
        <v/>
      </c>
      <c r="BY144" s="193" t="str">
        <f t="shared" si="131"/>
        <v/>
      </c>
      <c r="BZ144" s="193" t="str">
        <f t="shared" si="132"/>
        <v/>
      </c>
      <c r="CA144" s="192" t="str">
        <f t="shared" si="133"/>
        <v/>
      </c>
      <c r="CB144" s="193" t="str">
        <f t="shared" si="134"/>
        <v/>
      </c>
      <c r="CC144" s="193" t="str">
        <f t="shared" si="135"/>
        <v/>
      </c>
      <c r="CD144" s="193" t="str">
        <f t="shared" si="136"/>
        <v/>
      </c>
    </row>
    <row r="145" spans="1:82" x14ac:dyDescent="0.2">
      <c r="A145" s="140"/>
      <c r="B145" s="141" t="str">
        <f t="shared" si="105"/>
        <v/>
      </c>
      <c r="C145" s="142" t="str">
        <f t="shared" si="93"/>
        <v/>
      </c>
      <c r="D145" s="142" t="str">
        <f t="shared" si="106"/>
        <v/>
      </c>
      <c r="E145" s="142" t="str">
        <f>IF($C145="", "", COUNTIF($M$8:$M145,$D145))</f>
        <v/>
      </c>
      <c r="F145" s="254">
        <v>138</v>
      </c>
      <c r="G145" s="143"/>
      <c r="H145" s="144"/>
      <c r="I145" s="144"/>
      <c r="J145" s="145"/>
      <c r="K145" s="144"/>
      <c r="L145" s="144"/>
      <c r="M145" s="144"/>
      <c r="N145" s="146"/>
      <c r="O145" s="147"/>
      <c r="P145" s="147"/>
      <c r="Q145" s="147"/>
      <c r="R145" s="147"/>
      <c r="S145" s="147"/>
      <c r="T145" s="149"/>
      <c r="U145" s="150" t="str">
        <f>IF($T145="", "", VLOOKUP($T145, CONTRATOS!$B:$E, 2, FALSE))</f>
        <v/>
      </c>
      <c r="V145" s="151">
        <f>IF(OR($T145="",TB_DEFESA!$C$2="CARGA BASELINE"),0,
   IF(VLOOKUP($T145, CONTRATOS!B:E, 3, FALSE)&lt;&gt;"",1,IF(VLOOKUP($T145, CONTRATOS!B:E, 4, FALSE)&lt;&gt;"",2,0)))</f>
        <v>0</v>
      </c>
      <c r="W145" s="152"/>
      <c r="X145" s="152"/>
      <c r="Y145" s="153"/>
      <c r="Z145" s="154"/>
      <c r="AA145" s="155"/>
      <c r="AB145" s="156"/>
      <c r="AC145" s="157"/>
      <c r="AD145" s="155"/>
      <c r="AE145" s="158" t="str">
        <f t="shared" si="94"/>
        <v/>
      </c>
      <c r="AF145" s="160" t="str">
        <f t="shared" si="107"/>
        <v/>
      </c>
      <c r="AG145" s="182" t="s">
        <v>59</v>
      </c>
      <c r="AH145" s="183" t="str">
        <f t="shared" si="108"/>
        <v/>
      </c>
      <c r="AI145" s="183" t="str">
        <f t="shared" si="109"/>
        <v/>
      </c>
      <c r="AJ145" s="184" t="str">
        <f t="shared" si="110"/>
        <v/>
      </c>
      <c r="AK145" s="185" t="str">
        <f t="shared" si="111"/>
        <v/>
      </c>
      <c r="AL145" s="186"/>
      <c r="AM145" s="183" t="str">
        <f t="shared" si="112"/>
        <v/>
      </c>
      <c r="AN145" s="183" t="str">
        <f t="shared" si="113"/>
        <v/>
      </c>
      <c r="AO145" s="186" t="str">
        <f t="shared" si="114"/>
        <v/>
      </c>
      <c r="AP145" s="187" t="str">
        <f t="shared" si="115"/>
        <v/>
      </c>
      <c r="AQ145" s="187" t="str">
        <f t="shared" si="116"/>
        <v/>
      </c>
      <c r="AR145" s="188" t="str">
        <f t="shared" si="95"/>
        <v/>
      </c>
      <c r="AS145" s="188" t="str">
        <f t="shared" si="96"/>
        <v/>
      </c>
      <c r="AT145" s="183" t="str">
        <f t="shared" si="97"/>
        <v/>
      </c>
      <c r="AU145" s="189" t="str">
        <f>IF(OR($B145="", $AP145= ""),"",IF(VLOOKUP($AP145, CONTRATOS!B:K,3,FALSE)="","",VLOOKUP($AP145, CONTRATOS!B:K, 3,FALSE)))</f>
        <v/>
      </c>
      <c r="AV145" s="189" t="str">
        <f>IF(OR($B145="", $AP145 = ""), "", IF(VLOOKUP($AP145, CONTRATOS!B:K,4,FALSE)="","",VLOOKUP($AP145, CONTRATOS!B:K,4, FALSE)))</f>
        <v/>
      </c>
      <c r="AW145" s="190" t="str">
        <f t="shared" si="98"/>
        <v/>
      </c>
      <c r="AX145" s="189" t="str">
        <f t="shared" si="99"/>
        <v/>
      </c>
      <c r="AY145" s="189" t="str">
        <f t="shared" si="100"/>
        <v/>
      </c>
      <c r="AZ145" s="189" t="str">
        <f t="shared" si="101"/>
        <v/>
      </c>
      <c r="BA145" s="189" t="str">
        <f t="shared" si="102"/>
        <v/>
      </c>
      <c r="BB145" s="191">
        <f t="shared" si="117"/>
        <v>0</v>
      </c>
      <c r="BC145" s="191" t="str">
        <f t="shared" si="118"/>
        <v/>
      </c>
      <c r="BD145" s="191" t="str">
        <f t="shared" si="119"/>
        <v/>
      </c>
      <c r="BF145" s="192">
        <f t="shared" si="120"/>
        <v>0</v>
      </c>
      <c r="BG145" s="192">
        <f t="shared" si="121"/>
        <v>0</v>
      </c>
      <c r="BH145" s="192" t="str">
        <f>IF( $B145="", "", IF(ISNA(VLOOKUP($C145, Defesa!$C$7:$C$29,1,FALSE)),1,0))</f>
        <v/>
      </c>
      <c r="BI145" s="193" t="str">
        <f t="shared" si="122"/>
        <v/>
      </c>
      <c r="BJ145" s="193" t="str">
        <f>IF($B145="", "", IF( AND( $AI145="ESTIMATIVA", OR( Defesa!$F$7 = "AUTOMÁTICA", Defesa!$F$7 ="100% BASELINE")), 1, 0))</f>
        <v/>
      </c>
      <c r="BK145" s="192" t="str">
        <f t="shared" si="103"/>
        <v/>
      </c>
      <c r="BL145" s="192">
        <f t="shared" si="123"/>
        <v>0</v>
      </c>
      <c r="BM145" s="192" t="str">
        <f>IF($AC145="", "", IF(ISNA(VLOOKUP($AC145, TABELAS!$Q:$Q, 1, FALSE)), 1, 0))</f>
        <v/>
      </c>
      <c r="BN145" s="194" t="str">
        <f t="shared" si="104"/>
        <v/>
      </c>
      <c r="BO145" s="192" t="str">
        <f t="shared" si="124"/>
        <v/>
      </c>
      <c r="BP145" s="192" t="str">
        <f t="shared" si="125"/>
        <v/>
      </c>
      <c r="BQ145" s="193" t="str">
        <f t="shared" si="126"/>
        <v/>
      </c>
      <c r="BR145" s="192" t="str">
        <f t="shared" si="127"/>
        <v/>
      </c>
      <c r="BS145" s="192" t="str">
        <f t="shared" si="128"/>
        <v/>
      </c>
      <c r="BT145" s="192" t="str">
        <f>IF(OR($B145="", $AH145 = "SIM"), "", IF( ISNA(VLOOKUP($AP145,#REF!, 1, FALSE)), 1, 0))</f>
        <v/>
      </c>
      <c r="BU145" s="192" t="str">
        <f t="shared" si="129"/>
        <v/>
      </c>
      <c r="BV145" s="192" t="str">
        <f>IF( $B145="", "", IF( ISNA(VLOOKUP($AN145, TABELAS!$T$2:$T$9,1,FALSE)), 1, 0))</f>
        <v/>
      </c>
      <c r="BW145" s="192" t="str">
        <f t="shared" si="130"/>
        <v/>
      </c>
      <c r="BX145" s="192" t="str">
        <f>IF( OR($B145="", $AH145 = "SIM"), "", IF( ISNA( VLOOKUP( $AQ145, SISTEMA!$B:$B, 1, FALSE)), 1, 0))</f>
        <v/>
      </c>
      <c r="BY145" s="193" t="str">
        <f t="shared" si="131"/>
        <v/>
      </c>
      <c r="BZ145" s="193" t="str">
        <f t="shared" si="132"/>
        <v/>
      </c>
      <c r="CA145" s="192" t="str">
        <f t="shared" si="133"/>
        <v/>
      </c>
      <c r="CB145" s="193" t="str">
        <f t="shared" si="134"/>
        <v/>
      </c>
      <c r="CC145" s="193" t="str">
        <f t="shared" si="135"/>
        <v/>
      </c>
      <c r="CD145" s="193" t="str">
        <f t="shared" si="136"/>
        <v/>
      </c>
    </row>
    <row r="146" spans="1:82" x14ac:dyDescent="0.2">
      <c r="A146" s="140"/>
      <c r="B146" s="141" t="str">
        <f t="shared" si="105"/>
        <v/>
      </c>
      <c r="C146" s="142" t="str">
        <f t="shared" si="93"/>
        <v/>
      </c>
      <c r="D146" s="142" t="str">
        <f t="shared" si="106"/>
        <v/>
      </c>
      <c r="E146" s="142" t="str">
        <f>IF($C146="", "", COUNTIF($M$8:$M146,$D146))</f>
        <v/>
      </c>
      <c r="F146" s="254">
        <v>139</v>
      </c>
      <c r="G146" s="143"/>
      <c r="H146" s="144"/>
      <c r="I146" s="144"/>
      <c r="J146" s="145"/>
      <c r="K146" s="144"/>
      <c r="L146" s="144"/>
      <c r="M146" s="144"/>
      <c r="N146" s="146"/>
      <c r="O146" s="147"/>
      <c r="P146" s="147"/>
      <c r="Q146" s="147"/>
      <c r="R146" s="147"/>
      <c r="S146" s="147"/>
      <c r="T146" s="149"/>
      <c r="U146" s="150" t="str">
        <f>IF($T146="", "", VLOOKUP($T146, CONTRATOS!$B:$E, 2, FALSE))</f>
        <v/>
      </c>
      <c r="V146" s="151">
        <f>IF(OR($T146="",TB_DEFESA!$C$2="CARGA BASELINE"),0,
   IF(VLOOKUP($T146, CONTRATOS!B:E, 3, FALSE)&lt;&gt;"",1,IF(VLOOKUP($T146, CONTRATOS!B:E, 4, FALSE)&lt;&gt;"",2,0)))</f>
        <v>0</v>
      </c>
      <c r="W146" s="152"/>
      <c r="X146" s="152"/>
      <c r="Y146" s="153"/>
      <c r="Z146" s="154"/>
      <c r="AA146" s="155"/>
      <c r="AB146" s="156"/>
      <c r="AC146" s="157"/>
      <c r="AD146" s="155"/>
      <c r="AE146" s="158" t="str">
        <f t="shared" si="94"/>
        <v/>
      </c>
      <c r="AF146" s="160" t="str">
        <f t="shared" si="107"/>
        <v/>
      </c>
      <c r="AG146" s="182" t="s">
        <v>59</v>
      </c>
      <c r="AH146" s="183" t="str">
        <f t="shared" si="108"/>
        <v/>
      </c>
      <c r="AI146" s="183" t="str">
        <f t="shared" si="109"/>
        <v/>
      </c>
      <c r="AJ146" s="184" t="str">
        <f t="shared" si="110"/>
        <v/>
      </c>
      <c r="AK146" s="185" t="str">
        <f t="shared" si="111"/>
        <v/>
      </c>
      <c r="AL146" s="186"/>
      <c r="AM146" s="183" t="str">
        <f t="shared" si="112"/>
        <v/>
      </c>
      <c r="AN146" s="183" t="str">
        <f t="shared" si="113"/>
        <v/>
      </c>
      <c r="AO146" s="186" t="str">
        <f t="shared" si="114"/>
        <v/>
      </c>
      <c r="AP146" s="187" t="str">
        <f t="shared" si="115"/>
        <v/>
      </c>
      <c r="AQ146" s="187" t="str">
        <f t="shared" si="116"/>
        <v/>
      </c>
      <c r="AR146" s="188" t="str">
        <f t="shared" si="95"/>
        <v/>
      </c>
      <c r="AS146" s="188" t="str">
        <f t="shared" si="96"/>
        <v/>
      </c>
      <c r="AT146" s="183" t="str">
        <f t="shared" si="97"/>
        <v/>
      </c>
      <c r="AU146" s="189" t="str">
        <f>IF(OR($B146="", $AP146= ""),"",IF(VLOOKUP($AP146, CONTRATOS!B:K,3,FALSE)="","",VLOOKUP($AP146, CONTRATOS!B:K, 3,FALSE)))</f>
        <v/>
      </c>
      <c r="AV146" s="189" t="str">
        <f>IF(OR($B146="", $AP146 = ""), "", IF(VLOOKUP($AP146, CONTRATOS!B:K,4,FALSE)="","",VLOOKUP($AP146, CONTRATOS!B:K,4, FALSE)))</f>
        <v/>
      </c>
      <c r="AW146" s="190" t="str">
        <f t="shared" si="98"/>
        <v/>
      </c>
      <c r="AX146" s="189" t="str">
        <f t="shared" si="99"/>
        <v/>
      </c>
      <c r="AY146" s="189" t="str">
        <f t="shared" si="100"/>
        <v/>
      </c>
      <c r="AZ146" s="189" t="str">
        <f t="shared" si="101"/>
        <v/>
      </c>
      <c r="BA146" s="189" t="str">
        <f t="shared" si="102"/>
        <v/>
      </c>
      <c r="BB146" s="191">
        <f t="shared" si="117"/>
        <v>0</v>
      </c>
      <c r="BC146" s="191" t="str">
        <f t="shared" si="118"/>
        <v/>
      </c>
      <c r="BD146" s="191" t="str">
        <f t="shared" si="119"/>
        <v/>
      </c>
      <c r="BF146" s="192">
        <f t="shared" si="120"/>
        <v>0</v>
      </c>
      <c r="BG146" s="192">
        <f t="shared" si="121"/>
        <v>0</v>
      </c>
      <c r="BH146" s="192" t="str">
        <f>IF( $B146="", "", IF(ISNA(VLOOKUP($C146, Defesa!$C$7:$C$29,1,FALSE)),1,0))</f>
        <v/>
      </c>
      <c r="BI146" s="193" t="str">
        <f t="shared" si="122"/>
        <v/>
      </c>
      <c r="BJ146" s="193" t="str">
        <f>IF($B146="", "", IF( AND( $AI146="ESTIMATIVA", OR( Defesa!$F$7 = "AUTOMÁTICA", Defesa!$F$7 ="100% BASELINE")), 1, 0))</f>
        <v/>
      </c>
      <c r="BK146" s="192" t="str">
        <f t="shared" si="103"/>
        <v/>
      </c>
      <c r="BL146" s="192">
        <f t="shared" si="123"/>
        <v>0</v>
      </c>
      <c r="BM146" s="192" t="str">
        <f>IF($AC146="", "", IF(ISNA(VLOOKUP($AC146, TABELAS!$Q:$Q, 1, FALSE)), 1, 0))</f>
        <v/>
      </c>
      <c r="BN146" s="194" t="str">
        <f t="shared" si="104"/>
        <v/>
      </c>
      <c r="BO146" s="192" t="str">
        <f t="shared" si="124"/>
        <v/>
      </c>
      <c r="BP146" s="192" t="str">
        <f t="shared" si="125"/>
        <v/>
      </c>
      <c r="BQ146" s="193" t="str">
        <f t="shared" si="126"/>
        <v/>
      </c>
      <c r="BR146" s="192" t="str">
        <f t="shared" si="127"/>
        <v/>
      </c>
      <c r="BS146" s="192" t="str">
        <f t="shared" si="128"/>
        <v/>
      </c>
      <c r="BT146" s="192" t="str">
        <f>IF(OR($B146="", $AH146 = "SIM"), "", IF( ISNA(VLOOKUP($AP146,#REF!, 1, FALSE)), 1, 0))</f>
        <v/>
      </c>
      <c r="BU146" s="192" t="str">
        <f t="shared" si="129"/>
        <v/>
      </c>
      <c r="BV146" s="192" t="str">
        <f>IF( $B146="", "", IF( ISNA(VLOOKUP($AN146, TABELAS!$T$2:$T$9,1,FALSE)), 1, 0))</f>
        <v/>
      </c>
      <c r="BW146" s="192" t="str">
        <f t="shared" si="130"/>
        <v/>
      </c>
      <c r="BX146" s="192" t="str">
        <f>IF( OR($B146="", $AH146 = "SIM"), "", IF( ISNA( VLOOKUP( $AQ146, SISTEMA!$B:$B, 1, FALSE)), 1, 0))</f>
        <v/>
      </c>
      <c r="BY146" s="193" t="str">
        <f t="shared" si="131"/>
        <v/>
      </c>
      <c r="BZ146" s="193" t="str">
        <f t="shared" si="132"/>
        <v/>
      </c>
      <c r="CA146" s="192" t="str">
        <f t="shared" si="133"/>
        <v/>
      </c>
      <c r="CB146" s="193" t="str">
        <f t="shared" si="134"/>
        <v/>
      </c>
      <c r="CC146" s="193" t="str">
        <f t="shared" si="135"/>
        <v/>
      </c>
      <c r="CD146" s="193" t="str">
        <f t="shared" si="136"/>
        <v/>
      </c>
    </row>
    <row r="147" spans="1:82" x14ac:dyDescent="0.2">
      <c r="A147" s="140"/>
      <c r="B147" s="141" t="str">
        <f t="shared" si="105"/>
        <v/>
      </c>
      <c r="C147" s="142" t="str">
        <f t="shared" si="93"/>
        <v/>
      </c>
      <c r="D147" s="142" t="str">
        <f t="shared" si="106"/>
        <v/>
      </c>
      <c r="E147" s="142" t="str">
        <f>IF($C147="", "", COUNTIF($M$8:$M147,$D147))</f>
        <v/>
      </c>
      <c r="F147" s="254">
        <v>140</v>
      </c>
      <c r="G147" s="143"/>
      <c r="H147" s="144"/>
      <c r="I147" s="144"/>
      <c r="J147" s="145"/>
      <c r="K147" s="144"/>
      <c r="L147" s="144"/>
      <c r="M147" s="144"/>
      <c r="N147" s="146"/>
      <c r="O147" s="147"/>
      <c r="P147" s="147"/>
      <c r="Q147" s="147"/>
      <c r="R147" s="147"/>
      <c r="S147" s="147"/>
      <c r="T147" s="149"/>
      <c r="U147" s="150" t="str">
        <f>IF($T147="", "", VLOOKUP($T147, CONTRATOS!$B:$E, 2, FALSE))</f>
        <v/>
      </c>
      <c r="V147" s="151">
        <f>IF(OR($T147="",TB_DEFESA!$C$2="CARGA BASELINE"),0,
   IF(VLOOKUP($T147, CONTRATOS!B:E, 3, FALSE)&lt;&gt;"",1,IF(VLOOKUP($T147, CONTRATOS!B:E, 4, FALSE)&lt;&gt;"",2,0)))</f>
        <v>0</v>
      </c>
      <c r="W147" s="152"/>
      <c r="X147" s="152"/>
      <c r="Y147" s="153"/>
      <c r="Z147" s="154"/>
      <c r="AA147" s="155"/>
      <c r="AB147" s="156"/>
      <c r="AC147" s="157"/>
      <c r="AD147" s="155"/>
      <c r="AE147" s="158" t="str">
        <f t="shared" si="94"/>
        <v/>
      </c>
      <c r="AF147" s="160" t="str">
        <f t="shared" si="107"/>
        <v/>
      </c>
      <c r="AG147" s="182" t="s">
        <v>59</v>
      </c>
      <c r="AH147" s="183" t="str">
        <f t="shared" si="108"/>
        <v/>
      </c>
      <c r="AI147" s="183" t="str">
        <f t="shared" si="109"/>
        <v/>
      </c>
      <c r="AJ147" s="184" t="str">
        <f t="shared" si="110"/>
        <v/>
      </c>
      <c r="AK147" s="185" t="str">
        <f t="shared" si="111"/>
        <v/>
      </c>
      <c r="AL147" s="186"/>
      <c r="AM147" s="183" t="str">
        <f t="shared" si="112"/>
        <v/>
      </c>
      <c r="AN147" s="183" t="str">
        <f t="shared" si="113"/>
        <v/>
      </c>
      <c r="AO147" s="186" t="str">
        <f t="shared" si="114"/>
        <v/>
      </c>
      <c r="AP147" s="187" t="str">
        <f t="shared" si="115"/>
        <v/>
      </c>
      <c r="AQ147" s="187" t="str">
        <f t="shared" si="116"/>
        <v/>
      </c>
      <c r="AR147" s="188" t="str">
        <f t="shared" si="95"/>
        <v/>
      </c>
      <c r="AS147" s="188" t="str">
        <f t="shared" si="96"/>
        <v/>
      </c>
      <c r="AT147" s="183" t="str">
        <f t="shared" si="97"/>
        <v/>
      </c>
      <c r="AU147" s="189" t="str">
        <f>IF(OR($B147="", $AP147= ""),"",IF(VLOOKUP($AP147, CONTRATOS!B:K,3,FALSE)="","",VLOOKUP($AP147, CONTRATOS!B:K, 3,FALSE)))</f>
        <v/>
      </c>
      <c r="AV147" s="189" t="str">
        <f>IF(OR($B147="", $AP147 = ""), "", IF(VLOOKUP($AP147, CONTRATOS!B:K,4,FALSE)="","",VLOOKUP($AP147, CONTRATOS!B:K,4, FALSE)))</f>
        <v/>
      </c>
      <c r="AW147" s="190" t="str">
        <f t="shared" si="98"/>
        <v/>
      </c>
      <c r="AX147" s="189" t="str">
        <f t="shared" si="99"/>
        <v/>
      </c>
      <c r="AY147" s="189" t="str">
        <f t="shared" si="100"/>
        <v/>
      </c>
      <c r="AZ147" s="189" t="str">
        <f t="shared" si="101"/>
        <v/>
      </c>
      <c r="BA147" s="189" t="str">
        <f t="shared" si="102"/>
        <v/>
      </c>
      <c r="BB147" s="191">
        <f t="shared" si="117"/>
        <v>0</v>
      </c>
      <c r="BC147" s="191" t="str">
        <f t="shared" si="118"/>
        <v/>
      </c>
      <c r="BD147" s="191" t="str">
        <f t="shared" si="119"/>
        <v/>
      </c>
      <c r="BF147" s="192">
        <f t="shared" si="120"/>
        <v>0</v>
      </c>
      <c r="BG147" s="192">
        <f t="shared" si="121"/>
        <v>0</v>
      </c>
      <c r="BH147" s="192" t="str">
        <f>IF( $B147="", "", IF(ISNA(VLOOKUP($C147, Defesa!$C$7:$C$29,1,FALSE)),1,0))</f>
        <v/>
      </c>
      <c r="BI147" s="193" t="str">
        <f t="shared" si="122"/>
        <v/>
      </c>
      <c r="BJ147" s="193" t="str">
        <f>IF($B147="", "", IF( AND( $AI147="ESTIMATIVA", OR( Defesa!$F$7 = "AUTOMÁTICA", Defesa!$F$7 ="100% BASELINE")), 1, 0))</f>
        <v/>
      </c>
      <c r="BK147" s="192" t="str">
        <f t="shared" si="103"/>
        <v/>
      </c>
      <c r="BL147" s="192">
        <f t="shared" si="123"/>
        <v>0</v>
      </c>
      <c r="BM147" s="192" t="str">
        <f>IF($AC147="", "", IF(ISNA(VLOOKUP($AC147, TABELAS!$Q:$Q, 1, FALSE)), 1, 0))</f>
        <v/>
      </c>
      <c r="BN147" s="194" t="str">
        <f t="shared" si="104"/>
        <v/>
      </c>
      <c r="BO147" s="192" t="str">
        <f t="shared" si="124"/>
        <v/>
      </c>
      <c r="BP147" s="192" t="str">
        <f t="shared" si="125"/>
        <v/>
      </c>
      <c r="BQ147" s="193" t="str">
        <f t="shared" si="126"/>
        <v/>
      </c>
      <c r="BR147" s="192" t="str">
        <f t="shared" si="127"/>
        <v/>
      </c>
      <c r="BS147" s="192" t="str">
        <f t="shared" si="128"/>
        <v/>
      </c>
      <c r="BT147" s="192" t="str">
        <f>IF(OR($B147="", $AH147 = "SIM"), "", IF( ISNA(VLOOKUP($AP147,#REF!, 1, FALSE)), 1, 0))</f>
        <v/>
      </c>
      <c r="BU147" s="192" t="str">
        <f t="shared" si="129"/>
        <v/>
      </c>
      <c r="BV147" s="192" t="str">
        <f>IF( $B147="", "", IF( ISNA(VLOOKUP($AN147, TABELAS!$T$2:$T$9,1,FALSE)), 1, 0))</f>
        <v/>
      </c>
      <c r="BW147" s="192" t="str">
        <f t="shared" si="130"/>
        <v/>
      </c>
      <c r="BX147" s="192" t="str">
        <f>IF( OR($B147="", $AH147 = "SIM"), "", IF( ISNA( VLOOKUP( $AQ147, SISTEMA!$B:$B, 1, FALSE)), 1, 0))</f>
        <v/>
      </c>
      <c r="BY147" s="193" t="str">
        <f t="shared" si="131"/>
        <v/>
      </c>
      <c r="BZ147" s="193" t="str">
        <f t="shared" si="132"/>
        <v/>
      </c>
      <c r="CA147" s="192" t="str">
        <f t="shared" si="133"/>
        <v/>
      </c>
      <c r="CB147" s="193" t="str">
        <f t="shared" si="134"/>
        <v/>
      </c>
      <c r="CC147" s="193" t="str">
        <f t="shared" si="135"/>
        <v/>
      </c>
      <c r="CD147" s="193" t="str">
        <f t="shared" si="136"/>
        <v/>
      </c>
    </row>
    <row r="148" spans="1:82" x14ac:dyDescent="0.2">
      <c r="A148" s="140"/>
      <c r="B148" s="141" t="str">
        <f t="shared" si="105"/>
        <v/>
      </c>
      <c r="C148" s="142" t="str">
        <f t="shared" si="93"/>
        <v/>
      </c>
      <c r="D148" s="142" t="str">
        <f t="shared" si="106"/>
        <v/>
      </c>
      <c r="E148" s="142" t="str">
        <f>IF($C148="", "", COUNTIF($M$8:$M148,$D148))</f>
        <v/>
      </c>
      <c r="F148" s="254">
        <v>141</v>
      </c>
      <c r="G148" s="143"/>
      <c r="H148" s="144"/>
      <c r="I148" s="144"/>
      <c r="J148" s="145"/>
      <c r="K148" s="144"/>
      <c r="L148" s="144"/>
      <c r="M148" s="144"/>
      <c r="N148" s="146"/>
      <c r="O148" s="147"/>
      <c r="P148" s="147"/>
      <c r="Q148" s="147"/>
      <c r="R148" s="147"/>
      <c r="S148" s="147"/>
      <c r="T148" s="149"/>
      <c r="U148" s="150" t="str">
        <f>IF($T148="", "", VLOOKUP($T148, CONTRATOS!$B:$E, 2, FALSE))</f>
        <v/>
      </c>
      <c r="V148" s="151">
        <f>IF(OR($T148="",TB_DEFESA!$C$2="CARGA BASELINE"),0,
   IF(VLOOKUP($T148, CONTRATOS!B:E, 3, FALSE)&lt;&gt;"",1,IF(VLOOKUP($T148, CONTRATOS!B:E, 4, FALSE)&lt;&gt;"",2,0)))</f>
        <v>0</v>
      </c>
      <c r="W148" s="152"/>
      <c r="X148" s="152"/>
      <c r="Y148" s="153"/>
      <c r="Z148" s="154"/>
      <c r="AA148" s="155"/>
      <c r="AB148" s="156"/>
      <c r="AC148" s="157"/>
      <c r="AD148" s="155"/>
      <c r="AE148" s="158" t="str">
        <f t="shared" si="94"/>
        <v/>
      </c>
      <c r="AF148" s="160" t="str">
        <f t="shared" si="107"/>
        <v/>
      </c>
      <c r="AG148" s="182" t="s">
        <v>59</v>
      </c>
      <c r="AH148" s="183" t="str">
        <f t="shared" si="108"/>
        <v/>
      </c>
      <c r="AI148" s="183" t="str">
        <f t="shared" si="109"/>
        <v/>
      </c>
      <c r="AJ148" s="184" t="str">
        <f t="shared" si="110"/>
        <v/>
      </c>
      <c r="AK148" s="185" t="str">
        <f t="shared" si="111"/>
        <v/>
      </c>
      <c r="AL148" s="186"/>
      <c r="AM148" s="183" t="str">
        <f t="shared" si="112"/>
        <v/>
      </c>
      <c r="AN148" s="183" t="str">
        <f t="shared" si="113"/>
        <v/>
      </c>
      <c r="AO148" s="186" t="str">
        <f t="shared" si="114"/>
        <v/>
      </c>
      <c r="AP148" s="187" t="str">
        <f t="shared" si="115"/>
        <v/>
      </c>
      <c r="AQ148" s="187" t="str">
        <f t="shared" si="116"/>
        <v/>
      </c>
      <c r="AR148" s="188" t="str">
        <f t="shared" si="95"/>
        <v/>
      </c>
      <c r="AS148" s="188" t="str">
        <f t="shared" si="96"/>
        <v/>
      </c>
      <c r="AT148" s="183" t="str">
        <f t="shared" si="97"/>
        <v/>
      </c>
      <c r="AU148" s="189" t="str">
        <f>IF(OR($B148="", $AP148= ""),"",IF(VLOOKUP($AP148, CONTRATOS!B:K,3,FALSE)="","",VLOOKUP($AP148, CONTRATOS!B:K, 3,FALSE)))</f>
        <v/>
      </c>
      <c r="AV148" s="189" t="str">
        <f>IF(OR($B148="", $AP148 = ""), "", IF(VLOOKUP($AP148, CONTRATOS!B:K,4,FALSE)="","",VLOOKUP($AP148, CONTRATOS!B:K,4, FALSE)))</f>
        <v/>
      </c>
      <c r="AW148" s="190" t="str">
        <f t="shared" si="98"/>
        <v/>
      </c>
      <c r="AX148" s="189" t="str">
        <f t="shared" si="99"/>
        <v/>
      </c>
      <c r="AY148" s="189" t="str">
        <f t="shared" si="100"/>
        <v/>
      </c>
      <c r="AZ148" s="189" t="str">
        <f t="shared" si="101"/>
        <v/>
      </c>
      <c r="BA148" s="189" t="str">
        <f t="shared" si="102"/>
        <v/>
      </c>
      <c r="BB148" s="191">
        <f t="shared" si="117"/>
        <v>0</v>
      </c>
      <c r="BC148" s="191" t="str">
        <f t="shared" si="118"/>
        <v/>
      </c>
      <c r="BD148" s="191" t="str">
        <f t="shared" si="119"/>
        <v/>
      </c>
      <c r="BF148" s="192">
        <f t="shared" si="120"/>
        <v>0</v>
      </c>
      <c r="BG148" s="192">
        <f t="shared" si="121"/>
        <v>0</v>
      </c>
      <c r="BH148" s="192" t="str">
        <f>IF( $B148="", "", IF(ISNA(VLOOKUP($C148, Defesa!$C$7:$C$29,1,FALSE)),1,0))</f>
        <v/>
      </c>
      <c r="BI148" s="193" t="str">
        <f t="shared" si="122"/>
        <v/>
      </c>
      <c r="BJ148" s="193" t="str">
        <f>IF($B148="", "", IF( AND( $AI148="ESTIMATIVA", OR( Defesa!$F$7 = "AUTOMÁTICA", Defesa!$F$7 ="100% BASELINE")), 1, 0))</f>
        <v/>
      </c>
      <c r="BK148" s="192" t="str">
        <f t="shared" si="103"/>
        <v/>
      </c>
      <c r="BL148" s="192">
        <f t="shared" si="123"/>
        <v>0</v>
      </c>
      <c r="BM148" s="192" t="str">
        <f>IF($AC148="", "", IF(ISNA(VLOOKUP($AC148, TABELAS!$Q:$Q, 1, FALSE)), 1, 0))</f>
        <v/>
      </c>
      <c r="BN148" s="194" t="str">
        <f t="shared" si="104"/>
        <v/>
      </c>
      <c r="BO148" s="192" t="str">
        <f t="shared" si="124"/>
        <v/>
      </c>
      <c r="BP148" s="192" t="str">
        <f t="shared" si="125"/>
        <v/>
      </c>
      <c r="BQ148" s="193" t="str">
        <f t="shared" si="126"/>
        <v/>
      </c>
      <c r="BR148" s="192" t="str">
        <f t="shared" si="127"/>
        <v/>
      </c>
      <c r="BS148" s="192" t="str">
        <f t="shared" si="128"/>
        <v/>
      </c>
      <c r="BT148" s="192" t="str">
        <f>IF(OR($B148="", $AH148 = "SIM"), "", IF( ISNA(VLOOKUP($AP148,#REF!, 1, FALSE)), 1, 0))</f>
        <v/>
      </c>
      <c r="BU148" s="192" t="str">
        <f t="shared" si="129"/>
        <v/>
      </c>
      <c r="BV148" s="192" t="str">
        <f>IF( $B148="", "", IF( ISNA(VLOOKUP($AN148, TABELAS!$T$2:$T$9,1,FALSE)), 1, 0))</f>
        <v/>
      </c>
      <c r="BW148" s="192" t="str">
        <f t="shared" si="130"/>
        <v/>
      </c>
      <c r="BX148" s="192" t="str">
        <f>IF( OR($B148="", $AH148 = "SIM"), "", IF( ISNA( VLOOKUP( $AQ148, SISTEMA!$B:$B, 1, FALSE)), 1, 0))</f>
        <v/>
      </c>
      <c r="BY148" s="193" t="str">
        <f t="shared" si="131"/>
        <v/>
      </c>
      <c r="BZ148" s="193" t="str">
        <f t="shared" si="132"/>
        <v/>
      </c>
      <c r="CA148" s="192" t="str">
        <f t="shared" si="133"/>
        <v/>
      </c>
      <c r="CB148" s="193" t="str">
        <f t="shared" si="134"/>
        <v/>
      </c>
      <c r="CC148" s="193" t="str">
        <f t="shared" si="135"/>
        <v/>
      </c>
      <c r="CD148" s="193" t="str">
        <f t="shared" si="136"/>
        <v/>
      </c>
    </row>
    <row r="149" spans="1:82" x14ac:dyDescent="0.2">
      <c r="A149" s="140"/>
      <c r="B149" s="141" t="str">
        <f t="shared" si="105"/>
        <v/>
      </c>
      <c r="C149" s="142" t="str">
        <f t="shared" si="93"/>
        <v/>
      </c>
      <c r="D149" s="142" t="str">
        <f t="shared" si="106"/>
        <v/>
      </c>
      <c r="E149" s="142" t="str">
        <f>IF($C149="", "", COUNTIF($M$8:$M149,$D149))</f>
        <v/>
      </c>
      <c r="F149" s="254">
        <v>142</v>
      </c>
      <c r="G149" s="143"/>
      <c r="H149" s="144"/>
      <c r="I149" s="144"/>
      <c r="J149" s="145"/>
      <c r="K149" s="144"/>
      <c r="L149" s="144"/>
      <c r="M149" s="144"/>
      <c r="N149" s="146"/>
      <c r="O149" s="147"/>
      <c r="P149" s="147"/>
      <c r="Q149" s="147"/>
      <c r="R149" s="147"/>
      <c r="S149" s="147"/>
      <c r="T149" s="149"/>
      <c r="U149" s="150" t="str">
        <f>IF($T149="", "", VLOOKUP($T149, CONTRATOS!$B:$E, 2, FALSE))</f>
        <v/>
      </c>
      <c r="V149" s="151">
        <f>IF(OR($T149="",TB_DEFESA!$C$2="CARGA BASELINE"),0,
   IF(VLOOKUP($T149, CONTRATOS!B:E, 3, FALSE)&lt;&gt;"",1,IF(VLOOKUP($T149, CONTRATOS!B:E, 4, FALSE)&lt;&gt;"",2,0)))</f>
        <v>0</v>
      </c>
      <c r="W149" s="152"/>
      <c r="X149" s="152"/>
      <c r="Y149" s="153"/>
      <c r="Z149" s="154"/>
      <c r="AA149" s="155"/>
      <c r="AB149" s="156"/>
      <c r="AC149" s="157"/>
      <c r="AD149" s="155"/>
      <c r="AE149" s="158" t="str">
        <f t="shared" si="94"/>
        <v/>
      </c>
      <c r="AF149" s="160" t="str">
        <f t="shared" si="107"/>
        <v/>
      </c>
      <c r="AG149" s="182" t="s">
        <v>59</v>
      </c>
      <c r="AH149" s="183" t="str">
        <f t="shared" si="108"/>
        <v/>
      </c>
      <c r="AI149" s="183" t="str">
        <f t="shared" si="109"/>
        <v/>
      </c>
      <c r="AJ149" s="184" t="str">
        <f t="shared" si="110"/>
        <v/>
      </c>
      <c r="AK149" s="185" t="str">
        <f t="shared" si="111"/>
        <v/>
      </c>
      <c r="AL149" s="186"/>
      <c r="AM149" s="183" t="str">
        <f t="shared" si="112"/>
        <v/>
      </c>
      <c r="AN149" s="183" t="str">
        <f t="shared" si="113"/>
        <v/>
      </c>
      <c r="AO149" s="186" t="str">
        <f t="shared" si="114"/>
        <v/>
      </c>
      <c r="AP149" s="187" t="str">
        <f t="shared" si="115"/>
        <v/>
      </c>
      <c r="AQ149" s="187" t="str">
        <f t="shared" si="116"/>
        <v/>
      </c>
      <c r="AR149" s="188" t="str">
        <f t="shared" si="95"/>
        <v/>
      </c>
      <c r="AS149" s="188" t="str">
        <f t="shared" si="96"/>
        <v/>
      </c>
      <c r="AT149" s="183" t="str">
        <f t="shared" si="97"/>
        <v/>
      </c>
      <c r="AU149" s="189" t="str">
        <f>IF(OR($B149="", $AP149= ""),"",IF(VLOOKUP($AP149, CONTRATOS!B:K,3,FALSE)="","",VLOOKUP($AP149, CONTRATOS!B:K, 3,FALSE)))</f>
        <v/>
      </c>
      <c r="AV149" s="189" t="str">
        <f>IF(OR($B149="", $AP149 = ""), "", IF(VLOOKUP($AP149, CONTRATOS!B:K,4,FALSE)="","",VLOOKUP($AP149, CONTRATOS!B:K,4, FALSE)))</f>
        <v/>
      </c>
      <c r="AW149" s="190" t="str">
        <f t="shared" si="98"/>
        <v/>
      </c>
      <c r="AX149" s="189" t="str">
        <f t="shared" si="99"/>
        <v/>
      </c>
      <c r="AY149" s="189" t="str">
        <f t="shared" si="100"/>
        <v/>
      </c>
      <c r="AZ149" s="189" t="str">
        <f t="shared" si="101"/>
        <v/>
      </c>
      <c r="BA149" s="189" t="str">
        <f t="shared" si="102"/>
        <v/>
      </c>
      <c r="BB149" s="191">
        <f t="shared" si="117"/>
        <v>0</v>
      </c>
      <c r="BC149" s="191" t="str">
        <f t="shared" si="118"/>
        <v/>
      </c>
      <c r="BD149" s="191" t="str">
        <f t="shared" si="119"/>
        <v/>
      </c>
      <c r="BF149" s="192">
        <f t="shared" si="120"/>
        <v>0</v>
      </c>
      <c r="BG149" s="192">
        <f t="shared" si="121"/>
        <v>0</v>
      </c>
      <c r="BH149" s="192" t="str">
        <f>IF( $B149="", "", IF(ISNA(VLOOKUP($C149, Defesa!$C$7:$C$29,1,FALSE)),1,0))</f>
        <v/>
      </c>
      <c r="BI149" s="193" t="str">
        <f t="shared" si="122"/>
        <v/>
      </c>
      <c r="BJ149" s="193" t="str">
        <f>IF($B149="", "", IF( AND( $AI149="ESTIMATIVA", OR( Defesa!$F$7 = "AUTOMÁTICA", Defesa!$F$7 ="100% BASELINE")), 1, 0))</f>
        <v/>
      </c>
      <c r="BK149" s="192" t="str">
        <f t="shared" si="103"/>
        <v/>
      </c>
      <c r="BL149" s="192">
        <f t="shared" si="123"/>
        <v>0</v>
      </c>
      <c r="BM149" s="192" t="str">
        <f>IF($AC149="", "", IF(ISNA(VLOOKUP($AC149, TABELAS!$Q:$Q, 1, FALSE)), 1, 0))</f>
        <v/>
      </c>
      <c r="BN149" s="194" t="str">
        <f t="shared" si="104"/>
        <v/>
      </c>
      <c r="BO149" s="192" t="str">
        <f t="shared" si="124"/>
        <v/>
      </c>
      <c r="BP149" s="192" t="str">
        <f t="shared" si="125"/>
        <v/>
      </c>
      <c r="BQ149" s="193" t="str">
        <f t="shared" si="126"/>
        <v/>
      </c>
      <c r="BR149" s="192" t="str">
        <f t="shared" si="127"/>
        <v/>
      </c>
      <c r="BS149" s="192" t="str">
        <f t="shared" si="128"/>
        <v/>
      </c>
      <c r="BT149" s="192" t="str">
        <f>IF(OR($B149="", $AH149 = "SIM"), "", IF( ISNA(VLOOKUP($AP149,#REF!, 1, FALSE)), 1, 0))</f>
        <v/>
      </c>
      <c r="BU149" s="192" t="str">
        <f t="shared" si="129"/>
        <v/>
      </c>
      <c r="BV149" s="192" t="str">
        <f>IF( $B149="", "", IF( ISNA(VLOOKUP($AN149, TABELAS!$T$2:$T$9,1,FALSE)), 1, 0))</f>
        <v/>
      </c>
      <c r="BW149" s="192" t="str">
        <f t="shared" si="130"/>
        <v/>
      </c>
      <c r="BX149" s="192" t="str">
        <f>IF( OR($B149="", $AH149 = "SIM"), "", IF( ISNA( VLOOKUP( $AQ149, SISTEMA!$B:$B, 1, FALSE)), 1, 0))</f>
        <v/>
      </c>
      <c r="BY149" s="193" t="str">
        <f t="shared" si="131"/>
        <v/>
      </c>
      <c r="BZ149" s="193" t="str">
        <f t="shared" si="132"/>
        <v/>
      </c>
      <c r="CA149" s="192" t="str">
        <f t="shared" si="133"/>
        <v/>
      </c>
      <c r="CB149" s="193" t="str">
        <f t="shared" si="134"/>
        <v/>
      </c>
      <c r="CC149" s="193" t="str">
        <f t="shared" si="135"/>
        <v/>
      </c>
      <c r="CD149" s="193" t="str">
        <f t="shared" si="136"/>
        <v/>
      </c>
    </row>
    <row r="150" spans="1:82" x14ac:dyDescent="0.2">
      <c r="A150" s="140"/>
      <c r="B150" s="141" t="str">
        <f t="shared" si="105"/>
        <v/>
      </c>
      <c r="C150" s="142" t="str">
        <f t="shared" si="93"/>
        <v/>
      </c>
      <c r="D150" s="142" t="str">
        <f t="shared" si="106"/>
        <v/>
      </c>
      <c r="E150" s="142" t="str">
        <f>IF($C150="", "", COUNTIF($M$8:$M150,$D150))</f>
        <v/>
      </c>
      <c r="F150" s="254">
        <v>143</v>
      </c>
      <c r="G150" s="143"/>
      <c r="H150" s="144"/>
      <c r="I150" s="144"/>
      <c r="J150" s="145"/>
      <c r="K150" s="144"/>
      <c r="L150" s="144"/>
      <c r="M150" s="144"/>
      <c r="N150" s="146"/>
      <c r="O150" s="147"/>
      <c r="P150" s="147"/>
      <c r="Q150" s="147"/>
      <c r="R150" s="147"/>
      <c r="S150" s="147"/>
      <c r="T150" s="149"/>
      <c r="U150" s="150" t="str">
        <f>IF($T150="", "", VLOOKUP($T150, CONTRATOS!$B:$E, 2, FALSE))</f>
        <v/>
      </c>
      <c r="V150" s="151">
        <f>IF(OR($T150="",TB_DEFESA!$C$2="CARGA BASELINE"),0,
   IF(VLOOKUP($T150, CONTRATOS!B:E, 3, FALSE)&lt;&gt;"",1,IF(VLOOKUP($T150, CONTRATOS!B:E, 4, FALSE)&lt;&gt;"",2,0)))</f>
        <v>0</v>
      </c>
      <c r="W150" s="152"/>
      <c r="X150" s="152"/>
      <c r="Y150" s="153"/>
      <c r="Z150" s="154"/>
      <c r="AA150" s="155"/>
      <c r="AB150" s="156"/>
      <c r="AC150" s="157"/>
      <c r="AD150" s="155"/>
      <c r="AE150" s="158" t="str">
        <f t="shared" si="94"/>
        <v/>
      </c>
      <c r="AF150" s="160" t="str">
        <f t="shared" si="107"/>
        <v/>
      </c>
      <c r="AG150" s="182" t="s">
        <v>59</v>
      </c>
      <c r="AH150" s="183" t="str">
        <f t="shared" si="108"/>
        <v/>
      </c>
      <c r="AI150" s="183" t="str">
        <f t="shared" si="109"/>
        <v/>
      </c>
      <c r="AJ150" s="184" t="str">
        <f t="shared" si="110"/>
        <v/>
      </c>
      <c r="AK150" s="185" t="str">
        <f t="shared" si="111"/>
        <v/>
      </c>
      <c r="AL150" s="186"/>
      <c r="AM150" s="183" t="str">
        <f t="shared" si="112"/>
        <v/>
      </c>
      <c r="AN150" s="183" t="str">
        <f t="shared" si="113"/>
        <v/>
      </c>
      <c r="AO150" s="186" t="str">
        <f t="shared" si="114"/>
        <v/>
      </c>
      <c r="AP150" s="187" t="str">
        <f t="shared" si="115"/>
        <v/>
      </c>
      <c r="AQ150" s="187" t="str">
        <f t="shared" si="116"/>
        <v/>
      </c>
      <c r="AR150" s="188" t="str">
        <f t="shared" si="95"/>
        <v/>
      </c>
      <c r="AS150" s="188" t="str">
        <f t="shared" si="96"/>
        <v/>
      </c>
      <c r="AT150" s="183" t="str">
        <f t="shared" si="97"/>
        <v/>
      </c>
      <c r="AU150" s="189" t="str">
        <f>IF(OR($B150="", $AP150= ""),"",IF(VLOOKUP($AP150, CONTRATOS!B:K,3,FALSE)="","",VLOOKUP($AP150, CONTRATOS!B:K, 3,FALSE)))</f>
        <v/>
      </c>
      <c r="AV150" s="189" t="str">
        <f>IF(OR($B150="", $AP150 = ""), "", IF(VLOOKUP($AP150, CONTRATOS!B:K,4,FALSE)="","",VLOOKUP($AP150, CONTRATOS!B:K,4, FALSE)))</f>
        <v/>
      </c>
      <c r="AW150" s="190" t="str">
        <f t="shared" si="98"/>
        <v/>
      </c>
      <c r="AX150" s="189" t="str">
        <f t="shared" si="99"/>
        <v/>
      </c>
      <c r="AY150" s="189" t="str">
        <f t="shared" si="100"/>
        <v/>
      </c>
      <c r="AZ150" s="189" t="str">
        <f t="shared" si="101"/>
        <v/>
      </c>
      <c r="BA150" s="189" t="str">
        <f t="shared" si="102"/>
        <v/>
      </c>
      <c r="BB150" s="191">
        <f t="shared" si="117"/>
        <v>0</v>
      </c>
      <c r="BC150" s="191" t="str">
        <f t="shared" si="118"/>
        <v/>
      </c>
      <c r="BD150" s="191" t="str">
        <f t="shared" si="119"/>
        <v/>
      </c>
      <c r="BF150" s="192">
        <f t="shared" si="120"/>
        <v>0</v>
      </c>
      <c r="BG150" s="192">
        <f t="shared" si="121"/>
        <v>0</v>
      </c>
      <c r="BH150" s="192" t="str">
        <f>IF( $B150="", "", IF(ISNA(VLOOKUP($C150, Defesa!$C$7:$C$29,1,FALSE)),1,0))</f>
        <v/>
      </c>
      <c r="BI150" s="193" t="str">
        <f t="shared" si="122"/>
        <v/>
      </c>
      <c r="BJ150" s="193" t="str">
        <f>IF($B150="", "", IF( AND( $AI150="ESTIMATIVA", OR( Defesa!$F$7 = "AUTOMÁTICA", Defesa!$F$7 ="100% BASELINE")), 1, 0))</f>
        <v/>
      </c>
      <c r="BK150" s="192" t="str">
        <f t="shared" si="103"/>
        <v/>
      </c>
      <c r="BL150" s="192">
        <f t="shared" si="123"/>
        <v>0</v>
      </c>
      <c r="BM150" s="192" t="str">
        <f>IF($AC150="", "", IF(ISNA(VLOOKUP($AC150, TABELAS!$Q:$Q, 1, FALSE)), 1, 0))</f>
        <v/>
      </c>
      <c r="BN150" s="194" t="str">
        <f t="shared" si="104"/>
        <v/>
      </c>
      <c r="BO150" s="192" t="str">
        <f t="shared" si="124"/>
        <v/>
      </c>
      <c r="BP150" s="192" t="str">
        <f t="shared" si="125"/>
        <v/>
      </c>
      <c r="BQ150" s="193" t="str">
        <f t="shared" si="126"/>
        <v/>
      </c>
      <c r="BR150" s="192" t="str">
        <f t="shared" si="127"/>
        <v/>
      </c>
      <c r="BS150" s="192" t="str">
        <f t="shared" si="128"/>
        <v/>
      </c>
      <c r="BT150" s="192" t="str">
        <f>IF(OR($B150="", $AH150 = "SIM"), "", IF( ISNA(VLOOKUP($AP150,#REF!, 1, FALSE)), 1, 0))</f>
        <v/>
      </c>
      <c r="BU150" s="192" t="str">
        <f t="shared" si="129"/>
        <v/>
      </c>
      <c r="BV150" s="192" t="str">
        <f>IF( $B150="", "", IF( ISNA(VLOOKUP($AN150, TABELAS!$T$2:$T$9,1,FALSE)), 1, 0))</f>
        <v/>
      </c>
      <c r="BW150" s="192" t="str">
        <f t="shared" si="130"/>
        <v/>
      </c>
      <c r="BX150" s="192" t="str">
        <f>IF( OR($B150="", $AH150 = "SIM"), "", IF( ISNA( VLOOKUP( $AQ150, SISTEMA!$B:$B, 1, FALSE)), 1, 0))</f>
        <v/>
      </c>
      <c r="BY150" s="193" t="str">
        <f t="shared" si="131"/>
        <v/>
      </c>
      <c r="BZ150" s="193" t="str">
        <f t="shared" si="132"/>
        <v/>
      </c>
      <c r="CA150" s="192" t="str">
        <f t="shared" si="133"/>
        <v/>
      </c>
      <c r="CB150" s="193" t="str">
        <f t="shared" si="134"/>
        <v/>
      </c>
      <c r="CC150" s="193" t="str">
        <f t="shared" si="135"/>
        <v/>
      </c>
      <c r="CD150" s="193" t="str">
        <f t="shared" si="136"/>
        <v/>
      </c>
    </row>
    <row r="151" spans="1:82" x14ac:dyDescent="0.2">
      <c r="A151" s="140"/>
      <c r="B151" s="141" t="str">
        <f t="shared" si="105"/>
        <v/>
      </c>
      <c r="C151" s="142" t="str">
        <f t="shared" si="93"/>
        <v/>
      </c>
      <c r="D151" s="142" t="str">
        <f t="shared" si="106"/>
        <v/>
      </c>
      <c r="E151" s="142" t="str">
        <f>IF($C151="", "", COUNTIF($M$8:$M151,$D151))</f>
        <v/>
      </c>
      <c r="F151" s="254">
        <v>144</v>
      </c>
      <c r="G151" s="143"/>
      <c r="H151" s="144"/>
      <c r="I151" s="144"/>
      <c r="J151" s="145"/>
      <c r="K151" s="144"/>
      <c r="L151" s="144"/>
      <c r="M151" s="144"/>
      <c r="N151" s="146"/>
      <c r="O151" s="147"/>
      <c r="P151" s="147"/>
      <c r="Q151" s="147"/>
      <c r="R151" s="147"/>
      <c r="S151" s="147"/>
      <c r="T151" s="149"/>
      <c r="U151" s="150" t="str">
        <f>IF($T151="", "", VLOOKUP($T151, CONTRATOS!$B:$E, 2, FALSE))</f>
        <v/>
      </c>
      <c r="V151" s="151">
        <f>IF(OR($T151="",TB_DEFESA!$C$2="CARGA BASELINE"),0,
   IF(VLOOKUP($T151, CONTRATOS!B:E, 3, FALSE)&lt;&gt;"",1,IF(VLOOKUP($T151, CONTRATOS!B:E, 4, FALSE)&lt;&gt;"",2,0)))</f>
        <v>0</v>
      </c>
      <c r="W151" s="152"/>
      <c r="X151" s="152"/>
      <c r="Y151" s="153"/>
      <c r="Z151" s="154"/>
      <c r="AA151" s="155"/>
      <c r="AB151" s="156"/>
      <c r="AC151" s="157"/>
      <c r="AD151" s="155"/>
      <c r="AE151" s="158" t="str">
        <f t="shared" si="94"/>
        <v/>
      </c>
      <c r="AF151" s="160" t="str">
        <f t="shared" si="107"/>
        <v/>
      </c>
      <c r="AG151" s="182" t="s">
        <v>59</v>
      </c>
      <c r="AH151" s="183" t="str">
        <f t="shared" si="108"/>
        <v/>
      </c>
      <c r="AI151" s="183" t="str">
        <f t="shared" si="109"/>
        <v/>
      </c>
      <c r="AJ151" s="184" t="str">
        <f t="shared" si="110"/>
        <v/>
      </c>
      <c r="AK151" s="185" t="str">
        <f t="shared" si="111"/>
        <v/>
      </c>
      <c r="AL151" s="186"/>
      <c r="AM151" s="183" t="str">
        <f t="shared" si="112"/>
        <v/>
      </c>
      <c r="AN151" s="183" t="str">
        <f t="shared" si="113"/>
        <v/>
      </c>
      <c r="AO151" s="186" t="str">
        <f t="shared" si="114"/>
        <v/>
      </c>
      <c r="AP151" s="187" t="str">
        <f t="shared" si="115"/>
        <v/>
      </c>
      <c r="AQ151" s="187" t="str">
        <f t="shared" si="116"/>
        <v/>
      </c>
      <c r="AR151" s="188" t="str">
        <f t="shared" si="95"/>
        <v/>
      </c>
      <c r="AS151" s="188" t="str">
        <f t="shared" si="96"/>
        <v/>
      </c>
      <c r="AT151" s="183" t="str">
        <f t="shared" si="97"/>
        <v/>
      </c>
      <c r="AU151" s="189" t="str">
        <f>IF(OR($B151="", $AP151= ""),"",IF(VLOOKUP($AP151, CONTRATOS!B:K,3,FALSE)="","",VLOOKUP($AP151, CONTRATOS!B:K, 3,FALSE)))</f>
        <v/>
      </c>
      <c r="AV151" s="189" t="str">
        <f>IF(OR($B151="", $AP151 = ""), "", IF(VLOOKUP($AP151, CONTRATOS!B:K,4,FALSE)="","",VLOOKUP($AP151, CONTRATOS!B:K,4, FALSE)))</f>
        <v/>
      </c>
      <c r="AW151" s="190" t="str">
        <f t="shared" si="98"/>
        <v/>
      </c>
      <c r="AX151" s="189" t="str">
        <f t="shared" si="99"/>
        <v/>
      </c>
      <c r="AY151" s="189" t="str">
        <f t="shared" si="100"/>
        <v/>
      </c>
      <c r="AZ151" s="189" t="str">
        <f t="shared" si="101"/>
        <v/>
      </c>
      <c r="BA151" s="189" t="str">
        <f t="shared" si="102"/>
        <v/>
      </c>
      <c r="BB151" s="191">
        <f t="shared" si="117"/>
        <v>0</v>
      </c>
      <c r="BC151" s="191" t="str">
        <f t="shared" si="118"/>
        <v/>
      </c>
      <c r="BD151" s="191" t="str">
        <f t="shared" si="119"/>
        <v/>
      </c>
      <c r="BF151" s="192">
        <f t="shared" si="120"/>
        <v>0</v>
      </c>
      <c r="BG151" s="192">
        <f t="shared" si="121"/>
        <v>0</v>
      </c>
      <c r="BH151" s="192" t="str">
        <f>IF( $B151="", "", IF(ISNA(VLOOKUP($C151, Defesa!$C$7:$C$29,1,FALSE)),1,0))</f>
        <v/>
      </c>
      <c r="BI151" s="193" t="str">
        <f t="shared" si="122"/>
        <v/>
      </c>
      <c r="BJ151" s="193" t="str">
        <f>IF($B151="", "", IF( AND( $AI151="ESTIMATIVA", OR( Defesa!$F$7 = "AUTOMÁTICA", Defesa!$F$7 ="100% BASELINE")), 1, 0))</f>
        <v/>
      </c>
      <c r="BK151" s="192" t="str">
        <f t="shared" si="103"/>
        <v/>
      </c>
      <c r="BL151" s="192">
        <f t="shared" si="123"/>
        <v>0</v>
      </c>
      <c r="BM151" s="192" t="str">
        <f>IF($AC151="", "", IF(ISNA(VLOOKUP($AC151, TABELAS!$Q:$Q, 1, FALSE)), 1, 0))</f>
        <v/>
      </c>
      <c r="BN151" s="194" t="str">
        <f t="shared" si="104"/>
        <v/>
      </c>
      <c r="BO151" s="192" t="str">
        <f t="shared" si="124"/>
        <v/>
      </c>
      <c r="BP151" s="192" t="str">
        <f t="shared" si="125"/>
        <v/>
      </c>
      <c r="BQ151" s="193" t="str">
        <f t="shared" si="126"/>
        <v/>
      </c>
      <c r="BR151" s="192" t="str">
        <f t="shared" si="127"/>
        <v/>
      </c>
      <c r="BS151" s="192" t="str">
        <f t="shared" si="128"/>
        <v/>
      </c>
      <c r="BT151" s="192" t="str">
        <f>IF(OR($B151="", $AH151 = "SIM"), "", IF( ISNA(VLOOKUP($AP151,#REF!, 1, FALSE)), 1, 0))</f>
        <v/>
      </c>
      <c r="BU151" s="192" t="str">
        <f t="shared" si="129"/>
        <v/>
      </c>
      <c r="BV151" s="192" t="str">
        <f>IF( $B151="", "", IF( ISNA(VLOOKUP($AN151, TABELAS!$T$2:$T$9,1,FALSE)), 1, 0))</f>
        <v/>
      </c>
      <c r="BW151" s="192" t="str">
        <f t="shared" si="130"/>
        <v/>
      </c>
      <c r="BX151" s="192" t="str">
        <f>IF( OR($B151="", $AH151 = "SIM"), "", IF( ISNA( VLOOKUP( $AQ151, SISTEMA!$B:$B, 1, FALSE)), 1, 0))</f>
        <v/>
      </c>
      <c r="BY151" s="193" t="str">
        <f t="shared" si="131"/>
        <v/>
      </c>
      <c r="BZ151" s="193" t="str">
        <f t="shared" si="132"/>
        <v/>
      </c>
      <c r="CA151" s="192" t="str">
        <f t="shared" si="133"/>
        <v/>
      </c>
      <c r="CB151" s="193" t="str">
        <f t="shared" si="134"/>
        <v/>
      </c>
      <c r="CC151" s="193" t="str">
        <f t="shared" si="135"/>
        <v/>
      </c>
      <c r="CD151" s="193" t="str">
        <f t="shared" si="136"/>
        <v/>
      </c>
    </row>
    <row r="152" spans="1:82" x14ac:dyDescent="0.2">
      <c r="A152" s="140"/>
      <c r="B152" s="141" t="str">
        <f t="shared" si="105"/>
        <v/>
      </c>
      <c r="C152" s="142" t="str">
        <f t="shared" si="93"/>
        <v/>
      </c>
      <c r="D152" s="142" t="str">
        <f t="shared" si="106"/>
        <v/>
      </c>
      <c r="E152" s="142" t="str">
        <f>IF($C152="", "", COUNTIF($M$8:$M152,$D152))</f>
        <v/>
      </c>
      <c r="F152" s="254">
        <v>145</v>
      </c>
      <c r="G152" s="143"/>
      <c r="H152" s="144"/>
      <c r="I152" s="144"/>
      <c r="J152" s="145"/>
      <c r="K152" s="144"/>
      <c r="L152" s="144"/>
      <c r="M152" s="144"/>
      <c r="N152" s="146"/>
      <c r="O152" s="147"/>
      <c r="P152" s="147"/>
      <c r="Q152" s="147"/>
      <c r="R152" s="147"/>
      <c r="S152" s="147"/>
      <c r="T152" s="149"/>
      <c r="U152" s="150" t="str">
        <f>IF($T152="", "", VLOOKUP($T152, CONTRATOS!$B:$E, 2, FALSE))</f>
        <v/>
      </c>
      <c r="V152" s="151">
        <f>IF(OR($T152="",TB_DEFESA!$C$2="CARGA BASELINE"),0,
   IF(VLOOKUP($T152, CONTRATOS!B:E, 3, FALSE)&lt;&gt;"",1,IF(VLOOKUP($T152, CONTRATOS!B:E, 4, FALSE)&lt;&gt;"",2,0)))</f>
        <v>0</v>
      </c>
      <c r="W152" s="152"/>
      <c r="X152" s="152"/>
      <c r="Y152" s="153"/>
      <c r="Z152" s="154"/>
      <c r="AA152" s="155"/>
      <c r="AB152" s="156"/>
      <c r="AC152" s="157"/>
      <c r="AD152" s="155"/>
      <c r="AE152" s="158" t="str">
        <f t="shared" si="94"/>
        <v/>
      </c>
      <c r="AF152" s="160" t="str">
        <f t="shared" si="107"/>
        <v/>
      </c>
      <c r="AG152" s="182" t="s">
        <v>59</v>
      </c>
      <c r="AH152" s="183" t="str">
        <f t="shared" si="108"/>
        <v/>
      </c>
      <c r="AI152" s="183" t="str">
        <f t="shared" si="109"/>
        <v/>
      </c>
      <c r="AJ152" s="184" t="str">
        <f t="shared" si="110"/>
        <v/>
      </c>
      <c r="AK152" s="185" t="str">
        <f t="shared" si="111"/>
        <v/>
      </c>
      <c r="AL152" s="186"/>
      <c r="AM152" s="183" t="str">
        <f t="shared" si="112"/>
        <v/>
      </c>
      <c r="AN152" s="183" t="str">
        <f t="shared" si="113"/>
        <v/>
      </c>
      <c r="AO152" s="186" t="str">
        <f t="shared" si="114"/>
        <v/>
      </c>
      <c r="AP152" s="187" t="str">
        <f t="shared" si="115"/>
        <v/>
      </c>
      <c r="AQ152" s="187" t="str">
        <f t="shared" si="116"/>
        <v/>
      </c>
      <c r="AR152" s="188" t="str">
        <f t="shared" si="95"/>
        <v/>
      </c>
      <c r="AS152" s="188" t="str">
        <f t="shared" si="96"/>
        <v/>
      </c>
      <c r="AT152" s="183" t="str">
        <f t="shared" si="97"/>
        <v/>
      </c>
      <c r="AU152" s="189" t="str">
        <f>IF(OR($B152="", $AP152= ""),"",IF(VLOOKUP($AP152, CONTRATOS!B:K,3,FALSE)="","",VLOOKUP($AP152, CONTRATOS!B:K, 3,FALSE)))</f>
        <v/>
      </c>
      <c r="AV152" s="189" t="str">
        <f>IF(OR($B152="", $AP152 = ""), "", IF(VLOOKUP($AP152, CONTRATOS!B:K,4,FALSE)="","",VLOOKUP($AP152, CONTRATOS!B:K,4, FALSE)))</f>
        <v/>
      </c>
      <c r="AW152" s="190" t="str">
        <f t="shared" si="98"/>
        <v/>
      </c>
      <c r="AX152" s="189" t="str">
        <f t="shared" si="99"/>
        <v/>
      </c>
      <c r="AY152" s="189" t="str">
        <f t="shared" si="100"/>
        <v/>
      </c>
      <c r="AZ152" s="189" t="str">
        <f t="shared" si="101"/>
        <v/>
      </c>
      <c r="BA152" s="189" t="str">
        <f t="shared" si="102"/>
        <v/>
      </c>
      <c r="BB152" s="191">
        <f t="shared" si="117"/>
        <v>0</v>
      </c>
      <c r="BC152" s="191" t="str">
        <f t="shared" si="118"/>
        <v/>
      </c>
      <c r="BD152" s="191" t="str">
        <f t="shared" si="119"/>
        <v/>
      </c>
      <c r="BF152" s="192">
        <f t="shared" si="120"/>
        <v>0</v>
      </c>
      <c r="BG152" s="192">
        <f t="shared" si="121"/>
        <v>0</v>
      </c>
      <c r="BH152" s="192" t="str">
        <f>IF( $B152="", "", IF(ISNA(VLOOKUP($C152, Defesa!$C$7:$C$29,1,FALSE)),1,0))</f>
        <v/>
      </c>
      <c r="BI152" s="193" t="str">
        <f t="shared" si="122"/>
        <v/>
      </c>
      <c r="BJ152" s="193" t="str">
        <f>IF($B152="", "", IF( AND( $AI152="ESTIMATIVA", OR( Defesa!$F$7 = "AUTOMÁTICA", Defesa!$F$7 ="100% BASELINE")), 1, 0))</f>
        <v/>
      </c>
      <c r="BK152" s="192" t="str">
        <f t="shared" si="103"/>
        <v/>
      </c>
      <c r="BL152" s="192">
        <f t="shared" si="123"/>
        <v>0</v>
      </c>
      <c r="BM152" s="192" t="str">
        <f>IF($AC152="", "", IF(ISNA(VLOOKUP($AC152, TABELAS!$Q:$Q, 1, FALSE)), 1, 0))</f>
        <v/>
      </c>
      <c r="BN152" s="194" t="str">
        <f t="shared" si="104"/>
        <v/>
      </c>
      <c r="BO152" s="192" t="str">
        <f t="shared" si="124"/>
        <v/>
      </c>
      <c r="BP152" s="192" t="str">
        <f t="shared" si="125"/>
        <v/>
      </c>
      <c r="BQ152" s="193" t="str">
        <f t="shared" si="126"/>
        <v/>
      </c>
      <c r="BR152" s="192" t="str">
        <f t="shared" si="127"/>
        <v/>
      </c>
      <c r="BS152" s="192" t="str">
        <f t="shared" si="128"/>
        <v/>
      </c>
      <c r="BT152" s="192" t="str">
        <f>IF(OR($B152="", $AH152 = "SIM"), "", IF( ISNA(VLOOKUP($AP152,#REF!, 1, FALSE)), 1, 0))</f>
        <v/>
      </c>
      <c r="BU152" s="192" t="str">
        <f t="shared" si="129"/>
        <v/>
      </c>
      <c r="BV152" s="192" t="str">
        <f>IF( $B152="", "", IF( ISNA(VLOOKUP($AN152, TABELAS!$T$2:$T$9,1,FALSE)), 1, 0))</f>
        <v/>
      </c>
      <c r="BW152" s="192" t="str">
        <f t="shared" si="130"/>
        <v/>
      </c>
      <c r="BX152" s="192" t="str">
        <f>IF( OR($B152="", $AH152 = "SIM"), "", IF( ISNA( VLOOKUP( $AQ152, SISTEMA!$B:$B, 1, FALSE)), 1, 0))</f>
        <v/>
      </c>
      <c r="BY152" s="193" t="str">
        <f t="shared" si="131"/>
        <v/>
      </c>
      <c r="BZ152" s="193" t="str">
        <f t="shared" si="132"/>
        <v/>
      </c>
      <c r="CA152" s="192" t="str">
        <f t="shared" si="133"/>
        <v/>
      </c>
      <c r="CB152" s="193" t="str">
        <f t="shared" si="134"/>
        <v/>
      </c>
      <c r="CC152" s="193" t="str">
        <f t="shared" si="135"/>
        <v/>
      </c>
      <c r="CD152" s="193" t="str">
        <f t="shared" si="136"/>
        <v/>
      </c>
    </row>
    <row r="153" spans="1:82" x14ac:dyDescent="0.2">
      <c r="A153" s="140"/>
      <c r="B153" s="141" t="str">
        <f t="shared" si="105"/>
        <v/>
      </c>
      <c r="C153" s="142" t="str">
        <f t="shared" si="93"/>
        <v/>
      </c>
      <c r="D153" s="142" t="str">
        <f t="shared" si="106"/>
        <v/>
      </c>
      <c r="E153" s="142" t="str">
        <f>IF($C153="", "", COUNTIF($M$8:$M153,$D153))</f>
        <v/>
      </c>
      <c r="F153" s="254">
        <v>146</v>
      </c>
      <c r="G153" s="143"/>
      <c r="H153" s="144"/>
      <c r="I153" s="144"/>
      <c r="J153" s="145"/>
      <c r="K153" s="144"/>
      <c r="L153" s="144"/>
      <c r="M153" s="144"/>
      <c r="N153" s="146"/>
      <c r="O153" s="147"/>
      <c r="P153" s="147"/>
      <c r="Q153" s="147"/>
      <c r="R153" s="147"/>
      <c r="S153" s="147"/>
      <c r="T153" s="149"/>
      <c r="U153" s="150" t="str">
        <f>IF($T153="", "", VLOOKUP($T153, CONTRATOS!$B:$E, 2, FALSE))</f>
        <v/>
      </c>
      <c r="V153" s="151">
        <f>IF(OR($T153="",TB_DEFESA!$C$2="CARGA BASELINE"),0,
   IF(VLOOKUP($T153, CONTRATOS!B:E, 3, FALSE)&lt;&gt;"",1,IF(VLOOKUP($T153, CONTRATOS!B:E, 4, FALSE)&lt;&gt;"",2,0)))</f>
        <v>0</v>
      </c>
      <c r="W153" s="152"/>
      <c r="X153" s="152"/>
      <c r="Y153" s="153"/>
      <c r="Z153" s="154"/>
      <c r="AA153" s="155"/>
      <c r="AB153" s="156"/>
      <c r="AC153" s="157"/>
      <c r="AD153" s="155"/>
      <c r="AE153" s="158" t="str">
        <f t="shared" si="94"/>
        <v/>
      </c>
      <c r="AF153" s="160" t="str">
        <f t="shared" si="107"/>
        <v/>
      </c>
      <c r="AG153" s="182" t="s">
        <v>59</v>
      </c>
      <c r="AH153" s="183" t="str">
        <f t="shared" si="108"/>
        <v/>
      </c>
      <c r="AI153" s="183" t="str">
        <f t="shared" si="109"/>
        <v/>
      </c>
      <c r="AJ153" s="184" t="str">
        <f t="shared" si="110"/>
        <v/>
      </c>
      <c r="AK153" s="185" t="str">
        <f t="shared" si="111"/>
        <v/>
      </c>
      <c r="AL153" s="186"/>
      <c r="AM153" s="183" t="str">
        <f t="shared" si="112"/>
        <v/>
      </c>
      <c r="AN153" s="183" t="str">
        <f t="shared" si="113"/>
        <v/>
      </c>
      <c r="AO153" s="186" t="str">
        <f t="shared" si="114"/>
        <v/>
      </c>
      <c r="AP153" s="187" t="str">
        <f t="shared" si="115"/>
        <v/>
      </c>
      <c r="AQ153" s="187" t="str">
        <f t="shared" si="116"/>
        <v/>
      </c>
      <c r="AR153" s="188" t="str">
        <f t="shared" si="95"/>
        <v/>
      </c>
      <c r="AS153" s="188" t="str">
        <f t="shared" si="96"/>
        <v/>
      </c>
      <c r="AT153" s="183" t="str">
        <f t="shared" si="97"/>
        <v/>
      </c>
      <c r="AU153" s="189" t="str">
        <f>IF(OR($B153="", $AP153= ""),"",IF(VLOOKUP($AP153, CONTRATOS!B:K,3,FALSE)="","",VLOOKUP($AP153, CONTRATOS!B:K, 3,FALSE)))</f>
        <v/>
      </c>
      <c r="AV153" s="189" t="str">
        <f>IF(OR($B153="", $AP153 = ""), "", IF(VLOOKUP($AP153, CONTRATOS!B:K,4,FALSE)="","",VLOOKUP($AP153, CONTRATOS!B:K,4, FALSE)))</f>
        <v/>
      </c>
      <c r="AW153" s="190" t="str">
        <f t="shared" si="98"/>
        <v/>
      </c>
      <c r="AX153" s="189" t="str">
        <f t="shared" si="99"/>
        <v/>
      </c>
      <c r="AY153" s="189" t="str">
        <f t="shared" si="100"/>
        <v/>
      </c>
      <c r="AZ153" s="189" t="str">
        <f t="shared" si="101"/>
        <v/>
      </c>
      <c r="BA153" s="189" t="str">
        <f t="shared" si="102"/>
        <v/>
      </c>
      <c r="BB153" s="191">
        <f t="shared" si="117"/>
        <v>0</v>
      </c>
      <c r="BC153" s="191" t="str">
        <f t="shared" si="118"/>
        <v/>
      </c>
      <c r="BD153" s="191" t="str">
        <f t="shared" si="119"/>
        <v/>
      </c>
      <c r="BF153" s="192">
        <f t="shared" si="120"/>
        <v>0</v>
      </c>
      <c r="BG153" s="192">
        <f t="shared" si="121"/>
        <v>0</v>
      </c>
      <c r="BH153" s="192" t="str">
        <f>IF( $B153="", "", IF(ISNA(VLOOKUP($C153, Defesa!$C$7:$C$29,1,FALSE)),1,0))</f>
        <v/>
      </c>
      <c r="BI153" s="193" t="str">
        <f t="shared" si="122"/>
        <v/>
      </c>
      <c r="BJ153" s="193" t="str">
        <f>IF($B153="", "", IF( AND( $AI153="ESTIMATIVA", OR( Defesa!$F$7 = "AUTOMÁTICA", Defesa!$F$7 ="100% BASELINE")), 1, 0))</f>
        <v/>
      </c>
      <c r="BK153" s="192" t="str">
        <f t="shared" si="103"/>
        <v/>
      </c>
      <c r="BL153" s="192">
        <f t="shared" si="123"/>
        <v>0</v>
      </c>
      <c r="BM153" s="192" t="str">
        <f>IF($AC153="", "", IF(ISNA(VLOOKUP($AC153, TABELAS!$Q:$Q, 1, FALSE)), 1, 0))</f>
        <v/>
      </c>
      <c r="BN153" s="194" t="str">
        <f t="shared" si="104"/>
        <v/>
      </c>
      <c r="BO153" s="192" t="str">
        <f t="shared" si="124"/>
        <v/>
      </c>
      <c r="BP153" s="192" t="str">
        <f t="shared" si="125"/>
        <v/>
      </c>
      <c r="BQ153" s="193" t="str">
        <f t="shared" si="126"/>
        <v/>
      </c>
      <c r="BR153" s="192" t="str">
        <f t="shared" si="127"/>
        <v/>
      </c>
      <c r="BS153" s="192" t="str">
        <f t="shared" si="128"/>
        <v/>
      </c>
      <c r="BT153" s="192" t="str">
        <f>IF(OR($B153="", $AH153 = "SIM"), "", IF( ISNA(VLOOKUP($AP153,#REF!, 1, FALSE)), 1, 0))</f>
        <v/>
      </c>
      <c r="BU153" s="192" t="str">
        <f t="shared" si="129"/>
        <v/>
      </c>
      <c r="BV153" s="192" t="str">
        <f>IF( $B153="", "", IF( ISNA(VLOOKUP($AN153, TABELAS!$T$2:$T$9,1,FALSE)), 1, 0))</f>
        <v/>
      </c>
      <c r="BW153" s="192" t="str">
        <f t="shared" si="130"/>
        <v/>
      </c>
      <c r="BX153" s="192" t="str">
        <f>IF( OR($B153="", $AH153 = "SIM"), "", IF( ISNA( VLOOKUP( $AQ153, SISTEMA!$B:$B, 1, FALSE)), 1, 0))</f>
        <v/>
      </c>
      <c r="BY153" s="193" t="str">
        <f t="shared" si="131"/>
        <v/>
      </c>
      <c r="BZ153" s="193" t="str">
        <f t="shared" si="132"/>
        <v/>
      </c>
      <c r="CA153" s="192" t="str">
        <f t="shared" si="133"/>
        <v/>
      </c>
      <c r="CB153" s="193" t="str">
        <f t="shared" si="134"/>
        <v/>
      </c>
      <c r="CC153" s="193" t="str">
        <f t="shared" si="135"/>
        <v/>
      </c>
      <c r="CD153" s="193" t="str">
        <f t="shared" si="136"/>
        <v/>
      </c>
    </row>
    <row r="154" spans="1:82" x14ac:dyDescent="0.2">
      <c r="A154" s="140"/>
      <c r="B154" s="141" t="str">
        <f t="shared" si="105"/>
        <v/>
      </c>
      <c r="C154" s="142" t="str">
        <f t="shared" si="93"/>
        <v/>
      </c>
      <c r="D154" s="142" t="str">
        <f t="shared" si="106"/>
        <v/>
      </c>
      <c r="E154" s="142" t="str">
        <f>IF($C154="", "", COUNTIF($M$8:$M154,$D154))</f>
        <v/>
      </c>
      <c r="F154" s="254">
        <v>147</v>
      </c>
      <c r="G154" s="143"/>
      <c r="H154" s="144"/>
      <c r="I154" s="144"/>
      <c r="J154" s="145"/>
      <c r="K154" s="144"/>
      <c r="L154" s="144"/>
      <c r="M154" s="144"/>
      <c r="N154" s="146"/>
      <c r="O154" s="147"/>
      <c r="P154" s="147"/>
      <c r="Q154" s="147"/>
      <c r="R154" s="147"/>
      <c r="S154" s="147"/>
      <c r="T154" s="149"/>
      <c r="U154" s="150" t="str">
        <f>IF($T154="", "", VLOOKUP($T154, CONTRATOS!$B:$E, 2, FALSE))</f>
        <v/>
      </c>
      <c r="V154" s="151">
        <f>IF(OR($T154="",TB_DEFESA!$C$2="CARGA BASELINE"),0,
   IF(VLOOKUP($T154, CONTRATOS!B:E, 3, FALSE)&lt;&gt;"",1,IF(VLOOKUP($T154, CONTRATOS!B:E, 4, FALSE)&lt;&gt;"",2,0)))</f>
        <v>0</v>
      </c>
      <c r="W154" s="152"/>
      <c r="X154" s="152"/>
      <c r="Y154" s="153"/>
      <c r="Z154" s="154"/>
      <c r="AA154" s="155"/>
      <c r="AB154" s="156"/>
      <c r="AC154" s="157"/>
      <c r="AD154" s="155"/>
      <c r="AE154" s="158" t="str">
        <f t="shared" si="94"/>
        <v/>
      </c>
      <c r="AF154" s="160" t="str">
        <f t="shared" si="107"/>
        <v/>
      </c>
      <c r="AG154" s="182" t="s">
        <v>59</v>
      </c>
      <c r="AH154" s="183" t="str">
        <f t="shared" si="108"/>
        <v/>
      </c>
      <c r="AI154" s="183" t="str">
        <f t="shared" si="109"/>
        <v/>
      </c>
      <c r="AJ154" s="184" t="str">
        <f t="shared" si="110"/>
        <v/>
      </c>
      <c r="AK154" s="185" t="str">
        <f t="shared" si="111"/>
        <v/>
      </c>
      <c r="AL154" s="186"/>
      <c r="AM154" s="183" t="str">
        <f t="shared" si="112"/>
        <v/>
      </c>
      <c r="AN154" s="183" t="str">
        <f t="shared" si="113"/>
        <v/>
      </c>
      <c r="AO154" s="186" t="str">
        <f t="shared" si="114"/>
        <v/>
      </c>
      <c r="AP154" s="187" t="str">
        <f t="shared" si="115"/>
        <v/>
      </c>
      <c r="AQ154" s="187" t="str">
        <f t="shared" si="116"/>
        <v/>
      </c>
      <c r="AR154" s="188" t="str">
        <f t="shared" si="95"/>
        <v/>
      </c>
      <c r="AS154" s="188" t="str">
        <f t="shared" si="96"/>
        <v/>
      </c>
      <c r="AT154" s="183" t="str">
        <f t="shared" si="97"/>
        <v/>
      </c>
      <c r="AU154" s="189" t="str">
        <f>IF(OR($B154="", $AP154= ""),"",IF(VLOOKUP($AP154, CONTRATOS!B:K,3,FALSE)="","",VLOOKUP($AP154, CONTRATOS!B:K, 3,FALSE)))</f>
        <v/>
      </c>
      <c r="AV154" s="189" t="str">
        <f>IF(OR($B154="", $AP154 = ""), "", IF(VLOOKUP($AP154, CONTRATOS!B:K,4,FALSE)="","",VLOOKUP($AP154, CONTRATOS!B:K,4, FALSE)))</f>
        <v/>
      </c>
      <c r="AW154" s="190" t="str">
        <f t="shared" si="98"/>
        <v/>
      </c>
      <c r="AX154" s="189" t="str">
        <f t="shared" si="99"/>
        <v/>
      </c>
      <c r="AY154" s="189" t="str">
        <f t="shared" si="100"/>
        <v/>
      </c>
      <c r="AZ154" s="189" t="str">
        <f t="shared" si="101"/>
        <v/>
      </c>
      <c r="BA154" s="189" t="str">
        <f t="shared" si="102"/>
        <v/>
      </c>
      <c r="BB154" s="191">
        <f t="shared" si="117"/>
        <v>0</v>
      </c>
      <c r="BC154" s="191" t="str">
        <f t="shared" si="118"/>
        <v/>
      </c>
      <c r="BD154" s="191" t="str">
        <f t="shared" si="119"/>
        <v/>
      </c>
      <c r="BF154" s="192">
        <f t="shared" si="120"/>
        <v>0</v>
      </c>
      <c r="BG154" s="192">
        <f t="shared" si="121"/>
        <v>0</v>
      </c>
      <c r="BH154" s="192" t="str">
        <f>IF( $B154="", "", IF(ISNA(VLOOKUP($C154, Defesa!$C$7:$C$29,1,FALSE)),1,0))</f>
        <v/>
      </c>
      <c r="BI154" s="193" t="str">
        <f t="shared" si="122"/>
        <v/>
      </c>
      <c r="BJ154" s="193" t="str">
        <f>IF($B154="", "", IF( AND( $AI154="ESTIMATIVA", OR( Defesa!$F$7 = "AUTOMÁTICA", Defesa!$F$7 ="100% BASELINE")), 1, 0))</f>
        <v/>
      </c>
      <c r="BK154" s="192" t="str">
        <f t="shared" si="103"/>
        <v/>
      </c>
      <c r="BL154" s="192">
        <f t="shared" si="123"/>
        <v>0</v>
      </c>
      <c r="BM154" s="192" t="str">
        <f>IF($AC154="", "", IF(ISNA(VLOOKUP($AC154, TABELAS!$Q:$Q, 1, FALSE)), 1, 0))</f>
        <v/>
      </c>
      <c r="BN154" s="194" t="str">
        <f t="shared" si="104"/>
        <v/>
      </c>
      <c r="BO154" s="192" t="str">
        <f t="shared" si="124"/>
        <v/>
      </c>
      <c r="BP154" s="192" t="str">
        <f t="shared" si="125"/>
        <v/>
      </c>
      <c r="BQ154" s="193" t="str">
        <f t="shared" si="126"/>
        <v/>
      </c>
      <c r="BR154" s="192" t="str">
        <f t="shared" si="127"/>
        <v/>
      </c>
      <c r="BS154" s="192" t="str">
        <f t="shared" si="128"/>
        <v/>
      </c>
      <c r="BT154" s="192" t="str">
        <f>IF(OR($B154="", $AH154 = "SIM"), "", IF( ISNA(VLOOKUP($AP154,#REF!, 1, FALSE)), 1, 0))</f>
        <v/>
      </c>
      <c r="BU154" s="192" t="str">
        <f t="shared" si="129"/>
        <v/>
      </c>
      <c r="BV154" s="192" t="str">
        <f>IF( $B154="", "", IF( ISNA(VLOOKUP($AN154, TABELAS!$T$2:$T$9,1,FALSE)), 1, 0))</f>
        <v/>
      </c>
      <c r="BW154" s="192" t="str">
        <f t="shared" si="130"/>
        <v/>
      </c>
      <c r="BX154" s="192" t="str">
        <f>IF( OR($B154="", $AH154 = "SIM"), "", IF( ISNA( VLOOKUP( $AQ154, SISTEMA!$B:$B, 1, FALSE)), 1, 0))</f>
        <v/>
      </c>
      <c r="BY154" s="193" t="str">
        <f t="shared" si="131"/>
        <v/>
      </c>
      <c r="BZ154" s="193" t="str">
        <f t="shared" si="132"/>
        <v/>
      </c>
      <c r="CA154" s="192" t="str">
        <f t="shared" si="133"/>
        <v/>
      </c>
      <c r="CB154" s="193" t="str">
        <f t="shared" si="134"/>
        <v/>
      </c>
      <c r="CC154" s="193" t="str">
        <f t="shared" si="135"/>
        <v/>
      </c>
      <c r="CD154" s="193" t="str">
        <f t="shared" si="136"/>
        <v/>
      </c>
    </row>
    <row r="155" spans="1:82" x14ac:dyDescent="0.2">
      <c r="A155" s="140"/>
      <c r="B155" s="141" t="str">
        <f t="shared" si="105"/>
        <v/>
      </c>
      <c r="C155" s="142" t="str">
        <f t="shared" si="93"/>
        <v/>
      </c>
      <c r="D155" s="142" t="str">
        <f t="shared" si="106"/>
        <v/>
      </c>
      <c r="E155" s="142" t="str">
        <f>IF($C155="", "", COUNTIF($M$8:$M155,$D155))</f>
        <v/>
      </c>
      <c r="F155" s="254">
        <v>148</v>
      </c>
      <c r="G155" s="143"/>
      <c r="H155" s="144"/>
      <c r="I155" s="144"/>
      <c r="J155" s="145"/>
      <c r="K155" s="144"/>
      <c r="L155" s="144"/>
      <c r="M155" s="144"/>
      <c r="N155" s="146"/>
      <c r="O155" s="147"/>
      <c r="P155" s="147"/>
      <c r="Q155" s="147"/>
      <c r="R155" s="147"/>
      <c r="S155" s="147"/>
      <c r="T155" s="149"/>
      <c r="U155" s="150" t="str">
        <f>IF($T155="", "", VLOOKUP($T155, CONTRATOS!$B:$E, 2, FALSE))</f>
        <v/>
      </c>
      <c r="V155" s="151">
        <f>IF(OR($T155="",TB_DEFESA!$C$2="CARGA BASELINE"),0,
   IF(VLOOKUP($T155, CONTRATOS!B:E, 3, FALSE)&lt;&gt;"",1,IF(VLOOKUP($T155, CONTRATOS!B:E, 4, FALSE)&lt;&gt;"",2,0)))</f>
        <v>0</v>
      </c>
      <c r="W155" s="152"/>
      <c r="X155" s="152"/>
      <c r="Y155" s="153"/>
      <c r="Z155" s="154"/>
      <c r="AA155" s="155"/>
      <c r="AB155" s="156"/>
      <c r="AC155" s="157"/>
      <c r="AD155" s="155"/>
      <c r="AE155" s="158" t="str">
        <f t="shared" si="94"/>
        <v/>
      </c>
      <c r="AF155" s="160" t="str">
        <f t="shared" si="107"/>
        <v/>
      </c>
      <c r="AG155" s="182" t="s">
        <v>59</v>
      </c>
      <c r="AH155" s="183" t="str">
        <f t="shared" si="108"/>
        <v/>
      </c>
      <c r="AI155" s="183" t="str">
        <f t="shared" si="109"/>
        <v/>
      </c>
      <c r="AJ155" s="184" t="str">
        <f t="shared" si="110"/>
        <v/>
      </c>
      <c r="AK155" s="185" t="str">
        <f t="shared" si="111"/>
        <v/>
      </c>
      <c r="AL155" s="186"/>
      <c r="AM155" s="183" t="str">
        <f t="shared" si="112"/>
        <v/>
      </c>
      <c r="AN155" s="183" t="str">
        <f t="shared" si="113"/>
        <v/>
      </c>
      <c r="AO155" s="186" t="str">
        <f t="shared" si="114"/>
        <v/>
      </c>
      <c r="AP155" s="187" t="str">
        <f t="shared" si="115"/>
        <v/>
      </c>
      <c r="AQ155" s="187" t="str">
        <f t="shared" si="116"/>
        <v/>
      </c>
      <c r="AR155" s="188" t="str">
        <f t="shared" si="95"/>
        <v/>
      </c>
      <c r="AS155" s="188" t="str">
        <f t="shared" si="96"/>
        <v/>
      </c>
      <c r="AT155" s="183" t="str">
        <f t="shared" si="97"/>
        <v/>
      </c>
      <c r="AU155" s="189" t="str">
        <f>IF(OR($B155="", $AP155= ""),"",IF(VLOOKUP($AP155, CONTRATOS!B:K,3,FALSE)="","",VLOOKUP($AP155, CONTRATOS!B:K, 3,FALSE)))</f>
        <v/>
      </c>
      <c r="AV155" s="189" t="str">
        <f>IF(OR($B155="", $AP155 = ""), "", IF(VLOOKUP($AP155, CONTRATOS!B:K,4,FALSE)="","",VLOOKUP($AP155, CONTRATOS!B:K,4, FALSE)))</f>
        <v/>
      </c>
      <c r="AW155" s="190" t="str">
        <f t="shared" si="98"/>
        <v/>
      </c>
      <c r="AX155" s="189" t="str">
        <f t="shared" si="99"/>
        <v/>
      </c>
      <c r="AY155" s="189" t="str">
        <f t="shared" si="100"/>
        <v/>
      </c>
      <c r="AZ155" s="189" t="str">
        <f t="shared" si="101"/>
        <v/>
      </c>
      <c r="BA155" s="189" t="str">
        <f t="shared" si="102"/>
        <v/>
      </c>
      <c r="BB155" s="191">
        <f t="shared" si="117"/>
        <v>0</v>
      </c>
      <c r="BC155" s="191" t="str">
        <f t="shared" si="118"/>
        <v/>
      </c>
      <c r="BD155" s="191" t="str">
        <f t="shared" si="119"/>
        <v/>
      </c>
      <c r="BF155" s="192">
        <f t="shared" si="120"/>
        <v>0</v>
      </c>
      <c r="BG155" s="192">
        <f t="shared" si="121"/>
        <v>0</v>
      </c>
      <c r="BH155" s="192" t="str">
        <f>IF( $B155="", "", IF(ISNA(VLOOKUP($C155, Defesa!$C$7:$C$29,1,FALSE)),1,0))</f>
        <v/>
      </c>
      <c r="BI155" s="193" t="str">
        <f t="shared" si="122"/>
        <v/>
      </c>
      <c r="BJ155" s="193" t="str">
        <f>IF($B155="", "", IF( AND( $AI155="ESTIMATIVA", OR( Defesa!$F$7 = "AUTOMÁTICA", Defesa!$F$7 ="100% BASELINE")), 1, 0))</f>
        <v/>
      </c>
      <c r="BK155" s="192" t="str">
        <f t="shared" si="103"/>
        <v/>
      </c>
      <c r="BL155" s="192">
        <f t="shared" si="123"/>
        <v>0</v>
      </c>
      <c r="BM155" s="192" t="str">
        <f>IF($AC155="", "", IF(ISNA(VLOOKUP($AC155, TABELAS!$Q:$Q, 1, FALSE)), 1, 0))</f>
        <v/>
      </c>
      <c r="BN155" s="194" t="str">
        <f t="shared" si="104"/>
        <v/>
      </c>
      <c r="BO155" s="192" t="str">
        <f t="shared" si="124"/>
        <v/>
      </c>
      <c r="BP155" s="192" t="str">
        <f t="shared" si="125"/>
        <v/>
      </c>
      <c r="BQ155" s="193" t="str">
        <f t="shared" si="126"/>
        <v/>
      </c>
      <c r="BR155" s="192" t="str">
        <f t="shared" si="127"/>
        <v/>
      </c>
      <c r="BS155" s="192" t="str">
        <f t="shared" si="128"/>
        <v/>
      </c>
      <c r="BT155" s="192" t="str">
        <f>IF(OR($B155="", $AH155 = "SIM"), "", IF( ISNA(VLOOKUP($AP155,#REF!, 1, FALSE)), 1, 0))</f>
        <v/>
      </c>
      <c r="BU155" s="192" t="str">
        <f t="shared" si="129"/>
        <v/>
      </c>
      <c r="BV155" s="192" t="str">
        <f>IF( $B155="", "", IF( ISNA(VLOOKUP($AN155, TABELAS!$T$2:$T$9,1,FALSE)), 1, 0))</f>
        <v/>
      </c>
      <c r="BW155" s="192" t="str">
        <f t="shared" si="130"/>
        <v/>
      </c>
      <c r="BX155" s="192" t="str">
        <f>IF( OR($B155="", $AH155 = "SIM"), "", IF( ISNA( VLOOKUP( $AQ155, SISTEMA!$B:$B, 1, FALSE)), 1, 0))</f>
        <v/>
      </c>
      <c r="BY155" s="193" t="str">
        <f t="shared" si="131"/>
        <v/>
      </c>
      <c r="BZ155" s="193" t="str">
        <f t="shared" si="132"/>
        <v/>
      </c>
      <c r="CA155" s="192" t="str">
        <f t="shared" si="133"/>
        <v/>
      </c>
      <c r="CB155" s="193" t="str">
        <f t="shared" si="134"/>
        <v/>
      </c>
      <c r="CC155" s="193" t="str">
        <f t="shared" si="135"/>
        <v/>
      </c>
      <c r="CD155" s="193" t="str">
        <f t="shared" si="136"/>
        <v/>
      </c>
    </row>
    <row r="156" spans="1:82" x14ac:dyDescent="0.2">
      <c r="A156" s="140"/>
      <c r="B156" s="141" t="str">
        <f t="shared" si="105"/>
        <v/>
      </c>
      <c r="C156" s="142" t="str">
        <f t="shared" si="93"/>
        <v/>
      </c>
      <c r="D156" s="142" t="str">
        <f t="shared" si="106"/>
        <v/>
      </c>
      <c r="E156" s="142" t="str">
        <f>IF($C156="", "", COUNTIF($M$8:$M156,$D156))</f>
        <v/>
      </c>
      <c r="F156" s="254">
        <v>149</v>
      </c>
      <c r="G156" s="143"/>
      <c r="H156" s="144"/>
      <c r="I156" s="144"/>
      <c r="J156" s="145"/>
      <c r="K156" s="144"/>
      <c r="L156" s="144"/>
      <c r="M156" s="144"/>
      <c r="N156" s="146"/>
      <c r="O156" s="147"/>
      <c r="P156" s="147"/>
      <c r="Q156" s="147"/>
      <c r="R156" s="147"/>
      <c r="S156" s="147"/>
      <c r="T156" s="149"/>
      <c r="U156" s="150" t="str">
        <f>IF($T156="", "", VLOOKUP($T156, CONTRATOS!$B:$E, 2, FALSE))</f>
        <v/>
      </c>
      <c r="V156" s="151">
        <f>IF(OR($T156="",TB_DEFESA!$C$2="CARGA BASELINE"),0,
   IF(VLOOKUP($T156, CONTRATOS!B:E, 3, FALSE)&lt;&gt;"",1,IF(VLOOKUP($T156, CONTRATOS!B:E, 4, FALSE)&lt;&gt;"",2,0)))</f>
        <v>0</v>
      </c>
      <c r="W156" s="152"/>
      <c r="X156" s="152"/>
      <c r="Y156" s="153"/>
      <c r="Z156" s="154"/>
      <c r="AA156" s="155"/>
      <c r="AB156" s="156"/>
      <c r="AC156" s="157"/>
      <c r="AD156" s="155"/>
      <c r="AE156" s="158" t="str">
        <f t="shared" si="94"/>
        <v/>
      </c>
      <c r="AF156" s="160" t="str">
        <f t="shared" si="107"/>
        <v/>
      </c>
      <c r="AG156" s="182" t="s">
        <v>59</v>
      </c>
      <c r="AH156" s="183" t="str">
        <f t="shared" si="108"/>
        <v/>
      </c>
      <c r="AI156" s="183" t="str">
        <f t="shared" si="109"/>
        <v/>
      </c>
      <c r="AJ156" s="184" t="str">
        <f t="shared" si="110"/>
        <v/>
      </c>
      <c r="AK156" s="185" t="str">
        <f t="shared" si="111"/>
        <v/>
      </c>
      <c r="AL156" s="186"/>
      <c r="AM156" s="183" t="str">
        <f t="shared" si="112"/>
        <v/>
      </c>
      <c r="AN156" s="183" t="str">
        <f t="shared" si="113"/>
        <v/>
      </c>
      <c r="AO156" s="186" t="str">
        <f t="shared" si="114"/>
        <v/>
      </c>
      <c r="AP156" s="187" t="str">
        <f t="shared" si="115"/>
        <v/>
      </c>
      <c r="AQ156" s="187" t="str">
        <f t="shared" si="116"/>
        <v/>
      </c>
      <c r="AR156" s="188" t="str">
        <f t="shared" si="95"/>
        <v/>
      </c>
      <c r="AS156" s="188" t="str">
        <f t="shared" si="96"/>
        <v/>
      </c>
      <c r="AT156" s="183" t="str">
        <f t="shared" si="97"/>
        <v/>
      </c>
      <c r="AU156" s="189" t="str">
        <f>IF(OR($B156="", $AP156= ""),"",IF(VLOOKUP($AP156, CONTRATOS!B:K,3,FALSE)="","",VLOOKUP($AP156, CONTRATOS!B:K, 3,FALSE)))</f>
        <v/>
      </c>
      <c r="AV156" s="189" t="str">
        <f>IF(OR($B156="", $AP156 = ""), "", IF(VLOOKUP($AP156, CONTRATOS!B:K,4,FALSE)="","",VLOOKUP($AP156, CONTRATOS!B:K,4, FALSE)))</f>
        <v/>
      </c>
      <c r="AW156" s="190" t="str">
        <f t="shared" si="98"/>
        <v/>
      </c>
      <c r="AX156" s="189" t="str">
        <f t="shared" si="99"/>
        <v/>
      </c>
      <c r="AY156" s="189" t="str">
        <f t="shared" si="100"/>
        <v/>
      </c>
      <c r="AZ156" s="189" t="str">
        <f t="shared" si="101"/>
        <v/>
      </c>
      <c r="BA156" s="189" t="str">
        <f t="shared" si="102"/>
        <v/>
      </c>
      <c r="BB156" s="191">
        <f t="shared" si="117"/>
        <v>0</v>
      </c>
      <c r="BC156" s="191" t="str">
        <f t="shared" si="118"/>
        <v/>
      </c>
      <c r="BD156" s="191" t="str">
        <f t="shared" si="119"/>
        <v/>
      </c>
      <c r="BF156" s="192">
        <f t="shared" si="120"/>
        <v>0</v>
      </c>
      <c r="BG156" s="192">
        <f t="shared" si="121"/>
        <v>0</v>
      </c>
      <c r="BH156" s="192" t="str">
        <f>IF( $B156="", "", IF(ISNA(VLOOKUP($C156, Defesa!$C$7:$C$29,1,FALSE)),1,0))</f>
        <v/>
      </c>
      <c r="BI156" s="193" t="str">
        <f t="shared" si="122"/>
        <v/>
      </c>
      <c r="BJ156" s="193" t="str">
        <f>IF($B156="", "", IF( AND( $AI156="ESTIMATIVA", OR( Defesa!$F$7 = "AUTOMÁTICA", Defesa!$F$7 ="100% BASELINE")), 1, 0))</f>
        <v/>
      </c>
      <c r="BK156" s="192" t="str">
        <f t="shared" si="103"/>
        <v/>
      </c>
      <c r="BL156" s="192">
        <f t="shared" si="123"/>
        <v>0</v>
      </c>
      <c r="BM156" s="192" t="str">
        <f>IF($AC156="", "", IF(ISNA(VLOOKUP($AC156, TABELAS!$Q:$Q, 1, FALSE)), 1, 0))</f>
        <v/>
      </c>
      <c r="BN156" s="194" t="str">
        <f t="shared" si="104"/>
        <v/>
      </c>
      <c r="BO156" s="192" t="str">
        <f t="shared" si="124"/>
        <v/>
      </c>
      <c r="BP156" s="192" t="str">
        <f t="shared" si="125"/>
        <v/>
      </c>
      <c r="BQ156" s="193" t="str">
        <f t="shared" si="126"/>
        <v/>
      </c>
      <c r="BR156" s="192" t="str">
        <f t="shared" si="127"/>
        <v/>
      </c>
      <c r="BS156" s="192" t="str">
        <f t="shared" si="128"/>
        <v/>
      </c>
      <c r="BT156" s="192" t="str">
        <f>IF(OR($B156="", $AH156 = "SIM"), "", IF( ISNA(VLOOKUP($AP156,#REF!, 1, FALSE)), 1, 0))</f>
        <v/>
      </c>
      <c r="BU156" s="192" t="str">
        <f t="shared" si="129"/>
        <v/>
      </c>
      <c r="BV156" s="192" t="str">
        <f>IF( $B156="", "", IF( ISNA(VLOOKUP($AN156, TABELAS!$T$2:$T$9,1,FALSE)), 1, 0))</f>
        <v/>
      </c>
      <c r="BW156" s="192" t="str">
        <f t="shared" si="130"/>
        <v/>
      </c>
      <c r="BX156" s="192" t="str">
        <f>IF( OR($B156="", $AH156 = "SIM"), "", IF( ISNA( VLOOKUP( $AQ156, SISTEMA!$B:$B, 1, FALSE)), 1, 0))</f>
        <v/>
      </c>
      <c r="BY156" s="193" t="str">
        <f t="shared" si="131"/>
        <v/>
      </c>
      <c r="BZ156" s="193" t="str">
        <f t="shared" si="132"/>
        <v/>
      </c>
      <c r="CA156" s="192" t="str">
        <f t="shared" si="133"/>
        <v/>
      </c>
      <c r="CB156" s="193" t="str">
        <f t="shared" si="134"/>
        <v/>
      </c>
      <c r="CC156" s="193" t="str">
        <f t="shared" si="135"/>
        <v/>
      </c>
      <c r="CD156" s="193" t="str">
        <f t="shared" si="136"/>
        <v/>
      </c>
    </row>
    <row r="157" spans="1:82" x14ac:dyDescent="0.2">
      <c r="A157" s="140"/>
      <c r="B157" s="141" t="str">
        <f t="shared" si="105"/>
        <v/>
      </c>
      <c r="C157" s="142" t="str">
        <f t="shared" si="93"/>
        <v/>
      </c>
      <c r="D157" s="142" t="str">
        <f t="shared" si="106"/>
        <v/>
      </c>
      <c r="E157" s="142" t="str">
        <f>IF($C157="", "", COUNTIF($M$8:$M157,$D157))</f>
        <v/>
      </c>
      <c r="F157" s="254">
        <v>150</v>
      </c>
      <c r="G157" s="143"/>
      <c r="H157" s="144"/>
      <c r="I157" s="144"/>
      <c r="J157" s="145"/>
      <c r="K157" s="144"/>
      <c r="L157" s="144"/>
      <c r="M157" s="144"/>
      <c r="N157" s="146"/>
      <c r="O157" s="147"/>
      <c r="P157" s="147"/>
      <c r="Q157" s="147"/>
      <c r="R157" s="147"/>
      <c r="S157" s="147"/>
      <c r="T157" s="149"/>
      <c r="U157" s="150" t="str">
        <f>IF($T157="", "", VLOOKUP($T157, CONTRATOS!$B:$E, 2, FALSE))</f>
        <v/>
      </c>
      <c r="V157" s="151">
        <f>IF(OR($T157="",TB_DEFESA!$C$2="CARGA BASELINE"),0,
   IF(VLOOKUP($T157, CONTRATOS!B:E, 3, FALSE)&lt;&gt;"",1,IF(VLOOKUP($T157, CONTRATOS!B:E, 4, FALSE)&lt;&gt;"",2,0)))</f>
        <v>0</v>
      </c>
      <c r="W157" s="152"/>
      <c r="X157" s="152"/>
      <c r="Y157" s="153"/>
      <c r="Z157" s="154"/>
      <c r="AA157" s="155"/>
      <c r="AB157" s="156"/>
      <c r="AC157" s="157"/>
      <c r="AD157" s="155"/>
      <c r="AE157" s="158" t="str">
        <f t="shared" si="94"/>
        <v/>
      </c>
      <c r="AF157" s="160" t="str">
        <f t="shared" si="107"/>
        <v/>
      </c>
      <c r="AG157" s="182" t="s">
        <v>59</v>
      </c>
      <c r="AH157" s="183" t="str">
        <f t="shared" si="108"/>
        <v/>
      </c>
      <c r="AI157" s="183" t="str">
        <f t="shared" si="109"/>
        <v/>
      </c>
      <c r="AJ157" s="184" t="str">
        <f t="shared" si="110"/>
        <v/>
      </c>
      <c r="AK157" s="185" t="str">
        <f t="shared" si="111"/>
        <v/>
      </c>
      <c r="AL157" s="186"/>
      <c r="AM157" s="183" t="str">
        <f t="shared" si="112"/>
        <v/>
      </c>
      <c r="AN157" s="183" t="str">
        <f t="shared" si="113"/>
        <v/>
      </c>
      <c r="AO157" s="186" t="str">
        <f t="shared" si="114"/>
        <v/>
      </c>
      <c r="AP157" s="187" t="str">
        <f t="shared" si="115"/>
        <v/>
      </c>
      <c r="AQ157" s="187" t="str">
        <f t="shared" si="116"/>
        <v/>
      </c>
      <c r="AR157" s="188" t="str">
        <f t="shared" si="95"/>
        <v/>
      </c>
      <c r="AS157" s="188" t="str">
        <f t="shared" si="96"/>
        <v/>
      </c>
      <c r="AT157" s="183" t="str">
        <f t="shared" si="97"/>
        <v/>
      </c>
      <c r="AU157" s="189" t="str">
        <f>IF(OR($B157="", $AP157= ""),"",IF(VLOOKUP($AP157, CONTRATOS!B:K,3,FALSE)="","",VLOOKUP($AP157, CONTRATOS!B:K, 3,FALSE)))</f>
        <v/>
      </c>
      <c r="AV157" s="189" t="str">
        <f>IF(OR($B157="", $AP157 = ""), "", IF(VLOOKUP($AP157, CONTRATOS!B:K,4,FALSE)="","",VLOOKUP($AP157, CONTRATOS!B:K,4, FALSE)))</f>
        <v/>
      </c>
      <c r="AW157" s="190" t="str">
        <f t="shared" si="98"/>
        <v/>
      </c>
      <c r="AX157" s="189" t="str">
        <f t="shared" si="99"/>
        <v/>
      </c>
      <c r="AY157" s="189" t="str">
        <f t="shared" si="100"/>
        <v/>
      </c>
      <c r="AZ157" s="189" t="str">
        <f t="shared" si="101"/>
        <v/>
      </c>
      <c r="BA157" s="189" t="str">
        <f t="shared" si="102"/>
        <v/>
      </c>
      <c r="BB157" s="191">
        <f t="shared" si="117"/>
        <v>0</v>
      </c>
      <c r="BC157" s="191" t="str">
        <f t="shared" si="118"/>
        <v/>
      </c>
      <c r="BD157" s="191" t="str">
        <f t="shared" si="119"/>
        <v/>
      </c>
      <c r="BF157" s="192">
        <f t="shared" si="120"/>
        <v>0</v>
      </c>
      <c r="BG157" s="192">
        <f t="shared" si="121"/>
        <v>0</v>
      </c>
      <c r="BH157" s="192" t="str">
        <f>IF( $B157="", "", IF(ISNA(VLOOKUP($C157, Defesa!$C$7:$C$29,1,FALSE)),1,0))</f>
        <v/>
      </c>
      <c r="BI157" s="193" t="str">
        <f t="shared" si="122"/>
        <v/>
      </c>
      <c r="BJ157" s="193" t="str">
        <f>IF($B157="", "", IF( AND( $AI157="ESTIMATIVA", OR( Defesa!$F$7 = "AUTOMÁTICA", Defesa!$F$7 ="100% BASELINE")), 1, 0))</f>
        <v/>
      </c>
      <c r="BK157" s="192" t="str">
        <f t="shared" si="103"/>
        <v/>
      </c>
      <c r="BL157" s="192">
        <f t="shared" si="123"/>
        <v>0</v>
      </c>
      <c r="BM157" s="192" t="str">
        <f>IF($AC157="", "", IF(ISNA(VLOOKUP($AC157, TABELAS!$Q:$Q, 1, FALSE)), 1, 0))</f>
        <v/>
      </c>
      <c r="BN157" s="194" t="str">
        <f t="shared" si="104"/>
        <v/>
      </c>
      <c r="BO157" s="192" t="str">
        <f t="shared" si="124"/>
        <v/>
      </c>
      <c r="BP157" s="192" t="str">
        <f t="shared" si="125"/>
        <v/>
      </c>
      <c r="BQ157" s="193" t="str">
        <f t="shared" si="126"/>
        <v/>
      </c>
      <c r="BR157" s="192" t="str">
        <f t="shared" si="127"/>
        <v/>
      </c>
      <c r="BS157" s="192" t="str">
        <f t="shared" si="128"/>
        <v/>
      </c>
      <c r="BT157" s="192" t="str">
        <f>IF(OR($B157="", $AH157 = "SIM"), "", IF( ISNA(VLOOKUP($AP157,#REF!, 1, FALSE)), 1, 0))</f>
        <v/>
      </c>
      <c r="BU157" s="192" t="str">
        <f t="shared" si="129"/>
        <v/>
      </c>
      <c r="BV157" s="192" t="str">
        <f>IF( $B157="", "", IF( ISNA(VLOOKUP($AN157, TABELAS!$T$2:$T$9,1,FALSE)), 1, 0))</f>
        <v/>
      </c>
      <c r="BW157" s="192" t="str">
        <f t="shared" si="130"/>
        <v/>
      </c>
      <c r="BX157" s="192" t="str">
        <f>IF( OR($B157="", $AH157 = "SIM"), "", IF( ISNA( VLOOKUP( $AQ157, SISTEMA!$B:$B, 1, FALSE)), 1, 0))</f>
        <v/>
      </c>
      <c r="BY157" s="193" t="str">
        <f t="shared" si="131"/>
        <v/>
      </c>
      <c r="BZ157" s="193" t="str">
        <f t="shared" si="132"/>
        <v/>
      </c>
      <c r="CA157" s="192" t="str">
        <f t="shared" si="133"/>
        <v/>
      </c>
      <c r="CB157" s="193" t="str">
        <f t="shared" si="134"/>
        <v/>
      </c>
      <c r="CC157" s="193" t="str">
        <f t="shared" si="135"/>
        <v/>
      </c>
      <c r="CD157" s="193" t="str">
        <f t="shared" si="136"/>
        <v/>
      </c>
    </row>
    <row r="158" spans="1:82" x14ac:dyDescent="0.2">
      <c r="A158" s="140"/>
      <c r="B158" s="141" t="str">
        <f t="shared" si="105"/>
        <v/>
      </c>
      <c r="C158" s="142" t="str">
        <f t="shared" si="93"/>
        <v/>
      </c>
      <c r="D158" s="142" t="str">
        <f t="shared" si="106"/>
        <v/>
      </c>
      <c r="E158" s="142" t="str">
        <f>IF($C158="", "", COUNTIF($M$8:$M158,$D158))</f>
        <v/>
      </c>
      <c r="F158" s="254">
        <v>151</v>
      </c>
      <c r="G158" s="143"/>
      <c r="H158" s="144"/>
      <c r="I158" s="144"/>
      <c r="J158" s="145"/>
      <c r="K158" s="144"/>
      <c r="L158" s="144"/>
      <c r="M158" s="144"/>
      <c r="N158" s="146"/>
      <c r="O158" s="147"/>
      <c r="P158" s="147"/>
      <c r="Q158" s="147"/>
      <c r="R158" s="147"/>
      <c r="S158" s="147"/>
      <c r="T158" s="149"/>
      <c r="U158" s="150" t="str">
        <f>IF($T158="", "", VLOOKUP($T158, CONTRATOS!$B:$E, 2, FALSE))</f>
        <v/>
      </c>
      <c r="V158" s="151">
        <f>IF(OR($T158="",TB_DEFESA!$C$2="CARGA BASELINE"),0,
   IF(VLOOKUP($T158, CONTRATOS!B:E, 3, FALSE)&lt;&gt;"",1,IF(VLOOKUP($T158, CONTRATOS!B:E, 4, FALSE)&lt;&gt;"",2,0)))</f>
        <v>0</v>
      </c>
      <c r="W158" s="152"/>
      <c r="X158" s="152"/>
      <c r="Y158" s="153"/>
      <c r="Z158" s="154"/>
      <c r="AA158" s="155"/>
      <c r="AB158" s="156"/>
      <c r="AC158" s="157"/>
      <c r="AD158" s="155"/>
      <c r="AE158" s="158" t="str">
        <f t="shared" si="94"/>
        <v/>
      </c>
      <c r="AF158" s="160" t="str">
        <f t="shared" si="107"/>
        <v/>
      </c>
      <c r="AG158" s="182" t="s">
        <v>59</v>
      </c>
      <c r="AH158" s="183" t="str">
        <f t="shared" si="108"/>
        <v/>
      </c>
      <c r="AI158" s="183" t="str">
        <f t="shared" si="109"/>
        <v/>
      </c>
      <c r="AJ158" s="184" t="str">
        <f t="shared" si="110"/>
        <v/>
      </c>
      <c r="AK158" s="185" t="str">
        <f t="shared" si="111"/>
        <v/>
      </c>
      <c r="AL158" s="186"/>
      <c r="AM158" s="183" t="str">
        <f t="shared" si="112"/>
        <v/>
      </c>
      <c r="AN158" s="183" t="str">
        <f t="shared" si="113"/>
        <v/>
      </c>
      <c r="AO158" s="186" t="str">
        <f t="shared" si="114"/>
        <v/>
      </c>
      <c r="AP158" s="187" t="str">
        <f t="shared" si="115"/>
        <v/>
      </c>
      <c r="AQ158" s="187" t="str">
        <f t="shared" si="116"/>
        <v/>
      </c>
      <c r="AR158" s="188" t="str">
        <f t="shared" si="95"/>
        <v/>
      </c>
      <c r="AS158" s="188" t="str">
        <f t="shared" si="96"/>
        <v/>
      </c>
      <c r="AT158" s="183" t="str">
        <f t="shared" si="97"/>
        <v/>
      </c>
      <c r="AU158" s="189" t="str">
        <f>IF(OR($B158="", $AP158= ""),"",IF(VLOOKUP($AP158, CONTRATOS!B:K,3,FALSE)="","",VLOOKUP($AP158, CONTRATOS!B:K, 3,FALSE)))</f>
        <v/>
      </c>
      <c r="AV158" s="189" t="str">
        <f>IF(OR($B158="", $AP158 = ""), "", IF(VLOOKUP($AP158, CONTRATOS!B:K,4,FALSE)="","",VLOOKUP($AP158, CONTRATOS!B:K,4, FALSE)))</f>
        <v/>
      </c>
      <c r="AW158" s="190" t="str">
        <f t="shared" si="98"/>
        <v/>
      </c>
      <c r="AX158" s="189" t="str">
        <f t="shared" si="99"/>
        <v/>
      </c>
      <c r="AY158" s="189" t="str">
        <f t="shared" si="100"/>
        <v/>
      </c>
      <c r="AZ158" s="189" t="str">
        <f t="shared" si="101"/>
        <v/>
      </c>
      <c r="BA158" s="189" t="str">
        <f t="shared" si="102"/>
        <v/>
      </c>
      <c r="BB158" s="191">
        <f t="shared" si="117"/>
        <v>0</v>
      </c>
      <c r="BC158" s="191" t="str">
        <f t="shared" si="118"/>
        <v/>
      </c>
      <c r="BD158" s="191" t="str">
        <f t="shared" si="119"/>
        <v/>
      </c>
      <c r="BF158" s="192">
        <f t="shared" si="120"/>
        <v>0</v>
      </c>
      <c r="BG158" s="192">
        <f t="shared" si="121"/>
        <v>0</v>
      </c>
      <c r="BH158" s="192" t="str">
        <f>IF( $B158="", "", IF(ISNA(VLOOKUP($C158, Defesa!$C$7:$C$29,1,FALSE)),1,0))</f>
        <v/>
      </c>
      <c r="BI158" s="193" t="str">
        <f t="shared" si="122"/>
        <v/>
      </c>
      <c r="BJ158" s="193" t="str">
        <f>IF($B158="", "", IF( AND( $AI158="ESTIMATIVA", OR( Defesa!$F$7 = "AUTOMÁTICA", Defesa!$F$7 ="100% BASELINE")), 1, 0))</f>
        <v/>
      </c>
      <c r="BK158" s="192" t="str">
        <f t="shared" si="103"/>
        <v/>
      </c>
      <c r="BL158" s="192">
        <f t="shared" si="123"/>
        <v>0</v>
      </c>
      <c r="BM158" s="192" t="str">
        <f>IF($AC158="", "", IF(ISNA(VLOOKUP($AC158, TABELAS!$Q:$Q, 1, FALSE)), 1, 0))</f>
        <v/>
      </c>
      <c r="BN158" s="194" t="str">
        <f t="shared" si="104"/>
        <v/>
      </c>
      <c r="BO158" s="192" t="str">
        <f t="shared" si="124"/>
        <v/>
      </c>
      <c r="BP158" s="192" t="str">
        <f t="shared" si="125"/>
        <v/>
      </c>
      <c r="BQ158" s="193" t="str">
        <f t="shared" si="126"/>
        <v/>
      </c>
      <c r="BR158" s="192" t="str">
        <f t="shared" si="127"/>
        <v/>
      </c>
      <c r="BS158" s="192" t="str">
        <f t="shared" si="128"/>
        <v/>
      </c>
      <c r="BT158" s="192" t="str">
        <f>IF(OR($B158="", $AH158 = "SIM"), "", IF( ISNA(VLOOKUP($AP158,#REF!, 1, FALSE)), 1, 0))</f>
        <v/>
      </c>
      <c r="BU158" s="192" t="str">
        <f t="shared" si="129"/>
        <v/>
      </c>
      <c r="BV158" s="192" t="str">
        <f>IF( $B158="", "", IF( ISNA(VLOOKUP($AN158, TABELAS!$T$2:$T$9,1,FALSE)), 1, 0))</f>
        <v/>
      </c>
      <c r="BW158" s="192" t="str">
        <f t="shared" si="130"/>
        <v/>
      </c>
      <c r="BX158" s="192" t="str">
        <f>IF( OR($B158="", $AH158 = "SIM"), "", IF( ISNA( VLOOKUP( $AQ158, SISTEMA!$B:$B, 1, FALSE)), 1, 0))</f>
        <v/>
      </c>
      <c r="BY158" s="193" t="str">
        <f t="shared" si="131"/>
        <v/>
      </c>
      <c r="BZ158" s="193" t="str">
        <f t="shared" si="132"/>
        <v/>
      </c>
      <c r="CA158" s="192" t="str">
        <f t="shared" si="133"/>
        <v/>
      </c>
      <c r="CB158" s="193" t="str">
        <f t="shared" si="134"/>
        <v/>
      </c>
      <c r="CC158" s="193" t="str">
        <f t="shared" si="135"/>
        <v/>
      </c>
      <c r="CD158" s="193" t="str">
        <f t="shared" si="136"/>
        <v/>
      </c>
    </row>
    <row r="159" spans="1:82" x14ac:dyDescent="0.2">
      <c r="A159" s="140"/>
      <c r="B159" s="141" t="str">
        <f t="shared" si="105"/>
        <v/>
      </c>
      <c r="C159" s="142" t="str">
        <f t="shared" si="93"/>
        <v/>
      </c>
      <c r="D159" s="142" t="str">
        <f t="shared" si="106"/>
        <v/>
      </c>
      <c r="E159" s="142" t="str">
        <f>IF($C159="", "", COUNTIF($M$8:$M159,$D159))</f>
        <v/>
      </c>
      <c r="F159" s="254">
        <v>152</v>
      </c>
      <c r="G159" s="143"/>
      <c r="H159" s="144"/>
      <c r="I159" s="144"/>
      <c r="J159" s="145"/>
      <c r="K159" s="144"/>
      <c r="L159" s="144"/>
      <c r="M159" s="144"/>
      <c r="N159" s="146"/>
      <c r="O159" s="147"/>
      <c r="P159" s="147"/>
      <c r="Q159" s="147"/>
      <c r="R159" s="147"/>
      <c r="S159" s="147"/>
      <c r="T159" s="149"/>
      <c r="U159" s="150" t="str">
        <f>IF($T159="", "", VLOOKUP($T159, CONTRATOS!$B:$E, 2, FALSE))</f>
        <v/>
      </c>
      <c r="V159" s="151">
        <f>IF(OR($T159="",TB_DEFESA!$C$2="CARGA BASELINE"),0,
   IF(VLOOKUP($T159, CONTRATOS!B:E, 3, FALSE)&lt;&gt;"",1,IF(VLOOKUP($T159, CONTRATOS!B:E, 4, FALSE)&lt;&gt;"",2,0)))</f>
        <v>0</v>
      </c>
      <c r="W159" s="152"/>
      <c r="X159" s="152"/>
      <c r="Y159" s="153"/>
      <c r="Z159" s="154"/>
      <c r="AA159" s="155"/>
      <c r="AB159" s="156"/>
      <c r="AC159" s="157"/>
      <c r="AD159" s="155"/>
      <c r="AE159" s="158" t="str">
        <f t="shared" si="94"/>
        <v/>
      </c>
      <c r="AF159" s="160" t="str">
        <f t="shared" si="107"/>
        <v/>
      </c>
      <c r="AG159" s="182" t="s">
        <v>59</v>
      </c>
      <c r="AH159" s="183" t="str">
        <f t="shared" si="108"/>
        <v/>
      </c>
      <c r="AI159" s="183" t="str">
        <f t="shared" si="109"/>
        <v/>
      </c>
      <c r="AJ159" s="184" t="str">
        <f t="shared" si="110"/>
        <v/>
      </c>
      <c r="AK159" s="185" t="str">
        <f t="shared" si="111"/>
        <v/>
      </c>
      <c r="AL159" s="186"/>
      <c r="AM159" s="183" t="str">
        <f t="shared" si="112"/>
        <v/>
      </c>
      <c r="AN159" s="183" t="str">
        <f t="shared" si="113"/>
        <v/>
      </c>
      <c r="AO159" s="186" t="str">
        <f t="shared" si="114"/>
        <v/>
      </c>
      <c r="AP159" s="187" t="str">
        <f t="shared" si="115"/>
        <v/>
      </c>
      <c r="AQ159" s="187" t="str">
        <f t="shared" si="116"/>
        <v/>
      </c>
      <c r="AR159" s="188" t="str">
        <f t="shared" si="95"/>
        <v/>
      </c>
      <c r="AS159" s="188" t="str">
        <f t="shared" si="96"/>
        <v/>
      </c>
      <c r="AT159" s="183" t="str">
        <f t="shared" si="97"/>
        <v/>
      </c>
      <c r="AU159" s="189" t="str">
        <f>IF(OR($B159="", $AP159= ""),"",IF(VLOOKUP($AP159, CONTRATOS!B:K,3,FALSE)="","",VLOOKUP($AP159, CONTRATOS!B:K, 3,FALSE)))</f>
        <v/>
      </c>
      <c r="AV159" s="189" t="str">
        <f>IF(OR($B159="", $AP159 = ""), "", IF(VLOOKUP($AP159, CONTRATOS!B:K,4,FALSE)="","",VLOOKUP($AP159, CONTRATOS!B:K,4, FALSE)))</f>
        <v/>
      </c>
      <c r="AW159" s="190" t="str">
        <f t="shared" si="98"/>
        <v/>
      </c>
      <c r="AX159" s="189" t="str">
        <f t="shared" si="99"/>
        <v/>
      </c>
      <c r="AY159" s="189" t="str">
        <f t="shared" si="100"/>
        <v/>
      </c>
      <c r="AZ159" s="189" t="str">
        <f t="shared" si="101"/>
        <v/>
      </c>
      <c r="BA159" s="189" t="str">
        <f t="shared" si="102"/>
        <v/>
      </c>
      <c r="BB159" s="191">
        <f t="shared" si="117"/>
        <v>0</v>
      </c>
      <c r="BC159" s="191" t="str">
        <f t="shared" si="118"/>
        <v/>
      </c>
      <c r="BD159" s="191" t="str">
        <f t="shared" si="119"/>
        <v/>
      </c>
      <c r="BF159" s="192">
        <f t="shared" si="120"/>
        <v>0</v>
      </c>
      <c r="BG159" s="192">
        <f t="shared" si="121"/>
        <v>0</v>
      </c>
      <c r="BH159" s="192" t="str">
        <f>IF( $B159="", "", IF(ISNA(VLOOKUP($C159, Defesa!$C$7:$C$29,1,FALSE)),1,0))</f>
        <v/>
      </c>
      <c r="BI159" s="193" t="str">
        <f t="shared" si="122"/>
        <v/>
      </c>
      <c r="BJ159" s="193" t="str">
        <f>IF($B159="", "", IF( AND( $AI159="ESTIMATIVA", OR( Defesa!$F$7 = "AUTOMÁTICA", Defesa!$F$7 ="100% BASELINE")), 1, 0))</f>
        <v/>
      </c>
      <c r="BK159" s="192" t="str">
        <f t="shared" si="103"/>
        <v/>
      </c>
      <c r="BL159" s="192">
        <f t="shared" si="123"/>
        <v>0</v>
      </c>
      <c r="BM159" s="192" t="str">
        <f>IF($AC159="", "", IF(ISNA(VLOOKUP($AC159, TABELAS!$Q:$Q, 1, FALSE)), 1, 0))</f>
        <v/>
      </c>
      <c r="BN159" s="194" t="str">
        <f t="shared" si="104"/>
        <v/>
      </c>
      <c r="BO159" s="192" t="str">
        <f t="shared" si="124"/>
        <v/>
      </c>
      <c r="BP159" s="192" t="str">
        <f t="shared" si="125"/>
        <v/>
      </c>
      <c r="BQ159" s="193" t="str">
        <f t="shared" si="126"/>
        <v/>
      </c>
      <c r="BR159" s="192" t="str">
        <f t="shared" si="127"/>
        <v/>
      </c>
      <c r="BS159" s="192" t="str">
        <f t="shared" si="128"/>
        <v/>
      </c>
      <c r="BT159" s="192" t="str">
        <f>IF(OR($B159="", $AH159 = "SIM"), "", IF( ISNA(VLOOKUP($AP159,#REF!, 1, FALSE)), 1, 0))</f>
        <v/>
      </c>
      <c r="BU159" s="192" t="str">
        <f t="shared" si="129"/>
        <v/>
      </c>
      <c r="BV159" s="192" t="str">
        <f>IF( $B159="", "", IF( ISNA(VLOOKUP($AN159, TABELAS!$T$2:$T$9,1,FALSE)), 1, 0))</f>
        <v/>
      </c>
      <c r="BW159" s="192" t="str">
        <f t="shared" si="130"/>
        <v/>
      </c>
      <c r="BX159" s="192" t="str">
        <f>IF( OR($B159="", $AH159 = "SIM"), "", IF( ISNA( VLOOKUP( $AQ159, SISTEMA!$B:$B, 1, FALSE)), 1, 0))</f>
        <v/>
      </c>
      <c r="BY159" s="193" t="str">
        <f t="shared" si="131"/>
        <v/>
      </c>
      <c r="BZ159" s="193" t="str">
        <f t="shared" si="132"/>
        <v/>
      </c>
      <c r="CA159" s="192" t="str">
        <f t="shared" si="133"/>
        <v/>
      </c>
      <c r="CB159" s="193" t="str">
        <f t="shared" si="134"/>
        <v/>
      </c>
      <c r="CC159" s="193" t="str">
        <f t="shared" si="135"/>
        <v/>
      </c>
      <c r="CD159" s="193" t="str">
        <f t="shared" si="136"/>
        <v/>
      </c>
    </row>
    <row r="160" spans="1:82" x14ac:dyDescent="0.2">
      <c r="A160" s="140"/>
      <c r="B160" s="141" t="str">
        <f t="shared" si="105"/>
        <v/>
      </c>
      <c r="C160" s="142" t="str">
        <f t="shared" si="93"/>
        <v/>
      </c>
      <c r="D160" s="142" t="str">
        <f t="shared" si="106"/>
        <v/>
      </c>
      <c r="E160" s="142" t="str">
        <f>IF($C160="", "", COUNTIF($M$8:$M160,$D160))</f>
        <v/>
      </c>
      <c r="F160" s="254">
        <v>153</v>
      </c>
      <c r="G160" s="143"/>
      <c r="H160" s="144"/>
      <c r="I160" s="144"/>
      <c r="J160" s="145"/>
      <c r="K160" s="144"/>
      <c r="L160" s="144"/>
      <c r="M160" s="144"/>
      <c r="N160" s="146"/>
      <c r="O160" s="147"/>
      <c r="P160" s="147"/>
      <c r="Q160" s="147"/>
      <c r="R160" s="147"/>
      <c r="S160" s="147"/>
      <c r="T160" s="149"/>
      <c r="U160" s="150" t="str">
        <f>IF($T160="", "", VLOOKUP($T160, CONTRATOS!$B:$E, 2, FALSE))</f>
        <v/>
      </c>
      <c r="V160" s="151">
        <f>IF(OR($T160="",TB_DEFESA!$C$2="CARGA BASELINE"),0,
   IF(VLOOKUP($T160, CONTRATOS!B:E, 3, FALSE)&lt;&gt;"",1,IF(VLOOKUP($T160, CONTRATOS!B:E, 4, FALSE)&lt;&gt;"",2,0)))</f>
        <v>0</v>
      </c>
      <c r="W160" s="152"/>
      <c r="X160" s="152"/>
      <c r="Y160" s="153"/>
      <c r="Z160" s="154"/>
      <c r="AA160" s="155"/>
      <c r="AB160" s="156"/>
      <c r="AC160" s="157"/>
      <c r="AD160" s="155"/>
      <c r="AE160" s="158" t="str">
        <f t="shared" si="94"/>
        <v/>
      </c>
      <c r="AF160" s="160" t="str">
        <f t="shared" si="107"/>
        <v/>
      </c>
      <c r="AG160" s="182" t="s">
        <v>59</v>
      </c>
      <c r="AH160" s="183" t="str">
        <f t="shared" si="108"/>
        <v/>
      </c>
      <c r="AI160" s="183" t="str">
        <f t="shared" si="109"/>
        <v/>
      </c>
      <c r="AJ160" s="184" t="str">
        <f t="shared" si="110"/>
        <v/>
      </c>
      <c r="AK160" s="185" t="str">
        <f t="shared" si="111"/>
        <v/>
      </c>
      <c r="AL160" s="186"/>
      <c r="AM160" s="183" t="str">
        <f t="shared" si="112"/>
        <v/>
      </c>
      <c r="AN160" s="183" t="str">
        <f t="shared" si="113"/>
        <v/>
      </c>
      <c r="AO160" s="186" t="str">
        <f t="shared" si="114"/>
        <v/>
      </c>
      <c r="AP160" s="187" t="str">
        <f t="shared" si="115"/>
        <v/>
      </c>
      <c r="AQ160" s="187" t="str">
        <f t="shared" si="116"/>
        <v/>
      </c>
      <c r="AR160" s="188" t="str">
        <f t="shared" si="95"/>
        <v/>
      </c>
      <c r="AS160" s="188" t="str">
        <f t="shared" si="96"/>
        <v/>
      </c>
      <c r="AT160" s="183" t="str">
        <f t="shared" si="97"/>
        <v/>
      </c>
      <c r="AU160" s="189" t="str">
        <f>IF(OR($B160="", $AP160= ""),"",IF(VLOOKUP($AP160, CONTRATOS!B:K,3,FALSE)="","",VLOOKUP($AP160, CONTRATOS!B:K, 3,FALSE)))</f>
        <v/>
      </c>
      <c r="AV160" s="189" t="str">
        <f>IF(OR($B160="", $AP160 = ""), "", IF(VLOOKUP($AP160, CONTRATOS!B:K,4,FALSE)="","",VLOOKUP($AP160, CONTRATOS!B:K,4, FALSE)))</f>
        <v/>
      </c>
      <c r="AW160" s="190" t="str">
        <f t="shared" si="98"/>
        <v/>
      </c>
      <c r="AX160" s="189" t="str">
        <f t="shared" si="99"/>
        <v/>
      </c>
      <c r="AY160" s="189" t="str">
        <f t="shared" si="100"/>
        <v/>
      </c>
      <c r="AZ160" s="189" t="str">
        <f t="shared" si="101"/>
        <v/>
      </c>
      <c r="BA160" s="189" t="str">
        <f t="shared" si="102"/>
        <v/>
      </c>
      <c r="BB160" s="191">
        <f t="shared" si="117"/>
        <v>0</v>
      </c>
      <c r="BC160" s="191" t="str">
        <f t="shared" si="118"/>
        <v/>
      </c>
      <c r="BD160" s="191" t="str">
        <f t="shared" si="119"/>
        <v/>
      </c>
      <c r="BF160" s="192">
        <f t="shared" si="120"/>
        <v>0</v>
      </c>
      <c r="BG160" s="192">
        <f t="shared" si="121"/>
        <v>0</v>
      </c>
      <c r="BH160" s="192" t="str">
        <f>IF( $B160="", "", IF(ISNA(VLOOKUP($C160, Defesa!$C$7:$C$29,1,FALSE)),1,0))</f>
        <v/>
      </c>
      <c r="BI160" s="193" t="str">
        <f t="shared" si="122"/>
        <v/>
      </c>
      <c r="BJ160" s="193" t="str">
        <f>IF($B160="", "", IF( AND( $AI160="ESTIMATIVA", OR( Defesa!$F$7 = "AUTOMÁTICA", Defesa!$F$7 ="100% BASELINE")), 1, 0))</f>
        <v/>
      </c>
      <c r="BK160" s="192" t="str">
        <f t="shared" si="103"/>
        <v/>
      </c>
      <c r="BL160" s="192">
        <f t="shared" si="123"/>
        <v>0</v>
      </c>
      <c r="BM160" s="192" t="str">
        <f>IF($AC160="", "", IF(ISNA(VLOOKUP($AC160, TABELAS!$Q:$Q, 1, FALSE)), 1, 0))</f>
        <v/>
      </c>
      <c r="BN160" s="194" t="str">
        <f t="shared" si="104"/>
        <v/>
      </c>
      <c r="BO160" s="192" t="str">
        <f t="shared" si="124"/>
        <v/>
      </c>
      <c r="BP160" s="192" t="str">
        <f t="shared" si="125"/>
        <v/>
      </c>
      <c r="BQ160" s="193" t="str">
        <f t="shared" si="126"/>
        <v/>
      </c>
      <c r="BR160" s="192" t="str">
        <f t="shared" si="127"/>
        <v/>
      </c>
      <c r="BS160" s="192" t="str">
        <f t="shared" si="128"/>
        <v/>
      </c>
      <c r="BT160" s="192" t="str">
        <f>IF(OR($B160="", $AH160 = "SIM"), "", IF( ISNA(VLOOKUP($AP160,#REF!, 1, FALSE)), 1, 0))</f>
        <v/>
      </c>
      <c r="BU160" s="192" t="str">
        <f t="shared" si="129"/>
        <v/>
      </c>
      <c r="BV160" s="192" t="str">
        <f>IF( $B160="", "", IF( ISNA(VLOOKUP($AN160, TABELAS!$T$2:$T$9,1,FALSE)), 1, 0))</f>
        <v/>
      </c>
      <c r="BW160" s="192" t="str">
        <f t="shared" si="130"/>
        <v/>
      </c>
      <c r="BX160" s="192" t="str">
        <f>IF( OR($B160="", $AH160 = "SIM"), "", IF( ISNA( VLOOKUP( $AQ160, SISTEMA!$B:$B, 1, FALSE)), 1, 0))</f>
        <v/>
      </c>
      <c r="BY160" s="193" t="str">
        <f t="shared" si="131"/>
        <v/>
      </c>
      <c r="BZ160" s="193" t="str">
        <f t="shared" si="132"/>
        <v/>
      </c>
      <c r="CA160" s="192" t="str">
        <f t="shared" si="133"/>
        <v/>
      </c>
      <c r="CB160" s="193" t="str">
        <f t="shared" si="134"/>
        <v/>
      </c>
      <c r="CC160" s="193" t="str">
        <f t="shared" si="135"/>
        <v/>
      </c>
      <c r="CD160" s="193" t="str">
        <f t="shared" si="136"/>
        <v/>
      </c>
    </row>
    <row r="161" spans="1:82" x14ac:dyDescent="0.2">
      <c r="A161" s="140"/>
      <c r="B161" s="141" t="str">
        <f t="shared" si="105"/>
        <v/>
      </c>
      <c r="C161" s="142" t="str">
        <f t="shared" si="93"/>
        <v/>
      </c>
      <c r="D161" s="142" t="str">
        <f t="shared" si="106"/>
        <v/>
      </c>
      <c r="E161" s="142" t="str">
        <f>IF($C161="", "", COUNTIF($M$8:$M161,$D161))</f>
        <v/>
      </c>
      <c r="F161" s="254">
        <v>154</v>
      </c>
      <c r="G161" s="143"/>
      <c r="H161" s="144"/>
      <c r="I161" s="144"/>
      <c r="J161" s="145"/>
      <c r="K161" s="144"/>
      <c r="L161" s="144"/>
      <c r="M161" s="144"/>
      <c r="N161" s="146"/>
      <c r="O161" s="147"/>
      <c r="P161" s="147"/>
      <c r="Q161" s="147"/>
      <c r="R161" s="147"/>
      <c r="S161" s="147"/>
      <c r="T161" s="149"/>
      <c r="U161" s="150" t="str">
        <f>IF($T161="", "", VLOOKUP($T161, CONTRATOS!$B:$E, 2, FALSE))</f>
        <v/>
      </c>
      <c r="V161" s="151">
        <f>IF(OR($T161="",TB_DEFESA!$C$2="CARGA BASELINE"),0,
   IF(VLOOKUP($T161, CONTRATOS!B:E, 3, FALSE)&lt;&gt;"",1,IF(VLOOKUP($T161, CONTRATOS!B:E, 4, FALSE)&lt;&gt;"",2,0)))</f>
        <v>0</v>
      </c>
      <c r="W161" s="152"/>
      <c r="X161" s="152"/>
      <c r="Y161" s="153"/>
      <c r="Z161" s="154"/>
      <c r="AA161" s="155"/>
      <c r="AB161" s="156"/>
      <c r="AC161" s="157"/>
      <c r="AD161" s="155"/>
      <c r="AE161" s="158" t="str">
        <f t="shared" si="94"/>
        <v/>
      </c>
      <c r="AF161" s="160" t="str">
        <f t="shared" si="107"/>
        <v/>
      </c>
      <c r="AG161" s="182" t="s">
        <v>59</v>
      </c>
      <c r="AH161" s="183" t="str">
        <f t="shared" si="108"/>
        <v/>
      </c>
      <c r="AI161" s="183" t="str">
        <f t="shared" si="109"/>
        <v/>
      </c>
      <c r="AJ161" s="184" t="str">
        <f t="shared" si="110"/>
        <v/>
      </c>
      <c r="AK161" s="185" t="str">
        <f t="shared" si="111"/>
        <v/>
      </c>
      <c r="AL161" s="186"/>
      <c r="AM161" s="183" t="str">
        <f t="shared" si="112"/>
        <v/>
      </c>
      <c r="AN161" s="183" t="str">
        <f t="shared" si="113"/>
        <v/>
      </c>
      <c r="AO161" s="186" t="str">
        <f t="shared" si="114"/>
        <v/>
      </c>
      <c r="AP161" s="187" t="str">
        <f t="shared" si="115"/>
        <v/>
      </c>
      <c r="AQ161" s="187" t="str">
        <f t="shared" si="116"/>
        <v/>
      </c>
      <c r="AR161" s="188" t="str">
        <f t="shared" si="95"/>
        <v/>
      </c>
      <c r="AS161" s="188" t="str">
        <f t="shared" si="96"/>
        <v/>
      </c>
      <c r="AT161" s="183" t="str">
        <f t="shared" si="97"/>
        <v/>
      </c>
      <c r="AU161" s="189" t="str">
        <f>IF(OR($B161="", $AP161= ""),"",IF(VLOOKUP($AP161, CONTRATOS!B:K,3,FALSE)="","",VLOOKUP($AP161, CONTRATOS!B:K, 3,FALSE)))</f>
        <v/>
      </c>
      <c r="AV161" s="189" t="str">
        <f>IF(OR($B161="", $AP161 = ""), "", IF(VLOOKUP($AP161, CONTRATOS!B:K,4,FALSE)="","",VLOOKUP($AP161, CONTRATOS!B:K,4, FALSE)))</f>
        <v/>
      </c>
      <c r="AW161" s="190" t="str">
        <f t="shared" si="98"/>
        <v/>
      </c>
      <c r="AX161" s="189" t="str">
        <f t="shared" si="99"/>
        <v/>
      </c>
      <c r="AY161" s="189" t="str">
        <f t="shared" si="100"/>
        <v/>
      </c>
      <c r="AZ161" s="189" t="str">
        <f t="shared" si="101"/>
        <v/>
      </c>
      <c r="BA161" s="189" t="str">
        <f t="shared" si="102"/>
        <v/>
      </c>
      <c r="BB161" s="191">
        <f t="shared" si="117"/>
        <v>0</v>
      </c>
      <c r="BC161" s="191" t="str">
        <f t="shared" si="118"/>
        <v/>
      </c>
      <c r="BD161" s="191" t="str">
        <f t="shared" si="119"/>
        <v/>
      </c>
      <c r="BF161" s="192">
        <f t="shared" si="120"/>
        <v>0</v>
      </c>
      <c r="BG161" s="192">
        <f t="shared" si="121"/>
        <v>0</v>
      </c>
      <c r="BH161" s="192" t="str">
        <f>IF( $B161="", "", IF(ISNA(VLOOKUP($C161, Defesa!$C$7:$C$29,1,FALSE)),1,0))</f>
        <v/>
      </c>
      <c r="BI161" s="193" t="str">
        <f t="shared" si="122"/>
        <v/>
      </c>
      <c r="BJ161" s="193" t="str">
        <f>IF($B161="", "", IF( AND( $AI161="ESTIMATIVA", OR( Defesa!$F$7 = "AUTOMÁTICA", Defesa!$F$7 ="100% BASELINE")), 1, 0))</f>
        <v/>
      </c>
      <c r="BK161" s="192" t="str">
        <f t="shared" si="103"/>
        <v/>
      </c>
      <c r="BL161" s="192">
        <f t="shared" si="123"/>
        <v>0</v>
      </c>
      <c r="BM161" s="192" t="str">
        <f>IF($AC161="", "", IF(ISNA(VLOOKUP($AC161, TABELAS!$Q:$Q, 1, FALSE)), 1, 0))</f>
        <v/>
      </c>
      <c r="BN161" s="194" t="str">
        <f t="shared" si="104"/>
        <v/>
      </c>
      <c r="BO161" s="192" t="str">
        <f t="shared" si="124"/>
        <v/>
      </c>
      <c r="BP161" s="192" t="str">
        <f t="shared" si="125"/>
        <v/>
      </c>
      <c r="BQ161" s="193" t="str">
        <f t="shared" si="126"/>
        <v/>
      </c>
      <c r="BR161" s="192" t="str">
        <f t="shared" si="127"/>
        <v/>
      </c>
      <c r="BS161" s="192" t="str">
        <f t="shared" si="128"/>
        <v/>
      </c>
      <c r="BT161" s="192" t="str">
        <f>IF(OR($B161="", $AH161 = "SIM"), "", IF( ISNA(VLOOKUP($AP161,#REF!, 1, FALSE)), 1, 0))</f>
        <v/>
      </c>
      <c r="BU161" s="192" t="str">
        <f t="shared" si="129"/>
        <v/>
      </c>
      <c r="BV161" s="192" t="str">
        <f>IF( $B161="", "", IF( ISNA(VLOOKUP($AN161, TABELAS!$T$2:$T$9,1,FALSE)), 1, 0))</f>
        <v/>
      </c>
      <c r="BW161" s="192" t="str">
        <f t="shared" si="130"/>
        <v/>
      </c>
      <c r="BX161" s="192" t="str">
        <f>IF( OR($B161="", $AH161 = "SIM"), "", IF( ISNA( VLOOKUP( $AQ161, SISTEMA!$B:$B, 1, FALSE)), 1, 0))</f>
        <v/>
      </c>
      <c r="BY161" s="193" t="str">
        <f t="shared" si="131"/>
        <v/>
      </c>
      <c r="BZ161" s="193" t="str">
        <f t="shared" si="132"/>
        <v/>
      </c>
      <c r="CA161" s="192" t="str">
        <f t="shared" si="133"/>
        <v/>
      </c>
      <c r="CB161" s="193" t="str">
        <f t="shared" si="134"/>
        <v/>
      </c>
      <c r="CC161" s="193" t="str">
        <f t="shared" si="135"/>
        <v/>
      </c>
      <c r="CD161" s="193" t="str">
        <f t="shared" si="136"/>
        <v/>
      </c>
    </row>
    <row r="162" spans="1:82" x14ac:dyDescent="0.2">
      <c r="A162" s="140"/>
      <c r="B162" s="141" t="str">
        <f t="shared" si="105"/>
        <v/>
      </c>
      <c r="C162" s="142" t="str">
        <f t="shared" si="93"/>
        <v/>
      </c>
      <c r="D162" s="142" t="str">
        <f t="shared" si="106"/>
        <v/>
      </c>
      <c r="E162" s="142" t="str">
        <f>IF($C162="", "", COUNTIF($M$8:$M162,$D162))</f>
        <v/>
      </c>
      <c r="F162" s="254">
        <v>155</v>
      </c>
      <c r="G162" s="143"/>
      <c r="H162" s="144"/>
      <c r="I162" s="144"/>
      <c r="J162" s="145"/>
      <c r="K162" s="144"/>
      <c r="L162" s="144"/>
      <c r="M162" s="144"/>
      <c r="N162" s="146"/>
      <c r="O162" s="147"/>
      <c r="P162" s="147"/>
      <c r="Q162" s="147"/>
      <c r="R162" s="147"/>
      <c r="S162" s="147"/>
      <c r="T162" s="149"/>
      <c r="U162" s="150" t="str">
        <f>IF($T162="", "", VLOOKUP($T162, CONTRATOS!$B:$E, 2, FALSE))</f>
        <v/>
      </c>
      <c r="V162" s="151">
        <f>IF(OR($T162="",TB_DEFESA!$C$2="CARGA BASELINE"),0,
   IF(VLOOKUP($T162, CONTRATOS!B:E, 3, FALSE)&lt;&gt;"",1,IF(VLOOKUP($T162, CONTRATOS!B:E, 4, FALSE)&lt;&gt;"",2,0)))</f>
        <v>0</v>
      </c>
      <c r="W162" s="152"/>
      <c r="X162" s="152"/>
      <c r="Y162" s="153"/>
      <c r="Z162" s="154"/>
      <c r="AA162" s="155"/>
      <c r="AB162" s="156"/>
      <c r="AC162" s="157"/>
      <c r="AD162" s="155"/>
      <c r="AE162" s="158" t="str">
        <f t="shared" si="94"/>
        <v/>
      </c>
      <c r="AF162" s="160" t="str">
        <f t="shared" si="107"/>
        <v/>
      </c>
      <c r="AG162" s="182" t="s">
        <v>59</v>
      </c>
      <c r="AH162" s="183" t="str">
        <f t="shared" si="108"/>
        <v/>
      </c>
      <c r="AI162" s="183" t="str">
        <f t="shared" si="109"/>
        <v/>
      </c>
      <c r="AJ162" s="184" t="str">
        <f t="shared" si="110"/>
        <v/>
      </c>
      <c r="AK162" s="185" t="str">
        <f t="shared" si="111"/>
        <v/>
      </c>
      <c r="AL162" s="186"/>
      <c r="AM162" s="183" t="str">
        <f t="shared" si="112"/>
        <v/>
      </c>
      <c r="AN162" s="183" t="str">
        <f t="shared" si="113"/>
        <v/>
      </c>
      <c r="AO162" s="186" t="str">
        <f t="shared" si="114"/>
        <v/>
      </c>
      <c r="AP162" s="187" t="str">
        <f t="shared" si="115"/>
        <v/>
      </c>
      <c r="AQ162" s="187" t="str">
        <f t="shared" si="116"/>
        <v/>
      </c>
      <c r="AR162" s="188" t="str">
        <f t="shared" si="95"/>
        <v/>
      </c>
      <c r="AS162" s="188" t="str">
        <f t="shared" si="96"/>
        <v/>
      </c>
      <c r="AT162" s="183" t="str">
        <f t="shared" si="97"/>
        <v/>
      </c>
      <c r="AU162" s="189" t="str">
        <f>IF(OR($B162="", $AP162= ""),"",IF(VLOOKUP($AP162, CONTRATOS!B:K,3,FALSE)="","",VLOOKUP($AP162, CONTRATOS!B:K, 3,FALSE)))</f>
        <v/>
      </c>
      <c r="AV162" s="189" t="str">
        <f>IF(OR($B162="", $AP162 = ""), "", IF(VLOOKUP($AP162, CONTRATOS!B:K,4,FALSE)="","",VLOOKUP($AP162, CONTRATOS!B:K,4, FALSE)))</f>
        <v/>
      </c>
      <c r="AW162" s="190" t="str">
        <f t="shared" si="98"/>
        <v/>
      </c>
      <c r="AX162" s="189" t="str">
        <f t="shared" si="99"/>
        <v/>
      </c>
      <c r="AY162" s="189" t="str">
        <f t="shared" si="100"/>
        <v/>
      </c>
      <c r="AZ162" s="189" t="str">
        <f t="shared" si="101"/>
        <v/>
      </c>
      <c r="BA162" s="189" t="str">
        <f t="shared" si="102"/>
        <v/>
      </c>
      <c r="BB162" s="191">
        <f t="shared" si="117"/>
        <v>0</v>
      </c>
      <c r="BC162" s="191" t="str">
        <f t="shared" si="118"/>
        <v/>
      </c>
      <c r="BD162" s="191" t="str">
        <f t="shared" si="119"/>
        <v/>
      </c>
      <c r="BF162" s="192">
        <f t="shared" si="120"/>
        <v>0</v>
      </c>
      <c r="BG162" s="192">
        <f t="shared" si="121"/>
        <v>0</v>
      </c>
      <c r="BH162" s="192" t="str">
        <f>IF( $B162="", "", IF(ISNA(VLOOKUP($C162, Defesa!$C$7:$C$29,1,FALSE)),1,0))</f>
        <v/>
      </c>
      <c r="BI162" s="193" t="str">
        <f t="shared" si="122"/>
        <v/>
      </c>
      <c r="BJ162" s="193" t="str">
        <f>IF($B162="", "", IF( AND( $AI162="ESTIMATIVA", OR( Defesa!$F$7 = "AUTOMÁTICA", Defesa!$F$7 ="100% BASELINE")), 1, 0))</f>
        <v/>
      </c>
      <c r="BK162" s="192" t="str">
        <f t="shared" si="103"/>
        <v/>
      </c>
      <c r="BL162" s="192">
        <f t="shared" si="123"/>
        <v>0</v>
      </c>
      <c r="BM162" s="192" t="str">
        <f>IF($AC162="", "", IF(ISNA(VLOOKUP($AC162, TABELAS!$Q:$Q, 1, FALSE)), 1, 0))</f>
        <v/>
      </c>
      <c r="BN162" s="194" t="str">
        <f t="shared" si="104"/>
        <v/>
      </c>
      <c r="BO162" s="192" t="str">
        <f t="shared" si="124"/>
        <v/>
      </c>
      <c r="BP162" s="192" t="str">
        <f t="shared" si="125"/>
        <v/>
      </c>
      <c r="BQ162" s="193" t="str">
        <f t="shared" si="126"/>
        <v/>
      </c>
      <c r="BR162" s="192" t="str">
        <f t="shared" si="127"/>
        <v/>
      </c>
      <c r="BS162" s="192" t="str">
        <f t="shared" si="128"/>
        <v/>
      </c>
      <c r="BT162" s="192" t="str">
        <f>IF(OR($B162="", $AH162 = "SIM"), "", IF( ISNA(VLOOKUP($AP162,#REF!, 1, FALSE)), 1, 0))</f>
        <v/>
      </c>
      <c r="BU162" s="192" t="str">
        <f t="shared" si="129"/>
        <v/>
      </c>
      <c r="BV162" s="192" t="str">
        <f>IF( $B162="", "", IF( ISNA(VLOOKUP($AN162, TABELAS!$T$2:$T$9,1,FALSE)), 1, 0))</f>
        <v/>
      </c>
      <c r="BW162" s="192" t="str">
        <f t="shared" si="130"/>
        <v/>
      </c>
      <c r="BX162" s="192" t="str">
        <f>IF( OR($B162="", $AH162 = "SIM"), "", IF( ISNA( VLOOKUP( $AQ162, SISTEMA!$B:$B, 1, FALSE)), 1, 0))</f>
        <v/>
      </c>
      <c r="BY162" s="193" t="str">
        <f t="shared" si="131"/>
        <v/>
      </c>
      <c r="BZ162" s="193" t="str">
        <f t="shared" si="132"/>
        <v/>
      </c>
      <c r="CA162" s="192" t="str">
        <f t="shared" si="133"/>
        <v/>
      </c>
      <c r="CB162" s="193" t="str">
        <f t="shared" si="134"/>
        <v/>
      </c>
      <c r="CC162" s="193" t="str">
        <f t="shared" si="135"/>
        <v/>
      </c>
      <c r="CD162" s="193" t="str">
        <f t="shared" si="136"/>
        <v/>
      </c>
    </row>
    <row r="163" spans="1:82" x14ac:dyDescent="0.2">
      <c r="A163" s="140"/>
      <c r="B163" s="141" t="str">
        <f t="shared" si="105"/>
        <v/>
      </c>
      <c r="C163" s="142" t="str">
        <f t="shared" si="93"/>
        <v/>
      </c>
      <c r="D163" s="142" t="str">
        <f t="shared" si="106"/>
        <v/>
      </c>
      <c r="E163" s="142" t="str">
        <f>IF($C163="", "", COUNTIF($M$8:$M163,$D163))</f>
        <v/>
      </c>
      <c r="F163" s="254">
        <v>156</v>
      </c>
      <c r="G163" s="143"/>
      <c r="H163" s="144"/>
      <c r="I163" s="144"/>
      <c r="J163" s="145"/>
      <c r="K163" s="144"/>
      <c r="L163" s="144"/>
      <c r="M163" s="144"/>
      <c r="N163" s="146"/>
      <c r="O163" s="147"/>
      <c r="P163" s="147"/>
      <c r="Q163" s="147"/>
      <c r="R163" s="147"/>
      <c r="S163" s="147"/>
      <c r="T163" s="149"/>
      <c r="U163" s="150" t="str">
        <f>IF($T163="", "", VLOOKUP($T163, CONTRATOS!$B:$E, 2, FALSE))</f>
        <v/>
      </c>
      <c r="V163" s="151">
        <f>IF(OR($T163="",TB_DEFESA!$C$2="CARGA BASELINE"),0,
   IF(VLOOKUP($T163, CONTRATOS!B:E, 3, FALSE)&lt;&gt;"",1,IF(VLOOKUP($T163, CONTRATOS!B:E, 4, FALSE)&lt;&gt;"",2,0)))</f>
        <v>0</v>
      </c>
      <c r="W163" s="152"/>
      <c r="X163" s="152"/>
      <c r="Y163" s="153"/>
      <c r="Z163" s="154"/>
      <c r="AA163" s="155"/>
      <c r="AB163" s="156"/>
      <c r="AC163" s="157"/>
      <c r="AD163" s="155"/>
      <c r="AE163" s="158" t="str">
        <f t="shared" si="94"/>
        <v/>
      </c>
      <c r="AF163" s="160" t="str">
        <f t="shared" si="107"/>
        <v/>
      </c>
      <c r="AG163" s="182" t="s">
        <v>59</v>
      </c>
      <c r="AH163" s="183" t="str">
        <f t="shared" si="108"/>
        <v/>
      </c>
      <c r="AI163" s="183" t="str">
        <f t="shared" si="109"/>
        <v/>
      </c>
      <c r="AJ163" s="184" t="str">
        <f t="shared" si="110"/>
        <v/>
      </c>
      <c r="AK163" s="185" t="str">
        <f t="shared" si="111"/>
        <v/>
      </c>
      <c r="AL163" s="186"/>
      <c r="AM163" s="183" t="str">
        <f t="shared" si="112"/>
        <v/>
      </c>
      <c r="AN163" s="183" t="str">
        <f t="shared" si="113"/>
        <v/>
      </c>
      <c r="AO163" s="186" t="str">
        <f t="shared" si="114"/>
        <v/>
      </c>
      <c r="AP163" s="187" t="str">
        <f t="shared" si="115"/>
        <v/>
      </c>
      <c r="AQ163" s="187" t="str">
        <f t="shared" si="116"/>
        <v/>
      </c>
      <c r="AR163" s="188" t="str">
        <f t="shared" si="95"/>
        <v/>
      </c>
      <c r="AS163" s="188" t="str">
        <f t="shared" si="96"/>
        <v/>
      </c>
      <c r="AT163" s="183" t="str">
        <f t="shared" si="97"/>
        <v/>
      </c>
      <c r="AU163" s="189" t="str">
        <f>IF(OR($B163="", $AP163= ""),"",IF(VLOOKUP($AP163, CONTRATOS!B:K,3,FALSE)="","",VLOOKUP($AP163, CONTRATOS!B:K, 3,FALSE)))</f>
        <v/>
      </c>
      <c r="AV163" s="189" t="str">
        <f>IF(OR($B163="", $AP163 = ""), "", IF(VLOOKUP($AP163, CONTRATOS!B:K,4,FALSE)="","",VLOOKUP($AP163, CONTRATOS!B:K,4, FALSE)))</f>
        <v/>
      </c>
      <c r="AW163" s="190" t="str">
        <f t="shared" si="98"/>
        <v/>
      </c>
      <c r="AX163" s="189" t="str">
        <f t="shared" si="99"/>
        <v/>
      </c>
      <c r="AY163" s="189" t="str">
        <f t="shared" si="100"/>
        <v/>
      </c>
      <c r="AZ163" s="189" t="str">
        <f t="shared" si="101"/>
        <v/>
      </c>
      <c r="BA163" s="189" t="str">
        <f t="shared" si="102"/>
        <v/>
      </c>
      <c r="BB163" s="191">
        <f t="shared" si="117"/>
        <v>0</v>
      </c>
      <c r="BC163" s="191" t="str">
        <f t="shared" si="118"/>
        <v/>
      </c>
      <c r="BD163" s="191" t="str">
        <f t="shared" si="119"/>
        <v/>
      </c>
      <c r="BF163" s="192">
        <f t="shared" si="120"/>
        <v>0</v>
      </c>
      <c r="BG163" s="192">
        <f t="shared" si="121"/>
        <v>0</v>
      </c>
      <c r="BH163" s="192" t="str">
        <f>IF( $B163="", "", IF(ISNA(VLOOKUP($C163, Defesa!$C$7:$C$29,1,FALSE)),1,0))</f>
        <v/>
      </c>
      <c r="BI163" s="193" t="str">
        <f t="shared" si="122"/>
        <v/>
      </c>
      <c r="BJ163" s="193" t="str">
        <f>IF($B163="", "", IF( AND( $AI163="ESTIMATIVA", OR( Defesa!$F$7 = "AUTOMÁTICA", Defesa!$F$7 ="100% BASELINE")), 1, 0))</f>
        <v/>
      </c>
      <c r="BK163" s="192" t="str">
        <f t="shared" si="103"/>
        <v/>
      </c>
      <c r="BL163" s="192">
        <f t="shared" si="123"/>
        <v>0</v>
      </c>
      <c r="BM163" s="192" t="str">
        <f>IF($AC163="", "", IF(ISNA(VLOOKUP($AC163, TABELAS!$Q:$Q, 1, FALSE)), 1, 0))</f>
        <v/>
      </c>
      <c r="BN163" s="194" t="str">
        <f t="shared" si="104"/>
        <v/>
      </c>
      <c r="BO163" s="192" t="str">
        <f t="shared" si="124"/>
        <v/>
      </c>
      <c r="BP163" s="192" t="str">
        <f t="shared" si="125"/>
        <v/>
      </c>
      <c r="BQ163" s="193" t="str">
        <f t="shared" si="126"/>
        <v/>
      </c>
      <c r="BR163" s="192" t="str">
        <f t="shared" si="127"/>
        <v/>
      </c>
      <c r="BS163" s="192" t="str">
        <f t="shared" si="128"/>
        <v/>
      </c>
      <c r="BT163" s="192" t="str">
        <f>IF(OR($B163="", $AH163 = "SIM"), "", IF( ISNA(VLOOKUP($AP163,#REF!, 1, FALSE)), 1, 0))</f>
        <v/>
      </c>
      <c r="BU163" s="192" t="str">
        <f t="shared" si="129"/>
        <v/>
      </c>
      <c r="BV163" s="192" t="str">
        <f>IF( $B163="", "", IF( ISNA(VLOOKUP($AN163, TABELAS!$T$2:$T$9,1,FALSE)), 1, 0))</f>
        <v/>
      </c>
      <c r="BW163" s="192" t="str">
        <f t="shared" si="130"/>
        <v/>
      </c>
      <c r="BX163" s="192" t="str">
        <f>IF( OR($B163="", $AH163 = "SIM"), "", IF( ISNA( VLOOKUP( $AQ163, SISTEMA!$B:$B, 1, FALSE)), 1, 0))</f>
        <v/>
      </c>
      <c r="BY163" s="193" t="str">
        <f t="shared" si="131"/>
        <v/>
      </c>
      <c r="BZ163" s="193" t="str">
        <f t="shared" si="132"/>
        <v/>
      </c>
      <c r="CA163" s="192" t="str">
        <f t="shared" si="133"/>
        <v/>
      </c>
      <c r="CB163" s="193" t="str">
        <f t="shared" si="134"/>
        <v/>
      </c>
      <c r="CC163" s="193" t="str">
        <f t="shared" si="135"/>
        <v/>
      </c>
      <c r="CD163" s="193" t="str">
        <f t="shared" si="136"/>
        <v/>
      </c>
    </row>
    <row r="164" spans="1:82" x14ac:dyDescent="0.2">
      <c r="A164" s="140"/>
      <c r="B164" s="141" t="str">
        <f t="shared" si="105"/>
        <v/>
      </c>
      <c r="C164" s="142" t="str">
        <f t="shared" si="93"/>
        <v/>
      </c>
      <c r="D164" s="142" t="str">
        <f t="shared" si="106"/>
        <v/>
      </c>
      <c r="E164" s="142" t="str">
        <f>IF($C164="", "", COUNTIF($M$8:$M164,$D164))</f>
        <v/>
      </c>
      <c r="F164" s="254">
        <v>157</v>
      </c>
      <c r="G164" s="143"/>
      <c r="H164" s="144"/>
      <c r="I164" s="144"/>
      <c r="J164" s="145"/>
      <c r="K164" s="144"/>
      <c r="L164" s="144"/>
      <c r="M164" s="144"/>
      <c r="N164" s="146"/>
      <c r="O164" s="147"/>
      <c r="P164" s="147"/>
      <c r="Q164" s="147"/>
      <c r="R164" s="147"/>
      <c r="S164" s="147"/>
      <c r="T164" s="149"/>
      <c r="U164" s="150" t="str">
        <f>IF($T164="", "", VLOOKUP($T164, CONTRATOS!$B:$E, 2, FALSE))</f>
        <v/>
      </c>
      <c r="V164" s="151">
        <f>IF(OR($T164="",TB_DEFESA!$C$2="CARGA BASELINE"),0,
   IF(VLOOKUP($T164, CONTRATOS!B:E, 3, FALSE)&lt;&gt;"",1,IF(VLOOKUP($T164, CONTRATOS!B:E, 4, FALSE)&lt;&gt;"",2,0)))</f>
        <v>0</v>
      </c>
      <c r="W164" s="152"/>
      <c r="X164" s="152"/>
      <c r="Y164" s="153"/>
      <c r="Z164" s="154"/>
      <c r="AA164" s="155"/>
      <c r="AB164" s="156"/>
      <c r="AC164" s="157"/>
      <c r="AD164" s="155"/>
      <c r="AE164" s="158" t="str">
        <f t="shared" si="94"/>
        <v/>
      </c>
      <c r="AF164" s="160" t="str">
        <f t="shared" si="107"/>
        <v/>
      </c>
      <c r="AG164" s="182" t="s">
        <v>59</v>
      </c>
      <c r="AH164" s="183" t="str">
        <f t="shared" si="108"/>
        <v/>
      </c>
      <c r="AI164" s="183" t="str">
        <f t="shared" si="109"/>
        <v/>
      </c>
      <c r="AJ164" s="184" t="str">
        <f t="shared" si="110"/>
        <v/>
      </c>
      <c r="AK164" s="185" t="str">
        <f t="shared" si="111"/>
        <v/>
      </c>
      <c r="AL164" s="186"/>
      <c r="AM164" s="183" t="str">
        <f t="shared" si="112"/>
        <v/>
      </c>
      <c r="AN164" s="183" t="str">
        <f t="shared" si="113"/>
        <v/>
      </c>
      <c r="AO164" s="186" t="str">
        <f t="shared" si="114"/>
        <v/>
      </c>
      <c r="AP164" s="187" t="str">
        <f t="shared" si="115"/>
        <v/>
      </c>
      <c r="AQ164" s="187" t="str">
        <f t="shared" si="116"/>
        <v/>
      </c>
      <c r="AR164" s="188" t="str">
        <f t="shared" si="95"/>
        <v/>
      </c>
      <c r="AS164" s="188" t="str">
        <f t="shared" si="96"/>
        <v/>
      </c>
      <c r="AT164" s="183" t="str">
        <f t="shared" si="97"/>
        <v/>
      </c>
      <c r="AU164" s="189" t="str">
        <f>IF(OR($B164="", $AP164= ""),"",IF(VLOOKUP($AP164, CONTRATOS!B:K,3,FALSE)="","",VLOOKUP($AP164, CONTRATOS!B:K, 3,FALSE)))</f>
        <v/>
      </c>
      <c r="AV164" s="189" t="str">
        <f>IF(OR($B164="", $AP164 = ""), "", IF(VLOOKUP($AP164, CONTRATOS!B:K,4,FALSE)="","",VLOOKUP($AP164, CONTRATOS!B:K,4, FALSE)))</f>
        <v/>
      </c>
      <c r="AW164" s="190" t="str">
        <f t="shared" si="98"/>
        <v/>
      </c>
      <c r="AX164" s="189" t="str">
        <f t="shared" si="99"/>
        <v/>
      </c>
      <c r="AY164" s="189" t="str">
        <f t="shared" si="100"/>
        <v/>
      </c>
      <c r="AZ164" s="189" t="str">
        <f t="shared" si="101"/>
        <v/>
      </c>
      <c r="BA164" s="189" t="str">
        <f t="shared" si="102"/>
        <v/>
      </c>
      <c r="BB164" s="191">
        <f t="shared" si="117"/>
        <v>0</v>
      </c>
      <c r="BC164" s="191" t="str">
        <f t="shared" si="118"/>
        <v/>
      </c>
      <c r="BD164" s="191" t="str">
        <f t="shared" si="119"/>
        <v/>
      </c>
      <c r="BF164" s="192">
        <f t="shared" si="120"/>
        <v>0</v>
      </c>
      <c r="BG164" s="192">
        <f t="shared" si="121"/>
        <v>0</v>
      </c>
      <c r="BH164" s="192" t="str">
        <f>IF( $B164="", "", IF(ISNA(VLOOKUP($C164, Defesa!$C$7:$C$29,1,FALSE)),1,0))</f>
        <v/>
      </c>
      <c r="BI164" s="193" t="str">
        <f t="shared" si="122"/>
        <v/>
      </c>
      <c r="BJ164" s="193" t="str">
        <f>IF($B164="", "", IF( AND( $AI164="ESTIMATIVA", OR( Defesa!$F$7 = "AUTOMÁTICA", Defesa!$F$7 ="100% BASELINE")), 1, 0))</f>
        <v/>
      </c>
      <c r="BK164" s="192" t="str">
        <f t="shared" si="103"/>
        <v/>
      </c>
      <c r="BL164" s="192">
        <f t="shared" si="123"/>
        <v>0</v>
      </c>
      <c r="BM164" s="192" t="str">
        <f>IF($AC164="", "", IF(ISNA(VLOOKUP($AC164, TABELAS!$Q:$Q, 1, FALSE)), 1, 0))</f>
        <v/>
      </c>
      <c r="BN164" s="194" t="str">
        <f t="shared" si="104"/>
        <v/>
      </c>
      <c r="BO164" s="192" t="str">
        <f t="shared" si="124"/>
        <v/>
      </c>
      <c r="BP164" s="192" t="str">
        <f t="shared" si="125"/>
        <v/>
      </c>
      <c r="BQ164" s="193" t="str">
        <f t="shared" si="126"/>
        <v/>
      </c>
      <c r="BR164" s="192" t="str">
        <f t="shared" si="127"/>
        <v/>
      </c>
      <c r="BS164" s="192" t="str">
        <f t="shared" si="128"/>
        <v/>
      </c>
      <c r="BT164" s="192" t="str">
        <f>IF(OR($B164="", $AH164 = "SIM"), "", IF( ISNA(VLOOKUP($AP164,#REF!, 1, FALSE)), 1, 0))</f>
        <v/>
      </c>
      <c r="BU164" s="192" t="str">
        <f t="shared" si="129"/>
        <v/>
      </c>
      <c r="BV164" s="192" t="str">
        <f>IF( $B164="", "", IF( ISNA(VLOOKUP($AN164, TABELAS!$T$2:$T$9,1,FALSE)), 1, 0))</f>
        <v/>
      </c>
      <c r="BW164" s="192" t="str">
        <f t="shared" si="130"/>
        <v/>
      </c>
      <c r="BX164" s="192" t="str">
        <f>IF( OR($B164="", $AH164 = "SIM"), "", IF( ISNA( VLOOKUP( $AQ164, SISTEMA!$B:$B, 1, FALSE)), 1, 0))</f>
        <v/>
      </c>
      <c r="BY164" s="193" t="str">
        <f t="shared" si="131"/>
        <v/>
      </c>
      <c r="BZ164" s="193" t="str">
        <f t="shared" si="132"/>
        <v/>
      </c>
      <c r="CA164" s="192" t="str">
        <f t="shared" si="133"/>
        <v/>
      </c>
      <c r="CB164" s="193" t="str">
        <f t="shared" si="134"/>
        <v/>
      </c>
      <c r="CC164" s="193" t="str">
        <f t="shared" si="135"/>
        <v/>
      </c>
      <c r="CD164" s="193" t="str">
        <f t="shared" si="136"/>
        <v/>
      </c>
    </row>
    <row r="165" spans="1:82" x14ac:dyDescent="0.2">
      <c r="A165" s="140"/>
      <c r="B165" s="141" t="str">
        <f t="shared" si="105"/>
        <v/>
      </c>
      <c r="C165" s="142" t="str">
        <f t="shared" si="93"/>
        <v/>
      </c>
      <c r="D165" s="142" t="str">
        <f t="shared" si="106"/>
        <v/>
      </c>
      <c r="E165" s="142" t="str">
        <f>IF($C165="", "", COUNTIF($M$8:$M165,$D165))</f>
        <v/>
      </c>
      <c r="F165" s="254">
        <v>158</v>
      </c>
      <c r="G165" s="143"/>
      <c r="H165" s="144"/>
      <c r="I165" s="144"/>
      <c r="J165" s="145"/>
      <c r="K165" s="144"/>
      <c r="L165" s="144"/>
      <c r="M165" s="144"/>
      <c r="N165" s="146"/>
      <c r="O165" s="147"/>
      <c r="P165" s="147"/>
      <c r="Q165" s="147"/>
      <c r="R165" s="147"/>
      <c r="S165" s="147"/>
      <c r="T165" s="149"/>
      <c r="U165" s="150" t="str">
        <f>IF($T165="", "", VLOOKUP($T165, CONTRATOS!$B:$E, 2, FALSE))</f>
        <v/>
      </c>
      <c r="V165" s="151">
        <f>IF(OR($T165="",TB_DEFESA!$C$2="CARGA BASELINE"),0,
   IF(VLOOKUP($T165, CONTRATOS!B:E, 3, FALSE)&lt;&gt;"",1,IF(VLOOKUP($T165, CONTRATOS!B:E, 4, FALSE)&lt;&gt;"",2,0)))</f>
        <v>0</v>
      </c>
      <c r="W165" s="152"/>
      <c r="X165" s="152"/>
      <c r="Y165" s="153"/>
      <c r="Z165" s="154"/>
      <c r="AA165" s="155"/>
      <c r="AB165" s="156"/>
      <c r="AC165" s="157"/>
      <c r="AD165" s="155"/>
      <c r="AE165" s="158" t="str">
        <f t="shared" si="94"/>
        <v/>
      </c>
      <c r="AF165" s="160" t="str">
        <f t="shared" si="107"/>
        <v/>
      </c>
      <c r="AG165" s="182" t="s">
        <v>59</v>
      </c>
      <c r="AH165" s="183" t="str">
        <f t="shared" si="108"/>
        <v/>
      </c>
      <c r="AI165" s="183" t="str">
        <f t="shared" si="109"/>
        <v/>
      </c>
      <c r="AJ165" s="184" t="str">
        <f t="shared" si="110"/>
        <v/>
      </c>
      <c r="AK165" s="185" t="str">
        <f t="shared" si="111"/>
        <v/>
      </c>
      <c r="AL165" s="186"/>
      <c r="AM165" s="183" t="str">
        <f t="shared" si="112"/>
        <v/>
      </c>
      <c r="AN165" s="183" t="str">
        <f t="shared" si="113"/>
        <v/>
      </c>
      <c r="AO165" s="186" t="str">
        <f t="shared" si="114"/>
        <v/>
      </c>
      <c r="AP165" s="187" t="str">
        <f t="shared" si="115"/>
        <v/>
      </c>
      <c r="AQ165" s="187" t="str">
        <f t="shared" si="116"/>
        <v/>
      </c>
      <c r="AR165" s="188" t="str">
        <f t="shared" si="95"/>
        <v/>
      </c>
      <c r="AS165" s="188" t="str">
        <f t="shared" si="96"/>
        <v/>
      </c>
      <c r="AT165" s="183" t="str">
        <f t="shared" si="97"/>
        <v/>
      </c>
      <c r="AU165" s="189" t="str">
        <f>IF(OR($B165="", $AP165= ""),"",IF(VLOOKUP($AP165, CONTRATOS!B:K,3,FALSE)="","",VLOOKUP($AP165, CONTRATOS!B:K, 3,FALSE)))</f>
        <v/>
      </c>
      <c r="AV165" s="189" t="str">
        <f>IF(OR($B165="", $AP165 = ""), "", IF(VLOOKUP($AP165, CONTRATOS!B:K,4,FALSE)="","",VLOOKUP($AP165, CONTRATOS!B:K,4, FALSE)))</f>
        <v/>
      </c>
      <c r="AW165" s="190" t="str">
        <f t="shared" si="98"/>
        <v/>
      </c>
      <c r="AX165" s="189" t="str">
        <f t="shared" si="99"/>
        <v/>
      </c>
      <c r="AY165" s="189" t="str">
        <f t="shared" si="100"/>
        <v/>
      </c>
      <c r="AZ165" s="189" t="str">
        <f t="shared" si="101"/>
        <v/>
      </c>
      <c r="BA165" s="189" t="str">
        <f t="shared" si="102"/>
        <v/>
      </c>
      <c r="BB165" s="191">
        <f t="shared" si="117"/>
        <v>0</v>
      </c>
      <c r="BC165" s="191" t="str">
        <f t="shared" si="118"/>
        <v/>
      </c>
      <c r="BD165" s="191" t="str">
        <f t="shared" si="119"/>
        <v/>
      </c>
      <c r="BF165" s="192">
        <f t="shared" si="120"/>
        <v>0</v>
      </c>
      <c r="BG165" s="192">
        <f t="shared" si="121"/>
        <v>0</v>
      </c>
      <c r="BH165" s="192" t="str">
        <f>IF( $B165="", "", IF(ISNA(VLOOKUP($C165, Defesa!$C$7:$C$29,1,FALSE)),1,0))</f>
        <v/>
      </c>
      <c r="BI165" s="193" t="str">
        <f t="shared" si="122"/>
        <v/>
      </c>
      <c r="BJ165" s="193" t="str">
        <f>IF($B165="", "", IF( AND( $AI165="ESTIMATIVA", OR( Defesa!$F$7 = "AUTOMÁTICA", Defesa!$F$7 ="100% BASELINE")), 1, 0))</f>
        <v/>
      </c>
      <c r="BK165" s="192" t="str">
        <f t="shared" si="103"/>
        <v/>
      </c>
      <c r="BL165" s="192">
        <f t="shared" si="123"/>
        <v>0</v>
      </c>
      <c r="BM165" s="192" t="str">
        <f>IF($AC165="", "", IF(ISNA(VLOOKUP($AC165, TABELAS!$Q:$Q, 1, FALSE)), 1, 0))</f>
        <v/>
      </c>
      <c r="BN165" s="194" t="str">
        <f t="shared" si="104"/>
        <v/>
      </c>
      <c r="BO165" s="192" t="str">
        <f t="shared" si="124"/>
        <v/>
      </c>
      <c r="BP165" s="192" t="str">
        <f t="shared" si="125"/>
        <v/>
      </c>
      <c r="BQ165" s="193" t="str">
        <f t="shared" si="126"/>
        <v/>
      </c>
      <c r="BR165" s="192" t="str">
        <f t="shared" si="127"/>
        <v/>
      </c>
      <c r="BS165" s="192" t="str">
        <f t="shared" si="128"/>
        <v/>
      </c>
      <c r="BT165" s="192" t="str">
        <f>IF(OR($B165="", $AH165 = "SIM"), "", IF( ISNA(VLOOKUP($AP165,#REF!, 1, FALSE)), 1, 0))</f>
        <v/>
      </c>
      <c r="BU165" s="192" t="str">
        <f t="shared" si="129"/>
        <v/>
      </c>
      <c r="BV165" s="192" t="str">
        <f>IF( $B165="", "", IF( ISNA(VLOOKUP($AN165, TABELAS!$T$2:$T$9,1,FALSE)), 1, 0))</f>
        <v/>
      </c>
      <c r="BW165" s="192" t="str">
        <f t="shared" si="130"/>
        <v/>
      </c>
      <c r="BX165" s="192" t="str">
        <f>IF( OR($B165="", $AH165 = "SIM"), "", IF( ISNA( VLOOKUP( $AQ165, SISTEMA!$B:$B, 1, FALSE)), 1, 0))</f>
        <v/>
      </c>
      <c r="BY165" s="193" t="str">
        <f t="shared" si="131"/>
        <v/>
      </c>
      <c r="BZ165" s="193" t="str">
        <f t="shared" si="132"/>
        <v/>
      </c>
      <c r="CA165" s="192" t="str">
        <f t="shared" si="133"/>
        <v/>
      </c>
      <c r="CB165" s="193" t="str">
        <f t="shared" si="134"/>
        <v/>
      </c>
      <c r="CC165" s="193" t="str">
        <f t="shared" si="135"/>
        <v/>
      </c>
      <c r="CD165" s="193" t="str">
        <f t="shared" si="136"/>
        <v/>
      </c>
    </row>
    <row r="166" spans="1:82" x14ac:dyDescent="0.2">
      <c r="A166" s="140"/>
      <c r="B166" s="141" t="str">
        <f t="shared" si="105"/>
        <v/>
      </c>
      <c r="C166" s="142" t="str">
        <f t="shared" si="93"/>
        <v/>
      </c>
      <c r="D166" s="142" t="str">
        <f t="shared" si="106"/>
        <v/>
      </c>
      <c r="E166" s="142" t="str">
        <f>IF($C166="", "", COUNTIF($M$8:$M166,$D166))</f>
        <v/>
      </c>
      <c r="F166" s="254">
        <v>159</v>
      </c>
      <c r="G166" s="143"/>
      <c r="H166" s="144"/>
      <c r="I166" s="144"/>
      <c r="J166" s="145"/>
      <c r="K166" s="144"/>
      <c r="L166" s="144"/>
      <c r="M166" s="144"/>
      <c r="N166" s="146"/>
      <c r="O166" s="147"/>
      <c r="P166" s="147"/>
      <c r="Q166" s="147"/>
      <c r="R166" s="147"/>
      <c r="S166" s="147"/>
      <c r="T166" s="149"/>
      <c r="U166" s="150" t="str">
        <f>IF($T166="", "", VLOOKUP($T166, CONTRATOS!$B:$E, 2, FALSE))</f>
        <v/>
      </c>
      <c r="V166" s="151">
        <f>IF(OR($T166="",TB_DEFESA!$C$2="CARGA BASELINE"),0,
   IF(VLOOKUP($T166, CONTRATOS!B:E, 3, FALSE)&lt;&gt;"",1,IF(VLOOKUP($T166, CONTRATOS!B:E, 4, FALSE)&lt;&gt;"",2,0)))</f>
        <v>0</v>
      </c>
      <c r="W166" s="152"/>
      <c r="X166" s="152"/>
      <c r="Y166" s="153"/>
      <c r="Z166" s="154"/>
      <c r="AA166" s="155"/>
      <c r="AB166" s="156"/>
      <c r="AC166" s="157"/>
      <c r="AD166" s="155"/>
      <c r="AE166" s="158" t="str">
        <f t="shared" si="94"/>
        <v/>
      </c>
      <c r="AF166" s="160" t="str">
        <f t="shared" si="107"/>
        <v/>
      </c>
      <c r="AG166" s="182" t="s">
        <v>59</v>
      </c>
      <c r="AH166" s="183" t="str">
        <f t="shared" si="108"/>
        <v/>
      </c>
      <c r="AI166" s="183" t="str">
        <f t="shared" si="109"/>
        <v/>
      </c>
      <c r="AJ166" s="184" t="str">
        <f t="shared" si="110"/>
        <v/>
      </c>
      <c r="AK166" s="185" t="str">
        <f t="shared" si="111"/>
        <v/>
      </c>
      <c r="AL166" s="186"/>
      <c r="AM166" s="183" t="str">
        <f t="shared" si="112"/>
        <v/>
      </c>
      <c r="AN166" s="183" t="str">
        <f t="shared" si="113"/>
        <v/>
      </c>
      <c r="AO166" s="186" t="str">
        <f t="shared" si="114"/>
        <v/>
      </c>
      <c r="AP166" s="187" t="str">
        <f t="shared" si="115"/>
        <v/>
      </c>
      <c r="AQ166" s="187" t="str">
        <f t="shared" si="116"/>
        <v/>
      </c>
      <c r="AR166" s="188" t="str">
        <f t="shared" si="95"/>
        <v/>
      </c>
      <c r="AS166" s="188" t="str">
        <f t="shared" si="96"/>
        <v/>
      </c>
      <c r="AT166" s="183" t="str">
        <f t="shared" si="97"/>
        <v/>
      </c>
      <c r="AU166" s="189" t="str">
        <f>IF(OR($B166="", $AP166= ""),"",IF(VLOOKUP($AP166, CONTRATOS!B:K,3,FALSE)="","",VLOOKUP($AP166, CONTRATOS!B:K, 3,FALSE)))</f>
        <v/>
      </c>
      <c r="AV166" s="189" t="str">
        <f>IF(OR($B166="", $AP166 = ""), "", IF(VLOOKUP($AP166, CONTRATOS!B:K,4,FALSE)="","",VLOOKUP($AP166, CONTRATOS!B:K,4, FALSE)))</f>
        <v/>
      </c>
      <c r="AW166" s="190" t="str">
        <f t="shared" si="98"/>
        <v/>
      </c>
      <c r="AX166" s="189" t="str">
        <f t="shared" si="99"/>
        <v/>
      </c>
      <c r="AY166" s="189" t="str">
        <f t="shared" si="100"/>
        <v/>
      </c>
      <c r="AZ166" s="189" t="str">
        <f t="shared" si="101"/>
        <v/>
      </c>
      <c r="BA166" s="189" t="str">
        <f t="shared" si="102"/>
        <v/>
      </c>
      <c r="BB166" s="191">
        <f t="shared" si="117"/>
        <v>0</v>
      </c>
      <c r="BC166" s="191" t="str">
        <f t="shared" si="118"/>
        <v/>
      </c>
      <c r="BD166" s="191" t="str">
        <f t="shared" si="119"/>
        <v/>
      </c>
      <c r="BF166" s="192">
        <f t="shared" si="120"/>
        <v>0</v>
      </c>
      <c r="BG166" s="192">
        <f t="shared" si="121"/>
        <v>0</v>
      </c>
      <c r="BH166" s="192" t="str">
        <f>IF( $B166="", "", IF(ISNA(VLOOKUP($C166, Defesa!$C$7:$C$29,1,FALSE)),1,0))</f>
        <v/>
      </c>
      <c r="BI166" s="193" t="str">
        <f t="shared" si="122"/>
        <v/>
      </c>
      <c r="BJ166" s="193" t="str">
        <f>IF($B166="", "", IF( AND( $AI166="ESTIMATIVA", OR( Defesa!$F$7 = "AUTOMÁTICA", Defesa!$F$7 ="100% BASELINE")), 1, 0))</f>
        <v/>
      </c>
      <c r="BK166" s="192" t="str">
        <f t="shared" si="103"/>
        <v/>
      </c>
      <c r="BL166" s="192">
        <f t="shared" si="123"/>
        <v>0</v>
      </c>
      <c r="BM166" s="192" t="str">
        <f>IF($AC166="", "", IF(ISNA(VLOOKUP($AC166, TABELAS!$Q:$Q, 1, FALSE)), 1, 0))</f>
        <v/>
      </c>
      <c r="BN166" s="194" t="str">
        <f t="shared" si="104"/>
        <v/>
      </c>
      <c r="BO166" s="192" t="str">
        <f t="shared" si="124"/>
        <v/>
      </c>
      <c r="BP166" s="192" t="str">
        <f t="shared" si="125"/>
        <v/>
      </c>
      <c r="BQ166" s="193" t="str">
        <f t="shared" si="126"/>
        <v/>
      </c>
      <c r="BR166" s="192" t="str">
        <f t="shared" si="127"/>
        <v/>
      </c>
      <c r="BS166" s="192" t="str">
        <f t="shared" si="128"/>
        <v/>
      </c>
      <c r="BT166" s="192" t="str">
        <f>IF(OR($B166="", $AH166 = "SIM"), "", IF( ISNA(VLOOKUP($AP166,#REF!, 1, FALSE)), 1, 0))</f>
        <v/>
      </c>
      <c r="BU166" s="192" t="str">
        <f t="shared" si="129"/>
        <v/>
      </c>
      <c r="BV166" s="192" t="str">
        <f>IF( $B166="", "", IF( ISNA(VLOOKUP($AN166, TABELAS!$T$2:$T$9,1,FALSE)), 1, 0))</f>
        <v/>
      </c>
      <c r="BW166" s="192" t="str">
        <f t="shared" si="130"/>
        <v/>
      </c>
      <c r="BX166" s="192" t="str">
        <f>IF( OR($B166="", $AH166 = "SIM"), "", IF( ISNA( VLOOKUP( $AQ166, SISTEMA!$B:$B, 1, FALSE)), 1, 0))</f>
        <v/>
      </c>
      <c r="BY166" s="193" t="str">
        <f t="shared" si="131"/>
        <v/>
      </c>
      <c r="BZ166" s="193" t="str">
        <f t="shared" si="132"/>
        <v/>
      </c>
      <c r="CA166" s="192" t="str">
        <f t="shared" si="133"/>
        <v/>
      </c>
      <c r="CB166" s="193" t="str">
        <f t="shared" si="134"/>
        <v/>
      </c>
      <c r="CC166" s="193" t="str">
        <f t="shared" si="135"/>
        <v/>
      </c>
      <c r="CD166" s="193" t="str">
        <f t="shared" si="136"/>
        <v/>
      </c>
    </row>
    <row r="167" spans="1:82" x14ac:dyDescent="0.2">
      <c r="A167" s="140"/>
      <c r="B167" s="141" t="str">
        <f t="shared" si="105"/>
        <v/>
      </c>
      <c r="C167" s="142" t="str">
        <f t="shared" si="93"/>
        <v/>
      </c>
      <c r="D167" s="142" t="str">
        <f t="shared" si="106"/>
        <v/>
      </c>
      <c r="E167" s="142" t="str">
        <f>IF($C167="", "", COUNTIF($M$8:$M167,$D167))</f>
        <v/>
      </c>
      <c r="F167" s="254">
        <v>160</v>
      </c>
      <c r="G167" s="143"/>
      <c r="H167" s="144"/>
      <c r="I167" s="144"/>
      <c r="J167" s="145"/>
      <c r="K167" s="144"/>
      <c r="L167" s="144"/>
      <c r="M167" s="144"/>
      <c r="N167" s="146"/>
      <c r="O167" s="147"/>
      <c r="P167" s="147"/>
      <c r="Q167" s="147"/>
      <c r="R167" s="147"/>
      <c r="S167" s="147"/>
      <c r="T167" s="149"/>
      <c r="U167" s="150" t="str">
        <f>IF($T167="", "", VLOOKUP($T167, CONTRATOS!$B:$E, 2, FALSE))</f>
        <v/>
      </c>
      <c r="V167" s="151">
        <f>IF(OR($T167="",TB_DEFESA!$C$2="CARGA BASELINE"),0,
   IF(VLOOKUP($T167, CONTRATOS!B:E, 3, FALSE)&lt;&gt;"",1,IF(VLOOKUP($T167, CONTRATOS!B:E, 4, FALSE)&lt;&gt;"",2,0)))</f>
        <v>0</v>
      </c>
      <c r="W167" s="152"/>
      <c r="X167" s="152"/>
      <c r="Y167" s="153"/>
      <c r="Z167" s="154"/>
      <c r="AA167" s="155"/>
      <c r="AB167" s="156"/>
      <c r="AC167" s="157"/>
      <c r="AD167" s="155"/>
      <c r="AE167" s="158" t="str">
        <f t="shared" si="94"/>
        <v/>
      </c>
      <c r="AF167" s="160" t="str">
        <f t="shared" si="107"/>
        <v/>
      </c>
      <c r="AG167" s="182" t="s">
        <v>59</v>
      </c>
      <c r="AH167" s="183" t="str">
        <f t="shared" si="108"/>
        <v/>
      </c>
      <c r="AI167" s="183" t="str">
        <f t="shared" si="109"/>
        <v/>
      </c>
      <c r="AJ167" s="184" t="str">
        <f t="shared" si="110"/>
        <v/>
      </c>
      <c r="AK167" s="185" t="str">
        <f t="shared" si="111"/>
        <v/>
      </c>
      <c r="AL167" s="186"/>
      <c r="AM167" s="183" t="str">
        <f t="shared" si="112"/>
        <v/>
      </c>
      <c r="AN167" s="183" t="str">
        <f t="shared" si="113"/>
        <v/>
      </c>
      <c r="AO167" s="186" t="str">
        <f t="shared" si="114"/>
        <v/>
      </c>
      <c r="AP167" s="187" t="str">
        <f t="shared" si="115"/>
        <v/>
      </c>
      <c r="AQ167" s="187" t="str">
        <f t="shared" si="116"/>
        <v/>
      </c>
      <c r="AR167" s="188" t="str">
        <f t="shared" si="95"/>
        <v/>
      </c>
      <c r="AS167" s="188" t="str">
        <f t="shared" si="96"/>
        <v/>
      </c>
      <c r="AT167" s="183" t="str">
        <f t="shared" si="97"/>
        <v/>
      </c>
      <c r="AU167" s="189" t="str">
        <f>IF(OR($B167="", $AP167= ""),"",IF(VLOOKUP($AP167, CONTRATOS!B:K,3,FALSE)="","",VLOOKUP($AP167, CONTRATOS!B:K, 3,FALSE)))</f>
        <v/>
      </c>
      <c r="AV167" s="189" t="str">
        <f>IF(OR($B167="", $AP167 = ""), "", IF(VLOOKUP($AP167, CONTRATOS!B:K,4,FALSE)="","",VLOOKUP($AP167, CONTRATOS!B:K,4, FALSE)))</f>
        <v/>
      </c>
      <c r="AW167" s="190" t="str">
        <f t="shared" si="98"/>
        <v/>
      </c>
      <c r="AX167" s="189" t="str">
        <f t="shared" si="99"/>
        <v/>
      </c>
      <c r="AY167" s="189" t="str">
        <f t="shared" si="100"/>
        <v/>
      </c>
      <c r="AZ167" s="189" t="str">
        <f t="shared" si="101"/>
        <v/>
      </c>
      <c r="BA167" s="189" t="str">
        <f t="shared" si="102"/>
        <v/>
      </c>
      <c r="BB167" s="191">
        <f t="shared" si="117"/>
        <v>0</v>
      </c>
      <c r="BC167" s="191" t="str">
        <f t="shared" si="118"/>
        <v/>
      </c>
      <c r="BD167" s="191" t="str">
        <f t="shared" si="119"/>
        <v/>
      </c>
      <c r="BF167" s="192">
        <f t="shared" si="120"/>
        <v>0</v>
      </c>
      <c r="BG167" s="192">
        <f t="shared" si="121"/>
        <v>0</v>
      </c>
      <c r="BH167" s="192" t="str">
        <f>IF( $B167="", "", IF(ISNA(VLOOKUP($C167, Defesa!$C$7:$C$29,1,FALSE)),1,0))</f>
        <v/>
      </c>
      <c r="BI167" s="193" t="str">
        <f t="shared" si="122"/>
        <v/>
      </c>
      <c r="BJ167" s="193" t="str">
        <f>IF($B167="", "", IF( AND( $AI167="ESTIMATIVA", OR( Defesa!$F$7 = "AUTOMÁTICA", Defesa!$F$7 ="100% BASELINE")), 1, 0))</f>
        <v/>
      </c>
      <c r="BK167" s="192" t="str">
        <f t="shared" si="103"/>
        <v/>
      </c>
      <c r="BL167" s="192">
        <f t="shared" si="123"/>
        <v>0</v>
      </c>
      <c r="BM167" s="192" t="str">
        <f>IF($AC167="", "", IF(ISNA(VLOOKUP($AC167, TABELAS!$Q:$Q, 1, FALSE)), 1, 0))</f>
        <v/>
      </c>
      <c r="BN167" s="194" t="str">
        <f t="shared" si="104"/>
        <v/>
      </c>
      <c r="BO167" s="192" t="str">
        <f t="shared" si="124"/>
        <v/>
      </c>
      <c r="BP167" s="192" t="str">
        <f t="shared" si="125"/>
        <v/>
      </c>
      <c r="BQ167" s="193" t="str">
        <f t="shared" si="126"/>
        <v/>
      </c>
      <c r="BR167" s="192" t="str">
        <f t="shared" si="127"/>
        <v/>
      </c>
      <c r="BS167" s="192" t="str">
        <f t="shared" si="128"/>
        <v/>
      </c>
      <c r="BT167" s="192" t="str">
        <f>IF(OR($B167="", $AH167 = "SIM"), "", IF( ISNA(VLOOKUP($AP167,#REF!, 1, FALSE)), 1, 0))</f>
        <v/>
      </c>
      <c r="BU167" s="192" t="str">
        <f t="shared" si="129"/>
        <v/>
      </c>
      <c r="BV167" s="192" t="str">
        <f>IF( $B167="", "", IF( ISNA(VLOOKUP($AN167, TABELAS!$T$2:$T$9,1,FALSE)), 1, 0))</f>
        <v/>
      </c>
      <c r="BW167" s="192" t="str">
        <f t="shared" si="130"/>
        <v/>
      </c>
      <c r="BX167" s="192" t="str">
        <f>IF( OR($B167="", $AH167 = "SIM"), "", IF( ISNA( VLOOKUP( $AQ167, SISTEMA!$B:$B, 1, FALSE)), 1, 0))</f>
        <v/>
      </c>
      <c r="BY167" s="193" t="str">
        <f t="shared" si="131"/>
        <v/>
      </c>
      <c r="BZ167" s="193" t="str">
        <f t="shared" si="132"/>
        <v/>
      </c>
      <c r="CA167" s="192" t="str">
        <f t="shared" si="133"/>
        <v/>
      </c>
      <c r="CB167" s="193" t="str">
        <f t="shared" si="134"/>
        <v/>
      </c>
      <c r="CC167" s="193" t="str">
        <f t="shared" si="135"/>
        <v/>
      </c>
      <c r="CD167" s="193" t="str">
        <f t="shared" si="136"/>
        <v/>
      </c>
    </row>
    <row r="168" spans="1:82" x14ac:dyDescent="0.2">
      <c r="A168" s="140"/>
      <c r="B168" s="141" t="str">
        <f t="shared" si="105"/>
        <v/>
      </c>
      <c r="C168" s="142" t="str">
        <f t="shared" si="93"/>
        <v/>
      </c>
      <c r="D168" s="142" t="str">
        <f t="shared" si="106"/>
        <v/>
      </c>
      <c r="E168" s="142" t="str">
        <f>IF($C168="", "", COUNTIF($M$8:$M168,$D168))</f>
        <v/>
      </c>
      <c r="F168" s="254">
        <v>161</v>
      </c>
      <c r="G168" s="143"/>
      <c r="H168" s="144"/>
      <c r="I168" s="144"/>
      <c r="J168" s="145"/>
      <c r="K168" s="144"/>
      <c r="L168" s="144"/>
      <c r="M168" s="144"/>
      <c r="N168" s="146"/>
      <c r="O168" s="147"/>
      <c r="P168" s="147"/>
      <c r="Q168" s="147"/>
      <c r="R168" s="147"/>
      <c r="S168" s="147"/>
      <c r="T168" s="149"/>
      <c r="U168" s="150" t="str">
        <f>IF($T168="", "", VLOOKUP($T168, CONTRATOS!$B:$E, 2, FALSE))</f>
        <v/>
      </c>
      <c r="V168" s="151">
        <f>IF(OR($T168="",TB_DEFESA!$C$2="CARGA BASELINE"),0,
   IF(VLOOKUP($T168, CONTRATOS!B:E, 3, FALSE)&lt;&gt;"",1,IF(VLOOKUP($T168, CONTRATOS!B:E, 4, FALSE)&lt;&gt;"",2,0)))</f>
        <v>0</v>
      </c>
      <c r="W168" s="152"/>
      <c r="X168" s="152"/>
      <c r="Y168" s="153"/>
      <c r="Z168" s="154"/>
      <c r="AA168" s="155"/>
      <c r="AB168" s="156"/>
      <c r="AC168" s="157"/>
      <c r="AD168" s="155"/>
      <c r="AE168" s="158" t="str">
        <f t="shared" si="94"/>
        <v/>
      </c>
      <c r="AF168" s="160" t="str">
        <f t="shared" si="107"/>
        <v/>
      </c>
      <c r="AG168" s="182" t="s">
        <v>59</v>
      </c>
      <c r="AH168" s="183" t="str">
        <f t="shared" si="108"/>
        <v/>
      </c>
      <c r="AI168" s="183" t="str">
        <f t="shared" si="109"/>
        <v/>
      </c>
      <c r="AJ168" s="184" t="str">
        <f t="shared" si="110"/>
        <v/>
      </c>
      <c r="AK168" s="185" t="str">
        <f t="shared" si="111"/>
        <v/>
      </c>
      <c r="AL168" s="186"/>
      <c r="AM168" s="183" t="str">
        <f t="shared" si="112"/>
        <v/>
      </c>
      <c r="AN168" s="183" t="str">
        <f t="shared" si="113"/>
        <v/>
      </c>
      <c r="AO168" s="186" t="str">
        <f t="shared" si="114"/>
        <v/>
      </c>
      <c r="AP168" s="187" t="str">
        <f t="shared" si="115"/>
        <v/>
      </c>
      <c r="AQ168" s="187" t="str">
        <f t="shared" si="116"/>
        <v/>
      </c>
      <c r="AR168" s="188" t="str">
        <f t="shared" si="95"/>
        <v/>
      </c>
      <c r="AS168" s="188" t="str">
        <f t="shared" si="96"/>
        <v/>
      </c>
      <c r="AT168" s="183" t="str">
        <f t="shared" si="97"/>
        <v/>
      </c>
      <c r="AU168" s="189" t="str">
        <f>IF(OR($B168="", $AP168= ""),"",IF(VLOOKUP($AP168, CONTRATOS!B:K,3,FALSE)="","",VLOOKUP($AP168, CONTRATOS!B:K, 3,FALSE)))</f>
        <v/>
      </c>
      <c r="AV168" s="189" t="str">
        <f>IF(OR($B168="", $AP168 = ""), "", IF(VLOOKUP($AP168, CONTRATOS!B:K,4,FALSE)="","",VLOOKUP($AP168, CONTRATOS!B:K,4, FALSE)))</f>
        <v/>
      </c>
      <c r="AW168" s="190" t="str">
        <f t="shared" si="98"/>
        <v/>
      </c>
      <c r="AX168" s="189" t="str">
        <f t="shared" si="99"/>
        <v/>
      </c>
      <c r="AY168" s="189" t="str">
        <f t="shared" si="100"/>
        <v/>
      </c>
      <c r="AZ168" s="189" t="str">
        <f t="shared" si="101"/>
        <v/>
      </c>
      <c r="BA168" s="189" t="str">
        <f t="shared" si="102"/>
        <v/>
      </c>
      <c r="BB168" s="191">
        <f t="shared" si="117"/>
        <v>0</v>
      </c>
      <c r="BC168" s="191" t="str">
        <f t="shared" si="118"/>
        <v/>
      </c>
      <c r="BD168" s="191" t="str">
        <f t="shared" si="119"/>
        <v/>
      </c>
      <c r="BF168" s="192">
        <f t="shared" si="120"/>
        <v>0</v>
      </c>
      <c r="BG168" s="192">
        <f t="shared" si="121"/>
        <v>0</v>
      </c>
      <c r="BH168" s="192" t="str">
        <f>IF( $B168="", "", IF(ISNA(VLOOKUP($C168, Defesa!$C$7:$C$29,1,FALSE)),1,0))</f>
        <v/>
      </c>
      <c r="BI168" s="193" t="str">
        <f t="shared" si="122"/>
        <v/>
      </c>
      <c r="BJ168" s="193" t="str">
        <f>IF($B168="", "", IF( AND( $AI168="ESTIMATIVA", OR( Defesa!$F$7 = "AUTOMÁTICA", Defesa!$F$7 ="100% BASELINE")), 1, 0))</f>
        <v/>
      </c>
      <c r="BK168" s="192" t="str">
        <f t="shared" ref="BK168:BK199" si="137">IF($B168="", "", IF(COUNTIFS($AB:$AB, $AB168,$B:$B, $B168)&gt;1, 1, 0))</f>
        <v/>
      </c>
      <c r="BL168" s="192">
        <f t="shared" si="123"/>
        <v>0</v>
      </c>
      <c r="BM168" s="192" t="str">
        <f>IF($AC168="", "", IF(ISNA(VLOOKUP($AC168, TABELAS!$Q:$Q, 1, FALSE)), 1, 0))</f>
        <v/>
      </c>
      <c r="BN168" s="194" t="str">
        <f t="shared" ref="BN168:BN199" si="138">IF($B168= "", "", IF( SUMIFS($AW:$AW,$C:$C, $C168,$D:$D, $D168,$E:$E, $E168) = 1, 0, 1))</f>
        <v/>
      </c>
      <c r="BO168" s="192" t="str">
        <f t="shared" si="124"/>
        <v/>
      </c>
      <c r="BP168" s="192" t="str">
        <f t="shared" si="125"/>
        <v/>
      </c>
      <c r="BQ168" s="193" t="str">
        <f t="shared" si="126"/>
        <v/>
      </c>
      <c r="BR168" s="192" t="str">
        <f t="shared" si="127"/>
        <v/>
      </c>
      <c r="BS168" s="192" t="str">
        <f t="shared" si="128"/>
        <v/>
      </c>
      <c r="BT168" s="192" t="str">
        <f>IF(OR($B168="", $AH168 = "SIM"), "", IF( ISNA(VLOOKUP($AP168,#REF!, 1, FALSE)), 1, 0))</f>
        <v/>
      </c>
      <c r="BU168" s="192" t="str">
        <f t="shared" si="129"/>
        <v/>
      </c>
      <c r="BV168" s="192" t="str">
        <f>IF( $B168="", "", IF( ISNA(VLOOKUP($AN168, TABELAS!$T$2:$T$9,1,FALSE)), 1, 0))</f>
        <v/>
      </c>
      <c r="BW168" s="192" t="str">
        <f t="shared" si="130"/>
        <v/>
      </c>
      <c r="BX168" s="192" t="str">
        <f>IF( OR($B168="", $AH168 = "SIM"), "", IF( ISNA( VLOOKUP( $AQ168, SISTEMA!$B:$B, 1, FALSE)), 1, 0))</f>
        <v/>
      </c>
      <c r="BY168" s="193" t="str">
        <f t="shared" si="131"/>
        <v/>
      </c>
      <c r="BZ168" s="193" t="str">
        <f t="shared" si="132"/>
        <v/>
      </c>
      <c r="CA168" s="192" t="str">
        <f t="shared" si="133"/>
        <v/>
      </c>
      <c r="CB168" s="193" t="str">
        <f t="shared" si="134"/>
        <v/>
      </c>
      <c r="CC168" s="193" t="str">
        <f t="shared" si="135"/>
        <v/>
      </c>
      <c r="CD168" s="193" t="str">
        <f t="shared" si="136"/>
        <v/>
      </c>
    </row>
    <row r="169" spans="1:82" x14ac:dyDescent="0.2">
      <c r="A169" s="140"/>
      <c r="B169" s="141" t="str">
        <f t="shared" si="105"/>
        <v/>
      </c>
      <c r="C169" s="142" t="str">
        <f t="shared" si="93"/>
        <v/>
      </c>
      <c r="D169" s="142" t="str">
        <f t="shared" si="106"/>
        <v/>
      </c>
      <c r="E169" s="142" t="str">
        <f>IF($C169="", "", COUNTIF($M$8:$M169,$D169))</f>
        <v/>
      </c>
      <c r="F169" s="254">
        <v>162</v>
      </c>
      <c r="G169" s="143"/>
      <c r="H169" s="144"/>
      <c r="I169" s="144"/>
      <c r="J169" s="145"/>
      <c r="K169" s="144"/>
      <c r="L169" s="144"/>
      <c r="M169" s="144"/>
      <c r="N169" s="146"/>
      <c r="O169" s="147"/>
      <c r="P169" s="147"/>
      <c r="Q169" s="147"/>
      <c r="R169" s="147"/>
      <c r="S169" s="147"/>
      <c r="T169" s="149"/>
      <c r="U169" s="150" t="str">
        <f>IF($T169="", "", VLOOKUP($T169, CONTRATOS!$B:$E, 2, FALSE))</f>
        <v/>
      </c>
      <c r="V169" s="151">
        <f>IF(OR($T169="",TB_DEFESA!$C$2="CARGA BASELINE"),0,
   IF(VLOOKUP($T169, CONTRATOS!B:E, 3, FALSE)&lt;&gt;"",1,IF(VLOOKUP($T169, CONTRATOS!B:E, 4, FALSE)&lt;&gt;"",2,0)))</f>
        <v>0</v>
      </c>
      <c r="W169" s="152"/>
      <c r="X169" s="152"/>
      <c r="Y169" s="153"/>
      <c r="Z169" s="154"/>
      <c r="AA169" s="155"/>
      <c r="AB169" s="156"/>
      <c r="AC169" s="157"/>
      <c r="AD169" s="155"/>
      <c r="AE169" s="158" t="str">
        <f t="shared" si="94"/>
        <v/>
      </c>
      <c r="AF169" s="160" t="str">
        <f t="shared" si="107"/>
        <v/>
      </c>
      <c r="AG169" s="182" t="s">
        <v>59</v>
      </c>
      <c r="AH169" s="183" t="str">
        <f t="shared" si="108"/>
        <v/>
      </c>
      <c r="AI169" s="183" t="str">
        <f t="shared" si="109"/>
        <v/>
      </c>
      <c r="AJ169" s="184" t="str">
        <f t="shared" si="110"/>
        <v/>
      </c>
      <c r="AK169" s="185" t="str">
        <f t="shared" si="111"/>
        <v/>
      </c>
      <c r="AL169" s="186"/>
      <c r="AM169" s="183" t="str">
        <f t="shared" si="112"/>
        <v/>
      </c>
      <c r="AN169" s="183" t="str">
        <f t="shared" si="113"/>
        <v/>
      </c>
      <c r="AO169" s="186" t="str">
        <f t="shared" si="114"/>
        <v/>
      </c>
      <c r="AP169" s="187" t="str">
        <f t="shared" si="115"/>
        <v/>
      </c>
      <c r="AQ169" s="187" t="str">
        <f t="shared" si="116"/>
        <v/>
      </c>
      <c r="AR169" s="188" t="str">
        <f t="shared" si="95"/>
        <v/>
      </c>
      <c r="AS169" s="188" t="str">
        <f t="shared" si="96"/>
        <v/>
      </c>
      <c r="AT169" s="183" t="str">
        <f t="shared" si="97"/>
        <v/>
      </c>
      <c r="AU169" s="189" t="str">
        <f>IF(OR($B169="", $AP169= ""),"",IF(VLOOKUP($AP169, CONTRATOS!B:K,3,FALSE)="","",VLOOKUP($AP169, CONTRATOS!B:K, 3,FALSE)))</f>
        <v/>
      </c>
      <c r="AV169" s="189" t="str">
        <f>IF(OR($B169="", $AP169 = ""), "", IF(VLOOKUP($AP169, CONTRATOS!B:K,4,FALSE)="","",VLOOKUP($AP169, CONTRATOS!B:K,4, FALSE)))</f>
        <v/>
      </c>
      <c r="AW169" s="190" t="str">
        <f t="shared" si="98"/>
        <v/>
      </c>
      <c r="AX169" s="189" t="str">
        <f t="shared" si="99"/>
        <v/>
      </c>
      <c r="AY169" s="189" t="str">
        <f t="shared" si="100"/>
        <v/>
      </c>
      <c r="AZ169" s="189" t="str">
        <f t="shared" si="101"/>
        <v/>
      </c>
      <c r="BA169" s="189" t="str">
        <f t="shared" si="102"/>
        <v/>
      </c>
      <c r="BB169" s="191">
        <f t="shared" si="117"/>
        <v>0</v>
      </c>
      <c r="BC169" s="191" t="str">
        <f t="shared" si="118"/>
        <v/>
      </c>
      <c r="BD169" s="191" t="str">
        <f t="shared" si="119"/>
        <v/>
      </c>
      <c r="BF169" s="192">
        <f t="shared" si="120"/>
        <v>0</v>
      </c>
      <c r="BG169" s="192">
        <f t="shared" si="121"/>
        <v>0</v>
      </c>
      <c r="BH169" s="192" t="str">
        <f>IF( $B169="", "", IF(ISNA(VLOOKUP($C169, Defesa!$C$7:$C$29,1,FALSE)),1,0))</f>
        <v/>
      </c>
      <c r="BI169" s="193" t="str">
        <f t="shared" si="122"/>
        <v/>
      </c>
      <c r="BJ169" s="193" t="str">
        <f>IF($B169="", "", IF( AND( $AI169="ESTIMATIVA", OR( Defesa!$F$7 = "AUTOMÁTICA", Defesa!$F$7 ="100% BASELINE")), 1, 0))</f>
        <v/>
      </c>
      <c r="BK169" s="192" t="str">
        <f t="shared" si="137"/>
        <v/>
      </c>
      <c r="BL169" s="192">
        <f t="shared" si="123"/>
        <v>0</v>
      </c>
      <c r="BM169" s="192" t="str">
        <f>IF($AC169="", "", IF(ISNA(VLOOKUP($AC169, TABELAS!$Q:$Q, 1, FALSE)), 1, 0))</f>
        <v/>
      </c>
      <c r="BN169" s="194" t="str">
        <f t="shared" si="138"/>
        <v/>
      </c>
      <c r="BO169" s="192" t="str">
        <f t="shared" si="124"/>
        <v/>
      </c>
      <c r="BP169" s="192" t="str">
        <f t="shared" si="125"/>
        <v/>
      </c>
      <c r="BQ169" s="193" t="str">
        <f t="shared" si="126"/>
        <v/>
      </c>
      <c r="BR169" s="192" t="str">
        <f t="shared" si="127"/>
        <v/>
      </c>
      <c r="BS169" s="192" t="str">
        <f t="shared" si="128"/>
        <v/>
      </c>
      <c r="BT169" s="192" t="str">
        <f>IF(OR($B169="", $AH169 = "SIM"), "", IF( ISNA(VLOOKUP($AP169,#REF!, 1, FALSE)), 1, 0))</f>
        <v/>
      </c>
      <c r="BU169" s="192" t="str">
        <f t="shared" si="129"/>
        <v/>
      </c>
      <c r="BV169" s="192" t="str">
        <f>IF( $B169="", "", IF( ISNA(VLOOKUP($AN169, TABELAS!$T$2:$T$9,1,FALSE)), 1, 0))</f>
        <v/>
      </c>
      <c r="BW169" s="192" t="str">
        <f t="shared" si="130"/>
        <v/>
      </c>
      <c r="BX169" s="192" t="str">
        <f>IF( OR($B169="", $AH169 = "SIM"), "", IF( ISNA( VLOOKUP( $AQ169, SISTEMA!$B:$B, 1, FALSE)), 1, 0))</f>
        <v/>
      </c>
      <c r="BY169" s="193" t="str">
        <f t="shared" si="131"/>
        <v/>
      </c>
      <c r="BZ169" s="193" t="str">
        <f t="shared" si="132"/>
        <v/>
      </c>
      <c r="CA169" s="192" t="str">
        <f t="shared" si="133"/>
        <v/>
      </c>
      <c r="CB169" s="193" t="str">
        <f t="shared" si="134"/>
        <v/>
      </c>
      <c r="CC169" s="193" t="str">
        <f t="shared" si="135"/>
        <v/>
      </c>
      <c r="CD169" s="193" t="str">
        <f t="shared" si="136"/>
        <v/>
      </c>
    </row>
    <row r="170" spans="1:82" x14ac:dyDescent="0.2">
      <c r="A170" s="140"/>
      <c r="B170" s="141" t="str">
        <f t="shared" si="105"/>
        <v/>
      </c>
      <c r="C170" s="142" t="str">
        <f t="shared" si="93"/>
        <v/>
      </c>
      <c r="D170" s="142" t="str">
        <f t="shared" si="106"/>
        <v/>
      </c>
      <c r="E170" s="142" t="str">
        <f>IF($C170="", "", COUNTIF($M$8:$M170,$D170))</f>
        <v/>
      </c>
      <c r="F170" s="254">
        <v>163</v>
      </c>
      <c r="G170" s="143"/>
      <c r="H170" s="144"/>
      <c r="I170" s="144"/>
      <c r="J170" s="145"/>
      <c r="K170" s="144"/>
      <c r="L170" s="144"/>
      <c r="M170" s="144"/>
      <c r="N170" s="146"/>
      <c r="O170" s="147"/>
      <c r="P170" s="147"/>
      <c r="Q170" s="147"/>
      <c r="R170" s="147"/>
      <c r="S170" s="147"/>
      <c r="T170" s="149"/>
      <c r="U170" s="150" t="str">
        <f>IF($T170="", "", VLOOKUP($T170, CONTRATOS!$B:$E, 2, FALSE))</f>
        <v/>
      </c>
      <c r="V170" s="151">
        <f>IF(OR($T170="",TB_DEFESA!$C$2="CARGA BASELINE"),0,
   IF(VLOOKUP($T170, CONTRATOS!B:E, 3, FALSE)&lt;&gt;"",1,IF(VLOOKUP($T170, CONTRATOS!B:E, 4, FALSE)&lt;&gt;"",2,0)))</f>
        <v>0</v>
      </c>
      <c r="W170" s="152"/>
      <c r="X170" s="152"/>
      <c r="Y170" s="153"/>
      <c r="Z170" s="154"/>
      <c r="AA170" s="155"/>
      <c r="AB170" s="156"/>
      <c r="AC170" s="157"/>
      <c r="AD170" s="155"/>
      <c r="AE170" s="158" t="str">
        <f t="shared" si="94"/>
        <v/>
      </c>
      <c r="AF170" s="160" t="str">
        <f t="shared" si="107"/>
        <v/>
      </c>
      <c r="AG170" s="182" t="s">
        <v>59</v>
      </c>
      <c r="AH170" s="183" t="str">
        <f t="shared" si="108"/>
        <v/>
      </c>
      <c r="AI170" s="183" t="str">
        <f t="shared" si="109"/>
        <v/>
      </c>
      <c r="AJ170" s="184" t="str">
        <f t="shared" si="110"/>
        <v/>
      </c>
      <c r="AK170" s="185" t="str">
        <f t="shared" si="111"/>
        <v/>
      </c>
      <c r="AL170" s="186"/>
      <c r="AM170" s="183" t="str">
        <f t="shared" si="112"/>
        <v/>
      </c>
      <c r="AN170" s="183" t="str">
        <f t="shared" si="113"/>
        <v/>
      </c>
      <c r="AO170" s="186" t="str">
        <f t="shared" si="114"/>
        <v/>
      </c>
      <c r="AP170" s="187" t="str">
        <f t="shared" si="115"/>
        <v/>
      </c>
      <c r="AQ170" s="187" t="str">
        <f t="shared" si="116"/>
        <v/>
      </c>
      <c r="AR170" s="188" t="str">
        <f t="shared" si="95"/>
        <v/>
      </c>
      <c r="AS170" s="188" t="str">
        <f t="shared" si="96"/>
        <v/>
      </c>
      <c r="AT170" s="183" t="str">
        <f t="shared" si="97"/>
        <v/>
      </c>
      <c r="AU170" s="189" t="str">
        <f>IF(OR($B170="", $AP170= ""),"",IF(VLOOKUP($AP170, CONTRATOS!B:K,3,FALSE)="","",VLOOKUP($AP170, CONTRATOS!B:K, 3,FALSE)))</f>
        <v/>
      </c>
      <c r="AV170" s="189" t="str">
        <f>IF(OR($B170="", $AP170 = ""), "", IF(VLOOKUP($AP170, CONTRATOS!B:K,4,FALSE)="","",VLOOKUP($AP170, CONTRATOS!B:K,4, FALSE)))</f>
        <v/>
      </c>
      <c r="AW170" s="190" t="str">
        <f t="shared" si="98"/>
        <v/>
      </c>
      <c r="AX170" s="189" t="str">
        <f t="shared" si="99"/>
        <v/>
      </c>
      <c r="AY170" s="189" t="str">
        <f t="shared" si="100"/>
        <v/>
      </c>
      <c r="AZ170" s="189" t="str">
        <f t="shared" si="101"/>
        <v/>
      </c>
      <c r="BA170" s="189" t="str">
        <f t="shared" si="102"/>
        <v/>
      </c>
      <c r="BB170" s="191">
        <f t="shared" si="117"/>
        <v>0</v>
      </c>
      <c r="BC170" s="191" t="str">
        <f t="shared" si="118"/>
        <v/>
      </c>
      <c r="BD170" s="191" t="str">
        <f t="shared" si="119"/>
        <v/>
      </c>
      <c r="BF170" s="192">
        <f t="shared" si="120"/>
        <v>0</v>
      </c>
      <c r="BG170" s="192">
        <f t="shared" si="121"/>
        <v>0</v>
      </c>
      <c r="BH170" s="192" t="str">
        <f>IF( $B170="", "", IF(ISNA(VLOOKUP($C170, Defesa!$C$7:$C$29,1,FALSE)),1,0))</f>
        <v/>
      </c>
      <c r="BI170" s="193" t="str">
        <f t="shared" si="122"/>
        <v/>
      </c>
      <c r="BJ170" s="193" t="str">
        <f>IF($B170="", "", IF( AND( $AI170="ESTIMATIVA", OR( Defesa!$F$7 = "AUTOMÁTICA", Defesa!$F$7 ="100% BASELINE")), 1, 0))</f>
        <v/>
      </c>
      <c r="BK170" s="192" t="str">
        <f t="shared" si="137"/>
        <v/>
      </c>
      <c r="BL170" s="192">
        <f t="shared" si="123"/>
        <v>0</v>
      </c>
      <c r="BM170" s="192" t="str">
        <f>IF($AC170="", "", IF(ISNA(VLOOKUP($AC170, TABELAS!$Q:$Q, 1, FALSE)), 1, 0))</f>
        <v/>
      </c>
      <c r="BN170" s="194" t="str">
        <f t="shared" si="138"/>
        <v/>
      </c>
      <c r="BO170" s="192" t="str">
        <f t="shared" si="124"/>
        <v/>
      </c>
      <c r="BP170" s="192" t="str">
        <f t="shared" si="125"/>
        <v/>
      </c>
      <c r="BQ170" s="193" t="str">
        <f t="shared" si="126"/>
        <v/>
      </c>
      <c r="BR170" s="192" t="str">
        <f t="shared" si="127"/>
        <v/>
      </c>
      <c r="BS170" s="192" t="str">
        <f t="shared" si="128"/>
        <v/>
      </c>
      <c r="BT170" s="192" t="str">
        <f>IF(OR($B170="", $AH170 = "SIM"), "", IF( ISNA(VLOOKUP($AP170,#REF!, 1, FALSE)), 1, 0))</f>
        <v/>
      </c>
      <c r="BU170" s="192" t="str">
        <f t="shared" si="129"/>
        <v/>
      </c>
      <c r="BV170" s="192" t="str">
        <f>IF( $B170="", "", IF( ISNA(VLOOKUP($AN170, TABELAS!$T$2:$T$9,1,FALSE)), 1, 0))</f>
        <v/>
      </c>
      <c r="BW170" s="192" t="str">
        <f t="shared" si="130"/>
        <v/>
      </c>
      <c r="BX170" s="192" t="str">
        <f>IF( OR($B170="", $AH170 = "SIM"), "", IF( ISNA( VLOOKUP( $AQ170, SISTEMA!$B:$B, 1, FALSE)), 1, 0))</f>
        <v/>
      </c>
      <c r="BY170" s="193" t="str">
        <f t="shared" si="131"/>
        <v/>
      </c>
      <c r="BZ170" s="193" t="str">
        <f t="shared" si="132"/>
        <v/>
      </c>
      <c r="CA170" s="192" t="str">
        <f t="shared" si="133"/>
        <v/>
      </c>
      <c r="CB170" s="193" t="str">
        <f t="shared" si="134"/>
        <v/>
      </c>
      <c r="CC170" s="193" t="str">
        <f t="shared" si="135"/>
        <v/>
      </c>
      <c r="CD170" s="193" t="str">
        <f t="shared" si="136"/>
        <v/>
      </c>
    </row>
    <row r="171" spans="1:82" x14ac:dyDescent="0.2">
      <c r="A171" s="140"/>
      <c r="B171" s="141" t="str">
        <f t="shared" si="105"/>
        <v/>
      </c>
      <c r="C171" s="142" t="str">
        <f t="shared" si="93"/>
        <v/>
      </c>
      <c r="D171" s="142" t="str">
        <f t="shared" si="106"/>
        <v/>
      </c>
      <c r="E171" s="142" t="str">
        <f>IF($C171="", "", COUNTIF($M$8:$M171,$D171))</f>
        <v/>
      </c>
      <c r="F171" s="254">
        <v>164</v>
      </c>
      <c r="G171" s="143"/>
      <c r="H171" s="144"/>
      <c r="I171" s="144"/>
      <c r="J171" s="145"/>
      <c r="K171" s="144"/>
      <c r="L171" s="144"/>
      <c r="M171" s="144"/>
      <c r="N171" s="146"/>
      <c r="O171" s="147"/>
      <c r="P171" s="147"/>
      <c r="Q171" s="147"/>
      <c r="R171" s="147"/>
      <c r="S171" s="147"/>
      <c r="T171" s="149"/>
      <c r="U171" s="150" t="str">
        <f>IF($T171="", "", VLOOKUP($T171, CONTRATOS!$B:$E, 2, FALSE))</f>
        <v/>
      </c>
      <c r="V171" s="151">
        <f>IF(OR($T171="",TB_DEFESA!$C$2="CARGA BASELINE"),0,
   IF(VLOOKUP($T171, CONTRATOS!B:E, 3, FALSE)&lt;&gt;"",1,IF(VLOOKUP($T171, CONTRATOS!B:E, 4, FALSE)&lt;&gt;"",2,0)))</f>
        <v>0</v>
      </c>
      <c r="W171" s="152"/>
      <c r="X171" s="152"/>
      <c r="Y171" s="153"/>
      <c r="Z171" s="154"/>
      <c r="AA171" s="155"/>
      <c r="AB171" s="156"/>
      <c r="AC171" s="157"/>
      <c r="AD171" s="155"/>
      <c r="AE171" s="158" t="str">
        <f t="shared" si="94"/>
        <v/>
      </c>
      <c r="AF171" s="160" t="str">
        <f t="shared" si="107"/>
        <v/>
      </c>
      <c r="AG171" s="182" t="s">
        <v>59</v>
      </c>
      <c r="AH171" s="183" t="str">
        <f t="shared" si="108"/>
        <v/>
      </c>
      <c r="AI171" s="183" t="str">
        <f t="shared" si="109"/>
        <v/>
      </c>
      <c r="AJ171" s="184" t="str">
        <f t="shared" si="110"/>
        <v/>
      </c>
      <c r="AK171" s="185" t="str">
        <f t="shared" si="111"/>
        <v/>
      </c>
      <c r="AL171" s="186"/>
      <c r="AM171" s="183" t="str">
        <f t="shared" si="112"/>
        <v/>
      </c>
      <c r="AN171" s="183" t="str">
        <f t="shared" si="113"/>
        <v/>
      </c>
      <c r="AO171" s="186" t="str">
        <f t="shared" si="114"/>
        <v/>
      </c>
      <c r="AP171" s="187" t="str">
        <f t="shared" si="115"/>
        <v/>
      </c>
      <c r="AQ171" s="187" t="str">
        <f t="shared" si="116"/>
        <v/>
      </c>
      <c r="AR171" s="188" t="str">
        <f t="shared" si="95"/>
        <v/>
      </c>
      <c r="AS171" s="188" t="str">
        <f t="shared" si="96"/>
        <v/>
      </c>
      <c r="AT171" s="183" t="str">
        <f t="shared" si="97"/>
        <v/>
      </c>
      <c r="AU171" s="189" t="str">
        <f>IF(OR($B171="", $AP171= ""),"",IF(VLOOKUP($AP171, CONTRATOS!B:K,3,FALSE)="","",VLOOKUP($AP171, CONTRATOS!B:K, 3,FALSE)))</f>
        <v/>
      </c>
      <c r="AV171" s="189" t="str">
        <f>IF(OR($B171="", $AP171 = ""), "", IF(VLOOKUP($AP171, CONTRATOS!B:K,4,FALSE)="","",VLOOKUP($AP171, CONTRATOS!B:K,4, FALSE)))</f>
        <v/>
      </c>
      <c r="AW171" s="190" t="str">
        <f t="shared" si="98"/>
        <v/>
      </c>
      <c r="AX171" s="189" t="str">
        <f t="shared" si="99"/>
        <v/>
      </c>
      <c r="AY171" s="189" t="str">
        <f t="shared" si="100"/>
        <v/>
      </c>
      <c r="AZ171" s="189" t="str">
        <f t="shared" si="101"/>
        <v/>
      </c>
      <c r="BA171" s="189" t="str">
        <f t="shared" si="102"/>
        <v/>
      </c>
      <c r="BB171" s="191">
        <f t="shared" si="117"/>
        <v>0</v>
      </c>
      <c r="BC171" s="191" t="str">
        <f t="shared" si="118"/>
        <v/>
      </c>
      <c r="BD171" s="191" t="str">
        <f t="shared" si="119"/>
        <v/>
      </c>
      <c r="BF171" s="192">
        <f t="shared" si="120"/>
        <v>0</v>
      </c>
      <c r="BG171" s="192">
        <f t="shared" si="121"/>
        <v>0</v>
      </c>
      <c r="BH171" s="192" t="str">
        <f>IF( $B171="", "", IF(ISNA(VLOOKUP($C171, Defesa!$C$7:$C$29,1,FALSE)),1,0))</f>
        <v/>
      </c>
      <c r="BI171" s="193" t="str">
        <f t="shared" si="122"/>
        <v/>
      </c>
      <c r="BJ171" s="193" t="str">
        <f>IF($B171="", "", IF( AND( $AI171="ESTIMATIVA", OR( Defesa!$F$7 = "AUTOMÁTICA", Defesa!$F$7 ="100% BASELINE")), 1, 0))</f>
        <v/>
      </c>
      <c r="BK171" s="192" t="str">
        <f t="shared" si="137"/>
        <v/>
      </c>
      <c r="BL171" s="192">
        <f t="shared" si="123"/>
        <v>0</v>
      </c>
      <c r="BM171" s="192" t="str">
        <f>IF($AC171="", "", IF(ISNA(VLOOKUP($AC171, TABELAS!$Q:$Q, 1, FALSE)), 1, 0))</f>
        <v/>
      </c>
      <c r="BN171" s="194" t="str">
        <f t="shared" si="138"/>
        <v/>
      </c>
      <c r="BO171" s="192" t="str">
        <f t="shared" si="124"/>
        <v/>
      </c>
      <c r="BP171" s="192" t="str">
        <f t="shared" si="125"/>
        <v/>
      </c>
      <c r="BQ171" s="193" t="str">
        <f t="shared" si="126"/>
        <v/>
      </c>
      <c r="BR171" s="192" t="str">
        <f t="shared" si="127"/>
        <v/>
      </c>
      <c r="BS171" s="192" t="str">
        <f t="shared" si="128"/>
        <v/>
      </c>
      <c r="BT171" s="192" t="str">
        <f>IF(OR($B171="", $AH171 = "SIM"), "", IF( ISNA(VLOOKUP($AP171,#REF!, 1, FALSE)), 1, 0))</f>
        <v/>
      </c>
      <c r="BU171" s="192" t="str">
        <f t="shared" si="129"/>
        <v/>
      </c>
      <c r="BV171" s="192" t="str">
        <f>IF( $B171="", "", IF( ISNA(VLOOKUP($AN171, TABELAS!$T$2:$T$9,1,FALSE)), 1, 0))</f>
        <v/>
      </c>
      <c r="BW171" s="192" t="str">
        <f t="shared" si="130"/>
        <v/>
      </c>
      <c r="BX171" s="192" t="str">
        <f>IF( OR($B171="", $AH171 = "SIM"), "", IF( ISNA( VLOOKUP( $AQ171, SISTEMA!$B:$B, 1, FALSE)), 1, 0))</f>
        <v/>
      </c>
      <c r="BY171" s="193" t="str">
        <f t="shared" si="131"/>
        <v/>
      </c>
      <c r="BZ171" s="193" t="str">
        <f t="shared" si="132"/>
        <v/>
      </c>
      <c r="CA171" s="192" t="str">
        <f t="shared" si="133"/>
        <v/>
      </c>
      <c r="CB171" s="193" t="str">
        <f t="shared" si="134"/>
        <v/>
      </c>
      <c r="CC171" s="193" t="str">
        <f t="shared" si="135"/>
        <v/>
      </c>
      <c r="CD171" s="193" t="str">
        <f t="shared" si="136"/>
        <v/>
      </c>
    </row>
    <row r="172" spans="1:82" x14ac:dyDescent="0.2">
      <c r="A172" s="140"/>
      <c r="B172" s="141" t="str">
        <f t="shared" si="105"/>
        <v/>
      </c>
      <c r="C172" s="142" t="str">
        <f t="shared" si="93"/>
        <v/>
      </c>
      <c r="D172" s="142" t="str">
        <f t="shared" si="106"/>
        <v/>
      </c>
      <c r="E172" s="142" t="str">
        <f>IF($C172="", "", COUNTIF($M$8:$M172,$D172))</f>
        <v/>
      </c>
      <c r="F172" s="254">
        <v>165</v>
      </c>
      <c r="G172" s="143"/>
      <c r="H172" s="144"/>
      <c r="I172" s="144"/>
      <c r="J172" s="145"/>
      <c r="K172" s="144"/>
      <c r="L172" s="144"/>
      <c r="M172" s="144"/>
      <c r="N172" s="146"/>
      <c r="O172" s="147"/>
      <c r="P172" s="147"/>
      <c r="Q172" s="147"/>
      <c r="R172" s="147"/>
      <c r="S172" s="147"/>
      <c r="T172" s="149"/>
      <c r="U172" s="150" t="str">
        <f>IF($T172="", "", VLOOKUP($T172, CONTRATOS!$B:$E, 2, FALSE))</f>
        <v/>
      </c>
      <c r="V172" s="151">
        <f>IF(OR($T172="",TB_DEFESA!$C$2="CARGA BASELINE"),0,
   IF(VLOOKUP($T172, CONTRATOS!B:E, 3, FALSE)&lt;&gt;"",1,IF(VLOOKUP($T172, CONTRATOS!B:E, 4, FALSE)&lt;&gt;"",2,0)))</f>
        <v>0</v>
      </c>
      <c r="W172" s="152"/>
      <c r="X172" s="152"/>
      <c r="Y172" s="153"/>
      <c r="Z172" s="154"/>
      <c r="AA172" s="155"/>
      <c r="AB172" s="156"/>
      <c r="AC172" s="157"/>
      <c r="AD172" s="155"/>
      <c r="AE172" s="158" t="str">
        <f t="shared" si="94"/>
        <v/>
      </c>
      <c r="AF172" s="160" t="str">
        <f t="shared" si="107"/>
        <v/>
      </c>
      <c r="AG172" s="182" t="s">
        <v>59</v>
      </c>
      <c r="AH172" s="183" t="str">
        <f t="shared" si="108"/>
        <v/>
      </c>
      <c r="AI172" s="183" t="str">
        <f t="shared" si="109"/>
        <v/>
      </c>
      <c r="AJ172" s="184" t="str">
        <f t="shared" si="110"/>
        <v/>
      </c>
      <c r="AK172" s="185" t="str">
        <f t="shared" si="111"/>
        <v/>
      </c>
      <c r="AL172" s="186"/>
      <c r="AM172" s="183" t="str">
        <f t="shared" si="112"/>
        <v/>
      </c>
      <c r="AN172" s="183" t="str">
        <f t="shared" si="113"/>
        <v/>
      </c>
      <c r="AO172" s="186" t="str">
        <f t="shared" si="114"/>
        <v/>
      </c>
      <c r="AP172" s="187" t="str">
        <f t="shared" si="115"/>
        <v/>
      </c>
      <c r="AQ172" s="187" t="str">
        <f t="shared" si="116"/>
        <v/>
      </c>
      <c r="AR172" s="188" t="str">
        <f t="shared" si="95"/>
        <v/>
      </c>
      <c r="AS172" s="188" t="str">
        <f t="shared" si="96"/>
        <v/>
      </c>
      <c r="AT172" s="183" t="str">
        <f t="shared" si="97"/>
        <v/>
      </c>
      <c r="AU172" s="189" t="str">
        <f>IF(OR($B172="", $AP172= ""),"",IF(VLOOKUP($AP172, CONTRATOS!B:K,3,FALSE)="","",VLOOKUP($AP172, CONTRATOS!B:K, 3,FALSE)))</f>
        <v/>
      </c>
      <c r="AV172" s="189" t="str">
        <f>IF(OR($B172="", $AP172 = ""), "", IF(VLOOKUP($AP172, CONTRATOS!B:K,4,FALSE)="","",VLOOKUP($AP172, CONTRATOS!B:K,4, FALSE)))</f>
        <v/>
      </c>
      <c r="AW172" s="190" t="str">
        <f t="shared" si="98"/>
        <v/>
      </c>
      <c r="AX172" s="189" t="str">
        <f t="shared" si="99"/>
        <v/>
      </c>
      <c r="AY172" s="189" t="str">
        <f t="shared" si="100"/>
        <v/>
      </c>
      <c r="AZ172" s="189" t="str">
        <f t="shared" si="101"/>
        <v/>
      </c>
      <c r="BA172" s="189" t="str">
        <f t="shared" si="102"/>
        <v/>
      </c>
      <c r="BB172" s="191">
        <f t="shared" si="117"/>
        <v>0</v>
      </c>
      <c r="BC172" s="191" t="str">
        <f t="shared" si="118"/>
        <v/>
      </c>
      <c r="BD172" s="191" t="str">
        <f t="shared" si="119"/>
        <v/>
      </c>
      <c r="BF172" s="192">
        <f t="shared" si="120"/>
        <v>0</v>
      </c>
      <c r="BG172" s="192">
        <f t="shared" si="121"/>
        <v>0</v>
      </c>
      <c r="BH172" s="192" t="str">
        <f>IF( $B172="", "", IF(ISNA(VLOOKUP($C172, Defesa!$C$7:$C$29,1,FALSE)),1,0))</f>
        <v/>
      </c>
      <c r="BI172" s="193" t="str">
        <f t="shared" si="122"/>
        <v/>
      </c>
      <c r="BJ172" s="193" t="str">
        <f>IF($B172="", "", IF( AND( $AI172="ESTIMATIVA", OR( Defesa!$F$7 = "AUTOMÁTICA", Defesa!$F$7 ="100% BASELINE")), 1, 0))</f>
        <v/>
      </c>
      <c r="BK172" s="192" t="str">
        <f t="shared" si="137"/>
        <v/>
      </c>
      <c r="BL172" s="192">
        <f t="shared" si="123"/>
        <v>0</v>
      </c>
      <c r="BM172" s="192" t="str">
        <f>IF($AC172="", "", IF(ISNA(VLOOKUP($AC172, TABELAS!$Q:$Q, 1, FALSE)), 1, 0))</f>
        <v/>
      </c>
      <c r="BN172" s="194" t="str">
        <f t="shared" si="138"/>
        <v/>
      </c>
      <c r="BO172" s="192" t="str">
        <f t="shared" si="124"/>
        <v/>
      </c>
      <c r="BP172" s="192" t="str">
        <f t="shared" si="125"/>
        <v/>
      </c>
      <c r="BQ172" s="193" t="str">
        <f t="shared" si="126"/>
        <v/>
      </c>
      <c r="BR172" s="192" t="str">
        <f t="shared" si="127"/>
        <v/>
      </c>
      <c r="BS172" s="192" t="str">
        <f t="shared" si="128"/>
        <v/>
      </c>
      <c r="BT172" s="192" t="str">
        <f>IF(OR($B172="", $AH172 = "SIM"), "", IF( ISNA(VLOOKUP($AP172,#REF!, 1, FALSE)), 1, 0))</f>
        <v/>
      </c>
      <c r="BU172" s="192" t="str">
        <f t="shared" si="129"/>
        <v/>
      </c>
      <c r="BV172" s="192" t="str">
        <f>IF( $B172="", "", IF( ISNA(VLOOKUP($AN172, TABELAS!$T$2:$T$9,1,FALSE)), 1, 0))</f>
        <v/>
      </c>
      <c r="BW172" s="192" t="str">
        <f t="shared" si="130"/>
        <v/>
      </c>
      <c r="BX172" s="192" t="str">
        <f>IF( OR($B172="", $AH172 = "SIM"), "", IF( ISNA( VLOOKUP( $AQ172, SISTEMA!$B:$B, 1, FALSE)), 1, 0))</f>
        <v/>
      </c>
      <c r="BY172" s="193" t="str">
        <f t="shared" si="131"/>
        <v/>
      </c>
      <c r="BZ172" s="193" t="str">
        <f t="shared" si="132"/>
        <v/>
      </c>
      <c r="CA172" s="192" t="str">
        <f t="shared" si="133"/>
        <v/>
      </c>
      <c r="CB172" s="193" t="str">
        <f t="shared" si="134"/>
        <v/>
      </c>
      <c r="CC172" s="193" t="str">
        <f t="shared" si="135"/>
        <v/>
      </c>
      <c r="CD172" s="193" t="str">
        <f t="shared" si="136"/>
        <v/>
      </c>
    </row>
    <row r="173" spans="1:82" x14ac:dyDescent="0.2">
      <c r="A173" s="140"/>
      <c r="B173" s="141" t="str">
        <f t="shared" si="105"/>
        <v/>
      </c>
      <c r="C173" s="142" t="str">
        <f t="shared" si="93"/>
        <v/>
      </c>
      <c r="D173" s="142" t="str">
        <f t="shared" si="106"/>
        <v/>
      </c>
      <c r="E173" s="142" t="str">
        <f>IF($C173="", "", COUNTIF($M$8:$M173,$D173))</f>
        <v/>
      </c>
      <c r="F173" s="254">
        <v>166</v>
      </c>
      <c r="G173" s="143"/>
      <c r="H173" s="144"/>
      <c r="I173" s="144"/>
      <c r="J173" s="145"/>
      <c r="K173" s="144"/>
      <c r="L173" s="144"/>
      <c r="M173" s="144"/>
      <c r="N173" s="146"/>
      <c r="O173" s="147"/>
      <c r="P173" s="147"/>
      <c r="Q173" s="147"/>
      <c r="R173" s="147"/>
      <c r="S173" s="147"/>
      <c r="T173" s="149"/>
      <c r="U173" s="150" t="str">
        <f>IF($T173="", "", VLOOKUP($T173, CONTRATOS!$B:$E, 2, FALSE))</f>
        <v/>
      </c>
      <c r="V173" s="151">
        <f>IF(OR($T173="",TB_DEFESA!$C$2="CARGA BASELINE"),0,
   IF(VLOOKUP($T173, CONTRATOS!B:E, 3, FALSE)&lt;&gt;"",1,IF(VLOOKUP($T173, CONTRATOS!B:E, 4, FALSE)&lt;&gt;"",2,0)))</f>
        <v>0</v>
      </c>
      <c r="W173" s="152"/>
      <c r="X173" s="152"/>
      <c r="Y173" s="153"/>
      <c r="Z173" s="154"/>
      <c r="AA173" s="155"/>
      <c r="AB173" s="156"/>
      <c r="AC173" s="157"/>
      <c r="AD173" s="155"/>
      <c r="AE173" s="158" t="str">
        <f t="shared" si="94"/>
        <v/>
      </c>
      <c r="AF173" s="160" t="str">
        <f t="shared" si="107"/>
        <v/>
      </c>
      <c r="AG173" s="182" t="s">
        <v>59</v>
      </c>
      <c r="AH173" s="183" t="str">
        <f t="shared" si="108"/>
        <v/>
      </c>
      <c r="AI173" s="183" t="str">
        <f t="shared" si="109"/>
        <v/>
      </c>
      <c r="AJ173" s="184" t="str">
        <f t="shared" si="110"/>
        <v/>
      </c>
      <c r="AK173" s="185" t="str">
        <f t="shared" si="111"/>
        <v/>
      </c>
      <c r="AL173" s="186"/>
      <c r="AM173" s="183" t="str">
        <f t="shared" si="112"/>
        <v/>
      </c>
      <c r="AN173" s="183" t="str">
        <f t="shared" si="113"/>
        <v/>
      </c>
      <c r="AO173" s="186" t="str">
        <f t="shared" si="114"/>
        <v/>
      </c>
      <c r="AP173" s="187" t="str">
        <f t="shared" si="115"/>
        <v/>
      </c>
      <c r="AQ173" s="187" t="str">
        <f t="shared" si="116"/>
        <v/>
      </c>
      <c r="AR173" s="188" t="str">
        <f t="shared" si="95"/>
        <v/>
      </c>
      <c r="AS173" s="188" t="str">
        <f t="shared" si="96"/>
        <v/>
      </c>
      <c r="AT173" s="183" t="str">
        <f t="shared" si="97"/>
        <v/>
      </c>
      <c r="AU173" s="189" t="str">
        <f>IF(OR($B173="", $AP173= ""),"",IF(VLOOKUP($AP173, CONTRATOS!B:K,3,FALSE)="","",VLOOKUP($AP173, CONTRATOS!B:K, 3,FALSE)))</f>
        <v/>
      </c>
      <c r="AV173" s="189" t="str">
        <f>IF(OR($B173="", $AP173 = ""), "", IF(VLOOKUP($AP173, CONTRATOS!B:K,4,FALSE)="","",VLOOKUP($AP173, CONTRATOS!B:K,4, FALSE)))</f>
        <v/>
      </c>
      <c r="AW173" s="190" t="str">
        <f t="shared" si="98"/>
        <v/>
      </c>
      <c r="AX173" s="189" t="str">
        <f t="shared" si="99"/>
        <v/>
      </c>
      <c r="AY173" s="189" t="str">
        <f t="shared" si="100"/>
        <v/>
      </c>
      <c r="AZ173" s="189" t="str">
        <f t="shared" si="101"/>
        <v/>
      </c>
      <c r="BA173" s="189" t="str">
        <f t="shared" si="102"/>
        <v/>
      </c>
      <c r="BB173" s="191">
        <f t="shared" si="117"/>
        <v>0</v>
      </c>
      <c r="BC173" s="191" t="str">
        <f t="shared" si="118"/>
        <v/>
      </c>
      <c r="BD173" s="191" t="str">
        <f t="shared" si="119"/>
        <v/>
      </c>
      <c r="BF173" s="192">
        <f t="shared" si="120"/>
        <v>0</v>
      </c>
      <c r="BG173" s="192">
        <f t="shared" si="121"/>
        <v>0</v>
      </c>
      <c r="BH173" s="192" t="str">
        <f>IF( $B173="", "", IF(ISNA(VLOOKUP($C173, Defesa!$C$7:$C$29,1,FALSE)),1,0))</f>
        <v/>
      </c>
      <c r="BI173" s="193" t="str">
        <f t="shared" si="122"/>
        <v/>
      </c>
      <c r="BJ173" s="193" t="str">
        <f>IF($B173="", "", IF( AND( $AI173="ESTIMATIVA", OR( Defesa!$F$7 = "AUTOMÁTICA", Defesa!$F$7 ="100% BASELINE")), 1, 0))</f>
        <v/>
      </c>
      <c r="BK173" s="192" t="str">
        <f t="shared" si="137"/>
        <v/>
      </c>
      <c r="BL173" s="192">
        <f t="shared" si="123"/>
        <v>0</v>
      </c>
      <c r="BM173" s="192" t="str">
        <f>IF($AC173="", "", IF(ISNA(VLOOKUP($AC173, TABELAS!$Q:$Q, 1, FALSE)), 1, 0))</f>
        <v/>
      </c>
      <c r="BN173" s="194" t="str">
        <f t="shared" si="138"/>
        <v/>
      </c>
      <c r="BO173" s="192" t="str">
        <f t="shared" si="124"/>
        <v/>
      </c>
      <c r="BP173" s="192" t="str">
        <f t="shared" si="125"/>
        <v/>
      </c>
      <c r="BQ173" s="193" t="str">
        <f t="shared" si="126"/>
        <v/>
      </c>
      <c r="BR173" s="192" t="str">
        <f t="shared" si="127"/>
        <v/>
      </c>
      <c r="BS173" s="192" t="str">
        <f t="shared" si="128"/>
        <v/>
      </c>
      <c r="BT173" s="192" t="str">
        <f>IF(OR($B173="", $AH173 = "SIM"), "", IF( ISNA(VLOOKUP($AP173,#REF!, 1, FALSE)), 1, 0))</f>
        <v/>
      </c>
      <c r="BU173" s="192" t="str">
        <f t="shared" si="129"/>
        <v/>
      </c>
      <c r="BV173" s="192" t="str">
        <f>IF( $B173="", "", IF( ISNA(VLOOKUP($AN173, TABELAS!$T$2:$T$9,1,FALSE)), 1, 0))</f>
        <v/>
      </c>
      <c r="BW173" s="192" t="str">
        <f t="shared" si="130"/>
        <v/>
      </c>
      <c r="BX173" s="192" t="str">
        <f>IF( OR($B173="", $AH173 = "SIM"), "", IF( ISNA( VLOOKUP( $AQ173, SISTEMA!$B:$B, 1, FALSE)), 1, 0))</f>
        <v/>
      </c>
      <c r="BY173" s="193" t="str">
        <f t="shared" si="131"/>
        <v/>
      </c>
      <c r="BZ173" s="193" t="str">
        <f t="shared" si="132"/>
        <v/>
      </c>
      <c r="CA173" s="192" t="str">
        <f t="shared" si="133"/>
        <v/>
      </c>
      <c r="CB173" s="193" t="str">
        <f t="shared" si="134"/>
        <v/>
      </c>
      <c r="CC173" s="193" t="str">
        <f t="shared" si="135"/>
        <v/>
      </c>
      <c r="CD173" s="193" t="str">
        <f t="shared" si="136"/>
        <v/>
      </c>
    </row>
    <row r="174" spans="1:82" x14ac:dyDescent="0.2">
      <c r="A174" s="140"/>
      <c r="B174" s="141" t="str">
        <f t="shared" si="105"/>
        <v/>
      </c>
      <c r="C174" s="142" t="str">
        <f t="shared" si="93"/>
        <v/>
      </c>
      <c r="D174" s="142" t="str">
        <f t="shared" si="106"/>
        <v/>
      </c>
      <c r="E174" s="142" t="str">
        <f>IF($C174="", "", COUNTIF($M$8:$M174,$D174))</f>
        <v/>
      </c>
      <c r="F174" s="254">
        <v>167</v>
      </c>
      <c r="G174" s="143"/>
      <c r="H174" s="144"/>
      <c r="I174" s="144"/>
      <c r="J174" s="145"/>
      <c r="K174" s="144"/>
      <c r="L174" s="144"/>
      <c r="M174" s="144"/>
      <c r="N174" s="146"/>
      <c r="O174" s="147"/>
      <c r="P174" s="147"/>
      <c r="Q174" s="147"/>
      <c r="R174" s="147"/>
      <c r="S174" s="147"/>
      <c r="T174" s="149"/>
      <c r="U174" s="150" t="str">
        <f>IF($T174="", "", VLOOKUP($T174, CONTRATOS!$B:$E, 2, FALSE))</f>
        <v/>
      </c>
      <c r="V174" s="151">
        <f>IF(OR($T174="",TB_DEFESA!$C$2="CARGA BASELINE"),0,
   IF(VLOOKUP($T174, CONTRATOS!B:E, 3, FALSE)&lt;&gt;"",1,IF(VLOOKUP($T174, CONTRATOS!B:E, 4, FALSE)&lt;&gt;"",2,0)))</f>
        <v>0</v>
      </c>
      <c r="W174" s="152"/>
      <c r="X174" s="152"/>
      <c r="Y174" s="153"/>
      <c r="Z174" s="154"/>
      <c r="AA174" s="155"/>
      <c r="AB174" s="156"/>
      <c r="AC174" s="157"/>
      <c r="AD174" s="155"/>
      <c r="AE174" s="158" t="str">
        <f t="shared" si="94"/>
        <v/>
      </c>
      <c r="AF174" s="160" t="str">
        <f t="shared" si="107"/>
        <v/>
      </c>
      <c r="AG174" s="182" t="s">
        <v>59</v>
      </c>
      <c r="AH174" s="183" t="str">
        <f t="shared" si="108"/>
        <v/>
      </c>
      <c r="AI174" s="183" t="str">
        <f t="shared" si="109"/>
        <v/>
      </c>
      <c r="AJ174" s="184" t="str">
        <f t="shared" si="110"/>
        <v/>
      </c>
      <c r="AK174" s="185" t="str">
        <f t="shared" si="111"/>
        <v/>
      </c>
      <c r="AL174" s="186"/>
      <c r="AM174" s="183" t="str">
        <f t="shared" si="112"/>
        <v/>
      </c>
      <c r="AN174" s="183" t="str">
        <f t="shared" si="113"/>
        <v/>
      </c>
      <c r="AO174" s="186" t="str">
        <f t="shared" si="114"/>
        <v/>
      </c>
      <c r="AP174" s="187" t="str">
        <f t="shared" si="115"/>
        <v/>
      </c>
      <c r="AQ174" s="187" t="str">
        <f t="shared" si="116"/>
        <v/>
      </c>
      <c r="AR174" s="188" t="str">
        <f t="shared" si="95"/>
        <v/>
      </c>
      <c r="AS174" s="188" t="str">
        <f t="shared" si="96"/>
        <v/>
      </c>
      <c r="AT174" s="183" t="str">
        <f t="shared" si="97"/>
        <v/>
      </c>
      <c r="AU174" s="189" t="str">
        <f>IF(OR($B174="", $AP174= ""),"",IF(VLOOKUP($AP174, CONTRATOS!B:K,3,FALSE)="","",VLOOKUP($AP174, CONTRATOS!B:K, 3,FALSE)))</f>
        <v/>
      </c>
      <c r="AV174" s="189" t="str">
        <f>IF(OR($B174="", $AP174 = ""), "", IF(VLOOKUP($AP174, CONTRATOS!B:K,4,FALSE)="","",VLOOKUP($AP174, CONTRATOS!B:K,4, FALSE)))</f>
        <v/>
      </c>
      <c r="AW174" s="190" t="str">
        <f t="shared" si="98"/>
        <v/>
      </c>
      <c r="AX174" s="189" t="str">
        <f t="shared" si="99"/>
        <v/>
      </c>
      <c r="AY174" s="189" t="str">
        <f t="shared" si="100"/>
        <v/>
      </c>
      <c r="AZ174" s="189" t="str">
        <f t="shared" si="101"/>
        <v/>
      </c>
      <c r="BA174" s="189" t="str">
        <f t="shared" si="102"/>
        <v/>
      </c>
      <c r="BB174" s="191">
        <f t="shared" si="117"/>
        <v>0</v>
      </c>
      <c r="BC174" s="191" t="str">
        <f t="shared" si="118"/>
        <v/>
      </c>
      <c r="BD174" s="191" t="str">
        <f t="shared" si="119"/>
        <v/>
      </c>
      <c r="BF174" s="192">
        <f t="shared" si="120"/>
        <v>0</v>
      </c>
      <c r="BG174" s="192">
        <f t="shared" si="121"/>
        <v>0</v>
      </c>
      <c r="BH174" s="192" t="str">
        <f>IF( $B174="", "", IF(ISNA(VLOOKUP($C174, Defesa!$C$7:$C$29,1,FALSE)),1,0))</f>
        <v/>
      </c>
      <c r="BI174" s="193" t="str">
        <f t="shared" si="122"/>
        <v/>
      </c>
      <c r="BJ174" s="193" t="str">
        <f>IF($B174="", "", IF( AND( $AI174="ESTIMATIVA", OR( Defesa!$F$7 = "AUTOMÁTICA", Defesa!$F$7 ="100% BASELINE")), 1, 0))</f>
        <v/>
      </c>
      <c r="BK174" s="192" t="str">
        <f t="shared" si="137"/>
        <v/>
      </c>
      <c r="BL174" s="192">
        <f t="shared" si="123"/>
        <v>0</v>
      </c>
      <c r="BM174" s="192" t="str">
        <f>IF($AC174="", "", IF(ISNA(VLOOKUP($AC174, TABELAS!$Q:$Q, 1, FALSE)), 1, 0))</f>
        <v/>
      </c>
      <c r="BN174" s="194" t="str">
        <f t="shared" si="138"/>
        <v/>
      </c>
      <c r="BO174" s="192" t="str">
        <f t="shared" si="124"/>
        <v/>
      </c>
      <c r="BP174" s="192" t="str">
        <f t="shared" si="125"/>
        <v/>
      </c>
      <c r="BQ174" s="193" t="str">
        <f t="shared" si="126"/>
        <v/>
      </c>
      <c r="BR174" s="192" t="str">
        <f t="shared" si="127"/>
        <v/>
      </c>
      <c r="BS174" s="192" t="str">
        <f t="shared" si="128"/>
        <v/>
      </c>
      <c r="BT174" s="192" t="str">
        <f>IF(OR($B174="", $AH174 = "SIM"), "", IF( ISNA(VLOOKUP($AP174,#REF!, 1, FALSE)), 1, 0))</f>
        <v/>
      </c>
      <c r="BU174" s="192" t="str">
        <f t="shared" si="129"/>
        <v/>
      </c>
      <c r="BV174" s="192" t="str">
        <f>IF( $B174="", "", IF( ISNA(VLOOKUP($AN174, TABELAS!$T$2:$T$9,1,FALSE)), 1, 0))</f>
        <v/>
      </c>
      <c r="BW174" s="192" t="str">
        <f t="shared" si="130"/>
        <v/>
      </c>
      <c r="BX174" s="192" t="str">
        <f>IF( OR($B174="", $AH174 = "SIM"), "", IF( ISNA( VLOOKUP( $AQ174, SISTEMA!$B:$B, 1, FALSE)), 1, 0))</f>
        <v/>
      </c>
      <c r="BY174" s="193" t="str">
        <f t="shared" si="131"/>
        <v/>
      </c>
      <c r="BZ174" s="193" t="str">
        <f t="shared" si="132"/>
        <v/>
      </c>
      <c r="CA174" s="192" t="str">
        <f t="shared" si="133"/>
        <v/>
      </c>
      <c r="CB174" s="193" t="str">
        <f t="shared" si="134"/>
        <v/>
      </c>
      <c r="CC174" s="193" t="str">
        <f t="shared" si="135"/>
        <v/>
      </c>
      <c r="CD174" s="193" t="str">
        <f t="shared" si="136"/>
        <v/>
      </c>
    </row>
    <row r="175" spans="1:82" x14ac:dyDescent="0.2">
      <c r="A175" s="140"/>
      <c r="B175" s="141" t="str">
        <f t="shared" si="105"/>
        <v/>
      </c>
      <c r="C175" s="142" t="str">
        <f t="shared" si="93"/>
        <v/>
      </c>
      <c r="D175" s="142" t="str">
        <f t="shared" si="106"/>
        <v/>
      </c>
      <c r="E175" s="142" t="str">
        <f>IF($C175="", "", COUNTIF($M$8:$M175,$D175))</f>
        <v/>
      </c>
      <c r="F175" s="254">
        <v>168</v>
      </c>
      <c r="G175" s="143"/>
      <c r="H175" s="144"/>
      <c r="I175" s="144"/>
      <c r="J175" s="145"/>
      <c r="K175" s="144"/>
      <c r="L175" s="144"/>
      <c r="M175" s="144"/>
      <c r="N175" s="146"/>
      <c r="O175" s="147"/>
      <c r="P175" s="147"/>
      <c r="Q175" s="147"/>
      <c r="R175" s="147"/>
      <c r="S175" s="147"/>
      <c r="T175" s="149"/>
      <c r="U175" s="150" t="str">
        <f>IF($T175="", "", VLOOKUP($T175, CONTRATOS!$B:$E, 2, FALSE))</f>
        <v/>
      </c>
      <c r="V175" s="151">
        <f>IF(OR($T175="",TB_DEFESA!$C$2="CARGA BASELINE"),0,
   IF(VLOOKUP($T175, CONTRATOS!B:E, 3, FALSE)&lt;&gt;"",1,IF(VLOOKUP($T175, CONTRATOS!B:E, 4, FALSE)&lt;&gt;"",2,0)))</f>
        <v>0</v>
      </c>
      <c r="W175" s="152"/>
      <c r="X175" s="152"/>
      <c r="Y175" s="153"/>
      <c r="Z175" s="154"/>
      <c r="AA175" s="155"/>
      <c r="AB175" s="156"/>
      <c r="AC175" s="157"/>
      <c r="AD175" s="155"/>
      <c r="AE175" s="158" t="str">
        <f t="shared" si="94"/>
        <v/>
      </c>
      <c r="AF175" s="160" t="str">
        <f t="shared" si="107"/>
        <v/>
      </c>
      <c r="AG175" s="182" t="s">
        <v>59</v>
      </c>
      <c r="AH175" s="183" t="str">
        <f t="shared" si="108"/>
        <v/>
      </c>
      <c r="AI175" s="183" t="str">
        <f t="shared" si="109"/>
        <v/>
      </c>
      <c r="AJ175" s="184" t="str">
        <f t="shared" si="110"/>
        <v/>
      </c>
      <c r="AK175" s="185" t="str">
        <f t="shared" si="111"/>
        <v/>
      </c>
      <c r="AL175" s="186"/>
      <c r="AM175" s="183" t="str">
        <f t="shared" si="112"/>
        <v/>
      </c>
      <c r="AN175" s="183" t="str">
        <f t="shared" si="113"/>
        <v/>
      </c>
      <c r="AO175" s="186" t="str">
        <f t="shared" si="114"/>
        <v/>
      </c>
      <c r="AP175" s="187" t="str">
        <f t="shared" si="115"/>
        <v/>
      </c>
      <c r="AQ175" s="187" t="str">
        <f t="shared" si="116"/>
        <v/>
      </c>
      <c r="AR175" s="188" t="str">
        <f t="shared" si="95"/>
        <v/>
      </c>
      <c r="AS175" s="188" t="str">
        <f t="shared" si="96"/>
        <v/>
      </c>
      <c r="AT175" s="183" t="str">
        <f t="shared" si="97"/>
        <v/>
      </c>
      <c r="AU175" s="189" t="str">
        <f>IF(OR($B175="", $AP175= ""),"",IF(VLOOKUP($AP175, CONTRATOS!B:K,3,FALSE)="","",VLOOKUP($AP175, CONTRATOS!B:K, 3,FALSE)))</f>
        <v/>
      </c>
      <c r="AV175" s="189" t="str">
        <f>IF(OR($B175="", $AP175 = ""), "", IF(VLOOKUP($AP175, CONTRATOS!B:K,4,FALSE)="","",VLOOKUP($AP175, CONTRATOS!B:K,4, FALSE)))</f>
        <v/>
      </c>
      <c r="AW175" s="190" t="str">
        <f t="shared" si="98"/>
        <v/>
      </c>
      <c r="AX175" s="189" t="str">
        <f t="shared" si="99"/>
        <v/>
      </c>
      <c r="AY175" s="189" t="str">
        <f t="shared" si="100"/>
        <v/>
      </c>
      <c r="AZ175" s="189" t="str">
        <f t="shared" si="101"/>
        <v/>
      </c>
      <c r="BA175" s="189" t="str">
        <f t="shared" si="102"/>
        <v/>
      </c>
      <c r="BB175" s="191">
        <f t="shared" si="117"/>
        <v>0</v>
      </c>
      <c r="BC175" s="191" t="str">
        <f t="shared" si="118"/>
        <v/>
      </c>
      <c r="BD175" s="191" t="str">
        <f t="shared" si="119"/>
        <v/>
      </c>
      <c r="BF175" s="192">
        <f t="shared" si="120"/>
        <v>0</v>
      </c>
      <c r="BG175" s="192">
        <f t="shared" si="121"/>
        <v>0</v>
      </c>
      <c r="BH175" s="192" t="str">
        <f>IF( $B175="", "", IF(ISNA(VLOOKUP($C175, Defesa!$C$7:$C$29,1,FALSE)),1,0))</f>
        <v/>
      </c>
      <c r="BI175" s="193" t="str">
        <f t="shared" si="122"/>
        <v/>
      </c>
      <c r="BJ175" s="193" t="str">
        <f>IF($B175="", "", IF( AND( $AI175="ESTIMATIVA", OR( Defesa!$F$7 = "AUTOMÁTICA", Defesa!$F$7 ="100% BASELINE")), 1, 0))</f>
        <v/>
      </c>
      <c r="BK175" s="192" t="str">
        <f t="shared" si="137"/>
        <v/>
      </c>
      <c r="BL175" s="192">
        <f t="shared" si="123"/>
        <v>0</v>
      </c>
      <c r="BM175" s="192" t="str">
        <f>IF($AC175="", "", IF(ISNA(VLOOKUP($AC175, TABELAS!$Q:$Q, 1, FALSE)), 1, 0))</f>
        <v/>
      </c>
      <c r="BN175" s="194" t="str">
        <f t="shared" si="138"/>
        <v/>
      </c>
      <c r="BO175" s="192" t="str">
        <f t="shared" si="124"/>
        <v/>
      </c>
      <c r="BP175" s="192" t="str">
        <f t="shared" si="125"/>
        <v/>
      </c>
      <c r="BQ175" s="193" t="str">
        <f t="shared" si="126"/>
        <v/>
      </c>
      <c r="BR175" s="192" t="str">
        <f t="shared" si="127"/>
        <v/>
      </c>
      <c r="BS175" s="192" t="str">
        <f t="shared" si="128"/>
        <v/>
      </c>
      <c r="BT175" s="192" t="str">
        <f>IF(OR($B175="", $AH175 = "SIM"), "", IF( ISNA(VLOOKUP($AP175,#REF!, 1, FALSE)), 1, 0))</f>
        <v/>
      </c>
      <c r="BU175" s="192" t="str">
        <f t="shared" si="129"/>
        <v/>
      </c>
      <c r="BV175" s="192" t="str">
        <f>IF( $B175="", "", IF( ISNA(VLOOKUP($AN175, TABELAS!$T$2:$T$9,1,FALSE)), 1, 0))</f>
        <v/>
      </c>
      <c r="BW175" s="192" t="str">
        <f t="shared" si="130"/>
        <v/>
      </c>
      <c r="BX175" s="192" t="str">
        <f>IF( OR($B175="", $AH175 = "SIM"), "", IF( ISNA( VLOOKUP( $AQ175, SISTEMA!$B:$B, 1, FALSE)), 1, 0))</f>
        <v/>
      </c>
      <c r="BY175" s="193" t="str">
        <f t="shared" si="131"/>
        <v/>
      </c>
      <c r="BZ175" s="193" t="str">
        <f t="shared" si="132"/>
        <v/>
      </c>
      <c r="CA175" s="192" t="str">
        <f t="shared" si="133"/>
        <v/>
      </c>
      <c r="CB175" s="193" t="str">
        <f t="shared" si="134"/>
        <v/>
      </c>
      <c r="CC175" s="193" t="str">
        <f t="shared" si="135"/>
        <v/>
      </c>
      <c r="CD175" s="193" t="str">
        <f t="shared" si="136"/>
        <v/>
      </c>
    </row>
    <row r="176" spans="1:82" x14ac:dyDescent="0.2">
      <c r="A176" s="140"/>
      <c r="B176" s="141" t="str">
        <f t="shared" si="105"/>
        <v/>
      </c>
      <c r="C176" s="142" t="str">
        <f t="shared" si="93"/>
        <v/>
      </c>
      <c r="D176" s="142" t="str">
        <f t="shared" si="106"/>
        <v/>
      </c>
      <c r="E176" s="142" t="str">
        <f>IF($C176="", "", COUNTIF($M$8:$M176,$D176))</f>
        <v/>
      </c>
      <c r="F176" s="254">
        <v>169</v>
      </c>
      <c r="G176" s="143"/>
      <c r="H176" s="144"/>
      <c r="I176" s="144"/>
      <c r="J176" s="145"/>
      <c r="K176" s="144"/>
      <c r="L176" s="144"/>
      <c r="M176" s="144"/>
      <c r="N176" s="146"/>
      <c r="O176" s="147"/>
      <c r="P176" s="147"/>
      <c r="Q176" s="147"/>
      <c r="R176" s="147"/>
      <c r="S176" s="147"/>
      <c r="T176" s="149"/>
      <c r="U176" s="150" t="str">
        <f>IF($T176="", "", VLOOKUP($T176, CONTRATOS!$B:$E, 2, FALSE))</f>
        <v/>
      </c>
      <c r="V176" s="151">
        <f>IF(OR($T176="",TB_DEFESA!$C$2="CARGA BASELINE"),0,
   IF(VLOOKUP($T176, CONTRATOS!B:E, 3, FALSE)&lt;&gt;"",1,IF(VLOOKUP($T176, CONTRATOS!B:E, 4, FALSE)&lt;&gt;"",2,0)))</f>
        <v>0</v>
      </c>
      <c r="W176" s="152"/>
      <c r="X176" s="152"/>
      <c r="Y176" s="153"/>
      <c r="Z176" s="154"/>
      <c r="AA176" s="155"/>
      <c r="AB176" s="156"/>
      <c r="AC176" s="157"/>
      <c r="AD176" s="155"/>
      <c r="AE176" s="158" t="str">
        <f t="shared" si="94"/>
        <v/>
      </c>
      <c r="AF176" s="160" t="str">
        <f t="shared" si="107"/>
        <v/>
      </c>
      <c r="AG176" s="182" t="s">
        <v>59</v>
      </c>
      <c r="AH176" s="183" t="str">
        <f t="shared" si="108"/>
        <v/>
      </c>
      <c r="AI176" s="183" t="str">
        <f t="shared" si="109"/>
        <v/>
      </c>
      <c r="AJ176" s="184" t="str">
        <f t="shared" si="110"/>
        <v/>
      </c>
      <c r="AK176" s="185" t="str">
        <f t="shared" si="111"/>
        <v/>
      </c>
      <c r="AL176" s="186"/>
      <c r="AM176" s="183" t="str">
        <f t="shared" si="112"/>
        <v/>
      </c>
      <c r="AN176" s="183" t="str">
        <f t="shared" si="113"/>
        <v/>
      </c>
      <c r="AO176" s="186" t="str">
        <f t="shared" si="114"/>
        <v/>
      </c>
      <c r="AP176" s="187" t="str">
        <f t="shared" si="115"/>
        <v/>
      </c>
      <c r="AQ176" s="187" t="str">
        <f t="shared" si="116"/>
        <v/>
      </c>
      <c r="AR176" s="188" t="str">
        <f t="shared" si="95"/>
        <v/>
      </c>
      <c r="AS176" s="188" t="str">
        <f t="shared" si="96"/>
        <v/>
      </c>
      <c r="AT176" s="183" t="str">
        <f t="shared" si="97"/>
        <v/>
      </c>
      <c r="AU176" s="189" t="str">
        <f>IF(OR($B176="", $AP176= ""),"",IF(VLOOKUP($AP176, CONTRATOS!B:K,3,FALSE)="","",VLOOKUP($AP176, CONTRATOS!B:K, 3,FALSE)))</f>
        <v/>
      </c>
      <c r="AV176" s="189" t="str">
        <f>IF(OR($B176="", $AP176 = ""), "", IF(VLOOKUP($AP176, CONTRATOS!B:K,4,FALSE)="","",VLOOKUP($AP176, CONTRATOS!B:K,4, FALSE)))</f>
        <v/>
      </c>
      <c r="AW176" s="190" t="str">
        <f t="shared" si="98"/>
        <v/>
      </c>
      <c r="AX176" s="189" t="str">
        <f t="shared" si="99"/>
        <v/>
      </c>
      <c r="AY176" s="189" t="str">
        <f t="shared" si="100"/>
        <v/>
      </c>
      <c r="AZ176" s="189" t="str">
        <f t="shared" si="101"/>
        <v/>
      </c>
      <c r="BA176" s="189" t="str">
        <f t="shared" si="102"/>
        <v/>
      </c>
      <c r="BB176" s="191">
        <f t="shared" si="117"/>
        <v>0</v>
      </c>
      <c r="BC176" s="191" t="str">
        <f t="shared" si="118"/>
        <v/>
      </c>
      <c r="BD176" s="191" t="str">
        <f t="shared" si="119"/>
        <v/>
      </c>
      <c r="BF176" s="192">
        <f t="shared" si="120"/>
        <v>0</v>
      </c>
      <c r="BG176" s="192">
        <f t="shared" si="121"/>
        <v>0</v>
      </c>
      <c r="BH176" s="192" t="str">
        <f>IF( $B176="", "", IF(ISNA(VLOOKUP($C176, Defesa!$C$7:$C$29,1,FALSE)),1,0))</f>
        <v/>
      </c>
      <c r="BI176" s="193" t="str">
        <f t="shared" si="122"/>
        <v/>
      </c>
      <c r="BJ176" s="193" t="str">
        <f>IF($B176="", "", IF( AND( $AI176="ESTIMATIVA", OR( Defesa!$F$7 = "AUTOMÁTICA", Defesa!$F$7 ="100% BASELINE")), 1, 0))</f>
        <v/>
      </c>
      <c r="BK176" s="192" t="str">
        <f t="shared" si="137"/>
        <v/>
      </c>
      <c r="BL176" s="192">
        <f t="shared" si="123"/>
        <v>0</v>
      </c>
      <c r="BM176" s="192" t="str">
        <f>IF($AC176="", "", IF(ISNA(VLOOKUP($AC176, TABELAS!$Q:$Q, 1, FALSE)), 1, 0))</f>
        <v/>
      </c>
      <c r="BN176" s="194" t="str">
        <f t="shared" si="138"/>
        <v/>
      </c>
      <c r="BO176" s="192" t="str">
        <f t="shared" si="124"/>
        <v/>
      </c>
      <c r="BP176" s="192" t="str">
        <f t="shared" si="125"/>
        <v/>
      </c>
      <c r="BQ176" s="193" t="str">
        <f t="shared" si="126"/>
        <v/>
      </c>
      <c r="BR176" s="192" t="str">
        <f t="shared" si="127"/>
        <v/>
      </c>
      <c r="BS176" s="192" t="str">
        <f t="shared" si="128"/>
        <v/>
      </c>
      <c r="BT176" s="192" t="str">
        <f>IF(OR($B176="", $AH176 = "SIM"), "", IF( ISNA(VLOOKUP($AP176,#REF!, 1, FALSE)), 1, 0))</f>
        <v/>
      </c>
      <c r="BU176" s="192" t="str">
        <f t="shared" si="129"/>
        <v/>
      </c>
      <c r="BV176" s="192" t="str">
        <f>IF( $B176="", "", IF( ISNA(VLOOKUP($AN176, TABELAS!$T$2:$T$9,1,FALSE)), 1, 0))</f>
        <v/>
      </c>
      <c r="BW176" s="192" t="str">
        <f t="shared" si="130"/>
        <v/>
      </c>
      <c r="BX176" s="192" t="str">
        <f>IF( OR($B176="", $AH176 = "SIM"), "", IF( ISNA( VLOOKUP( $AQ176, SISTEMA!$B:$B, 1, FALSE)), 1, 0))</f>
        <v/>
      </c>
      <c r="BY176" s="193" t="str">
        <f t="shared" si="131"/>
        <v/>
      </c>
      <c r="BZ176" s="193" t="str">
        <f t="shared" si="132"/>
        <v/>
      </c>
      <c r="CA176" s="192" t="str">
        <f t="shared" si="133"/>
        <v/>
      </c>
      <c r="CB176" s="193" t="str">
        <f t="shared" si="134"/>
        <v/>
      </c>
      <c r="CC176" s="193" t="str">
        <f t="shared" si="135"/>
        <v/>
      </c>
      <c r="CD176" s="193" t="str">
        <f t="shared" si="136"/>
        <v/>
      </c>
    </row>
    <row r="177" spans="1:82" x14ac:dyDescent="0.2">
      <c r="A177" s="140"/>
      <c r="B177" s="141" t="str">
        <f t="shared" si="105"/>
        <v/>
      </c>
      <c r="C177" s="142" t="str">
        <f t="shared" si="93"/>
        <v/>
      </c>
      <c r="D177" s="142" t="str">
        <f t="shared" si="106"/>
        <v/>
      </c>
      <c r="E177" s="142" t="str">
        <f>IF($C177="", "", COUNTIF($M$8:$M177,$D177))</f>
        <v/>
      </c>
      <c r="F177" s="254">
        <v>170</v>
      </c>
      <c r="G177" s="143"/>
      <c r="H177" s="144"/>
      <c r="I177" s="144"/>
      <c r="J177" s="145"/>
      <c r="K177" s="144"/>
      <c r="L177" s="144"/>
      <c r="M177" s="144"/>
      <c r="N177" s="146"/>
      <c r="O177" s="147"/>
      <c r="P177" s="147"/>
      <c r="Q177" s="147"/>
      <c r="R177" s="147"/>
      <c r="S177" s="147"/>
      <c r="T177" s="149"/>
      <c r="U177" s="150" t="str">
        <f>IF($T177="", "", VLOOKUP($T177, CONTRATOS!$B:$E, 2, FALSE))</f>
        <v/>
      </c>
      <c r="V177" s="151">
        <f>IF(OR($T177="",TB_DEFESA!$C$2="CARGA BASELINE"),0,
   IF(VLOOKUP($T177, CONTRATOS!B:E, 3, FALSE)&lt;&gt;"",1,IF(VLOOKUP($T177, CONTRATOS!B:E, 4, FALSE)&lt;&gt;"",2,0)))</f>
        <v>0</v>
      </c>
      <c r="W177" s="152"/>
      <c r="X177" s="152"/>
      <c r="Y177" s="153"/>
      <c r="Z177" s="154"/>
      <c r="AA177" s="155"/>
      <c r="AB177" s="156"/>
      <c r="AC177" s="157"/>
      <c r="AD177" s="155"/>
      <c r="AE177" s="158" t="str">
        <f t="shared" si="94"/>
        <v/>
      </c>
      <c r="AF177" s="160" t="str">
        <f t="shared" si="107"/>
        <v/>
      </c>
      <c r="AG177" s="182" t="s">
        <v>59</v>
      </c>
      <c r="AH177" s="183" t="str">
        <f t="shared" si="108"/>
        <v/>
      </c>
      <c r="AI177" s="183" t="str">
        <f t="shared" si="109"/>
        <v/>
      </c>
      <c r="AJ177" s="184" t="str">
        <f t="shared" si="110"/>
        <v/>
      </c>
      <c r="AK177" s="185" t="str">
        <f t="shared" si="111"/>
        <v/>
      </c>
      <c r="AL177" s="186"/>
      <c r="AM177" s="183" t="str">
        <f t="shared" si="112"/>
        <v/>
      </c>
      <c r="AN177" s="183" t="str">
        <f t="shared" si="113"/>
        <v/>
      </c>
      <c r="AO177" s="186" t="str">
        <f t="shared" si="114"/>
        <v/>
      </c>
      <c r="AP177" s="187" t="str">
        <f t="shared" si="115"/>
        <v/>
      </c>
      <c r="AQ177" s="187" t="str">
        <f t="shared" si="116"/>
        <v/>
      </c>
      <c r="AR177" s="188" t="str">
        <f t="shared" si="95"/>
        <v/>
      </c>
      <c r="AS177" s="188" t="str">
        <f t="shared" si="96"/>
        <v/>
      </c>
      <c r="AT177" s="183" t="str">
        <f t="shared" si="97"/>
        <v/>
      </c>
      <c r="AU177" s="189" t="str">
        <f>IF(OR($B177="", $AP177= ""),"",IF(VLOOKUP($AP177, CONTRATOS!B:K,3,FALSE)="","",VLOOKUP($AP177, CONTRATOS!B:K, 3,FALSE)))</f>
        <v/>
      </c>
      <c r="AV177" s="189" t="str">
        <f>IF(OR($B177="", $AP177 = ""), "", IF(VLOOKUP($AP177, CONTRATOS!B:K,4,FALSE)="","",VLOOKUP($AP177, CONTRATOS!B:K,4, FALSE)))</f>
        <v/>
      </c>
      <c r="AW177" s="190" t="str">
        <f t="shared" si="98"/>
        <v/>
      </c>
      <c r="AX177" s="189" t="str">
        <f t="shared" si="99"/>
        <v/>
      </c>
      <c r="AY177" s="189" t="str">
        <f t="shared" si="100"/>
        <v/>
      </c>
      <c r="AZ177" s="189" t="str">
        <f t="shared" si="101"/>
        <v/>
      </c>
      <c r="BA177" s="189" t="str">
        <f t="shared" si="102"/>
        <v/>
      </c>
      <c r="BB177" s="191">
        <f t="shared" si="117"/>
        <v>0</v>
      </c>
      <c r="BC177" s="191" t="str">
        <f t="shared" si="118"/>
        <v/>
      </c>
      <c r="BD177" s="191" t="str">
        <f t="shared" si="119"/>
        <v/>
      </c>
      <c r="BF177" s="192">
        <f t="shared" si="120"/>
        <v>0</v>
      </c>
      <c r="BG177" s="192">
        <f t="shared" si="121"/>
        <v>0</v>
      </c>
      <c r="BH177" s="192" t="str">
        <f>IF( $B177="", "", IF(ISNA(VLOOKUP($C177, Defesa!$C$7:$C$29,1,FALSE)),1,0))</f>
        <v/>
      </c>
      <c r="BI177" s="193" t="str">
        <f t="shared" si="122"/>
        <v/>
      </c>
      <c r="BJ177" s="193" t="str">
        <f>IF($B177="", "", IF( AND( $AI177="ESTIMATIVA", OR( Defesa!$F$7 = "AUTOMÁTICA", Defesa!$F$7 ="100% BASELINE")), 1, 0))</f>
        <v/>
      </c>
      <c r="BK177" s="192" t="str">
        <f t="shared" si="137"/>
        <v/>
      </c>
      <c r="BL177" s="192">
        <f t="shared" si="123"/>
        <v>0</v>
      </c>
      <c r="BM177" s="192" t="str">
        <f>IF($AC177="", "", IF(ISNA(VLOOKUP($AC177, TABELAS!$Q:$Q, 1, FALSE)), 1, 0))</f>
        <v/>
      </c>
      <c r="BN177" s="194" t="str">
        <f t="shared" si="138"/>
        <v/>
      </c>
      <c r="BO177" s="192" t="str">
        <f t="shared" si="124"/>
        <v/>
      </c>
      <c r="BP177" s="192" t="str">
        <f t="shared" si="125"/>
        <v/>
      </c>
      <c r="BQ177" s="193" t="str">
        <f t="shared" si="126"/>
        <v/>
      </c>
      <c r="BR177" s="192" t="str">
        <f t="shared" si="127"/>
        <v/>
      </c>
      <c r="BS177" s="192" t="str">
        <f t="shared" si="128"/>
        <v/>
      </c>
      <c r="BT177" s="192" t="str">
        <f>IF(OR($B177="", $AH177 = "SIM"), "", IF( ISNA(VLOOKUP($AP177,#REF!, 1, FALSE)), 1, 0))</f>
        <v/>
      </c>
      <c r="BU177" s="192" t="str">
        <f t="shared" si="129"/>
        <v/>
      </c>
      <c r="BV177" s="192" t="str">
        <f>IF( $B177="", "", IF( ISNA(VLOOKUP($AN177, TABELAS!$T$2:$T$9,1,FALSE)), 1, 0))</f>
        <v/>
      </c>
      <c r="BW177" s="192" t="str">
        <f t="shared" si="130"/>
        <v/>
      </c>
      <c r="BX177" s="192" t="str">
        <f>IF( OR($B177="", $AH177 = "SIM"), "", IF( ISNA( VLOOKUP( $AQ177, SISTEMA!$B:$B, 1, FALSE)), 1, 0))</f>
        <v/>
      </c>
      <c r="BY177" s="193" t="str">
        <f t="shared" si="131"/>
        <v/>
      </c>
      <c r="BZ177" s="193" t="str">
        <f t="shared" si="132"/>
        <v/>
      </c>
      <c r="CA177" s="192" t="str">
        <f t="shared" si="133"/>
        <v/>
      </c>
      <c r="CB177" s="193" t="str">
        <f t="shared" si="134"/>
        <v/>
      </c>
      <c r="CC177" s="193" t="str">
        <f t="shared" si="135"/>
        <v/>
      </c>
      <c r="CD177" s="193" t="str">
        <f t="shared" si="136"/>
        <v/>
      </c>
    </row>
    <row r="178" spans="1:82" x14ac:dyDescent="0.2">
      <c r="A178" s="140"/>
      <c r="B178" s="141" t="str">
        <f t="shared" si="105"/>
        <v/>
      </c>
      <c r="C178" s="142" t="str">
        <f t="shared" si="93"/>
        <v/>
      </c>
      <c r="D178" s="142" t="str">
        <f t="shared" si="106"/>
        <v/>
      </c>
      <c r="E178" s="142" t="str">
        <f>IF($C178="", "", COUNTIF($M$8:$M178,$D178))</f>
        <v/>
      </c>
      <c r="F178" s="254">
        <v>171</v>
      </c>
      <c r="G178" s="143"/>
      <c r="H178" s="144"/>
      <c r="I178" s="144"/>
      <c r="J178" s="145"/>
      <c r="K178" s="144"/>
      <c r="L178" s="144"/>
      <c r="M178" s="144"/>
      <c r="N178" s="146"/>
      <c r="O178" s="147"/>
      <c r="P178" s="147"/>
      <c r="Q178" s="147"/>
      <c r="R178" s="147"/>
      <c r="S178" s="147"/>
      <c r="T178" s="149"/>
      <c r="U178" s="150" t="str">
        <f>IF($T178="", "", VLOOKUP($T178, CONTRATOS!$B:$E, 2, FALSE))</f>
        <v/>
      </c>
      <c r="V178" s="151">
        <f>IF(OR($T178="",TB_DEFESA!$C$2="CARGA BASELINE"),0,
   IF(VLOOKUP($T178, CONTRATOS!B:E, 3, FALSE)&lt;&gt;"",1,IF(VLOOKUP($T178, CONTRATOS!B:E, 4, FALSE)&lt;&gt;"",2,0)))</f>
        <v>0</v>
      </c>
      <c r="W178" s="152"/>
      <c r="X178" s="152"/>
      <c r="Y178" s="153"/>
      <c r="Z178" s="154"/>
      <c r="AA178" s="155"/>
      <c r="AB178" s="156"/>
      <c r="AC178" s="157"/>
      <c r="AD178" s="155"/>
      <c r="AE178" s="158" t="str">
        <f t="shared" si="94"/>
        <v/>
      </c>
      <c r="AF178" s="160" t="str">
        <f t="shared" si="107"/>
        <v/>
      </c>
      <c r="AG178" s="182" t="s">
        <v>59</v>
      </c>
      <c r="AH178" s="183" t="str">
        <f t="shared" si="108"/>
        <v/>
      </c>
      <c r="AI178" s="183" t="str">
        <f t="shared" si="109"/>
        <v/>
      </c>
      <c r="AJ178" s="184" t="str">
        <f t="shared" si="110"/>
        <v/>
      </c>
      <c r="AK178" s="185" t="str">
        <f t="shared" si="111"/>
        <v/>
      </c>
      <c r="AL178" s="186"/>
      <c r="AM178" s="183" t="str">
        <f t="shared" si="112"/>
        <v/>
      </c>
      <c r="AN178" s="183" t="str">
        <f t="shared" si="113"/>
        <v/>
      </c>
      <c r="AO178" s="186" t="str">
        <f t="shared" si="114"/>
        <v/>
      </c>
      <c r="AP178" s="187" t="str">
        <f t="shared" si="115"/>
        <v/>
      </c>
      <c r="AQ178" s="187" t="str">
        <f t="shared" si="116"/>
        <v/>
      </c>
      <c r="AR178" s="188" t="str">
        <f t="shared" si="95"/>
        <v/>
      </c>
      <c r="AS178" s="188" t="str">
        <f t="shared" si="96"/>
        <v/>
      </c>
      <c r="AT178" s="183" t="str">
        <f t="shared" si="97"/>
        <v/>
      </c>
      <c r="AU178" s="189" t="str">
        <f>IF(OR($B178="", $AP178= ""),"",IF(VLOOKUP($AP178, CONTRATOS!B:K,3,FALSE)="","",VLOOKUP($AP178, CONTRATOS!B:K, 3,FALSE)))</f>
        <v/>
      </c>
      <c r="AV178" s="189" t="str">
        <f>IF(OR($B178="", $AP178 = ""), "", IF(VLOOKUP($AP178, CONTRATOS!B:K,4,FALSE)="","",VLOOKUP($AP178, CONTRATOS!B:K,4, FALSE)))</f>
        <v/>
      </c>
      <c r="AW178" s="190" t="str">
        <f t="shared" si="98"/>
        <v/>
      </c>
      <c r="AX178" s="189" t="str">
        <f t="shared" si="99"/>
        <v/>
      </c>
      <c r="AY178" s="189" t="str">
        <f t="shared" si="100"/>
        <v/>
      </c>
      <c r="AZ178" s="189" t="str">
        <f t="shared" si="101"/>
        <v/>
      </c>
      <c r="BA178" s="189" t="str">
        <f t="shared" si="102"/>
        <v/>
      </c>
      <c r="BB178" s="191">
        <f t="shared" si="117"/>
        <v>0</v>
      </c>
      <c r="BC178" s="191" t="str">
        <f t="shared" si="118"/>
        <v/>
      </c>
      <c r="BD178" s="191" t="str">
        <f t="shared" si="119"/>
        <v/>
      </c>
      <c r="BF178" s="192">
        <f t="shared" si="120"/>
        <v>0</v>
      </c>
      <c r="BG178" s="192">
        <f t="shared" si="121"/>
        <v>0</v>
      </c>
      <c r="BH178" s="192" t="str">
        <f>IF( $B178="", "", IF(ISNA(VLOOKUP($C178, Defesa!$C$7:$C$29,1,FALSE)),1,0))</f>
        <v/>
      </c>
      <c r="BI178" s="193" t="str">
        <f t="shared" si="122"/>
        <v/>
      </c>
      <c r="BJ178" s="193" t="str">
        <f>IF($B178="", "", IF( AND( $AI178="ESTIMATIVA", OR( Defesa!$F$7 = "AUTOMÁTICA", Defesa!$F$7 ="100% BASELINE")), 1, 0))</f>
        <v/>
      </c>
      <c r="BK178" s="192" t="str">
        <f t="shared" si="137"/>
        <v/>
      </c>
      <c r="BL178" s="192">
        <f t="shared" si="123"/>
        <v>0</v>
      </c>
      <c r="BM178" s="192" t="str">
        <f>IF($AC178="", "", IF(ISNA(VLOOKUP($AC178, TABELAS!$Q:$Q, 1, FALSE)), 1, 0))</f>
        <v/>
      </c>
      <c r="BN178" s="194" t="str">
        <f t="shared" si="138"/>
        <v/>
      </c>
      <c r="BO178" s="192" t="str">
        <f t="shared" si="124"/>
        <v/>
      </c>
      <c r="BP178" s="192" t="str">
        <f t="shared" si="125"/>
        <v/>
      </c>
      <c r="BQ178" s="193" t="str">
        <f t="shared" si="126"/>
        <v/>
      </c>
      <c r="BR178" s="192" t="str">
        <f t="shared" si="127"/>
        <v/>
      </c>
      <c r="BS178" s="192" t="str">
        <f t="shared" si="128"/>
        <v/>
      </c>
      <c r="BT178" s="192" t="str">
        <f>IF(OR($B178="", $AH178 = "SIM"), "", IF( ISNA(VLOOKUP($AP178,#REF!, 1, FALSE)), 1, 0))</f>
        <v/>
      </c>
      <c r="BU178" s="192" t="str">
        <f t="shared" si="129"/>
        <v/>
      </c>
      <c r="BV178" s="192" t="str">
        <f>IF( $B178="", "", IF( ISNA(VLOOKUP($AN178, TABELAS!$T$2:$T$9,1,FALSE)), 1, 0))</f>
        <v/>
      </c>
      <c r="BW178" s="192" t="str">
        <f t="shared" si="130"/>
        <v/>
      </c>
      <c r="BX178" s="192" t="str">
        <f>IF( OR($B178="", $AH178 = "SIM"), "", IF( ISNA( VLOOKUP( $AQ178, SISTEMA!$B:$B, 1, FALSE)), 1, 0))</f>
        <v/>
      </c>
      <c r="BY178" s="193" t="str">
        <f t="shared" si="131"/>
        <v/>
      </c>
      <c r="BZ178" s="193" t="str">
        <f t="shared" si="132"/>
        <v/>
      </c>
      <c r="CA178" s="192" t="str">
        <f t="shared" si="133"/>
        <v/>
      </c>
      <c r="CB178" s="193" t="str">
        <f t="shared" si="134"/>
        <v/>
      </c>
      <c r="CC178" s="193" t="str">
        <f t="shared" si="135"/>
        <v/>
      </c>
      <c r="CD178" s="193" t="str">
        <f t="shared" si="136"/>
        <v/>
      </c>
    </row>
    <row r="179" spans="1:82" x14ac:dyDescent="0.2">
      <c r="A179" s="140"/>
      <c r="B179" s="141" t="str">
        <f t="shared" si="105"/>
        <v/>
      </c>
      <c r="C179" s="142" t="str">
        <f t="shared" si="93"/>
        <v/>
      </c>
      <c r="D179" s="142" t="str">
        <f t="shared" si="106"/>
        <v/>
      </c>
      <c r="E179" s="142" t="str">
        <f>IF($C179="", "", COUNTIF($M$8:$M179,$D179))</f>
        <v/>
      </c>
      <c r="F179" s="254">
        <v>172</v>
      </c>
      <c r="G179" s="143"/>
      <c r="H179" s="144"/>
      <c r="I179" s="144"/>
      <c r="J179" s="145"/>
      <c r="K179" s="144"/>
      <c r="L179" s="144"/>
      <c r="M179" s="144"/>
      <c r="N179" s="146"/>
      <c r="O179" s="147"/>
      <c r="P179" s="147"/>
      <c r="Q179" s="147"/>
      <c r="R179" s="147"/>
      <c r="S179" s="147"/>
      <c r="T179" s="149"/>
      <c r="U179" s="150" t="str">
        <f>IF($T179="", "", VLOOKUP($T179, CONTRATOS!$B:$E, 2, FALSE))</f>
        <v/>
      </c>
      <c r="V179" s="151">
        <f>IF(OR($T179="",TB_DEFESA!$C$2="CARGA BASELINE"),0,
   IF(VLOOKUP($T179, CONTRATOS!B:E, 3, FALSE)&lt;&gt;"",1,IF(VLOOKUP($T179, CONTRATOS!B:E, 4, FALSE)&lt;&gt;"",2,0)))</f>
        <v>0</v>
      </c>
      <c r="W179" s="152"/>
      <c r="X179" s="152"/>
      <c r="Y179" s="153"/>
      <c r="Z179" s="154"/>
      <c r="AA179" s="155"/>
      <c r="AB179" s="156"/>
      <c r="AC179" s="157"/>
      <c r="AD179" s="155"/>
      <c r="AE179" s="158" t="str">
        <f t="shared" si="94"/>
        <v/>
      </c>
      <c r="AF179" s="160" t="str">
        <f t="shared" si="107"/>
        <v/>
      </c>
      <c r="AG179" s="182" t="s">
        <v>59</v>
      </c>
      <c r="AH179" s="183" t="str">
        <f t="shared" si="108"/>
        <v/>
      </c>
      <c r="AI179" s="183" t="str">
        <f t="shared" si="109"/>
        <v/>
      </c>
      <c r="AJ179" s="184" t="str">
        <f t="shared" si="110"/>
        <v/>
      </c>
      <c r="AK179" s="185" t="str">
        <f t="shared" si="111"/>
        <v/>
      </c>
      <c r="AL179" s="186"/>
      <c r="AM179" s="183" t="str">
        <f t="shared" si="112"/>
        <v/>
      </c>
      <c r="AN179" s="183" t="str">
        <f t="shared" si="113"/>
        <v/>
      </c>
      <c r="AO179" s="186" t="str">
        <f t="shared" si="114"/>
        <v/>
      </c>
      <c r="AP179" s="187" t="str">
        <f t="shared" si="115"/>
        <v/>
      </c>
      <c r="AQ179" s="187" t="str">
        <f t="shared" si="116"/>
        <v/>
      </c>
      <c r="AR179" s="188" t="str">
        <f t="shared" si="95"/>
        <v/>
      </c>
      <c r="AS179" s="188" t="str">
        <f t="shared" si="96"/>
        <v/>
      </c>
      <c r="AT179" s="183" t="str">
        <f t="shared" si="97"/>
        <v/>
      </c>
      <c r="AU179" s="189" t="str">
        <f>IF(OR($B179="", $AP179= ""),"",IF(VLOOKUP($AP179, CONTRATOS!B:K,3,FALSE)="","",VLOOKUP($AP179, CONTRATOS!B:K, 3,FALSE)))</f>
        <v/>
      </c>
      <c r="AV179" s="189" t="str">
        <f>IF(OR($B179="", $AP179 = ""), "", IF(VLOOKUP($AP179, CONTRATOS!B:K,4,FALSE)="","",VLOOKUP($AP179, CONTRATOS!B:K,4, FALSE)))</f>
        <v/>
      </c>
      <c r="AW179" s="190" t="str">
        <f t="shared" si="98"/>
        <v/>
      </c>
      <c r="AX179" s="189" t="str">
        <f t="shared" si="99"/>
        <v/>
      </c>
      <c r="AY179" s="189" t="str">
        <f t="shared" si="100"/>
        <v/>
      </c>
      <c r="AZ179" s="189" t="str">
        <f t="shared" si="101"/>
        <v/>
      </c>
      <c r="BA179" s="189" t="str">
        <f t="shared" si="102"/>
        <v/>
      </c>
      <c r="BB179" s="191">
        <f t="shared" si="117"/>
        <v>0</v>
      </c>
      <c r="BC179" s="191" t="str">
        <f t="shared" si="118"/>
        <v/>
      </c>
      <c r="BD179" s="191" t="str">
        <f t="shared" si="119"/>
        <v/>
      </c>
      <c r="BF179" s="192">
        <f t="shared" si="120"/>
        <v>0</v>
      </c>
      <c r="BG179" s="192">
        <f t="shared" si="121"/>
        <v>0</v>
      </c>
      <c r="BH179" s="192" t="str">
        <f>IF( $B179="", "", IF(ISNA(VLOOKUP($C179, Defesa!$C$7:$C$29,1,FALSE)),1,0))</f>
        <v/>
      </c>
      <c r="BI179" s="193" t="str">
        <f t="shared" si="122"/>
        <v/>
      </c>
      <c r="BJ179" s="193" t="str">
        <f>IF($B179="", "", IF( AND( $AI179="ESTIMATIVA", OR( Defesa!$F$7 = "AUTOMÁTICA", Defesa!$F$7 ="100% BASELINE")), 1, 0))</f>
        <v/>
      </c>
      <c r="BK179" s="192" t="str">
        <f t="shared" si="137"/>
        <v/>
      </c>
      <c r="BL179" s="192">
        <f t="shared" si="123"/>
        <v>0</v>
      </c>
      <c r="BM179" s="192" t="str">
        <f>IF($AC179="", "", IF(ISNA(VLOOKUP($AC179, TABELAS!$Q:$Q, 1, FALSE)), 1, 0))</f>
        <v/>
      </c>
      <c r="BN179" s="194" t="str">
        <f t="shared" si="138"/>
        <v/>
      </c>
      <c r="BO179" s="192" t="str">
        <f t="shared" si="124"/>
        <v/>
      </c>
      <c r="BP179" s="192" t="str">
        <f t="shared" si="125"/>
        <v/>
      </c>
      <c r="BQ179" s="193" t="str">
        <f t="shared" si="126"/>
        <v/>
      </c>
      <c r="BR179" s="192" t="str">
        <f t="shared" si="127"/>
        <v/>
      </c>
      <c r="BS179" s="192" t="str">
        <f t="shared" si="128"/>
        <v/>
      </c>
      <c r="BT179" s="192" t="str">
        <f>IF(OR($B179="", $AH179 = "SIM"), "", IF( ISNA(VLOOKUP($AP179,#REF!, 1, FALSE)), 1, 0))</f>
        <v/>
      </c>
      <c r="BU179" s="192" t="str">
        <f t="shared" si="129"/>
        <v/>
      </c>
      <c r="BV179" s="192" t="str">
        <f>IF( $B179="", "", IF( ISNA(VLOOKUP($AN179, TABELAS!$T$2:$T$9,1,FALSE)), 1, 0))</f>
        <v/>
      </c>
      <c r="BW179" s="192" t="str">
        <f t="shared" si="130"/>
        <v/>
      </c>
      <c r="BX179" s="192" t="str">
        <f>IF( OR($B179="", $AH179 = "SIM"), "", IF( ISNA( VLOOKUP( $AQ179, SISTEMA!$B:$B, 1, FALSE)), 1, 0))</f>
        <v/>
      </c>
      <c r="BY179" s="193" t="str">
        <f t="shared" si="131"/>
        <v/>
      </c>
      <c r="BZ179" s="193" t="str">
        <f t="shared" si="132"/>
        <v/>
      </c>
      <c r="CA179" s="192" t="str">
        <f t="shared" si="133"/>
        <v/>
      </c>
      <c r="CB179" s="193" t="str">
        <f t="shared" si="134"/>
        <v/>
      </c>
      <c r="CC179" s="193" t="str">
        <f t="shared" si="135"/>
        <v/>
      </c>
      <c r="CD179" s="193" t="str">
        <f t="shared" si="136"/>
        <v/>
      </c>
    </row>
    <row r="180" spans="1:82" x14ac:dyDescent="0.2">
      <c r="A180" s="140"/>
      <c r="B180" s="141" t="str">
        <f t="shared" si="105"/>
        <v/>
      </c>
      <c r="C180" s="142" t="str">
        <f t="shared" si="93"/>
        <v/>
      </c>
      <c r="D180" s="142" t="str">
        <f t="shared" si="106"/>
        <v/>
      </c>
      <c r="E180" s="142" t="str">
        <f>IF($C180="", "", COUNTIF($M$8:$M180,$D180))</f>
        <v/>
      </c>
      <c r="F180" s="254">
        <v>173</v>
      </c>
      <c r="G180" s="143"/>
      <c r="H180" s="144"/>
      <c r="I180" s="144"/>
      <c r="J180" s="145"/>
      <c r="K180" s="144"/>
      <c r="L180" s="144"/>
      <c r="M180" s="144"/>
      <c r="N180" s="146"/>
      <c r="O180" s="147"/>
      <c r="P180" s="147"/>
      <c r="Q180" s="147"/>
      <c r="R180" s="147"/>
      <c r="S180" s="147"/>
      <c r="T180" s="149"/>
      <c r="U180" s="150" t="str">
        <f>IF($T180="", "", VLOOKUP($T180, CONTRATOS!$B:$E, 2, FALSE))</f>
        <v/>
      </c>
      <c r="V180" s="151">
        <f>IF(OR($T180="",TB_DEFESA!$C$2="CARGA BASELINE"),0,
   IF(VLOOKUP($T180, CONTRATOS!B:E, 3, FALSE)&lt;&gt;"",1,IF(VLOOKUP($T180, CONTRATOS!B:E, 4, FALSE)&lt;&gt;"",2,0)))</f>
        <v>0</v>
      </c>
      <c r="W180" s="152"/>
      <c r="X180" s="152"/>
      <c r="Y180" s="153"/>
      <c r="Z180" s="154"/>
      <c r="AA180" s="155"/>
      <c r="AB180" s="156"/>
      <c r="AC180" s="157"/>
      <c r="AD180" s="155"/>
      <c r="AE180" s="158" t="str">
        <f t="shared" si="94"/>
        <v/>
      </c>
      <c r="AF180" s="160" t="str">
        <f t="shared" si="107"/>
        <v/>
      </c>
      <c r="AG180" s="182" t="s">
        <v>59</v>
      </c>
      <c r="AH180" s="183" t="str">
        <f t="shared" si="108"/>
        <v/>
      </c>
      <c r="AI180" s="183" t="str">
        <f t="shared" si="109"/>
        <v/>
      </c>
      <c r="AJ180" s="184" t="str">
        <f t="shared" si="110"/>
        <v/>
      </c>
      <c r="AK180" s="185" t="str">
        <f t="shared" si="111"/>
        <v/>
      </c>
      <c r="AL180" s="186"/>
      <c r="AM180" s="183" t="str">
        <f t="shared" si="112"/>
        <v/>
      </c>
      <c r="AN180" s="183" t="str">
        <f t="shared" si="113"/>
        <v/>
      </c>
      <c r="AO180" s="186" t="str">
        <f t="shared" si="114"/>
        <v/>
      </c>
      <c r="AP180" s="187" t="str">
        <f t="shared" si="115"/>
        <v/>
      </c>
      <c r="AQ180" s="187" t="str">
        <f t="shared" si="116"/>
        <v/>
      </c>
      <c r="AR180" s="188" t="str">
        <f t="shared" si="95"/>
        <v/>
      </c>
      <c r="AS180" s="188" t="str">
        <f t="shared" si="96"/>
        <v/>
      </c>
      <c r="AT180" s="183" t="str">
        <f t="shared" si="97"/>
        <v/>
      </c>
      <c r="AU180" s="189" t="str">
        <f>IF(OR($B180="", $AP180= ""),"",IF(VLOOKUP($AP180, CONTRATOS!B:K,3,FALSE)="","",VLOOKUP($AP180, CONTRATOS!B:K, 3,FALSE)))</f>
        <v/>
      </c>
      <c r="AV180" s="189" t="str">
        <f>IF(OR($B180="", $AP180 = ""), "", IF(VLOOKUP($AP180, CONTRATOS!B:K,4,FALSE)="","",VLOOKUP($AP180, CONTRATOS!B:K,4, FALSE)))</f>
        <v/>
      </c>
      <c r="AW180" s="190" t="str">
        <f t="shared" si="98"/>
        <v/>
      </c>
      <c r="AX180" s="189" t="str">
        <f t="shared" si="99"/>
        <v/>
      </c>
      <c r="AY180" s="189" t="str">
        <f t="shared" si="100"/>
        <v/>
      </c>
      <c r="AZ180" s="189" t="str">
        <f t="shared" si="101"/>
        <v/>
      </c>
      <c r="BA180" s="189" t="str">
        <f t="shared" si="102"/>
        <v/>
      </c>
      <c r="BB180" s="191">
        <f t="shared" si="117"/>
        <v>0</v>
      </c>
      <c r="BC180" s="191" t="str">
        <f t="shared" si="118"/>
        <v/>
      </c>
      <c r="BD180" s="191" t="str">
        <f t="shared" si="119"/>
        <v/>
      </c>
      <c r="BF180" s="192">
        <f t="shared" si="120"/>
        <v>0</v>
      </c>
      <c r="BG180" s="192">
        <f t="shared" si="121"/>
        <v>0</v>
      </c>
      <c r="BH180" s="192" t="str">
        <f>IF( $B180="", "", IF(ISNA(VLOOKUP($C180, Defesa!$C$7:$C$29,1,FALSE)),1,0))</f>
        <v/>
      </c>
      <c r="BI180" s="193" t="str">
        <f t="shared" si="122"/>
        <v/>
      </c>
      <c r="BJ180" s="193" t="str">
        <f>IF($B180="", "", IF( AND( $AI180="ESTIMATIVA", OR( Defesa!$F$7 = "AUTOMÁTICA", Defesa!$F$7 ="100% BASELINE")), 1, 0))</f>
        <v/>
      </c>
      <c r="BK180" s="192" t="str">
        <f t="shared" si="137"/>
        <v/>
      </c>
      <c r="BL180" s="192">
        <f t="shared" si="123"/>
        <v>0</v>
      </c>
      <c r="BM180" s="192" t="str">
        <f>IF($AC180="", "", IF(ISNA(VLOOKUP($AC180, TABELAS!$Q:$Q, 1, FALSE)), 1, 0))</f>
        <v/>
      </c>
      <c r="BN180" s="194" t="str">
        <f t="shared" si="138"/>
        <v/>
      </c>
      <c r="BO180" s="192" t="str">
        <f t="shared" si="124"/>
        <v/>
      </c>
      <c r="BP180" s="192" t="str">
        <f t="shared" si="125"/>
        <v/>
      </c>
      <c r="BQ180" s="193" t="str">
        <f t="shared" si="126"/>
        <v/>
      </c>
      <c r="BR180" s="192" t="str">
        <f t="shared" si="127"/>
        <v/>
      </c>
      <c r="BS180" s="192" t="str">
        <f t="shared" si="128"/>
        <v/>
      </c>
      <c r="BT180" s="192" t="str">
        <f>IF(OR($B180="", $AH180 = "SIM"), "", IF( ISNA(VLOOKUP($AP180,#REF!, 1, FALSE)), 1, 0))</f>
        <v/>
      </c>
      <c r="BU180" s="192" t="str">
        <f t="shared" si="129"/>
        <v/>
      </c>
      <c r="BV180" s="192" t="str">
        <f>IF( $B180="", "", IF( ISNA(VLOOKUP($AN180, TABELAS!$T$2:$T$9,1,FALSE)), 1, 0))</f>
        <v/>
      </c>
      <c r="BW180" s="192" t="str">
        <f t="shared" si="130"/>
        <v/>
      </c>
      <c r="BX180" s="192" t="str">
        <f>IF( OR($B180="", $AH180 = "SIM"), "", IF( ISNA( VLOOKUP( $AQ180, SISTEMA!$B:$B, 1, FALSE)), 1, 0))</f>
        <v/>
      </c>
      <c r="BY180" s="193" t="str">
        <f t="shared" si="131"/>
        <v/>
      </c>
      <c r="BZ180" s="193" t="str">
        <f t="shared" si="132"/>
        <v/>
      </c>
      <c r="CA180" s="192" t="str">
        <f t="shared" si="133"/>
        <v/>
      </c>
      <c r="CB180" s="193" t="str">
        <f t="shared" si="134"/>
        <v/>
      </c>
      <c r="CC180" s="193" t="str">
        <f t="shared" si="135"/>
        <v/>
      </c>
      <c r="CD180" s="193" t="str">
        <f t="shared" si="136"/>
        <v/>
      </c>
    </row>
    <row r="181" spans="1:82" x14ac:dyDescent="0.2">
      <c r="A181" s="140"/>
      <c r="B181" s="141" t="str">
        <f t="shared" si="105"/>
        <v/>
      </c>
      <c r="C181" s="142" t="str">
        <f t="shared" si="93"/>
        <v/>
      </c>
      <c r="D181" s="142" t="str">
        <f t="shared" si="106"/>
        <v/>
      </c>
      <c r="E181" s="142" t="str">
        <f>IF($C181="", "", COUNTIF($M$8:$M181,$D181))</f>
        <v/>
      </c>
      <c r="F181" s="254">
        <v>174</v>
      </c>
      <c r="G181" s="143"/>
      <c r="H181" s="144"/>
      <c r="I181" s="144"/>
      <c r="J181" s="145"/>
      <c r="K181" s="144"/>
      <c r="L181" s="144"/>
      <c r="M181" s="144"/>
      <c r="N181" s="146"/>
      <c r="O181" s="147"/>
      <c r="P181" s="147"/>
      <c r="Q181" s="147"/>
      <c r="R181" s="147"/>
      <c r="S181" s="147"/>
      <c r="T181" s="149"/>
      <c r="U181" s="150" t="str">
        <f>IF($T181="", "", VLOOKUP($T181, CONTRATOS!$B:$E, 2, FALSE))</f>
        <v/>
      </c>
      <c r="V181" s="151">
        <f>IF(OR($T181="",TB_DEFESA!$C$2="CARGA BASELINE"),0,
   IF(VLOOKUP($T181, CONTRATOS!B:E, 3, FALSE)&lt;&gt;"",1,IF(VLOOKUP($T181, CONTRATOS!B:E, 4, FALSE)&lt;&gt;"",2,0)))</f>
        <v>0</v>
      </c>
      <c r="W181" s="152"/>
      <c r="X181" s="152"/>
      <c r="Y181" s="153"/>
      <c r="Z181" s="154"/>
      <c r="AA181" s="155"/>
      <c r="AB181" s="156"/>
      <c r="AC181" s="157"/>
      <c r="AD181" s="155"/>
      <c r="AE181" s="158" t="str">
        <f t="shared" si="94"/>
        <v/>
      </c>
      <c r="AF181" s="160" t="str">
        <f t="shared" si="107"/>
        <v/>
      </c>
      <c r="AG181" s="182" t="s">
        <v>59</v>
      </c>
      <c r="AH181" s="183" t="str">
        <f t="shared" si="108"/>
        <v/>
      </c>
      <c r="AI181" s="183" t="str">
        <f t="shared" si="109"/>
        <v/>
      </c>
      <c r="AJ181" s="184" t="str">
        <f t="shared" si="110"/>
        <v/>
      </c>
      <c r="AK181" s="185" t="str">
        <f t="shared" si="111"/>
        <v/>
      </c>
      <c r="AL181" s="186"/>
      <c r="AM181" s="183" t="str">
        <f t="shared" si="112"/>
        <v/>
      </c>
      <c r="AN181" s="183" t="str">
        <f t="shared" si="113"/>
        <v/>
      </c>
      <c r="AO181" s="186" t="str">
        <f t="shared" si="114"/>
        <v/>
      </c>
      <c r="AP181" s="187" t="str">
        <f t="shared" si="115"/>
        <v/>
      </c>
      <c r="AQ181" s="187" t="str">
        <f t="shared" si="116"/>
        <v/>
      </c>
      <c r="AR181" s="188" t="str">
        <f t="shared" si="95"/>
        <v/>
      </c>
      <c r="AS181" s="188" t="str">
        <f t="shared" si="96"/>
        <v/>
      </c>
      <c r="AT181" s="183" t="str">
        <f t="shared" si="97"/>
        <v/>
      </c>
      <c r="AU181" s="189" t="str">
        <f>IF(OR($B181="", $AP181= ""),"",IF(VLOOKUP($AP181, CONTRATOS!B:K,3,FALSE)="","",VLOOKUP($AP181, CONTRATOS!B:K, 3,FALSE)))</f>
        <v/>
      </c>
      <c r="AV181" s="189" t="str">
        <f>IF(OR($B181="", $AP181 = ""), "", IF(VLOOKUP($AP181, CONTRATOS!B:K,4,FALSE)="","",VLOOKUP($AP181, CONTRATOS!B:K,4, FALSE)))</f>
        <v/>
      </c>
      <c r="AW181" s="190" t="str">
        <f t="shared" si="98"/>
        <v/>
      </c>
      <c r="AX181" s="189" t="str">
        <f t="shared" si="99"/>
        <v/>
      </c>
      <c r="AY181" s="189" t="str">
        <f t="shared" si="100"/>
        <v/>
      </c>
      <c r="AZ181" s="189" t="str">
        <f t="shared" si="101"/>
        <v/>
      </c>
      <c r="BA181" s="189" t="str">
        <f t="shared" si="102"/>
        <v/>
      </c>
      <c r="BB181" s="191">
        <f t="shared" si="117"/>
        <v>0</v>
      </c>
      <c r="BC181" s="191" t="str">
        <f t="shared" si="118"/>
        <v/>
      </c>
      <c r="BD181" s="191" t="str">
        <f t="shared" si="119"/>
        <v/>
      </c>
      <c r="BF181" s="192">
        <f t="shared" si="120"/>
        <v>0</v>
      </c>
      <c r="BG181" s="192">
        <f t="shared" si="121"/>
        <v>0</v>
      </c>
      <c r="BH181" s="192" t="str">
        <f>IF( $B181="", "", IF(ISNA(VLOOKUP($C181, Defesa!$C$7:$C$29,1,FALSE)),1,0))</f>
        <v/>
      </c>
      <c r="BI181" s="193" t="str">
        <f t="shared" si="122"/>
        <v/>
      </c>
      <c r="BJ181" s="193" t="str">
        <f>IF($B181="", "", IF( AND( $AI181="ESTIMATIVA", OR( Defesa!$F$7 = "AUTOMÁTICA", Defesa!$F$7 ="100% BASELINE")), 1, 0))</f>
        <v/>
      </c>
      <c r="BK181" s="192" t="str">
        <f t="shared" si="137"/>
        <v/>
      </c>
      <c r="BL181" s="192">
        <f t="shared" si="123"/>
        <v>0</v>
      </c>
      <c r="BM181" s="192" t="str">
        <f>IF($AC181="", "", IF(ISNA(VLOOKUP($AC181, TABELAS!$Q:$Q, 1, FALSE)), 1, 0))</f>
        <v/>
      </c>
      <c r="BN181" s="194" t="str">
        <f t="shared" si="138"/>
        <v/>
      </c>
      <c r="BO181" s="192" t="str">
        <f t="shared" si="124"/>
        <v/>
      </c>
      <c r="BP181" s="192" t="str">
        <f t="shared" si="125"/>
        <v/>
      </c>
      <c r="BQ181" s="193" t="str">
        <f t="shared" si="126"/>
        <v/>
      </c>
      <c r="BR181" s="192" t="str">
        <f t="shared" si="127"/>
        <v/>
      </c>
      <c r="BS181" s="192" t="str">
        <f t="shared" si="128"/>
        <v/>
      </c>
      <c r="BT181" s="192" t="str">
        <f>IF(OR($B181="", $AH181 = "SIM"), "", IF( ISNA(VLOOKUP($AP181,#REF!, 1, FALSE)), 1, 0))</f>
        <v/>
      </c>
      <c r="BU181" s="192" t="str">
        <f t="shared" si="129"/>
        <v/>
      </c>
      <c r="BV181" s="192" t="str">
        <f>IF( $B181="", "", IF( ISNA(VLOOKUP($AN181, TABELAS!$T$2:$T$9,1,FALSE)), 1, 0))</f>
        <v/>
      </c>
      <c r="BW181" s="192" t="str">
        <f t="shared" si="130"/>
        <v/>
      </c>
      <c r="BX181" s="192" t="str">
        <f>IF( OR($B181="", $AH181 = "SIM"), "", IF( ISNA( VLOOKUP( $AQ181, SISTEMA!$B:$B, 1, FALSE)), 1, 0))</f>
        <v/>
      </c>
      <c r="BY181" s="193" t="str">
        <f t="shared" si="131"/>
        <v/>
      </c>
      <c r="BZ181" s="193" t="str">
        <f t="shared" si="132"/>
        <v/>
      </c>
      <c r="CA181" s="192" t="str">
        <f t="shared" si="133"/>
        <v/>
      </c>
      <c r="CB181" s="193" t="str">
        <f t="shared" si="134"/>
        <v/>
      </c>
      <c r="CC181" s="193" t="str">
        <f t="shared" si="135"/>
        <v/>
      </c>
      <c r="CD181" s="193" t="str">
        <f t="shared" si="136"/>
        <v/>
      </c>
    </row>
    <row r="182" spans="1:82" x14ac:dyDescent="0.2">
      <c r="A182" s="140"/>
      <c r="B182" s="141" t="str">
        <f t="shared" si="105"/>
        <v/>
      </c>
      <c r="C182" s="142" t="str">
        <f t="shared" si="93"/>
        <v/>
      </c>
      <c r="D182" s="142" t="str">
        <f t="shared" si="106"/>
        <v/>
      </c>
      <c r="E182" s="142" t="str">
        <f>IF($C182="", "", COUNTIF($M$8:$M182,$D182))</f>
        <v/>
      </c>
      <c r="F182" s="254">
        <v>175</v>
      </c>
      <c r="G182" s="143"/>
      <c r="H182" s="144"/>
      <c r="I182" s="144"/>
      <c r="J182" s="145"/>
      <c r="K182" s="144"/>
      <c r="L182" s="144"/>
      <c r="M182" s="144"/>
      <c r="N182" s="146"/>
      <c r="O182" s="147"/>
      <c r="P182" s="147"/>
      <c r="Q182" s="147"/>
      <c r="R182" s="147"/>
      <c r="S182" s="147"/>
      <c r="T182" s="149"/>
      <c r="U182" s="150" t="str">
        <f>IF($T182="", "", VLOOKUP($T182, CONTRATOS!$B:$E, 2, FALSE))</f>
        <v/>
      </c>
      <c r="V182" s="151">
        <f>IF(OR($T182="",TB_DEFESA!$C$2="CARGA BASELINE"),0,
   IF(VLOOKUP($T182, CONTRATOS!B:E, 3, FALSE)&lt;&gt;"",1,IF(VLOOKUP($T182, CONTRATOS!B:E, 4, FALSE)&lt;&gt;"",2,0)))</f>
        <v>0</v>
      </c>
      <c r="W182" s="152"/>
      <c r="X182" s="152"/>
      <c r="Y182" s="153"/>
      <c r="Z182" s="154"/>
      <c r="AA182" s="155"/>
      <c r="AB182" s="156"/>
      <c r="AC182" s="157"/>
      <c r="AD182" s="155"/>
      <c r="AE182" s="158" t="str">
        <f t="shared" si="94"/>
        <v/>
      </c>
      <c r="AF182" s="160" t="str">
        <f t="shared" si="107"/>
        <v/>
      </c>
      <c r="AG182" s="182" t="s">
        <v>59</v>
      </c>
      <c r="AH182" s="183" t="str">
        <f t="shared" si="108"/>
        <v/>
      </c>
      <c r="AI182" s="183" t="str">
        <f t="shared" si="109"/>
        <v/>
      </c>
      <c r="AJ182" s="184" t="str">
        <f t="shared" si="110"/>
        <v/>
      </c>
      <c r="AK182" s="185" t="str">
        <f t="shared" si="111"/>
        <v/>
      </c>
      <c r="AL182" s="186"/>
      <c r="AM182" s="183" t="str">
        <f t="shared" si="112"/>
        <v/>
      </c>
      <c r="AN182" s="183" t="str">
        <f t="shared" si="113"/>
        <v/>
      </c>
      <c r="AO182" s="186" t="str">
        <f t="shared" si="114"/>
        <v/>
      </c>
      <c r="AP182" s="187" t="str">
        <f t="shared" si="115"/>
        <v/>
      </c>
      <c r="AQ182" s="187" t="str">
        <f t="shared" si="116"/>
        <v/>
      </c>
      <c r="AR182" s="188" t="str">
        <f t="shared" si="95"/>
        <v/>
      </c>
      <c r="AS182" s="188" t="str">
        <f t="shared" si="96"/>
        <v/>
      </c>
      <c r="AT182" s="183" t="str">
        <f t="shared" si="97"/>
        <v/>
      </c>
      <c r="AU182" s="189" t="str">
        <f>IF(OR($B182="", $AP182= ""),"",IF(VLOOKUP($AP182, CONTRATOS!B:K,3,FALSE)="","",VLOOKUP($AP182, CONTRATOS!B:K, 3,FALSE)))</f>
        <v/>
      </c>
      <c r="AV182" s="189" t="str">
        <f>IF(OR($B182="", $AP182 = ""), "", IF(VLOOKUP($AP182, CONTRATOS!B:K,4,FALSE)="","",VLOOKUP($AP182, CONTRATOS!B:K,4, FALSE)))</f>
        <v/>
      </c>
      <c r="AW182" s="190" t="str">
        <f t="shared" si="98"/>
        <v/>
      </c>
      <c r="AX182" s="189" t="str">
        <f t="shared" si="99"/>
        <v/>
      </c>
      <c r="AY182" s="189" t="str">
        <f t="shared" si="100"/>
        <v/>
      </c>
      <c r="AZ182" s="189" t="str">
        <f t="shared" si="101"/>
        <v/>
      </c>
      <c r="BA182" s="189" t="str">
        <f t="shared" si="102"/>
        <v/>
      </c>
      <c r="BB182" s="191">
        <f t="shared" si="117"/>
        <v>0</v>
      </c>
      <c r="BC182" s="191" t="str">
        <f t="shared" si="118"/>
        <v/>
      </c>
      <c r="BD182" s="191" t="str">
        <f t="shared" si="119"/>
        <v/>
      </c>
      <c r="BF182" s="192">
        <f t="shared" si="120"/>
        <v>0</v>
      </c>
      <c r="BG182" s="192">
        <f t="shared" si="121"/>
        <v>0</v>
      </c>
      <c r="BH182" s="192" t="str">
        <f>IF( $B182="", "", IF(ISNA(VLOOKUP($C182, Defesa!$C$7:$C$29,1,FALSE)),1,0))</f>
        <v/>
      </c>
      <c r="BI182" s="193" t="str">
        <f t="shared" si="122"/>
        <v/>
      </c>
      <c r="BJ182" s="193" t="str">
        <f>IF($B182="", "", IF( AND( $AI182="ESTIMATIVA", OR( Defesa!$F$7 = "AUTOMÁTICA", Defesa!$F$7 ="100% BASELINE")), 1, 0))</f>
        <v/>
      </c>
      <c r="BK182" s="192" t="str">
        <f t="shared" si="137"/>
        <v/>
      </c>
      <c r="BL182" s="192">
        <f t="shared" si="123"/>
        <v>0</v>
      </c>
      <c r="BM182" s="192" t="str">
        <f>IF($AC182="", "", IF(ISNA(VLOOKUP($AC182, TABELAS!$Q:$Q, 1, FALSE)), 1, 0))</f>
        <v/>
      </c>
      <c r="BN182" s="194" t="str">
        <f t="shared" si="138"/>
        <v/>
      </c>
      <c r="BO182" s="192" t="str">
        <f t="shared" si="124"/>
        <v/>
      </c>
      <c r="BP182" s="192" t="str">
        <f t="shared" si="125"/>
        <v/>
      </c>
      <c r="BQ182" s="193" t="str">
        <f t="shared" si="126"/>
        <v/>
      </c>
      <c r="BR182" s="192" t="str">
        <f t="shared" si="127"/>
        <v/>
      </c>
      <c r="BS182" s="192" t="str">
        <f t="shared" si="128"/>
        <v/>
      </c>
      <c r="BT182" s="192" t="str">
        <f>IF(OR($B182="", $AH182 = "SIM"), "", IF( ISNA(VLOOKUP($AP182,#REF!, 1, FALSE)), 1, 0))</f>
        <v/>
      </c>
      <c r="BU182" s="192" t="str">
        <f t="shared" si="129"/>
        <v/>
      </c>
      <c r="BV182" s="192" t="str">
        <f>IF( $B182="", "", IF( ISNA(VLOOKUP($AN182, TABELAS!$T$2:$T$9,1,FALSE)), 1, 0))</f>
        <v/>
      </c>
      <c r="BW182" s="192" t="str">
        <f t="shared" si="130"/>
        <v/>
      </c>
      <c r="BX182" s="192" t="str">
        <f>IF( OR($B182="", $AH182 = "SIM"), "", IF( ISNA( VLOOKUP( $AQ182, SISTEMA!$B:$B, 1, FALSE)), 1, 0))</f>
        <v/>
      </c>
      <c r="BY182" s="193" t="str">
        <f t="shared" si="131"/>
        <v/>
      </c>
      <c r="BZ182" s="193" t="str">
        <f t="shared" si="132"/>
        <v/>
      </c>
      <c r="CA182" s="192" t="str">
        <f t="shared" si="133"/>
        <v/>
      </c>
      <c r="CB182" s="193" t="str">
        <f t="shared" si="134"/>
        <v/>
      </c>
      <c r="CC182" s="193" t="str">
        <f t="shared" si="135"/>
        <v/>
      </c>
      <c r="CD182" s="193" t="str">
        <f t="shared" si="136"/>
        <v/>
      </c>
    </row>
    <row r="183" spans="1:82" x14ac:dyDescent="0.2">
      <c r="A183" s="140"/>
      <c r="B183" s="141" t="str">
        <f t="shared" si="105"/>
        <v/>
      </c>
      <c r="C183" s="142" t="str">
        <f t="shared" si="93"/>
        <v/>
      </c>
      <c r="D183" s="142" t="str">
        <f t="shared" si="106"/>
        <v/>
      </c>
      <c r="E183" s="142" t="str">
        <f>IF($C183="", "", COUNTIF($M$8:$M183,$D183))</f>
        <v/>
      </c>
      <c r="F183" s="254">
        <v>176</v>
      </c>
      <c r="G183" s="143"/>
      <c r="H183" s="144"/>
      <c r="I183" s="144"/>
      <c r="J183" s="145"/>
      <c r="K183" s="144"/>
      <c r="L183" s="144"/>
      <c r="M183" s="144"/>
      <c r="N183" s="146"/>
      <c r="O183" s="147"/>
      <c r="P183" s="147"/>
      <c r="Q183" s="147"/>
      <c r="R183" s="147"/>
      <c r="S183" s="147"/>
      <c r="T183" s="149"/>
      <c r="U183" s="150" t="str">
        <f>IF($T183="", "", VLOOKUP($T183, CONTRATOS!$B:$E, 2, FALSE))</f>
        <v/>
      </c>
      <c r="V183" s="151">
        <f>IF(OR($T183="",TB_DEFESA!$C$2="CARGA BASELINE"),0,
   IF(VLOOKUP($T183, CONTRATOS!B:E, 3, FALSE)&lt;&gt;"",1,IF(VLOOKUP($T183, CONTRATOS!B:E, 4, FALSE)&lt;&gt;"",2,0)))</f>
        <v>0</v>
      </c>
      <c r="W183" s="152"/>
      <c r="X183" s="152"/>
      <c r="Y183" s="153"/>
      <c r="Z183" s="154"/>
      <c r="AA183" s="155"/>
      <c r="AB183" s="156"/>
      <c r="AC183" s="157"/>
      <c r="AD183" s="155"/>
      <c r="AE183" s="158" t="str">
        <f t="shared" si="94"/>
        <v/>
      </c>
      <c r="AF183" s="160" t="str">
        <f t="shared" si="107"/>
        <v/>
      </c>
      <c r="AG183" s="182" t="s">
        <v>59</v>
      </c>
      <c r="AH183" s="183" t="str">
        <f t="shared" si="108"/>
        <v/>
      </c>
      <c r="AI183" s="183" t="str">
        <f t="shared" si="109"/>
        <v/>
      </c>
      <c r="AJ183" s="184" t="str">
        <f t="shared" si="110"/>
        <v/>
      </c>
      <c r="AK183" s="185" t="str">
        <f t="shared" si="111"/>
        <v/>
      </c>
      <c r="AL183" s="186"/>
      <c r="AM183" s="183" t="str">
        <f t="shared" si="112"/>
        <v/>
      </c>
      <c r="AN183" s="183" t="str">
        <f t="shared" si="113"/>
        <v/>
      </c>
      <c r="AO183" s="186" t="str">
        <f t="shared" si="114"/>
        <v/>
      </c>
      <c r="AP183" s="187" t="str">
        <f t="shared" si="115"/>
        <v/>
      </c>
      <c r="AQ183" s="187" t="str">
        <f t="shared" si="116"/>
        <v/>
      </c>
      <c r="AR183" s="188" t="str">
        <f t="shared" si="95"/>
        <v/>
      </c>
      <c r="AS183" s="188" t="str">
        <f t="shared" si="96"/>
        <v/>
      </c>
      <c r="AT183" s="183" t="str">
        <f t="shared" si="97"/>
        <v/>
      </c>
      <c r="AU183" s="189" t="str">
        <f>IF(OR($B183="", $AP183= ""),"",IF(VLOOKUP($AP183, CONTRATOS!B:K,3,FALSE)="","",VLOOKUP($AP183, CONTRATOS!B:K, 3,FALSE)))</f>
        <v/>
      </c>
      <c r="AV183" s="189" t="str">
        <f>IF(OR($B183="", $AP183 = ""), "", IF(VLOOKUP($AP183, CONTRATOS!B:K,4,FALSE)="","",VLOOKUP($AP183, CONTRATOS!B:K,4, FALSE)))</f>
        <v/>
      </c>
      <c r="AW183" s="190" t="str">
        <f t="shared" si="98"/>
        <v/>
      </c>
      <c r="AX183" s="189" t="str">
        <f t="shared" si="99"/>
        <v/>
      </c>
      <c r="AY183" s="189" t="str">
        <f t="shared" si="100"/>
        <v/>
      </c>
      <c r="AZ183" s="189" t="str">
        <f t="shared" si="101"/>
        <v/>
      </c>
      <c r="BA183" s="189" t="str">
        <f t="shared" si="102"/>
        <v/>
      </c>
      <c r="BB183" s="191">
        <f t="shared" si="117"/>
        <v>0</v>
      </c>
      <c r="BC183" s="191" t="str">
        <f t="shared" si="118"/>
        <v/>
      </c>
      <c r="BD183" s="191" t="str">
        <f t="shared" si="119"/>
        <v/>
      </c>
      <c r="BF183" s="192">
        <f t="shared" si="120"/>
        <v>0</v>
      </c>
      <c r="BG183" s="192">
        <f t="shared" si="121"/>
        <v>0</v>
      </c>
      <c r="BH183" s="192" t="str">
        <f>IF( $B183="", "", IF(ISNA(VLOOKUP($C183, Defesa!$C$7:$C$29,1,FALSE)),1,0))</f>
        <v/>
      </c>
      <c r="BI183" s="193" t="str">
        <f t="shared" si="122"/>
        <v/>
      </c>
      <c r="BJ183" s="193" t="str">
        <f>IF($B183="", "", IF( AND( $AI183="ESTIMATIVA", OR( Defesa!$F$7 = "AUTOMÁTICA", Defesa!$F$7 ="100% BASELINE")), 1, 0))</f>
        <v/>
      </c>
      <c r="BK183" s="192" t="str">
        <f t="shared" si="137"/>
        <v/>
      </c>
      <c r="BL183" s="192">
        <f t="shared" si="123"/>
        <v>0</v>
      </c>
      <c r="BM183" s="192" t="str">
        <f>IF($AC183="", "", IF(ISNA(VLOOKUP($AC183, TABELAS!$Q:$Q, 1, FALSE)), 1, 0))</f>
        <v/>
      </c>
      <c r="BN183" s="194" t="str">
        <f t="shared" si="138"/>
        <v/>
      </c>
      <c r="BO183" s="192" t="str">
        <f t="shared" si="124"/>
        <v/>
      </c>
      <c r="BP183" s="192" t="str">
        <f t="shared" si="125"/>
        <v/>
      </c>
      <c r="BQ183" s="193" t="str">
        <f t="shared" si="126"/>
        <v/>
      </c>
      <c r="BR183" s="192" t="str">
        <f t="shared" si="127"/>
        <v/>
      </c>
      <c r="BS183" s="192" t="str">
        <f t="shared" si="128"/>
        <v/>
      </c>
      <c r="BT183" s="192" t="str">
        <f>IF(OR($B183="", $AH183 = "SIM"), "", IF( ISNA(VLOOKUP($AP183,#REF!, 1, FALSE)), 1, 0))</f>
        <v/>
      </c>
      <c r="BU183" s="192" t="str">
        <f t="shared" si="129"/>
        <v/>
      </c>
      <c r="BV183" s="192" t="str">
        <f>IF( $B183="", "", IF( ISNA(VLOOKUP($AN183, TABELAS!$T$2:$T$9,1,FALSE)), 1, 0))</f>
        <v/>
      </c>
      <c r="BW183" s="192" t="str">
        <f t="shared" si="130"/>
        <v/>
      </c>
      <c r="BX183" s="192" t="str">
        <f>IF( OR($B183="", $AH183 = "SIM"), "", IF( ISNA( VLOOKUP( $AQ183, SISTEMA!$B:$B, 1, FALSE)), 1, 0))</f>
        <v/>
      </c>
      <c r="BY183" s="193" t="str">
        <f t="shared" si="131"/>
        <v/>
      </c>
      <c r="BZ183" s="193" t="str">
        <f t="shared" si="132"/>
        <v/>
      </c>
      <c r="CA183" s="192" t="str">
        <f t="shared" si="133"/>
        <v/>
      </c>
      <c r="CB183" s="193" t="str">
        <f t="shared" si="134"/>
        <v/>
      </c>
      <c r="CC183" s="193" t="str">
        <f t="shared" si="135"/>
        <v/>
      </c>
      <c r="CD183" s="193" t="str">
        <f t="shared" si="136"/>
        <v/>
      </c>
    </row>
    <row r="184" spans="1:82" x14ac:dyDescent="0.2">
      <c r="A184" s="140"/>
      <c r="B184" s="141" t="str">
        <f t="shared" si="105"/>
        <v/>
      </c>
      <c r="C184" s="142" t="str">
        <f t="shared" si="93"/>
        <v/>
      </c>
      <c r="D184" s="142" t="str">
        <f t="shared" si="106"/>
        <v/>
      </c>
      <c r="E184" s="142" t="str">
        <f>IF($C184="", "", COUNTIF($M$8:$M184,$D184))</f>
        <v/>
      </c>
      <c r="F184" s="254">
        <v>177</v>
      </c>
      <c r="G184" s="143"/>
      <c r="H184" s="144"/>
      <c r="I184" s="144"/>
      <c r="J184" s="145"/>
      <c r="K184" s="144"/>
      <c r="L184" s="144"/>
      <c r="M184" s="144"/>
      <c r="N184" s="146"/>
      <c r="O184" s="147"/>
      <c r="P184" s="147"/>
      <c r="Q184" s="147"/>
      <c r="R184" s="147"/>
      <c r="S184" s="147"/>
      <c r="T184" s="149"/>
      <c r="U184" s="150" t="str">
        <f>IF($T184="", "", VLOOKUP($T184, CONTRATOS!$B:$E, 2, FALSE))</f>
        <v/>
      </c>
      <c r="V184" s="151">
        <f>IF(OR($T184="",TB_DEFESA!$C$2="CARGA BASELINE"),0,
   IF(VLOOKUP($T184, CONTRATOS!B:E, 3, FALSE)&lt;&gt;"",1,IF(VLOOKUP($T184, CONTRATOS!B:E, 4, FALSE)&lt;&gt;"",2,0)))</f>
        <v>0</v>
      </c>
      <c r="W184" s="152"/>
      <c r="X184" s="152"/>
      <c r="Y184" s="153"/>
      <c r="Z184" s="154"/>
      <c r="AA184" s="155"/>
      <c r="AB184" s="156"/>
      <c r="AC184" s="157"/>
      <c r="AD184" s="155"/>
      <c r="AE184" s="158" t="str">
        <f t="shared" si="94"/>
        <v/>
      </c>
      <c r="AF184" s="160" t="str">
        <f t="shared" si="107"/>
        <v/>
      </c>
      <c r="AG184" s="182" t="s">
        <v>59</v>
      </c>
      <c r="AH184" s="183" t="str">
        <f t="shared" si="108"/>
        <v/>
      </c>
      <c r="AI184" s="183" t="str">
        <f t="shared" si="109"/>
        <v/>
      </c>
      <c r="AJ184" s="184" t="str">
        <f t="shared" si="110"/>
        <v/>
      </c>
      <c r="AK184" s="185" t="str">
        <f t="shared" si="111"/>
        <v/>
      </c>
      <c r="AL184" s="186"/>
      <c r="AM184" s="183" t="str">
        <f t="shared" si="112"/>
        <v/>
      </c>
      <c r="AN184" s="183" t="str">
        <f t="shared" si="113"/>
        <v/>
      </c>
      <c r="AO184" s="186" t="str">
        <f t="shared" si="114"/>
        <v/>
      </c>
      <c r="AP184" s="187" t="str">
        <f t="shared" si="115"/>
        <v/>
      </c>
      <c r="AQ184" s="187" t="str">
        <f t="shared" si="116"/>
        <v/>
      </c>
      <c r="AR184" s="188" t="str">
        <f t="shared" si="95"/>
        <v/>
      </c>
      <c r="AS184" s="188" t="str">
        <f t="shared" si="96"/>
        <v/>
      </c>
      <c r="AT184" s="183" t="str">
        <f t="shared" si="97"/>
        <v/>
      </c>
      <c r="AU184" s="189" t="str">
        <f>IF(OR($B184="", $AP184= ""),"",IF(VLOOKUP($AP184, CONTRATOS!B:K,3,FALSE)="","",VLOOKUP($AP184, CONTRATOS!B:K, 3,FALSE)))</f>
        <v/>
      </c>
      <c r="AV184" s="189" t="str">
        <f>IF(OR($B184="", $AP184 = ""), "", IF(VLOOKUP($AP184, CONTRATOS!B:K,4,FALSE)="","",VLOOKUP($AP184, CONTRATOS!B:K,4, FALSE)))</f>
        <v/>
      </c>
      <c r="AW184" s="190" t="str">
        <f t="shared" si="98"/>
        <v/>
      </c>
      <c r="AX184" s="189" t="str">
        <f t="shared" si="99"/>
        <v/>
      </c>
      <c r="AY184" s="189" t="str">
        <f t="shared" si="100"/>
        <v/>
      </c>
      <c r="AZ184" s="189" t="str">
        <f t="shared" si="101"/>
        <v/>
      </c>
      <c r="BA184" s="189" t="str">
        <f t="shared" si="102"/>
        <v/>
      </c>
      <c r="BB184" s="191">
        <f t="shared" si="117"/>
        <v>0</v>
      </c>
      <c r="BC184" s="191" t="str">
        <f t="shared" si="118"/>
        <v/>
      </c>
      <c r="BD184" s="191" t="str">
        <f t="shared" si="119"/>
        <v/>
      </c>
      <c r="BF184" s="192">
        <f t="shared" si="120"/>
        <v>0</v>
      </c>
      <c r="BG184" s="192">
        <f t="shared" si="121"/>
        <v>0</v>
      </c>
      <c r="BH184" s="192" t="str">
        <f>IF( $B184="", "", IF(ISNA(VLOOKUP($C184, Defesa!$C$7:$C$29,1,FALSE)),1,0))</f>
        <v/>
      </c>
      <c r="BI184" s="193" t="str">
        <f t="shared" si="122"/>
        <v/>
      </c>
      <c r="BJ184" s="193" t="str">
        <f>IF($B184="", "", IF( AND( $AI184="ESTIMATIVA", OR( Defesa!$F$7 = "AUTOMÁTICA", Defesa!$F$7 ="100% BASELINE")), 1, 0))</f>
        <v/>
      </c>
      <c r="BK184" s="192" t="str">
        <f t="shared" si="137"/>
        <v/>
      </c>
      <c r="BL184" s="192">
        <f t="shared" si="123"/>
        <v>0</v>
      </c>
      <c r="BM184" s="192" t="str">
        <f>IF($AC184="", "", IF(ISNA(VLOOKUP($AC184, TABELAS!$Q:$Q, 1, FALSE)), 1, 0))</f>
        <v/>
      </c>
      <c r="BN184" s="194" t="str">
        <f t="shared" si="138"/>
        <v/>
      </c>
      <c r="BO184" s="192" t="str">
        <f t="shared" si="124"/>
        <v/>
      </c>
      <c r="BP184" s="192" t="str">
        <f t="shared" si="125"/>
        <v/>
      </c>
      <c r="BQ184" s="193" t="str">
        <f t="shared" si="126"/>
        <v/>
      </c>
      <c r="BR184" s="192" t="str">
        <f t="shared" si="127"/>
        <v/>
      </c>
      <c r="BS184" s="192" t="str">
        <f t="shared" si="128"/>
        <v/>
      </c>
      <c r="BT184" s="192" t="str">
        <f>IF(OR($B184="", $AH184 = "SIM"), "", IF( ISNA(VLOOKUP($AP184,#REF!, 1, FALSE)), 1, 0))</f>
        <v/>
      </c>
      <c r="BU184" s="192" t="str">
        <f t="shared" si="129"/>
        <v/>
      </c>
      <c r="BV184" s="192" t="str">
        <f>IF( $B184="", "", IF( ISNA(VLOOKUP($AN184, TABELAS!$T$2:$T$9,1,FALSE)), 1, 0))</f>
        <v/>
      </c>
      <c r="BW184" s="192" t="str">
        <f t="shared" si="130"/>
        <v/>
      </c>
      <c r="BX184" s="192" t="str">
        <f>IF( OR($B184="", $AH184 = "SIM"), "", IF( ISNA( VLOOKUP( $AQ184, SISTEMA!$B:$B, 1, FALSE)), 1, 0))</f>
        <v/>
      </c>
      <c r="BY184" s="193" t="str">
        <f t="shared" si="131"/>
        <v/>
      </c>
      <c r="BZ184" s="193" t="str">
        <f t="shared" si="132"/>
        <v/>
      </c>
      <c r="CA184" s="192" t="str">
        <f t="shared" si="133"/>
        <v/>
      </c>
      <c r="CB184" s="193" t="str">
        <f t="shared" si="134"/>
        <v/>
      </c>
      <c r="CC184" s="193" t="str">
        <f t="shared" si="135"/>
        <v/>
      </c>
      <c r="CD184" s="193" t="str">
        <f t="shared" si="136"/>
        <v/>
      </c>
    </row>
    <row r="185" spans="1:82" x14ac:dyDescent="0.2">
      <c r="A185" s="140"/>
      <c r="B185" s="141" t="str">
        <f t="shared" si="105"/>
        <v/>
      </c>
      <c r="C185" s="142" t="str">
        <f t="shared" si="93"/>
        <v/>
      </c>
      <c r="D185" s="142" t="str">
        <f t="shared" si="106"/>
        <v/>
      </c>
      <c r="E185" s="142" t="str">
        <f>IF($C185="", "", COUNTIF($M$8:$M185,$D185))</f>
        <v/>
      </c>
      <c r="F185" s="254">
        <v>178</v>
      </c>
      <c r="G185" s="143"/>
      <c r="H185" s="144"/>
      <c r="I185" s="144"/>
      <c r="J185" s="145"/>
      <c r="K185" s="144"/>
      <c r="L185" s="144"/>
      <c r="M185" s="144"/>
      <c r="N185" s="146"/>
      <c r="O185" s="147"/>
      <c r="P185" s="147"/>
      <c r="Q185" s="147"/>
      <c r="R185" s="147"/>
      <c r="S185" s="147"/>
      <c r="T185" s="149"/>
      <c r="U185" s="150" t="str">
        <f>IF($T185="", "", VLOOKUP($T185, CONTRATOS!$B:$E, 2, FALSE))</f>
        <v/>
      </c>
      <c r="V185" s="151">
        <f>IF(OR($T185="",TB_DEFESA!$C$2="CARGA BASELINE"),0,
   IF(VLOOKUP($T185, CONTRATOS!B:E, 3, FALSE)&lt;&gt;"",1,IF(VLOOKUP($T185, CONTRATOS!B:E, 4, FALSE)&lt;&gt;"",2,0)))</f>
        <v>0</v>
      </c>
      <c r="W185" s="152"/>
      <c r="X185" s="152"/>
      <c r="Y185" s="153"/>
      <c r="Z185" s="154"/>
      <c r="AA185" s="155"/>
      <c r="AB185" s="156"/>
      <c r="AC185" s="157"/>
      <c r="AD185" s="155"/>
      <c r="AE185" s="158" t="str">
        <f t="shared" si="94"/>
        <v/>
      </c>
      <c r="AF185" s="160" t="str">
        <f t="shared" si="107"/>
        <v/>
      </c>
      <c r="AG185" s="182" t="s">
        <v>59</v>
      </c>
      <c r="AH185" s="183" t="str">
        <f t="shared" si="108"/>
        <v/>
      </c>
      <c r="AI185" s="183" t="str">
        <f t="shared" si="109"/>
        <v/>
      </c>
      <c r="AJ185" s="184" t="str">
        <f t="shared" si="110"/>
        <v/>
      </c>
      <c r="AK185" s="185" t="str">
        <f t="shared" si="111"/>
        <v/>
      </c>
      <c r="AL185" s="186"/>
      <c r="AM185" s="183" t="str">
        <f t="shared" si="112"/>
        <v/>
      </c>
      <c r="AN185" s="183" t="str">
        <f t="shared" si="113"/>
        <v/>
      </c>
      <c r="AO185" s="186" t="str">
        <f t="shared" si="114"/>
        <v/>
      </c>
      <c r="AP185" s="187" t="str">
        <f t="shared" si="115"/>
        <v/>
      </c>
      <c r="AQ185" s="187" t="str">
        <f t="shared" si="116"/>
        <v/>
      </c>
      <c r="AR185" s="188" t="str">
        <f t="shared" si="95"/>
        <v/>
      </c>
      <c r="AS185" s="188" t="str">
        <f t="shared" si="96"/>
        <v/>
      </c>
      <c r="AT185" s="183" t="str">
        <f t="shared" si="97"/>
        <v/>
      </c>
      <c r="AU185" s="189" t="str">
        <f>IF(OR($B185="", $AP185= ""),"",IF(VLOOKUP($AP185, CONTRATOS!B:K,3,FALSE)="","",VLOOKUP($AP185, CONTRATOS!B:K, 3,FALSE)))</f>
        <v/>
      </c>
      <c r="AV185" s="189" t="str">
        <f>IF(OR($B185="", $AP185 = ""), "", IF(VLOOKUP($AP185, CONTRATOS!B:K,4,FALSE)="","",VLOOKUP($AP185, CONTRATOS!B:K,4, FALSE)))</f>
        <v/>
      </c>
      <c r="AW185" s="190" t="str">
        <f t="shared" si="98"/>
        <v/>
      </c>
      <c r="AX185" s="189" t="str">
        <f t="shared" si="99"/>
        <v/>
      </c>
      <c r="AY185" s="189" t="str">
        <f t="shared" si="100"/>
        <v/>
      </c>
      <c r="AZ185" s="189" t="str">
        <f t="shared" si="101"/>
        <v/>
      </c>
      <c r="BA185" s="189" t="str">
        <f t="shared" si="102"/>
        <v/>
      </c>
      <c r="BB185" s="191">
        <f t="shared" si="117"/>
        <v>0</v>
      </c>
      <c r="BC185" s="191" t="str">
        <f t="shared" si="118"/>
        <v/>
      </c>
      <c r="BD185" s="191" t="str">
        <f t="shared" si="119"/>
        <v/>
      </c>
      <c r="BF185" s="192">
        <f t="shared" si="120"/>
        <v>0</v>
      </c>
      <c r="BG185" s="192">
        <f t="shared" si="121"/>
        <v>0</v>
      </c>
      <c r="BH185" s="192" t="str">
        <f>IF( $B185="", "", IF(ISNA(VLOOKUP($C185, Defesa!$C$7:$C$29,1,FALSE)),1,0))</f>
        <v/>
      </c>
      <c r="BI185" s="193" t="str">
        <f t="shared" si="122"/>
        <v/>
      </c>
      <c r="BJ185" s="193" t="str">
        <f>IF($B185="", "", IF( AND( $AI185="ESTIMATIVA", OR( Defesa!$F$7 = "AUTOMÁTICA", Defesa!$F$7 ="100% BASELINE")), 1, 0))</f>
        <v/>
      </c>
      <c r="BK185" s="192" t="str">
        <f t="shared" si="137"/>
        <v/>
      </c>
      <c r="BL185" s="192">
        <f t="shared" si="123"/>
        <v>0</v>
      </c>
      <c r="BM185" s="192" t="str">
        <f>IF($AC185="", "", IF(ISNA(VLOOKUP($AC185, TABELAS!$Q:$Q, 1, FALSE)), 1, 0))</f>
        <v/>
      </c>
      <c r="BN185" s="194" t="str">
        <f t="shared" si="138"/>
        <v/>
      </c>
      <c r="BO185" s="192" t="str">
        <f t="shared" si="124"/>
        <v/>
      </c>
      <c r="BP185" s="192" t="str">
        <f t="shared" si="125"/>
        <v/>
      </c>
      <c r="BQ185" s="193" t="str">
        <f t="shared" si="126"/>
        <v/>
      </c>
      <c r="BR185" s="192" t="str">
        <f t="shared" si="127"/>
        <v/>
      </c>
      <c r="BS185" s="192" t="str">
        <f t="shared" si="128"/>
        <v/>
      </c>
      <c r="BT185" s="192" t="str">
        <f>IF(OR($B185="", $AH185 = "SIM"), "", IF( ISNA(VLOOKUP($AP185,#REF!, 1, FALSE)), 1, 0))</f>
        <v/>
      </c>
      <c r="BU185" s="192" t="str">
        <f t="shared" si="129"/>
        <v/>
      </c>
      <c r="BV185" s="192" t="str">
        <f>IF( $B185="", "", IF( ISNA(VLOOKUP($AN185, TABELAS!$T$2:$T$9,1,FALSE)), 1, 0))</f>
        <v/>
      </c>
      <c r="BW185" s="192" t="str">
        <f t="shared" si="130"/>
        <v/>
      </c>
      <c r="BX185" s="192" t="str">
        <f>IF( OR($B185="", $AH185 = "SIM"), "", IF( ISNA( VLOOKUP( $AQ185, SISTEMA!$B:$B, 1, FALSE)), 1, 0))</f>
        <v/>
      </c>
      <c r="BY185" s="193" t="str">
        <f t="shared" si="131"/>
        <v/>
      </c>
      <c r="BZ185" s="193" t="str">
        <f t="shared" si="132"/>
        <v/>
      </c>
      <c r="CA185" s="192" t="str">
        <f t="shared" si="133"/>
        <v/>
      </c>
      <c r="CB185" s="193" t="str">
        <f t="shared" si="134"/>
        <v/>
      </c>
      <c r="CC185" s="193" t="str">
        <f t="shared" si="135"/>
        <v/>
      </c>
      <c r="CD185" s="193" t="str">
        <f t="shared" si="136"/>
        <v/>
      </c>
    </row>
    <row r="186" spans="1:82" x14ac:dyDescent="0.2">
      <c r="A186" s="140"/>
      <c r="B186" s="141" t="str">
        <f t="shared" si="105"/>
        <v/>
      </c>
      <c r="C186" s="142" t="str">
        <f t="shared" si="93"/>
        <v/>
      </c>
      <c r="D186" s="142" t="str">
        <f t="shared" si="106"/>
        <v/>
      </c>
      <c r="E186" s="142" t="str">
        <f>IF($C186="", "", COUNTIF($M$8:$M186,$D186))</f>
        <v/>
      </c>
      <c r="F186" s="254">
        <v>179</v>
      </c>
      <c r="G186" s="143"/>
      <c r="H186" s="144"/>
      <c r="I186" s="144"/>
      <c r="J186" s="145"/>
      <c r="K186" s="144"/>
      <c r="L186" s="144"/>
      <c r="M186" s="144"/>
      <c r="N186" s="146"/>
      <c r="O186" s="147"/>
      <c r="P186" s="147"/>
      <c r="Q186" s="147"/>
      <c r="R186" s="147"/>
      <c r="S186" s="147"/>
      <c r="T186" s="149"/>
      <c r="U186" s="150" t="str">
        <f>IF($T186="", "", VLOOKUP($T186, CONTRATOS!$B:$E, 2, FALSE))</f>
        <v/>
      </c>
      <c r="V186" s="151">
        <f>IF(OR($T186="",TB_DEFESA!$C$2="CARGA BASELINE"),0,
   IF(VLOOKUP($T186, CONTRATOS!B:E, 3, FALSE)&lt;&gt;"",1,IF(VLOOKUP($T186, CONTRATOS!B:E, 4, FALSE)&lt;&gt;"",2,0)))</f>
        <v>0</v>
      </c>
      <c r="W186" s="152"/>
      <c r="X186" s="152"/>
      <c r="Y186" s="153"/>
      <c r="Z186" s="154"/>
      <c r="AA186" s="155"/>
      <c r="AB186" s="156"/>
      <c r="AC186" s="157"/>
      <c r="AD186" s="155"/>
      <c r="AE186" s="158" t="str">
        <f t="shared" si="94"/>
        <v/>
      </c>
      <c r="AF186" s="160" t="str">
        <f t="shared" si="107"/>
        <v/>
      </c>
      <c r="AG186" s="182" t="s">
        <v>59</v>
      </c>
      <c r="AH186" s="183" t="str">
        <f t="shared" si="108"/>
        <v/>
      </c>
      <c r="AI186" s="183" t="str">
        <f t="shared" si="109"/>
        <v/>
      </c>
      <c r="AJ186" s="184" t="str">
        <f t="shared" si="110"/>
        <v/>
      </c>
      <c r="AK186" s="185" t="str">
        <f t="shared" si="111"/>
        <v/>
      </c>
      <c r="AL186" s="186"/>
      <c r="AM186" s="183" t="str">
        <f t="shared" si="112"/>
        <v/>
      </c>
      <c r="AN186" s="183" t="str">
        <f t="shared" si="113"/>
        <v/>
      </c>
      <c r="AO186" s="186" t="str">
        <f t="shared" si="114"/>
        <v/>
      </c>
      <c r="AP186" s="187" t="str">
        <f t="shared" si="115"/>
        <v/>
      </c>
      <c r="AQ186" s="187" t="str">
        <f t="shared" si="116"/>
        <v/>
      </c>
      <c r="AR186" s="188" t="str">
        <f t="shared" si="95"/>
        <v/>
      </c>
      <c r="AS186" s="188" t="str">
        <f t="shared" si="96"/>
        <v/>
      </c>
      <c r="AT186" s="183" t="str">
        <f t="shared" si="97"/>
        <v/>
      </c>
      <c r="AU186" s="189" t="str">
        <f>IF(OR($B186="", $AP186= ""),"",IF(VLOOKUP($AP186, CONTRATOS!B:K,3,FALSE)="","",VLOOKUP($AP186, CONTRATOS!B:K, 3,FALSE)))</f>
        <v/>
      </c>
      <c r="AV186" s="189" t="str">
        <f>IF(OR($B186="", $AP186 = ""), "", IF(VLOOKUP($AP186, CONTRATOS!B:K,4,FALSE)="","",VLOOKUP($AP186, CONTRATOS!B:K,4, FALSE)))</f>
        <v/>
      </c>
      <c r="AW186" s="190" t="str">
        <f t="shared" si="98"/>
        <v/>
      </c>
      <c r="AX186" s="189" t="str">
        <f t="shared" si="99"/>
        <v/>
      </c>
      <c r="AY186" s="189" t="str">
        <f t="shared" si="100"/>
        <v/>
      </c>
      <c r="AZ186" s="189" t="str">
        <f t="shared" si="101"/>
        <v/>
      </c>
      <c r="BA186" s="189" t="str">
        <f t="shared" si="102"/>
        <v/>
      </c>
      <c r="BB186" s="191">
        <f t="shared" si="117"/>
        <v>0</v>
      </c>
      <c r="BC186" s="191" t="str">
        <f t="shared" si="118"/>
        <v/>
      </c>
      <c r="BD186" s="191" t="str">
        <f t="shared" si="119"/>
        <v/>
      </c>
      <c r="BF186" s="192">
        <f t="shared" si="120"/>
        <v>0</v>
      </c>
      <c r="BG186" s="192">
        <f t="shared" si="121"/>
        <v>0</v>
      </c>
      <c r="BH186" s="192" t="str">
        <f>IF( $B186="", "", IF(ISNA(VLOOKUP($C186, Defesa!$C$7:$C$29,1,FALSE)),1,0))</f>
        <v/>
      </c>
      <c r="BI186" s="193" t="str">
        <f t="shared" si="122"/>
        <v/>
      </c>
      <c r="BJ186" s="193" t="str">
        <f>IF($B186="", "", IF( AND( $AI186="ESTIMATIVA", OR( Defesa!$F$7 = "AUTOMÁTICA", Defesa!$F$7 ="100% BASELINE")), 1, 0))</f>
        <v/>
      </c>
      <c r="BK186" s="192" t="str">
        <f t="shared" si="137"/>
        <v/>
      </c>
      <c r="BL186" s="192">
        <f t="shared" si="123"/>
        <v>0</v>
      </c>
      <c r="BM186" s="192" t="str">
        <f>IF($AC186="", "", IF(ISNA(VLOOKUP($AC186, TABELAS!$Q:$Q, 1, FALSE)), 1, 0))</f>
        <v/>
      </c>
      <c r="BN186" s="194" t="str">
        <f t="shared" si="138"/>
        <v/>
      </c>
      <c r="BO186" s="192" t="str">
        <f t="shared" si="124"/>
        <v/>
      </c>
      <c r="BP186" s="192" t="str">
        <f t="shared" si="125"/>
        <v/>
      </c>
      <c r="BQ186" s="193" t="str">
        <f t="shared" si="126"/>
        <v/>
      </c>
      <c r="BR186" s="192" t="str">
        <f t="shared" si="127"/>
        <v/>
      </c>
      <c r="BS186" s="192" t="str">
        <f t="shared" si="128"/>
        <v/>
      </c>
      <c r="BT186" s="192" t="str">
        <f>IF(OR($B186="", $AH186 = "SIM"), "", IF( ISNA(VLOOKUP($AP186,#REF!, 1, FALSE)), 1, 0))</f>
        <v/>
      </c>
      <c r="BU186" s="192" t="str">
        <f t="shared" si="129"/>
        <v/>
      </c>
      <c r="BV186" s="192" t="str">
        <f>IF( $B186="", "", IF( ISNA(VLOOKUP($AN186, TABELAS!$T$2:$T$9,1,FALSE)), 1, 0))</f>
        <v/>
      </c>
      <c r="BW186" s="192" t="str">
        <f t="shared" si="130"/>
        <v/>
      </c>
      <c r="BX186" s="192" t="str">
        <f>IF( OR($B186="", $AH186 = "SIM"), "", IF( ISNA( VLOOKUP( $AQ186, SISTEMA!$B:$B, 1, FALSE)), 1, 0))</f>
        <v/>
      </c>
      <c r="BY186" s="193" t="str">
        <f t="shared" si="131"/>
        <v/>
      </c>
      <c r="BZ186" s="193" t="str">
        <f t="shared" si="132"/>
        <v/>
      </c>
      <c r="CA186" s="192" t="str">
        <f t="shared" si="133"/>
        <v/>
      </c>
      <c r="CB186" s="193" t="str">
        <f t="shared" si="134"/>
        <v/>
      </c>
      <c r="CC186" s="193" t="str">
        <f t="shared" si="135"/>
        <v/>
      </c>
      <c r="CD186" s="193" t="str">
        <f t="shared" si="136"/>
        <v/>
      </c>
    </row>
    <row r="187" spans="1:82" x14ac:dyDescent="0.2">
      <c r="A187" s="140"/>
      <c r="B187" s="141" t="str">
        <f t="shared" si="105"/>
        <v/>
      </c>
      <c r="C187" s="142" t="str">
        <f t="shared" si="93"/>
        <v/>
      </c>
      <c r="D187" s="142" t="str">
        <f t="shared" si="106"/>
        <v/>
      </c>
      <c r="E187" s="142" t="str">
        <f>IF($C187="", "", COUNTIF($M$8:$M187,$D187))</f>
        <v/>
      </c>
      <c r="F187" s="254">
        <v>180</v>
      </c>
      <c r="G187" s="143"/>
      <c r="H187" s="144"/>
      <c r="I187" s="144"/>
      <c r="J187" s="145"/>
      <c r="K187" s="144"/>
      <c r="L187" s="144"/>
      <c r="M187" s="144"/>
      <c r="N187" s="146"/>
      <c r="O187" s="147"/>
      <c r="P187" s="147"/>
      <c r="Q187" s="147"/>
      <c r="R187" s="147"/>
      <c r="S187" s="147"/>
      <c r="T187" s="149"/>
      <c r="U187" s="150" t="str">
        <f>IF($T187="", "", VLOOKUP($T187, CONTRATOS!$B:$E, 2, FALSE))</f>
        <v/>
      </c>
      <c r="V187" s="151">
        <f>IF(OR($T187="",TB_DEFESA!$C$2="CARGA BASELINE"),0,
   IF(VLOOKUP($T187, CONTRATOS!B:E, 3, FALSE)&lt;&gt;"",1,IF(VLOOKUP($T187, CONTRATOS!B:E, 4, FALSE)&lt;&gt;"",2,0)))</f>
        <v>0</v>
      </c>
      <c r="W187" s="152"/>
      <c r="X187" s="152"/>
      <c r="Y187" s="153"/>
      <c r="Z187" s="154"/>
      <c r="AA187" s="155"/>
      <c r="AB187" s="156"/>
      <c r="AC187" s="157"/>
      <c r="AD187" s="155"/>
      <c r="AE187" s="158" t="str">
        <f t="shared" si="94"/>
        <v/>
      </c>
      <c r="AF187" s="160" t="str">
        <f t="shared" si="107"/>
        <v/>
      </c>
      <c r="AG187" s="182" t="s">
        <v>59</v>
      </c>
      <c r="AH187" s="183" t="str">
        <f t="shared" si="108"/>
        <v/>
      </c>
      <c r="AI187" s="183" t="str">
        <f t="shared" si="109"/>
        <v/>
      </c>
      <c r="AJ187" s="184" t="str">
        <f t="shared" si="110"/>
        <v/>
      </c>
      <c r="AK187" s="185" t="str">
        <f t="shared" si="111"/>
        <v/>
      </c>
      <c r="AL187" s="186"/>
      <c r="AM187" s="183" t="str">
        <f t="shared" si="112"/>
        <v/>
      </c>
      <c r="AN187" s="183" t="str">
        <f t="shared" si="113"/>
        <v/>
      </c>
      <c r="AO187" s="186" t="str">
        <f t="shared" si="114"/>
        <v/>
      </c>
      <c r="AP187" s="187" t="str">
        <f t="shared" si="115"/>
        <v/>
      </c>
      <c r="AQ187" s="187" t="str">
        <f t="shared" si="116"/>
        <v/>
      </c>
      <c r="AR187" s="188" t="str">
        <f t="shared" si="95"/>
        <v/>
      </c>
      <c r="AS187" s="188" t="str">
        <f t="shared" si="96"/>
        <v/>
      </c>
      <c r="AT187" s="183" t="str">
        <f t="shared" si="97"/>
        <v/>
      </c>
      <c r="AU187" s="189" t="str">
        <f>IF(OR($B187="", $AP187= ""),"",IF(VLOOKUP($AP187, CONTRATOS!B:K,3,FALSE)="","",VLOOKUP($AP187, CONTRATOS!B:K, 3,FALSE)))</f>
        <v/>
      </c>
      <c r="AV187" s="189" t="str">
        <f>IF(OR($B187="", $AP187 = ""), "", IF(VLOOKUP($AP187, CONTRATOS!B:K,4,FALSE)="","",VLOOKUP($AP187, CONTRATOS!B:K,4, FALSE)))</f>
        <v/>
      </c>
      <c r="AW187" s="190" t="str">
        <f t="shared" si="98"/>
        <v/>
      </c>
      <c r="AX187" s="189" t="str">
        <f t="shared" si="99"/>
        <v/>
      </c>
      <c r="AY187" s="189" t="str">
        <f t="shared" si="100"/>
        <v/>
      </c>
      <c r="AZ187" s="189" t="str">
        <f t="shared" si="101"/>
        <v/>
      </c>
      <c r="BA187" s="189" t="str">
        <f t="shared" si="102"/>
        <v/>
      </c>
      <c r="BB187" s="191">
        <f t="shared" si="117"/>
        <v>0</v>
      </c>
      <c r="BC187" s="191" t="str">
        <f t="shared" si="118"/>
        <v/>
      </c>
      <c r="BD187" s="191" t="str">
        <f t="shared" si="119"/>
        <v/>
      </c>
      <c r="BF187" s="192">
        <f t="shared" si="120"/>
        <v>0</v>
      </c>
      <c r="BG187" s="192">
        <f t="shared" si="121"/>
        <v>0</v>
      </c>
      <c r="BH187" s="192" t="str">
        <f>IF( $B187="", "", IF(ISNA(VLOOKUP($C187, Defesa!$C$7:$C$29,1,FALSE)),1,0))</f>
        <v/>
      </c>
      <c r="BI187" s="193" t="str">
        <f t="shared" si="122"/>
        <v/>
      </c>
      <c r="BJ187" s="193" t="str">
        <f>IF($B187="", "", IF( AND( $AI187="ESTIMATIVA", OR( Defesa!$F$7 = "AUTOMÁTICA", Defesa!$F$7 ="100% BASELINE")), 1, 0))</f>
        <v/>
      </c>
      <c r="BK187" s="192" t="str">
        <f t="shared" si="137"/>
        <v/>
      </c>
      <c r="BL187" s="192">
        <f t="shared" si="123"/>
        <v>0</v>
      </c>
      <c r="BM187" s="192" t="str">
        <f>IF($AC187="", "", IF(ISNA(VLOOKUP($AC187, TABELAS!$Q:$Q, 1, FALSE)), 1, 0))</f>
        <v/>
      </c>
      <c r="BN187" s="194" t="str">
        <f t="shared" si="138"/>
        <v/>
      </c>
      <c r="BO187" s="192" t="str">
        <f t="shared" si="124"/>
        <v/>
      </c>
      <c r="BP187" s="192" t="str">
        <f t="shared" si="125"/>
        <v/>
      </c>
      <c r="BQ187" s="193" t="str">
        <f t="shared" si="126"/>
        <v/>
      </c>
      <c r="BR187" s="192" t="str">
        <f t="shared" si="127"/>
        <v/>
      </c>
      <c r="BS187" s="192" t="str">
        <f t="shared" si="128"/>
        <v/>
      </c>
      <c r="BT187" s="192" t="str">
        <f>IF(OR($B187="", $AH187 = "SIM"), "", IF( ISNA(VLOOKUP($AP187,#REF!, 1, FALSE)), 1, 0))</f>
        <v/>
      </c>
      <c r="BU187" s="192" t="str">
        <f t="shared" si="129"/>
        <v/>
      </c>
      <c r="BV187" s="192" t="str">
        <f>IF( $B187="", "", IF( ISNA(VLOOKUP($AN187, TABELAS!$T$2:$T$9,1,FALSE)), 1, 0))</f>
        <v/>
      </c>
      <c r="BW187" s="192" t="str">
        <f t="shared" si="130"/>
        <v/>
      </c>
      <c r="BX187" s="192" t="str">
        <f>IF( OR($B187="", $AH187 = "SIM"), "", IF( ISNA( VLOOKUP( $AQ187, SISTEMA!$B:$B, 1, FALSE)), 1, 0))</f>
        <v/>
      </c>
      <c r="BY187" s="193" t="str">
        <f t="shared" si="131"/>
        <v/>
      </c>
      <c r="BZ187" s="193" t="str">
        <f t="shared" si="132"/>
        <v/>
      </c>
      <c r="CA187" s="192" t="str">
        <f t="shared" si="133"/>
        <v/>
      </c>
      <c r="CB187" s="193" t="str">
        <f t="shared" si="134"/>
        <v/>
      </c>
      <c r="CC187" s="193" t="str">
        <f t="shared" si="135"/>
        <v/>
      </c>
      <c r="CD187" s="193" t="str">
        <f t="shared" si="136"/>
        <v/>
      </c>
    </row>
    <row r="188" spans="1:82" x14ac:dyDescent="0.2">
      <c r="A188" s="140"/>
      <c r="B188" s="141" t="str">
        <f t="shared" si="105"/>
        <v/>
      </c>
      <c r="C188" s="142" t="str">
        <f t="shared" si="93"/>
        <v/>
      </c>
      <c r="D188" s="142" t="str">
        <f t="shared" si="106"/>
        <v/>
      </c>
      <c r="E188" s="142" t="str">
        <f>IF($C188="", "", COUNTIF($M$8:$M188,$D188))</f>
        <v/>
      </c>
      <c r="F188" s="254">
        <v>181</v>
      </c>
      <c r="G188" s="143"/>
      <c r="H188" s="144"/>
      <c r="I188" s="144"/>
      <c r="J188" s="145"/>
      <c r="K188" s="144"/>
      <c r="L188" s="144"/>
      <c r="M188" s="144"/>
      <c r="N188" s="146"/>
      <c r="O188" s="147"/>
      <c r="P188" s="147"/>
      <c r="Q188" s="147"/>
      <c r="R188" s="147"/>
      <c r="S188" s="147"/>
      <c r="T188" s="149"/>
      <c r="U188" s="150" t="str">
        <f>IF($T188="", "", VLOOKUP($T188, CONTRATOS!$B:$E, 2, FALSE))</f>
        <v/>
      </c>
      <c r="V188" s="151">
        <f>IF(OR($T188="",TB_DEFESA!$C$2="CARGA BASELINE"),0,
   IF(VLOOKUP($T188, CONTRATOS!B:E, 3, FALSE)&lt;&gt;"",1,IF(VLOOKUP($T188, CONTRATOS!B:E, 4, FALSE)&lt;&gt;"",2,0)))</f>
        <v>0</v>
      </c>
      <c r="W188" s="152"/>
      <c r="X188" s="152"/>
      <c r="Y188" s="153"/>
      <c r="Z188" s="154"/>
      <c r="AA188" s="155"/>
      <c r="AB188" s="156"/>
      <c r="AC188" s="157"/>
      <c r="AD188" s="155"/>
      <c r="AE188" s="158" t="str">
        <f t="shared" si="94"/>
        <v/>
      </c>
      <c r="AF188" s="160" t="str">
        <f t="shared" si="107"/>
        <v/>
      </c>
      <c r="AG188" s="182" t="s">
        <v>59</v>
      </c>
      <c r="AH188" s="183" t="str">
        <f t="shared" si="108"/>
        <v/>
      </c>
      <c r="AI188" s="183" t="str">
        <f t="shared" si="109"/>
        <v/>
      </c>
      <c r="AJ188" s="184" t="str">
        <f t="shared" si="110"/>
        <v/>
      </c>
      <c r="AK188" s="185" t="str">
        <f t="shared" si="111"/>
        <v/>
      </c>
      <c r="AL188" s="186"/>
      <c r="AM188" s="183" t="str">
        <f t="shared" si="112"/>
        <v/>
      </c>
      <c r="AN188" s="183" t="str">
        <f t="shared" si="113"/>
        <v/>
      </c>
      <c r="AO188" s="186" t="str">
        <f t="shared" si="114"/>
        <v/>
      </c>
      <c r="AP188" s="187" t="str">
        <f t="shared" si="115"/>
        <v/>
      </c>
      <c r="AQ188" s="187" t="str">
        <f t="shared" si="116"/>
        <v/>
      </c>
      <c r="AR188" s="188" t="str">
        <f t="shared" si="95"/>
        <v/>
      </c>
      <c r="AS188" s="188" t="str">
        <f t="shared" si="96"/>
        <v/>
      </c>
      <c r="AT188" s="183" t="str">
        <f t="shared" si="97"/>
        <v/>
      </c>
      <c r="AU188" s="189" t="str">
        <f>IF(OR($B188="", $AP188= ""),"",IF(VLOOKUP($AP188, CONTRATOS!B:K,3,FALSE)="","",VLOOKUP($AP188, CONTRATOS!B:K, 3,FALSE)))</f>
        <v/>
      </c>
      <c r="AV188" s="189" t="str">
        <f>IF(OR($B188="", $AP188 = ""), "", IF(VLOOKUP($AP188, CONTRATOS!B:K,4,FALSE)="","",VLOOKUP($AP188, CONTRATOS!B:K,4, FALSE)))</f>
        <v/>
      </c>
      <c r="AW188" s="190" t="str">
        <f t="shared" si="98"/>
        <v/>
      </c>
      <c r="AX188" s="189" t="str">
        <f t="shared" si="99"/>
        <v/>
      </c>
      <c r="AY188" s="189" t="str">
        <f t="shared" si="100"/>
        <v/>
      </c>
      <c r="AZ188" s="189" t="str">
        <f t="shared" si="101"/>
        <v/>
      </c>
      <c r="BA188" s="189" t="str">
        <f t="shared" si="102"/>
        <v/>
      </c>
      <c r="BB188" s="191">
        <f t="shared" si="117"/>
        <v>0</v>
      </c>
      <c r="BC188" s="191" t="str">
        <f t="shared" si="118"/>
        <v/>
      </c>
      <c r="BD188" s="191" t="str">
        <f t="shared" si="119"/>
        <v/>
      </c>
      <c r="BF188" s="192">
        <f t="shared" si="120"/>
        <v>0</v>
      </c>
      <c r="BG188" s="192">
        <f t="shared" si="121"/>
        <v>0</v>
      </c>
      <c r="BH188" s="192" t="str">
        <f>IF( $B188="", "", IF(ISNA(VLOOKUP($C188, Defesa!$C$7:$C$29,1,FALSE)),1,0))</f>
        <v/>
      </c>
      <c r="BI188" s="193" t="str">
        <f t="shared" si="122"/>
        <v/>
      </c>
      <c r="BJ188" s="193" t="str">
        <f>IF($B188="", "", IF( AND( $AI188="ESTIMATIVA", OR( Defesa!$F$7 = "AUTOMÁTICA", Defesa!$F$7 ="100% BASELINE")), 1, 0))</f>
        <v/>
      </c>
      <c r="BK188" s="192" t="str">
        <f t="shared" si="137"/>
        <v/>
      </c>
      <c r="BL188" s="192">
        <f t="shared" si="123"/>
        <v>0</v>
      </c>
      <c r="BM188" s="192" t="str">
        <f>IF($AC188="", "", IF(ISNA(VLOOKUP($AC188, TABELAS!$Q:$Q, 1, FALSE)), 1, 0))</f>
        <v/>
      </c>
      <c r="BN188" s="194" t="str">
        <f t="shared" si="138"/>
        <v/>
      </c>
      <c r="BO188" s="192" t="str">
        <f t="shared" si="124"/>
        <v/>
      </c>
      <c r="BP188" s="192" t="str">
        <f t="shared" si="125"/>
        <v/>
      </c>
      <c r="BQ188" s="193" t="str">
        <f t="shared" si="126"/>
        <v/>
      </c>
      <c r="BR188" s="192" t="str">
        <f t="shared" si="127"/>
        <v/>
      </c>
      <c r="BS188" s="192" t="str">
        <f t="shared" si="128"/>
        <v/>
      </c>
      <c r="BT188" s="192" t="str">
        <f>IF(OR($B188="", $AH188 = "SIM"), "", IF( ISNA(VLOOKUP($AP188,#REF!, 1, FALSE)), 1, 0))</f>
        <v/>
      </c>
      <c r="BU188" s="192" t="str">
        <f t="shared" si="129"/>
        <v/>
      </c>
      <c r="BV188" s="192" t="str">
        <f>IF( $B188="", "", IF( ISNA(VLOOKUP($AN188, TABELAS!$T$2:$T$9,1,FALSE)), 1, 0))</f>
        <v/>
      </c>
      <c r="BW188" s="192" t="str">
        <f t="shared" si="130"/>
        <v/>
      </c>
      <c r="BX188" s="192" t="str">
        <f>IF( OR($B188="", $AH188 = "SIM"), "", IF( ISNA( VLOOKUP( $AQ188, SISTEMA!$B:$B, 1, FALSE)), 1, 0))</f>
        <v/>
      </c>
      <c r="BY188" s="193" t="str">
        <f t="shared" si="131"/>
        <v/>
      </c>
      <c r="BZ188" s="193" t="str">
        <f t="shared" si="132"/>
        <v/>
      </c>
      <c r="CA188" s="192" t="str">
        <f t="shared" si="133"/>
        <v/>
      </c>
      <c r="CB188" s="193" t="str">
        <f t="shared" si="134"/>
        <v/>
      </c>
      <c r="CC188" s="193" t="str">
        <f t="shared" si="135"/>
        <v/>
      </c>
      <c r="CD188" s="193" t="str">
        <f t="shared" si="136"/>
        <v/>
      </c>
    </row>
    <row r="189" spans="1:82" x14ac:dyDescent="0.2">
      <c r="A189" s="140"/>
      <c r="B189" s="141" t="str">
        <f t="shared" si="105"/>
        <v/>
      </c>
      <c r="C189" s="142" t="str">
        <f t="shared" si="93"/>
        <v/>
      </c>
      <c r="D189" s="142" t="str">
        <f t="shared" si="106"/>
        <v/>
      </c>
      <c r="E189" s="142" t="str">
        <f>IF($C189="", "", COUNTIF($M$8:$M189,$D189))</f>
        <v/>
      </c>
      <c r="F189" s="254">
        <v>182</v>
      </c>
      <c r="G189" s="143"/>
      <c r="H189" s="144"/>
      <c r="I189" s="144"/>
      <c r="J189" s="145"/>
      <c r="K189" s="144"/>
      <c r="L189" s="144"/>
      <c r="M189" s="144"/>
      <c r="N189" s="146"/>
      <c r="O189" s="147"/>
      <c r="P189" s="147"/>
      <c r="Q189" s="147"/>
      <c r="R189" s="147"/>
      <c r="S189" s="147"/>
      <c r="T189" s="149"/>
      <c r="U189" s="150" t="str">
        <f>IF($T189="", "", VLOOKUP($T189, CONTRATOS!$B:$E, 2, FALSE))</f>
        <v/>
      </c>
      <c r="V189" s="151">
        <f>IF(OR($T189="",TB_DEFESA!$C$2="CARGA BASELINE"),0,
   IF(VLOOKUP($T189, CONTRATOS!B:E, 3, FALSE)&lt;&gt;"",1,IF(VLOOKUP($T189, CONTRATOS!B:E, 4, FALSE)&lt;&gt;"",2,0)))</f>
        <v>0</v>
      </c>
      <c r="W189" s="152"/>
      <c r="X189" s="152"/>
      <c r="Y189" s="153"/>
      <c r="Z189" s="154"/>
      <c r="AA189" s="155"/>
      <c r="AB189" s="156"/>
      <c r="AC189" s="157"/>
      <c r="AD189" s="155"/>
      <c r="AE189" s="158" t="str">
        <f t="shared" si="94"/>
        <v/>
      </c>
      <c r="AF189" s="160" t="str">
        <f t="shared" si="107"/>
        <v/>
      </c>
      <c r="AG189" s="182" t="s">
        <v>59</v>
      </c>
      <c r="AH189" s="183" t="str">
        <f t="shared" si="108"/>
        <v/>
      </c>
      <c r="AI189" s="183" t="str">
        <f t="shared" si="109"/>
        <v/>
      </c>
      <c r="AJ189" s="184" t="str">
        <f t="shared" si="110"/>
        <v/>
      </c>
      <c r="AK189" s="185" t="str">
        <f t="shared" si="111"/>
        <v/>
      </c>
      <c r="AL189" s="186"/>
      <c r="AM189" s="183" t="str">
        <f t="shared" si="112"/>
        <v/>
      </c>
      <c r="AN189" s="183" t="str">
        <f t="shared" si="113"/>
        <v/>
      </c>
      <c r="AO189" s="186" t="str">
        <f t="shared" si="114"/>
        <v/>
      </c>
      <c r="AP189" s="187" t="str">
        <f t="shared" si="115"/>
        <v/>
      </c>
      <c r="AQ189" s="187" t="str">
        <f t="shared" si="116"/>
        <v/>
      </c>
      <c r="AR189" s="188" t="str">
        <f t="shared" si="95"/>
        <v/>
      </c>
      <c r="AS189" s="188" t="str">
        <f t="shared" si="96"/>
        <v/>
      </c>
      <c r="AT189" s="183" t="str">
        <f t="shared" si="97"/>
        <v/>
      </c>
      <c r="AU189" s="189" t="str">
        <f>IF(OR($B189="", $AP189= ""),"",IF(VLOOKUP($AP189, CONTRATOS!B:K,3,FALSE)="","",VLOOKUP($AP189, CONTRATOS!B:K, 3,FALSE)))</f>
        <v/>
      </c>
      <c r="AV189" s="189" t="str">
        <f>IF(OR($B189="", $AP189 = ""), "", IF(VLOOKUP($AP189, CONTRATOS!B:K,4,FALSE)="","",VLOOKUP($AP189, CONTRATOS!B:K,4, FALSE)))</f>
        <v/>
      </c>
      <c r="AW189" s="190" t="str">
        <f t="shared" si="98"/>
        <v/>
      </c>
      <c r="AX189" s="189" t="str">
        <f t="shared" si="99"/>
        <v/>
      </c>
      <c r="AY189" s="189" t="str">
        <f t="shared" si="100"/>
        <v/>
      </c>
      <c r="AZ189" s="189" t="str">
        <f t="shared" si="101"/>
        <v/>
      </c>
      <c r="BA189" s="189" t="str">
        <f t="shared" si="102"/>
        <v/>
      </c>
      <c r="BB189" s="191">
        <f t="shared" si="117"/>
        <v>0</v>
      </c>
      <c r="BC189" s="191" t="str">
        <f t="shared" si="118"/>
        <v/>
      </c>
      <c r="BD189" s="191" t="str">
        <f t="shared" si="119"/>
        <v/>
      </c>
      <c r="BF189" s="192">
        <f t="shared" si="120"/>
        <v>0</v>
      </c>
      <c r="BG189" s="192">
        <f t="shared" si="121"/>
        <v>0</v>
      </c>
      <c r="BH189" s="192" t="str">
        <f>IF( $B189="", "", IF(ISNA(VLOOKUP($C189, Defesa!$C$7:$C$29,1,FALSE)),1,0))</f>
        <v/>
      </c>
      <c r="BI189" s="193" t="str">
        <f t="shared" si="122"/>
        <v/>
      </c>
      <c r="BJ189" s="193" t="str">
        <f>IF($B189="", "", IF( AND( $AI189="ESTIMATIVA", OR( Defesa!$F$7 = "AUTOMÁTICA", Defesa!$F$7 ="100% BASELINE")), 1, 0))</f>
        <v/>
      </c>
      <c r="BK189" s="192" t="str">
        <f t="shared" si="137"/>
        <v/>
      </c>
      <c r="BL189" s="192">
        <f t="shared" si="123"/>
        <v>0</v>
      </c>
      <c r="BM189" s="192" t="str">
        <f>IF($AC189="", "", IF(ISNA(VLOOKUP($AC189, TABELAS!$Q:$Q, 1, FALSE)), 1, 0))</f>
        <v/>
      </c>
      <c r="BN189" s="194" t="str">
        <f t="shared" si="138"/>
        <v/>
      </c>
      <c r="BO189" s="192" t="str">
        <f t="shared" si="124"/>
        <v/>
      </c>
      <c r="BP189" s="192" t="str">
        <f t="shared" si="125"/>
        <v/>
      </c>
      <c r="BQ189" s="193" t="str">
        <f t="shared" si="126"/>
        <v/>
      </c>
      <c r="BR189" s="192" t="str">
        <f t="shared" si="127"/>
        <v/>
      </c>
      <c r="BS189" s="192" t="str">
        <f t="shared" si="128"/>
        <v/>
      </c>
      <c r="BT189" s="192" t="str">
        <f>IF(OR($B189="", $AH189 = "SIM"), "", IF( ISNA(VLOOKUP($AP189,#REF!, 1, FALSE)), 1, 0))</f>
        <v/>
      </c>
      <c r="BU189" s="192" t="str">
        <f t="shared" si="129"/>
        <v/>
      </c>
      <c r="BV189" s="192" t="str">
        <f>IF( $B189="", "", IF( ISNA(VLOOKUP($AN189, TABELAS!$T$2:$T$9,1,FALSE)), 1, 0))</f>
        <v/>
      </c>
      <c r="BW189" s="192" t="str">
        <f t="shared" si="130"/>
        <v/>
      </c>
      <c r="BX189" s="192" t="str">
        <f>IF( OR($B189="", $AH189 = "SIM"), "", IF( ISNA( VLOOKUP( $AQ189, SISTEMA!$B:$B, 1, FALSE)), 1, 0))</f>
        <v/>
      </c>
      <c r="BY189" s="193" t="str">
        <f t="shared" si="131"/>
        <v/>
      </c>
      <c r="BZ189" s="193" t="str">
        <f t="shared" si="132"/>
        <v/>
      </c>
      <c r="CA189" s="192" t="str">
        <f t="shared" si="133"/>
        <v/>
      </c>
      <c r="CB189" s="193" t="str">
        <f t="shared" si="134"/>
        <v/>
      </c>
      <c r="CC189" s="193" t="str">
        <f t="shared" si="135"/>
        <v/>
      </c>
      <c r="CD189" s="193" t="str">
        <f t="shared" si="136"/>
        <v/>
      </c>
    </row>
    <row r="190" spans="1:82" x14ac:dyDescent="0.2">
      <c r="A190" s="140"/>
      <c r="B190" s="141" t="str">
        <f t="shared" si="105"/>
        <v/>
      </c>
      <c r="C190" s="142" t="str">
        <f t="shared" si="93"/>
        <v/>
      </c>
      <c r="D190" s="142" t="str">
        <f t="shared" si="106"/>
        <v/>
      </c>
      <c r="E190" s="142" t="str">
        <f>IF($C190="", "", COUNTIF($M$8:$M190,$D190))</f>
        <v/>
      </c>
      <c r="F190" s="254">
        <v>183</v>
      </c>
      <c r="G190" s="143"/>
      <c r="H190" s="144"/>
      <c r="I190" s="144"/>
      <c r="J190" s="145"/>
      <c r="K190" s="144"/>
      <c r="L190" s="144"/>
      <c r="M190" s="144"/>
      <c r="N190" s="146"/>
      <c r="O190" s="147"/>
      <c r="P190" s="147"/>
      <c r="Q190" s="147"/>
      <c r="R190" s="147"/>
      <c r="S190" s="147"/>
      <c r="T190" s="149"/>
      <c r="U190" s="150" t="str">
        <f>IF($T190="", "", VLOOKUP($T190, CONTRATOS!$B:$E, 2, FALSE))</f>
        <v/>
      </c>
      <c r="V190" s="151">
        <f>IF(OR($T190="",TB_DEFESA!$C$2="CARGA BASELINE"),0,
   IF(VLOOKUP($T190, CONTRATOS!B:E, 3, FALSE)&lt;&gt;"",1,IF(VLOOKUP($T190, CONTRATOS!B:E, 4, FALSE)&lt;&gt;"",2,0)))</f>
        <v>0</v>
      </c>
      <c r="W190" s="152"/>
      <c r="X190" s="152"/>
      <c r="Y190" s="153"/>
      <c r="Z190" s="154"/>
      <c r="AA190" s="155"/>
      <c r="AB190" s="156"/>
      <c r="AC190" s="157"/>
      <c r="AD190" s="155"/>
      <c r="AE190" s="158" t="str">
        <f t="shared" si="94"/>
        <v/>
      </c>
      <c r="AF190" s="160" t="str">
        <f t="shared" si="107"/>
        <v/>
      </c>
      <c r="AG190" s="182" t="s">
        <v>59</v>
      </c>
      <c r="AH190" s="183" t="str">
        <f t="shared" si="108"/>
        <v/>
      </c>
      <c r="AI190" s="183" t="str">
        <f t="shared" si="109"/>
        <v/>
      </c>
      <c r="AJ190" s="184" t="str">
        <f t="shared" si="110"/>
        <v/>
      </c>
      <c r="AK190" s="185" t="str">
        <f t="shared" si="111"/>
        <v/>
      </c>
      <c r="AL190" s="186"/>
      <c r="AM190" s="183" t="str">
        <f t="shared" si="112"/>
        <v/>
      </c>
      <c r="AN190" s="183" t="str">
        <f t="shared" si="113"/>
        <v/>
      </c>
      <c r="AO190" s="186" t="str">
        <f t="shared" si="114"/>
        <v/>
      </c>
      <c r="AP190" s="187" t="str">
        <f t="shared" si="115"/>
        <v/>
      </c>
      <c r="AQ190" s="187" t="str">
        <f t="shared" si="116"/>
        <v/>
      </c>
      <c r="AR190" s="188" t="str">
        <f t="shared" si="95"/>
        <v/>
      </c>
      <c r="AS190" s="188" t="str">
        <f t="shared" si="96"/>
        <v/>
      </c>
      <c r="AT190" s="183" t="str">
        <f t="shared" si="97"/>
        <v/>
      </c>
      <c r="AU190" s="189" t="str">
        <f>IF(OR($B190="", $AP190= ""),"",IF(VLOOKUP($AP190, CONTRATOS!B:K,3,FALSE)="","",VLOOKUP($AP190, CONTRATOS!B:K, 3,FALSE)))</f>
        <v/>
      </c>
      <c r="AV190" s="189" t="str">
        <f>IF(OR($B190="", $AP190 = ""), "", IF(VLOOKUP($AP190, CONTRATOS!B:K,4,FALSE)="","",VLOOKUP($AP190, CONTRATOS!B:K,4, FALSE)))</f>
        <v/>
      </c>
      <c r="AW190" s="190" t="str">
        <f t="shared" si="98"/>
        <v/>
      </c>
      <c r="AX190" s="189" t="str">
        <f t="shared" si="99"/>
        <v/>
      </c>
      <c r="AY190" s="189" t="str">
        <f t="shared" si="100"/>
        <v/>
      </c>
      <c r="AZ190" s="189" t="str">
        <f t="shared" si="101"/>
        <v/>
      </c>
      <c r="BA190" s="189" t="str">
        <f t="shared" si="102"/>
        <v/>
      </c>
      <c r="BB190" s="191">
        <f t="shared" si="117"/>
        <v>0</v>
      </c>
      <c r="BC190" s="191" t="str">
        <f t="shared" si="118"/>
        <v/>
      </c>
      <c r="BD190" s="191" t="str">
        <f t="shared" si="119"/>
        <v/>
      </c>
      <c r="BF190" s="192">
        <f t="shared" si="120"/>
        <v>0</v>
      </c>
      <c r="BG190" s="192">
        <f t="shared" si="121"/>
        <v>0</v>
      </c>
      <c r="BH190" s="192" t="str">
        <f>IF( $B190="", "", IF(ISNA(VLOOKUP($C190, Defesa!$C$7:$C$29,1,FALSE)),1,0))</f>
        <v/>
      </c>
      <c r="BI190" s="193" t="str">
        <f t="shared" si="122"/>
        <v/>
      </c>
      <c r="BJ190" s="193" t="str">
        <f>IF($B190="", "", IF( AND( $AI190="ESTIMATIVA", OR( Defesa!$F$7 = "AUTOMÁTICA", Defesa!$F$7 ="100% BASELINE")), 1, 0))</f>
        <v/>
      </c>
      <c r="BK190" s="192" t="str">
        <f t="shared" si="137"/>
        <v/>
      </c>
      <c r="BL190" s="192">
        <f t="shared" si="123"/>
        <v>0</v>
      </c>
      <c r="BM190" s="192" t="str">
        <f>IF($AC190="", "", IF(ISNA(VLOOKUP($AC190, TABELAS!$Q:$Q, 1, FALSE)), 1, 0))</f>
        <v/>
      </c>
      <c r="BN190" s="194" t="str">
        <f t="shared" si="138"/>
        <v/>
      </c>
      <c r="BO190" s="192" t="str">
        <f t="shared" si="124"/>
        <v/>
      </c>
      <c r="BP190" s="192" t="str">
        <f t="shared" si="125"/>
        <v/>
      </c>
      <c r="BQ190" s="193" t="str">
        <f t="shared" si="126"/>
        <v/>
      </c>
      <c r="BR190" s="192" t="str">
        <f t="shared" si="127"/>
        <v/>
      </c>
      <c r="BS190" s="192" t="str">
        <f t="shared" si="128"/>
        <v/>
      </c>
      <c r="BT190" s="192" t="str">
        <f>IF(OR($B190="", $AH190 = "SIM"), "", IF( ISNA(VLOOKUP($AP190,#REF!, 1, FALSE)), 1, 0))</f>
        <v/>
      </c>
      <c r="BU190" s="192" t="str">
        <f t="shared" si="129"/>
        <v/>
      </c>
      <c r="BV190" s="192" t="str">
        <f>IF( $B190="", "", IF( ISNA(VLOOKUP($AN190, TABELAS!$T$2:$T$9,1,FALSE)), 1, 0))</f>
        <v/>
      </c>
      <c r="BW190" s="192" t="str">
        <f t="shared" si="130"/>
        <v/>
      </c>
      <c r="BX190" s="192" t="str">
        <f>IF( OR($B190="", $AH190 = "SIM"), "", IF( ISNA( VLOOKUP( $AQ190, SISTEMA!$B:$B, 1, FALSE)), 1, 0))</f>
        <v/>
      </c>
      <c r="BY190" s="193" t="str">
        <f t="shared" si="131"/>
        <v/>
      </c>
      <c r="BZ190" s="193" t="str">
        <f t="shared" si="132"/>
        <v/>
      </c>
      <c r="CA190" s="192" t="str">
        <f t="shared" si="133"/>
        <v/>
      </c>
      <c r="CB190" s="193" t="str">
        <f t="shared" si="134"/>
        <v/>
      </c>
      <c r="CC190" s="193" t="str">
        <f t="shared" si="135"/>
        <v/>
      </c>
      <c r="CD190" s="193" t="str">
        <f t="shared" si="136"/>
        <v/>
      </c>
    </row>
    <row r="191" spans="1:82" x14ac:dyDescent="0.2">
      <c r="A191" s="140"/>
      <c r="B191" s="141" t="str">
        <f t="shared" si="105"/>
        <v/>
      </c>
      <c r="C191" s="142" t="str">
        <f t="shared" si="93"/>
        <v/>
      </c>
      <c r="D191" s="142" t="str">
        <f t="shared" si="106"/>
        <v/>
      </c>
      <c r="E191" s="142" t="str">
        <f>IF($C191="", "", COUNTIF($M$8:$M191,$D191))</f>
        <v/>
      </c>
      <c r="F191" s="254">
        <v>184</v>
      </c>
      <c r="G191" s="143"/>
      <c r="H191" s="144"/>
      <c r="I191" s="144"/>
      <c r="J191" s="145"/>
      <c r="K191" s="144"/>
      <c r="L191" s="144"/>
      <c r="M191" s="144"/>
      <c r="N191" s="146"/>
      <c r="O191" s="147"/>
      <c r="P191" s="147"/>
      <c r="Q191" s="147"/>
      <c r="R191" s="147"/>
      <c r="S191" s="147"/>
      <c r="T191" s="149"/>
      <c r="U191" s="150" t="str">
        <f>IF($T191="", "", VLOOKUP($T191, CONTRATOS!$B:$E, 2, FALSE))</f>
        <v/>
      </c>
      <c r="V191" s="151">
        <f>IF(OR($T191="",TB_DEFESA!$C$2="CARGA BASELINE"),0,
   IF(VLOOKUP($T191, CONTRATOS!B:E, 3, FALSE)&lt;&gt;"",1,IF(VLOOKUP($T191, CONTRATOS!B:E, 4, FALSE)&lt;&gt;"",2,0)))</f>
        <v>0</v>
      </c>
      <c r="W191" s="152"/>
      <c r="X191" s="152"/>
      <c r="Y191" s="153"/>
      <c r="Z191" s="154"/>
      <c r="AA191" s="155"/>
      <c r="AB191" s="156"/>
      <c r="AC191" s="157"/>
      <c r="AD191" s="155"/>
      <c r="AE191" s="158" t="str">
        <f t="shared" si="94"/>
        <v/>
      </c>
      <c r="AF191" s="160" t="str">
        <f t="shared" si="107"/>
        <v/>
      </c>
      <c r="AG191" s="182" t="s">
        <v>59</v>
      </c>
      <c r="AH191" s="183" t="str">
        <f t="shared" si="108"/>
        <v/>
      </c>
      <c r="AI191" s="183" t="str">
        <f t="shared" si="109"/>
        <v/>
      </c>
      <c r="AJ191" s="184" t="str">
        <f t="shared" si="110"/>
        <v/>
      </c>
      <c r="AK191" s="185" t="str">
        <f t="shared" si="111"/>
        <v/>
      </c>
      <c r="AL191" s="186"/>
      <c r="AM191" s="183" t="str">
        <f t="shared" si="112"/>
        <v/>
      </c>
      <c r="AN191" s="183" t="str">
        <f t="shared" si="113"/>
        <v/>
      </c>
      <c r="AO191" s="186" t="str">
        <f t="shared" si="114"/>
        <v/>
      </c>
      <c r="AP191" s="187" t="str">
        <f t="shared" si="115"/>
        <v/>
      </c>
      <c r="AQ191" s="187" t="str">
        <f t="shared" si="116"/>
        <v/>
      </c>
      <c r="AR191" s="188" t="str">
        <f t="shared" si="95"/>
        <v/>
      </c>
      <c r="AS191" s="188" t="str">
        <f t="shared" si="96"/>
        <v/>
      </c>
      <c r="AT191" s="183" t="str">
        <f t="shared" si="97"/>
        <v/>
      </c>
      <c r="AU191" s="189" t="str">
        <f>IF(OR($B191="", $AP191= ""),"",IF(VLOOKUP($AP191, CONTRATOS!B:K,3,FALSE)="","",VLOOKUP($AP191, CONTRATOS!B:K, 3,FALSE)))</f>
        <v/>
      </c>
      <c r="AV191" s="189" t="str">
        <f>IF(OR($B191="", $AP191 = ""), "", IF(VLOOKUP($AP191, CONTRATOS!B:K,4,FALSE)="","",VLOOKUP($AP191, CONTRATOS!B:K,4, FALSE)))</f>
        <v/>
      </c>
      <c r="AW191" s="190" t="str">
        <f t="shared" si="98"/>
        <v/>
      </c>
      <c r="AX191" s="189" t="str">
        <f t="shared" si="99"/>
        <v/>
      </c>
      <c r="AY191" s="189" t="str">
        <f t="shared" si="100"/>
        <v/>
      </c>
      <c r="AZ191" s="189" t="str">
        <f t="shared" si="101"/>
        <v/>
      </c>
      <c r="BA191" s="189" t="str">
        <f t="shared" si="102"/>
        <v/>
      </c>
      <c r="BB191" s="191">
        <f t="shared" si="117"/>
        <v>0</v>
      </c>
      <c r="BC191" s="191" t="str">
        <f t="shared" si="118"/>
        <v/>
      </c>
      <c r="BD191" s="191" t="str">
        <f t="shared" si="119"/>
        <v/>
      </c>
      <c r="BF191" s="192">
        <f t="shared" si="120"/>
        <v>0</v>
      </c>
      <c r="BG191" s="192">
        <f t="shared" si="121"/>
        <v>0</v>
      </c>
      <c r="BH191" s="192" t="str">
        <f>IF( $B191="", "", IF(ISNA(VLOOKUP($C191, Defesa!$C$7:$C$29,1,FALSE)),1,0))</f>
        <v/>
      </c>
      <c r="BI191" s="193" t="str">
        <f t="shared" si="122"/>
        <v/>
      </c>
      <c r="BJ191" s="193" t="str">
        <f>IF($B191="", "", IF( AND( $AI191="ESTIMATIVA", OR( Defesa!$F$7 = "AUTOMÁTICA", Defesa!$F$7 ="100% BASELINE")), 1, 0))</f>
        <v/>
      </c>
      <c r="BK191" s="192" t="str">
        <f t="shared" si="137"/>
        <v/>
      </c>
      <c r="BL191" s="192">
        <f t="shared" si="123"/>
        <v>0</v>
      </c>
      <c r="BM191" s="192" t="str">
        <f>IF($AC191="", "", IF(ISNA(VLOOKUP($AC191, TABELAS!$Q:$Q, 1, FALSE)), 1, 0))</f>
        <v/>
      </c>
      <c r="BN191" s="194" t="str">
        <f t="shared" si="138"/>
        <v/>
      </c>
      <c r="BO191" s="192" t="str">
        <f t="shared" si="124"/>
        <v/>
      </c>
      <c r="BP191" s="192" t="str">
        <f t="shared" si="125"/>
        <v/>
      </c>
      <c r="BQ191" s="193" t="str">
        <f t="shared" si="126"/>
        <v/>
      </c>
      <c r="BR191" s="192" t="str">
        <f t="shared" si="127"/>
        <v/>
      </c>
      <c r="BS191" s="192" t="str">
        <f t="shared" si="128"/>
        <v/>
      </c>
      <c r="BT191" s="192" t="str">
        <f>IF(OR($B191="", $AH191 = "SIM"), "", IF( ISNA(VLOOKUP($AP191,#REF!, 1, FALSE)), 1, 0))</f>
        <v/>
      </c>
      <c r="BU191" s="192" t="str">
        <f t="shared" si="129"/>
        <v/>
      </c>
      <c r="BV191" s="192" t="str">
        <f>IF( $B191="", "", IF( ISNA(VLOOKUP($AN191, TABELAS!$T$2:$T$9,1,FALSE)), 1, 0))</f>
        <v/>
      </c>
      <c r="BW191" s="192" t="str">
        <f t="shared" si="130"/>
        <v/>
      </c>
      <c r="BX191" s="192" t="str">
        <f>IF( OR($B191="", $AH191 = "SIM"), "", IF( ISNA( VLOOKUP( $AQ191, SISTEMA!$B:$B, 1, FALSE)), 1, 0))</f>
        <v/>
      </c>
      <c r="BY191" s="193" t="str">
        <f t="shared" si="131"/>
        <v/>
      </c>
      <c r="BZ191" s="193" t="str">
        <f t="shared" si="132"/>
        <v/>
      </c>
      <c r="CA191" s="192" t="str">
        <f t="shared" si="133"/>
        <v/>
      </c>
      <c r="CB191" s="193" t="str">
        <f t="shared" si="134"/>
        <v/>
      </c>
      <c r="CC191" s="193" t="str">
        <f t="shared" si="135"/>
        <v/>
      </c>
      <c r="CD191" s="193" t="str">
        <f t="shared" si="136"/>
        <v/>
      </c>
    </row>
    <row r="192" spans="1:82" x14ac:dyDescent="0.2">
      <c r="A192" s="140"/>
      <c r="B192" s="141" t="str">
        <f t="shared" si="105"/>
        <v/>
      </c>
      <c r="C192" s="142" t="str">
        <f t="shared" si="93"/>
        <v/>
      </c>
      <c r="D192" s="142" t="str">
        <f t="shared" si="106"/>
        <v/>
      </c>
      <c r="E192" s="142" t="str">
        <f>IF($C192="", "", COUNTIF($M$8:$M192,$D192))</f>
        <v/>
      </c>
      <c r="F192" s="254">
        <v>185</v>
      </c>
      <c r="G192" s="143"/>
      <c r="H192" s="144"/>
      <c r="I192" s="144"/>
      <c r="J192" s="145"/>
      <c r="K192" s="144"/>
      <c r="L192" s="144"/>
      <c r="M192" s="144"/>
      <c r="N192" s="146"/>
      <c r="O192" s="147"/>
      <c r="P192" s="147"/>
      <c r="Q192" s="147"/>
      <c r="R192" s="147"/>
      <c r="S192" s="147"/>
      <c r="T192" s="149"/>
      <c r="U192" s="150" t="str">
        <f>IF($T192="", "", VLOOKUP($T192, CONTRATOS!$B:$E, 2, FALSE))</f>
        <v/>
      </c>
      <c r="V192" s="151">
        <f>IF(OR($T192="",TB_DEFESA!$C$2="CARGA BASELINE"),0,
   IF(VLOOKUP($T192, CONTRATOS!B:E, 3, FALSE)&lt;&gt;"",1,IF(VLOOKUP($T192, CONTRATOS!B:E, 4, FALSE)&lt;&gt;"",2,0)))</f>
        <v>0</v>
      </c>
      <c r="W192" s="152"/>
      <c r="X192" s="152"/>
      <c r="Y192" s="153"/>
      <c r="Z192" s="154"/>
      <c r="AA192" s="155"/>
      <c r="AB192" s="156"/>
      <c r="AC192" s="157"/>
      <c r="AD192" s="155"/>
      <c r="AE192" s="158" t="str">
        <f t="shared" si="94"/>
        <v/>
      </c>
      <c r="AF192" s="160" t="str">
        <f t="shared" si="107"/>
        <v/>
      </c>
      <c r="AG192" s="182" t="s">
        <v>59</v>
      </c>
      <c r="AH192" s="183" t="str">
        <f t="shared" si="108"/>
        <v/>
      </c>
      <c r="AI192" s="183" t="str">
        <f t="shared" si="109"/>
        <v/>
      </c>
      <c r="AJ192" s="184" t="str">
        <f t="shared" si="110"/>
        <v/>
      </c>
      <c r="AK192" s="185" t="str">
        <f t="shared" si="111"/>
        <v/>
      </c>
      <c r="AL192" s="186"/>
      <c r="AM192" s="183" t="str">
        <f t="shared" si="112"/>
        <v/>
      </c>
      <c r="AN192" s="183" t="str">
        <f t="shared" si="113"/>
        <v/>
      </c>
      <c r="AO192" s="186" t="str">
        <f t="shared" si="114"/>
        <v/>
      </c>
      <c r="AP192" s="187" t="str">
        <f t="shared" si="115"/>
        <v/>
      </c>
      <c r="AQ192" s="187" t="str">
        <f t="shared" si="116"/>
        <v/>
      </c>
      <c r="AR192" s="188" t="str">
        <f t="shared" si="95"/>
        <v/>
      </c>
      <c r="AS192" s="188" t="str">
        <f t="shared" si="96"/>
        <v/>
      </c>
      <c r="AT192" s="183" t="str">
        <f t="shared" si="97"/>
        <v/>
      </c>
      <c r="AU192" s="189" t="str">
        <f>IF(OR($B192="", $AP192= ""),"",IF(VLOOKUP($AP192, CONTRATOS!B:K,3,FALSE)="","",VLOOKUP($AP192, CONTRATOS!B:K, 3,FALSE)))</f>
        <v/>
      </c>
      <c r="AV192" s="189" t="str">
        <f>IF(OR($B192="", $AP192 = ""), "", IF(VLOOKUP($AP192, CONTRATOS!B:K,4,FALSE)="","",VLOOKUP($AP192, CONTRATOS!B:K,4, FALSE)))</f>
        <v/>
      </c>
      <c r="AW192" s="190" t="str">
        <f t="shared" si="98"/>
        <v/>
      </c>
      <c r="AX192" s="189" t="str">
        <f t="shared" si="99"/>
        <v/>
      </c>
      <c r="AY192" s="189" t="str">
        <f t="shared" si="100"/>
        <v/>
      </c>
      <c r="AZ192" s="189" t="str">
        <f t="shared" si="101"/>
        <v/>
      </c>
      <c r="BA192" s="189" t="str">
        <f t="shared" si="102"/>
        <v/>
      </c>
      <c r="BB192" s="191">
        <f t="shared" si="117"/>
        <v>0</v>
      </c>
      <c r="BC192" s="191" t="str">
        <f t="shared" si="118"/>
        <v/>
      </c>
      <c r="BD192" s="191" t="str">
        <f t="shared" si="119"/>
        <v/>
      </c>
      <c r="BF192" s="192">
        <f t="shared" si="120"/>
        <v>0</v>
      </c>
      <c r="BG192" s="192">
        <f t="shared" si="121"/>
        <v>0</v>
      </c>
      <c r="BH192" s="192" t="str">
        <f>IF( $B192="", "", IF(ISNA(VLOOKUP($C192, Defesa!$C$7:$C$29,1,FALSE)),1,0))</f>
        <v/>
      </c>
      <c r="BI192" s="193" t="str">
        <f t="shared" si="122"/>
        <v/>
      </c>
      <c r="BJ192" s="193" t="str">
        <f>IF($B192="", "", IF( AND( $AI192="ESTIMATIVA", OR( Defesa!$F$7 = "AUTOMÁTICA", Defesa!$F$7 ="100% BASELINE")), 1, 0))</f>
        <v/>
      </c>
      <c r="BK192" s="192" t="str">
        <f t="shared" si="137"/>
        <v/>
      </c>
      <c r="BL192" s="192">
        <f t="shared" si="123"/>
        <v>0</v>
      </c>
      <c r="BM192" s="192" t="str">
        <f>IF($AC192="", "", IF(ISNA(VLOOKUP($AC192, TABELAS!$Q:$Q, 1, FALSE)), 1, 0))</f>
        <v/>
      </c>
      <c r="BN192" s="194" t="str">
        <f t="shared" si="138"/>
        <v/>
      </c>
      <c r="BO192" s="192" t="str">
        <f t="shared" si="124"/>
        <v/>
      </c>
      <c r="BP192" s="192" t="str">
        <f t="shared" si="125"/>
        <v/>
      </c>
      <c r="BQ192" s="193" t="str">
        <f t="shared" si="126"/>
        <v/>
      </c>
      <c r="BR192" s="192" t="str">
        <f t="shared" si="127"/>
        <v/>
      </c>
      <c r="BS192" s="192" t="str">
        <f t="shared" si="128"/>
        <v/>
      </c>
      <c r="BT192" s="192" t="str">
        <f>IF(OR($B192="", $AH192 = "SIM"), "", IF( ISNA(VLOOKUP($AP192,#REF!, 1, FALSE)), 1, 0))</f>
        <v/>
      </c>
      <c r="BU192" s="192" t="str">
        <f t="shared" si="129"/>
        <v/>
      </c>
      <c r="BV192" s="192" t="str">
        <f>IF( $B192="", "", IF( ISNA(VLOOKUP($AN192, TABELAS!$T$2:$T$9,1,FALSE)), 1, 0))</f>
        <v/>
      </c>
      <c r="BW192" s="192" t="str">
        <f t="shared" si="130"/>
        <v/>
      </c>
      <c r="BX192" s="192" t="str">
        <f>IF( OR($B192="", $AH192 = "SIM"), "", IF( ISNA( VLOOKUP( $AQ192, SISTEMA!$B:$B, 1, FALSE)), 1, 0))</f>
        <v/>
      </c>
      <c r="BY192" s="193" t="str">
        <f t="shared" si="131"/>
        <v/>
      </c>
      <c r="BZ192" s="193" t="str">
        <f t="shared" si="132"/>
        <v/>
      </c>
      <c r="CA192" s="192" t="str">
        <f t="shared" si="133"/>
        <v/>
      </c>
      <c r="CB192" s="193" t="str">
        <f t="shared" si="134"/>
        <v/>
      </c>
      <c r="CC192" s="193" t="str">
        <f t="shared" si="135"/>
        <v/>
      </c>
      <c r="CD192" s="193" t="str">
        <f t="shared" si="136"/>
        <v/>
      </c>
    </row>
    <row r="193" spans="1:82" x14ac:dyDescent="0.2">
      <c r="A193" s="140"/>
      <c r="B193" s="141" t="str">
        <f t="shared" si="105"/>
        <v/>
      </c>
      <c r="C193" s="142" t="str">
        <f t="shared" si="93"/>
        <v/>
      </c>
      <c r="D193" s="142" t="str">
        <f t="shared" si="106"/>
        <v/>
      </c>
      <c r="E193" s="142" t="str">
        <f>IF($C193="", "", COUNTIF($M$8:$M193,$D193))</f>
        <v/>
      </c>
      <c r="F193" s="254">
        <v>186</v>
      </c>
      <c r="G193" s="143"/>
      <c r="H193" s="144"/>
      <c r="I193" s="144"/>
      <c r="J193" s="145"/>
      <c r="K193" s="144"/>
      <c r="L193" s="144"/>
      <c r="M193" s="144"/>
      <c r="N193" s="146"/>
      <c r="O193" s="147"/>
      <c r="P193" s="147"/>
      <c r="Q193" s="147"/>
      <c r="R193" s="147"/>
      <c r="S193" s="147"/>
      <c r="T193" s="149"/>
      <c r="U193" s="150" t="str">
        <f>IF($T193="", "", VLOOKUP($T193, CONTRATOS!$B:$E, 2, FALSE))</f>
        <v/>
      </c>
      <c r="V193" s="151">
        <f>IF(OR($T193="",TB_DEFESA!$C$2="CARGA BASELINE"),0,
   IF(VLOOKUP($T193, CONTRATOS!B:E, 3, FALSE)&lt;&gt;"",1,IF(VLOOKUP($T193, CONTRATOS!B:E, 4, FALSE)&lt;&gt;"",2,0)))</f>
        <v>0</v>
      </c>
      <c r="W193" s="152"/>
      <c r="X193" s="152"/>
      <c r="Y193" s="153"/>
      <c r="Z193" s="154"/>
      <c r="AA193" s="155"/>
      <c r="AB193" s="156"/>
      <c r="AC193" s="157"/>
      <c r="AD193" s="155"/>
      <c r="AE193" s="158" t="str">
        <f t="shared" si="94"/>
        <v/>
      </c>
      <c r="AF193" s="160" t="str">
        <f t="shared" si="107"/>
        <v/>
      </c>
      <c r="AG193" s="182" t="s">
        <v>59</v>
      </c>
      <c r="AH193" s="183" t="str">
        <f t="shared" si="108"/>
        <v/>
      </c>
      <c r="AI193" s="183" t="str">
        <f t="shared" si="109"/>
        <v/>
      </c>
      <c r="AJ193" s="184" t="str">
        <f t="shared" si="110"/>
        <v/>
      </c>
      <c r="AK193" s="185" t="str">
        <f t="shared" si="111"/>
        <v/>
      </c>
      <c r="AL193" s="186"/>
      <c r="AM193" s="183" t="str">
        <f t="shared" si="112"/>
        <v/>
      </c>
      <c r="AN193" s="183" t="str">
        <f t="shared" si="113"/>
        <v/>
      </c>
      <c r="AO193" s="186" t="str">
        <f t="shared" si="114"/>
        <v/>
      </c>
      <c r="AP193" s="187" t="str">
        <f t="shared" si="115"/>
        <v/>
      </c>
      <c r="AQ193" s="187" t="str">
        <f t="shared" si="116"/>
        <v/>
      </c>
      <c r="AR193" s="188" t="str">
        <f t="shared" si="95"/>
        <v/>
      </c>
      <c r="AS193" s="188" t="str">
        <f t="shared" si="96"/>
        <v/>
      </c>
      <c r="AT193" s="183" t="str">
        <f t="shared" si="97"/>
        <v/>
      </c>
      <c r="AU193" s="189" t="str">
        <f>IF(OR($B193="", $AP193= ""),"",IF(VLOOKUP($AP193, CONTRATOS!B:K,3,FALSE)="","",VLOOKUP($AP193, CONTRATOS!B:K, 3,FALSE)))</f>
        <v/>
      </c>
      <c r="AV193" s="189" t="str">
        <f>IF(OR($B193="", $AP193 = ""), "", IF(VLOOKUP($AP193, CONTRATOS!B:K,4,FALSE)="","",VLOOKUP($AP193, CONTRATOS!B:K,4, FALSE)))</f>
        <v/>
      </c>
      <c r="AW193" s="190" t="str">
        <f t="shared" si="98"/>
        <v/>
      </c>
      <c r="AX193" s="189" t="str">
        <f t="shared" si="99"/>
        <v/>
      </c>
      <c r="AY193" s="189" t="str">
        <f t="shared" si="100"/>
        <v/>
      </c>
      <c r="AZ193" s="189" t="str">
        <f t="shared" si="101"/>
        <v/>
      </c>
      <c r="BA193" s="189" t="str">
        <f t="shared" si="102"/>
        <v/>
      </c>
      <c r="BB193" s="191">
        <f t="shared" si="117"/>
        <v>0</v>
      </c>
      <c r="BC193" s="191" t="str">
        <f t="shared" si="118"/>
        <v/>
      </c>
      <c r="BD193" s="191" t="str">
        <f t="shared" si="119"/>
        <v/>
      </c>
      <c r="BF193" s="192">
        <f t="shared" si="120"/>
        <v>0</v>
      </c>
      <c r="BG193" s="192">
        <f t="shared" si="121"/>
        <v>0</v>
      </c>
      <c r="BH193" s="192" t="str">
        <f>IF( $B193="", "", IF(ISNA(VLOOKUP($C193, Defesa!$C$7:$C$29,1,FALSE)),1,0))</f>
        <v/>
      </c>
      <c r="BI193" s="193" t="str">
        <f t="shared" si="122"/>
        <v/>
      </c>
      <c r="BJ193" s="193" t="str">
        <f>IF($B193="", "", IF( AND( $AI193="ESTIMATIVA", OR( Defesa!$F$7 = "AUTOMÁTICA", Defesa!$F$7 ="100% BASELINE")), 1, 0))</f>
        <v/>
      </c>
      <c r="BK193" s="192" t="str">
        <f t="shared" si="137"/>
        <v/>
      </c>
      <c r="BL193" s="192">
        <f t="shared" si="123"/>
        <v>0</v>
      </c>
      <c r="BM193" s="192" t="str">
        <f>IF($AC193="", "", IF(ISNA(VLOOKUP($AC193, TABELAS!$Q:$Q, 1, FALSE)), 1, 0))</f>
        <v/>
      </c>
      <c r="BN193" s="194" t="str">
        <f t="shared" si="138"/>
        <v/>
      </c>
      <c r="BO193" s="192" t="str">
        <f t="shared" si="124"/>
        <v/>
      </c>
      <c r="BP193" s="192" t="str">
        <f t="shared" si="125"/>
        <v/>
      </c>
      <c r="BQ193" s="193" t="str">
        <f t="shared" si="126"/>
        <v/>
      </c>
      <c r="BR193" s="192" t="str">
        <f t="shared" si="127"/>
        <v/>
      </c>
      <c r="BS193" s="192" t="str">
        <f t="shared" si="128"/>
        <v/>
      </c>
      <c r="BT193" s="192" t="str">
        <f>IF(OR($B193="", $AH193 = "SIM"), "", IF( ISNA(VLOOKUP($AP193,#REF!, 1, FALSE)), 1, 0))</f>
        <v/>
      </c>
      <c r="BU193" s="192" t="str">
        <f t="shared" si="129"/>
        <v/>
      </c>
      <c r="BV193" s="192" t="str">
        <f>IF( $B193="", "", IF( ISNA(VLOOKUP($AN193, TABELAS!$T$2:$T$9,1,FALSE)), 1, 0))</f>
        <v/>
      </c>
      <c r="BW193" s="192" t="str">
        <f t="shared" si="130"/>
        <v/>
      </c>
      <c r="BX193" s="192" t="str">
        <f>IF( OR($B193="", $AH193 = "SIM"), "", IF( ISNA( VLOOKUP( $AQ193, SISTEMA!$B:$B, 1, FALSE)), 1, 0))</f>
        <v/>
      </c>
      <c r="BY193" s="193" t="str">
        <f t="shared" si="131"/>
        <v/>
      </c>
      <c r="BZ193" s="193" t="str">
        <f t="shared" si="132"/>
        <v/>
      </c>
      <c r="CA193" s="192" t="str">
        <f t="shared" si="133"/>
        <v/>
      </c>
      <c r="CB193" s="193" t="str">
        <f t="shared" si="134"/>
        <v/>
      </c>
      <c r="CC193" s="193" t="str">
        <f t="shared" si="135"/>
        <v/>
      </c>
      <c r="CD193" s="193" t="str">
        <f t="shared" si="136"/>
        <v/>
      </c>
    </row>
    <row r="194" spans="1:82" x14ac:dyDescent="0.2">
      <c r="A194" s="140"/>
      <c r="B194" s="141" t="str">
        <f t="shared" si="105"/>
        <v/>
      </c>
      <c r="C194" s="142" t="str">
        <f t="shared" si="93"/>
        <v/>
      </c>
      <c r="D194" s="142" t="str">
        <f t="shared" si="106"/>
        <v/>
      </c>
      <c r="E194" s="142" t="str">
        <f>IF($C194="", "", COUNTIF($M$8:$M194,$D194))</f>
        <v/>
      </c>
      <c r="F194" s="254">
        <v>187</v>
      </c>
      <c r="G194" s="143"/>
      <c r="H194" s="144"/>
      <c r="I194" s="144"/>
      <c r="J194" s="145"/>
      <c r="K194" s="144"/>
      <c r="L194" s="144"/>
      <c r="M194" s="144"/>
      <c r="N194" s="146"/>
      <c r="O194" s="147"/>
      <c r="P194" s="147"/>
      <c r="Q194" s="147"/>
      <c r="R194" s="147"/>
      <c r="S194" s="147"/>
      <c r="T194" s="149"/>
      <c r="U194" s="150" t="str">
        <f>IF($T194="", "", VLOOKUP($T194, CONTRATOS!$B:$E, 2, FALSE))</f>
        <v/>
      </c>
      <c r="V194" s="151">
        <f>IF(OR($T194="",TB_DEFESA!$C$2="CARGA BASELINE"),0,
   IF(VLOOKUP($T194, CONTRATOS!B:E, 3, FALSE)&lt;&gt;"",1,IF(VLOOKUP($T194, CONTRATOS!B:E, 4, FALSE)&lt;&gt;"",2,0)))</f>
        <v>0</v>
      </c>
      <c r="W194" s="152"/>
      <c r="X194" s="152"/>
      <c r="Y194" s="153"/>
      <c r="Z194" s="154"/>
      <c r="AA194" s="155"/>
      <c r="AB194" s="156"/>
      <c r="AC194" s="157"/>
      <c r="AD194" s="155"/>
      <c r="AE194" s="158" t="str">
        <f t="shared" si="94"/>
        <v/>
      </c>
      <c r="AF194" s="160" t="str">
        <f t="shared" si="107"/>
        <v/>
      </c>
      <c r="AG194" s="182" t="s">
        <v>59</v>
      </c>
      <c r="AH194" s="183" t="str">
        <f t="shared" si="108"/>
        <v/>
      </c>
      <c r="AI194" s="183" t="str">
        <f t="shared" si="109"/>
        <v/>
      </c>
      <c r="AJ194" s="184" t="str">
        <f t="shared" si="110"/>
        <v/>
      </c>
      <c r="AK194" s="185" t="str">
        <f t="shared" si="111"/>
        <v/>
      </c>
      <c r="AL194" s="186"/>
      <c r="AM194" s="183" t="str">
        <f t="shared" si="112"/>
        <v/>
      </c>
      <c r="AN194" s="183" t="str">
        <f t="shared" si="113"/>
        <v/>
      </c>
      <c r="AO194" s="186" t="str">
        <f t="shared" si="114"/>
        <v/>
      </c>
      <c r="AP194" s="187" t="str">
        <f t="shared" si="115"/>
        <v/>
      </c>
      <c r="AQ194" s="187" t="str">
        <f t="shared" si="116"/>
        <v/>
      </c>
      <c r="AR194" s="188" t="str">
        <f t="shared" si="95"/>
        <v/>
      </c>
      <c r="AS194" s="188" t="str">
        <f t="shared" si="96"/>
        <v/>
      </c>
      <c r="AT194" s="183" t="str">
        <f t="shared" si="97"/>
        <v/>
      </c>
      <c r="AU194" s="189" t="str">
        <f>IF(OR($B194="", $AP194= ""),"",IF(VLOOKUP($AP194, CONTRATOS!B:K,3,FALSE)="","",VLOOKUP($AP194, CONTRATOS!B:K, 3,FALSE)))</f>
        <v/>
      </c>
      <c r="AV194" s="189" t="str">
        <f>IF(OR($B194="", $AP194 = ""), "", IF(VLOOKUP($AP194, CONTRATOS!B:K,4,FALSE)="","",VLOOKUP($AP194, CONTRATOS!B:K,4, FALSE)))</f>
        <v/>
      </c>
      <c r="AW194" s="190" t="str">
        <f t="shared" si="98"/>
        <v/>
      </c>
      <c r="AX194" s="189" t="str">
        <f t="shared" si="99"/>
        <v/>
      </c>
      <c r="AY194" s="189" t="str">
        <f t="shared" si="100"/>
        <v/>
      </c>
      <c r="AZ194" s="189" t="str">
        <f t="shared" si="101"/>
        <v/>
      </c>
      <c r="BA194" s="189" t="str">
        <f t="shared" si="102"/>
        <v/>
      </c>
      <c r="BB194" s="191">
        <f t="shared" si="117"/>
        <v>0</v>
      </c>
      <c r="BC194" s="191" t="str">
        <f t="shared" si="118"/>
        <v/>
      </c>
      <c r="BD194" s="191" t="str">
        <f t="shared" si="119"/>
        <v/>
      </c>
      <c r="BF194" s="192">
        <f t="shared" si="120"/>
        <v>0</v>
      </c>
      <c r="BG194" s="192">
        <f t="shared" si="121"/>
        <v>0</v>
      </c>
      <c r="BH194" s="192" t="str">
        <f>IF( $B194="", "", IF(ISNA(VLOOKUP($C194, Defesa!$C$7:$C$29,1,FALSE)),1,0))</f>
        <v/>
      </c>
      <c r="BI194" s="193" t="str">
        <f t="shared" si="122"/>
        <v/>
      </c>
      <c r="BJ194" s="193" t="str">
        <f>IF($B194="", "", IF( AND( $AI194="ESTIMATIVA", OR( Defesa!$F$7 = "AUTOMÁTICA", Defesa!$F$7 ="100% BASELINE")), 1, 0))</f>
        <v/>
      </c>
      <c r="BK194" s="192" t="str">
        <f t="shared" si="137"/>
        <v/>
      </c>
      <c r="BL194" s="192">
        <f t="shared" si="123"/>
        <v>0</v>
      </c>
      <c r="BM194" s="192" t="str">
        <f>IF($AC194="", "", IF(ISNA(VLOOKUP($AC194, TABELAS!$Q:$Q, 1, FALSE)), 1, 0))</f>
        <v/>
      </c>
      <c r="BN194" s="194" t="str">
        <f t="shared" si="138"/>
        <v/>
      </c>
      <c r="BO194" s="192" t="str">
        <f t="shared" si="124"/>
        <v/>
      </c>
      <c r="BP194" s="192" t="str">
        <f t="shared" si="125"/>
        <v/>
      </c>
      <c r="BQ194" s="193" t="str">
        <f t="shared" si="126"/>
        <v/>
      </c>
      <c r="BR194" s="192" t="str">
        <f t="shared" si="127"/>
        <v/>
      </c>
      <c r="BS194" s="192" t="str">
        <f t="shared" si="128"/>
        <v/>
      </c>
      <c r="BT194" s="192" t="str">
        <f>IF(OR($B194="", $AH194 = "SIM"), "", IF( ISNA(VLOOKUP($AP194,#REF!, 1, FALSE)), 1, 0))</f>
        <v/>
      </c>
      <c r="BU194" s="192" t="str">
        <f t="shared" si="129"/>
        <v/>
      </c>
      <c r="BV194" s="192" t="str">
        <f>IF( $B194="", "", IF( ISNA(VLOOKUP($AN194, TABELAS!$T$2:$T$9,1,FALSE)), 1, 0))</f>
        <v/>
      </c>
      <c r="BW194" s="192" t="str">
        <f t="shared" si="130"/>
        <v/>
      </c>
      <c r="BX194" s="192" t="str">
        <f>IF( OR($B194="", $AH194 = "SIM"), "", IF( ISNA( VLOOKUP( $AQ194, SISTEMA!$B:$B, 1, FALSE)), 1, 0))</f>
        <v/>
      </c>
      <c r="BY194" s="193" t="str">
        <f t="shared" si="131"/>
        <v/>
      </c>
      <c r="BZ194" s="193" t="str">
        <f t="shared" si="132"/>
        <v/>
      </c>
      <c r="CA194" s="192" t="str">
        <f t="shared" si="133"/>
        <v/>
      </c>
      <c r="CB194" s="193" t="str">
        <f t="shared" si="134"/>
        <v/>
      </c>
      <c r="CC194" s="193" t="str">
        <f t="shared" si="135"/>
        <v/>
      </c>
      <c r="CD194" s="193" t="str">
        <f t="shared" si="136"/>
        <v/>
      </c>
    </row>
    <row r="195" spans="1:82" x14ac:dyDescent="0.2">
      <c r="A195" s="140"/>
      <c r="B195" s="141" t="str">
        <f t="shared" si="105"/>
        <v/>
      </c>
      <c r="C195" s="142" t="str">
        <f t="shared" si="93"/>
        <v/>
      </c>
      <c r="D195" s="142" t="str">
        <f t="shared" si="106"/>
        <v/>
      </c>
      <c r="E195" s="142" t="str">
        <f>IF($C195="", "", COUNTIF($M$8:$M195,$D195))</f>
        <v/>
      </c>
      <c r="F195" s="254">
        <v>188</v>
      </c>
      <c r="G195" s="143"/>
      <c r="H195" s="144"/>
      <c r="I195" s="144"/>
      <c r="J195" s="145"/>
      <c r="K195" s="144"/>
      <c r="L195" s="144"/>
      <c r="M195" s="144"/>
      <c r="N195" s="146"/>
      <c r="O195" s="147"/>
      <c r="P195" s="147"/>
      <c r="Q195" s="147"/>
      <c r="R195" s="147"/>
      <c r="S195" s="147"/>
      <c r="T195" s="149"/>
      <c r="U195" s="150" t="str">
        <f>IF($T195="", "", VLOOKUP($T195, CONTRATOS!$B:$E, 2, FALSE))</f>
        <v/>
      </c>
      <c r="V195" s="151">
        <f>IF(OR($T195="",TB_DEFESA!$C$2="CARGA BASELINE"),0,
   IF(VLOOKUP($T195, CONTRATOS!B:E, 3, FALSE)&lt;&gt;"",1,IF(VLOOKUP($T195, CONTRATOS!B:E, 4, FALSE)&lt;&gt;"",2,0)))</f>
        <v>0</v>
      </c>
      <c r="W195" s="152"/>
      <c r="X195" s="152"/>
      <c r="Y195" s="153"/>
      <c r="Z195" s="154"/>
      <c r="AA195" s="155"/>
      <c r="AB195" s="156"/>
      <c r="AC195" s="157"/>
      <c r="AD195" s="155"/>
      <c r="AE195" s="158" t="str">
        <f t="shared" si="94"/>
        <v/>
      </c>
      <c r="AF195" s="160" t="str">
        <f t="shared" si="107"/>
        <v/>
      </c>
      <c r="AG195" s="182" t="s">
        <v>59</v>
      </c>
      <c r="AH195" s="183" t="str">
        <f t="shared" si="108"/>
        <v/>
      </c>
      <c r="AI195" s="183" t="str">
        <f t="shared" si="109"/>
        <v/>
      </c>
      <c r="AJ195" s="184" t="str">
        <f t="shared" si="110"/>
        <v/>
      </c>
      <c r="AK195" s="185" t="str">
        <f t="shared" si="111"/>
        <v/>
      </c>
      <c r="AL195" s="186"/>
      <c r="AM195" s="183" t="str">
        <f t="shared" si="112"/>
        <v/>
      </c>
      <c r="AN195" s="183" t="str">
        <f t="shared" si="113"/>
        <v/>
      </c>
      <c r="AO195" s="186" t="str">
        <f t="shared" si="114"/>
        <v/>
      </c>
      <c r="AP195" s="187" t="str">
        <f t="shared" si="115"/>
        <v/>
      </c>
      <c r="AQ195" s="187" t="str">
        <f t="shared" si="116"/>
        <v/>
      </c>
      <c r="AR195" s="188" t="str">
        <f t="shared" si="95"/>
        <v/>
      </c>
      <c r="AS195" s="188" t="str">
        <f t="shared" si="96"/>
        <v/>
      </c>
      <c r="AT195" s="183" t="str">
        <f t="shared" si="97"/>
        <v/>
      </c>
      <c r="AU195" s="189" t="str">
        <f>IF(OR($B195="", $AP195= ""),"",IF(VLOOKUP($AP195, CONTRATOS!B:K,3,FALSE)="","",VLOOKUP($AP195, CONTRATOS!B:K, 3,FALSE)))</f>
        <v/>
      </c>
      <c r="AV195" s="189" t="str">
        <f>IF(OR($B195="", $AP195 = ""), "", IF(VLOOKUP($AP195, CONTRATOS!B:K,4,FALSE)="","",VLOOKUP($AP195, CONTRATOS!B:K,4, FALSE)))</f>
        <v/>
      </c>
      <c r="AW195" s="190" t="str">
        <f t="shared" si="98"/>
        <v/>
      </c>
      <c r="AX195" s="189" t="str">
        <f t="shared" si="99"/>
        <v/>
      </c>
      <c r="AY195" s="189" t="str">
        <f t="shared" si="100"/>
        <v/>
      </c>
      <c r="AZ195" s="189" t="str">
        <f t="shared" si="101"/>
        <v/>
      </c>
      <c r="BA195" s="189" t="str">
        <f t="shared" si="102"/>
        <v/>
      </c>
      <c r="BB195" s="191">
        <f t="shared" si="117"/>
        <v>0</v>
      </c>
      <c r="BC195" s="191" t="str">
        <f t="shared" si="118"/>
        <v/>
      </c>
      <c r="BD195" s="191" t="str">
        <f t="shared" si="119"/>
        <v/>
      </c>
      <c r="BF195" s="192">
        <f t="shared" si="120"/>
        <v>0</v>
      </c>
      <c r="BG195" s="192">
        <f t="shared" si="121"/>
        <v>0</v>
      </c>
      <c r="BH195" s="192" t="str">
        <f>IF( $B195="", "", IF(ISNA(VLOOKUP($C195, Defesa!$C$7:$C$29,1,FALSE)),1,0))</f>
        <v/>
      </c>
      <c r="BI195" s="193" t="str">
        <f t="shared" si="122"/>
        <v/>
      </c>
      <c r="BJ195" s="193" t="str">
        <f>IF($B195="", "", IF( AND( $AI195="ESTIMATIVA", OR( Defesa!$F$7 = "AUTOMÁTICA", Defesa!$F$7 ="100% BASELINE")), 1, 0))</f>
        <v/>
      </c>
      <c r="BK195" s="192" t="str">
        <f t="shared" si="137"/>
        <v/>
      </c>
      <c r="BL195" s="192">
        <f t="shared" si="123"/>
        <v>0</v>
      </c>
      <c r="BM195" s="192" t="str">
        <f>IF($AC195="", "", IF(ISNA(VLOOKUP($AC195, TABELAS!$Q:$Q, 1, FALSE)), 1, 0))</f>
        <v/>
      </c>
      <c r="BN195" s="194" t="str">
        <f t="shared" si="138"/>
        <v/>
      </c>
      <c r="BO195" s="192" t="str">
        <f t="shared" si="124"/>
        <v/>
      </c>
      <c r="BP195" s="192" t="str">
        <f t="shared" si="125"/>
        <v/>
      </c>
      <c r="BQ195" s="193" t="str">
        <f t="shared" si="126"/>
        <v/>
      </c>
      <c r="BR195" s="192" t="str">
        <f t="shared" si="127"/>
        <v/>
      </c>
      <c r="BS195" s="192" t="str">
        <f t="shared" si="128"/>
        <v/>
      </c>
      <c r="BT195" s="192" t="str">
        <f>IF(OR($B195="", $AH195 = "SIM"), "", IF( ISNA(VLOOKUP($AP195,#REF!, 1, FALSE)), 1, 0))</f>
        <v/>
      </c>
      <c r="BU195" s="192" t="str">
        <f t="shared" si="129"/>
        <v/>
      </c>
      <c r="BV195" s="192" t="str">
        <f>IF( $B195="", "", IF( ISNA(VLOOKUP($AN195, TABELAS!$T$2:$T$9,1,FALSE)), 1, 0))</f>
        <v/>
      </c>
      <c r="BW195" s="192" t="str">
        <f t="shared" si="130"/>
        <v/>
      </c>
      <c r="BX195" s="192" t="str">
        <f>IF( OR($B195="", $AH195 = "SIM"), "", IF( ISNA( VLOOKUP( $AQ195, SISTEMA!$B:$B, 1, FALSE)), 1, 0))</f>
        <v/>
      </c>
      <c r="BY195" s="193" t="str">
        <f t="shared" si="131"/>
        <v/>
      </c>
      <c r="BZ195" s="193" t="str">
        <f t="shared" si="132"/>
        <v/>
      </c>
      <c r="CA195" s="192" t="str">
        <f t="shared" si="133"/>
        <v/>
      </c>
      <c r="CB195" s="193" t="str">
        <f t="shared" si="134"/>
        <v/>
      </c>
      <c r="CC195" s="193" t="str">
        <f t="shared" si="135"/>
        <v/>
      </c>
      <c r="CD195" s="193" t="str">
        <f t="shared" si="136"/>
        <v/>
      </c>
    </row>
    <row r="196" spans="1:82" x14ac:dyDescent="0.2">
      <c r="A196" s="140"/>
      <c r="B196" s="141" t="str">
        <f t="shared" si="105"/>
        <v/>
      </c>
      <c r="C196" s="142" t="str">
        <f t="shared" si="93"/>
        <v/>
      </c>
      <c r="D196" s="142" t="str">
        <f t="shared" si="106"/>
        <v/>
      </c>
      <c r="E196" s="142" t="str">
        <f>IF($C196="", "", COUNTIF($M$8:$M196,$D196))</f>
        <v/>
      </c>
      <c r="F196" s="254">
        <v>189</v>
      </c>
      <c r="G196" s="143"/>
      <c r="H196" s="144"/>
      <c r="I196" s="144"/>
      <c r="J196" s="145"/>
      <c r="K196" s="144"/>
      <c r="L196" s="144"/>
      <c r="M196" s="144"/>
      <c r="N196" s="146"/>
      <c r="O196" s="147"/>
      <c r="P196" s="147"/>
      <c r="Q196" s="147"/>
      <c r="R196" s="147"/>
      <c r="S196" s="147"/>
      <c r="T196" s="149"/>
      <c r="U196" s="150" t="str">
        <f>IF($T196="", "", VLOOKUP($T196, CONTRATOS!$B:$E, 2, FALSE))</f>
        <v/>
      </c>
      <c r="V196" s="151">
        <f>IF(OR($T196="",TB_DEFESA!$C$2="CARGA BASELINE"),0,
   IF(VLOOKUP($T196, CONTRATOS!B:E, 3, FALSE)&lt;&gt;"",1,IF(VLOOKUP($T196, CONTRATOS!B:E, 4, FALSE)&lt;&gt;"",2,0)))</f>
        <v>0</v>
      </c>
      <c r="W196" s="152"/>
      <c r="X196" s="152"/>
      <c r="Y196" s="153"/>
      <c r="Z196" s="154"/>
      <c r="AA196" s="155"/>
      <c r="AB196" s="156"/>
      <c r="AC196" s="157"/>
      <c r="AD196" s="155"/>
      <c r="AE196" s="158" t="str">
        <f t="shared" si="94"/>
        <v/>
      </c>
      <c r="AF196" s="160" t="str">
        <f t="shared" si="107"/>
        <v/>
      </c>
      <c r="AG196" s="182" t="s">
        <v>59</v>
      </c>
      <c r="AH196" s="183" t="str">
        <f t="shared" si="108"/>
        <v/>
      </c>
      <c r="AI196" s="183" t="str">
        <f t="shared" si="109"/>
        <v/>
      </c>
      <c r="AJ196" s="184" t="str">
        <f t="shared" si="110"/>
        <v/>
      </c>
      <c r="AK196" s="185" t="str">
        <f t="shared" si="111"/>
        <v/>
      </c>
      <c r="AL196" s="186"/>
      <c r="AM196" s="183" t="str">
        <f t="shared" si="112"/>
        <v/>
      </c>
      <c r="AN196" s="183" t="str">
        <f t="shared" si="113"/>
        <v/>
      </c>
      <c r="AO196" s="186" t="str">
        <f t="shared" si="114"/>
        <v/>
      </c>
      <c r="AP196" s="187" t="str">
        <f t="shared" si="115"/>
        <v/>
      </c>
      <c r="AQ196" s="187" t="str">
        <f t="shared" si="116"/>
        <v/>
      </c>
      <c r="AR196" s="188" t="str">
        <f t="shared" si="95"/>
        <v/>
      </c>
      <c r="AS196" s="188" t="str">
        <f t="shared" si="96"/>
        <v/>
      </c>
      <c r="AT196" s="183" t="str">
        <f t="shared" si="97"/>
        <v/>
      </c>
      <c r="AU196" s="189" t="str">
        <f>IF(OR($B196="", $AP196= ""),"",IF(VLOOKUP($AP196, CONTRATOS!B:K,3,FALSE)="","",VLOOKUP($AP196, CONTRATOS!B:K, 3,FALSE)))</f>
        <v/>
      </c>
      <c r="AV196" s="189" t="str">
        <f>IF(OR($B196="", $AP196 = ""), "", IF(VLOOKUP($AP196, CONTRATOS!B:K,4,FALSE)="","",VLOOKUP($AP196, CONTRATOS!B:K,4, FALSE)))</f>
        <v/>
      </c>
      <c r="AW196" s="190" t="str">
        <f t="shared" si="98"/>
        <v/>
      </c>
      <c r="AX196" s="189" t="str">
        <f t="shared" si="99"/>
        <v/>
      </c>
      <c r="AY196" s="189" t="str">
        <f t="shared" si="100"/>
        <v/>
      </c>
      <c r="AZ196" s="189" t="str">
        <f t="shared" si="101"/>
        <v/>
      </c>
      <c r="BA196" s="189" t="str">
        <f t="shared" si="102"/>
        <v/>
      </c>
      <c r="BB196" s="191">
        <f t="shared" si="117"/>
        <v>0</v>
      </c>
      <c r="BC196" s="191" t="str">
        <f t="shared" si="118"/>
        <v/>
      </c>
      <c r="BD196" s="191" t="str">
        <f t="shared" si="119"/>
        <v/>
      </c>
      <c r="BF196" s="192">
        <f t="shared" si="120"/>
        <v>0</v>
      </c>
      <c r="BG196" s="192">
        <f t="shared" si="121"/>
        <v>0</v>
      </c>
      <c r="BH196" s="192" t="str">
        <f>IF( $B196="", "", IF(ISNA(VLOOKUP($C196, Defesa!$C$7:$C$29,1,FALSE)),1,0))</f>
        <v/>
      </c>
      <c r="BI196" s="193" t="str">
        <f t="shared" si="122"/>
        <v/>
      </c>
      <c r="BJ196" s="193" t="str">
        <f>IF($B196="", "", IF( AND( $AI196="ESTIMATIVA", OR( Defesa!$F$7 = "AUTOMÁTICA", Defesa!$F$7 ="100% BASELINE")), 1, 0))</f>
        <v/>
      </c>
      <c r="BK196" s="192" t="str">
        <f t="shared" si="137"/>
        <v/>
      </c>
      <c r="BL196" s="192">
        <f t="shared" si="123"/>
        <v>0</v>
      </c>
      <c r="BM196" s="192" t="str">
        <f>IF($AC196="", "", IF(ISNA(VLOOKUP($AC196, TABELAS!$Q:$Q, 1, FALSE)), 1, 0))</f>
        <v/>
      </c>
      <c r="BN196" s="194" t="str">
        <f t="shared" si="138"/>
        <v/>
      </c>
      <c r="BO196" s="192" t="str">
        <f t="shared" si="124"/>
        <v/>
      </c>
      <c r="BP196" s="192" t="str">
        <f t="shared" si="125"/>
        <v/>
      </c>
      <c r="BQ196" s="193" t="str">
        <f t="shared" si="126"/>
        <v/>
      </c>
      <c r="BR196" s="192" t="str">
        <f t="shared" si="127"/>
        <v/>
      </c>
      <c r="BS196" s="192" t="str">
        <f t="shared" si="128"/>
        <v/>
      </c>
      <c r="BT196" s="192" t="str">
        <f>IF(OR($B196="", $AH196 = "SIM"), "", IF( ISNA(VLOOKUP($AP196,#REF!, 1, FALSE)), 1, 0))</f>
        <v/>
      </c>
      <c r="BU196" s="192" t="str">
        <f t="shared" si="129"/>
        <v/>
      </c>
      <c r="BV196" s="192" t="str">
        <f>IF( $B196="", "", IF( ISNA(VLOOKUP($AN196, TABELAS!$T$2:$T$9,1,FALSE)), 1, 0))</f>
        <v/>
      </c>
      <c r="BW196" s="192" t="str">
        <f t="shared" si="130"/>
        <v/>
      </c>
      <c r="BX196" s="192" t="str">
        <f>IF( OR($B196="", $AH196 = "SIM"), "", IF( ISNA( VLOOKUP( $AQ196, SISTEMA!$B:$B, 1, FALSE)), 1, 0))</f>
        <v/>
      </c>
      <c r="BY196" s="193" t="str">
        <f t="shared" si="131"/>
        <v/>
      </c>
      <c r="BZ196" s="193" t="str">
        <f t="shared" si="132"/>
        <v/>
      </c>
      <c r="CA196" s="192" t="str">
        <f t="shared" si="133"/>
        <v/>
      </c>
      <c r="CB196" s="193" t="str">
        <f t="shared" si="134"/>
        <v/>
      </c>
      <c r="CC196" s="193" t="str">
        <f t="shared" si="135"/>
        <v/>
      </c>
      <c r="CD196" s="193" t="str">
        <f t="shared" si="136"/>
        <v/>
      </c>
    </row>
    <row r="197" spans="1:82" x14ac:dyDescent="0.2">
      <c r="A197" s="140"/>
      <c r="B197" s="141" t="str">
        <f t="shared" si="105"/>
        <v/>
      </c>
      <c r="C197" s="142" t="str">
        <f t="shared" si="93"/>
        <v/>
      </c>
      <c r="D197" s="142" t="str">
        <f t="shared" si="106"/>
        <v/>
      </c>
      <c r="E197" s="142" t="str">
        <f>IF($C197="", "", COUNTIF($M$8:$M197,$D197))</f>
        <v/>
      </c>
      <c r="F197" s="254">
        <v>190</v>
      </c>
      <c r="G197" s="143"/>
      <c r="H197" s="144"/>
      <c r="I197" s="144"/>
      <c r="J197" s="145"/>
      <c r="K197" s="144"/>
      <c r="L197" s="144"/>
      <c r="M197" s="144"/>
      <c r="N197" s="146"/>
      <c r="O197" s="147"/>
      <c r="P197" s="147"/>
      <c r="Q197" s="147"/>
      <c r="R197" s="147"/>
      <c r="S197" s="147"/>
      <c r="T197" s="149"/>
      <c r="U197" s="150" t="str">
        <f>IF($T197="", "", VLOOKUP($T197, CONTRATOS!$B:$E, 2, FALSE))</f>
        <v/>
      </c>
      <c r="V197" s="151">
        <f>IF(OR($T197="",TB_DEFESA!$C$2="CARGA BASELINE"),0,
   IF(VLOOKUP($T197, CONTRATOS!B:E, 3, FALSE)&lt;&gt;"",1,IF(VLOOKUP($T197, CONTRATOS!B:E, 4, FALSE)&lt;&gt;"",2,0)))</f>
        <v>0</v>
      </c>
      <c r="W197" s="152"/>
      <c r="X197" s="152"/>
      <c r="Y197" s="153"/>
      <c r="Z197" s="154"/>
      <c r="AA197" s="155"/>
      <c r="AB197" s="156"/>
      <c r="AC197" s="157"/>
      <c r="AD197" s="155"/>
      <c r="AE197" s="158" t="str">
        <f t="shared" si="94"/>
        <v/>
      </c>
      <c r="AF197" s="160" t="str">
        <f t="shared" si="107"/>
        <v/>
      </c>
      <c r="AG197" s="182" t="s">
        <v>59</v>
      </c>
      <c r="AH197" s="183" t="str">
        <f t="shared" si="108"/>
        <v/>
      </c>
      <c r="AI197" s="183" t="str">
        <f t="shared" si="109"/>
        <v/>
      </c>
      <c r="AJ197" s="184" t="str">
        <f t="shared" si="110"/>
        <v/>
      </c>
      <c r="AK197" s="185" t="str">
        <f t="shared" si="111"/>
        <v/>
      </c>
      <c r="AL197" s="186"/>
      <c r="AM197" s="183" t="str">
        <f t="shared" si="112"/>
        <v/>
      </c>
      <c r="AN197" s="183" t="str">
        <f t="shared" si="113"/>
        <v/>
      </c>
      <c r="AO197" s="186" t="str">
        <f t="shared" si="114"/>
        <v/>
      </c>
      <c r="AP197" s="187" t="str">
        <f t="shared" si="115"/>
        <v/>
      </c>
      <c r="AQ197" s="187" t="str">
        <f t="shared" si="116"/>
        <v/>
      </c>
      <c r="AR197" s="188" t="str">
        <f t="shared" si="95"/>
        <v/>
      </c>
      <c r="AS197" s="188" t="str">
        <f t="shared" si="96"/>
        <v/>
      </c>
      <c r="AT197" s="183" t="str">
        <f t="shared" si="97"/>
        <v/>
      </c>
      <c r="AU197" s="189" t="str">
        <f>IF(OR($B197="", $AP197= ""),"",IF(VLOOKUP($AP197, CONTRATOS!B:K,3,FALSE)="","",VLOOKUP($AP197, CONTRATOS!B:K, 3,FALSE)))</f>
        <v/>
      </c>
      <c r="AV197" s="189" t="str">
        <f>IF(OR($B197="", $AP197 = ""), "", IF(VLOOKUP($AP197, CONTRATOS!B:K,4,FALSE)="","",VLOOKUP($AP197, CONTRATOS!B:K,4, FALSE)))</f>
        <v/>
      </c>
      <c r="AW197" s="190" t="str">
        <f t="shared" si="98"/>
        <v/>
      </c>
      <c r="AX197" s="189" t="str">
        <f t="shared" si="99"/>
        <v/>
      </c>
      <c r="AY197" s="189" t="str">
        <f t="shared" si="100"/>
        <v/>
      </c>
      <c r="AZ197" s="189" t="str">
        <f t="shared" si="101"/>
        <v/>
      </c>
      <c r="BA197" s="189" t="str">
        <f t="shared" si="102"/>
        <v/>
      </c>
      <c r="BB197" s="191">
        <f t="shared" si="117"/>
        <v>0</v>
      </c>
      <c r="BC197" s="191" t="str">
        <f t="shared" si="118"/>
        <v/>
      </c>
      <c r="BD197" s="191" t="str">
        <f t="shared" si="119"/>
        <v/>
      </c>
      <c r="BF197" s="192">
        <f t="shared" si="120"/>
        <v>0</v>
      </c>
      <c r="BG197" s="192">
        <f t="shared" si="121"/>
        <v>0</v>
      </c>
      <c r="BH197" s="192" t="str">
        <f>IF( $B197="", "", IF(ISNA(VLOOKUP($C197, Defesa!$C$7:$C$29,1,FALSE)),1,0))</f>
        <v/>
      </c>
      <c r="BI197" s="193" t="str">
        <f t="shared" si="122"/>
        <v/>
      </c>
      <c r="BJ197" s="193" t="str">
        <f>IF($B197="", "", IF( AND( $AI197="ESTIMATIVA", OR( Defesa!$F$7 = "AUTOMÁTICA", Defesa!$F$7 ="100% BASELINE")), 1, 0))</f>
        <v/>
      </c>
      <c r="BK197" s="192" t="str">
        <f t="shared" si="137"/>
        <v/>
      </c>
      <c r="BL197" s="192">
        <f t="shared" si="123"/>
        <v>0</v>
      </c>
      <c r="BM197" s="192" t="str">
        <f>IF($AC197="", "", IF(ISNA(VLOOKUP($AC197, TABELAS!$Q:$Q, 1, FALSE)), 1, 0))</f>
        <v/>
      </c>
      <c r="BN197" s="194" t="str">
        <f t="shared" si="138"/>
        <v/>
      </c>
      <c r="BO197" s="192" t="str">
        <f t="shared" si="124"/>
        <v/>
      </c>
      <c r="BP197" s="192" t="str">
        <f t="shared" si="125"/>
        <v/>
      </c>
      <c r="BQ197" s="193" t="str">
        <f t="shared" si="126"/>
        <v/>
      </c>
      <c r="BR197" s="192" t="str">
        <f t="shared" si="127"/>
        <v/>
      </c>
      <c r="BS197" s="192" t="str">
        <f t="shared" si="128"/>
        <v/>
      </c>
      <c r="BT197" s="192" t="str">
        <f>IF(OR($B197="", $AH197 = "SIM"), "", IF( ISNA(VLOOKUP($AP197,#REF!, 1, FALSE)), 1, 0))</f>
        <v/>
      </c>
      <c r="BU197" s="192" t="str">
        <f t="shared" si="129"/>
        <v/>
      </c>
      <c r="BV197" s="192" t="str">
        <f>IF( $B197="", "", IF( ISNA(VLOOKUP($AN197, TABELAS!$T$2:$T$9,1,FALSE)), 1, 0))</f>
        <v/>
      </c>
      <c r="BW197" s="192" t="str">
        <f t="shared" si="130"/>
        <v/>
      </c>
      <c r="BX197" s="192" t="str">
        <f>IF( OR($B197="", $AH197 = "SIM"), "", IF( ISNA( VLOOKUP( $AQ197, SISTEMA!$B:$B, 1, FALSE)), 1, 0))</f>
        <v/>
      </c>
      <c r="BY197" s="193" t="str">
        <f t="shared" si="131"/>
        <v/>
      </c>
      <c r="BZ197" s="193" t="str">
        <f t="shared" si="132"/>
        <v/>
      </c>
      <c r="CA197" s="192" t="str">
        <f t="shared" si="133"/>
        <v/>
      </c>
      <c r="CB197" s="193" t="str">
        <f t="shared" si="134"/>
        <v/>
      </c>
      <c r="CC197" s="193" t="str">
        <f t="shared" si="135"/>
        <v/>
      </c>
      <c r="CD197" s="193" t="str">
        <f t="shared" si="136"/>
        <v/>
      </c>
    </row>
    <row r="198" spans="1:82" x14ac:dyDescent="0.2">
      <c r="A198" s="140"/>
      <c r="B198" s="141" t="str">
        <f t="shared" si="105"/>
        <v/>
      </c>
      <c r="C198" s="142" t="str">
        <f t="shared" si="93"/>
        <v/>
      </c>
      <c r="D198" s="142" t="str">
        <f t="shared" si="106"/>
        <v/>
      </c>
      <c r="E198" s="142" t="str">
        <f>IF($C198="", "", COUNTIF($M$8:$M198,$D198))</f>
        <v/>
      </c>
      <c r="F198" s="254">
        <v>191</v>
      </c>
      <c r="G198" s="143"/>
      <c r="H198" s="144"/>
      <c r="I198" s="144"/>
      <c r="J198" s="145"/>
      <c r="K198" s="144"/>
      <c r="L198" s="144"/>
      <c r="M198" s="144"/>
      <c r="N198" s="146"/>
      <c r="O198" s="147"/>
      <c r="P198" s="147"/>
      <c r="Q198" s="147"/>
      <c r="R198" s="147"/>
      <c r="S198" s="147"/>
      <c r="T198" s="149"/>
      <c r="U198" s="150" t="str">
        <f>IF($T198="", "", VLOOKUP($T198, CONTRATOS!$B:$E, 2, FALSE))</f>
        <v/>
      </c>
      <c r="V198" s="151">
        <f>IF(OR($T198="",TB_DEFESA!$C$2="CARGA BASELINE"),0,
   IF(VLOOKUP($T198, CONTRATOS!B:E, 3, FALSE)&lt;&gt;"",1,IF(VLOOKUP($T198, CONTRATOS!B:E, 4, FALSE)&lt;&gt;"",2,0)))</f>
        <v>0</v>
      </c>
      <c r="W198" s="152"/>
      <c r="X198" s="152"/>
      <c r="Y198" s="153"/>
      <c r="Z198" s="154"/>
      <c r="AA198" s="155"/>
      <c r="AB198" s="156"/>
      <c r="AC198" s="157"/>
      <c r="AD198" s="155"/>
      <c r="AE198" s="158" t="str">
        <f t="shared" si="94"/>
        <v/>
      </c>
      <c r="AF198" s="160" t="str">
        <f t="shared" si="107"/>
        <v/>
      </c>
      <c r="AG198" s="182" t="s">
        <v>59</v>
      </c>
      <c r="AH198" s="183" t="str">
        <f t="shared" si="108"/>
        <v/>
      </c>
      <c r="AI198" s="183" t="str">
        <f t="shared" si="109"/>
        <v/>
      </c>
      <c r="AJ198" s="184" t="str">
        <f t="shared" si="110"/>
        <v/>
      </c>
      <c r="AK198" s="185" t="str">
        <f t="shared" si="111"/>
        <v/>
      </c>
      <c r="AL198" s="186"/>
      <c r="AM198" s="183" t="str">
        <f t="shared" si="112"/>
        <v/>
      </c>
      <c r="AN198" s="183" t="str">
        <f t="shared" si="113"/>
        <v/>
      </c>
      <c r="AO198" s="186" t="str">
        <f t="shared" si="114"/>
        <v/>
      </c>
      <c r="AP198" s="187" t="str">
        <f t="shared" si="115"/>
        <v/>
      </c>
      <c r="AQ198" s="187" t="str">
        <f t="shared" si="116"/>
        <v/>
      </c>
      <c r="AR198" s="188" t="str">
        <f t="shared" si="95"/>
        <v/>
      </c>
      <c r="AS198" s="188" t="str">
        <f t="shared" si="96"/>
        <v/>
      </c>
      <c r="AT198" s="183" t="str">
        <f t="shared" si="97"/>
        <v/>
      </c>
      <c r="AU198" s="189" t="str">
        <f>IF(OR($B198="", $AP198= ""),"",IF(VLOOKUP($AP198, CONTRATOS!B:K,3,FALSE)="","",VLOOKUP($AP198, CONTRATOS!B:K, 3,FALSE)))</f>
        <v/>
      </c>
      <c r="AV198" s="189" t="str">
        <f>IF(OR($B198="", $AP198 = ""), "", IF(VLOOKUP($AP198, CONTRATOS!B:K,4,FALSE)="","",VLOOKUP($AP198, CONTRATOS!B:K,4, FALSE)))</f>
        <v/>
      </c>
      <c r="AW198" s="190" t="str">
        <f t="shared" si="98"/>
        <v/>
      </c>
      <c r="AX198" s="189" t="str">
        <f t="shared" si="99"/>
        <v/>
      </c>
      <c r="AY198" s="189" t="str">
        <f t="shared" si="100"/>
        <v/>
      </c>
      <c r="AZ198" s="189" t="str">
        <f t="shared" si="101"/>
        <v/>
      </c>
      <c r="BA198" s="189" t="str">
        <f t="shared" si="102"/>
        <v/>
      </c>
      <c r="BB198" s="191">
        <f t="shared" si="117"/>
        <v>0</v>
      </c>
      <c r="BC198" s="191" t="str">
        <f t="shared" si="118"/>
        <v/>
      </c>
      <c r="BD198" s="191" t="str">
        <f t="shared" si="119"/>
        <v/>
      </c>
      <c r="BF198" s="192">
        <f t="shared" si="120"/>
        <v>0</v>
      </c>
      <c r="BG198" s="192">
        <f t="shared" si="121"/>
        <v>0</v>
      </c>
      <c r="BH198" s="192" t="str">
        <f>IF( $B198="", "", IF(ISNA(VLOOKUP($C198, Defesa!$C$7:$C$29,1,FALSE)),1,0))</f>
        <v/>
      </c>
      <c r="BI198" s="193" t="str">
        <f t="shared" si="122"/>
        <v/>
      </c>
      <c r="BJ198" s="193" t="str">
        <f>IF($B198="", "", IF( AND( $AI198="ESTIMATIVA", OR( Defesa!$F$7 = "AUTOMÁTICA", Defesa!$F$7 ="100% BASELINE")), 1, 0))</f>
        <v/>
      </c>
      <c r="BK198" s="192" t="str">
        <f t="shared" si="137"/>
        <v/>
      </c>
      <c r="BL198" s="192">
        <f t="shared" si="123"/>
        <v>0</v>
      </c>
      <c r="BM198" s="192" t="str">
        <f>IF($AC198="", "", IF(ISNA(VLOOKUP($AC198, TABELAS!$Q:$Q, 1, FALSE)), 1, 0))</f>
        <v/>
      </c>
      <c r="BN198" s="194" t="str">
        <f t="shared" si="138"/>
        <v/>
      </c>
      <c r="BO198" s="192" t="str">
        <f t="shared" si="124"/>
        <v/>
      </c>
      <c r="BP198" s="192" t="str">
        <f t="shared" si="125"/>
        <v/>
      </c>
      <c r="BQ198" s="193" t="str">
        <f t="shared" si="126"/>
        <v/>
      </c>
      <c r="BR198" s="192" t="str">
        <f t="shared" si="127"/>
        <v/>
      </c>
      <c r="BS198" s="192" t="str">
        <f t="shared" si="128"/>
        <v/>
      </c>
      <c r="BT198" s="192" t="str">
        <f>IF(OR($B198="", $AH198 = "SIM"), "", IF( ISNA(VLOOKUP($AP198,#REF!, 1, FALSE)), 1, 0))</f>
        <v/>
      </c>
      <c r="BU198" s="192" t="str">
        <f t="shared" si="129"/>
        <v/>
      </c>
      <c r="BV198" s="192" t="str">
        <f>IF( $B198="", "", IF( ISNA(VLOOKUP($AN198, TABELAS!$T$2:$T$9,1,FALSE)), 1, 0))</f>
        <v/>
      </c>
      <c r="BW198" s="192" t="str">
        <f t="shared" si="130"/>
        <v/>
      </c>
      <c r="BX198" s="192" t="str">
        <f>IF( OR($B198="", $AH198 = "SIM"), "", IF( ISNA( VLOOKUP( $AQ198, SISTEMA!$B:$B, 1, FALSE)), 1, 0))</f>
        <v/>
      </c>
      <c r="BY198" s="193" t="str">
        <f t="shared" si="131"/>
        <v/>
      </c>
      <c r="BZ198" s="193" t="str">
        <f t="shared" si="132"/>
        <v/>
      </c>
      <c r="CA198" s="192" t="str">
        <f t="shared" si="133"/>
        <v/>
      </c>
      <c r="CB198" s="193" t="str">
        <f t="shared" si="134"/>
        <v/>
      </c>
      <c r="CC198" s="193" t="str">
        <f t="shared" si="135"/>
        <v/>
      </c>
      <c r="CD198" s="193" t="str">
        <f t="shared" si="136"/>
        <v/>
      </c>
    </row>
    <row r="199" spans="1:82" x14ac:dyDescent="0.2">
      <c r="A199" s="140"/>
      <c r="B199" s="141" t="str">
        <f t="shared" si="105"/>
        <v/>
      </c>
      <c r="C199" s="142" t="str">
        <f t="shared" si="93"/>
        <v/>
      </c>
      <c r="D199" s="142" t="str">
        <f t="shared" si="106"/>
        <v/>
      </c>
      <c r="E199" s="142" t="str">
        <f>IF($C199="", "", COUNTIF($M$8:$M199,$D199))</f>
        <v/>
      </c>
      <c r="F199" s="254">
        <v>192</v>
      </c>
      <c r="G199" s="143"/>
      <c r="H199" s="144"/>
      <c r="I199" s="144"/>
      <c r="J199" s="145"/>
      <c r="K199" s="144"/>
      <c r="L199" s="144"/>
      <c r="M199" s="144"/>
      <c r="N199" s="146"/>
      <c r="O199" s="147"/>
      <c r="P199" s="147"/>
      <c r="Q199" s="147"/>
      <c r="R199" s="147"/>
      <c r="S199" s="147"/>
      <c r="T199" s="149"/>
      <c r="U199" s="150" t="str">
        <f>IF($T199="", "", VLOOKUP($T199, CONTRATOS!$B:$E, 2, FALSE))</f>
        <v/>
      </c>
      <c r="V199" s="151">
        <f>IF(OR($T199="",TB_DEFESA!$C$2="CARGA BASELINE"),0,
   IF(VLOOKUP($T199, CONTRATOS!B:E, 3, FALSE)&lt;&gt;"",1,IF(VLOOKUP($T199, CONTRATOS!B:E, 4, FALSE)&lt;&gt;"",2,0)))</f>
        <v>0</v>
      </c>
      <c r="W199" s="152"/>
      <c r="X199" s="152"/>
      <c r="Y199" s="153"/>
      <c r="Z199" s="154"/>
      <c r="AA199" s="155"/>
      <c r="AB199" s="156"/>
      <c r="AC199" s="157"/>
      <c r="AD199" s="155"/>
      <c r="AE199" s="158" t="str">
        <f t="shared" si="94"/>
        <v/>
      </c>
      <c r="AF199" s="160" t="str">
        <f t="shared" si="107"/>
        <v/>
      </c>
      <c r="AG199" s="182" t="s">
        <v>59</v>
      </c>
      <c r="AH199" s="183" t="str">
        <f t="shared" si="108"/>
        <v/>
      </c>
      <c r="AI199" s="183" t="str">
        <f t="shared" si="109"/>
        <v/>
      </c>
      <c r="AJ199" s="184" t="str">
        <f t="shared" si="110"/>
        <v/>
      </c>
      <c r="AK199" s="185" t="str">
        <f t="shared" si="111"/>
        <v/>
      </c>
      <c r="AL199" s="186"/>
      <c r="AM199" s="183" t="str">
        <f t="shared" si="112"/>
        <v/>
      </c>
      <c r="AN199" s="183" t="str">
        <f t="shared" si="113"/>
        <v/>
      </c>
      <c r="AO199" s="186" t="str">
        <f t="shared" si="114"/>
        <v/>
      </c>
      <c r="AP199" s="187" t="str">
        <f t="shared" si="115"/>
        <v/>
      </c>
      <c r="AQ199" s="187" t="str">
        <f t="shared" si="116"/>
        <v/>
      </c>
      <c r="AR199" s="188" t="str">
        <f t="shared" si="95"/>
        <v/>
      </c>
      <c r="AS199" s="188" t="str">
        <f t="shared" si="96"/>
        <v/>
      </c>
      <c r="AT199" s="183" t="str">
        <f t="shared" si="97"/>
        <v/>
      </c>
      <c r="AU199" s="189" t="str">
        <f>IF(OR($B199="", $AP199= ""),"",IF(VLOOKUP($AP199, CONTRATOS!B:K,3,FALSE)="","",VLOOKUP($AP199, CONTRATOS!B:K, 3,FALSE)))</f>
        <v/>
      </c>
      <c r="AV199" s="189" t="str">
        <f>IF(OR($B199="", $AP199 = ""), "", IF(VLOOKUP($AP199, CONTRATOS!B:K,4,FALSE)="","",VLOOKUP($AP199, CONTRATOS!B:K,4, FALSE)))</f>
        <v/>
      </c>
      <c r="AW199" s="190" t="str">
        <f t="shared" si="98"/>
        <v/>
      </c>
      <c r="AX199" s="189" t="str">
        <f t="shared" si="99"/>
        <v/>
      </c>
      <c r="AY199" s="189" t="str">
        <f t="shared" si="100"/>
        <v/>
      </c>
      <c r="AZ199" s="189" t="str">
        <f t="shared" si="101"/>
        <v/>
      </c>
      <c r="BA199" s="189" t="str">
        <f t="shared" si="102"/>
        <v/>
      </c>
      <c r="BB199" s="191">
        <f t="shared" si="117"/>
        <v>0</v>
      </c>
      <c r="BC199" s="191" t="str">
        <f t="shared" si="118"/>
        <v/>
      </c>
      <c r="BD199" s="191" t="str">
        <f t="shared" si="119"/>
        <v/>
      </c>
      <c r="BF199" s="192">
        <f t="shared" si="120"/>
        <v>0</v>
      </c>
      <c r="BG199" s="192">
        <f t="shared" si="121"/>
        <v>0</v>
      </c>
      <c r="BH199" s="192" t="str">
        <f>IF( $B199="", "", IF(ISNA(VLOOKUP($C199, Defesa!$C$7:$C$29,1,FALSE)),1,0))</f>
        <v/>
      </c>
      <c r="BI199" s="193" t="str">
        <f t="shared" si="122"/>
        <v/>
      </c>
      <c r="BJ199" s="193" t="str">
        <f>IF($B199="", "", IF( AND( $AI199="ESTIMATIVA", OR( Defesa!$F$7 = "AUTOMÁTICA", Defesa!$F$7 ="100% BASELINE")), 1, 0))</f>
        <v/>
      </c>
      <c r="BK199" s="192" t="str">
        <f t="shared" si="137"/>
        <v/>
      </c>
      <c r="BL199" s="192">
        <f t="shared" si="123"/>
        <v>0</v>
      </c>
      <c r="BM199" s="192" t="str">
        <f>IF($AC199="", "", IF(ISNA(VLOOKUP($AC199, TABELAS!$Q:$Q, 1, FALSE)), 1, 0))</f>
        <v/>
      </c>
      <c r="BN199" s="194" t="str">
        <f t="shared" si="138"/>
        <v/>
      </c>
      <c r="BO199" s="192" t="str">
        <f t="shared" si="124"/>
        <v/>
      </c>
      <c r="BP199" s="192" t="str">
        <f t="shared" si="125"/>
        <v/>
      </c>
      <c r="BQ199" s="193" t="str">
        <f t="shared" si="126"/>
        <v/>
      </c>
      <c r="BR199" s="192" t="str">
        <f t="shared" si="127"/>
        <v/>
      </c>
      <c r="BS199" s="192" t="str">
        <f t="shared" si="128"/>
        <v/>
      </c>
      <c r="BT199" s="192" t="str">
        <f>IF(OR($B199="", $AH199 = "SIM"), "", IF( ISNA(VLOOKUP($AP199,#REF!, 1, FALSE)), 1, 0))</f>
        <v/>
      </c>
      <c r="BU199" s="192" t="str">
        <f t="shared" si="129"/>
        <v/>
      </c>
      <c r="BV199" s="192" t="str">
        <f>IF( $B199="", "", IF( ISNA(VLOOKUP($AN199, TABELAS!$T$2:$T$9,1,FALSE)), 1, 0))</f>
        <v/>
      </c>
      <c r="BW199" s="192" t="str">
        <f t="shared" si="130"/>
        <v/>
      </c>
      <c r="BX199" s="192" t="str">
        <f>IF( OR($B199="", $AH199 = "SIM"), "", IF( ISNA( VLOOKUP( $AQ199, SISTEMA!$B:$B, 1, FALSE)), 1, 0))</f>
        <v/>
      </c>
      <c r="BY199" s="193" t="str">
        <f t="shared" si="131"/>
        <v/>
      </c>
      <c r="BZ199" s="193" t="str">
        <f t="shared" si="132"/>
        <v/>
      </c>
      <c r="CA199" s="192" t="str">
        <f t="shared" si="133"/>
        <v/>
      </c>
      <c r="CB199" s="193" t="str">
        <f t="shared" si="134"/>
        <v/>
      </c>
      <c r="CC199" s="193" t="str">
        <f t="shared" si="135"/>
        <v/>
      </c>
      <c r="CD199" s="193" t="str">
        <f t="shared" si="136"/>
        <v/>
      </c>
    </row>
    <row r="200" spans="1:82" x14ac:dyDescent="0.2">
      <c r="A200" s="140"/>
      <c r="B200" s="141" t="str">
        <f t="shared" si="105"/>
        <v/>
      </c>
      <c r="C200" s="142" t="str">
        <f t="shared" ref="C200:C207" si="139">IF($K200&lt;&gt;"",$K200, IF($AB200 = "", "", $C199))</f>
        <v/>
      </c>
      <c r="D200" s="142" t="str">
        <f t="shared" si="106"/>
        <v/>
      </c>
      <c r="E200" s="142" t="str">
        <f>IF($C200="", "", COUNTIF($M$8:$M200,$D200))</f>
        <v/>
      </c>
      <c r="F200" s="254">
        <v>193</v>
      </c>
      <c r="G200" s="143"/>
      <c r="H200" s="144"/>
      <c r="I200" s="144"/>
      <c r="J200" s="145"/>
      <c r="K200" s="144"/>
      <c r="L200" s="144"/>
      <c r="M200" s="144"/>
      <c r="N200" s="146"/>
      <c r="O200" s="147"/>
      <c r="P200" s="147"/>
      <c r="Q200" s="147"/>
      <c r="R200" s="147"/>
      <c r="S200" s="147"/>
      <c r="T200" s="149"/>
      <c r="U200" s="150" t="str">
        <f>IF($T200="", "", VLOOKUP($T200, CONTRATOS!$B:$E, 2, FALSE))</f>
        <v/>
      </c>
      <c r="V200" s="151">
        <f>IF(OR($T200="",TB_DEFESA!$C$2="CARGA BASELINE"),0,
   IF(VLOOKUP($T200, CONTRATOS!B:E, 3, FALSE)&lt;&gt;"",1,IF(VLOOKUP($T200, CONTRATOS!B:E, 4, FALSE)&lt;&gt;"",2,0)))</f>
        <v>0</v>
      </c>
      <c r="W200" s="152"/>
      <c r="X200" s="152"/>
      <c r="Y200" s="153"/>
      <c r="Z200" s="154"/>
      <c r="AA200" s="155"/>
      <c r="AB200" s="156"/>
      <c r="AC200" s="157"/>
      <c r="AD200" s="155"/>
      <c r="AE200" s="158" t="str">
        <f t="shared" ref="AE200:AE207" si="140">IF(AT200="","",IF(V200=1,1,IF(AT200=0,0,AD200/AT200)))</f>
        <v/>
      </c>
      <c r="AF200" s="160" t="str">
        <f t="shared" si="107"/>
        <v/>
      </c>
      <c r="AG200" s="182" t="s">
        <v>59</v>
      </c>
      <c r="AH200" s="183" t="str">
        <f t="shared" si="108"/>
        <v/>
      </c>
      <c r="AI200" s="183" t="str">
        <f t="shared" si="109"/>
        <v/>
      </c>
      <c r="AJ200" s="184" t="str">
        <f t="shared" si="110"/>
        <v/>
      </c>
      <c r="AK200" s="185" t="str">
        <f t="shared" si="111"/>
        <v/>
      </c>
      <c r="AL200" s="186"/>
      <c r="AM200" s="183" t="str">
        <f t="shared" si="112"/>
        <v/>
      </c>
      <c r="AN200" s="183" t="str">
        <f t="shared" si="113"/>
        <v/>
      </c>
      <c r="AO200" s="186" t="str">
        <f t="shared" si="114"/>
        <v/>
      </c>
      <c r="AP200" s="187" t="str">
        <f t="shared" si="115"/>
        <v/>
      </c>
      <c r="AQ200" s="187" t="str">
        <f t="shared" si="116"/>
        <v/>
      </c>
      <c r="AR200" s="188" t="str">
        <f t="shared" ref="AR200:AR207" si="141">IF($B200 = "", "",  IF($Y200= "", IF(ISNUMBER($AR199), $AR199, 0), $Y200))</f>
        <v/>
      </c>
      <c r="AS200" s="188" t="str">
        <f t="shared" ref="AS200:AS207" si="142">IF($B200 = "", "",  IF($Z200= "", IF(ISNUMBER($AS199), $AS199, 0), $Z200))</f>
        <v/>
      </c>
      <c r="AT200" s="183" t="str">
        <f t="shared" ref="AT200:AT207" si="143">IF($B200="", "", IF($AA200=0, $AT199, $AA200))</f>
        <v/>
      </c>
      <c r="AU200" s="189" t="str">
        <f>IF(OR($B200="", $AP200= ""),"",IF(VLOOKUP($AP200, CONTRATOS!B:K,3,FALSE)="","",VLOOKUP($AP200, CONTRATOS!B:K, 3,FALSE)))</f>
        <v/>
      </c>
      <c r="AV200" s="189" t="str">
        <f>IF(OR($B200="", $AP200 = ""), "", IF(VLOOKUP($AP200, CONTRATOS!B:K,4,FALSE)="","",VLOOKUP($AP200, CONTRATOS!B:K,4, FALSE)))</f>
        <v/>
      </c>
      <c r="AW200" s="190" t="str">
        <f t="shared" ref="AW200:AW207" si="144">IF($B200="", "", IF($V200=1, 1, IF( OR($AT200 = "", $AT200=0), 0, $AD200/$AT200)))</f>
        <v/>
      </c>
      <c r="AX200" s="189" t="str">
        <f t="shared" ref="AX200:AX207" si="145">IF( $B200="", "", IF( $K200="",$AX199, IF($S200 = "", "", $S200)))</f>
        <v/>
      </c>
      <c r="AY200" s="189" t="str">
        <f t="shared" ref="AY200:AY207" si="146">IF( $B200="", "", IF( $K200="",$AY199, IF($P200 = "", "", $P200)))</f>
        <v/>
      </c>
      <c r="AZ200" s="189" t="str">
        <f t="shared" ref="AZ200:AZ207" si="147">IF( $B200="", "", IF( $K200="",$AZ199, IF($Q200 = "", "", $Q200)))</f>
        <v/>
      </c>
      <c r="BA200" s="189" t="str">
        <f t="shared" ref="BA200:BA207" si="148">IF( $B200="", "", IF( $K200="",$BA199, IF($R200 = "", "", $R200)))</f>
        <v/>
      </c>
      <c r="BB200" s="191">
        <f t="shared" si="117"/>
        <v>0</v>
      </c>
      <c r="BC200" s="191" t="str">
        <f t="shared" si="118"/>
        <v/>
      </c>
      <c r="BD200" s="191" t="str">
        <f t="shared" si="119"/>
        <v/>
      </c>
      <c r="BF200" s="192">
        <f t="shared" si="120"/>
        <v>0</v>
      </c>
      <c r="BG200" s="192">
        <f t="shared" si="121"/>
        <v>0</v>
      </c>
      <c r="BH200" s="192" t="str">
        <f>IF( $B200="", "", IF(ISNA(VLOOKUP($C200, Defesa!$C$7:$C$29,1,FALSE)),1,0))</f>
        <v/>
      </c>
      <c r="BI200" s="193" t="str">
        <f t="shared" si="122"/>
        <v/>
      </c>
      <c r="BJ200" s="193" t="str">
        <f>IF($B200="", "", IF( AND( $AI200="ESTIMATIVA", OR( Defesa!$F$7 = "AUTOMÁTICA", Defesa!$F$7 ="100% BASELINE")), 1, 0))</f>
        <v/>
      </c>
      <c r="BK200" s="192" t="str">
        <f t="shared" ref="BK200:BK207" si="149">IF($B200="", "", IF(COUNTIFS($AB:$AB, $AB200,$B:$B, $B200)&gt;1, 1, 0))</f>
        <v/>
      </c>
      <c r="BL200" s="192">
        <f t="shared" si="123"/>
        <v>0</v>
      </c>
      <c r="BM200" s="192" t="str">
        <f>IF($AC200="", "", IF(ISNA(VLOOKUP($AC200, TABELAS!$Q:$Q, 1, FALSE)), 1, 0))</f>
        <v/>
      </c>
      <c r="BN200" s="194" t="str">
        <f t="shared" ref="BN200:BN207" si="150">IF($B200= "", "", IF( SUMIFS($AW:$AW,$C:$C, $C200,$D:$D, $D200,$E:$E, $E200) = 1, 0, 1))</f>
        <v/>
      </c>
      <c r="BO200" s="192" t="str">
        <f t="shared" si="124"/>
        <v/>
      </c>
      <c r="BP200" s="192" t="str">
        <f t="shared" si="125"/>
        <v/>
      </c>
      <c r="BQ200" s="193" t="str">
        <f t="shared" si="126"/>
        <v/>
      </c>
      <c r="BR200" s="192" t="str">
        <f t="shared" si="127"/>
        <v/>
      </c>
      <c r="BS200" s="192" t="str">
        <f t="shared" si="128"/>
        <v/>
      </c>
      <c r="BT200" s="192" t="str">
        <f>IF(OR($B200="", $AH200 = "SIM"), "", IF( ISNA(VLOOKUP($AP200,#REF!, 1, FALSE)), 1, 0))</f>
        <v/>
      </c>
      <c r="BU200" s="192" t="str">
        <f t="shared" si="129"/>
        <v/>
      </c>
      <c r="BV200" s="192" t="str">
        <f>IF( $B200="", "", IF( ISNA(VLOOKUP($AN200, TABELAS!$T$2:$T$9,1,FALSE)), 1, 0))</f>
        <v/>
      </c>
      <c r="BW200" s="192" t="str">
        <f t="shared" si="130"/>
        <v/>
      </c>
      <c r="BX200" s="192" t="str">
        <f>IF( OR($B200="", $AH200 = "SIM"), "", IF( ISNA( VLOOKUP( $AQ200, SISTEMA!$B:$B, 1, FALSE)), 1, 0))</f>
        <v/>
      </c>
      <c r="BY200" s="193" t="str">
        <f t="shared" si="131"/>
        <v/>
      </c>
      <c r="BZ200" s="193" t="str">
        <f t="shared" si="132"/>
        <v/>
      </c>
      <c r="CA200" s="192" t="str">
        <f t="shared" si="133"/>
        <v/>
      </c>
      <c r="CB200" s="193" t="str">
        <f t="shared" si="134"/>
        <v/>
      </c>
      <c r="CC200" s="193" t="str">
        <f t="shared" si="135"/>
        <v/>
      </c>
      <c r="CD200" s="193" t="str">
        <f t="shared" si="136"/>
        <v/>
      </c>
    </row>
    <row r="201" spans="1:82" x14ac:dyDescent="0.2">
      <c r="A201" s="140"/>
      <c r="B201" s="141" t="str">
        <f t="shared" ref="B201:B207" si="151" xml:space="preserve"> IF( C201 = "", "", C201 &amp; "." &amp; D201 &amp; "."  &amp; E201)</f>
        <v/>
      </c>
      <c r="C201" s="142" t="str">
        <f t="shared" si="139"/>
        <v/>
      </c>
      <c r="D201" s="142" t="str">
        <f t="shared" ref="D201:D207" si="152">IF( $C201 = "", "", IF( $M201="", IF(AND($C200=$C201,$G201 = ""), $D200, ""), TEXT($M201,"000")))</f>
        <v/>
      </c>
      <c r="E201" s="142" t="str">
        <f>IF($C201="", "", COUNTIF($M$8:$M201,$D201))</f>
        <v/>
      </c>
      <c r="F201" s="254">
        <v>194</v>
      </c>
      <c r="G201" s="143"/>
      <c r="H201" s="144"/>
      <c r="I201" s="144"/>
      <c r="J201" s="145"/>
      <c r="K201" s="144"/>
      <c r="L201" s="144"/>
      <c r="M201" s="144"/>
      <c r="N201" s="146"/>
      <c r="O201" s="147"/>
      <c r="P201" s="147"/>
      <c r="Q201" s="147"/>
      <c r="R201" s="147"/>
      <c r="S201" s="147"/>
      <c r="T201" s="149"/>
      <c r="U201" s="150" t="str">
        <f>IF($T201="", "", VLOOKUP($T201, CONTRATOS!$B:$E, 2, FALSE))</f>
        <v/>
      </c>
      <c r="V201" s="151">
        <f>IF(OR($T201="",TB_DEFESA!$C$2="CARGA BASELINE"),0,
   IF(VLOOKUP($T201, CONTRATOS!B:E, 3, FALSE)&lt;&gt;"",1,IF(VLOOKUP($T201, CONTRATOS!B:E, 4, FALSE)&lt;&gt;"",2,0)))</f>
        <v>0</v>
      </c>
      <c r="W201" s="152"/>
      <c r="X201" s="152"/>
      <c r="Y201" s="153"/>
      <c r="Z201" s="154"/>
      <c r="AA201" s="155"/>
      <c r="AB201" s="156"/>
      <c r="AC201" s="157"/>
      <c r="AD201" s="155"/>
      <c r="AE201" s="158" t="str">
        <f t="shared" si="140"/>
        <v/>
      </c>
      <c r="AF201" s="160" t="str">
        <f t="shared" ref="AF201:AF207" si="153">IF(B201= "", "", IF(SUM($BF201:$CD201) = 0, 0, 1))</f>
        <v/>
      </c>
      <c r="AG201" s="182" t="s">
        <v>59</v>
      </c>
      <c r="AH201" s="183" t="str">
        <f t="shared" ref="AH201:AH207" si="154">IF($B201="","", IF( AND($G201="", $B201 = $B200 ), $AH200, $G201))</f>
        <v/>
      </c>
      <c r="AI201" s="183" t="str">
        <f t="shared" ref="AI201:AI207" si="155">IF($B201 = "", "",  IF( AND($H201= "", $B201 = $B200 ), $AI200, $H201))</f>
        <v/>
      </c>
      <c r="AJ201" s="184" t="str">
        <f t="shared" ref="AJ201:AJ207" si="156">IF(AND($AB201="", $V201=""),"",IF(AND($I201="",$B201=$B200), $AJ200, IF($I201="","",$I201)))</f>
        <v/>
      </c>
      <c r="AK201" s="185" t="str">
        <f t="shared" ref="AK201:AK207" si="157">IF($B201="", "", IF( AND($J201 = "",$B201=$B200), $AK200, $J201))</f>
        <v/>
      </c>
      <c r="AL201" s="186"/>
      <c r="AM201" s="183" t="str">
        <f t="shared" ref="AM201:AM207" si="158">IF( $B201 = "", "",  IF(AND($N201= "",$B201=$B200), $AM200, $O201))</f>
        <v/>
      </c>
      <c r="AN201" s="183" t="str">
        <f t="shared" ref="AN201:AN207" si="159">IF( $B201 = "", "",  IF( AND($X201= "",$B201=$B200), $AN200, $X201))</f>
        <v/>
      </c>
      <c r="AO201" s="186" t="str">
        <f t="shared" ref="AO201:AO207" si="160">IF($B201="", "",  IF( AND($U201= "",$B201=$B200), $AO200, $U201))</f>
        <v/>
      </c>
      <c r="AP201" s="187" t="str">
        <f t="shared" ref="AP201:AP207" si="161">IF( $B201 = "", "",  IF( AND($U201= "",$B201=$B200), $AP200, IF($T201 = "", "", $T201)))</f>
        <v/>
      </c>
      <c r="AQ201" s="187" t="str">
        <f t="shared" ref="AQ201:AQ207" si="162">IF($B201="","",IF(AND($W201="",$B201=$B200),$AQ200,IF($W201="","",$W201)))</f>
        <v/>
      </c>
      <c r="AR201" s="188" t="str">
        <f t="shared" si="141"/>
        <v/>
      </c>
      <c r="AS201" s="188" t="str">
        <f t="shared" si="142"/>
        <v/>
      </c>
      <c r="AT201" s="183" t="str">
        <f t="shared" si="143"/>
        <v/>
      </c>
      <c r="AU201" s="189" t="str">
        <f>IF(OR($B201="", $AP201= ""),"",IF(VLOOKUP($AP201, CONTRATOS!B:K,3,FALSE)="","",VLOOKUP($AP201, CONTRATOS!B:K, 3,FALSE)))</f>
        <v/>
      </c>
      <c r="AV201" s="189" t="str">
        <f>IF(OR($B201="", $AP201 = ""), "", IF(VLOOKUP($AP201, CONTRATOS!B:K,4,FALSE)="","",VLOOKUP($AP201, CONTRATOS!B:K,4, FALSE)))</f>
        <v/>
      </c>
      <c r="AW201" s="190" t="str">
        <f t="shared" si="144"/>
        <v/>
      </c>
      <c r="AX201" s="189" t="str">
        <f t="shared" si="145"/>
        <v/>
      </c>
      <c r="AY201" s="189" t="str">
        <f t="shared" si="146"/>
        <v/>
      </c>
      <c r="AZ201" s="189" t="str">
        <f t="shared" si="147"/>
        <v/>
      </c>
      <c r="BA201" s="189" t="str">
        <f t="shared" si="148"/>
        <v/>
      </c>
      <c r="BB201" s="191">
        <f t="shared" ref="BB201:BB207" si="163">IF( $B201 = "", 0, ROW($B201))</f>
        <v>0</v>
      </c>
      <c r="BC201" s="191" t="str">
        <f t="shared" ref="BC201:BC207" si="164">IF($AC201="","",IF($AC201="Próximos Anos",$AC201,RIGHT($AC201,4)))</f>
        <v/>
      </c>
      <c r="BD201" s="191" t="str">
        <f t="shared" ref="BD201:BD207" si="165">IF($B201="", "", IF($B201=$B200, $BD200, $V201))</f>
        <v/>
      </c>
      <c r="BF201" s="192">
        <f t="shared" ref="BF201:BF207" si="166">IF( AND($G201="SIM", OR($H201="", $I201="", $J201="", $K201="",  $M201="", $O201="", $P201="", $Q201="", $R201="", $X201="",  $AA201="", $AB201="", $AC201="", $AD201="")), 1, 0)</f>
        <v>0</v>
      </c>
      <c r="BG201" s="192">
        <f t="shared" ref="BG201:BG207" si="167">IF(AND($G201="NÃO", OR($H201="", $I201="", $J201="", $K201="",  $M201="", $O201="", $T201="", $W201="", $X201="", $AA201="")), 1,
    IF( AND($AH201="NÃO",  $AU201 ="", OR( $AB201="", $AC201="", $AD201="")), 1,
    IF( AND($AH201="NÃO",  $AU201 &lt;&gt; "", $BD201&lt;&gt; 0, OR($AB201&lt;&gt;"", $AC201&lt;&gt;"", $AD201&lt;&gt;"") ), 1, 0 ) ) )</f>
        <v>0</v>
      </c>
      <c r="BH201" s="192" t="str">
        <f>IF( $B201="", "", IF(ISNA(VLOOKUP($C201, Defesa!$C$7:$C$29,1,FALSE)),1,0))</f>
        <v/>
      </c>
      <c r="BI201" s="193" t="str">
        <f t="shared" ref="BI201:BI207" si="168">IF($B201= "", "",  IF(OR($D201 = "N/A", LEFT($D201, 2) = "ME", AND(LEN($D201) = 12, LEFT($D201, 4) = "PROP")), 0, 1))</f>
        <v/>
      </c>
      <c r="BJ201" s="193" t="str">
        <f>IF($B201="", "", IF( AND( $AI201="ESTIMATIVA", OR( Defesa!$F$7 = "AUTOMÁTICA", Defesa!$F$7 ="100% BASELINE")), 1, 0))</f>
        <v/>
      </c>
      <c r="BK201" s="192" t="str">
        <f t="shared" si="149"/>
        <v/>
      </c>
      <c r="BL201" s="192">
        <f t="shared" ref="BL201:BL207" si="169">IF( OR($B201= "",$V201 = 1), 0,  IF( OR($AC201 = "", $AD201="", $AB201=""), 1, 0))</f>
        <v>0</v>
      </c>
      <c r="BM201" s="192" t="str">
        <f>IF($AC201="", "", IF(ISNA(VLOOKUP($AC201, TABELAS!$Q:$Q, 1, FALSE)), 1, 0))</f>
        <v/>
      </c>
      <c r="BN201" s="194" t="str">
        <f t="shared" si="150"/>
        <v/>
      </c>
      <c r="BO201" s="192" t="str">
        <f t="shared" ref="BO201:BO207" si="170">IF( $B201 ="", "", IF( AND($V201 = 1, OR( $AC201 &lt;&gt; "", $AB201 &lt;&gt; "", $AD201 &lt;&gt; "")), 1, 0))</f>
        <v/>
      </c>
      <c r="BP201" s="192" t="str">
        <f t="shared" ref="BP201:BP207" si="171" xml:space="preserve"> IF($B201 = "", "", IF(AND( $AI201 = "SIM", $AP201= "&lt; A DEFINIR &gt;"), 1, 0))</f>
        <v/>
      </c>
      <c r="BQ201" s="193" t="str">
        <f t="shared" ref="BQ201:BQ207" si="172">IF($B201="", "", IF( AND($AI201="SIM", OR(LEFT($D201,2)="ME", $D201 = "N/A")), 1, 0))</f>
        <v/>
      </c>
      <c r="BR201" s="192" t="str">
        <f t="shared" ref="BR201:BR207" si="173" xml:space="preserve"> IF($B201 = "", "", IF( AND( $AJ201 = "SIM", OR($AP201= "&lt; A DEFINIR &gt;", $V201 = 1, $AI201 = "ESTIMATIVA")), 1, 0))</f>
        <v/>
      </c>
      <c r="BS201" s="192" t="str">
        <f t="shared" ref="BS201:BS207" si="174" xml:space="preserve"> IF(B201 = "", "", IF(AND($X201 &lt;&gt; "N/A",  V201 = 1), 1, 0))</f>
        <v/>
      </c>
      <c r="BT201" s="192" t="str">
        <f>IF(OR($B201="", $AH201 = "SIM"), "", IF( ISNA(VLOOKUP($AP201,#REF!, 1, FALSE)), 1, 0))</f>
        <v/>
      </c>
      <c r="BU201" s="192" t="str">
        <f t="shared" ref="BU201:BU207" si="175">IF($AP201="", "", IF( AND(OR($AO201=4600046592, $U201 = 4600041840), $AN201&lt;&gt; "BTSA Fixa R2"), 1,0))</f>
        <v/>
      </c>
      <c r="BV201" s="192" t="str">
        <f>IF( $B201="", "", IF( ISNA(VLOOKUP($AN201, TABELAS!$T$2:$T$9,1,FALSE)), 1, 0))</f>
        <v/>
      </c>
      <c r="BW201" s="192" t="str">
        <f t="shared" ref="BW201:BW207" si="176" xml:space="preserve"> IF($B201 = "", "", IF( AND( $AN201 = "N/A", $V201 &lt;&gt;  1), 1, 0) )</f>
        <v/>
      </c>
      <c r="BX201" s="192" t="str">
        <f>IF( OR($B201="", $AH201 = "SIM"), "", IF( ISNA( VLOOKUP( $AQ201, SISTEMA!$B:$B, 1, FALSE)), 1, 0))</f>
        <v/>
      </c>
      <c r="BY201" s="193" t="str">
        <f t="shared" ref="BY201:BY207" si="177">IF( $B201="", "", IF( AND($AI201="ESTIMATIVA", LEFT($D201, 4)="PROP"), 1, 0))</f>
        <v/>
      </c>
      <c r="BZ201" s="193" t="str">
        <f t="shared" ref="BZ201:BZ207" si="178">IF( $B201="", "", IF( AND($AX201&lt;&gt;"", $V201 = 1), 1, 0))</f>
        <v/>
      </c>
      <c r="CA201" s="192" t="str">
        <f t="shared" ref="CA201:CA207" si="179">IF($B201="", "", IF( AND($AM201 &lt;&gt; "SERVIÇOS", $AM201 &lt;&gt; "HARDWARE", $AM201 &lt;&gt; "SOFTWARE", $AM201 &lt;&gt; "FACILITIES", $AM201 &lt;&gt; "VIAGENS"  ), 1, 0))</f>
        <v/>
      </c>
      <c r="CB201" s="193" t="str">
        <f t="shared" ref="CB201:CB207" si="180">IF( $B201="", "", IF( AND( $AH201 = "NÃO", OR( $AM201 = "SOFTWARE", $AM201 = "HARDWARE", $AM201 = "FACILITIES")), 1, 0))</f>
        <v/>
      </c>
      <c r="CC201" s="193" t="str">
        <f t="shared" ref="CC201:CC207" si="181">IF( $B201="", "", IF( AND($AI201="COMPLEMENTO", LEFT($D201, 4)="PROP"), 1, 0))</f>
        <v/>
      </c>
      <c r="CD201" s="193" t="str">
        <f t="shared" ref="CD201:CD207" si="182">IF( $B201="", "", IF( AND($D201=$D200, $AP201 &lt;&gt; $AP200), 1, 0))</f>
        <v/>
      </c>
    </row>
    <row r="202" spans="1:82" x14ac:dyDescent="0.2">
      <c r="A202" s="140"/>
      <c r="B202" s="141" t="str">
        <f t="shared" si="151"/>
        <v/>
      </c>
      <c r="C202" s="142" t="str">
        <f t="shared" si="139"/>
        <v/>
      </c>
      <c r="D202" s="142" t="str">
        <f t="shared" si="152"/>
        <v/>
      </c>
      <c r="E202" s="142" t="str">
        <f>IF($C202="", "", COUNTIF($M$8:$M202,$D202))</f>
        <v/>
      </c>
      <c r="F202" s="254">
        <v>195</v>
      </c>
      <c r="G202" s="143"/>
      <c r="H202" s="144"/>
      <c r="I202" s="144"/>
      <c r="J202" s="145"/>
      <c r="K202" s="144"/>
      <c r="L202" s="144"/>
      <c r="M202" s="144"/>
      <c r="N202" s="146"/>
      <c r="O202" s="147"/>
      <c r="P202" s="147"/>
      <c r="Q202" s="147"/>
      <c r="R202" s="147"/>
      <c r="S202" s="147"/>
      <c r="T202" s="149"/>
      <c r="U202" s="150" t="str">
        <f>IF($T202="", "", VLOOKUP($T202, CONTRATOS!$B:$E, 2, FALSE))</f>
        <v/>
      </c>
      <c r="V202" s="151">
        <f>IF(OR($T202="",TB_DEFESA!$C$2="CARGA BASELINE"),0,
   IF(VLOOKUP($T202, CONTRATOS!B:E, 3, FALSE)&lt;&gt;"",1,IF(VLOOKUP($T202, CONTRATOS!B:E, 4, FALSE)&lt;&gt;"",2,0)))</f>
        <v>0</v>
      </c>
      <c r="W202" s="152"/>
      <c r="X202" s="152"/>
      <c r="Y202" s="153"/>
      <c r="Z202" s="154"/>
      <c r="AA202" s="155"/>
      <c r="AB202" s="156"/>
      <c r="AC202" s="157"/>
      <c r="AD202" s="155"/>
      <c r="AE202" s="158" t="str">
        <f t="shared" si="140"/>
        <v/>
      </c>
      <c r="AF202" s="160" t="str">
        <f t="shared" si="153"/>
        <v/>
      </c>
      <c r="AG202" s="182" t="s">
        <v>59</v>
      </c>
      <c r="AH202" s="183" t="str">
        <f t="shared" si="154"/>
        <v/>
      </c>
      <c r="AI202" s="183" t="str">
        <f t="shared" si="155"/>
        <v/>
      </c>
      <c r="AJ202" s="184" t="str">
        <f t="shared" si="156"/>
        <v/>
      </c>
      <c r="AK202" s="185" t="str">
        <f t="shared" si="157"/>
        <v/>
      </c>
      <c r="AL202" s="186"/>
      <c r="AM202" s="183" t="str">
        <f t="shared" si="158"/>
        <v/>
      </c>
      <c r="AN202" s="183" t="str">
        <f t="shared" si="159"/>
        <v/>
      </c>
      <c r="AO202" s="186" t="str">
        <f t="shared" si="160"/>
        <v/>
      </c>
      <c r="AP202" s="187" t="str">
        <f t="shared" si="161"/>
        <v/>
      </c>
      <c r="AQ202" s="187" t="str">
        <f t="shared" si="162"/>
        <v/>
      </c>
      <c r="AR202" s="188" t="str">
        <f t="shared" si="141"/>
        <v/>
      </c>
      <c r="AS202" s="188" t="str">
        <f t="shared" si="142"/>
        <v/>
      </c>
      <c r="AT202" s="183" t="str">
        <f t="shared" si="143"/>
        <v/>
      </c>
      <c r="AU202" s="189" t="str">
        <f>IF(OR($B202="", $AP202= ""),"",IF(VLOOKUP($AP202, CONTRATOS!B:K,3,FALSE)="","",VLOOKUP($AP202, CONTRATOS!B:K, 3,FALSE)))</f>
        <v/>
      </c>
      <c r="AV202" s="189" t="str">
        <f>IF(OR($B202="", $AP202 = ""), "", IF(VLOOKUP($AP202, CONTRATOS!B:K,4,FALSE)="","",VLOOKUP($AP202, CONTRATOS!B:K,4, FALSE)))</f>
        <v/>
      </c>
      <c r="AW202" s="190" t="str">
        <f t="shared" si="144"/>
        <v/>
      </c>
      <c r="AX202" s="189" t="str">
        <f t="shared" si="145"/>
        <v/>
      </c>
      <c r="AY202" s="189" t="str">
        <f t="shared" si="146"/>
        <v/>
      </c>
      <c r="AZ202" s="189" t="str">
        <f t="shared" si="147"/>
        <v/>
      </c>
      <c r="BA202" s="189" t="str">
        <f t="shared" si="148"/>
        <v/>
      </c>
      <c r="BB202" s="191">
        <f t="shared" si="163"/>
        <v>0</v>
      </c>
      <c r="BC202" s="191" t="str">
        <f t="shared" si="164"/>
        <v/>
      </c>
      <c r="BD202" s="191" t="str">
        <f t="shared" si="165"/>
        <v/>
      </c>
      <c r="BF202" s="192">
        <f t="shared" si="166"/>
        <v>0</v>
      </c>
      <c r="BG202" s="192">
        <f t="shared" si="167"/>
        <v>0</v>
      </c>
      <c r="BH202" s="192" t="str">
        <f>IF( $B202="", "", IF(ISNA(VLOOKUP($C202, Defesa!$C$7:$C$29,1,FALSE)),1,0))</f>
        <v/>
      </c>
      <c r="BI202" s="193" t="str">
        <f t="shared" si="168"/>
        <v/>
      </c>
      <c r="BJ202" s="193" t="str">
        <f>IF($B202="", "", IF( AND( $AI202="ESTIMATIVA", OR( Defesa!$F$7 = "AUTOMÁTICA", Defesa!$F$7 ="100% BASELINE")), 1, 0))</f>
        <v/>
      </c>
      <c r="BK202" s="192" t="str">
        <f t="shared" si="149"/>
        <v/>
      </c>
      <c r="BL202" s="192">
        <f t="shared" si="169"/>
        <v>0</v>
      </c>
      <c r="BM202" s="192" t="str">
        <f>IF($AC202="", "", IF(ISNA(VLOOKUP($AC202, TABELAS!$Q:$Q, 1, FALSE)), 1, 0))</f>
        <v/>
      </c>
      <c r="BN202" s="194" t="str">
        <f t="shared" si="150"/>
        <v/>
      </c>
      <c r="BO202" s="192" t="str">
        <f t="shared" si="170"/>
        <v/>
      </c>
      <c r="BP202" s="192" t="str">
        <f t="shared" si="171"/>
        <v/>
      </c>
      <c r="BQ202" s="193" t="str">
        <f t="shared" si="172"/>
        <v/>
      </c>
      <c r="BR202" s="192" t="str">
        <f t="shared" si="173"/>
        <v/>
      </c>
      <c r="BS202" s="192" t="str">
        <f t="shared" si="174"/>
        <v/>
      </c>
      <c r="BT202" s="192" t="str">
        <f>IF(OR($B202="", $AH202 = "SIM"), "", IF( ISNA(VLOOKUP($AP202,#REF!, 1, FALSE)), 1, 0))</f>
        <v/>
      </c>
      <c r="BU202" s="192" t="str">
        <f t="shared" si="175"/>
        <v/>
      </c>
      <c r="BV202" s="192" t="str">
        <f>IF( $B202="", "", IF( ISNA(VLOOKUP($AN202, TABELAS!$T$2:$T$9,1,FALSE)), 1, 0))</f>
        <v/>
      </c>
      <c r="BW202" s="192" t="str">
        <f t="shared" si="176"/>
        <v/>
      </c>
      <c r="BX202" s="192" t="str">
        <f>IF( OR($B202="", $AH202 = "SIM"), "", IF( ISNA( VLOOKUP( $AQ202, SISTEMA!$B:$B, 1, FALSE)), 1, 0))</f>
        <v/>
      </c>
      <c r="BY202" s="193" t="str">
        <f t="shared" si="177"/>
        <v/>
      </c>
      <c r="BZ202" s="193" t="str">
        <f t="shared" si="178"/>
        <v/>
      </c>
      <c r="CA202" s="192" t="str">
        <f t="shared" si="179"/>
        <v/>
      </c>
      <c r="CB202" s="193" t="str">
        <f t="shared" si="180"/>
        <v/>
      </c>
      <c r="CC202" s="193" t="str">
        <f t="shared" si="181"/>
        <v/>
      </c>
      <c r="CD202" s="193" t="str">
        <f t="shared" si="182"/>
        <v/>
      </c>
    </row>
    <row r="203" spans="1:82" x14ac:dyDescent="0.2">
      <c r="A203" s="140"/>
      <c r="B203" s="141" t="str">
        <f t="shared" si="151"/>
        <v/>
      </c>
      <c r="C203" s="142" t="str">
        <f t="shared" si="139"/>
        <v/>
      </c>
      <c r="D203" s="142" t="str">
        <f t="shared" si="152"/>
        <v/>
      </c>
      <c r="E203" s="142" t="str">
        <f>IF($C203="", "", COUNTIF($M$8:$M203,$D203))</f>
        <v/>
      </c>
      <c r="F203" s="254">
        <v>196</v>
      </c>
      <c r="G203" s="143"/>
      <c r="H203" s="144"/>
      <c r="I203" s="144"/>
      <c r="J203" s="145"/>
      <c r="K203" s="144"/>
      <c r="L203" s="144"/>
      <c r="M203" s="144"/>
      <c r="N203" s="146"/>
      <c r="O203" s="147"/>
      <c r="P203" s="147"/>
      <c r="Q203" s="147"/>
      <c r="R203" s="147"/>
      <c r="S203" s="147"/>
      <c r="T203" s="149"/>
      <c r="U203" s="150" t="str">
        <f>IF($T203="", "", VLOOKUP($T203, CONTRATOS!$B:$E, 2, FALSE))</f>
        <v/>
      </c>
      <c r="V203" s="151">
        <f>IF(OR($T203="",TB_DEFESA!$C$2="CARGA BASELINE"),0,
   IF(VLOOKUP($T203, CONTRATOS!B:E, 3, FALSE)&lt;&gt;"",1,IF(VLOOKUP($T203, CONTRATOS!B:E, 4, FALSE)&lt;&gt;"",2,0)))</f>
        <v>0</v>
      </c>
      <c r="W203" s="152"/>
      <c r="X203" s="152"/>
      <c r="Y203" s="153"/>
      <c r="Z203" s="154"/>
      <c r="AA203" s="155"/>
      <c r="AB203" s="156"/>
      <c r="AC203" s="157"/>
      <c r="AD203" s="155"/>
      <c r="AE203" s="158" t="str">
        <f t="shared" si="140"/>
        <v/>
      </c>
      <c r="AF203" s="160" t="str">
        <f t="shared" si="153"/>
        <v/>
      </c>
      <c r="AG203" s="182" t="s">
        <v>59</v>
      </c>
      <c r="AH203" s="183" t="str">
        <f t="shared" si="154"/>
        <v/>
      </c>
      <c r="AI203" s="183" t="str">
        <f t="shared" si="155"/>
        <v/>
      </c>
      <c r="AJ203" s="184" t="str">
        <f t="shared" si="156"/>
        <v/>
      </c>
      <c r="AK203" s="185" t="str">
        <f t="shared" si="157"/>
        <v/>
      </c>
      <c r="AL203" s="186"/>
      <c r="AM203" s="183" t="str">
        <f t="shared" si="158"/>
        <v/>
      </c>
      <c r="AN203" s="183" t="str">
        <f t="shared" si="159"/>
        <v/>
      </c>
      <c r="AO203" s="186" t="str">
        <f t="shared" si="160"/>
        <v/>
      </c>
      <c r="AP203" s="187" t="str">
        <f t="shared" si="161"/>
        <v/>
      </c>
      <c r="AQ203" s="187" t="str">
        <f t="shared" si="162"/>
        <v/>
      </c>
      <c r="AR203" s="188" t="str">
        <f t="shared" si="141"/>
        <v/>
      </c>
      <c r="AS203" s="188" t="str">
        <f t="shared" si="142"/>
        <v/>
      </c>
      <c r="AT203" s="183" t="str">
        <f t="shared" si="143"/>
        <v/>
      </c>
      <c r="AU203" s="189" t="str">
        <f>IF(OR($B203="", $AP203= ""),"",IF(VLOOKUP($AP203, CONTRATOS!B:K,3,FALSE)="","",VLOOKUP($AP203, CONTRATOS!B:K, 3,FALSE)))</f>
        <v/>
      </c>
      <c r="AV203" s="189" t="str">
        <f>IF(OR($B203="", $AP203 = ""), "", IF(VLOOKUP($AP203, CONTRATOS!B:K,4,FALSE)="","",VLOOKUP($AP203, CONTRATOS!B:K,4, FALSE)))</f>
        <v/>
      </c>
      <c r="AW203" s="190" t="str">
        <f t="shared" si="144"/>
        <v/>
      </c>
      <c r="AX203" s="189" t="str">
        <f t="shared" si="145"/>
        <v/>
      </c>
      <c r="AY203" s="189" t="str">
        <f t="shared" si="146"/>
        <v/>
      </c>
      <c r="AZ203" s="189" t="str">
        <f t="shared" si="147"/>
        <v/>
      </c>
      <c r="BA203" s="189" t="str">
        <f t="shared" si="148"/>
        <v/>
      </c>
      <c r="BB203" s="191">
        <f t="shared" si="163"/>
        <v>0</v>
      </c>
      <c r="BC203" s="191" t="str">
        <f t="shared" si="164"/>
        <v/>
      </c>
      <c r="BD203" s="191" t="str">
        <f t="shared" si="165"/>
        <v/>
      </c>
      <c r="BF203" s="192">
        <f t="shared" si="166"/>
        <v>0</v>
      </c>
      <c r="BG203" s="192">
        <f t="shared" si="167"/>
        <v>0</v>
      </c>
      <c r="BH203" s="192" t="str">
        <f>IF( $B203="", "", IF(ISNA(VLOOKUP($C203, Defesa!$C$7:$C$29,1,FALSE)),1,0))</f>
        <v/>
      </c>
      <c r="BI203" s="193" t="str">
        <f t="shared" si="168"/>
        <v/>
      </c>
      <c r="BJ203" s="193" t="str">
        <f>IF($B203="", "", IF( AND( $AI203="ESTIMATIVA", OR( Defesa!$F$7 = "AUTOMÁTICA", Defesa!$F$7 ="100% BASELINE")), 1, 0))</f>
        <v/>
      </c>
      <c r="BK203" s="192" t="str">
        <f t="shared" si="149"/>
        <v/>
      </c>
      <c r="BL203" s="192">
        <f t="shared" si="169"/>
        <v>0</v>
      </c>
      <c r="BM203" s="192" t="str">
        <f>IF($AC203="", "", IF(ISNA(VLOOKUP($AC203, TABELAS!$Q:$Q, 1, FALSE)), 1, 0))</f>
        <v/>
      </c>
      <c r="BN203" s="194" t="str">
        <f t="shared" si="150"/>
        <v/>
      </c>
      <c r="BO203" s="192" t="str">
        <f t="shared" si="170"/>
        <v/>
      </c>
      <c r="BP203" s="192" t="str">
        <f t="shared" si="171"/>
        <v/>
      </c>
      <c r="BQ203" s="193" t="str">
        <f t="shared" si="172"/>
        <v/>
      </c>
      <c r="BR203" s="192" t="str">
        <f t="shared" si="173"/>
        <v/>
      </c>
      <c r="BS203" s="192" t="str">
        <f t="shared" si="174"/>
        <v/>
      </c>
      <c r="BT203" s="192" t="str">
        <f>IF(OR($B203="", $AH203 = "SIM"), "", IF( ISNA(VLOOKUP($AP203,#REF!, 1, FALSE)), 1, 0))</f>
        <v/>
      </c>
      <c r="BU203" s="192" t="str">
        <f t="shared" si="175"/>
        <v/>
      </c>
      <c r="BV203" s="192" t="str">
        <f>IF( $B203="", "", IF( ISNA(VLOOKUP($AN203, TABELAS!$T$2:$T$9,1,FALSE)), 1, 0))</f>
        <v/>
      </c>
      <c r="BW203" s="192" t="str">
        <f t="shared" si="176"/>
        <v/>
      </c>
      <c r="BX203" s="192" t="str">
        <f>IF( OR($B203="", $AH203 = "SIM"), "", IF( ISNA( VLOOKUP( $AQ203, SISTEMA!$B:$B, 1, FALSE)), 1, 0))</f>
        <v/>
      </c>
      <c r="BY203" s="193" t="str">
        <f t="shared" si="177"/>
        <v/>
      </c>
      <c r="BZ203" s="193" t="str">
        <f t="shared" si="178"/>
        <v/>
      </c>
      <c r="CA203" s="192" t="str">
        <f t="shared" si="179"/>
        <v/>
      </c>
      <c r="CB203" s="193" t="str">
        <f t="shared" si="180"/>
        <v/>
      </c>
      <c r="CC203" s="193" t="str">
        <f t="shared" si="181"/>
        <v/>
      </c>
      <c r="CD203" s="193" t="str">
        <f t="shared" si="182"/>
        <v/>
      </c>
    </row>
    <row r="204" spans="1:82" x14ac:dyDescent="0.2">
      <c r="A204" s="140"/>
      <c r="B204" s="141" t="str">
        <f t="shared" si="151"/>
        <v/>
      </c>
      <c r="C204" s="142" t="str">
        <f t="shared" si="139"/>
        <v/>
      </c>
      <c r="D204" s="142" t="str">
        <f t="shared" si="152"/>
        <v/>
      </c>
      <c r="E204" s="142" t="str">
        <f>IF($C204="", "", COUNTIF($M$8:$M204,$D204))</f>
        <v/>
      </c>
      <c r="F204" s="254">
        <v>197</v>
      </c>
      <c r="G204" s="143"/>
      <c r="H204" s="144"/>
      <c r="I204" s="144"/>
      <c r="J204" s="145"/>
      <c r="K204" s="144"/>
      <c r="L204" s="144"/>
      <c r="M204" s="144"/>
      <c r="N204" s="146"/>
      <c r="O204" s="147"/>
      <c r="P204" s="147"/>
      <c r="Q204" s="147"/>
      <c r="R204" s="147"/>
      <c r="S204" s="147"/>
      <c r="T204" s="149"/>
      <c r="U204" s="150" t="str">
        <f>IF($T204="", "", VLOOKUP($T204, CONTRATOS!$B:$E, 2, FALSE))</f>
        <v/>
      </c>
      <c r="V204" s="151">
        <f>IF(OR($T204="",TB_DEFESA!$C$2="CARGA BASELINE"),0,
   IF(VLOOKUP($T204, CONTRATOS!B:E, 3, FALSE)&lt;&gt;"",1,IF(VLOOKUP($T204, CONTRATOS!B:E, 4, FALSE)&lt;&gt;"",2,0)))</f>
        <v>0</v>
      </c>
      <c r="W204" s="152"/>
      <c r="X204" s="152"/>
      <c r="Y204" s="153"/>
      <c r="Z204" s="154"/>
      <c r="AA204" s="155"/>
      <c r="AB204" s="156"/>
      <c r="AC204" s="157"/>
      <c r="AD204" s="155"/>
      <c r="AE204" s="158" t="str">
        <f t="shared" si="140"/>
        <v/>
      </c>
      <c r="AF204" s="160" t="str">
        <f t="shared" si="153"/>
        <v/>
      </c>
      <c r="AG204" s="182" t="s">
        <v>59</v>
      </c>
      <c r="AH204" s="183" t="str">
        <f t="shared" si="154"/>
        <v/>
      </c>
      <c r="AI204" s="183" t="str">
        <f t="shared" si="155"/>
        <v/>
      </c>
      <c r="AJ204" s="184" t="str">
        <f t="shared" si="156"/>
        <v/>
      </c>
      <c r="AK204" s="185" t="str">
        <f t="shared" si="157"/>
        <v/>
      </c>
      <c r="AL204" s="186"/>
      <c r="AM204" s="183" t="str">
        <f t="shared" si="158"/>
        <v/>
      </c>
      <c r="AN204" s="183" t="str">
        <f t="shared" si="159"/>
        <v/>
      </c>
      <c r="AO204" s="186" t="str">
        <f t="shared" si="160"/>
        <v/>
      </c>
      <c r="AP204" s="187" t="str">
        <f t="shared" si="161"/>
        <v/>
      </c>
      <c r="AQ204" s="187" t="str">
        <f t="shared" si="162"/>
        <v/>
      </c>
      <c r="AR204" s="188" t="str">
        <f t="shared" si="141"/>
        <v/>
      </c>
      <c r="AS204" s="188" t="str">
        <f t="shared" si="142"/>
        <v/>
      </c>
      <c r="AT204" s="183" t="str">
        <f t="shared" si="143"/>
        <v/>
      </c>
      <c r="AU204" s="189" t="str">
        <f>IF(OR($B204="", $AP204= ""),"",IF(VLOOKUP($AP204, CONTRATOS!B:K,3,FALSE)="","",VLOOKUP($AP204, CONTRATOS!B:K, 3,FALSE)))</f>
        <v/>
      </c>
      <c r="AV204" s="189" t="str">
        <f>IF(OR($B204="", $AP204 = ""), "", IF(VLOOKUP($AP204, CONTRATOS!B:K,4,FALSE)="","",VLOOKUP($AP204, CONTRATOS!B:K,4, FALSE)))</f>
        <v/>
      </c>
      <c r="AW204" s="190" t="str">
        <f t="shared" si="144"/>
        <v/>
      </c>
      <c r="AX204" s="189" t="str">
        <f t="shared" si="145"/>
        <v/>
      </c>
      <c r="AY204" s="189" t="str">
        <f t="shared" si="146"/>
        <v/>
      </c>
      <c r="AZ204" s="189" t="str">
        <f t="shared" si="147"/>
        <v/>
      </c>
      <c r="BA204" s="189" t="str">
        <f t="shared" si="148"/>
        <v/>
      </c>
      <c r="BB204" s="191">
        <f t="shared" si="163"/>
        <v>0</v>
      </c>
      <c r="BC204" s="191" t="str">
        <f t="shared" si="164"/>
        <v/>
      </c>
      <c r="BD204" s="191" t="str">
        <f t="shared" si="165"/>
        <v/>
      </c>
      <c r="BF204" s="192">
        <f t="shared" si="166"/>
        <v>0</v>
      </c>
      <c r="BG204" s="192">
        <f t="shared" si="167"/>
        <v>0</v>
      </c>
      <c r="BH204" s="192" t="str">
        <f>IF( $B204="", "", IF(ISNA(VLOOKUP($C204, Defesa!$C$7:$C$29,1,FALSE)),1,0))</f>
        <v/>
      </c>
      <c r="BI204" s="193" t="str">
        <f t="shared" si="168"/>
        <v/>
      </c>
      <c r="BJ204" s="193" t="str">
        <f>IF($B204="", "", IF( AND( $AI204="ESTIMATIVA", OR( Defesa!$F$7 = "AUTOMÁTICA", Defesa!$F$7 ="100% BASELINE")), 1, 0))</f>
        <v/>
      </c>
      <c r="BK204" s="192" t="str">
        <f t="shared" si="149"/>
        <v/>
      </c>
      <c r="BL204" s="192">
        <f t="shared" si="169"/>
        <v>0</v>
      </c>
      <c r="BM204" s="192" t="str">
        <f>IF($AC204="", "", IF(ISNA(VLOOKUP($AC204, TABELAS!$Q:$Q, 1, FALSE)), 1, 0))</f>
        <v/>
      </c>
      <c r="BN204" s="194" t="str">
        <f t="shared" si="150"/>
        <v/>
      </c>
      <c r="BO204" s="192" t="str">
        <f t="shared" si="170"/>
        <v/>
      </c>
      <c r="BP204" s="192" t="str">
        <f t="shared" si="171"/>
        <v/>
      </c>
      <c r="BQ204" s="193" t="str">
        <f t="shared" si="172"/>
        <v/>
      </c>
      <c r="BR204" s="192" t="str">
        <f t="shared" si="173"/>
        <v/>
      </c>
      <c r="BS204" s="192" t="str">
        <f t="shared" si="174"/>
        <v/>
      </c>
      <c r="BT204" s="192" t="str">
        <f>IF(OR($B204="", $AH204 = "SIM"), "", IF( ISNA(VLOOKUP($AP204,#REF!, 1, FALSE)), 1, 0))</f>
        <v/>
      </c>
      <c r="BU204" s="192" t="str">
        <f t="shared" si="175"/>
        <v/>
      </c>
      <c r="BV204" s="192" t="str">
        <f>IF( $B204="", "", IF( ISNA(VLOOKUP($AN204, TABELAS!$T$2:$T$9,1,FALSE)), 1, 0))</f>
        <v/>
      </c>
      <c r="BW204" s="192" t="str">
        <f t="shared" si="176"/>
        <v/>
      </c>
      <c r="BX204" s="192" t="str">
        <f>IF( OR($B204="", $AH204 = "SIM"), "", IF( ISNA( VLOOKUP( $AQ204, SISTEMA!$B:$B, 1, FALSE)), 1, 0))</f>
        <v/>
      </c>
      <c r="BY204" s="193" t="str">
        <f t="shared" si="177"/>
        <v/>
      </c>
      <c r="BZ204" s="193" t="str">
        <f t="shared" si="178"/>
        <v/>
      </c>
      <c r="CA204" s="192" t="str">
        <f t="shared" si="179"/>
        <v/>
      </c>
      <c r="CB204" s="193" t="str">
        <f t="shared" si="180"/>
        <v/>
      </c>
      <c r="CC204" s="193" t="str">
        <f t="shared" si="181"/>
        <v/>
      </c>
      <c r="CD204" s="193" t="str">
        <f t="shared" si="182"/>
        <v/>
      </c>
    </row>
    <row r="205" spans="1:82" x14ac:dyDescent="0.2">
      <c r="A205" s="140"/>
      <c r="B205" s="141" t="str">
        <f t="shared" si="151"/>
        <v/>
      </c>
      <c r="C205" s="142" t="str">
        <f t="shared" si="139"/>
        <v/>
      </c>
      <c r="D205" s="142" t="str">
        <f t="shared" si="152"/>
        <v/>
      </c>
      <c r="E205" s="142" t="str">
        <f>IF($C205="", "", COUNTIF($M$8:$M205,$D205))</f>
        <v/>
      </c>
      <c r="F205" s="254">
        <v>198</v>
      </c>
      <c r="G205" s="143"/>
      <c r="H205" s="144"/>
      <c r="I205" s="144"/>
      <c r="J205" s="145"/>
      <c r="K205" s="144"/>
      <c r="L205" s="144"/>
      <c r="M205" s="144"/>
      <c r="N205" s="146"/>
      <c r="O205" s="147"/>
      <c r="P205" s="147"/>
      <c r="Q205" s="147"/>
      <c r="R205" s="147"/>
      <c r="S205" s="147"/>
      <c r="T205" s="149"/>
      <c r="U205" s="150" t="str">
        <f>IF($T205="", "", VLOOKUP($T205, CONTRATOS!$B:$E, 2, FALSE))</f>
        <v/>
      </c>
      <c r="V205" s="151">
        <f>IF(OR($T205="",TB_DEFESA!$C$2="CARGA BASELINE"),0,
   IF(VLOOKUP($T205, CONTRATOS!B:E, 3, FALSE)&lt;&gt;"",1,IF(VLOOKUP($T205, CONTRATOS!B:E, 4, FALSE)&lt;&gt;"",2,0)))</f>
        <v>0</v>
      </c>
      <c r="W205" s="152"/>
      <c r="X205" s="152"/>
      <c r="Y205" s="153"/>
      <c r="Z205" s="154"/>
      <c r="AA205" s="155"/>
      <c r="AB205" s="156"/>
      <c r="AC205" s="157"/>
      <c r="AD205" s="155"/>
      <c r="AE205" s="158" t="str">
        <f t="shared" si="140"/>
        <v/>
      </c>
      <c r="AF205" s="160" t="str">
        <f t="shared" si="153"/>
        <v/>
      </c>
      <c r="AG205" s="182" t="s">
        <v>59</v>
      </c>
      <c r="AH205" s="183" t="str">
        <f t="shared" si="154"/>
        <v/>
      </c>
      <c r="AI205" s="183" t="str">
        <f t="shared" si="155"/>
        <v/>
      </c>
      <c r="AJ205" s="184" t="str">
        <f t="shared" si="156"/>
        <v/>
      </c>
      <c r="AK205" s="185" t="str">
        <f t="shared" si="157"/>
        <v/>
      </c>
      <c r="AL205" s="186"/>
      <c r="AM205" s="183" t="str">
        <f t="shared" si="158"/>
        <v/>
      </c>
      <c r="AN205" s="183" t="str">
        <f t="shared" si="159"/>
        <v/>
      </c>
      <c r="AO205" s="186" t="str">
        <f t="shared" si="160"/>
        <v/>
      </c>
      <c r="AP205" s="187" t="str">
        <f t="shared" si="161"/>
        <v/>
      </c>
      <c r="AQ205" s="187" t="str">
        <f t="shared" si="162"/>
        <v/>
      </c>
      <c r="AR205" s="188" t="str">
        <f t="shared" si="141"/>
        <v/>
      </c>
      <c r="AS205" s="188" t="str">
        <f t="shared" si="142"/>
        <v/>
      </c>
      <c r="AT205" s="183" t="str">
        <f t="shared" si="143"/>
        <v/>
      </c>
      <c r="AU205" s="189" t="str">
        <f>IF(OR($B205="", $AP205= ""),"",IF(VLOOKUP($AP205, CONTRATOS!B:K,3,FALSE)="","",VLOOKUP($AP205, CONTRATOS!B:K, 3,FALSE)))</f>
        <v/>
      </c>
      <c r="AV205" s="189" t="str">
        <f>IF(OR($B205="", $AP205 = ""), "", IF(VLOOKUP($AP205, CONTRATOS!B:K,4,FALSE)="","",VLOOKUP($AP205, CONTRATOS!B:K,4, FALSE)))</f>
        <v/>
      </c>
      <c r="AW205" s="190" t="str">
        <f t="shared" si="144"/>
        <v/>
      </c>
      <c r="AX205" s="189" t="str">
        <f t="shared" si="145"/>
        <v/>
      </c>
      <c r="AY205" s="189" t="str">
        <f t="shared" si="146"/>
        <v/>
      </c>
      <c r="AZ205" s="189" t="str">
        <f t="shared" si="147"/>
        <v/>
      </c>
      <c r="BA205" s="189" t="str">
        <f t="shared" si="148"/>
        <v/>
      </c>
      <c r="BB205" s="191">
        <f t="shared" si="163"/>
        <v>0</v>
      </c>
      <c r="BC205" s="191" t="str">
        <f t="shared" si="164"/>
        <v/>
      </c>
      <c r="BD205" s="191" t="str">
        <f t="shared" si="165"/>
        <v/>
      </c>
      <c r="BF205" s="192">
        <f t="shared" si="166"/>
        <v>0</v>
      </c>
      <c r="BG205" s="192">
        <f t="shared" si="167"/>
        <v>0</v>
      </c>
      <c r="BH205" s="192" t="str">
        <f>IF( $B205="", "", IF(ISNA(VLOOKUP($C205, Defesa!$C$7:$C$29,1,FALSE)),1,0))</f>
        <v/>
      </c>
      <c r="BI205" s="193" t="str">
        <f t="shared" si="168"/>
        <v/>
      </c>
      <c r="BJ205" s="193" t="str">
        <f>IF($B205="", "", IF( AND( $AI205="ESTIMATIVA", OR( Defesa!$F$7 = "AUTOMÁTICA", Defesa!$F$7 ="100% BASELINE")), 1, 0))</f>
        <v/>
      </c>
      <c r="BK205" s="192" t="str">
        <f t="shared" si="149"/>
        <v/>
      </c>
      <c r="BL205" s="192">
        <f t="shared" si="169"/>
        <v>0</v>
      </c>
      <c r="BM205" s="192" t="str">
        <f>IF($AC205="", "", IF(ISNA(VLOOKUP($AC205, TABELAS!$Q:$Q, 1, FALSE)), 1, 0))</f>
        <v/>
      </c>
      <c r="BN205" s="194" t="str">
        <f t="shared" si="150"/>
        <v/>
      </c>
      <c r="BO205" s="192" t="str">
        <f t="shared" si="170"/>
        <v/>
      </c>
      <c r="BP205" s="192" t="str">
        <f t="shared" si="171"/>
        <v/>
      </c>
      <c r="BQ205" s="193" t="str">
        <f t="shared" si="172"/>
        <v/>
      </c>
      <c r="BR205" s="192" t="str">
        <f t="shared" si="173"/>
        <v/>
      </c>
      <c r="BS205" s="192" t="str">
        <f t="shared" si="174"/>
        <v/>
      </c>
      <c r="BT205" s="192" t="str">
        <f>IF(OR($B205="", $AH205 = "SIM"), "", IF( ISNA(VLOOKUP($AP205,#REF!, 1, FALSE)), 1, 0))</f>
        <v/>
      </c>
      <c r="BU205" s="192" t="str">
        <f t="shared" si="175"/>
        <v/>
      </c>
      <c r="BV205" s="192" t="str">
        <f>IF( $B205="", "", IF( ISNA(VLOOKUP($AN205, TABELAS!$T$2:$T$9,1,FALSE)), 1, 0))</f>
        <v/>
      </c>
      <c r="BW205" s="192" t="str">
        <f t="shared" si="176"/>
        <v/>
      </c>
      <c r="BX205" s="192" t="str">
        <f>IF( OR($B205="", $AH205 = "SIM"), "", IF( ISNA( VLOOKUP( $AQ205, SISTEMA!$B:$B, 1, FALSE)), 1, 0))</f>
        <v/>
      </c>
      <c r="BY205" s="193" t="str">
        <f t="shared" si="177"/>
        <v/>
      </c>
      <c r="BZ205" s="193" t="str">
        <f t="shared" si="178"/>
        <v/>
      </c>
      <c r="CA205" s="192" t="str">
        <f t="shared" si="179"/>
        <v/>
      </c>
      <c r="CB205" s="193" t="str">
        <f t="shared" si="180"/>
        <v/>
      </c>
      <c r="CC205" s="193" t="str">
        <f t="shared" si="181"/>
        <v/>
      </c>
      <c r="CD205" s="193" t="str">
        <f t="shared" si="182"/>
        <v/>
      </c>
    </row>
    <row r="206" spans="1:82" x14ac:dyDescent="0.2">
      <c r="A206" s="140"/>
      <c r="B206" s="141" t="str">
        <f t="shared" si="151"/>
        <v/>
      </c>
      <c r="C206" s="142" t="str">
        <f t="shared" si="139"/>
        <v/>
      </c>
      <c r="D206" s="142" t="str">
        <f t="shared" si="152"/>
        <v/>
      </c>
      <c r="E206" s="142" t="str">
        <f>IF($C206="", "", COUNTIF($M$8:$M206,$D206))</f>
        <v/>
      </c>
      <c r="F206" s="254">
        <v>199</v>
      </c>
      <c r="G206" s="143"/>
      <c r="H206" s="144"/>
      <c r="I206" s="144"/>
      <c r="J206" s="145"/>
      <c r="K206" s="144"/>
      <c r="L206" s="144"/>
      <c r="M206" s="144"/>
      <c r="N206" s="146"/>
      <c r="O206" s="147"/>
      <c r="P206" s="147"/>
      <c r="Q206" s="147"/>
      <c r="R206" s="147"/>
      <c r="S206" s="147"/>
      <c r="T206" s="149"/>
      <c r="U206" s="150" t="str">
        <f>IF($T206="", "", VLOOKUP($T206, CONTRATOS!$B:$E, 2, FALSE))</f>
        <v/>
      </c>
      <c r="V206" s="151">
        <f>IF(OR($T206="",TB_DEFESA!$C$2="CARGA BASELINE"),0,
   IF(VLOOKUP($T206, CONTRATOS!B:E, 3, FALSE)&lt;&gt;"",1,IF(VLOOKUP($T206, CONTRATOS!B:E, 4, FALSE)&lt;&gt;"",2,0)))</f>
        <v>0</v>
      </c>
      <c r="W206" s="152"/>
      <c r="X206" s="152"/>
      <c r="Y206" s="153"/>
      <c r="Z206" s="154"/>
      <c r="AA206" s="155"/>
      <c r="AB206" s="156"/>
      <c r="AC206" s="157"/>
      <c r="AD206" s="155"/>
      <c r="AE206" s="158" t="str">
        <f t="shared" si="140"/>
        <v/>
      </c>
      <c r="AF206" s="160" t="str">
        <f t="shared" si="153"/>
        <v/>
      </c>
      <c r="AG206" s="182" t="s">
        <v>59</v>
      </c>
      <c r="AH206" s="183" t="str">
        <f t="shared" si="154"/>
        <v/>
      </c>
      <c r="AI206" s="183" t="str">
        <f t="shared" si="155"/>
        <v/>
      </c>
      <c r="AJ206" s="184" t="str">
        <f t="shared" si="156"/>
        <v/>
      </c>
      <c r="AK206" s="185" t="str">
        <f t="shared" si="157"/>
        <v/>
      </c>
      <c r="AL206" s="186"/>
      <c r="AM206" s="183" t="str">
        <f t="shared" si="158"/>
        <v/>
      </c>
      <c r="AN206" s="183" t="str">
        <f t="shared" si="159"/>
        <v/>
      </c>
      <c r="AO206" s="186" t="str">
        <f t="shared" si="160"/>
        <v/>
      </c>
      <c r="AP206" s="187" t="str">
        <f t="shared" si="161"/>
        <v/>
      </c>
      <c r="AQ206" s="187" t="str">
        <f t="shared" si="162"/>
        <v/>
      </c>
      <c r="AR206" s="188" t="str">
        <f t="shared" si="141"/>
        <v/>
      </c>
      <c r="AS206" s="188" t="str">
        <f t="shared" si="142"/>
        <v/>
      </c>
      <c r="AT206" s="183" t="str">
        <f t="shared" si="143"/>
        <v/>
      </c>
      <c r="AU206" s="189" t="str">
        <f>IF(OR($B206="", $AP206= ""),"",IF(VLOOKUP($AP206, CONTRATOS!B:K,3,FALSE)="","",VLOOKUP($AP206, CONTRATOS!B:K, 3,FALSE)))</f>
        <v/>
      </c>
      <c r="AV206" s="189" t="str">
        <f>IF(OR($B206="", $AP206 = ""), "", IF(VLOOKUP($AP206, CONTRATOS!B:K,4,FALSE)="","",VLOOKUP($AP206, CONTRATOS!B:K,4, FALSE)))</f>
        <v/>
      </c>
      <c r="AW206" s="190" t="str">
        <f t="shared" si="144"/>
        <v/>
      </c>
      <c r="AX206" s="189" t="str">
        <f t="shared" si="145"/>
        <v/>
      </c>
      <c r="AY206" s="189" t="str">
        <f t="shared" si="146"/>
        <v/>
      </c>
      <c r="AZ206" s="189" t="str">
        <f t="shared" si="147"/>
        <v/>
      </c>
      <c r="BA206" s="189" t="str">
        <f t="shared" si="148"/>
        <v/>
      </c>
      <c r="BB206" s="191">
        <f t="shared" si="163"/>
        <v>0</v>
      </c>
      <c r="BC206" s="191" t="str">
        <f t="shared" si="164"/>
        <v/>
      </c>
      <c r="BD206" s="191" t="str">
        <f t="shared" si="165"/>
        <v/>
      </c>
      <c r="BF206" s="192">
        <f t="shared" si="166"/>
        <v>0</v>
      </c>
      <c r="BG206" s="192">
        <f t="shared" si="167"/>
        <v>0</v>
      </c>
      <c r="BH206" s="192" t="str">
        <f>IF( $B206="", "", IF(ISNA(VLOOKUP($C206, Defesa!$C$7:$C$29,1,FALSE)),1,0))</f>
        <v/>
      </c>
      <c r="BI206" s="193" t="str">
        <f t="shared" si="168"/>
        <v/>
      </c>
      <c r="BJ206" s="193" t="str">
        <f>IF($B206="", "", IF( AND( $AI206="ESTIMATIVA", OR( Defesa!$F$7 = "AUTOMÁTICA", Defesa!$F$7 ="100% BASELINE")), 1, 0))</f>
        <v/>
      </c>
      <c r="BK206" s="192" t="str">
        <f t="shared" si="149"/>
        <v/>
      </c>
      <c r="BL206" s="192">
        <f t="shared" si="169"/>
        <v>0</v>
      </c>
      <c r="BM206" s="192" t="str">
        <f>IF($AC206="", "", IF(ISNA(VLOOKUP($AC206, TABELAS!$Q:$Q, 1, FALSE)), 1, 0))</f>
        <v/>
      </c>
      <c r="BN206" s="194" t="str">
        <f t="shared" si="150"/>
        <v/>
      </c>
      <c r="BO206" s="192" t="str">
        <f t="shared" si="170"/>
        <v/>
      </c>
      <c r="BP206" s="192" t="str">
        <f t="shared" si="171"/>
        <v/>
      </c>
      <c r="BQ206" s="193" t="str">
        <f t="shared" si="172"/>
        <v/>
      </c>
      <c r="BR206" s="192" t="str">
        <f t="shared" si="173"/>
        <v/>
      </c>
      <c r="BS206" s="192" t="str">
        <f t="shared" si="174"/>
        <v/>
      </c>
      <c r="BT206" s="192" t="str">
        <f>IF(OR($B206="", $AH206 = "SIM"), "", IF( ISNA(VLOOKUP($AP206,#REF!, 1, FALSE)), 1, 0))</f>
        <v/>
      </c>
      <c r="BU206" s="192" t="str">
        <f t="shared" si="175"/>
        <v/>
      </c>
      <c r="BV206" s="192" t="str">
        <f>IF( $B206="", "", IF( ISNA(VLOOKUP($AN206, TABELAS!$T$2:$T$9,1,FALSE)), 1, 0))</f>
        <v/>
      </c>
      <c r="BW206" s="192" t="str">
        <f t="shared" si="176"/>
        <v/>
      </c>
      <c r="BX206" s="192" t="str">
        <f>IF( OR($B206="", $AH206 = "SIM"), "", IF( ISNA( VLOOKUP( $AQ206, SISTEMA!$B:$B, 1, FALSE)), 1, 0))</f>
        <v/>
      </c>
      <c r="BY206" s="193" t="str">
        <f t="shared" si="177"/>
        <v/>
      </c>
      <c r="BZ206" s="193" t="str">
        <f t="shared" si="178"/>
        <v/>
      </c>
      <c r="CA206" s="192" t="str">
        <f t="shared" si="179"/>
        <v/>
      </c>
      <c r="CB206" s="193" t="str">
        <f t="shared" si="180"/>
        <v/>
      </c>
      <c r="CC206" s="193" t="str">
        <f t="shared" si="181"/>
        <v/>
      </c>
      <c r="CD206" s="193" t="str">
        <f t="shared" si="182"/>
        <v/>
      </c>
    </row>
    <row r="207" spans="1:82" x14ac:dyDescent="0.2">
      <c r="A207" s="140"/>
      <c r="B207" s="141" t="str">
        <f t="shared" si="151"/>
        <v/>
      </c>
      <c r="C207" s="142" t="str">
        <f t="shared" si="139"/>
        <v/>
      </c>
      <c r="D207" s="142" t="str">
        <f t="shared" si="152"/>
        <v/>
      </c>
      <c r="E207" s="142" t="str">
        <f>IF($C207="", "", COUNTIF($M$8:$M207,$D207))</f>
        <v/>
      </c>
      <c r="F207" s="254">
        <v>200</v>
      </c>
      <c r="G207" s="143"/>
      <c r="H207" s="144"/>
      <c r="I207" s="144"/>
      <c r="J207" s="145"/>
      <c r="K207" s="144"/>
      <c r="L207" s="144"/>
      <c r="M207" s="144"/>
      <c r="N207" s="146"/>
      <c r="O207" s="147"/>
      <c r="P207" s="147"/>
      <c r="Q207" s="147"/>
      <c r="R207" s="147"/>
      <c r="S207" s="147"/>
      <c r="T207" s="149"/>
      <c r="U207" s="150" t="str">
        <f>IF($T207="", "", VLOOKUP($T207, CONTRATOS!$B:$E, 2, FALSE))</f>
        <v/>
      </c>
      <c r="V207" s="151">
        <f>IF(OR($T207="",TB_DEFESA!$C$2="CARGA BASELINE"),0,
   IF(VLOOKUP($T207, CONTRATOS!B:E, 3, FALSE)&lt;&gt;"",1,IF(VLOOKUP($T207, CONTRATOS!B:E, 4, FALSE)&lt;&gt;"",2,0)))</f>
        <v>0</v>
      </c>
      <c r="W207" s="152"/>
      <c r="X207" s="152"/>
      <c r="Y207" s="153"/>
      <c r="Z207" s="154"/>
      <c r="AA207" s="155"/>
      <c r="AB207" s="156"/>
      <c r="AC207" s="157"/>
      <c r="AD207" s="155"/>
      <c r="AE207" s="158" t="str">
        <f t="shared" si="140"/>
        <v/>
      </c>
      <c r="AF207" s="160" t="str">
        <f t="shared" si="153"/>
        <v/>
      </c>
      <c r="AG207" s="182" t="s">
        <v>59</v>
      </c>
      <c r="AH207" s="183" t="str">
        <f t="shared" si="154"/>
        <v/>
      </c>
      <c r="AI207" s="183" t="str">
        <f t="shared" si="155"/>
        <v/>
      </c>
      <c r="AJ207" s="184" t="str">
        <f t="shared" si="156"/>
        <v/>
      </c>
      <c r="AK207" s="185" t="str">
        <f t="shared" si="157"/>
        <v/>
      </c>
      <c r="AL207" s="186"/>
      <c r="AM207" s="183" t="str">
        <f t="shared" si="158"/>
        <v/>
      </c>
      <c r="AN207" s="183" t="str">
        <f t="shared" si="159"/>
        <v/>
      </c>
      <c r="AO207" s="186" t="str">
        <f t="shared" si="160"/>
        <v/>
      </c>
      <c r="AP207" s="187" t="str">
        <f t="shared" si="161"/>
        <v/>
      </c>
      <c r="AQ207" s="187" t="str">
        <f t="shared" si="162"/>
        <v/>
      </c>
      <c r="AR207" s="188" t="str">
        <f t="shared" si="141"/>
        <v/>
      </c>
      <c r="AS207" s="188" t="str">
        <f t="shared" si="142"/>
        <v/>
      </c>
      <c r="AT207" s="183" t="str">
        <f t="shared" si="143"/>
        <v/>
      </c>
      <c r="AU207" s="189" t="str">
        <f>IF(OR($B207="", $AP207= ""),"",IF(VLOOKUP($AP207, CONTRATOS!B:K,3,FALSE)="","",VLOOKUP($AP207, CONTRATOS!B:K, 3,FALSE)))</f>
        <v/>
      </c>
      <c r="AV207" s="189" t="str">
        <f>IF(OR($B207="", $AP207 = ""), "", IF(VLOOKUP($AP207, CONTRATOS!B:K,4,FALSE)="","",VLOOKUP($AP207, CONTRATOS!B:K,4, FALSE)))</f>
        <v/>
      </c>
      <c r="AW207" s="190" t="str">
        <f t="shared" si="144"/>
        <v/>
      </c>
      <c r="AX207" s="189" t="str">
        <f t="shared" si="145"/>
        <v/>
      </c>
      <c r="AY207" s="189" t="str">
        <f t="shared" si="146"/>
        <v/>
      </c>
      <c r="AZ207" s="189" t="str">
        <f t="shared" si="147"/>
        <v/>
      </c>
      <c r="BA207" s="189" t="str">
        <f t="shared" si="148"/>
        <v/>
      </c>
      <c r="BB207" s="191">
        <f t="shared" si="163"/>
        <v>0</v>
      </c>
      <c r="BC207" s="191" t="str">
        <f t="shared" si="164"/>
        <v/>
      </c>
      <c r="BD207" s="191" t="str">
        <f t="shared" si="165"/>
        <v/>
      </c>
      <c r="BF207" s="192">
        <f t="shared" si="166"/>
        <v>0</v>
      </c>
      <c r="BG207" s="192">
        <f t="shared" si="167"/>
        <v>0</v>
      </c>
      <c r="BH207" s="192" t="str">
        <f>IF( $B207="", "", IF(ISNA(VLOOKUP($C207, Defesa!$C$7:$C$29,1,FALSE)),1,0))</f>
        <v/>
      </c>
      <c r="BI207" s="193" t="str">
        <f t="shared" si="168"/>
        <v/>
      </c>
      <c r="BJ207" s="193" t="str">
        <f>IF($B207="", "", IF( AND( $AI207="ESTIMATIVA", OR( Defesa!$F$7 = "AUTOMÁTICA", Defesa!$F$7 ="100% BASELINE")), 1, 0))</f>
        <v/>
      </c>
      <c r="BK207" s="192" t="str">
        <f t="shared" si="149"/>
        <v/>
      </c>
      <c r="BL207" s="192">
        <f t="shared" si="169"/>
        <v>0</v>
      </c>
      <c r="BM207" s="192" t="str">
        <f>IF($AC207="", "", IF(ISNA(VLOOKUP($AC207, TABELAS!$Q:$Q, 1, FALSE)), 1, 0))</f>
        <v/>
      </c>
      <c r="BN207" s="194" t="str">
        <f t="shared" si="150"/>
        <v/>
      </c>
      <c r="BO207" s="192" t="str">
        <f t="shared" si="170"/>
        <v/>
      </c>
      <c r="BP207" s="192" t="str">
        <f t="shared" si="171"/>
        <v/>
      </c>
      <c r="BQ207" s="193" t="str">
        <f t="shared" si="172"/>
        <v/>
      </c>
      <c r="BR207" s="192" t="str">
        <f t="shared" si="173"/>
        <v/>
      </c>
      <c r="BS207" s="192" t="str">
        <f t="shared" si="174"/>
        <v/>
      </c>
      <c r="BT207" s="192" t="str">
        <f>IF(OR($B207="", $AH207 = "SIM"), "", IF( ISNA(VLOOKUP($AP207,#REF!, 1, FALSE)), 1, 0))</f>
        <v/>
      </c>
      <c r="BU207" s="192" t="str">
        <f t="shared" si="175"/>
        <v/>
      </c>
      <c r="BV207" s="192" t="str">
        <f>IF( $B207="", "", IF( ISNA(VLOOKUP($AN207, TABELAS!$T$2:$T$9,1,FALSE)), 1, 0))</f>
        <v/>
      </c>
      <c r="BW207" s="192" t="str">
        <f t="shared" si="176"/>
        <v/>
      </c>
      <c r="BX207" s="192" t="str">
        <f>IF( OR($B207="", $AH207 = "SIM"), "", IF( ISNA( VLOOKUP( $AQ207, SISTEMA!$B:$B, 1, FALSE)), 1, 0))</f>
        <v/>
      </c>
      <c r="BY207" s="193" t="str">
        <f t="shared" si="177"/>
        <v/>
      </c>
      <c r="BZ207" s="193" t="str">
        <f t="shared" si="178"/>
        <v/>
      </c>
      <c r="CA207" s="192" t="str">
        <f t="shared" si="179"/>
        <v/>
      </c>
      <c r="CB207" s="193" t="str">
        <f t="shared" si="180"/>
        <v/>
      </c>
      <c r="CC207" s="193" t="str">
        <f t="shared" si="181"/>
        <v/>
      </c>
      <c r="CD207" s="193" t="str">
        <f t="shared" si="182"/>
        <v/>
      </c>
    </row>
    <row r="208" spans="1:82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</sheetData>
  <sheetProtection algorithmName="SHA-512" hashValue="d1y/KDNc4vguFTvZjSj8iHgZYd/5OB/EfvTwNrzsUjTcMFmtD9XFudROYdhKBaHy7BQalSuueLsFQ9SmoMJNnw==" saltValue="dkxs8XvRMJ0fMJrOd4036A==" spinCount="100000" sheet="1" objects="1" scenarios="1" autoFilter="0"/>
  <autoFilter ref="H7:AD7"/>
  <dataConsolidate/>
  <mergeCells count="7">
    <mergeCell ref="Y4:Z4"/>
    <mergeCell ref="AB6:AE6"/>
    <mergeCell ref="P6:R6"/>
    <mergeCell ref="Y3:Z3"/>
    <mergeCell ref="Y5:Z5"/>
    <mergeCell ref="T6:W6"/>
    <mergeCell ref="O4:R4"/>
  </mergeCells>
  <conditionalFormatting sqref="I8:I207">
    <cfRule type="expression" dxfId="85" priority="107">
      <formula>$BR8=1</formula>
    </cfRule>
  </conditionalFormatting>
  <conditionalFormatting sqref="G8:AA207">
    <cfRule type="expression" dxfId="84" priority="2938">
      <formula>AND( $BF8 = 1 )</formula>
    </cfRule>
  </conditionalFormatting>
  <conditionalFormatting sqref="G8:AD207">
    <cfRule type="expression" dxfId="83" priority="2948">
      <formula xml:space="preserve"> $B8&lt;&gt; $B7</formula>
    </cfRule>
  </conditionalFormatting>
  <conditionalFormatting sqref="S8:W207">
    <cfRule type="expression" dxfId="82" priority="12">
      <formula>$AH8="SIM"</formula>
    </cfRule>
  </conditionalFormatting>
  <conditionalFormatting sqref="P8:R207">
    <cfRule type="expression" dxfId="81" priority="11">
      <formula>$AH8 = "NÃO"</formula>
    </cfRule>
  </conditionalFormatting>
  <conditionalFormatting sqref="AB8:AD207">
    <cfRule type="expression" dxfId="80" priority="2982">
      <formula>AND($V8 = 1, OR( $AC8&lt;&gt;"", $AB8 &lt;&gt; "", $AD8))</formula>
    </cfRule>
    <cfRule type="expression" dxfId="79" priority="2983">
      <formula>AND( $C8 &lt;&gt; "", OR( $BL8 &lt;&gt; 0, $BK8 &lt;&gt; 0,  $BN8 &lt;&gt; 0 ) )</formula>
    </cfRule>
  </conditionalFormatting>
  <conditionalFormatting sqref="H8:H207">
    <cfRule type="expression" dxfId="78" priority="3012">
      <formula>OR($BP8=1,$BQ8 = 1)</formula>
    </cfRule>
  </conditionalFormatting>
  <conditionalFormatting sqref="M8:M207">
    <cfRule type="expression" dxfId="77" priority="3013">
      <formula>$BY8 = 1</formula>
    </cfRule>
    <cfRule type="expression" dxfId="76" priority="3014">
      <formula>$BI8= 1</formula>
    </cfRule>
  </conditionalFormatting>
  <conditionalFormatting sqref="F8:F207">
    <cfRule type="expression" dxfId="75" priority="1">
      <formula xml:space="preserve"> AND($B8 &lt;&gt; "", $AF8&lt;&gt; 0)</formula>
    </cfRule>
  </conditionalFormatting>
  <dataValidations xWindow="91" yWindow="461" count="37">
    <dataValidation allowBlank="1" showInputMessage="1" showErrorMessage="1" prompt="Informação do Percentual do valor do Item em relação ao valor total da proposta." sqref="AE7 AW7"/>
    <dataValidation allowBlank="1" showInputMessage="1" showErrorMessage="1" prompt="Valor previsto para pagamento do milestone. _x000a__x000a_Caso você esteja solicitando a criação de RC, estes valores devem obedecer às regras de marcos de pagamento definidos nas Propostas e/ou Contrato." sqref="AD7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AB7"/>
    <dataValidation allowBlank="1" showInputMessage="1" showErrorMessage="1" prompt="Indica tipo de Contrato:_x000a__x000a_Bola: Baseline_x000a_Triângulo: Extrabaseline_x000a_" sqref="V7"/>
    <dataValidation allowBlank="1" showInputMessage="1" showErrorMessage="1" promptTitle="Envio de GO para Desenvolvimento" prompt="SIM - Enviar GO o mais breve possivel_x000a_NÃO - Não enviar até LD receber e-mail do PMO/GP_x000a_ESTIMATIVA - Aprovação de Saldo, sem envio de GO_x000a_" sqref="H7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solicitar a criação de pedido por e-mail." sqref="I7"/>
    <dataValidation allowBlank="1" showInputMessage="1" showErrorMessage="1" prompt="Código do Subprojeto no Sistema de Acompanhamento de Projetos (Clarity PPM)._x000a__x000a_Caso a solicitação não se relacione a um projeto cadastrado nos sistemas deve ser preenchido NA." sqref="K7"/>
    <dataValidation allowBlank="1" showInputMessage="1" showErrorMessage="1" prompt="Caso a proposta se relacione a uma Contratação de 3º, indique o nome do Terceiro. Nos marcos de pagamento indique as parcelas," sqref="S7"/>
    <dataValidation allowBlank="1" showInputMessage="1" showErrorMessage="1" prompt="Nome do Fornecedor conforme Lista oficial de Fábrica de Software._x000a__x000a_Caso a proposta se relacione com uma contratação por RFP, escolha o item &quot;&lt;A DEFINIR &gt;&quot;;" sqref="T7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U7"/>
    <dataValidation allowBlank="1" showInputMessage="1" showErrorMessage="1" prompt="Sistema / Frente de Trabalho em que será executado desenvolvimento, conforme nomenclatura na lista oficial de sistemas._x000a__x000a_Caso seja um sistema novo ou não se aplique, selecione os itens específicos que atenda esta situação." sqref="W7"/>
    <dataValidation allowBlank="1" showInputMessage="1" showErrorMessage="1" prompt="Empresa no Grupo OI onde o orçamento será alocado._x000a_Leva em conta o Local onde o serviço é realizado. Na proposta enviada pela Fábrica podemos visualizar esta informação._x000a__x000a_Caso seja Baseline, selecione &quot;Não se Aplica&quot;." sqref="X7"/>
    <dataValidation allowBlank="1" showInputMessage="1" showErrorMessage="1" prompt="Quantidade total de Horas consumida para execução de serviço o qual a proposta se refere._x000a__x000a_Caso não se aplique deixe o campo em branco._x000a__x000a_Se o valor de Homem-Hora estiver preenchido este campo é obrigatório." sqref="Y7"/>
    <dataValidation allowBlank="1" showInputMessage="1" showErrorMessage="1" prompt="Valor da taxa de remuneração da Hora trabalhada (Homem-Hora) aplicado a esta proposta. _x000a__x000a_Este valor deve ser obrigatoriamente um valor previsto em contrato._x000a__x000a_Caso a quantidade de horas esteja preenchida, o preenchimento deste campo torna-se obrigatório." sqref="Z7"/>
    <dataValidation allowBlank="1" showInputMessage="1" showErrorMessage="1" prompt="Valor total solicitado dentro de um determinado critério de métrica aplicado na proposta ou solicitação _x000a__x000a_Este valor pode ser um valor exato indicado em uma Proposta Comercial formalizada, ou uma estimativa (OG)." sqref="AA7"/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AC7"/>
    <dataValidation allowBlank="1" showInputMessage="1" showErrorMessage="1" prompt="Aqui você deve preencher informações de detalhamento da Solicitação:_x000a__x000a_- Propostas de Desenvolvimento e Infraestrutura_x000a_- Despesas estimadas para não projetos_x000a_- Serviços diversos e Viagens" sqref="F2"/>
    <dataValidation allowBlank="1" showInputMessage="1" showErrorMessage="1" prompt="Código da Proposta (PROP) no Clarity PPM.Preencha  o ID completo._x000a__x000a_Caso Seja uma aprovação de Macro estimativa, coloque ME-000 onde 000 é um numero sequencial no projeto_x000a__x000a_Caso não se relacione a um projeto cadastrado nos sistemas deve ser preenchido N/A." sqref="M7"/>
    <dataValidation allowBlank="1" showInputMessage="1" showErrorMessage="1" prompt="Nome do Fornecedor que disponibilizará a Infraestrutura solicitada, caso este fornecedor já esteja definido neste momento._x000a__x000a_Caso esta informação não esteja disponível, preencha com &quot;A Definir&quot;" sqref="R7 BB4 BA7"/>
    <dataValidation allowBlank="1" showInputMessage="1" showErrorMessage="1" prompt="Texto que descreve o item que está sendo adquirido._x000a__x000a_Esta informação pode ser encontrada na OG de aquisição de Infraestrutura, no sistema de acompanhamento de Demandas e Projetos." sqref="AZ7"/>
    <dataValidation allowBlank="1" showInputMessage="1" showErrorMessage="1" prompt="Nome do Arquivo PDF anexado no e-mail de notificação de Conclusão do atendimento do ARS do Custo Final (CF), encaminhado pela Integração. _x000a__x000a_EX.:_x000a_STI 83984 ARS 11722026 CF Instalação de subsistema tipo NAS.pdf" sqref="AY7"/>
    <dataValidation type="list" allowBlank="1" showInputMessage="1" showErrorMessage="1" sqref="I8:I207">
      <formula1>"SIM,NÃO"</formula1>
    </dataValidation>
    <dataValidation type="textLength" operator="lessThanOrEqual" allowBlank="1" showInputMessage="1" showErrorMessage="1" error="Texto Muito longo. Abrevie a descrição em até 20 Caracteres" sqref="AB8:AB207">
      <formula1>20</formula1>
    </dataValidation>
    <dataValidation type="textLength" allowBlank="1" showInputMessage="1" showErrorMessage="1" error="Digite o ID da Aprovação Financeira no Clarity (AF)._x000a__x000a_Se a Solicitação não for relacionada a um projeto coloque N/A" sqref="L8:L207">
      <formula1>3</formula1>
      <formula2>10</formula2>
    </dataValidation>
    <dataValidation type="list" allowBlank="1" showInputMessage="1" showErrorMessage="1" sqref="H8:H207">
      <formula1>"SIM,NÃO, ESTIMATIVA"</formula1>
    </dataValidation>
    <dataValidation type="list" allowBlank="1" showInputMessage="1" showErrorMessage="1" sqref="G8:G207">
      <formula1>"SIM, NÃO"</formula1>
    </dataValidation>
    <dataValidation allowBlank="1" showInputMessage="1" showErrorMessage="1" prompt="Indica se a proposta é referente uma aquisição de Infraestrutura." sqref="G7"/>
    <dataValidation type="textLength" operator="lessThan" allowBlank="1" showInputMessage="1" showErrorMessage="1" sqref="S8:S207">
      <formula1>80</formula1>
    </dataValidation>
    <dataValidation type="list" allowBlank="1" showInputMessage="1" showErrorMessage="1" sqref="O8:O207">
      <formula1>"SERVIÇOS,HARDWARE,SOFTWARE,FACILITIES,VIAGENS"</formula1>
    </dataValidation>
    <dataValidation allowBlank="1" showInputMessage="1" showErrorMessage="1" prompt="Registra o número da linha caso ele esteja preenchido_x000a_" sqref="BB7:BD7"/>
    <dataValidation type="decimal" operator="greaterThan" allowBlank="1" showInputMessage="1" showErrorMessage="1" sqref="Y8:Y207">
      <formula1>0</formula1>
    </dataValidation>
    <dataValidation type="decimal" operator="greaterThanOrEqual" allowBlank="1" showInputMessage="1" showErrorMessage="1" sqref="Z8:AA207">
      <formula1>0</formula1>
    </dataValidation>
    <dataValidation allowBlank="1" showInputMessage="1" showErrorMessage="1" prompt="Indica a natureza da necessidade da aprovação da Proposta." sqref="J7"/>
    <dataValidation allowBlank="1" showInputMessage="1" showErrorMessage="1" prompt="Classificação do tipo de utilização do orçamento aprovado._x000a__x000a_Classificação Hardware e Software são exclusivos para propostas de aqusição de Infraestrutura." sqref="O7"/>
    <dataValidation allowBlank="1" showInputMessage="1" showErrorMessage="1" prompt="Nome do Arquivo PDF anexado no e-mail de Conclusão do atendimento do ARS do Custo Final (CF), encaminhado pela Integração. _x000a__x000a_As CF devem ser cadastradas no Clarity como propostas, e tramitadas até status &quot;Aprovado&quot; antes da defesa desta Ficha" sqref="P7"/>
    <dataValidation allowBlank="1" showInputMessage="1" showErrorMessage="1" prompt="Texto que descreve o item que está sendo adquirido._x000a__x000a_Esta informação pode ser encontrada na CF de aquisição de Infraestrutura. " sqref="Q7"/>
    <dataValidation operator="greaterThan" allowBlank="1" showInputMessage="1" error="." sqref="N8:N207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27" id="{70A1F639-80B5-4D4A-B840-C740B53F6E7E}">
            <x14:iconSet iconSet="3Symbol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Icon iconSet="NoIcons" iconId="0"/>
              <x14:cfIcon iconSet="3TrafficLights1" iconId="2"/>
              <x14:cfIcon iconSet="3Signs" iconId="1"/>
            </x14:iconSet>
          </x14:cfRule>
          <xm:sqref>V8:V207</xm:sqref>
        </x14:conditionalFormatting>
        <x14:conditionalFormatting xmlns:xm="http://schemas.microsoft.com/office/excel/2006/main">
          <x14:cfRule type="iconSet" priority="3028" id="{E97CE4BB-853B-4C34-9372-DC7BCD4A496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AF8:AF207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1" yWindow="461" count="6">
        <x14:dataValidation type="list" allowBlank="1" showInputMessage="1" showErrorMessage="1">
          <x14:formula1>
            <xm:f>TABELAS!$T$2:$T$7</xm:f>
          </x14:formula1>
          <xm:sqref>X8:X207</xm:sqref>
        </x14:dataValidation>
        <x14:dataValidation type="list" allowBlank="1" showInputMessage="1" showErrorMessage="1">
          <x14:formula1>
            <xm:f>TABELAS!$Q$2:$Q$15</xm:f>
          </x14:formula1>
          <xm:sqref>AC8:AC207</xm:sqref>
        </x14:dataValidation>
        <x14:dataValidation type="list" allowBlank="1" showInputMessage="1" showErrorMessage="1">
          <x14:formula1>
            <xm:f>OFFSET( TABELAS!$E:$E, 1, 0, COUNTA( TABELAS!$E:$E)-1,1 )</xm:f>
          </x14:formula1>
          <xm:sqref>J8:J207</xm:sqref>
        </x14:dataValidation>
        <x14:dataValidation type="list" allowBlank="1" showInputMessage="1" showErrorMessage="1">
          <x14:formula1>
            <xm:f>OFFSET( SISTEMA!$B$1, 1, 0, SISTEMA!$A$1,1 )</xm:f>
          </x14:formula1>
          <xm:sqref>W8:W207</xm:sqref>
        </x14:dataValidation>
        <x14:dataValidation type="list" allowBlank="1" showInputMessage="1" showErrorMessage="1">
          <x14:formula1>
            <xm:f>OFFSET( CONTRATOS!$B$1, 1, 0, COUNTA( CONTRATOS!$B:$B),1 )</xm:f>
          </x14:formula1>
          <xm:sqref>T8:T207</xm:sqref>
        </x14:dataValidation>
        <x14:dataValidation type="list" allowBlank="1" showInputMessage="1" showErrorMessage="1" error="Selecione um Subprojeto listado na tela de Defesa.">
          <x14:formula1>
            <xm:f>OFFSET(Defesa!$C$6, 1, 0, Defesa!$B$30, 1 )</xm:f>
          </x14:formula1>
          <xm:sqref>K8:K207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2">
    <tabColor rgb="FF00B050"/>
  </sheetPr>
  <dimension ref="A1:AH182"/>
  <sheetViews>
    <sheetView showGridLines="0" showRowColHeaders="0" tabSelected="1" zoomScale="85" zoomScaleNormal="85" workbookViewId="0">
      <selection activeCell="E3" sqref="E3:L3"/>
    </sheetView>
  </sheetViews>
  <sheetFormatPr defaultColWidth="0" defaultRowHeight="12.75" customHeight="1" zeroHeight="1" x14ac:dyDescent="0.25"/>
  <cols>
    <col min="1" max="1" width="1.7109375" style="257" customWidth="1"/>
    <col min="2" max="7" width="6.28515625" style="257" customWidth="1"/>
    <col min="8" max="8" width="6" style="257" customWidth="1"/>
    <col min="9" max="9" width="7.28515625" style="257" customWidth="1"/>
    <col min="10" max="30" width="6.28515625" style="257" customWidth="1"/>
    <col min="31" max="31" width="7.140625" style="257" customWidth="1"/>
    <col min="32" max="32" width="1.7109375" style="257" customWidth="1"/>
    <col min="33" max="33" width="25.85546875" style="257" hidden="1" customWidth="1"/>
    <col min="34" max="34" width="10.28515625" style="257" hidden="1" customWidth="1"/>
    <col min="35" max="16384" width="0" style="257" hidden="1"/>
  </cols>
  <sheetData>
    <row r="1" spans="1:34" ht="20.25" x14ac:dyDescent="0.2">
      <c r="A1" s="256"/>
      <c r="C1" s="296" t="s">
        <v>935</v>
      </c>
      <c r="D1" s="297"/>
      <c r="E1" s="297"/>
      <c r="F1" s="297"/>
      <c r="G1" s="297"/>
      <c r="H1" s="297"/>
      <c r="I1" s="297"/>
      <c r="J1" s="298"/>
      <c r="K1" s="298"/>
      <c r="L1" s="298"/>
      <c r="M1" s="297"/>
      <c r="N1" s="297"/>
      <c r="O1" s="299"/>
      <c r="P1" s="299"/>
      <c r="Q1" s="299"/>
      <c r="R1" s="299"/>
      <c r="S1" s="299"/>
      <c r="T1" s="299"/>
      <c r="U1" s="299"/>
      <c r="V1" s="299"/>
      <c r="W1" s="299"/>
      <c r="X1" s="707" t="s">
        <v>442</v>
      </c>
      <c r="Y1" s="707"/>
      <c r="Z1" s="708">
        <v>20171219184258</v>
      </c>
      <c r="AA1" s="708"/>
      <c r="AB1" s="708"/>
      <c r="AC1" s="299"/>
    </row>
    <row r="2" spans="1:34" ht="22.5" customHeight="1" thickBot="1" x14ac:dyDescent="0.3">
      <c r="C2" s="220" t="s">
        <v>859</v>
      </c>
      <c r="D2" s="295" t="s">
        <v>1092</v>
      </c>
      <c r="E2" s="259"/>
      <c r="F2" s="259"/>
      <c r="G2" s="259"/>
      <c r="H2" s="259"/>
      <c r="I2" s="259"/>
      <c r="M2" s="259"/>
      <c r="N2" s="259"/>
      <c r="AH2" s="260"/>
    </row>
    <row r="3" spans="1:34" ht="15" customHeight="1" thickTop="1" x14ac:dyDescent="0.25">
      <c r="B3" s="303"/>
      <c r="C3" s="303"/>
      <c r="D3" s="304" t="s">
        <v>235</v>
      </c>
      <c r="E3" s="709" t="s">
        <v>1098</v>
      </c>
      <c r="F3" s="710"/>
      <c r="G3" s="710"/>
      <c r="H3" s="710"/>
      <c r="I3" s="710"/>
      <c r="J3" s="710"/>
      <c r="K3" s="710"/>
      <c r="L3" s="711"/>
      <c r="N3" s="306"/>
      <c r="O3" s="306"/>
      <c r="P3" s="326" t="s">
        <v>1059</v>
      </c>
      <c r="Q3" s="712" t="s">
        <v>1099</v>
      </c>
      <c r="R3" s="713"/>
      <c r="S3" s="713"/>
      <c r="T3" s="713"/>
      <c r="U3" s="713"/>
      <c r="V3" s="713"/>
      <c r="W3" s="714"/>
      <c r="Y3" s="715" t="s">
        <v>1060</v>
      </c>
      <c r="Z3" s="716"/>
      <c r="AA3" s="716"/>
      <c r="AB3" s="716"/>
      <c r="AC3" s="719">
        <v>5000000</v>
      </c>
      <c r="AD3" s="719"/>
      <c r="AE3" s="720"/>
    </row>
    <row r="4" spans="1:34" ht="15" customHeight="1" thickBot="1" x14ac:dyDescent="0.3">
      <c r="B4" s="303"/>
      <c r="C4" s="303"/>
      <c r="D4" s="304" t="s">
        <v>825</v>
      </c>
      <c r="E4" s="697" t="s">
        <v>1097</v>
      </c>
      <c r="F4" s="698"/>
      <c r="G4" s="698"/>
      <c r="H4" s="698"/>
      <c r="I4" s="698"/>
      <c r="J4" s="698"/>
      <c r="K4" s="698"/>
      <c r="L4" s="698"/>
      <c r="M4" s="698"/>
      <c r="N4" s="698"/>
      <c r="O4" s="698"/>
      <c r="P4" s="698"/>
      <c r="Q4" s="698"/>
      <c r="R4" s="698"/>
      <c r="S4" s="698"/>
      <c r="T4" s="698"/>
      <c r="U4" s="698"/>
      <c r="V4" s="698"/>
      <c r="W4" s="699"/>
      <c r="Y4" s="717"/>
      <c r="Z4" s="718"/>
      <c r="AA4" s="718"/>
      <c r="AB4" s="718"/>
      <c r="AC4" s="721"/>
      <c r="AD4" s="721"/>
      <c r="AE4" s="722"/>
    </row>
    <row r="5" spans="1:34" ht="15" customHeight="1" thickTop="1" x14ac:dyDescent="0.25">
      <c r="B5" s="303"/>
      <c r="C5" s="303"/>
      <c r="D5" s="304" t="s">
        <v>658</v>
      </c>
      <c r="E5" s="697" t="s">
        <v>1096</v>
      </c>
      <c r="F5" s="698"/>
      <c r="G5" s="698"/>
      <c r="H5" s="698"/>
      <c r="I5" s="698"/>
      <c r="J5" s="698"/>
      <c r="K5" s="698"/>
      <c r="L5" s="698"/>
      <c r="M5" s="698"/>
      <c r="N5" s="698"/>
      <c r="O5" s="698"/>
      <c r="P5" s="698"/>
      <c r="Q5" s="698"/>
      <c r="R5" s="698"/>
      <c r="S5" s="698"/>
      <c r="T5" s="698"/>
      <c r="U5" s="698"/>
      <c r="V5" s="698"/>
      <c r="W5" s="699"/>
      <c r="Y5" s="264"/>
      <c r="Z5" s="275"/>
      <c r="AA5" s="275"/>
      <c r="AB5" s="292" t="s">
        <v>918</v>
      </c>
      <c r="AC5" s="700">
        <v>0</v>
      </c>
      <c r="AD5" s="700"/>
      <c r="AE5" s="701"/>
    </row>
    <row r="6" spans="1:34" ht="15" customHeight="1" x14ac:dyDescent="0.25">
      <c r="B6" s="303"/>
      <c r="C6" s="303"/>
      <c r="D6" s="304" t="s">
        <v>397</v>
      </c>
      <c r="E6" s="461" t="s">
        <v>1044</v>
      </c>
      <c r="F6" s="462"/>
      <c r="G6" s="463"/>
      <c r="J6" s="303"/>
      <c r="K6" s="304" t="s">
        <v>1079</v>
      </c>
      <c r="L6" s="263" t="s">
        <v>927</v>
      </c>
      <c r="N6" s="308"/>
      <c r="O6" s="309"/>
      <c r="P6" s="327" t="s">
        <v>11</v>
      </c>
      <c r="Q6" s="702" t="s">
        <v>15</v>
      </c>
      <c r="R6" s="703"/>
      <c r="S6" s="703"/>
      <c r="T6" s="703"/>
      <c r="U6" s="703"/>
      <c r="V6" s="703"/>
      <c r="W6" s="704"/>
      <c r="Y6" s="264"/>
      <c r="Z6" s="275"/>
      <c r="AA6" s="275"/>
      <c r="AB6" s="292" t="s">
        <v>919</v>
      </c>
      <c r="AC6" s="705">
        <v>5000000</v>
      </c>
      <c r="AD6" s="705"/>
      <c r="AE6" s="706"/>
      <c r="AG6" s="260"/>
    </row>
    <row r="7" spans="1:34" ht="15" customHeight="1" x14ac:dyDescent="0.25">
      <c r="B7" s="322"/>
      <c r="C7" s="322"/>
      <c r="D7" s="322"/>
      <c r="Y7" s="264"/>
      <c r="Z7" s="275"/>
      <c r="AA7" s="275"/>
      <c r="AB7" s="292" t="s">
        <v>823</v>
      </c>
      <c r="AC7" s="705">
        <v>0</v>
      </c>
      <c r="AD7" s="705"/>
      <c r="AE7" s="706"/>
    </row>
    <row r="8" spans="1:34" ht="15" customHeight="1" x14ac:dyDescent="0.25">
      <c r="B8" s="303"/>
      <c r="C8" s="303"/>
      <c r="D8" s="304" t="s">
        <v>225</v>
      </c>
      <c r="E8" s="688" t="s">
        <v>988</v>
      </c>
      <c r="F8" s="689"/>
      <c r="G8" s="689"/>
      <c r="H8" s="689"/>
      <c r="I8" s="689"/>
      <c r="J8" s="689"/>
      <c r="K8" s="689"/>
      <c r="L8" s="689"/>
      <c r="M8" s="689"/>
      <c r="N8" s="689"/>
      <c r="O8" s="689"/>
      <c r="P8" s="689"/>
      <c r="Q8" s="689"/>
      <c r="R8" s="689"/>
      <c r="S8" s="689"/>
      <c r="T8" s="689"/>
      <c r="U8" s="689"/>
      <c r="V8" s="689"/>
      <c r="W8" s="690"/>
      <c r="Y8" s="272"/>
      <c r="Z8" s="294"/>
      <c r="AA8" s="294"/>
      <c r="AB8" s="293" t="s">
        <v>427</v>
      </c>
      <c r="AC8" s="691">
        <v>0</v>
      </c>
      <c r="AD8" s="691"/>
      <c r="AE8" s="692"/>
    </row>
    <row r="9" spans="1:34" ht="15" customHeight="1" x14ac:dyDescent="0.25">
      <c r="B9" s="303"/>
      <c r="C9" s="303"/>
      <c r="D9" s="305" t="s">
        <v>910</v>
      </c>
      <c r="E9" s="693" t="s">
        <v>411</v>
      </c>
      <c r="F9" s="694"/>
      <c r="G9" s="694"/>
      <c r="H9" s="694"/>
      <c r="I9" s="694"/>
      <c r="J9" s="694"/>
      <c r="K9" s="694"/>
      <c r="L9" s="694"/>
      <c r="M9" s="694"/>
      <c r="N9" s="694"/>
      <c r="O9" s="694"/>
      <c r="P9" s="694"/>
      <c r="Q9" s="694"/>
      <c r="R9" s="694"/>
      <c r="S9" s="694"/>
      <c r="T9" s="694"/>
      <c r="U9" s="694"/>
      <c r="V9" s="694"/>
      <c r="W9" s="695"/>
    </row>
    <row r="10" spans="1:34" ht="15" customHeight="1" x14ac:dyDescent="0.25">
      <c r="Y10" s="303"/>
      <c r="Z10" s="303"/>
      <c r="AA10" s="304" t="s">
        <v>664</v>
      </c>
      <c r="AB10" s="680">
        <v>5000000</v>
      </c>
      <c r="AC10" s="680"/>
      <c r="AH10" s="260"/>
    </row>
    <row r="11" spans="1:34" ht="15" customHeight="1" x14ac:dyDescent="0.25">
      <c r="B11" s="696" t="s">
        <v>226</v>
      </c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N11" s="303"/>
      <c r="O11" s="303"/>
      <c r="P11" s="304" t="s">
        <v>227</v>
      </c>
      <c r="Q11" s="450" t="s">
        <v>1102</v>
      </c>
      <c r="R11" s="452"/>
      <c r="S11" s="450" t="s">
        <v>1102</v>
      </c>
      <c r="T11" s="451"/>
      <c r="U11" s="451"/>
      <c r="V11" s="451"/>
      <c r="W11" s="452"/>
      <c r="Y11" s="303"/>
      <c r="Z11" s="303"/>
      <c r="AA11" s="304" t="s">
        <v>826</v>
      </c>
      <c r="AB11" s="680">
        <v>5000000</v>
      </c>
      <c r="AC11" s="680"/>
      <c r="AH11" s="260"/>
    </row>
    <row r="12" spans="1:34" ht="15" customHeight="1" x14ac:dyDescent="0.25">
      <c r="B12" s="668" t="s">
        <v>1132</v>
      </c>
      <c r="C12" s="669"/>
      <c r="D12" s="669"/>
      <c r="E12" s="669"/>
      <c r="F12" s="669"/>
      <c r="G12" s="669"/>
      <c r="H12" s="669"/>
      <c r="I12" s="669"/>
      <c r="J12" s="669"/>
      <c r="K12" s="669"/>
      <c r="L12" s="670"/>
      <c r="N12" s="303"/>
      <c r="O12" s="303"/>
      <c r="P12" s="304" t="s">
        <v>432</v>
      </c>
      <c r="Q12" s="668" t="s">
        <v>275</v>
      </c>
      <c r="R12" s="669"/>
      <c r="S12" s="669"/>
      <c r="T12" s="669"/>
      <c r="U12" s="669"/>
      <c r="V12" s="669"/>
      <c r="W12" s="670"/>
      <c r="Y12" s="303"/>
      <c r="Z12" s="303"/>
      <c r="AA12" s="304" t="s">
        <v>832</v>
      </c>
      <c r="AB12" s="680">
        <v>5000000</v>
      </c>
      <c r="AC12" s="680"/>
      <c r="AH12" s="260"/>
    </row>
    <row r="13" spans="1:34" ht="15" customHeight="1" x14ac:dyDescent="0.25">
      <c r="B13" s="671"/>
      <c r="C13" s="672"/>
      <c r="D13" s="672"/>
      <c r="E13" s="672"/>
      <c r="F13" s="672"/>
      <c r="G13" s="672"/>
      <c r="H13" s="672"/>
      <c r="I13" s="672"/>
      <c r="J13" s="672"/>
      <c r="K13" s="672"/>
      <c r="L13" s="673"/>
      <c r="N13" s="303"/>
      <c r="O13" s="303"/>
      <c r="P13" s="304"/>
      <c r="Q13" s="671"/>
      <c r="R13" s="672"/>
      <c r="S13" s="672"/>
      <c r="T13" s="672"/>
      <c r="U13" s="672"/>
      <c r="V13" s="672"/>
      <c r="W13" s="673"/>
    </row>
    <row r="14" spans="1:34" ht="15" customHeight="1" x14ac:dyDescent="0.25">
      <c r="B14" s="671"/>
      <c r="C14" s="672"/>
      <c r="D14" s="672"/>
      <c r="E14" s="672"/>
      <c r="F14" s="672"/>
      <c r="G14" s="672"/>
      <c r="H14" s="672"/>
      <c r="I14" s="672"/>
      <c r="J14" s="672"/>
      <c r="K14" s="672"/>
      <c r="L14" s="673"/>
      <c r="N14" s="303"/>
      <c r="O14" s="303"/>
      <c r="P14" s="304"/>
      <c r="Q14" s="674"/>
      <c r="R14" s="675"/>
      <c r="S14" s="675"/>
      <c r="T14" s="675"/>
      <c r="U14" s="675"/>
      <c r="V14" s="675"/>
      <c r="W14" s="676"/>
      <c r="AB14" s="681" t="s">
        <v>33</v>
      </c>
      <c r="AC14" s="681"/>
      <c r="AD14" s="682" t="s">
        <v>824</v>
      </c>
      <c r="AE14" s="682"/>
    </row>
    <row r="15" spans="1:34" ht="15" customHeight="1" x14ac:dyDescent="0.25">
      <c r="B15" s="671"/>
      <c r="C15" s="672"/>
      <c r="D15" s="672"/>
      <c r="E15" s="672"/>
      <c r="F15" s="672"/>
      <c r="G15" s="672"/>
      <c r="H15" s="672"/>
      <c r="I15" s="672"/>
      <c r="J15" s="672"/>
      <c r="K15" s="672"/>
      <c r="L15" s="673"/>
      <c r="N15" s="303"/>
      <c r="O15" s="303"/>
      <c r="P15" s="304" t="s">
        <v>265</v>
      </c>
      <c r="Q15" s="450" t="s">
        <v>1103</v>
      </c>
      <c r="R15" s="451"/>
      <c r="S15" s="452"/>
      <c r="T15" s="262"/>
      <c r="U15" s="262"/>
      <c r="V15" s="262"/>
      <c r="W15" s="262"/>
      <c r="Y15" s="683" t="s">
        <v>36</v>
      </c>
      <c r="Z15" s="684"/>
      <c r="AA15" s="685"/>
      <c r="AB15" s="686">
        <v>0</v>
      </c>
      <c r="AC15" s="687"/>
      <c r="AD15" s="686">
        <v>0</v>
      </c>
      <c r="AE15" s="687"/>
      <c r="AH15" s="261"/>
    </row>
    <row r="16" spans="1:34" ht="15" customHeight="1" x14ac:dyDescent="0.25">
      <c r="B16" s="671"/>
      <c r="C16" s="672"/>
      <c r="D16" s="672"/>
      <c r="E16" s="672"/>
      <c r="F16" s="672"/>
      <c r="G16" s="672"/>
      <c r="H16" s="672"/>
      <c r="I16" s="672"/>
      <c r="J16" s="672"/>
      <c r="K16" s="672"/>
      <c r="L16" s="673"/>
      <c r="N16" s="302"/>
      <c r="O16" s="302"/>
      <c r="Y16" s="662" t="s">
        <v>789</v>
      </c>
      <c r="Z16" s="663"/>
      <c r="AA16" s="664"/>
      <c r="AB16" s="665">
        <v>0</v>
      </c>
      <c r="AC16" s="665"/>
      <c r="AD16" s="665">
        <v>0</v>
      </c>
      <c r="AE16" s="665"/>
    </row>
    <row r="17" spans="2:31" ht="15" customHeight="1" x14ac:dyDescent="0.25">
      <c r="B17" s="674"/>
      <c r="C17" s="675"/>
      <c r="D17" s="675"/>
      <c r="E17" s="675"/>
      <c r="F17" s="675"/>
      <c r="G17" s="675"/>
      <c r="H17" s="675"/>
      <c r="I17" s="675"/>
      <c r="J17" s="675"/>
      <c r="K17" s="675"/>
      <c r="L17" s="676"/>
      <c r="N17" s="304"/>
      <c r="O17" s="304"/>
      <c r="P17" s="305" t="s">
        <v>277</v>
      </c>
      <c r="Q17" s="461" t="s">
        <v>1013</v>
      </c>
      <c r="R17" s="462"/>
      <c r="S17" s="462"/>
      <c r="T17" s="462"/>
      <c r="U17" s="462"/>
      <c r="V17" s="462"/>
      <c r="W17" s="463"/>
      <c r="Y17" s="662" t="s">
        <v>981</v>
      </c>
      <c r="Z17" s="663"/>
      <c r="AA17" s="664"/>
      <c r="AB17" s="665">
        <v>0</v>
      </c>
      <c r="AC17" s="665"/>
      <c r="AD17" s="665">
        <v>0</v>
      </c>
      <c r="AE17" s="665"/>
    </row>
    <row r="18" spans="2:31" ht="15.75" customHeight="1" x14ac:dyDescent="0.25">
      <c r="B18" s="667" t="s">
        <v>41</v>
      </c>
      <c r="C18" s="667"/>
      <c r="D18" s="667"/>
      <c r="E18" s="667"/>
      <c r="F18" s="667"/>
      <c r="G18" s="667"/>
      <c r="H18" s="667"/>
      <c r="I18" s="667"/>
      <c r="J18" s="667"/>
      <c r="K18" s="667"/>
      <c r="L18" s="667"/>
      <c r="N18" s="304"/>
      <c r="O18" s="304"/>
      <c r="P18" s="305" t="s">
        <v>229</v>
      </c>
      <c r="Q18" s="461" t="s">
        <v>1101</v>
      </c>
      <c r="R18" s="462"/>
      <c r="S18" s="462"/>
      <c r="T18" s="462"/>
      <c r="U18" s="462"/>
      <c r="V18" s="462"/>
      <c r="W18" s="463"/>
      <c r="Y18" s="662" t="s">
        <v>661</v>
      </c>
      <c r="Z18" s="663"/>
      <c r="AA18" s="664"/>
      <c r="AB18" s="665">
        <v>0</v>
      </c>
      <c r="AC18" s="665"/>
      <c r="AD18" s="665">
        <v>0</v>
      </c>
      <c r="AE18" s="665"/>
    </row>
    <row r="19" spans="2:31" ht="14.25" customHeight="1" x14ac:dyDescent="0.25">
      <c r="B19" s="668" t="s">
        <v>1133</v>
      </c>
      <c r="C19" s="669"/>
      <c r="D19" s="669"/>
      <c r="E19" s="669"/>
      <c r="F19" s="669"/>
      <c r="G19" s="669"/>
      <c r="H19" s="669"/>
      <c r="I19" s="669"/>
      <c r="J19" s="669"/>
      <c r="K19" s="669"/>
      <c r="L19" s="670"/>
      <c r="N19" s="304"/>
      <c r="O19" s="304"/>
      <c r="P19" s="305" t="s">
        <v>1023</v>
      </c>
      <c r="Q19" s="677" t="s">
        <v>949</v>
      </c>
      <c r="R19" s="678"/>
      <c r="S19" s="678"/>
      <c r="T19" s="678"/>
      <c r="U19" s="678"/>
      <c r="V19" s="679"/>
      <c r="W19" s="263" t="s">
        <v>1028</v>
      </c>
      <c r="Y19" s="662" t="s">
        <v>673</v>
      </c>
      <c r="Z19" s="663"/>
      <c r="AA19" s="664"/>
      <c r="AB19" s="665">
        <v>0</v>
      </c>
      <c r="AC19" s="665"/>
      <c r="AD19" s="665">
        <v>0</v>
      </c>
      <c r="AE19" s="665"/>
    </row>
    <row r="20" spans="2:31" ht="15" customHeight="1" x14ac:dyDescent="0.25">
      <c r="B20" s="671"/>
      <c r="C20" s="672"/>
      <c r="D20" s="672"/>
      <c r="E20" s="672"/>
      <c r="F20" s="672"/>
      <c r="G20" s="672"/>
      <c r="H20" s="672"/>
      <c r="I20" s="672"/>
      <c r="J20" s="672"/>
      <c r="K20" s="672"/>
      <c r="L20" s="673"/>
      <c r="Y20" s="662" t="s">
        <v>178</v>
      </c>
      <c r="Z20" s="663"/>
      <c r="AA20" s="664"/>
      <c r="AB20" s="665">
        <v>0</v>
      </c>
      <c r="AC20" s="665"/>
      <c r="AD20" s="665">
        <v>0</v>
      </c>
      <c r="AE20" s="665"/>
    </row>
    <row r="21" spans="2:31" ht="12.75" customHeight="1" x14ac:dyDescent="0.25">
      <c r="B21" s="671"/>
      <c r="C21" s="672"/>
      <c r="D21" s="672"/>
      <c r="E21" s="672"/>
      <c r="F21" s="672"/>
      <c r="G21" s="672"/>
      <c r="H21" s="672"/>
      <c r="I21" s="672"/>
      <c r="J21" s="672"/>
      <c r="K21" s="672"/>
      <c r="L21" s="673"/>
      <c r="M21" s="262"/>
      <c r="N21" s="262"/>
      <c r="O21" s="262"/>
      <c r="P21" s="262"/>
      <c r="Q21" s="262"/>
      <c r="R21" s="262"/>
      <c r="Y21" s="662" t="s">
        <v>183</v>
      </c>
      <c r="Z21" s="663"/>
      <c r="AA21" s="664"/>
      <c r="AB21" s="665">
        <v>0</v>
      </c>
      <c r="AC21" s="665"/>
      <c r="AD21" s="665">
        <v>0</v>
      </c>
      <c r="AE21" s="665"/>
    </row>
    <row r="22" spans="2:31" x14ac:dyDescent="0.25">
      <c r="B22" s="671"/>
      <c r="C22" s="672"/>
      <c r="D22" s="672"/>
      <c r="E22" s="672"/>
      <c r="F22" s="672"/>
      <c r="G22" s="672"/>
      <c r="H22" s="672"/>
      <c r="I22" s="672"/>
      <c r="J22" s="672"/>
      <c r="K22" s="672"/>
      <c r="L22" s="673"/>
      <c r="M22" s="262"/>
      <c r="N22" s="262"/>
      <c r="O22" s="262"/>
      <c r="P22" s="262"/>
      <c r="Q22" s="262"/>
      <c r="R22" s="262"/>
      <c r="Y22" s="662" t="s">
        <v>440</v>
      </c>
      <c r="Z22" s="663"/>
      <c r="AA22" s="664"/>
      <c r="AB22" s="665">
        <v>0</v>
      </c>
      <c r="AC22" s="665"/>
      <c r="AD22" s="665">
        <v>0</v>
      </c>
      <c r="AE22" s="665"/>
    </row>
    <row r="23" spans="2:31" x14ac:dyDescent="0.25">
      <c r="B23" s="671"/>
      <c r="C23" s="672"/>
      <c r="D23" s="672"/>
      <c r="E23" s="672"/>
      <c r="F23" s="672"/>
      <c r="G23" s="672"/>
      <c r="H23" s="672"/>
      <c r="I23" s="672"/>
      <c r="J23" s="672"/>
      <c r="K23" s="672"/>
      <c r="L23" s="673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Y23" s="662" t="s">
        <v>1029</v>
      </c>
      <c r="Z23" s="663"/>
      <c r="AA23" s="664"/>
      <c r="AB23" s="665">
        <v>0</v>
      </c>
      <c r="AC23" s="665"/>
      <c r="AD23" s="665">
        <v>0</v>
      </c>
      <c r="AE23" s="665"/>
    </row>
    <row r="24" spans="2:31" x14ac:dyDescent="0.25">
      <c r="B24" s="671"/>
      <c r="C24" s="672"/>
      <c r="D24" s="672"/>
      <c r="E24" s="672"/>
      <c r="F24" s="672"/>
      <c r="G24" s="672"/>
      <c r="H24" s="672"/>
      <c r="I24" s="672"/>
      <c r="J24" s="672"/>
      <c r="K24" s="672"/>
      <c r="L24" s="673"/>
      <c r="Y24" s="662" t="s">
        <v>1090</v>
      </c>
      <c r="Z24" s="663"/>
      <c r="AA24" s="664"/>
      <c r="AB24" s="665">
        <v>0</v>
      </c>
      <c r="AC24" s="665"/>
      <c r="AD24" s="665">
        <v>0</v>
      </c>
      <c r="AE24" s="665"/>
    </row>
    <row r="25" spans="2:31" ht="15" customHeight="1" x14ac:dyDescent="0.25">
      <c r="B25" s="671"/>
      <c r="C25" s="672"/>
      <c r="D25" s="672"/>
      <c r="E25" s="672"/>
      <c r="F25" s="672"/>
      <c r="G25" s="672"/>
      <c r="H25" s="672"/>
      <c r="I25" s="672"/>
      <c r="J25" s="672"/>
      <c r="K25" s="672"/>
      <c r="L25" s="673"/>
      <c r="N25" s="666" t="s">
        <v>1061</v>
      </c>
      <c r="O25" s="498"/>
      <c r="P25" s="498"/>
      <c r="Q25" s="498"/>
      <c r="R25" s="498"/>
      <c r="S25" s="498"/>
      <c r="T25" s="498"/>
      <c r="U25" s="498"/>
      <c r="V25" s="499"/>
      <c r="W25" s="262"/>
      <c r="X25" s="262"/>
      <c r="Y25" s="662" t="s">
        <v>855</v>
      </c>
      <c r="Z25" s="663"/>
      <c r="AA25" s="664"/>
      <c r="AB25" s="665">
        <v>0</v>
      </c>
      <c r="AC25" s="665"/>
      <c r="AD25" s="665">
        <v>0</v>
      </c>
      <c r="AE25" s="665"/>
    </row>
    <row r="26" spans="2:31" x14ac:dyDescent="0.25">
      <c r="B26" s="671"/>
      <c r="C26" s="672"/>
      <c r="D26" s="672"/>
      <c r="E26" s="672"/>
      <c r="F26" s="672"/>
      <c r="G26" s="672"/>
      <c r="H26" s="672"/>
      <c r="I26" s="672"/>
      <c r="J26" s="672"/>
      <c r="K26" s="672"/>
      <c r="L26" s="673"/>
      <c r="N26" s="649" t="s">
        <v>827</v>
      </c>
      <c r="O26" s="650"/>
      <c r="P26" s="642" t="s">
        <v>1104</v>
      </c>
      <c r="Q26" s="643"/>
      <c r="R26" s="644"/>
      <c r="S26" s="651" t="s">
        <v>835</v>
      </c>
      <c r="T26" s="652"/>
      <c r="U26" s="655" t="s">
        <v>275</v>
      </c>
      <c r="V26" s="656"/>
      <c r="Y26" s="659" t="s">
        <v>59</v>
      </c>
      <c r="Z26" s="660"/>
      <c r="AA26" s="661"/>
      <c r="AB26" s="639" t="s">
        <v>59</v>
      </c>
      <c r="AC26" s="639"/>
      <c r="AD26" s="639" t="s">
        <v>59</v>
      </c>
      <c r="AE26" s="639"/>
    </row>
    <row r="27" spans="2:31" x14ac:dyDescent="0.25">
      <c r="B27" s="674"/>
      <c r="C27" s="675"/>
      <c r="D27" s="675"/>
      <c r="E27" s="675"/>
      <c r="F27" s="675"/>
      <c r="G27" s="675"/>
      <c r="H27" s="675"/>
      <c r="I27" s="675"/>
      <c r="J27" s="675"/>
      <c r="K27" s="675"/>
      <c r="L27" s="676"/>
      <c r="N27" s="640" t="s">
        <v>828</v>
      </c>
      <c r="O27" s="641"/>
      <c r="P27" s="642" t="s">
        <v>1105</v>
      </c>
      <c r="Q27" s="643"/>
      <c r="R27" s="644"/>
      <c r="S27" s="653"/>
      <c r="T27" s="654"/>
      <c r="U27" s="657"/>
      <c r="V27" s="658"/>
      <c r="W27" s="262"/>
      <c r="X27" s="262"/>
    </row>
    <row r="28" spans="2:31" x14ac:dyDescent="0.25"/>
    <row r="29" spans="2:31" ht="15" customHeight="1" x14ac:dyDescent="0.25">
      <c r="B29" s="497" t="s">
        <v>813</v>
      </c>
      <c r="C29" s="498"/>
      <c r="D29" s="498"/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9"/>
    </row>
    <row r="30" spans="2:31" ht="13.5" thickBot="1" x14ac:dyDescent="0.3">
      <c r="B30" s="264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5"/>
    </row>
    <row r="31" spans="2:31" ht="25.5" customHeight="1" thickBot="1" x14ac:dyDescent="0.3">
      <c r="B31" s="264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645">
        <v>2018</v>
      </c>
      <c r="S31" s="646"/>
      <c r="T31" s="647">
        <v>2019</v>
      </c>
      <c r="U31" s="646"/>
      <c r="V31" s="647" t="s">
        <v>76</v>
      </c>
      <c r="W31" s="648"/>
      <c r="X31" s="645" t="s">
        <v>815</v>
      </c>
      <c r="Y31" s="648"/>
      <c r="Z31" s="262"/>
      <c r="AA31" s="262"/>
      <c r="AB31" s="262"/>
      <c r="AC31" s="262"/>
      <c r="AD31" s="262"/>
      <c r="AE31" s="265"/>
    </row>
    <row r="32" spans="2:31" ht="15" customHeight="1" x14ac:dyDescent="0.25">
      <c r="B32" s="264"/>
      <c r="C32" s="262"/>
      <c r="D32" s="262"/>
      <c r="E32" s="262"/>
      <c r="F32" s="262"/>
      <c r="G32" s="262"/>
      <c r="H32" s="262"/>
      <c r="I32" s="262"/>
      <c r="J32" s="262"/>
      <c r="K32" s="633" t="s">
        <v>57</v>
      </c>
      <c r="L32" s="634"/>
      <c r="M32" s="614" t="s">
        <v>921</v>
      </c>
      <c r="N32" s="614"/>
      <c r="O32" s="614"/>
      <c r="P32" s="614"/>
      <c r="Q32" s="615"/>
      <c r="R32" s="635">
        <v>0</v>
      </c>
      <c r="S32" s="636"/>
      <c r="T32" s="637">
        <v>0</v>
      </c>
      <c r="U32" s="636"/>
      <c r="V32" s="637">
        <v>0</v>
      </c>
      <c r="W32" s="638"/>
      <c r="X32" s="635">
        <v>0</v>
      </c>
      <c r="Y32" s="638"/>
      <c r="Z32" s="262"/>
      <c r="AA32" s="262"/>
      <c r="AB32" s="262"/>
      <c r="AC32" s="262"/>
      <c r="AD32" s="262"/>
      <c r="AE32" s="265"/>
    </row>
    <row r="33" spans="2:31" ht="12.75" customHeight="1" x14ac:dyDescent="0.25">
      <c r="B33" s="264"/>
      <c r="C33" s="262"/>
      <c r="D33" s="262"/>
      <c r="E33" s="262"/>
      <c r="F33" s="262"/>
      <c r="G33" s="262"/>
      <c r="H33" s="262"/>
      <c r="I33" s="262"/>
      <c r="J33" s="262"/>
      <c r="K33" s="266"/>
      <c r="L33" s="267"/>
      <c r="M33" s="599" t="s">
        <v>268</v>
      </c>
      <c r="N33" s="599"/>
      <c r="O33" s="599"/>
      <c r="P33" s="599"/>
      <c r="Q33" s="600"/>
      <c r="R33" s="601">
        <v>5000000</v>
      </c>
      <c r="S33" s="602"/>
      <c r="T33" s="603">
        <v>0</v>
      </c>
      <c r="U33" s="602"/>
      <c r="V33" s="603">
        <v>0</v>
      </c>
      <c r="W33" s="604"/>
      <c r="X33" s="601">
        <v>5000000</v>
      </c>
      <c r="Y33" s="604"/>
      <c r="Z33" s="262"/>
      <c r="AA33" s="262"/>
      <c r="AB33" s="262"/>
      <c r="AC33" s="262"/>
      <c r="AD33" s="262"/>
      <c r="AE33" s="265"/>
    </row>
    <row r="34" spans="2:31" ht="15" customHeight="1" x14ac:dyDescent="0.25">
      <c r="B34" s="264"/>
      <c r="C34" s="262"/>
      <c r="D34" s="262"/>
      <c r="E34" s="262"/>
      <c r="F34" s="262"/>
      <c r="G34" s="262"/>
      <c r="H34" s="262"/>
      <c r="I34" s="262"/>
      <c r="J34" s="262"/>
      <c r="K34" s="266"/>
      <c r="L34" s="267"/>
      <c r="M34" s="627" t="s">
        <v>814</v>
      </c>
      <c r="N34" s="627"/>
      <c r="O34" s="627"/>
      <c r="P34" s="627"/>
      <c r="Q34" s="628"/>
      <c r="R34" s="601">
        <v>0</v>
      </c>
      <c r="S34" s="602"/>
      <c r="T34" s="629">
        <v>0</v>
      </c>
      <c r="U34" s="630"/>
      <c r="V34" s="629">
        <v>0</v>
      </c>
      <c r="W34" s="631"/>
      <c r="X34" s="632">
        <v>0</v>
      </c>
      <c r="Y34" s="631"/>
      <c r="Z34" s="262"/>
      <c r="AA34" s="262"/>
      <c r="AB34" s="262"/>
      <c r="AC34" s="262"/>
      <c r="AD34" s="262"/>
      <c r="AE34" s="265"/>
    </row>
    <row r="35" spans="2:31" ht="12.75" customHeight="1" x14ac:dyDescent="0.25">
      <c r="B35" s="264"/>
      <c r="C35" s="262"/>
      <c r="D35" s="262"/>
      <c r="E35" s="262"/>
      <c r="F35" s="262"/>
      <c r="G35" s="262"/>
      <c r="H35" s="262"/>
      <c r="I35" s="262"/>
      <c r="J35" s="262"/>
      <c r="K35" s="266"/>
      <c r="L35" s="618" t="s">
        <v>33</v>
      </c>
      <c r="M35" s="619" t="s">
        <v>36</v>
      </c>
      <c r="N35" s="619"/>
      <c r="O35" s="619"/>
      <c r="P35" s="619"/>
      <c r="Q35" s="620"/>
      <c r="R35" s="621">
        <v>0</v>
      </c>
      <c r="S35" s="622"/>
      <c r="T35" s="623">
        <v>0</v>
      </c>
      <c r="U35" s="624"/>
      <c r="V35" s="623">
        <v>0</v>
      </c>
      <c r="W35" s="625"/>
      <c r="X35" s="626">
        <v>0</v>
      </c>
      <c r="Y35" s="625"/>
      <c r="Z35" s="262"/>
      <c r="AA35" s="262"/>
      <c r="AB35" s="262"/>
      <c r="AC35" s="262"/>
      <c r="AD35" s="262"/>
      <c r="AE35" s="265"/>
    </row>
    <row r="36" spans="2:31" x14ac:dyDescent="0.25">
      <c r="B36" s="264"/>
      <c r="C36" s="262"/>
      <c r="D36" s="262"/>
      <c r="E36" s="262"/>
      <c r="F36" s="262"/>
      <c r="G36" s="262"/>
      <c r="H36" s="262"/>
      <c r="I36" s="262"/>
      <c r="J36" s="262"/>
      <c r="K36" s="266"/>
      <c r="L36" s="618"/>
      <c r="M36" s="607" t="s">
        <v>789</v>
      </c>
      <c r="N36" s="607"/>
      <c r="O36" s="607"/>
      <c r="P36" s="607"/>
      <c r="Q36" s="608"/>
      <c r="R36" s="609">
        <v>0</v>
      </c>
      <c r="S36" s="610"/>
      <c r="T36" s="603">
        <v>0</v>
      </c>
      <c r="U36" s="602"/>
      <c r="V36" s="603">
        <v>0</v>
      </c>
      <c r="W36" s="604"/>
      <c r="X36" s="601">
        <v>0</v>
      </c>
      <c r="Y36" s="604"/>
      <c r="Z36" s="262"/>
      <c r="AA36" s="262"/>
      <c r="AB36" s="262"/>
      <c r="AC36" s="262"/>
      <c r="AD36" s="262"/>
      <c r="AE36" s="265"/>
    </row>
    <row r="37" spans="2:31" x14ac:dyDescent="0.25">
      <c r="B37" s="264"/>
      <c r="C37" s="262"/>
      <c r="D37" s="262"/>
      <c r="E37" s="262"/>
      <c r="F37" s="262"/>
      <c r="G37" s="262"/>
      <c r="H37" s="262"/>
      <c r="I37" s="262"/>
      <c r="J37" s="262"/>
      <c r="K37" s="266"/>
      <c r="L37" s="618"/>
      <c r="M37" s="607" t="s">
        <v>981</v>
      </c>
      <c r="N37" s="607"/>
      <c r="O37" s="607"/>
      <c r="P37" s="607"/>
      <c r="Q37" s="608"/>
      <c r="R37" s="609">
        <v>0</v>
      </c>
      <c r="S37" s="610"/>
      <c r="T37" s="603">
        <v>0</v>
      </c>
      <c r="U37" s="602"/>
      <c r="V37" s="603">
        <v>0</v>
      </c>
      <c r="W37" s="604"/>
      <c r="X37" s="601">
        <v>0</v>
      </c>
      <c r="Y37" s="604"/>
      <c r="Z37" s="262"/>
      <c r="AA37" s="262"/>
      <c r="AB37" s="262"/>
      <c r="AC37" s="262"/>
      <c r="AD37" s="262"/>
      <c r="AE37" s="265"/>
    </row>
    <row r="38" spans="2:31" x14ac:dyDescent="0.25">
      <c r="B38" s="264"/>
      <c r="C38" s="262"/>
      <c r="D38" s="262"/>
      <c r="E38" s="262"/>
      <c r="F38" s="262"/>
      <c r="G38" s="262"/>
      <c r="H38" s="262"/>
      <c r="I38" s="262"/>
      <c r="J38" s="262"/>
      <c r="K38" s="266"/>
      <c r="L38" s="618"/>
      <c r="M38" s="607" t="s">
        <v>661</v>
      </c>
      <c r="N38" s="607"/>
      <c r="O38" s="607"/>
      <c r="P38" s="607"/>
      <c r="Q38" s="608"/>
      <c r="R38" s="609">
        <v>0</v>
      </c>
      <c r="S38" s="610"/>
      <c r="T38" s="603">
        <v>0</v>
      </c>
      <c r="U38" s="602"/>
      <c r="V38" s="603">
        <v>0</v>
      </c>
      <c r="W38" s="604"/>
      <c r="X38" s="601">
        <v>0</v>
      </c>
      <c r="Y38" s="604"/>
      <c r="Z38" s="262"/>
      <c r="AA38" s="262"/>
      <c r="AB38" s="262"/>
      <c r="AC38" s="262"/>
      <c r="AD38" s="262"/>
      <c r="AE38" s="265"/>
    </row>
    <row r="39" spans="2:31" x14ac:dyDescent="0.25">
      <c r="B39" s="264"/>
      <c r="C39" s="262"/>
      <c r="D39" s="262"/>
      <c r="E39" s="262"/>
      <c r="F39" s="262"/>
      <c r="G39" s="262"/>
      <c r="H39" s="262"/>
      <c r="I39" s="262"/>
      <c r="J39" s="262"/>
      <c r="K39" s="266"/>
      <c r="L39" s="618"/>
      <c r="M39" s="607" t="s">
        <v>673</v>
      </c>
      <c r="N39" s="607"/>
      <c r="O39" s="607"/>
      <c r="P39" s="607"/>
      <c r="Q39" s="608"/>
      <c r="R39" s="609">
        <v>0</v>
      </c>
      <c r="S39" s="610"/>
      <c r="T39" s="603">
        <v>0</v>
      </c>
      <c r="U39" s="602"/>
      <c r="V39" s="603">
        <v>0</v>
      </c>
      <c r="W39" s="604"/>
      <c r="X39" s="601">
        <v>0</v>
      </c>
      <c r="Y39" s="604"/>
      <c r="Z39" s="262"/>
      <c r="AA39" s="262"/>
      <c r="AB39" s="262"/>
      <c r="AC39" s="262"/>
      <c r="AD39" s="262"/>
      <c r="AE39" s="265"/>
    </row>
    <row r="40" spans="2:31" x14ac:dyDescent="0.25">
      <c r="B40" s="264"/>
      <c r="C40" s="262"/>
      <c r="D40" s="262"/>
      <c r="E40" s="262"/>
      <c r="F40" s="262"/>
      <c r="G40" s="262"/>
      <c r="H40" s="262"/>
      <c r="I40" s="262"/>
      <c r="J40" s="262"/>
      <c r="K40" s="266"/>
      <c r="L40" s="618"/>
      <c r="M40" s="607" t="s">
        <v>178</v>
      </c>
      <c r="N40" s="607"/>
      <c r="O40" s="607"/>
      <c r="P40" s="607"/>
      <c r="Q40" s="608"/>
      <c r="R40" s="609">
        <v>0</v>
      </c>
      <c r="S40" s="610"/>
      <c r="T40" s="603">
        <v>0</v>
      </c>
      <c r="U40" s="602"/>
      <c r="V40" s="603">
        <v>0</v>
      </c>
      <c r="W40" s="604"/>
      <c r="X40" s="601">
        <v>0</v>
      </c>
      <c r="Y40" s="604"/>
      <c r="Z40" s="262"/>
      <c r="AA40" s="262"/>
      <c r="AB40" s="262"/>
      <c r="AC40" s="262"/>
      <c r="AD40" s="262"/>
      <c r="AE40" s="265"/>
    </row>
    <row r="41" spans="2:31" x14ac:dyDescent="0.25">
      <c r="B41" s="264"/>
      <c r="C41" s="262"/>
      <c r="D41" s="262"/>
      <c r="E41" s="262"/>
      <c r="F41" s="262"/>
      <c r="G41" s="262"/>
      <c r="H41" s="262"/>
      <c r="I41" s="262"/>
      <c r="J41" s="262"/>
      <c r="K41" s="266"/>
      <c r="L41" s="618"/>
      <c r="M41" s="607" t="s">
        <v>183</v>
      </c>
      <c r="N41" s="607"/>
      <c r="O41" s="607"/>
      <c r="P41" s="607"/>
      <c r="Q41" s="608"/>
      <c r="R41" s="609">
        <v>0</v>
      </c>
      <c r="S41" s="610"/>
      <c r="T41" s="603">
        <v>0</v>
      </c>
      <c r="U41" s="602"/>
      <c r="V41" s="603">
        <v>0</v>
      </c>
      <c r="W41" s="604"/>
      <c r="X41" s="601">
        <v>0</v>
      </c>
      <c r="Y41" s="604"/>
      <c r="Z41" s="262"/>
      <c r="AA41" s="262"/>
      <c r="AB41" s="262"/>
      <c r="AC41" s="262"/>
      <c r="AD41" s="262"/>
      <c r="AE41" s="265"/>
    </row>
    <row r="42" spans="2:31" x14ac:dyDescent="0.25">
      <c r="B42" s="264"/>
      <c r="C42" s="262"/>
      <c r="D42" s="262"/>
      <c r="E42" s="262"/>
      <c r="F42" s="262"/>
      <c r="G42" s="262"/>
      <c r="H42" s="262"/>
      <c r="I42" s="262"/>
      <c r="J42" s="262"/>
      <c r="K42" s="266"/>
      <c r="L42" s="618"/>
      <c r="M42" s="607" t="s">
        <v>440</v>
      </c>
      <c r="N42" s="607"/>
      <c r="O42" s="607"/>
      <c r="P42" s="607"/>
      <c r="Q42" s="608"/>
      <c r="R42" s="609">
        <v>0</v>
      </c>
      <c r="S42" s="610"/>
      <c r="T42" s="603">
        <v>0</v>
      </c>
      <c r="U42" s="602"/>
      <c r="V42" s="603">
        <v>0</v>
      </c>
      <c r="W42" s="604"/>
      <c r="X42" s="601">
        <v>0</v>
      </c>
      <c r="Y42" s="604"/>
      <c r="Z42" s="262"/>
      <c r="AA42" s="262"/>
      <c r="AB42" s="262"/>
      <c r="AC42" s="262"/>
      <c r="AD42" s="262"/>
      <c r="AE42" s="265"/>
    </row>
    <row r="43" spans="2:31" x14ac:dyDescent="0.25">
      <c r="B43" s="264"/>
      <c r="C43" s="262"/>
      <c r="D43" s="262"/>
      <c r="E43" s="262"/>
      <c r="F43" s="262"/>
      <c r="G43" s="262"/>
      <c r="H43" s="262"/>
      <c r="I43" s="262"/>
      <c r="J43" s="262"/>
      <c r="K43" s="266"/>
      <c r="L43" s="618"/>
      <c r="M43" s="607" t="s">
        <v>1029</v>
      </c>
      <c r="N43" s="607"/>
      <c r="O43" s="607"/>
      <c r="P43" s="607"/>
      <c r="Q43" s="608"/>
      <c r="R43" s="609">
        <v>0</v>
      </c>
      <c r="S43" s="610"/>
      <c r="T43" s="603">
        <v>0</v>
      </c>
      <c r="U43" s="602"/>
      <c r="V43" s="603">
        <v>0</v>
      </c>
      <c r="W43" s="604"/>
      <c r="X43" s="601">
        <v>0</v>
      </c>
      <c r="Y43" s="604"/>
      <c r="Z43" s="262"/>
      <c r="AA43" s="262"/>
      <c r="AB43" s="262"/>
      <c r="AC43" s="262"/>
      <c r="AD43" s="262"/>
      <c r="AE43" s="265"/>
    </row>
    <row r="44" spans="2:31" x14ac:dyDescent="0.25">
      <c r="B44" s="264"/>
      <c r="C44" s="262"/>
      <c r="D44" s="262"/>
      <c r="E44" s="262"/>
      <c r="F44" s="262"/>
      <c r="G44" s="262"/>
      <c r="H44" s="262"/>
      <c r="I44" s="262"/>
      <c r="J44" s="262"/>
      <c r="K44" s="266"/>
      <c r="L44" s="618"/>
      <c r="M44" s="607" t="s">
        <v>1090</v>
      </c>
      <c r="N44" s="607"/>
      <c r="O44" s="607"/>
      <c r="P44" s="607"/>
      <c r="Q44" s="608"/>
      <c r="R44" s="609">
        <v>0</v>
      </c>
      <c r="S44" s="610"/>
      <c r="T44" s="603">
        <v>0</v>
      </c>
      <c r="U44" s="602"/>
      <c r="V44" s="603">
        <v>0</v>
      </c>
      <c r="W44" s="604"/>
      <c r="X44" s="601">
        <v>0</v>
      </c>
      <c r="Y44" s="604"/>
      <c r="Z44" s="262"/>
      <c r="AA44" s="262"/>
      <c r="AB44" s="262"/>
      <c r="AC44" s="262"/>
      <c r="AD44" s="262"/>
      <c r="AE44" s="265"/>
    </row>
    <row r="45" spans="2:31" x14ac:dyDescent="0.25">
      <c r="B45" s="264"/>
      <c r="C45" s="262"/>
      <c r="D45" s="262"/>
      <c r="E45" s="262"/>
      <c r="F45" s="262"/>
      <c r="G45" s="262"/>
      <c r="H45" s="262"/>
      <c r="I45" s="262"/>
      <c r="J45" s="262"/>
      <c r="K45" s="266"/>
      <c r="L45" s="618"/>
      <c r="M45" s="607" t="s">
        <v>855</v>
      </c>
      <c r="N45" s="607"/>
      <c r="O45" s="607"/>
      <c r="P45" s="607"/>
      <c r="Q45" s="608"/>
      <c r="R45" s="609">
        <v>0</v>
      </c>
      <c r="S45" s="610"/>
      <c r="T45" s="603">
        <v>0</v>
      </c>
      <c r="U45" s="602"/>
      <c r="V45" s="603">
        <v>0</v>
      </c>
      <c r="W45" s="604"/>
      <c r="X45" s="601">
        <v>0</v>
      </c>
      <c r="Y45" s="604"/>
      <c r="Z45" s="262"/>
      <c r="AA45" s="262"/>
      <c r="AB45" s="262"/>
      <c r="AC45" s="262"/>
      <c r="AD45" s="262"/>
      <c r="AE45" s="265"/>
    </row>
    <row r="46" spans="2:31" ht="13.5" thickBot="1" x14ac:dyDescent="0.3">
      <c r="B46" s="264"/>
      <c r="C46" s="262"/>
      <c r="D46" s="262"/>
      <c r="E46" s="262"/>
      <c r="F46" s="262"/>
      <c r="G46" s="262"/>
      <c r="H46" s="262"/>
      <c r="I46" s="262"/>
      <c r="J46" s="262"/>
      <c r="K46" s="266"/>
      <c r="L46" s="618"/>
      <c r="M46" s="607" t="s">
        <v>59</v>
      </c>
      <c r="N46" s="607"/>
      <c r="O46" s="607"/>
      <c r="P46" s="607"/>
      <c r="Q46" s="608"/>
      <c r="R46" s="609">
        <v>0</v>
      </c>
      <c r="S46" s="610"/>
      <c r="T46" s="603">
        <v>0</v>
      </c>
      <c r="U46" s="602"/>
      <c r="V46" s="603">
        <v>0</v>
      </c>
      <c r="W46" s="604"/>
      <c r="X46" s="601">
        <v>0</v>
      </c>
      <c r="Y46" s="604"/>
      <c r="Z46" s="262"/>
      <c r="AA46" s="262"/>
      <c r="AB46" s="262"/>
      <c r="AC46" s="262"/>
      <c r="AD46" s="262"/>
      <c r="AE46" s="265"/>
    </row>
    <row r="47" spans="2:31" x14ac:dyDescent="0.25">
      <c r="B47" s="264"/>
      <c r="C47" s="262"/>
      <c r="D47" s="262"/>
      <c r="E47" s="262"/>
      <c r="F47" s="262"/>
      <c r="G47" s="262"/>
      <c r="H47" s="262"/>
      <c r="I47" s="262"/>
      <c r="J47" s="262"/>
      <c r="K47" s="611" t="s">
        <v>230</v>
      </c>
      <c r="L47" s="612"/>
      <c r="M47" s="613" t="s">
        <v>882</v>
      </c>
      <c r="N47" s="614"/>
      <c r="O47" s="614"/>
      <c r="P47" s="614"/>
      <c r="Q47" s="615"/>
      <c r="R47" s="605">
        <v>0</v>
      </c>
      <c r="S47" s="616"/>
      <c r="T47" s="617">
        <v>0</v>
      </c>
      <c r="U47" s="616"/>
      <c r="V47" s="617">
        <v>0</v>
      </c>
      <c r="W47" s="606"/>
      <c r="X47" s="605">
        <v>0</v>
      </c>
      <c r="Y47" s="606"/>
      <c r="Z47" s="262"/>
      <c r="AA47" s="262"/>
      <c r="AB47" s="262"/>
      <c r="AC47" s="262"/>
      <c r="AD47" s="262"/>
      <c r="AE47" s="265"/>
    </row>
    <row r="48" spans="2:31" x14ac:dyDescent="0.25">
      <c r="B48" s="264"/>
      <c r="C48" s="262"/>
      <c r="D48" s="262"/>
      <c r="E48" s="262"/>
      <c r="F48" s="262"/>
      <c r="G48" s="262"/>
      <c r="H48" s="262"/>
      <c r="I48" s="262"/>
      <c r="J48" s="262"/>
      <c r="K48" s="268"/>
      <c r="L48" s="269"/>
      <c r="M48" s="598" t="s">
        <v>850</v>
      </c>
      <c r="N48" s="599"/>
      <c r="O48" s="599"/>
      <c r="P48" s="599"/>
      <c r="Q48" s="600"/>
      <c r="R48" s="601">
        <v>0</v>
      </c>
      <c r="S48" s="602"/>
      <c r="T48" s="603">
        <v>0</v>
      </c>
      <c r="U48" s="602"/>
      <c r="V48" s="603">
        <v>0</v>
      </c>
      <c r="W48" s="604"/>
      <c r="X48" s="601">
        <v>0</v>
      </c>
      <c r="Y48" s="604"/>
      <c r="Z48" s="262"/>
      <c r="AA48" s="262"/>
      <c r="AB48" s="262"/>
      <c r="AC48" s="262"/>
      <c r="AD48" s="262"/>
      <c r="AE48" s="265"/>
    </row>
    <row r="49" spans="2:31" x14ac:dyDescent="0.25">
      <c r="B49" s="264"/>
      <c r="C49" s="262"/>
      <c r="D49" s="262"/>
      <c r="E49" s="262"/>
      <c r="F49" s="262"/>
      <c r="G49" s="262"/>
      <c r="H49" s="262"/>
      <c r="I49" s="262"/>
      <c r="J49" s="262"/>
      <c r="K49" s="268"/>
      <c r="L49" s="269"/>
      <c r="M49" s="598" t="s">
        <v>57</v>
      </c>
      <c r="N49" s="599"/>
      <c r="O49" s="599"/>
      <c r="P49" s="599"/>
      <c r="Q49" s="600"/>
      <c r="R49" s="601">
        <v>0</v>
      </c>
      <c r="S49" s="602"/>
      <c r="T49" s="603">
        <v>0</v>
      </c>
      <c r="U49" s="602"/>
      <c r="V49" s="603">
        <v>0</v>
      </c>
      <c r="W49" s="604"/>
      <c r="X49" s="601">
        <v>0</v>
      </c>
      <c r="Y49" s="604"/>
      <c r="Z49" s="262"/>
      <c r="AA49" s="262"/>
      <c r="AB49" s="262"/>
      <c r="AC49" s="262"/>
      <c r="AD49" s="262"/>
      <c r="AE49" s="265"/>
    </row>
    <row r="50" spans="2:31" x14ac:dyDescent="0.25">
      <c r="B50" s="264"/>
      <c r="C50" s="262"/>
      <c r="D50" s="262"/>
      <c r="E50" s="262"/>
      <c r="F50" s="262"/>
      <c r="G50" s="262"/>
      <c r="H50" s="262"/>
      <c r="I50" s="262"/>
      <c r="J50" s="262"/>
      <c r="K50" s="268"/>
      <c r="L50" s="269"/>
      <c r="M50" s="598" t="s">
        <v>922</v>
      </c>
      <c r="N50" s="599"/>
      <c r="O50" s="599"/>
      <c r="P50" s="599"/>
      <c r="Q50" s="600"/>
      <c r="R50" s="601">
        <v>0</v>
      </c>
      <c r="S50" s="602"/>
      <c r="T50" s="603">
        <v>0</v>
      </c>
      <c r="U50" s="602"/>
      <c r="V50" s="603">
        <v>0</v>
      </c>
      <c r="W50" s="604"/>
      <c r="X50" s="601">
        <v>0</v>
      </c>
      <c r="Y50" s="604"/>
      <c r="Z50" s="262"/>
      <c r="AA50" s="262"/>
      <c r="AB50" s="262"/>
      <c r="AC50" s="262"/>
      <c r="AD50" s="262"/>
      <c r="AE50" s="265"/>
    </row>
    <row r="51" spans="2:31" ht="15.75" customHeight="1" thickBot="1" x14ac:dyDescent="0.3">
      <c r="B51" s="264"/>
      <c r="C51" s="262"/>
      <c r="D51" s="262"/>
      <c r="E51" s="262"/>
      <c r="F51" s="262"/>
      <c r="G51" s="262"/>
      <c r="H51" s="262"/>
      <c r="I51" s="262"/>
      <c r="J51" s="262"/>
      <c r="K51" s="270"/>
      <c r="L51" s="271"/>
      <c r="M51" s="591" t="s">
        <v>921</v>
      </c>
      <c r="N51" s="592"/>
      <c r="O51" s="592"/>
      <c r="P51" s="592"/>
      <c r="Q51" s="593"/>
      <c r="R51" s="594">
        <v>0</v>
      </c>
      <c r="S51" s="595"/>
      <c r="T51" s="596">
        <v>0</v>
      </c>
      <c r="U51" s="595"/>
      <c r="V51" s="596">
        <v>0</v>
      </c>
      <c r="W51" s="597"/>
      <c r="X51" s="594">
        <v>0</v>
      </c>
      <c r="Y51" s="597"/>
      <c r="Z51" s="262"/>
      <c r="AA51" s="262"/>
      <c r="AB51" s="262"/>
      <c r="AC51" s="262"/>
      <c r="AD51" s="262"/>
      <c r="AE51" s="265"/>
    </row>
    <row r="52" spans="2:31" x14ac:dyDescent="0.25">
      <c r="B52" s="272"/>
      <c r="C52" s="258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258"/>
      <c r="R52" s="258"/>
      <c r="S52" s="258"/>
      <c r="T52" s="258"/>
      <c r="U52" s="258"/>
      <c r="V52" s="258"/>
      <c r="W52" s="258"/>
      <c r="X52" s="258"/>
      <c r="Y52" s="258"/>
      <c r="Z52" s="258"/>
      <c r="AA52" s="258"/>
      <c r="AB52" s="258"/>
      <c r="AC52" s="258"/>
      <c r="AD52" s="258"/>
      <c r="AE52" s="273"/>
    </row>
    <row r="53" spans="2:31" x14ac:dyDescent="0.25"/>
    <row r="54" spans="2:31" ht="14.25" x14ac:dyDescent="0.25">
      <c r="B54" s="497" t="s">
        <v>829</v>
      </c>
      <c r="C54" s="498"/>
      <c r="D54" s="498"/>
      <c r="E54" s="498"/>
      <c r="F54" s="498"/>
      <c r="G54" s="498"/>
      <c r="H54" s="498"/>
      <c r="I54" s="498"/>
      <c r="J54" s="498"/>
      <c r="K54" s="498"/>
      <c r="L54" s="498"/>
      <c r="M54" s="498"/>
      <c r="N54" s="498"/>
      <c r="O54" s="498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9"/>
    </row>
    <row r="55" spans="2:31" x14ac:dyDescent="0.25">
      <c r="B55" s="274"/>
      <c r="C55" s="275"/>
      <c r="D55" s="585" t="s">
        <v>1116</v>
      </c>
      <c r="E55" s="586"/>
      <c r="F55" s="585" t="s">
        <v>1117</v>
      </c>
      <c r="G55" s="586"/>
      <c r="H55" s="585" t="s">
        <v>1109</v>
      </c>
      <c r="I55" s="586"/>
      <c r="J55" s="585" t="s">
        <v>1118</v>
      </c>
      <c r="K55" s="586"/>
      <c r="L55" s="585" t="s">
        <v>1119</v>
      </c>
      <c r="M55" s="586"/>
      <c r="N55" s="585" t="s">
        <v>1120</v>
      </c>
      <c r="O55" s="586"/>
      <c r="P55" s="585" t="s">
        <v>1121</v>
      </c>
      <c r="Q55" s="586"/>
      <c r="R55" s="585" t="s">
        <v>1111</v>
      </c>
      <c r="S55" s="586"/>
      <c r="T55" s="585" t="s">
        <v>1122</v>
      </c>
      <c r="U55" s="586"/>
      <c r="V55" s="585" t="s">
        <v>1123</v>
      </c>
      <c r="W55" s="586"/>
      <c r="X55" s="585" t="s">
        <v>1124</v>
      </c>
      <c r="Y55" s="586"/>
      <c r="Z55" s="585" t="s">
        <v>1105</v>
      </c>
      <c r="AA55" s="586"/>
      <c r="AB55" s="585">
        <v>2019</v>
      </c>
      <c r="AC55" s="586"/>
      <c r="AD55" s="587" t="s">
        <v>76</v>
      </c>
      <c r="AE55" s="588"/>
    </row>
    <row r="56" spans="2:31" x14ac:dyDescent="0.25">
      <c r="B56" s="589" t="s">
        <v>400</v>
      </c>
      <c r="C56" s="590"/>
      <c r="D56" s="580">
        <v>0</v>
      </c>
      <c r="E56" s="584"/>
      <c r="F56" s="580">
        <v>0</v>
      </c>
      <c r="G56" s="584"/>
      <c r="H56" s="580">
        <v>1500000</v>
      </c>
      <c r="I56" s="584"/>
      <c r="J56" s="580">
        <v>0</v>
      </c>
      <c r="K56" s="584"/>
      <c r="L56" s="580">
        <v>0</v>
      </c>
      <c r="M56" s="584"/>
      <c r="N56" s="580">
        <v>0</v>
      </c>
      <c r="O56" s="584"/>
      <c r="P56" s="580">
        <v>0</v>
      </c>
      <c r="Q56" s="584"/>
      <c r="R56" s="580">
        <v>1500000</v>
      </c>
      <c r="S56" s="584"/>
      <c r="T56" s="580">
        <v>0</v>
      </c>
      <c r="U56" s="584"/>
      <c r="V56" s="580">
        <v>0</v>
      </c>
      <c r="W56" s="584"/>
      <c r="X56" s="580">
        <v>0</v>
      </c>
      <c r="Y56" s="584"/>
      <c r="Z56" s="580">
        <v>2000000</v>
      </c>
      <c r="AA56" s="584"/>
      <c r="AB56" s="580">
        <v>0</v>
      </c>
      <c r="AC56" s="584"/>
      <c r="AD56" s="580">
        <v>0</v>
      </c>
      <c r="AE56" s="581"/>
    </row>
    <row r="57" spans="2:31" x14ac:dyDescent="0.25">
      <c r="B57" s="582" t="s">
        <v>924</v>
      </c>
      <c r="C57" s="583"/>
      <c r="D57" s="577">
        <v>0</v>
      </c>
      <c r="E57" s="578"/>
      <c r="F57" s="577">
        <v>0</v>
      </c>
      <c r="G57" s="578"/>
      <c r="H57" s="577">
        <v>0</v>
      </c>
      <c r="I57" s="578"/>
      <c r="J57" s="577">
        <v>0</v>
      </c>
      <c r="K57" s="578"/>
      <c r="L57" s="577">
        <v>0</v>
      </c>
      <c r="M57" s="578"/>
      <c r="N57" s="577">
        <v>0</v>
      </c>
      <c r="O57" s="578"/>
      <c r="P57" s="577">
        <v>0</v>
      </c>
      <c r="Q57" s="578"/>
      <c r="R57" s="577">
        <v>0</v>
      </c>
      <c r="S57" s="578"/>
      <c r="T57" s="577">
        <v>0</v>
      </c>
      <c r="U57" s="578"/>
      <c r="V57" s="577">
        <v>0</v>
      </c>
      <c r="W57" s="578"/>
      <c r="X57" s="577">
        <v>0</v>
      </c>
      <c r="Y57" s="578"/>
      <c r="Z57" s="577">
        <v>0</v>
      </c>
      <c r="AA57" s="578"/>
      <c r="AB57" s="577">
        <v>0</v>
      </c>
      <c r="AC57" s="578"/>
      <c r="AD57" s="577">
        <v>0</v>
      </c>
      <c r="AE57" s="579"/>
    </row>
    <row r="58" spans="2:31" x14ac:dyDescent="0.25">
      <c r="B58" s="575" t="s">
        <v>267</v>
      </c>
      <c r="C58" s="576"/>
      <c r="D58" s="570">
        <v>0</v>
      </c>
      <c r="E58" s="571"/>
      <c r="F58" s="570">
        <v>0</v>
      </c>
      <c r="G58" s="571"/>
      <c r="H58" s="570">
        <v>1500000</v>
      </c>
      <c r="I58" s="571"/>
      <c r="J58" s="570">
        <v>0</v>
      </c>
      <c r="K58" s="571"/>
      <c r="L58" s="570">
        <v>0</v>
      </c>
      <c r="M58" s="571"/>
      <c r="N58" s="570">
        <v>0</v>
      </c>
      <c r="O58" s="571"/>
      <c r="P58" s="570">
        <v>0</v>
      </c>
      <c r="Q58" s="571"/>
      <c r="R58" s="570">
        <v>1500000</v>
      </c>
      <c r="S58" s="571"/>
      <c r="T58" s="570">
        <v>0</v>
      </c>
      <c r="U58" s="571"/>
      <c r="V58" s="570">
        <v>0</v>
      </c>
      <c r="W58" s="571"/>
      <c r="X58" s="570">
        <v>0</v>
      </c>
      <c r="Y58" s="571"/>
      <c r="Z58" s="570">
        <v>2000000</v>
      </c>
      <c r="AA58" s="571"/>
      <c r="AB58" s="570">
        <v>0</v>
      </c>
      <c r="AC58" s="571"/>
      <c r="AD58" s="570">
        <v>0</v>
      </c>
      <c r="AE58" s="572"/>
    </row>
    <row r="59" spans="2:31" ht="15" customHeight="1" x14ac:dyDescent="0.25">
      <c r="B59" s="573" t="s">
        <v>1096</v>
      </c>
      <c r="C59" s="574"/>
      <c r="D59" s="567">
        <v>0</v>
      </c>
      <c r="E59" s="568"/>
      <c r="F59" s="567">
        <v>0</v>
      </c>
      <c r="G59" s="568"/>
      <c r="H59" s="567">
        <v>1500000</v>
      </c>
      <c r="I59" s="568"/>
      <c r="J59" s="567">
        <v>0</v>
      </c>
      <c r="K59" s="568"/>
      <c r="L59" s="567">
        <v>0</v>
      </c>
      <c r="M59" s="568"/>
      <c r="N59" s="567">
        <v>0</v>
      </c>
      <c r="O59" s="568"/>
      <c r="P59" s="567">
        <v>0</v>
      </c>
      <c r="Q59" s="568"/>
      <c r="R59" s="567">
        <v>1500000</v>
      </c>
      <c r="S59" s="568"/>
      <c r="T59" s="567">
        <v>0</v>
      </c>
      <c r="U59" s="568"/>
      <c r="V59" s="567">
        <v>0</v>
      </c>
      <c r="W59" s="568"/>
      <c r="X59" s="567">
        <v>0</v>
      </c>
      <c r="Y59" s="568"/>
      <c r="Z59" s="567">
        <v>2000000</v>
      </c>
      <c r="AA59" s="568"/>
      <c r="AB59" s="567">
        <v>0</v>
      </c>
      <c r="AC59" s="568"/>
      <c r="AD59" s="567">
        <v>0</v>
      </c>
      <c r="AE59" s="569"/>
    </row>
    <row r="60" spans="2:31" hidden="1" x14ac:dyDescent="0.25">
      <c r="B60" s="565" t="s">
        <v>59</v>
      </c>
      <c r="C60" s="566"/>
      <c r="D60" s="560">
        <v>0</v>
      </c>
      <c r="E60" s="564"/>
      <c r="F60" s="560">
        <v>0</v>
      </c>
      <c r="G60" s="564"/>
      <c r="H60" s="560">
        <v>0</v>
      </c>
      <c r="I60" s="564"/>
      <c r="J60" s="560">
        <v>0</v>
      </c>
      <c r="K60" s="564"/>
      <c r="L60" s="560">
        <v>0</v>
      </c>
      <c r="M60" s="564"/>
      <c r="N60" s="560">
        <v>0</v>
      </c>
      <c r="O60" s="564"/>
      <c r="P60" s="560">
        <v>0</v>
      </c>
      <c r="Q60" s="564"/>
      <c r="R60" s="560">
        <v>0</v>
      </c>
      <c r="S60" s="564"/>
      <c r="T60" s="560">
        <v>0</v>
      </c>
      <c r="U60" s="564"/>
      <c r="V60" s="560">
        <v>0</v>
      </c>
      <c r="W60" s="564"/>
      <c r="X60" s="560">
        <v>0</v>
      </c>
      <c r="Y60" s="564"/>
      <c r="Z60" s="560">
        <v>0</v>
      </c>
      <c r="AA60" s="564"/>
      <c r="AB60" s="560">
        <v>0</v>
      </c>
      <c r="AC60" s="564"/>
      <c r="AD60" s="560">
        <v>0</v>
      </c>
      <c r="AE60" s="561"/>
    </row>
    <row r="61" spans="2:31" hidden="1" x14ac:dyDescent="0.25">
      <c r="B61" s="565" t="s">
        <v>59</v>
      </c>
      <c r="C61" s="566"/>
      <c r="D61" s="560">
        <v>0</v>
      </c>
      <c r="E61" s="564"/>
      <c r="F61" s="560">
        <v>0</v>
      </c>
      <c r="G61" s="564"/>
      <c r="H61" s="560">
        <v>0</v>
      </c>
      <c r="I61" s="564"/>
      <c r="J61" s="560">
        <v>0</v>
      </c>
      <c r="K61" s="564"/>
      <c r="L61" s="560">
        <v>0</v>
      </c>
      <c r="M61" s="564"/>
      <c r="N61" s="560">
        <v>0</v>
      </c>
      <c r="O61" s="564"/>
      <c r="P61" s="560">
        <v>0</v>
      </c>
      <c r="Q61" s="564"/>
      <c r="R61" s="560">
        <v>0</v>
      </c>
      <c r="S61" s="564"/>
      <c r="T61" s="560">
        <v>0</v>
      </c>
      <c r="U61" s="564"/>
      <c r="V61" s="560">
        <v>0</v>
      </c>
      <c r="W61" s="564"/>
      <c r="X61" s="560">
        <v>0</v>
      </c>
      <c r="Y61" s="564"/>
      <c r="Z61" s="560">
        <v>0</v>
      </c>
      <c r="AA61" s="564"/>
      <c r="AB61" s="560">
        <v>0</v>
      </c>
      <c r="AC61" s="564"/>
      <c r="AD61" s="560">
        <v>0</v>
      </c>
      <c r="AE61" s="561"/>
    </row>
    <row r="62" spans="2:31" hidden="1" x14ac:dyDescent="0.25">
      <c r="B62" s="565" t="s">
        <v>59</v>
      </c>
      <c r="C62" s="566"/>
      <c r="D62" s="560">
        <v>0</v>
      </c>
      <c r="E62" s="564"/>
      <c r="F62" s="560">
        <v>0</v>
      </c>
      <c r="G62" s="564"/>
      <c r="H62" s="560">
        <v>0</v>
      </c>
      <c r="I62" s="564"/>
      <c r="J62" s="560">
        <v>0</v>
      </c>
      <c r="K62" s="564"/>
      <c r="L62" s="560">
        <v>0</v>
      </c>
      <c r="M62" s="564"/>
      <c r="N62" s="560">
        <v>0</v>
      </c>
      <c r="O62" s="564"/>
      <c r="P62" s="560">
        <v>0</v>
      </c>
      <c r="Q62" s="564"/>
      <c r="R62" s="560">
        <v>0</v>
      </c>
      <c r="S62" s="564"/>
      <c r="T62" s="560">
        <v>0</v>
      </c>
      <c r="U62" s="564"/>
      <c r="V62" s="560">
        <v>0</v>
      </c>
      <c r="W62" s="564"/>
      <c r="X62" s="560">
        <v>0</v>
      </c>
      <c r="Y62" s="564"/>
      <c r="Z62" s="560">
        <v>0</v>
      </c>
      <c r="AA62" s="564"/>
      <c r="AB62" s="560">
        <v>0</v>
      </c>
      <c r="AC62" s="564"/>
      <c r="AD62" s="560">
        <v>0</v>
      </c>
      <c r="AE62" s="561"/>
    </row>
    <row r="63" spans="2:31" hidden="1" x14ac:dyDescent="0.25">
      <c r="B63" s="565" t="s">
        <v>59</v>
      </c>
      <c r="C63" s="566"/>
      <c r="D63" s="560">
        <v>0</v>
      </c>
      <c r="E63" s="564"/>
      <c r="F63" s="560">
        <v>0</v>
      </c>
      <c r="G63" s="564"/>
      <c r="H63" s="560">
        <v>0</v>
      </c>
      <c r="I63" s="564"/>
      <c r="J63" s="560">
        <v>0</v>
      </c>
      <c r="K63" s="564"/>
      <c r="L63" s="560">
        <v>0</v>
      </c>
      <c r="M63" s="564"/>
      <c r="N63" s="560">
        <v>0</v>
      </c>
      <c r="O63" s="564"/>
      <c r="P63" s="560">
        <v>0</v>
      </c>
      <c r="Q63" s="564"/>
      <c r="R63" s="560">
        <v>0</v>
      </c>
      <c r="S63" s="564"/>
      <c r="T63" s="560">
        <v>0</v>
      </c>
      <c r="U63" s="564"/>
      <c r="V63" s="560">
        <v>0</v>
      </c>
      <c r="W63" s="564"/>
      <c r="X63" s="560">
        <v>0</v>
      </c>
      <c r="Y63" s="564"/>
      <c r="Z63" s="560">
        <v>0</v>
      </c>
      <c r="AA63" s="564"/>
      <c r="AB63" s="560">
        <v>0</v>
      </c>
      <c r="AC63" s="564"/>
      <c r="AD63" s="560">
        <v>0</v>
      </c>
      <c r="AE63" s="561"/>
    </row>
    <row r="64" spans="2:31" hidden="1" x14ac:dyDescent="0.25">
      <c r="B64" s="565" t="s">
        <v>59</v>
      </c>
      <c r="C64" s="566"/>
      <c r="D64" s="560">
        <v>0</v>
      </c>
      <c r="E64" s="564"/>
      <c r="F64" s="560">
        <v>0</v>
      </c>
      <c r="G64" s="564"/>
      <c r="H64" s="560">
        <v>0</v>
      </c>
      <c r="I64" s="564"/>
      <c r="J64" s="560">
        <v>0</v>
      </c>
      <c r="K64" s="564"/>
      <c r="L64" s="560">
        <v>0</v>
      </c>
      <c r="M64" s="564"/>
      <c r="N64" s="560">
        <v>0</v>
      </c>
      <c r="O64" s="564"/>
      <c r="P64" s="560">
        <v>0</v>
      </c>
      <c r="Q64" s="564"/>
      <c r="R64" s="560">
        <v>0</v>
      </c>
      <c r="S64" s="564"/>
      <c r="T64" s="560">
        <v>0</v>
      </c>
      <c r="U64" s="564"/>
      <c r="V64" s="560">
        <v>0</v>
      </c>
      <c r="W64" s="564"/>
      <c r="X64" s="560">
        <v>0</v>
      </c>
      <c r="Y64" s="564"/>
      <c r="Z64" s="560">
        <v>0</v>
      </c>
      <c r="AA64" s="564"/>
      <c r="AB64" s="560">
        <v>0</v>
      </c>
      <c r="AC64" s="564"/>
      <c r="AD64" s="560">
        <v>0</v>
      </c>
      <c r="AE64" s="561"/>
    </row>
    <row r="65" spans="2:31" hidden="1" x14ac:dyDescent="0.25">
      <c r="B65" s="565" t="s">
        <v>59</v>
      </c>
      <c r="C65" s="566"/>
      <c r="D65" s="560">
        <v>0</v>
      </c>
      <c r="E65" s="564"/>
      <c r="F65" s="560">
        <v>0</v>
      </c>
      <c r="G65" s="564"/>
      <c r="H65" s="560">
        <v>0</v>
      </c>
      <c r="I65" s="564"/>
      <c r="J65" s="560">
        <v>0</v>
      </c>
      <c r="K65" s="564"/>
      <c r="L65" s="560">
        <v>0</v>
      </c>
      <c r="M65" s="564"/>
      <c r="N65" s="560">
        <v>0</v>
      </c>
      <c r="O65" s="564"/>
      <c r="P65" s="560">
        <v>0</v>
      </c>
      <c r="Q65" s="564"/>
      <c r="R65" s="560">
        <v>0</v>
      </c>
      <c r="S65" s="564"/>
      <c r="T65" s="560">
        <v>0</v>
      </c>
      <c r="U65" s="564"/>
      <c r="V65" s="560">
        <v>0</v>
      </c>
      <c r="W65" s="564"/>
      <c r="X65" s="560">
        <v>0</v>
      </c>
      <c r="Y65" s="564"/>
      <c r="Z65" s="560">
        <v>0</v>
      </c>
      <c r="AA65" s="564"/>
      <c r="AB65" s="560">
        <v>0</v>
      </c>
      <c r="AC65" s="564"/>
      <c r="AD65" s="560">
        <v>0</v>
      </c>
      <c r="AE65" s="561"/>
    </row>
    <row r="66" spans="2:31" hidden="1" x14ac:dyDescent="0.25">
      <c r="B66" s="565" t="s">
        <v>59</v>
      </c>
      <c r="C66" s="566"/>
      <c r="D66" s="560">
        <v>0</v>
      </c>
      <c r="E66" s="564"/>
      <c r="F66" s="560">
        <v>0</v>
      </c>
      <c r="G66" s="564"/>
      <c r="H66" s="560">
        <v>0</v>
      </c>
      <c r="I66" s="564"/>
      <c r="J66" s="560">
        <v>0</v>
      </c>
      <c r="K66" s="564"/>
      <c r="L66" s="560">
        <v>0</v>
      </c>
      <c r="M66" s="564"/>
      <c r="N66" s="560">
        <v>0</v>
      </c>
      <c r="O66" s="564"/>
      <c r="P66" s="560">
        <v>0</v>
      </c>
      <c r="Q66" s="564"/>
      <c r="R66" s="560">
        <v>0</v>
      </c>
      <c r="S66" s="564"/>
      <c r="T66" s="560">
        <v>0</v>
      </c>
      <c r="U66" s="564"/>
      <c r="V66" s="560">
        <v>0</v>
      </c>
      <c r="W66" s="564"/>
      <c r="X66" s="560">
        <v>0</v>
      </c>
      <c r="Y66" s="564"/>
      <c r="Z66" s="560">
        <v>0</v>
      </c>
      <c r="AA66" s="564"/>
      <c r="AB66" s="560">
        <v>0</v>
      </c>
      <c r="AC66" s="564"/>
      <c r="AD66" s="560">
        <v>0</v>
      </c>
      <c r="AE66" s="561"/>
    </row>
    <row r="67" spans="2:31" hidden="1" x14ac:dyDescent="0.25">
      <c r="B67" s="565" t="s">
        <v>59</v>
      </c>
      <c r="C67" s="566"/>
      <c r="D67" s="560">
        <v>0</v>
      </c>
      <c r="E67" s="564"/>
      <c r="F67" s="560">
        <v>0</v>
      </c>
      <c r="G67" s="564"/>
      <c r="H67" s="560">
        <v>0</v>
      </c>
      <c r="I67" s="564"/>
      <c r="J67" s="560">
        <v>0</v>
      </c>
      <c r="K67" s="564"/>
      <c r="L67" s="560">
        <v>0</v>
      </c>
      <c r="M67" s="564"/>
      <c r="N67" s="560">
        <v>0</v>
      </c>
      <c r="O67" s="564"/>
      <c r="P67" s="560">
        <v>0</v>
      </c>
      <c r="Q67" s="564"/>
      <c r="R67" s="560">
        <v>0</v>
      </c>
      <c r="S67" s="564"/>
      <c r="T67" s="560">
        <v>0</v>
      </c>
      <c r="U67" s="564"/>
      <c r="V67" s="560">
        <v>0</v>
      </c>
      <c r="W67" s="564"/>
      <c r="X67" s="560">
        <v>0</v>
      </c>
      <c r="Y67" s="564"/>
      <c r="Z67" s="560">
        <v>0</v>
      </c>
      <c r="AA67" s="564"/>
      <c r="AB67" s="560">
        <v>0</v>
      </c>
      <c r="AC67" s="564"/>
      <c r="AD67" s="560">
        <v>0</v>
      </c>
      <c r="AE67" s="561"/>
    </row>
    <row r="68" spans="2:31" hidden="1" x14ac:dyDescent="0.25">
      <c r="B68" s="565" t="s">
        <v>59</v>
      </c>
      <c r="C68" s="566"/>
      <c r="D68" s="560">
        <v>0</v>
      </c>
      <c r="E68" s="564"/>
      <c r="F68" s="560">
        <v>0</v>
      </c>
      <c r="G68" s="564"/>
      <c r="H68" s="560">
        <v>0</v>
      </c>
      <c r="I68" s="564"/>
      <c r="J68" s="560">
        <v>0</v>
      </c>
      <c r="K68" s="564"/>
      <c r="L68" s="560">
        <v>0</v>
      </c>
      <c r="M68" s="564"/>
      <c r="N68" s="560">
        <v>0</v>
      </c>
      <c r="O68" s="564"/>
      <c r="P68" s="560">
        <v>0</v>
      </c>
      <c r="Q68" s="564"/>
      <c r="R68" s="560">
        <v>0</v>
      </c>
      <c r="S68" s="564"/>
      <c r="T68" s="560">
        <v>0</v>
      </c>
      <c r="U68" s="564"/>
      <c r="V68" s="560">
        <v>0</v>
      </c>
      <c r="W68" s="564"/>
      <c r="X68" s="560">
        <v>0</v>
      </c>
      <c r="Y68" s="564"/>
      <c r="Z68" s="560">
        <v>0</v>
      </c>
      <c r="AA68" s="564"/>
      <c r="AB68" s="560">
        <v>0</v>
      </c>
      <c r="AC68" s="564"/>
      <c r="AD68" s="560">
        <v>0</v>
      </c>
      <c r="AE68" s="561"/>
    </row>
    <row r="69" spans="2:31" hidden="1" x14ac:dyDescent="0.25">
      <c r="B69" s="565" t="s">
        <v>59</v>
      </c>
      <c r="C69" s="566"/>
      <c r="D69" s="560">
        <v>0</v>
      </c>
      <c r="E69" s="564"/>
      <c r="F69" s="560">
        <v>0</v>
      </c>
      <c r="G69" s="564"/>
      <c r="H69" s="560">
        <v>0</v>
      </c>
      <c r="I69" s="564"/>
      <c r="J69" s="560">
        <v>0</v>
      </c>
      <c r="K69" s="564"/>
      <c r="L69" s="560">
        <v>0</v>
      </c>
      <c r="M69" s="564"/>
      <c r="N69" s="560">
        <v>0</v>
      </c>
      <c r="O69" s="564"/>
      <c r="P69" s="560">
        <v>0</v>
      </c>
      <c r="Q69" s="564"/>
      <c r="R69" s="560">
        <v>0</v>
      </c>
      <c r="S69" s="564"/>
      <c r="T69" s="560">
        <v>0</v>
      </c>
      <c r="U69" s="564"/>
      <c r="V69" s="560">
        <v>0</v>
      </c>
      <c r="W69" s="564"/>
      <c r="X69" s="560">
        <v>0</v>
      </c>
      <c r="Y69" s="564"/>
      <c r="Z69" s="560">
        <v>0</v>
      </c>
      <c r="AA69" s="564"/>
      <c r="AB69" s="560">
        <v>0</v>
      </c>
      <c r="AC69" s="564"/>
      <c r="AD69" s="560">
        <v>0</v>
      </c>
      <c r="AE69" s="561"/>
    </row>
    <row r="70" spans="2:31" hidden="1" x14ac:dyDescent="0.25">
      <c r="B70" s="565" t="s">
        <v>59</v>
      </c>
      <c r="C70" s="566"/>
      <c r="D70" s="560">
        <v>0</v>
      </c>
      <c r="E70" s="564"/>
      <c r="F70" s="560">
        <v>0</v>
      </c>
      <c r="G70" s="564"/>
      <c r="H70" s="560">
        <v>0</v>
      </c>
      <c r="I70" s="564"/>
      <c r="J70" s="560">
        <v>0</v>
      </c>
      <c r="K70" s="564"/>
      <c r="L70" s="560">
        <v>0</v>
      </c>
      <c r="M70" s="564"/>
      <c r="N70" s="560">
        <v>0</v>
      </c>
      <c r="O70" s="564"/>
      <c r="P70" s="560">
        <v>0</v>
      </c>
      <c r="Q70" s="564"/>
      <c r="R70" s="560">
        <v>0</v>
      </c>
      <c r="S70" s="564"/>
      <c r="T70" s="560">
        <v>0</v>
      </c>
      <c r="U70" s="564"/>
      <c r="V70" s="560">
        <v>0</v>
      </c>
      <c r="W70" s="564"/>
      <c r="X70" s="560">
        <v>0</v>
      </c>
      <c r="Y70" s="564"/>
      <c r="Z70" s="560">
        <v>0</v>
      </c>
      <c r="AA70" s="564"/>
      <c r="AB70" s="560">
        <v>0</v>
      </c>
      <c r="AC70" s="564"/>
      <c r="AD70" s="560">
        <v>0</v>
      </c>
      <c r="AE70" s="561"/>
    </row>
    <row r="71" spans="2:31" hidden="1" x14ac:dyDescent="0.25">
      <c r="B71" s="565" t="s">
        <v>59</v>
      </c>
      <c r="C71" s="566"/>
      <c r="D71" s="560">
        <v>0</v>
      </c>
      <c r="E71" s="564"/>
      <c r="F71" s="560">
        <v>0</v>
      </c>
      <c r="G71" s="564"/>
      <c r="H71" s="560">
        <v>0</v>
      </c>
      <c r="I71" s="564"/>
      <c r="J71" s="560">
        <v>0</v>
      </c>
      <c r="K71" s="564"/>
      <c r="L71" s="560">
        <v>0</v>
      </c>
      <c r="M71" s="564"/>
      <c r="N71" s="560">
        <v>0</v>
      </c>
      <c r="O71" s="564"/>
      <c r="P71" s="560">
        <v>0</v>
      </c>
      <c r="Q71" s="564"/>
      <c r="R71" s="560">
        <v>0</v>
      </c>
      <c r="S71" s="564"/>
      <c r="T71" s="560">
        <v>0</v>
      </c>
      <c r="U71" s="564"/>
      <c r="V71" s="560">
        <v>0</v>
      </c>
      <c r="W71" s="564"/>
      <c r="X71" s="560">
        <v>0</v>
      </c>
      <c r="Y71" s="564"/>
      <c r="Z71" s="560">
        <v>0</v>
      </c>
      <c r="AA71" s="564"/>
      <c r="AB71" s="560">
        <v>0</v>
      </c>
      <c r="AC71" s="564"/>
      <c r="AD71" s="560">
        <v>0</v>
      </c>
      <c r="AE71" s="561"/>
    </row>
    <row r="72" spans="2:31" hidden="1" x14ac:dyDescent="0.25">
      <c r="B72" s="565" t="s">
        <v>59</v>
      </c>
      <c r="C72" s="566"/>
      <c r="D72" s="560">
        <v>0</v>
      </c>
      <c r="E72" s="564"/>
      <c r="F72" s="560">
        <v>0</v>
      </c>
      <c r="G72" s="564"/>
      <c r="H72" s="560">
        <v>0</v>
      </c>
      <c r="I72" s="564"/>
      <c r="J72" s="560">
        <v>0</v>
      </c>
      <c r="K72" s="564"/>
      <c r="L72" s="560">
        <v>0</v>
      </c>
      <c r="M72" s="564"/>
      <c r="N72" s="560">
        <v>0</v>
      </c>
      <c r="O72" s="564"/>
      <c r="P72" s="560">
        <v>0</v>
      </c>
      <c r="Q72" s="564"/>
      <c r="R72" s="560">
        <v>0</v>
      </c>
      <c r="S72" s="564"/>
      <c r="T72" s="560">
        <v>0</v>
      </c>
      <c r="U72" s="564"/>
      <c r="V72" s="560">
        <v>0</v>
      </c>
      <c r="W72" s="564"/>
      <c r="X72" s="560">
        <v>0</v>
      </c>
      <c r="Y72" s="564"/>
      <c r="Z72" s="560">
        <v>0</v>
      </c>
      <c r="AA72" s="564"/>
      <c r="AB72" s="560">
        <v>0</v>
      </c>
      <c r="AC72" s="564"/>
      <c r="AD72" s="560">
        <v>0</v>
      </c>
      <c r="AE72" s="561"/>
    </row>
    <row r="73" spans="2:31" hidden="1" x14ac:dyDescent="0.25">
      <c r="B73" s="565" t="s">
        <v>59</v>
      </c>
      <c r="C73" s="566"/>
      <c r="D73" s="560">
        <v>0</v>
      </c>
      <c r="E73" s="564"/>
      <c r="F73" s="560">
        <v>0</v>
      </c>
      <c r="G73" s="564"/>
      <c r="H73" s="560">
        <v>0</v>
      </c>
      <c r="I73" s="564"/>
      <c r="J73" s="560">
        <v>0</v>
      </c>
      <c r="K73" s="564"/>
      <c r="L73" s="560">
        <v>0</v>
      </c>
      <c r="M73" s="564"/>
      <c r="N73" s="560">
        <v>0</v>
      </c>
      <c r="O73" s="564"/>
      <c r="P73" s="560">
        <v>0</v>
      </c>
      <c r="Q73" s="564"/>
      <c r="R73" s="560">
        <v>0</v>
      </c>
      <c r="S73" s="564"/>
      <c r="T73" s="560">
        <v>0</v>
      </c>
      <c r="U73" s="564"/>
      <c r="V73" s="560">
        <v>0</v>
      </c>
      <c r="W73" s="564"/>
      <c r="X73" s="560">
        <v>0</v>
      </c>
      <c r="Y73" s="564"/>
      <c r="Z73" s="560">
        <v>0</v>
      </c>
      <c r="AA73" s="564"/>
      <c r="AB73" s="560">
        <v>0</v>
      </c>
      <c r="AC73" s="564"/>
      <c r="AD73" s="560">
        <v>0</v>
      </c>
      <c r="AE73" s="561"/>
    </row>
    <row r="74" spans="2:31" hidden="1" x14ac:dyDescent="0.25">
      <c r="B74" s="565" t="s">
        <v>59</v>
      </c>
      <c r="C74" s="566"/>
      <c r="D74" s="560">
        <v>0</v>
      </c>
      <c r="E74" s="564"/>
      <c r="F74" s="560">
        <v>0</v>
      </c>
      <c r="G74" s="564"/>
      <c r="H74" s="560">
        <v>0</v>
      </c>
      <c r="I74" s="564"/>
      <c r="J74" s="560">
        <v>0</v>
      </c>
      <c r="K74" s="564"/>
      <c r="L74" s="560">
        <v>0</v>
      </c>
      <c r="M74" s="564"/>
      <c r="N74" s="560">
        <v>0</v>
      </c>
      <c r="O74" s="564"/>
      <c r="P74" s="560">
        <v>0</v>
      </c>
      <c r="Q74" s="564"/>
      <c r="R74" s="560">
        <v>0</v>
      </c>
      <c r="S74" s="564"/>
      <c r="T74" s="560">
        <v>0</v>
      </c>
      <c r="U74" s="564"/>
      <c r="V74" s="560">
        <v>0</v>
      </c>
      <c r="W74" s="564"/>
      <c r="X74" s="560">
        <v>0</v>
      </c>
      <c r="Y74" s="564"/>
      <c r="Z74" s="560">
        <v>0</v>
      </c>
      <c r="AA74" s="564"/>
      <c r="AB74" s="560">
        <v>0</v>
      </c>
      <c r="AC74" s="564"/>
      <c r="AD74" s="560">
        <v>0</v>
      </c>
      <c r="AE74" s="561"/>
    </row>
    <row r="75" spans="2:31" hidden="1" x14ac:dyDescent="0.25">
      <c r="B75" s="565" t="s">
        <v>59</v>
      </c>
      <c r="C75" s="566"/>
      <c r="D75" s="560">
        <v>0</v>
      </c>
      <c r="E75" s="564"/>
      <c r="F75" s="560">
        <v>0</v>
      </c>
      <c r="G75" s="564"/>
      <c r="H75" s="560">
        <v>0</v>
      </c>
      <c r="I75" s="564"/>
      <c r="J75" s="560">
        <v>0</v>
      </c>
      <c r="K75" s="564"/>
      <c r="L75" s="560">
        <v>0</v>
      </c>
      <c r="M75" s="564"/>
      <c r="N75" s="560">
        <v>0</v>
      </c>
      <c r="O75" s="564"/>
      <c r="P75" s="560">
        <v>0</v>
      </c>
      <c r="Q75" s="564"/>
      <c r="R75" s="560">
        <v>0</v>
      </c>
      <c r="S75" s="564"/>
      <c r="T75" s="560">
        <v>0</v>
      </c>
      <c r="U75" s="564"/>
      <c r="V75" s="560">
        <v>0</v>
      </c>
      <c r="W75" s="564"/>
      <c r="X75" s="560">
        <v>0</v>
      </c>
      <c r="Y75" s="564"/>
      <c r="Z75" s="560">
        <v>0</v>
      </c>
      <c r="AA75" s="564"/>
      <c r="AB75" s="560">
        <v>0</v>
      </c>
      <c r="AC75" s="564"/>
      <c r="AD75" s="560">
        <v>0</v>
      </c>
      <c r="AE75" s="561"/>
    </row>
    <row r="76" spans="2:31" hidden="1" x14ac:dyDescent="0.25">
      <c r="B76" s="565" t="s">
        <v>59</v>
      </c>
      <c r="C76" s="566"/>
      <c r="D76" s="560">
        <v>0</v>
      </c>
      <c r="E76" s="564"/>
      <c r="F76" s="560">
        <v>0</v>
      </c>
      <c r="G76" s="564"/>
      <c r="H76" s="560">
        <v>0</v>
      </c>
      <c r="I76" s="564"/>
      <c r="J76" s="560">
        <v>0</v>
      </c>
      <c r="K76" s="564"/>
      <c r="L76" s="560">
        <v>0</v>
      </c>
      <c r="M76" s="564"/>
      <c r="N76" s="560">
        <v>0</v>
      </c>
      <c r="O76" s="564"/>
      <c r="P76" s="560">
        <v>0</v>
      </c>
      <c r="Q76" s="564"/>
      <c r="R76" s="560">
        <v>0</v>
      </c>
      <c r="S76" s="564"/>
      <c r="T76" s="560">
        <v>0</v>
      </c>
      <c r="U76" s="564"/>
      <c r="V76" s="560">
        <v>0</v>
      </c>
      <c r="W76" s="564"/>
      <c r="X76" s="560">
        <v>0</v>
      </c>
      <c r="Y76" s="564"/>
      <c r="Z76" s="560">
        <v>0</v>
      </c>
      <c r="AA76" s="564"/>
      <c r="AB76" s="560">
        <v>0</v>
      </c>
      <c r="AC76" s="564"/>
      <c r="AD76" s="560">
        <v>0</v>
      </c>
      <c r="AE76" s="561"/>
    </row>
    <row r="77" spans="2:31" hidden="1" x14ac:dyDescent="0.25">
      <c r="B77" s="565" t="s">
        <v>59</v>
      </c>
      <c r="C77" s="566"/>
      <c r="D77" s="560">
        <v>0</v>
      </c>
      <c r="E77" s="564"/>
      <c r="F77" s="560">
        <v>0</v>
      </c>
      <c r="G77" s="564"/>
      <c r="H77" s="560">
        <v>0</v>
      </c>
      <c r="I77" s="564"/>
      <c r="J77" s="560">
        <v>0</v>
      </c>
      <c r="K77" s="564"/>
      <c r="L77" s="560">
        <v>0</v>
      </c>
      <c r="M77" s="564"/>
      <c r="N77" s="560">
        <v>0</v>
      </c>
      <c r="O77" s="564"/>
      <c r="P77" s="560">
        <v>0</v>
      </c>
      <c r="Q77" s="564"/>
      <c r="R77" s="560">
        <v>0</v>
      </c>
      <c r="S77" s="564"/>
      <c r="T77" s="560">
        <v>0</v>
      </c>
      <c r="U77" s="564"/>
      <c r="V77" s="560">
        <v>0</v>
      </c>
      <c r="W77" s="564"/>
      <c r="X77" s="560">
        <v>0</v>
      </c>
      <c r="Y77" s="564"/>
      <c r="Z77" s="560">
        <v>0</v>
      </c>
      <c r="AA77" s="564"/>
      <c r="AB77" s="560">
        <v>0</v>
      </c>
      <c r="AC77" s="564"/>
      <c r="AD77" s="560">
        <v>0</v>
      </c>
      <c r="AE77" s="561"/>
    </row>
    <row r="78" spans="2:31" hidden="1" x14ac:dyDescent="0.25">
      <c r="B78" s="565" t="s">
        <v>59</v>
      </c>
      <c r="C78" s="566"/>
      <c r="D78" s="560">
        <v>0</v>
      </c>
      <c r="E78" s="564"/>
      <c r="F78" s="560">
        <v>0</v>
      </c>
      <c r="G78" s="564"/>
      <c r="H78" s="560">
        <v>0</v>
      </c>
      <c r="I78" s="564"/>
      <c r="J78" s="560">
        <v>0</v>
      </c>
      <c r="K78" s="564"/>
      <c r="L78" s="560">
        <v>0</v>
      </c>
      <c r="M78" s="564"/>
      <c r="N78" s="560">
        <v>0</v>
      </c>
      <c r="O78" s="564"/>
      <c r="P78" s="560">
        <v>0</v>
      </c>
      <c r="Q78" s="564"/>
      <c r="R78" s="560">
        <v>0</v>
      </c>
      <c r="S78" s="564"/>
      <c r="T78" s="560">
        <v>0</v>
      </c>
      <c r="U78" s="564"/>
      <c r="V78" s="560">
        <v>0</v>
      </c>
      <c r="W78" s="564"/>
      <c r="X78" s="560">
        <v>0</v>
      </c>
      <c r="Y78" s="564"/>
      <c r="Z78" s="560">
        <v>0</v>
      </c>
      <c r="AA78" s="564"/>
      <c r="AB78" s="560">
        <v>0</v>
      </c>
      <c r="AC78" s="564"/>
      <c r="AD78" s="560">
        <v>0</v>
      </c>
      <c r="AE78" s="561"/>
    </row>
    <row r="79" spans="2:31" hidden="1" x14ac:dyDescent="0.25">
      <c r="B79" s="565" t="s">
        <v>59</v>
      </c>
      <c r="C79" s="566"/>
      <c r="D79" s="560">
        <v>0</v>
      </c>
      <c r="E79" s="564"/>
      <c r="F79" s="560">
        <v>0</v>
      </c>
      <c r="G79" s="564"/>
      <c r="H79" s="560">
        <v>0</v>
      </c>
      <c r="I79" s="564"/>
      <c r="J79" s="560">
        <v>0</v>
      </c>
      <c r="K79" s="564"/>
      <c r="L79" s="560">
        <v>0</v>
      </c>
      <c r="M79" s="564"/>
      <c r="N79" s="560">
        <v>0</v>
      </c>
      <c r="O79" s="564"/>
      <c r="P79" s="560">
        <v>0</v>
      </c>
      <c r="Q79" s="564"/>
      <c r="R79" s="560">
        <v>0</v>
      </c>
      <c r="S79" s="564"/>
      <c r="T79" s="560">
        <v>0</v>
      </c>
      <c r="U79" s="564"/>
      <c r="V79" s="560">
        <v>0</v>
      </c>
      <c r="W79" s="564"/>
      <c r="X79" s="560">
        <v>0</v>
      </c>
      <c r="Y79" s="564"/>
      <c r="Z79" s="560">
        <v>0</v>
      </c>
      <c r="AA79" s="564"/>
      <c r="AB79" s="560">
        <v>0</v>
      </c>
      <c r="AC79" s="564"/>
      <c r="AD79" s="560">
        <v>0</v>
      </c>
      <c r="AE79" s="561"/>
    </row>
    <row r="80" spans="2:31" hidden="1" x14ac:dyDescent="0.25">
      <c r="B80" s="565" t="s">
        <v>59</v>
      </c>
      <c r="C80" s="566"/>
      <c r="D80" s="560">
        <v>0</v>
      </c>
      <c r="E80" s="564"/>
      <c r="F80" s="560">
        <v>0</v>
      </c>
      <c r="G80" s="564"/>
      <c r="H80" s="560">
        <v>0</v>
      </c>
      <c r="I80" s="564"/>
      <c r="J80" s="560">
        <v>0</v>
      </c>
      <c r="K80" s="564"/>
      <c r="L80" s="560">
        <v>0</v>
      </c>
      <c r="M80" s="564"/>
      <c r="N80" s="560">
        <v>0</v>
      </c>
      <c r="O80" s="564"/>
      <c r="P80" s="560">
        <v>0</v>
      </c>
      <c r="Q80" s="564"/>
      <c r="R80" s="560">
        <v>0</v>
      </c>
      <c r="S80" s="564"/>
      <c r="T80" s="560">
        <v>0</v>
      </c>
      <c r="U80" s="564"/>
      <c r="V80" s="560">
        <v>0</v>
      </c>
      <c r="W80" s="564"/>
      <c r="X80" s="560">
        <v>0</v>
      </c>
      <c r="Y80" s="564"/>
      <c r="Z80" s="560">
        <v>0</v>
      </c>
      <c r="AA80" s="564"/>
      <c r="AB80" s="560">
        <v>0</v>
      </c>
      <c r="AC80" s="564"/>
      <c r="AD80" s="560">
        <v>0</v>
      </c>
      <c r="AE80" s="561"/>
    </row>
    <row r="81" spans="2:33" hidden="1" x14ac:dyDescent="0.25">
      <c r="B81" s="562" t="s">
        <v>59</v>
      </c>
      <c r="C81" s="563"/>
      <c r="D81" s="557">
        <v>0</v>
      </c>
      <c r="E81" s="558"/>
      <c r="F81" s="557">
        <v>0</v>
      </c>
      <c r="G81" s="558"/>
      <c r="H81" s="557">
        <v>0</v>
      </c>
      <c r="I81" s="558"/>
      <c r="J81" s="557">
        <v>0</v>
      </c>
      <c r="K81" s="558"/>
      <c r="L81" s="557">
        <v>0</v>
      </c>
      <c r="M81" s="558"/>
      <c r="N81" s="557">
        <v>0</v>
      </c>
      <c r="O81" s="558"/>
      <c r="P81" s="557">
        <v>0</v>
      </c>
      <c r="Q81" s="558"/>
      <c r="R81" s="557">
        <v>0</v>
      </c>
      <c r="S81" s="558"/>
      <c r="T81" s="557">
        <v>0</v>
      </c>
      <c r="U81" s="558"/>
      <c r="V81" s="557">
        <v>0</v>
      </c>
      <c r="W81" s="558"/>
      <c r="X81" s="557">
        <v>0</v>
      </c>
      <c r="Y81" s="558"/>
      <c r="Z81" s="557">
        <v>0</v>
      </c>
      <c r="AA81" s="558"/>
      <c r="AB81" s="557">
        <v>0</v>
      </c>
      <c r="AC81" s="558"/>
      <c r="AD81" s="557">
        <v>0</v>
      </c>
      <c r="AE81" s="559"/>
    </row>
    <row r="82" spans="2:33" hidden="1" x14ac:dyDescent="0.25"/>
    <row r="83" spans="2:33" ht="15" customHeight="1" x14ac:dyDescent="0.25">
      <c r="B83" s="497" t="s">
        <v>1062</v>
      </c>
      <c r="C83" s="498"/>
      <c r="D83" s="498"/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98"/>
      <c r="Y83" s="498"/>
      <c r="Z83" s="498"/>
      <c r="AA83" s="498"/>
      <c r="AB83" s="498"/>
      <c r="AC83" s="498"/>
      <c r="AD83" s="498"/>
      <c r="AE83" s="499"/>
    </row>
    <row r="84" spans="2:33" ht="15.75" x14ac:dyDescent="0.25">
      <c r="B84" s="300" t="s">
        <v>816</v>
      </c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7"/>
    </row>
    <row r="85" spans="2:33" ht="24.75" customHeight="1" thickBot="1" x14ac:dyDescent="0.25">
      <c r="B85" s="547" t="s">
        <v>817</v>
      </c>
      <c r="C85" s="529"/>
      <c r="D85" s="529" t="s">
        <v>818</v>
      </c>
      <c r="E85" s="529"/>
      <c r="F85" s="529" t="s">
        <v>443</v>
      </c>
      <c r="G85" s="529"/>
      <c r="H85" s="529" t="s">
        <v>56</v>
      </c>
      <c r="I85" s="529"/>
      <c r="J85" s="529" t="s">
        <v>40</v>
      </c>
      <c r="K85" s="529"/>
      <c r="L85" s="529"/>
      <c r="M85" s="529" t="s">
        <v>893</v>
      </c>
      <c r="N85" s="529"/>
      <c r="O85" s="529"/>
      <c r="P85" s="529"/>
      <c r="Q85" s="529"/>
      <c r="R85" s="529"/>
      <c r="S85" s="529"/>
      <c r="T85" s="529" t="s">
        <v>52</v>
      </c>
      <c r="U85" s="529"/>
      <c r="V85" s="529"/>
      <c r="W85" s="529"/>
      <c r="X85" s="529"/>
      <c r="Y85" s="529"/>
      <c r="Z85" s="529" t="s">
        <v>262</v>
      </c>
      <c r="AA85" s="529"/>
      <c r="AB85" s="529" t="s">
        <v>221</v>
      </c>
      <c r="AC85" s="529"/>
      <c r="AD85" s="529" t="s">
        <v>53</v>
      </c>
      <c r="AE85" s="530"/>
      <c r="AG85" s="278" t="s">
        <v>899</v>
      </c>
    </row>
    <row r="86" spans="2:33" ht="13.5" thickTop="1" x14ac:dyDescent="0.25">
      <c r="B86" s="531" t="s">
        <v>1106</v>
      </c>
      <c r="C86" s="532"/>
      <c r="D86" s="533" t="s">
        <v>1097</v>
      </c>
      <c r="E86" s="532"/>
      <c r="F86" s="533" t="s">
        <v>1096</v>
      </c>
      <c r="G86" s="532"/>
      <c r="H86" s="533" t="s">
        <v>1107</v>
      </c>
      <c r="I86" s="532"/>
      <c r="J86" s="534" t="s">
        <v>411</v>
      </c>
      <c r="K86" s="535"/>
      <c r="L86" s="536"/>
      <c r="M86" s="534" t="s">
        <v>988</v>
      </c>
      <c r="N86" s="535"/>
      <c r="O86" s="535"/>
      <c r="P86" s="535"/>
      <c r="Q86" s="535"/>
      <c r="R86" s="535"/>
      <c r="S86" s="536"/>
      <c r="T86" s="534" t="s">
        <v>457</v>
      </c>
      <c r="U86" s="535"/>
      <c r="V86" s="535"/>
      <c r="W86" s="535"/>
      <c r="X86" s="535"/>
      <c r="Y86" s="536"/>
      <c r="Z86" s="541">
        <v>0</v>
      </c>
      <c r="AA86" s="556"/>
      <c r="AB86" s="541">
        <v>0</v>
      </c>
      <c r="AC86" s="556"/>
      <c r="AD86" s="541">
        <v>5000000</v>
      </c>
      <c r="AE86" s="542"/>
      <c r="AG86" s="279" t="s">
        <v>1113</v>
      </c>
    </row>
    <row r="87" spans="2:33" hidden="1" x14ac:dyDescent="0.25">
      <c r="B87" s="517" t="s">
        <v>59</v>
      </c>
      <c r="C87" s="518"/>
      <c r="D87" s="519" t="s">
        <v>59</v>
      </c>
      <c r="E87" s="518"/>
      <c r="F87" s="519" t="s">
        <v>59</v>
      </c>
      <c r="G87" s="518"/>
      <c r="H87" s="519" t="s">
        <v>59</v>
      </c>
      <c r="I87" s="518"/>
      <c r="J87" s="526" t="s">
        <v>59</v>
      </c>
      <c r="K87" s="527"/>
      <c r="L87" s="528"/>
      <c r="M87" s="526" t="s">
        <v>59</v>
      </c>
      <c r="N87" s="527"/>
      <c r="O87" s="527"/>
      <c r="P87" s="527"/>
      <c r="Q87" s="527"/>
      <c r="R87" s="527"/>
      <c r="S87" s="528"/>
      <c r="T87" s="526" t="s">
        <v>59</v>
      </c>
      <c r="U87" s="527"/>
      <c r="V87" s="527"/>
      <c r="W87" s="527"/>
      <c r="X87" s="527"/>
      <c r="Y87" s="528"/>
      <c r="Z87" s="506" t="s">
        <v>59</v>
      </c>
      <c r="AA87" s="555"/>
      <c r="AB87" s="506" t="s">
        <v>59</v>
      </c>
      <c r="AC87" s="555"/>
      <c r="AD87" s="506" t="s">
        <v>59</v>
      </c>
      <c r="AE87" s="507"/>
      <c r="AG87" s="279"/>
    </row>
    <row r="88" spans="2:33" hidden="1" x14ac:dyDescent="0.25">
      <c r="B88" s="517" t="s">
        <v>59</v>
      </c>
      <c r="C88" s="518"/>
      <c r="D88" s="519" t="s">
        <v>59</v>
      </c>
      <c r="E88" s="518"/>
      <c r="F88" s="519" t="s">
        <v>59</v>
      </c>
      <c r="G88" s="518"/>
      <c r="H88" s="519" t="s">
        <v>59</v>
      </c>
      <c r="I88" s="518"/>
      <c r="J88" s="526" t="s">
        <v>59</v>
      </c>
      <c r="K88" s="527"/>
      <c r="L88" s="528"/>
      <c r="M88" s="526" t="s">
        <v>59</v>
      </c>
      <c r="N88" s="527"/>
      <c r="O88" s="527"/>
      <c r="P88" s="527"/>
      <c r="Q88" s="527"/>
      <c r="R88" s="527"/>
      <c r="S88" s="528"/>
      <c r="T88" s="526" t="s">
        <v>59</v>
      </c>
      <c r="U88" s="527"/>
      <c r="V88" s="527"/>
      <c r="W88" s="527"/>
      <c r="X88" s="527"/>
      <c r="Y88" s="528"/>
      <c r="Z88" s="506" t="s">
        <v>59</v>
      </c>
      <c r="AA88" s="555"/>
      <c r="AB88" s="506" t="s">
        <v>59</v>
      </c>
      <c r="AC88" s="555"/>
      <c r="AD88" s="506" t="s">
        <v>59</v>
      </c>
      <c r="AE88" s="507"/>
      <c r="AG88" s="279"/>
    </row>
    <row r="89" spans="2:33" hidden="1" x14ac:dyDescent="0.25">
      <c r="B89" s="517" t="s">
        <v>59</v>
      </c>
      <c r="C89" s="518"/>
      <c r="D89" s="519" t="s">
        <v>59</v>
      </c>
      <c r="E89" s="518"/>
      <c r="F89" s="519" t="s">
        <v>59</v>
      </c>
      <c r="G89" s="518"/>
      <c r="H89" s="519" t="s">
        <v>59</v>
      </c>
      <c r="I89" s="518"/>
      <c r="J89" s="526" t="s">
        <v>59</v>
      </c>
      <c r="K89" s="527"/>
      <c r="L89" s="528"/>
      <c r="M89" s="526" t="s">
        <v>59</v>
      </c>
      <c r="N89" s="527"/>
      <c r="O89" s="527"/>
      <c r="P89" s="527"/>
      <c r="Q89" s="527"/>
      <c r="R89" s="527"/>
      <c r="S89" s="528"/>
      <c r="T89" s="526" t="s">
        <v>59</v>
      </c>
      <c r="U89" s="527"/>
      <c r="V89" s="527"/>
      <c r="W89" s="527"/>
      <c r="X89" s="527"/>
      <c r="Y89" s="528"/>
      <c r="Z89" s="506" t="s">
        <v>59</v>
      </c>
      <c r="AA89" s="555"/>
      <c r="AB89" s="506" t="s">
        <v>59</v>
      </c>
      <c r="AC89" s="555"/>
      <c r="AD89" s="506" t="s">
        <v>59</v>
      </c>
      <c r="AE89" s="507"/>
      <c r="AG89" s="279"/>
    </row>
    <row r="90" spans="2:33" hidden="1" x14ac:dyDescent="0.25">
      <c r="B90" s="517" t="s">
        <v>59</v>
      </c>
      <c r="C90" s="518"/>
      <c r="D90" s="519" t="s">
        <v>59</v>
      </c>
      <c r="E90" s="518"/>
      <c r="F90" s="519" t="s">
        <v>59</v>
      </c>
      <c r="G90" s="518"/>
      <c r="H90" s="519" t="s">
        <v>59</v>
      </c>
      <c r="I90" s="518"/>
      <c r="J90" s="526" t="s">
        <v>59</v>
      </c>
      <c r="K90" s="527"/>
      <c r="L90" s="528"/>
      <c r="M90" s="526" t="s">
        <v>59</v>
      </c>
      <c r="N90" s="527"/>
      <c r="O90" s="527"/>
      <c r="P90" s="527"/>
      <c r="Q90" s="527"/>
      <c r="R90" s="527"/>
      <c r="S90" s="528"/>
      <c r="T90" s="526" t="s">
        <v>59</v>
      </c>
      <c r="U90" s="527"/>
      <c r="V90" s="527"/>
      <c r="W90" s="527"/>
      <c r="X90" s="527"/>
      <c r="Y90" s="528"/>
      <c r="Z90" s="506" t="s">
        <v>59</v>
      </c>
      <c r="AA90" s="555"/>
      <c r="AB90" s="506" t="s">
        <v>59</v>
      </c>
      <c r="AC90" s="555"/>
      <c r="AD90" s="506" t="s">
        <v>59</v>
      </c>
      <c r="AE90" s="507"/>
      <c r="AG90" s="279"/>
    </row>
    <row r="91" spans="2:33" hidden="1" x14ac:dyDescent="0.25">
      <c r="B91" s="517" t="s">
        <v>59</v>
      </c>
      <c r="C91" s="518"/>
      <c r="D91" s="519" t="s">
        <v>59</v>
      </c>
      <c r="E91" s="518"/>
      <c r="F91" s="519" t="s">
        <v>59</v>
      </c>
      <c r="G91" s="518"/>
      <c r="H91" s="519" t="s">
        <v>59</v>
      </c>
      <c r="I91" s="518"/>
      <c r="J91" s="526" t="s">
        <v>59</v>
      </c>
      <c r="K91" s="527"/>
      <c r="L91" s="528"/>
      <c r="M91" s="526" t="s">
        <v>59</v>
      </c>
      <c r="N91" s="527"/>
      <c r="O91" s="527"/>
      <c r="P91" s="527"/>
      <c r="Q91" s="527"/>
      <c r="R91" s="527"/>
      <c r="S91" s="528"/>
      <c r="T91" s="526" t="s">
        <v>59</v>
      </c>
      <c r="U91" s="527"/>
      <c r="V91" s="527"/>
      <c r="W91" s="527"/>
      <c r="X91" s="527"/>
      <c r="Y91" s="528"/>
      <c r="Z91" s="506" t="s">
        <v>59</v>
      </c>
      <c r="AA91" s="555"/>
      <c r="AB91" s="506" t="s">
        <v>59</v>
      </c>
      <c r="AC91" s="555"/>
      <c r="AD91" s="506" t="s">
        <v>59</v>
      </c>
      <c r="AE91" s="507"/>
      <c r="AG91" s="279"/>
    </row>
    <row r="92" spans="2:33" hidden="1" x14ac:dyDescent="0.25">
      <c r="B92" s="517" t="s">
        <v>59</v>
      </c>
      <c r="C92" s="518"/>
      <c r="D92" s="519" t="s">
        <v>59</v>
      </c>
      <c r="E92" s="518"/>
      <c r="F92" s="519" t="s">
        <v>59</v>
      </c>
      <c r="G92" s="518"/>
      <c r="H92" s="519" t="s">
        <v>59</v>
      </c>
      <c r="I92" s="518"/>
      <c r="J92" s="526" t="s">
        <v>59</v>
      </c>
      <c r="K92" s="527"/>
      <c r="L92" s="528"/>
      <c r="M92" s="526" t="s">
        <v>59</v>
      </c>
      <c r="N92" s="527"/>
      <c r="O92" s="527"/>
      <c r="P92" s="527"/>
      <c r="Q92" s="527"/>
      <c r="R92" s="527"/>
      <c r="S92" s="528"/>
      <c r="T92" s="526" t="s">
        <v>59</v>
      </c>
      <c r="U92" s="527"/>
      <c r="V92" s="527"/>
      <c r="W92" s="527"/>
      <c r="X92" s="527"/>
      <c r="Y92" s="528"/>
      <c r="Z92" s="506" t="s">
        <v>59</v>
      </c>
      <c r="AA92" s="555"/>
      <c r="AB92" s="506" t="s">
        <v>59</v>
      </c>
      <c r="AC92" s="555"/>
      <c r="AD92" s="506" t="s">
        <v>59</v>
      </c>
      <c r="AE92" s="507"/>
      <c r="AG92" s="279"/>
    </row>
    <row r="93" spans="2:33" hidden="1" x14ac:dyDescent="0.25">
      <c r="B93" s="517" t="s">
        <v>59</v>
      </c>
      <c r="C93" s="518"/>
      <c r="D93" s="519" t="s">
        <v>59</v>
      </c>
      <c r="E93" s="518"/>
      <c r="F93" s="519" t="s">
        <v>59</v>
      </c>
      <c r="G93" s="518"/>
      <c r="H93" s="519" t="s">
        <v>59</v>
      </c>
      <c r="I93" s="518"/>
      <c r="J93" s="526" t="s">
        <v>59</v>
      </c>
      <c r="K93" s="527"/>
      <c r="L93" s="528"/>
      <c r="M93" s="526" t="s">
        <v>59</v>
      </c>
      <c r="N93" s="527"/>
      <c r="O93" s="527"/>
      <c r="P93" s="527"/>
      <c r="Q93" s="527"/>
      <c r="R93" s="527"/>
      <c r="S93" s="528"/>
      <c r="T93" s="526" t="s">
        <v>59</v>
      </c>
      <c r="U93" s="527"/>
      <c r="V93" s="527"/>
      <c r="W93" s="527"/>
      <c r="X93" s="527"/>
      <c r="Y93" s="528"/>
      <c r="Z93" s="506" t="s">
        <v>59</v>
      </c>
      <c r="AA93" s="555"/>
      <c r="AB93" s="506" t="s">
        <v>59</v>
      </c>
      <c r="AC93" s="555"/>
      <c r="AD93" s="506" t="s">
        <v>59</v>
      </c>
      <c r="AE93" s="507"/>
      <c r="AG93" s="279"/>
    </row>
    <row r="94" spans="2:33" hidden="1" x14ac:dyDescent="0.25">
      <c r="B94" s="517" t="s">
        <v>59</v>
      </c>
      <c r="C94" s="518"/>
      <c r="D94" s="519" t="s">
        <v>59</v>
      </c>
      <c r="E94" s="518"/>
      <c r="F94" s="519" t="s">
        <v>59</v>
      </c>
      <c r="G94" s="518"/>
      <c r="H94" s="519" t="s">
        <v>59</v>
      </c>
      <c r="I94" s="518"/>
      <c r="J94" s="526" t="s">
        <v>59</v>
      </c>
      <c r="K94" s="527"/>
      <c r="L94" s="528"/>
      <c r="M94" s="526" t="s">
        <v>59</v>
      </c>
      <c r="N94" s="527"/>
      <c r="O94" s="527"/>
      <c r="P94" s="527"/>
      <c r="Q94" s="527"/>
      <c r="R94" s="527"/>
      <c r="S94" s="528"/>
      <c r="T94" s="526" t="s">
        <v>59</v>
      </c>
      <c r="U94" s="527"/>
      <c r="V94" s="527"/>
      <c r="W94" s="527"/>
      <c r="X94" s="527"/>
      <c r="Y94" s="528"/>
      <c r="Z94" s="506" t="s">
        <v>59</v>
      </c>
      <c r="AA94" s="555"/>
      <c r="AB94" s="506" t="s">
        <v>59</v>
      </c>
      <c r="AC94" s="555"/>
      <c r="AD94" s="506" t="s">
        <v>59</v>
      </c>
      <c r="AE94" s="507"/>
      <c r="AG94" s="279"/>
    </row>
    <row r="95" spans="2:33" hidden="1" x14ac:dyDescent="0.25">
      <c r="B95" s="517" t="s">
        <v>59</v>
      </c>
      <c r="C95" s="518"/>
      <c r="D95" s="519" t="s">
        <v>59</v>
      </c>
      <c r="E95" s="518"/>
      <c r="F95" s="519" t="s">
        <v>59</v>
      </c>
      <c r="G95" s="518"/>
      <c r="H95" s="519" t="s">
        <v>59</v>
      </c>
      <c r="I95" s="518"/>
      <c r="J95" s="526" t="s">
        <v>59</v>
      </c>
      <c r="K95" s="527"/>
      <c r="L95" s="528"/>
      <c r="M95" s="526" t="s">
        <v>59</v>
      </c>
      <c r="N95" s="527"/>
      <c r="O95" s="527"/>
      <c r="P95" s="527"/>
      <c r="Q95" s="527"/>
      <c r="R95" s="527"/>
      <c r="S95" s="528"/>
      <c r="T95" s="526" t="s">
        <v>59</v>
      </c>
      <c r="U95" s="527"/>
      <c r="V95" s="527"/>
      <c r="W95" s="527"/>
      <c r="X95" s="527"/>
      <c r="Y95" s="528"/>
      <c r="Z95" s="506" t="s">
        <v>59</v>
      </c>
      <c r="AA95" s="555"/>
      <c r="AB95" s="506" t="s">
        <v>59</v>
      </c>
      <c r="AC95" s="555"/>
      <c r="AD95" s="506" t="s">
        <v>59</v>
      </c>
      <c r="AE95" s="507"/>
      <c r="AG95" s="279"/>
    </row>
    <row r="96" spans="2:33" hidden="1" x14ac:dyDescent="0.25">
      <c r="B96" s="517" t="s">
        <v>59</v>
      </c>
      <c r="C96" s="518"/>
      <c r="D96" s="519" t="s">
        <v>59</v>
      </c>
      <c r="E96" s="518"/>
      <c r="F96" s="519" t="s">
        <v>59</v>
      </c>
      <c r="G96" s="518"/>
      <c r="H96" s="519" t="s">
        <v>59</v>
      </c>
      <c r="I96" s="518"/>
      <c r="J96" s="526" t="s">
        <v>59</v>
      </c>
      <c r="K96" s="527"/>
      <c r="L96" s="528"/>
      <c r="M96" s="526" t="s">
        <v>59</v>
      </c>
      <c r="N96" s="527"/>
      <c r="O96" s="527"/>
      <c r="P96" s="527"/>
      <c r="Q96" s="527"/>
      <c r="R96" s="527"/>
      <c r="S96" s="528"/>
      <c r="T96" s="526" t="s">
        <v>59</v>
      </c>
      <c r="U96" s="527"/>
      <c r="V96" s="527"/>
      <c r="W96" s="527"/>
      <c r="X96" s="527"/>
      <c r="Y96" s="528"/>
      <c r="Z96" s="506" t="s">
        <v>59</v>
      </c>
      <c r="AA96" s="555"/>
      <c r="AB96" s="506" t="s">
        <v>59</v>
      </c>
      <c r="AC96" s="555"/>
      <c r="AD96" s="506" t="s">
        <v>59</v>
      </c>
      <c r="AE96" s="507"/>
      <c r="AG96" s="279"/>
    </row>
    <row r="97" spans="2:33" hidden="1" x14ac:dyDescent="0.25">
      <c r="B97" s="517" t="s">
        <v>59</v>
      </c>
      <c r="C97" s="518"/>
      <c r="D97" s="519" t="s">
        <v>59</v>
      </c>
      <c r="E97" s="518"/>
      <c r="F97" s="519" t="s">
        <v>59</v>
      </c>
      <c r="G97" s="518"/>
      <c r="H97" s="519" t="s">
        <v>59</v>
      </c>
      <c r="I97" s="518"/>
      <c r="J97" s="526" t="s">
        <v>59</v>
      </c>
      <c r="K97" s="527"/>
      <c r="L97" s="528"/>
      <c r="M97" s="526" t="s">
        <v>59</v>
      </c>
      <c r="N97" s="527"/>
      <c r="O97" s="527"/>
      <c r="P97" s="527"/>
      <c r="Q97" s="527"/>
      <c r="R97" s="527"/>
      <c r="S97" s="528"/>
      <c r="T97" s="526" t="s">
        <v>59</v>
      </c>
      <c r="U97" s="527"/>
      <c r="V97" s="527"/>
      <c r="W97" s="527"/>
      <c r="X97" s="527"/>
      <c r="Y97" s="528"/>
      <c r="Z97" s="506" t="s">
        <v>59</v>
      </c>
      <c r="AA97" s="555"/>
      <c r="AB97" s="506" t="s">
        <v>59</v>
      </c>
      <c r="AC97" s="555"/>
      <c r="AD97" s="506" t="s">
        <v>59</v>
      </c>
      <c r="AE97" s="507"/>
      <c r="AG97" s="279"/>
    </row>
    <row r="98" spans="2:33" hidden="1" x14ac:dyDescent="0.25">
      <c r="B98" s="517" t="s">
        <v>59</v>
      </c>
      <c r="C98" s="518"/>
      <c r="D98" s="519" t="s">
        <v>59</v>
      </c>
      <c r="E98" s="518"/>
      <c r="F98" s="519" t="s">
        <v>59</v>
      </c>
      <c r="G98" s="518"/>
      <c r="H98" s="519" t="s">
        <v>59</v>
      </c>
      <c r="I98" s="518"/>
      <c r="J98" s="526" t="s">
        <v>59</v>
      </c>
      <c r="K98" s="527"/>
      <c r="L98" s="528"/>
      <c r="M98" s="526" t="s">
        <v>59</v>
      </c>
      <c r="N98" s="527"/>
      <c r="O98" s="527"/>
      <c r="P98" s="527"/>
      <c r="Q98" s="527"/>
      <c r="R98" s="527"/>
      <c r="S98" s="528"/>
      <c r="T98" s="526" t="s">
        <v>59</v>
      </c>
      <c r="U98" s="527"/>
      <c r="V98" s="527"/>
      <c r="W98" s="527"/>
      <c r="X98" s="527"/>
      <c r="Y98" s="528"/>
      <c r="Z98" s="506" t="s">
        <v>59</v>
      </c>
      <c r="AA98" s="555"/>
      <c r="AB98" s="506" t="s">
        <v>59</v>
      </c>
      <c r="AC98" s="555"/>
      <c r="AD98" s="506" t="s">
        <v>59</v>
      </c>
      <c r="AE98" s="507"/>
      <c r="AG98" s="279"/>
    </row>
    <row r="99" spans="2:33" hidden="1" x14ac:dyDescent="0.25">
      <c r="B99" s="517" t="s">
        <v>59</v>
      </c>
      <c r="C99" s="518"/>
      <c r="D99" s="519" t="s">
        <v>59</v>
      </c>
      <c r="E99" s="518"/>
      <c r="F99" s="519" t="s">
        <v>59</v>
      </c>
      <c r="G99" s="518"/>
      <c r="H99" s="519" t="s">
        <v>59</v>
      </c>
      <c r="I99" s="518"/>
      <c r="J99" s="526" t="s">
        <v>59</v>
      </c>
      <c r="K99" s="527"/>
      <c r="L99" s="528"/>
      <c r="M99" s="526" t="s">
        <v>59</v>
      </c>
      <c r="N99" s="527"/>
      <c r="O99" s="527"/>
      <c r="P99" s="527"/>
      <c r="Q99" s="527"/>
      <c r="R99" s="527"/>
      <c r="S99" s="528"/>
      <c r="T99" s="526" t="s">
        <v>59</v>
      </c>
      <c r="U99" s="527"/>
      <c r="V99" s="527"/>
      <c r="W99" s="527"/>
      <c r="X99" s="527"/>
      <c r="Y99" s="528"/>
      <c r="Z99" s="506" t="s">
        <v>59</v>
      </c>
      <c r="AA99" s="555"/>
      <c r="AB99" s="506" t="s">
        <v>59</v>
      </c>
      <c r="AC99" s="555"/>
      <c r="AD99" s="506" t="s">
        <v>59</v>
      </c>
      <c r="AE99" s="507"/>
      <c r="AG99" s="279"/>
    </row>
    <row r="100" spans="2:33" hidden="1" x14ac:dyDescent="0.25">
      <c r="B100" s="517" t="s">
        <v>59</v>
      </c>
      <c r="C100" s="518"/>
      <c r="D100" s="519" t="s">
        <v>59</v>
      </c>
      <c r="E100" s="518"/>
      <c r="F100" s="519" t="s">
        <v>59</v>
      </c>
      <c r="G100" s="518"/>
      <c r="H100" s="519" t="s">
        <v>59</v>
      </c>
      <c r="I100" s="518"/>
      <c r="J100" s="526" t="s">
        <v>59</v>
      </c>
      <c r="K100" s="527"/>
      <c r="L100" s="528"/>
      <c r="M100" s="526" t="s">
        <v>59</v>
      </c>
      <c r="N100" s="527"/>
      <c r="O100" s="527"/>
      <c r="P100" s="527"/>
      <c r="Q100" s="527"/>
      <c r="R100" s="527"/>
      <c r="S100" s="528"/>
      <c r="T100" s="526" t="s">
        <v>59</v>
      </c>
      <c r="U100" s="527"/>
      <c r="V100" s="527"/>
      <c r="W100" s="527"/>
      <c r="X100" s="527"/>
      <c r="Y100" s="528"/>
      <c r="Z100" s="506" t="s">
        <v>59</v>
      </c>
      <c r="AA100" s="555"/>
      <c r="AB100" s="506" t="s">
        <v>59</v>
      </c>
      <c r="AC100" s="555"/>
      <c r="AD100" s="506" t="s">
        <v>59</v>
      </c>
      <c r="AE100" s="507"/>
      <c r="AG100" s="279"/>
    </row>
    <row r="101" spans="2:33" hidden="1" x14ac:dyDescent="0.25">
      <c r="B101" s="517" t="s">
        <v>59</v>
      </c>
      <c r="C101" s="518"/>
      <c r="D101" s="519" t="s">
        <v>59</v>
      </c>
      <c r="E101" s="518"/>
      <c r="F101" s="519" t="s">
        <v>59</v>
      </c>
      <c r="G101" s="518"/>
      <c r="H101" s="519" t="s">
        <v>59</v>
      </c>
      <c r="I101" s="518"/>
      <c r="J101" s="526" t="s">
        <v>59</v>
      </c>
      <c r="K101" s="527"/>
      <c r="L101" s="528"/>
      <c r="M101" s="526" t="s">
        <v>59</v>
      </c>
      <c r="N101" s="527"/>
      <c r="O101" s="527"/>
      <c r="P101" s="527"/>
      <c r="Q101" s="527"/>
      <c r="R101" s="527"/>
      <c r="S101" s="528"/>
      <c r="T101" s="526" t="s">
        <v>59</v>
      </c>
      <c r="U101" s="527"/>
      <c r="V101" s="527"/>
      <c r="W101" s="527"/>
      <c r="X101" s="527"/>
      <c r="Y101" s="528"/>
      <c r="Z101" s="506" t="s">
        <v>59</v>
      </c>
      <c r="AA101" s="555"/>
      <c r="AB101" s="506" t="s">
        <v>59</v>
      </c>
      <c r="AC101" s="555"/>
      <c r="AD101" s="506" t="s">
        <v>59</v>
      </c>
      <c r="AE101" s="507"/>
      <c r="AG101" s="279"/>
    </row>
    <row r="102" spans="2:33" hidden="1" x14ac:dyDescent="0.25">
      <c r="B102" s="517" t="s">
        <v>59</v>
      </c>
      <c r="C102" s="518"/>
      <c r="D102" s="519" t="s">
        <v>59</v>
      </c>
      <c r="E102" s="518"/>
      <c r="F102" s="519" t="s">
        <v>59</v>
      </c>
      <c r="G102" s="518"/>
      <c r="H102" s="519" t="s">
        <v>59</v>
      </c>
      <c r="I102" s="518"/>
      <c r="J102" s="526" t="s">
        <v>59</v>
      </c>
      <c r="K102" s="527"/>
      <c r="L102" s="528"/>
      <c r="M102" s="526" t="s">
        <v>59</v>
      </c>
      <c r="N102" s="527"/>
      <c r="O102" s="527"/>
      <c r="P102" s="527"/>
      <c r="Q102" s="527"/>
      <c r="R102" s="527"/>
      <c r="S102" s="528"/>
      <c r="T102" s="526" t="s">
        <v>59</v>
      </c>
      <c r="U102" s="527"/>
      <c r="V102" s="527"/>
      <c r="W102" s="527"/>
      <c r="X102" s="527"/>
      <c r="Y102" s="528"/>
      <c r="Z102" s="506" t="s">
        <v>59</v>
      </c>
      <c r="AA102" s="555"/>
      <c r="AB102" s="506" t="s">
        <v>59</v>
      </c>
      <c r="AC102" s="555"/>
      <c r="AD102" s="506" t="s">
        <v>59</v>
      </c>
      <c r="AE102" s="507"/>
      <c r="AG102" s="279"/>
    </row>
    <row r="103" spans="2:33" hidden="1" x14ac:dyDescent="0.25">
      <c r="B103" s="517" t="s">
        <v>59</v>
      </c>
      <c r="C103" s="518"/>
      <c r="D103" s="519" t="s">
        <v>59</v>
      </c>
      <c r="E103" s="518"/>
      <c r="F103" s="519" t="s">
        <v>59</v>
      </c>
      <c r="G103" s="518"/>
      <c r="H103" s="519" t="s">
        <v>59</v>
      </c>
      <c r="I103" s="518"/>
      <c r="J103" s="526" t="s">
        <v>59</v>
      </c>
      <c r="K103" s="527"/>
      <c r="L103" s="528"/>
      <c r="M103" s="526" t="s">
        <v>59</v>
      </c>
      <c r="N103" s="527"/>
      <c r="O103" s="527"/>
      <c r="P103" s="527"/>
      <c r="Q103" s="527"/>
      <c r="R103" s="527"/>
      <c r="S103" s="528"/>
      <c r="T103" s="526" t="s">
        <v>59</v>
      </c>
      <c r="U103" s="527"/>
      <c r="V103" s="527"/>
      <c r="W103" s="527"/>
      <c r="X103" s="527"/>
      <c r="Y103" s="528"/>
      <c r="Z103" s="506" t="s">
        <v>59</v>
      </c>
      <c r="AA103" s="555"/>
      <c r="AB103" s="506" t="s">
        <v>59</v>
      </c>
      <c r="AC103" s="555"/>
      <c r="AD103" s="506" t="s">
        <v>59</v>
      </c>
      <c r="AE103" s="507"/>
      <c r="AG103" s="279"/>
    </row>
    <row r="104" spans="2:33" hidden="1" x14ac:dyDescent="0.25">
      <c r="B104" s="517" t="s">
        <v>59</v>
      </c>
      <c r="C104" s="518"/>
      <c r="D104" s="519" t="s">
        <v>59</v>
      </c>
      <c r="E104" s="518"/>
      <c r="F104" s="519" t="s">
        <v>59</v>
      </c>
      <c r="G104" s="518"/>
      <c r="H104" s="519" t="s">
        <v>59</v>
      </c>
      <c r="I104" s="518"/>
      <c r="J104" s="526" t="s">
        <v>59</v>
      </c>
      <c r="K104" s="527"/>
      <c r="L104" s="528"/>
      <c r="M104" s="526" t="s">
        <v>59</v>
      </c>
      <c r="N104" s="527"/>
      <c r="O104" s="527"/>
      <c r="P104" s="527"/>
      <c r="Q104" s="527"/>
      <c r="R104" s="527"/>
      <c r="S104" s="528"/>
      <c r="T104" s="526" t="s">
        <v>59</v>
      </c>
      <c r="U104" s="527"/>
      <c r="V104" s="527"/>
      <c r="W104" s="527"/>
      <c r="X104" s="527"/>
      <c r="Y104" s="528"/>
      <c r="Z104" s="506" t="s">
        <v>59</v>
      </c>
      <c r="AA104" s="555"/>
      <c r="AB104" s="506" t="s">
        <v>59</v>
      </c>
      <c r="AC104" s="555"/>
      <c r="AD104" s="506" t="s">
        <v>59</v>
      </c>
      <c r="AE104" s="507"/>
      <c r="AG104" s="279"/>
    </row>
    <row r="105" spans="2:33" hidden="1" x14ac:dyDescent="0.25">
      <c r="B105" s="517" t="s">
        <v>59</v>
      </c>
      <c r="C105" s="518"/>
      <c r="D105" s="519" t="s">
        <v>59</v>
      </c>
      <c r="E105" s="518"/>
      <c r="F105" s="519" t="s">
        <v>59</v>
      </c>
      <c r="G105" s="518"/>
      <c r="H105" s="519" t="s">
        <v>59</v>
      </c>
      <c r="I105" s="518"/>
      <c r="J105" s="526" t="s">
        <v>59</v>
      </c>
      <c r="K105" s="527"/>
      <c r="L105" s="528"/>
      <c r="M105" s="526" t="s">
        <v>59</v>
      </c>
      <c r="N105" s="527"/>
      <c r="O105" s="527"/>
      <c r="P105" s="527"/>
      <c r="Q105" s="527"/>
      <c r="R105" s="527"/>
      <c r="S105" s="528"/>
      <c r="T105" s="526" t="s">
        <v>59</v>
      </c>
      <c r="U105" s="527"/>
      <c r="V105" s="527"/>
      <c r="W105" s="527"/>
      <c r="X105" s="527"/>
      <c r="Y105" s="528"/>
      <c r="Z105" s="506" t="s">
        <v>59</v>
      </c>
      <c r="AA105" s="555"/>
      <c r="AB105" s="506" t="s">
        <v>59</v>
      </c>
      <c r="AC105" s="555"/>
      <c r="AD105" s="506" t="s">
        <v>59</v>
      </c>
      <c r="AE105" s="507"/>
      <c r="AG105" s="279"/>
    </row>
    <row r="106" spans="2:33" hidden="1" x14ac:dyDescent="0.25">
      <c r="B106" s="517" t="s">
        <v>59</v>
      </c>
      <c r="C106" s="518"/>
      <c r="D106" s="519" t="s">
        <v>59</v>
      </c>
      <c r="E106" s="518"/>
      <c r="F106" s="519" t="s">
        <v>59</v>
      </c>
      <c r="G106" s="518"/>
      <c r="H106" s="519" t="s">
        <v>59</v>
      </c>
      <c r="I106" s="518"/>
      <c r="J106" s="526" t="s">
        <v>59</v>
      </c>
      <c r="K106" s="527"/>
      <c r="L106" s="528"/>
      <c r="M106" s="526" t="s">
        <v>59</v>
      </c>
      <c r="N106" s="527"/>
      <c r="O106" s="527"/>
      <c r="P106" s="527"/>
      <c r="Q106" s="527"/>
      <c r="R106" s="527"/>
      <c r="S106" s="528"/>
      <c r="T106" s="526" t="s">
        <v>59</v>
      </c>
      <c r="U106" s="527"/>
      <c r="V106" s="527"/>
      <c r="W106" s="527"/>
      <c r="X106" s="527"/>
      <c r="Y106" s="528"/>
      <c r="Z106" s="506" t="s">
        <v>59</v>
      </c>
      <c r="AA106" s="555"/>
      <c r="AB106" s="506" t="s">
        <v>59</v>
      </c>
      <c r="AC106" s="555"/>
      <c r="AD106" s="506" t="s">
        <v>59</v>
      </c>
      <c r="AE106" s="507"/>
      <c r="AG106" s="279"/>
    </row>
    <row r="107" spans="2:33" hidden="1" x14ac:dyDescent="0.25">
      <c r="B107" s="517" t="s">
        <v>59</v>
      </c>
      <c r="C107" s="518"/>
      <c r="D107" s="519" t="s">
        <v>59</v>
      </c>
      <c r="E107" s="518"/>
      <c r="F107" s="519" t="s">
        <v>59</v>
      </c>
      <c r="G107" s="518"/>
      <c r="H107" s="519" t="s">
        <v>59</v>
      </c>
      <c r="I107" s="518"/>
      <c r="J107" s="526" t="s">
        <v>59</v>
      </c>
      <c r="K107" s="527"/>
      <c r="L107" s="528"/>
      <c r="M107" s="526" t="s">
        <v>59</v>
      </c>
      <c r="N107" s="527"/>
      <c r="O107" s="527"/>
      <c r="P107" s="527"/>
      <c r="Q107" s="527"/>
      <c r="R107" s="527"/>
      <c r="S107" s="528"/>
      <c r="T107" s="526" t="s">
        <v>59</v>
      </c>
      <c r="U107" s="527"/>
      <c r="V107" s="527"/>
      <c r="W107" s="527"/>
      <c r="X107" s="527"/>
      <c r="Y107" s="528"/>
      <c r="Z107" s="506" t="s">
        <v>59</v>
      </c>
      <c r="AA107" s="555"/>
      <c r="AB107" s="506" t="s">
        <v>59</v>
      </c>
      <c r="AC107" s="555"/>
      <c r="AD107" s="506" t="s">
        <v>59</v>
      </c>
      <c r="AE107" s="507"/>
      <c r="AG107" s="279"/>
    </row>
    <row r="108" spans="2:33" hidden="1" x14ac:dyDescent="0.25">
      <c r="B108" s="517" t="s">
        <v>59</v>
      </c>
      <c r="C108" s="518"/>
      <c r="D108" s="519" t="s">
        <v>59</v>
      </c>
      <c r="E108" s="518"/>
      <c r="F108" s="519" t="s">
        <v>59</v>
      </c>
      <c r="G108" s="518"/>
      <c r="H108" s="519" t="s">
        <v>59</v>
      </c>
      <c r="I108" s="518"/>
      <c r="J108" s="526" t="s">
        <v>59</v>
      </c>
      <c r="K108" s="527"/>
      <c r="L108" s="528"/>
      <c r="M108" s="526" t="s">
        <v>59</v>
      </c>
      <c r="N108" s="527"/>
      <c r="O108" s="527"/>
      <c r="P108" s="527"/>
      <c r="Q108" s="527"/>
      <c r="R108" s="527"/>
      <c r="S108" s="528"/>
      <c r="T108" s="526" t="s">
        <v>59</v>
      </c>
      <c r="U108" s="527"/>
      <c r="V108" s="527"/>
      <c r="W108" s="527"/>
      <c r="X108" s="527"/>
      <c r="Y108" s="528"/>
      <c r="Z108" s="506" t="s">
        <v>59</v>
      </c>
      <c r="AA108" s="555"/>
      <c r="AB108" s="506" t="s">
        <v>59</v>
      </c>
      <c r="AC108" s="555"/>
      <c r="AD108" s="506" t="s">
        <v>59</v>
      </c>
      <c r="AE108" s="507"/>
      <c r="AG108" s="279"/>
    </row>
    <row r="109" spans="2:33" hidden="1" x14ac:dyDescent="0.25">
      <c r="B109" s="517" t="s">
        <v>59</v>
      </c>
      <c r="C109" s="518"/>
      <c r="D109" s="519" t="s">
        <v>59</v>
      </c>
      <c r="E109" s="518"/>
      <c r="F109" s="519" t="s">
        <v>59</v>
      </c>
      <c r="G109" s="518"/>
      <c r="H109" s="519" t="s">
        <v>59</v>
      </c>
      <c r="I109" s="518"/>
      <c r="J109" s="526" t="s">
        <v>59</v>
      </c>
      <c r="K109" s="527"/>
      <c r="L109" s="528"/>
      <c r="M109" s="526" t="s">
        <v>59</v>
      </c>
      <c r="N109" s="527"/>
      <c r="O109" s="527"/>
      <c r="P109" s="527"/>
      <c r="Q109" s="527"/>
      <c r="R109" s="527"/>
      <c r="S109" s="528"/>
      <c r="T109" s="526" t="s">
        <v>59</v>
      </c>
      <c r="U109" s="527"/>
      <c r="V109" s="527"/>
      <c r="W109" s="527"/>
      <c r="X109" s="527"/>
      <c r="Y109" s="528"/>
      <c r="Z109" s="506" t="s">
        <v>59</v>
      </c>
      <c r="AA109" s="555"/>
      <c r="AB109" s="506" t="s">
        <v>59</v>
      </c>
      <c r="AC109" s="555"/>
      <c r="AD109" s="506" t="s">
        <v>59</v>
      </c>
      <c r="AE109" s="507"/>
      <c r="AG109" s="279"/>
    </row>
    <row r="110" spans="2:33" hidden="1" x14ac:dyDescent="0.25">
      <c r="B110" s="517" t="s">
        <v>59</v>
      </c>
      <c r="C110" s="518"/>
      <c r="D110" s="519" t="s">
        <v>59</v>
      </c>
      <c r="E110" s="518"/>
      <c r="F110" s="519" t="s">
        <v>59</v>
      </c>
      <c r="G110" s="518"/>
      <c r="H110" s="519" t="s">
        <v>59</v>
      </c>
      <c r="I110" s="518"/>
      <c r="J110" s="526" t="s">
        <v>59</v>
      </c>
      <c r="K110" s="527"/>
      <c r="L110" s="528"/>
      <c r="M110" s="526" t="s">
        <v>59</v>
      </c>
      <c r="N110" s="527"/>
      <c r="O110" s="527"/>
      <c r="P110" s="527"/>
      <c r="Q110" s="527"/>
      <c r="R110" s="527"/>
      <c r="S110" s="528"/>
      <c r="T110" s="526" t="s">
        <v>59</v>
      </c>
      <c r="U110" s="527"/>
      <c r="V110" s="527"/>
      <c r="W110" s="527"/>
      <c r="X110" s="527"/>
      <c r="Y110" s="528"/>
      <c r="Z110" s="506" t="s">
        <v>59</v>
      </c>
      <c r="AA110" s="555"/>
      <c r="AB110" s="506" t="s">
        <v>59</v>
      </c>
      <c r="AC110" s="555"/>
      <c r="AD110" s="506" t="s">
        <v>59</v>
      </c>
      <c r="AE110" s="507"/>
      <c r="AG110" s="279"/>
    </row>
    <row r="111" spans="2:33" hidden="1" x14ac:dyDescent="0.25">
      <c r="B111" s="517" t="s">
        <v>59</v>
      </c>
      <c r="C111" s="518"/>
      <c r="D111" s="519" t="s">
        <v>59</v>
      </c>
      <c r="E111" s="518"/>
      <c r="F111" s="519" t="s">
        <v>59</v>
      </c>
      <c r="G111" s="518"/>
      <c r="H111" s="519" t="s">
        <v>59</v>
      </c>
      <c r="I111" s="518"/>
      <c r="J111" s="526" t="s">
        <v>59</v>
      </c>
      <c r="K111" s="527"/>
      <c r="L111" s="528"/>
      <c r="M111" s="526" t="s">
        <v>59</v>
      </c>
      <c r="N111" s="527"/>
      <c r="O111" s="527"/>
      <c r="P111" s="527"/>
      <c r="Q111" s="527"/>
      <c r="R111" s="527"/>
      <c r="S111" s="528"/>
      <c r="T111" s="526" t="s">
        <v>59</v>
      </c>
      <c r="U111" s="527"/>
      <c r="V111" s="527"/>
      <c r="W111" s="527"/>
      <c r="X111" s="527"/>
      <c r="Y111" s="528"/>
      <c r="Z111" s="506" t="s">
        <v>59</v>
      </c>
      <c r="AA111" s="555"/>
      <c r="AB111" s="506" t="s">
        <v>59</v>
      </c>
      <c r="AC111" s="555"/>
      <c r="AD111" s="506" t="s">
        <v>59</v>
      </c>
      <c r="AE111" s="507"/>
      <c r="AG111" s="279"/>
    </row>
    <row r="112" spans="2:33" hidden="1" x14ac:dyDescent="0.25">
      <c r="B112" s="517" t="s">
        <v>59</v>
      </c>
      <c r="C112" s="518"/>
      <c r="D112" s="519" t="s">
        <v>59</v>
      </c>
      <c r="E112" s="518"/>
      <c r="F112" s="519" t="s">
        <v>59</v>
      </c>
      <c r="G112" s="518"/>
      <c r="H112" s="519" t="s">
        <v>59</v>
      </c>
      <c r="I112" s="518"/>
      <c r="J112" s="526" t="s">
        <v>59</v>
      </c>
      <c r="K112" s="527"/>
      <c r="L112" s="528"/>
      <c r="M112" s="526" t="s">
        <v>59</v>
      </c>
      <c r="N112" s="527"/>
      <c r="O112" s="527"/>
      <c r="P112" s="527"/>
      <c r="Q112" s="527"/>
      <c r="R112" s="527"/>
      <c r="S112" s="528"/>
      <c r="T112" s="526" t="s">
        <v>59</v>
      </c>
      <c r="U112" s="527"/>
      <c r="V112" s="527"/>
      <c r="W112" s="527"/>
      <c r="X112" s="527"/>
      <c r="Y112" s="528"/>
      <c r="Z112" s="506" t="s">
        <v>59</v>
      </c>
      <c r="AA112" s="555"/>
      <c r="AB112" s="506" t="s">
        <v>59</v>
      </c>
      <c r="AC112" s="555"/>
      <c r="AD112" s="506" t="s">
        <v>59</v>
      </c>
      <c r="AE112" s="507"/>
      <c r="AG112" s="279"/>
    </row>
    <row r="113" spans="2:33" hidden="1" x14ac:dyDescent="0.25">
      <c r="B113" s="517" t="s">
        <v>59</v>
      </c>
      <c r="C113" s="518"/>
      <c r="D113" s="519" t="s">
        <v>59</v>
      </c>
      <c r="E113" s="518"/>
      <c r="F113" s="519" t="s">
        <v>59</v>
      </c>
      <c r="G113" s="518"/>
      <c r="H113" s="519" t="s">
        <v>59</v>
      </c>
      <c r="I113" s="518"/>
      <c r="J113" s="526" t="s">
        <v>59</v>
      </c>
      <c r="K113" s="527"/>
      <c r="L113" s="528"/>
      <c r="M113" s="526" t="s">
        <v>59</v>
      </c>
      <c r="N113" s="527"/>
      <c r="O113" s="527"/>
      <c r="P113" s="527"/>
      <c r="Q113" s="527"/>
      <c r="R113" s="527"/>
      <c r="S113" s="528"/>
      <c r="T113" s="526" t="s">
        <v>59</v>
      </c>
      <c r="U113" s="527"/>
      <c r="V113" s="527"/>
      <c r="W113" s="527"/>
      <c r="X113" s="527"/>
      <c r="Y113" s="528"/>
      <c r="Z113" s="506" t="s">
        <v>59</v>
      </c>
      <c r="AA113" s="555"/>
      <c r="AB113" s="506" t="s">
        <v>59</v>
      </c>
      <c r="AC113" s="555"/>
      <c r="AD113" s="506" t="s">
        <v>59</v>
      </c>
      <c r="AE113" s="507"/>
      <c r="AG113" s="279"/>
    </row>
    <row r="114" spans="2:33" hidden="1" x14ac:dyDescent="0.25">
      <c r="B114" s="517" t="s">
        <v>59</v>
      </c>
      <c r="C114" s="518"/>
      <c r="D114" s="519" t="s">
        <v>59</v>
      </c>
      <c r="E114" s="518"/>
      <c r="F114" s="519" t="s">
        <v>59</v>
      </c>
      <c r="G114" s="518"/>
      <c r="H114" s="519" t="s">
        <v>59</v>
      </c>
      <c r="I114" s="518"/>
      <c r="J114" s="526" t="s">
        <v>59</v>
      </c>
      <c r="K114" s="527"/>
      <c r="L114" s="528"/>
      <c r="M114" s="526" t="s">
        <v>59</v>
      </c>
      <c r="N114" s="527"/>
      <c r="O114" s="527"/>
      <c r="P114" s="527"/>
      <c r="Q114" s="527"/>
      <c r="R114" s="527"/>
      <c r="S114" s="528"/>
      <c r="T114" s="526" t="s">
        <v>59</v>
      </c>
      <c r="U114" s="527"/>
      <c r="V114" s="527"/>
      <c r="W114" s="527"/>
      <c r="X114" s="527"/>
      <c r="Y114" s="528"/>
      <c r="Z114" s="506" t="s">
        <v>59</v>
      </c>
      <c r="AA114" s="555"/>
      <c r="AB114" s="506" t="s">
        <v>59</v>
      </c>
      <c r="AC114" s="555"/>
      <c r="AD114" s="506" t="s">
        <v>59</v>
      </c>
      <c r="AE114" s="507"/>
      <c r="AG114" s="279"/>
    </row>
    <row r="115" spans="2:33" hidden="1" x14ac:dyDescent="0.25">
      <c r="B115" s="517" t="s">
        <v>59</v>
      </c>
      <c r="C115" s="518"/>
      <c r="D115" s="519" t="s">
        <v>59</v>
      </c>
      <c r="E115" s="518"/>
      <c r="F115" s="519" t="s">
        <v>59</v>
      </c>
      <c r="G115" s="518"/>
      <c r="H115" s="519" t="s">
        <v>59</v>
      </c>
      <c r="I115" s="518"/>
      <c r="J115" s="526" t="s">
        <v>59</v>
      </c>
      <c r="K115" s="527"/>
      <c r="L115" s="528"/>
      <c r="M115" s="526" t="s">
        <v>59</v>
      </c>
      <c r="N115" s="527"/>
      <c r="O115" s="527"/>
      <c r="P115" s="527"/>
      <c r="Q115" s="527"/>
      <c r="R115" s="527"/>
      <c r="S115" s="528"/>
      <c r="T115" s="526" t="s">
        <v>59</v>
      </c>
      <c r="U115" s="527"/>
      <c r="V115" s="527"/>
      <c r="W115" s="527"/>
      <c r="X115" s="527"/>
      <c r="Y115" s="528"/>
      <c r="Z115" s="506" t="s">
        <v>59</v>
      </c>
      <c r="AA115" s="555"/>
      <c r="AB115" s="506" t="s">
        <v>59</v>
      </c>
      <c r="AC115" s="555"/>
      <c r="AD115" s="506" t="s">
        <v>59</v>
      </c>
      <c r="AE115" s="507"/>
      <c r="AG115" s="279"/>
    </row>
    <row r="116" spans="2:33" hidden="1" x14ac:dyDescent="0.25">
      <c r="B116" s="548" t="s">
        <v>820</v>
      </c>
      <c r="C116" s="549"/>
      <c r="D116" s="549"/>
      <c r="E116" s="549"/>
      <c r="F116" s="549"/>
      <c r="G116" s="549"/>
      <c r="H116" s="549"/>
      <c r="I116" s="549"/>
      <c r="J116" s="526" t="s">
        <v>900</v>
      </c>
      <c r="K116" s="527"/>
      <c r="L116" s="528"/>
      <c r="M116" s="526" t="s">
        <v>900</v>
      </c>
      <c r="N116" s="527"/>
      <c r="O116" s="527"/>
      <c r="P116" s="527"/>
      <c r="Q116" s="527"/>
      <c r="R116" s="527"/>
      <c r="S116" s="528"/>
      <c r="T116" s="550" t="s">
        <v>900</v>
      </c>
      <c r="U116" s="550"/>
      <c r="V116" s="550"/>
      <c r="W116" s="550"/>
      <c r="X116" s="550"/>
      <c r="Y116" s="550"/>
      <c r="Z116" s="551">
        <v>0</v>
      </c>
      <c r="AA116" s="551"/>
      <c r="AB116" s="552" t="s">
        <v>929</v>
      </c>
      <c r="AC116" s="553"/>
      <c r="AD116" s="551">
        <v>0</v>
      </c>
      <c r="AE116" s="554"/>
    </row>
    <row r="117" spans="2:33" ht="15" customHeight="1" x14ac:dyDescent="0.25">
      <c r="B117" s="264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80" t="s">
        <v>821</v>
      </c>
      <c r="Z117" s="543">
        <v>0</v>
      </c>
      <c r="AA117" s="544"/>
      <c r="AB117" s="543" t="s">
        <v>275</v>
      </c>
      <c r="AC117" s="544"/>
      <c r="AD117" s="545">
        <v>5000000</v>
      </c>
      <c r="AE117" s="546"/>
    </row>
    <row r="118" spans="2:33" ht="15.75" x14ac:dyDescent="0.25">
      <c r="B118" s="301" t="s">
        <v>822</v>
      </c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81"/>
      <c r="AA118" s="281"/>
      <c r="AB118" s="281"/>
      <c r="AC118" s="281"/>
      <c r="AD118" s="281"/>
      <c r="AE118" s="282"/>
    </row>
    <row r="119" spans="2:33" ht="27" customHeight="1" thickBot="1" x14ac:dyDescent="0.25">
      <c r="B119" s="547" t="s">
        <v>817</v>
      </c>
      <c r="C119" s="529"/>
      <c r="D119" s="529" t="s">
        <v>818</v>
      </c>
      <c r="E119" s="529"/>
      <c r="F119" s="529" t="s">
        <v>443</v>
      </c>
      <c r="G119" s="529"/>
      <c r="H119" s="529" t="s">
        <v>56</v>
      </c>
      <c r="I119" s="529"/>
      <c r="J119" s="529" t="s">
        <v>40</v>
      </c>
      <c r="K119" s="529"/>
      <c r="L119" s="529"/>
      <c r="M119" s="529" t="s">
        <v>819</v>
      </c>
      <c r="N119" s="529"/>
      <c r="O119" s="529"/>
      <c r="P119" s="529"/>
      <c r="Q119" s="529"/>
      <c r="R119" s="529"/>
      <c r="S119" s="529"/>
      <c r="T119" s="529"/>
      <c r="U119" s="529"/>
      <c r="V119" s="529" t="s">
        <v>270</v>
      </c>
      <c r="W119" s="529"/>
      <c r="X119" s="529"/>
      <c r="Y119" s="529"/>
      <c r="Z119" s="529"/>
      <c r="AA119" s="529"/>
      <c r="AB119" s="529"/>
      <c r="AC119" s="529"/>
      <c r="AD119" s="529" t="s">
        <v>53</v>
      </c>
      <c r="AE119" s="530"/>
      <c r="AG119" s="278" t="s">
        <v>899</v>
      </c>
    </row>
    <row r="120" spans="2:33" ht="13.5" hidden="1" thickTop="1" x14ac:dyDescent="0.25">
      <c r="B120" s="531" t="s">
        <v>59</v>
      </c>
      <c r="C120" s="532"/>
      <c r="D120" s="533" t="s">
        <v>59</v>
      </c>
      <c r="E120" s="532"/>
      <c r="F120" s="533" t="s">
        <v>59</v>
      </c>
      <c r="G120" s="532"/>
      <c r="H120" s="533" t="s">
        <v>59</v>
      </c>
      <c r="I120" s="532"/>
      <c r="J120" s="534" t="s">
        <v>59</v>
      </c>
      <c r="K120" s="535"/>
      <c r="L120" s="536"/>
      <c r="M120" s="537" t="s">
        <v>59</v>
      </c>
      <c r="N120" s="538"/>
      <c r="O120" s="538"/>
      <c r="P120" s="538"/>
      <c r="Q120" s="538"/>
      <c r="R120" s="538"/>
      <c r="S120" s="538"/>
      <c r="T120" s="538"/>
      <c r="U120" s="539"/>
      <c r="V120" s="540" t="s">
        <v>59</v>
      </c>
      <c r="W120" s="540"/>
      <c r="X120" s="540"/>
      <c r="Y120" s="540"/>
      <c r="Z120" s="540"/>
      <c r="AA120" s="540"/>
      <c r="AB120" s="540"/>
      <c r="AC120" s="540"/>
      <c r="AD120" s="541" t="s">
        <v>59</v>
      </c>
      <c r="AE120" s="542"/>
      <c r="AG120" s="279"/>
    </row>
    <row r="121" spans="2:33" hidden="1" x14ac:dyDescent="0.25">
      <c r="B121" s="517" t="s">
        <v>59</v>
      </c>
      <c r="C121" s="518"/>
      <c r="D121" s="519" t="s">
        <v>59</v>
      </c>
      <c r="E121" s="518"/>
      <c r="F121" s="519" t="s">
        <v>59</v>
      </c>
      <c r="G121" s="518"/>
      <c r="H121" s="519" t="s">
        <v>59</v>
      </c>
      <c r="I121" s="518"/>
      <c r="J121" s="526" t="s">
        <v>59</v>
      </c>
      <c r="K121" s="527"/>
      <c r="L121" s="528"/>
      <c r="M121" s="523" t="s">
        <v>59</v>
      </c>
      <c r="N121" s="524"/>
      <c r="O121" s="524"/>
      <c r="P121" s="524"/>
      <c r="Q121" s="524"/>
      <c r="R121" s="524"/>
      <c r="S121" s="524"/>
      <c r="T121" s="524"/>
      <c r="U121" s="525"/>
      <c r="V121" s="505" t="s">
        <v>59</v>
      </c>
      <c r="W121" s="505"/>
      <c r="X121" s="505"/>
      <c r="Y121" s="505"/>
      <c r="Z121" s="505"/>
      <c r="AA121" s="505"/>
      <c r="AB121" s="505"/>
      <c r="AC121" s="505"/>
      <c r="AD121" s="506" t="s">
        <v>59</v>
      </c>
      <c r="AE121" s="507"/>
      <c r="AG121" s="279"/>
    </row>
    <row r="122" spans="2:33" hidden="1" x14ac:dyDescent="0.25">
      <c r="B122" s="517" t="s">
        <v>59</v>
      </c>
      <c r="C122" s="518"/>
      <c r="D122" s="519" t="s">
        <v>59</v>
      </c>
      <c r="E122" s="518"/>
      <c r="F122" s="519" t="s">
        <v>59</v>
      </c>
      <c r="G122" s="518"/>
      <c r="H122" s="519" t="s">
        <v>59</v>
      </c>
      <c r="I122" s="518"/>
      <c r="J122" s="526" t="s">
        <v>59</v>
      </c>
      <c r="K122" s="527"/>
      <c r="L122" s="528"/>
      <c r="M122" s="523" t="s">
        <v>59</v>
      </c>
      <c r="N122" s="524"/>
      <c r="O122" s="524"/>
      <c r="P122" s="524"/>
      <c r="Q122" s="524"/>
      <c r="R122" s="524"/>
      <c r="S122" s="524"/>
      <c r="T122" s="524"/>
      <c r="U122" s="525"/>
      <c r="V122" s="505" t="s">
        <v>59</v>
      </c>
      <c r="W122" s="505"/>
      <c r="X122" s="505"/>
      <c r="Y122" s="505"/>
      <c r="Z122" s="505"/>
      <c r="AA122" s="505"/>
      <c r="AB122" s="505"/>
      <c r="AC122" s="505"/>
      <c r="AD122" s="506" t="s">
        <v>59</v>
      </c>
      <c r="AE122" s="507"/>
      <c r="AG122" s="279"/>
    </row>
    <row r="123" spans="2:33" hidden="1" x14ac:dyDescent="0.25">
      <c r="B123" s="517" t="s">
        <v>59</v>
      </c>
      <c r="C123" s="518"/>
      <c r="D123" s="519" t="s">
        <v>59</v>
      </c>
      <c r="E123" s="518"/>
      <c r="F123" s="519" t="s">
        <v>59</v>
      </c>
      <c r="G123" s="518"/>
      <c r="H123" s="519" t="s">
        <v>59</v>
      </c>
      <c r="I123" s="518"/>
      <c r="J123" s="526" t="s">
        <v>59</v>
      </c>
      <c r="K123" s="527"/>
      <c r="L123" s="528"/>
      <c r="M123" s="523" t="s">
        <v>59</v>
      </c>
      <c r="N123" s="524"/>
      <c r="O123" s="524"/>
      <c r="P123" s="524"/>
      <c r="Q123" s="524"/>
      <c r="R123" s="524"/>
      <c r="S123" s="524"/>
      <c r="T123" s="524"/>
      <c r="U123" s="525"/>
      <c r="V123" s="505" t="s">
        <v>59</v>
      </c>
      <c r="W123" s="505"/>
      <c r="X123" s="505"/>
      <c r="Y123" s="505"/>
      <c r="Z123" s="505"/>
      <c r="AA123" s="505"/>
      <c r="AB123" s="505"/>
      <c r="AC123" s="505"/>
      <c r="AD123" s="506" t="s">
        <v>59</v>
      </c>
      <c r="AE123" s="507"/>
      <c r="AG123" s="279"/>
    </row>
    <row r="124" spans="2:33" hidden="1" x14ac:dyDescent="0.25">
      <c r="B124" s="517" t="s">
        <v>59</v>
      </c>
      <c r="C124" s="518"/>
      <c r="D124" s="519" t="s">
        <v>59</v>
      </c>
      <c r="E124" s="518"/>
      <c r="F124" s="519" t="s">
        <v>59</v>
      </c>
      <c r="G124" s="518"/>
      <c r="H124" s="519" t="s">
        <v>59</v>
      </c>
      <c r="I124" s="518"/>
      <c r="J124" s="526" t="s">
        <v>59</v>
      </c>
      <c r="K124" s="527"/>
      <c r="L124" s="528"/>
      <c r="M124" s="523" t="s">
        <v>59</v>
      </c>
      <c r="N124" s="524"/>
      <c r="O124" s="524"/>
      <c r="P124" s="524"/>
      <c r="Q124" s="524"/>
      <c r="R124" s="524"/>
      <c r="S124" s="524"/>
      <c r="T124" s="524"/>
      <c r="U124" s="525"/>
      <c r="V124" s="505" t="s">
        <v>59</v>
      </c>
      <c r="W124" s="505"/>
      <c r="X124" s="505"/>
      <c r="Y124" s="505"/>
      <c r="Z124" s="505"/>
      <c r="AA124" s="505"/>
      <c r="AB124" s="505"/>
      <c r="AC124" s="505"/>
      <c r="AD124" s="506" t="s">
        <v>59</v>
      </c>
      <c r="AE124" s="507"/>
      <c r="AG124" s="279"/>
    </row>
    <row r="125" spans="2:33" hidden="1" x14ac:dyDescent="0.25">
      <c r="B125" s="517" t="s">
        <v>59</v>
      </c>
      <c r="C125" s="518"/>
      <c r="D125" s="519" t="s">
        <v>59</v>
      </c>
      <c r="E125" s="518"/>
      <c r="F125" s="519" t="s">
        <v>59</v>
      </c>
      <c r="G125" s="518"/>
      <c r="H125" s="519" t="s">
        <v>59</v>
      </c>
      <c r="I125" s="518"/>
      <c r="J125" s="526" t="s">
        <v>59</v>
      </c>
      <c r="K125" s="527"/>
      <c r="L125" s="528"/>
      <c r="M125" s="523" t="s">
        <v>59</v>
      </c>
      <c r="N125" s="524"/>
      <c r="O125" s="524"/>
      <c r="P125" s="524"/>
      <c r="Q125" s="524"/>
      <c r="R125" s="524"/>
      <c r="S125" s="524"/>
      <c r="T125" s="524"/>
      <c r="U125" s="525"/>
      <c r="V125" s="505" t="s">
        <v>59</v>
      </c>
      <c r="W125" s="505"/>
      <c r="X125" s="505"/>
      <c r="Y125" s="505"/>
      <c r="Z125" s="505"/>
      <c r="AA125" s="505"/>
      <c r="AB125" s="505"/>
      <c r="AC125" s="505"/>
      <c r="AD125" s="506" t="s">
        <v>59</v>
      </c>
      <c r="AE125" s="507"/>
      <c r="AG125" s="279"/>
    </row>
    <row r="126" spans="2:33" hidden="1" x14ac:dyDescent="0.25">
      <c r="B126" s="517" t="s">
        <v>59</v>
      </c>
      <c r="C126" s="518"/>
      <c r="D126" s="519" t="s">
        <v>59</v>
      </c>
      <c r="E126" s="518"/>
      <c r="F126" s="519" t="s">
        <v>59</v>
      </c>
      <c r="G126" s="518"/>
      <c r="H126" s="519" t="s">
        <v>59</v>
      </c>
      <c r="I126" s="518"/>
      <c r="J126" s="526" t="s">
        <v>59</v>
      </c>
      <c r="K126" s="527"/>
      <c r="L126" s="528"/>
      <c r="M126" s="523" t="s">
        <v>59</v>
      </c>
      <c r="N126" s="524"/>
      <c r="O126" s="524"/>
      <c r="P126" s="524"/>
      <c r="Q126" s="524"/>
      <c r="R126" s="524"/>
      <c r="S126" s="524"/>
      <c r="T126" s="524"/>
      <c r="U126" s="525"/>
      <c r="V126" s="505" t="s">
        <v>59</v>
      </c>
      <c r="W126" s="505"/>
      <c r="X126" s="505"/>
      <c r="Y126" s="505"/>
      <c r="Z126" s="505"/>
      <c r="AA126" s="505"/>
      <c r="AB126" s="505"/>
      <c r="AC126" s="505"/>
      <c r="AD126" s="506" t="s">
        <v>59</v>
      </c>
      <c r="AE126" s="507"/>
      <c r="AG126" s="279"/>
    </row>
    <row r="127" spans="2:33" hidden="1" x14ac:dyDescent="0.25">
      <c r="B127" s="517" t="s">
        <v>59</v>
      </c>
      <c r="C127" s="518"/>
      <c r="D127" s="519" t="s">
        <v>59</v>
      </c>
      <c r="E127" s="518"/>
      <c r="F127" s="519" t="s">
        <v>59</v>
      </c>
      <c r="G127" s="518"/>
      <c r="H127" s="519" t="s">
        <v>59</v>
      </c>
      <c r="I127" s="518"/>
      <c r="J127" s="526" t="s">
        <v>59</v>
      </c>
      <c r="K127" s="527"/>
      <c r="L127" s="528"/>
      <c r="M127" s="523" t="s">
        <v>59</v>
      </c>
      <c r="N127" s="524"/>
      <c r="O127" s="524"/>
      <c r="P127" s="524"/>
      <c r="Q127" s="524"/>
      <c r="R127" s="524"/>
      <c r="S127" s="524"/>
      <c r="T127" s="524"/>
      <c r="U127" s="525"/>
      <c r="V127" s="505" t="s">
        <v>59</v>
      </c>
      <c r="W127" s="505"/>
      <c r="X127" s="505"/>
      <c r="Y127" s="505"/>
      <c r="Z127" s="505"/>
      <c r="AA127" s="505"/>
      <c r="AB127" s="505"/>
      <c r="AC127" s="505"/>
      <c r="AD127" s="506" t="s">
        <v>59</v>
      </c>
      <c r="AE127" s="507"/>
      <c r="AG127" s="279"/>
    </row>
    <row r="128" spans="2:33" hidden="1" x14ac:dyDescent="0.25">
      <c r="B128" s="517" t="s">
        <v>59</v>
      </c>
      <c r="C128" s="518"/>
      <c r="D128" s="519" t="s">
        <v>59</v>
      </c>
      <c r="E128" s="518"/>
      <c r="F128" s="519" t="s">
        <v>59</v>
      </c>
      <c r="G128" s="518"/>
      <c r="H128" s="519" t="s">
        <v>59</v>
      </c>
      <c r="I128" s="518"/>
      <c r="J128" s="526" t="s">
        <v>59</v>
      </c>
      <c r="K128" s="527"/>
      <c r="L128" s="528"/>
      <c r="M128" s="523" t="s">
        <v>59</v>
      </c>
      <c r="N128" s="524"/>
      <c r="O128" s="524"/>
      <c r="P128" s="524"/>
      <c r="Q128" s="524"/>
      <c r="R128" s="524"/>
      <c r="S128" s="524"/>
      <c r="T128" s="524"/>
      <c r="U128" s="525"/>
      <c r="V128" s="505" t="s">
        <v>59</v>
      </c>
      <c r="W128" s="505"/>
      <c r="X128" s="505"/>
      <c r="Y128" s="505"/>
      <c r="Z128" s="505"/>
      <c r="AA128" s="505"/>
      <c r="AB128" s="505"/>
      <c r="AC128" s="505"/>
      <c r="AD128" s="506" t="s">
        <v>59</v>
      </c>
      <c r="AE128" s="507"/>
      <c r="AG128" s="279"/>
    </row>
    <row r="129" spans="2:33" hidden="1" x14ac:dyDescent="0.25">
      <c r="B129" s="517" t="s">
        <v>59</v>
      </c>
      <c r="C129" s="518"/>
      <c r="D129" s="519" t="s">
        <v>59</v>
      </c>
      <c r="E129" s="518"/>
      <c r="F129" s="519" t="s">
        <v>59</v>
      </c>
      <c r="G129" s="518"/>
      <c r="H129" s="519" t="s">
        <v>59</v>
      </c>
      <c r="I129" s="518"/>
      <c r="J129" s="526" t="s">
        <v>59</v>
      </c>
      <c r="K129" s="527"/>
      <c r="L129" s="528"/>
      <c r="M129" s="523" t="s">
        <v>59</v>
      </c>
      <c r="N129" s="524"/>
      <c r="O129" s="524"/>
      <c r="P129" s="524"/>
      <c r="Q129" s="524"/>
      <c r="R129" s="524"/>
      <c r="S129" s="524"/>
      <c r="T129" s="524"/>
      <c r="U129" s="525"/>
      <c r="V129" s="505" t="s">
        <v>59</v>
      </c>
      <c r="W129" s="505"/>
      <c r="X129" s="505"/>
      <c r="Y129" s="505"/>
      <c r="Z129" s="505"/>
      <c r="AA129" s="505"/>
      <c r="AB129" s="505"/>
      <c r="AC129" s="505"/>
      <c r="AD129" s="506" t="s">
        <v>59</v>
      </c>
      <c r="AE129" s="507"/>
      <c r="AG129" s="279"/>
    </row>
    <row r="130" spans="2:33" hidden="1" x14ac:dyDescent="0.25">
      <c r="B130" s="517" t="s">
        <v>59</v>
      </c>
      <c r="C130" s="518"/>
      <c r="D130" s="519" t="s">
        <v>59</v>
      </c>
      <c r="E130" s="518"/>
      <c r="F130" s="519" t="s">
        <v>59</v>
      </c>
      <c r="G130" s="518"/>
      <c r="H130" s="519" t="s">
        <v>59</v>
      </c>
      <c r="I130" s="518"/>
      <c r="J130" s="526" t="s">
        <v>59</v>
      </c>
      <c r="K130" s="527"/>
      <c r="L130" s="528"/>
      <c r="M130" s="523" t="s">
        <v>59</v>
      </c>
      <c r="N130" s="524"/>
      <c r="O130" s="524"/>
      <c r="P130" s="524"/>
      <c r="Q130" s="524"/>
      <c r="R130" s="524"/>
      <c r="S130" s="524"/>
      <c r="T130" s="524"/>
      <c r="U130" s="525"/>
      <c r="V130" s="505" t="s">
        <v>59</v>
      </c>
      <c r="W130" s="505"/>
      <c r="X130" s="505"/>
      <c r="Y130" s="505"/>
      <c r="Z130" s="505"/>
      <c r="AA130" s="505"/>
      <c r="AB130" s="505"/>
      <c r="AC130" s="505"/>
      <c r="AD130" s="506" t="s">
        <v>59</v>
      </c>
      <c r="AE130" s="507"/>
      <c r="AG130" s="279"/>
    </row>
    <row r="131" spans="2:33" hidden="1" x14ac:dyDescent="0.25">
      <c r="B131" s="517" t="s">
        <v>59</v>
      </c>
      <c r="C131" s="518"/>
      <c r="D131" s="519" t="s">
        <v>59</v>
      </c>
      <c r="E131" s="518"/>
      <c r="F131" s="519" t="s">
        <v>59</v>
      </c>
      <c r="G131" s="518"/>
      <c r="H131" s="519" t="s">
        <v>59</v>
      </c>
      <c r="I131" s="518"/>
      <c r="J131" s="526" t="s">
        <v>59</v>
      </c>
      <c r="K131" s="527"/>
      <c r="L131" s="528"/>
      <c r="M131" s="523" t="s">
        <v>59</v>
      </c>
      <c r="N131" s="524"/>
      <c r="O131" s="524"/>
      <c r="P131" s="524"/>
      <c r="Q131" s="524"/>
      <c r="R131" s="524"/>
      <c r="S131" s="524"/>
      <c r="T131" s="524"/>
      <c r="U131" s="525"/>
      <c r="V131" s="505" t="s">
        <v>59</v>
      </c>
      <c r="W131" s="505"/>
      <c r="X131" s="505"/>
      <c r="Y131" s="505"/>
      <c r="Z131" s="505"/>
      <c r="AA131" s="505"/>
      <c r="AB131" s="505"/>
      <c r="AC131" s="505"/>
      <c r="AD131" s="506" t="s">
        <v>59</v>
      </c>
      <c r="AE131" s="507"/>
      <c r="AG131" s="279"/>
    </row>
    <row r="132" spans="2:33" hidden="1" x14ac:dyDescent="0.25">
      <c r="B132" s="517" t="s">
        <v>59</v>
      </c>
      <c r="C132" s="518"/>
      <c r="D132" s="519" t="s">
        <v>59</v>
      </c>
      <c r="E132" s="518"/>
      <c r="F132" s="519" t="s">
        <v>59</v>
      </c>
      <c r="G132" s="518"/>
      <c r="H132" s="519" t="s">
        <v>59</v>
      </c>
      <c r="I132" s="518"/>
      <c r="J132" s="526" t="s">
        <v>59</v>
      </c>
      <c r="K132" s="527"/>
      <c r="L132" s="528"/>
      <c r="M132" s="523" t="s">
        <v>59</v>
      </c>
      <c r="N132" s="524"/>
      <c r="O132" s="524"/>
      <c r="P132" s="524"/>
      <c r="Q132" s="524"/>
      <c r="R132" s="524"/>
      <c r="S132" s="524"/>
      <c r="T132" s="524"/>
      <c r="U132" s="525"/>
      <c r="V132" s="505" t="s">
        <v>59</v>
      </c>
      <c r="W132" s="505"/>
      <c r="X132" s="505"/>
      <c r="Y132" s="505"/>
      <c r="Z132" s="505"/>
      <c r="AA132" s="505"/>
      <c r="AB132" s="505"/>
      <c r="AC132" s="505"/>
      <c r="AD132" s="506" t="s">
        <v>59</v>
      </c>
      <c r="AE132" s="507"/>
      <c r="AG132" s="279"/>
    </row>
    <row r="133" spans="2:33" hidden="1" x14ac:dyDescent="0.25">
      <c r="B133" s="517" t="s">
        <v>59</v>
      </c>
      <c r="C133" s="518"/>
      <c r="D133" s="519" t="s">
        <v>59</v>
      </c>
      <c r="E133" s="518"/>
      <c r="F133" s="519" t="s">
        <v>59</v>
      </c>
      <c r="G133" s="518"/>
      <c r="H133" s="519" t="s">
        <v>59</v>
      </c>
      <c r="I133" s="518"/>
      <c r="J133" s="526" t="s">
        <v>59</v>
      </c>
      <c r="K133" s="527"/>
      <c r="L133" s="528"/>
      <c r="M133" s="523" t="s">
        <v>59</v>
      </c>
      <c r="N133" s="524"/>
      <c r="O133" s="524"/>
      <c r="P133" s="524"/>
      <c r="Q133" s="524"/>
      <c r="R133" s="524"/>
      <c r="S133" s="524"/>
      <c r="T133" s="524"/>
      <c r="U133" s="525"/>
      <c r="V133" s="505" t="s">
        <v>59</v>
      </c>
      <c r="W133" s="505"/>
      <c r="X133" s="505"/>
      <c r="Y133" s="505"/>
      <c r="Z133" s="505"/>
      <c r="AA133" s="505"/>
      <c r="AB133" s="505"/>
      <c r="AC133" s="505"/>
      <c r="AD133" s="506" t="s">
        <v>59</v>
      </c>
      <c r="AE133" s="507"/>
      <c r="AG133" s="279"/>
    </row>
    <row r="134" spans="2:33" hidden="1" x14ac:dyDescent="0.25">
      <c r="B134" s="517" t="s">
        <v>59</v>
      </c>
      <c r="C134" s="518"/>
      <c r="D134" s="519" t="s">
        <v>59</v>
      </c>
      <c r="E134" s="518"/>
      <c r="F134" s="519" t="s">
        <v>59</v>
      </c>
      <c r="G134" s="518"/>
      <c r="H134" s="519" t="s">
        <v>59</v>
      </c>
      <c r="I134" s="518"/>
      <c r="J134" s="526" t="s">
        <v>59</v>
      </c>
      <c r="K134" s="527"/>
      <c r="L134" s="528"/>
      <c r="M134" s="523" t="s">
        <v>59</v>
      </c>
      <c r="N134" s="524"/>
      <c r="O134" s="524"/>
      <c r="P134" s="524"/>
      <c r="Q134" s="524"/>
      <c r="R134" s="524"/>
      <c r="S134" s="524"/>
      <c r="T134" s="524"/>
      <c r="U134" s="525"/>
      <c r="V134" s="505" t="s">
        <v>59</v>
      </c>
      <c r="W134" s="505"/>
      <c r="X134" s="505"/>
      <c r="Y134" s="505"/>
      <c r="Z134" s="505"/>
      <c r="AA134" s="505"/>
      <c r="AB134" s="505"/>
      <c r="AC134" s="505"/>
      <c r="AD134" s="506" t="s">
        <v>59</v>
      </c>
      <c r="AE134" s="507"/>
      <c r="AG134" s="279"/>
    </row>
    <row r="135" spans="2:33" hidden="1" x14ac:dyDescent="0.25">
      <c r="B135" s="517" t="s">
        <v>59</v>
      </c>
      <c r="C135" s="518"/>
      <c r="D135" s="519" t="s">
        <v>59</v>
      </c>
      <c r="E135" s="518"/>
      <c r="F135" s="519" t="s">
        <v>59</v>
      </c>
      <c r="G135" s="518"/>
      <c r="H135" s="519" t="s">
        <v>59</v>
      </c>
      <c r="I135" s="518"/>
      <c r="J135" s="526" t="s">
        <v>59</v>
      </c>
      <c r="K135" s="527"/>
      <c r="L135" s="528"/>
      <c r="M135" s="523" t="s">
        <v>59</v>
      </c>
      <c r="N135" s="524"/>
      <c r="O135" s="524"/>
      <c r="P135" s="524"/>
      <c r="Q135" s="524"/>
      <c r="R135" s="524"/>
      <c r="S135" s="524"/>
      <c r="T135" s="524"/>
      <c r="U135" s="525"/>
      <c r="V135" s="505" t="s">
        <v>59</v>
      </c>
      <c r="W135" s="505"/>
      <c r="X135" s="505"/>
      <c r="Y135" s="505"/>
      <c r="Z135" s="505"/>
      <c r="AA135" s="505"/>
      <c r="AB135" s="505"/>
      <c r="AC135" s="505"/>
      <c r="AD135" s="506" t="s">
        <v>59</v>
      </c>
      <c r="AE135" s="507"/>
      <c r="AG135" s="279"/>
    </row>
    <row r="136" spans="2:33" hidden="1" x14ac:dyDescent="0.25">
      <c r="B136" s="517" t="s">
        <v>59</v>
      </c>
      <c r="C136" s="518"/>
      <c r="D136" s="519" t="s">
        <v>59</v>
      </c>
      <c r="E136" s="518"/>
      <c r="F136" s="519" t="s">
        <v>59</v>
      </c>
      <c r="G136" s="518"/>
      <c r="H136" s="519" t="s">
        <v>59</v>
      </c>
      <c r="I136" s="518"/>
      <c r="J136" s="526" t="s">
        <v>59</v>
      </c>
      <c r="K136" s="527"/>
      <c r="L136" s="528"/>
      <c r="M136" s="523" t="s">
        <v>59</v>
      </c>
      <c r="N136" s="524"/>
      <c r="O136" s="524"/>
      <c r="P136" s="524"/>
      <c r="Q136" s="524"/>
      <c r="R136" s="524"/>
      <c r="S136" s="524"/>
      <c r="T136" s="524"/>
      <c r="U136" s="525"/>
      <c r="V136" s="505" t="s">
        <v>59</v>
      </c>
      <c r="W136" s="505"/>
      <c r="X136" s="505"/>
      <c r="Y136" s="505"/>
      <c r="Z136" s="505"/>
      <c r="AA136" s="505"/>
      <c r="AB136" s="505"/>
      <c r="AC136" s="505"/>
      <c r="AD136" s="506" t="s">
        <v>59</v>
      </c>
      <c r="AE136" s="507"/>
      <c r="AG136" s="279"/>
    </row>
    <row r="137" spans="2:33" hidden="1" x14ac:dyDescent="0.25">
      <c r="B137" s="517" t="s">
        <v>59</v>
      </c>
      <c r="C137" s="518"/>
      <c r="D137" s="519" t="s">
        <v>59</v>
      </c>
      <c r="E137" s="518"/>
      <c r="F137" s="519" t="s">
        <v>59</v>
      </c>
      <c r="G137" s="518"/>
      <c r="H137" s="519" t="s">
        <v>59</v>
      </c>
      <c r="I137" s="518"/>
      <c r="J137" s="526" t="s">
        <v>59</v>
      </c>
      <c r="K137" s="527"/>
      <c r="L137" s="528"/>
      <c r="M137" s="523" t="s">
        <v>59</v>
      </c>
      <c r="N137" s="524"/>
      <c r="O137" s="524"/>
      <c r="P137" s="524"/>
      <c r="Q137" s="524"/>
      <c r="R137" s="524"/>
      <c r="S137" s="524"/>
      <c r="T137" s="524"/>
      <c r="U137" s="525"/>
      <c r="V137" s="505" t="s">
        <v>59</v>
      </c>
      <c r="W137" s="505"/>
      <c r="X137" s="505"/>
      <c r="Y137" s="505"/>
      <c r="Z137" s="505"/>
      <c r="AA137" s="505"/>
      <c r="AB137" s="505"/>
      <c r="AC137" s="505"/>
      <c r="AD137" s="506" t="s">
        <v>59</v>
      </c>
      <c r="AE137" s="507"/>
      <c r="AG137" s="279"/>
    </row>
    <row r="138" spans="2:33" hidden="1" x14ac:dyDescent="0.25">
      <c r="B138" s="517" t="s">
        <v>59</v>
      </c>
      <c r="C138" s="518"/>
      <c r="D138" s="519" t="s">
        <v>59</v>
      </c>
      <c r="E138" s="518"/>
      <c r="F138" s="519" t="s">
        <v>59</v>
      </c>
      <c r="G138" s="518"/>
      <c r="H138" s="519" t="s">
        <v>59</v>
      </c>
      <c r="I138" s="518"/>
      <c r="J138" s="526" t="s">
        <v>59</v>
      </c>
      <c r="K138" s="527"/>
      <c r="L138" s="528"/>
      <c r="M138" s="523" t="s">
        <v>59</v>
      </c>
      <c r="N138" s="524"/>
      <c r="O138" s="524"/>
      <c r="P138" s="524"/>
      <c r="Q138" s="524"/>
      <c r="R138" s="524"/>
      <c r="S138" s="524"/>
      <c r="T138" s="524"/>
      <c r="U138" s="525"/>
      <c r="V138" s="505" t="s">
        <v>59</v>
      </c>
      <c r="W138" s="505"/>
      <c r="X138" s="505"/>
      <c r="Y138" s="505"/>
      <c r="Z138" s="505"/>
      <c r="AA138" s="505"/>
      <c r="AB138" s="505"/>
      <c r="AC138" s="505"/>
      <c r="AD138" s="506" t="s">
        <v>59</v>
      </c>
      <c r="AE138" s="507"/>
      <c r="AG138" s="279"/>
    </row>
    <row r="139" spans="2:33" hidden="1" x14ac:dyDescent="0.25">
      <c r="B139" s="517" t="s">
        <v>59</v>
      </c>
      <c r="C139" s="518"/>
      <c r="D139" s="519" t="s">
        <v>59</v>
      </c>
      <c r="E139" s="518"/>
      <c r="F139" s="519" t="s">
        <v>59</v>
      </c>
      <c r="G139" s="518"/>
      <c r="H139" s="519" t="s">
        <v>59</v>
      </c>
      <c r="I139" s="518"/>
      <c r="J139" s="520"/>
      <c r="K139" s="521"/>
      <c r="L139" s="522"/>
      <c r="M139" s="523" t="s">
        <v>59</v>
      </c>
      <c r="N139" s="524"/>
      <c r="O139" s="524"/>
      <c r="P139" s="524"/>
      <c r="Q139" s="524"/>
      <c r="R139" s="524"/>
      <c r="S139" s="524"/>
      <c r="T139" s="524"/>
      <c r="U139" s="525"/>
      <c r="V139" s="505" t="s">
        <v>59</v>
      </c>
      <c r="W139" s="505"/>
      <c r="X139" s="505"/>
      <c r="Y139" s="505"/>
      <c r="Z139" s="505"/>
      <c r="AA139" s="505"/>
      <c r="AB139" s="505"/>
      <c r="AC139" s="505"/>
      <c r="AD139" s="506" t="s">
        <v>59</v>
      </c>
      <c r="AE139" s="507"/>
      <c r="AG139" s="279"/>
    </row>
    <row r="140" spans="2:33" ht="15" customHeight="1" thickTop="1" x14ac:dyDescent="0.25">
      <c r="B140" s="508" t="s">
        <v>820</v>
      </c>
      <c r="C140" s="509"/>
      <c r="D140" s="509"/>
      <c r="E140" s="509"/>
      <c r="F140" s="509"/>
      <c r="G140" s="509"/>
      <c r="H140" s="509"/>
      <c r="I140" s="509"/>
      <c r="J140" s="510"/>
      <c r="K140" s="511"/>
      <c r="L140" s="511"/>
      <c r="M140" s="511"/>
      <c r="N140" s="511"/>
      <c r="O140" s="511"/>
      <c r="P140" s="511"/>
      <c r="Q140" s="511"/>
      <c r="R140" s="511"/>
      <c r="S140" s="511"/>
      <c r="T140" s="511"/>
      <c r="U140" s="511"/>
      <c r="V140" s="511"/>
      <c r="W140" s="511"/>
      <c r="X140" s="511"/>
      <c r="Y140" s="511"/>
      <c r="Z140" s="511"/>
      <c r="AA140" s="511"/>
      <c r="AB140" s="511"/>
      <c r="AC140" s="512"/>
      <c r="AD140" s="506">
        <v>0</v>
      </c>
      <c r="AE140" s="507"/>
    </row>
    <row r="141" spans="2:33" ht="13.5" thickBot="1" x14ac:dyDescent="0.3">
      <c r="B141" s="264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62"/>
      <c r="AB141" s="513" t="s">
        <v>821</v>
      </c>
      <c r="AC141" s="514"/>
      <c r="AD141" s="515">
        <v>0</v>
      </c>
      <c r="AE141" s="516"/>
    </row>
    <row r="142" spans="2:33" ht="15" thickTop="1" x14ac:dyDescent="0.25">
      <c r="B142" s="283"/>
      <c r="C142" s="284"/>
      <c r="D142" s="284"/>
      <c r="E142" s="284"/>
      <c r="F142" s="284"/>
      <c r="G142" s="284"/>
      <c r="H142" s="284"/>
      <c r="I142" s="284"/>
      <c r="J142" s="284"/>
      <c r="K142" s="284"/>
      <c r="L142" s="284"/>
      <c r="M142" s="284"/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5"/>
      <c r="AA142" s="285"/>
      <c r="AB142" s="286"/>
      <c r="AC142" s="287" t="s">
        <v>830</v>
      </c>
      <c r="AD142" s="495">
        <v>5000000</v>
      </c>
      <c r="AE142" s="496"/>
    </row>
    <row r="143" spans="2:33" x14ac:dyDescent="0.25"/>
    <row r="144" spans="2:33" hidden="1" x14ac:dyDescent="0.25"/>
    <row r="145" spans="2:31" ht="15" hidden="1" customHeight="1" x14ac:dyDescent="0.25">
      <c r="B145" s="497" t="s">
        <v>657</v>
      </c>
      <c r="C145" s="498"/>
      <c r="D145" s="498"/>
      <c r="E145" s="498"/>
      <c r="F145" s="498"/>
      <c r="G145" s="498"/>
      <c r="H145" s="498"/>
      <c r="I145" s="498"/>
      <c r="J145" s="498"/>
      <c r="K145" s="498"/>
      <c r="L145" s="498"/>
      <c r="M145" s="498"/>
      <c r="N145" s="498"/>
      <c r="O145" s="498"/>
      <c r="P145" s="498"/>
      <c r="Q145" s="498"/>
      <c r="R145" s="498"/>
      <c r="S145" s="498"/>
      <c r="T145" s="498"/>
      <c r="U145" s="498"/>
      <c r="V145" s="498"/>
      <c r="W145" s="498"/>
      <c r="X145" s="498"/>
      <c r="Y145" s="498"/>
      <c r="Z145" s="498"/>
      <c r="AA145" s="498"/>
      <c r="AB145" s="498"/>
      <c r="AC145" s="498"/>
      <c r="AD145" s="498"/>
      <c r="AE145" s="499"/>
    </row>
    <row r="146" spans="2:31" hidden="1" x14ac:dyDescent="0.25">
      <c r="B146" s="477" t="s">
        <v>795</v>
      </c>
      <c r="C146" s="478"/>
      <c r="D146" s="500"/>
      <c r="E146" s="501" t="s">
        <v>1098</v>
      </c>
      <c r="F146" s="451"/>
      <c r="G146" s="451"/>
      <c r="H146" s="451"/>
      <c r="I146" s="451"/>
      <c r="J146" s="451"/>
      <c r="K146" s="452"/>
      <c r="L146" s="477" t="s">
        <v>227</v>
      </c>
      <c r="M146" s="478"/>
      <c r="N146" s="500"/>
      <c r="O146" s="450" t="s">
        <v>1102</v>
      </c>
      <c r="P146" s="452"/>
      <c r="Q146" s="450" t="s">
        <v>1102</v>
      </c>
      <c r="R146" s="451"/>
      <c r="S146" s="451"/>
      <c r="T146" s="451"/>
      <c r="U146" s="452"/>
      <c r="V146" s="502" t="s">
        <v>46</v>
      </c>
      <c r="W146" s="503"/>
      <c r="X146" s="503"/>
      <c r="Y146" s="503"/>
      <c r="Z146" s="503"/>
      <c r="AA146" s="503"/>
      <c r="AB146" s="503"/>
      <c r="AC146" s="503"/>
      <c r="AD146" s="503"/>
      <c r="AE146" s="504"/>
    </row>
    <row r="147" spans="2:31" ht="15" hidden="1" customHeight="1" x14ac:dyDescent="0.25">
      <c r="B147" s="458" t="s">
        <v>1024</v>
      </c>
      <c r="C147" s="459"/>
      <c r="D147" s="460"/>
      <c r="E147" s="450" t="s">
        <v>949</v>
      </c>
      <c r="F147" s="451"/>
      <c r="G147" s="451"/>
      <c r="H147" s="451"/>
      <c r="I147" s="451"/>
      <c r="J147" s="451"/>
      <c r="K147" s="452"/>
      <c r="L147" s="458" t="s">
        <v>432</v>
      </c>
      <c r="M147" s="459"/>
      <c r="N147" s="460"/>
      <c r="O147" s="471" t="s">
        <v>275</v>
      </c>
      <c r="P147" s="472"/>
      <c r="Q147" s="472"/>
      <c r="R147" s="472"/>
      <c r="S147" s="472"/>
      <c r="T147" s="472"/>
      <c r="U147" s="472"/>
      <c r="V147" s="477" t="s">
        <v>47</v>
      </c>
      <c r="W147" s="478"/>
      <c r="X147" s="478"/>
      <c r="Y147" s="479" t="s">
        <v>419</v>
      </c>
      <c r="Z147" s="480"/>
      <c r="AA147" s="480"/>
      <c r="AB147" s="480"/>
      <c r="AC147" s="480"/>
      <c r="AD147" s="480"/>
      <c r="AE147" s="481"/>
    </row>
    <row r="148" spans="2:31" ht="12.75" hidden="1" customHeight="1" x14ac:dyDescent="0.25">
      <c r="B148" s="458" t="s">
        <v>11</v>
      </c>
      <c r="C148" s="459"/>
      <c r="D148" s="460"/>
      <c r="E148" s="461" t="s">
        <v>15</v>
      </c>
      <c r="F148" s="462"/>
      <c r="G148" s="462"/>
      <c r="H148" s="462"/>
      <c r="I148" s="462"/>
      <c r="J148" s="462"/>
      <c r="K148" s="463"/>
      <c r="L148" s="458"/>
      <c r="M148" s="459"/>
      <c r="N148" s="460"/>
      <c r="O148" s="473"/>
      <c r="P148" s="474"/>
      <c r="Q148" s="474"/>
      <c r="R148" s="474"/>
      <c r="S148" s="474"/>
      <c r="T148" s="474"/>
      <c r="U148" s="474"/>
      <c r="V148" s="482" t="s">
        <v>48</v>
      </c>
      <c r="W148" s="483"/>
      <c r="X148" s="483"/>
      <c r="Y148" s="486" t="s">
        <v>275</v>
      </c>
      <c r="Z148" s="487"/>
      <c r="AA148" s="487"/>
      <c r="AB148" s="487"/>
      <c r="AC148" s="487"/>
      <c r="AD148" s="487"/>
      <c r="AE148" s="488"/>
    </row>
    <row r="149" spans="2:31" hidden="1" x14ac:dyDescent="0.25">
      <c r="B149" s="458" t="s">
        <v>954</v>
      </c>
      <c r="C149" s="459"/>
      <c r="D149" s="460"/>
      <c r="E149" s="461" t="s">
        <v>418</v>
      </c>
      <c r="F149" s="462"/>
      <c r="G149" s="462"/>
      <c r="H149" s="462"/>
      <c r="I149" s="462"/>
      <c r="J149" s="462"/>
      <c r="K149" s="463"/>
      <c r="L149" s="458"/>
      <c r="M149" s="459"/>
      <c r="N149" s="460"/>
      <c r="O149" s="473"/>
      <c r="P149" s="474"/>
      <c r="Q149" s="474"/>
      <c r="R149" s="474"/>
      <c r="S149" s="474"/>
      <c r="T149" s="474"/>
      <c r="U149" s="474"/>
      <c r="V149" s="482"/>
      <c r="W149" s="483"/>
      <c r="X149" s="483"/>
      <c r="Y149" s="489"/>
      <c r="Z149" s="490"/>
      <c r="AA149" s="490"/>
      <c r="AB149" s="490"/>
      <c r="AC149" s="490"/>
      <c r="AD149" s="490"/>
      <c r="AE149" s="491"/>
    </row>
    <row r="150" spans="2:31" hidden="1" x14ac:dyDescent="0.25">
      <c r="B150" s="447" t="s">
        <v>797</v>
      </c>
      <c r="C150" s="448"/>
      <c r="D150" s="449"/>
      <c r="E150" s="464" t="s">
        <v>1044</v>
      </c>
      <c r="F150" s="465"/>
      <c r="G150" s="466"/>
      <c r="H150" s="467" t="s">
        <v>798</v>
      </c>
      <c r="I150" s="468"/>
      <c r="J150" s="469">
        <v>11.4</v>
      </c>
      <c r="K150" s="470"/>
      <c r="L150" s="458"/>
      <c r="M150" s="459"/>
      <c r="N150" s="460"/>
      <c r="O150" s="475"/>
      <c r="P150" s="476"/>
      <c r="Q150" s="476"/>
      <c r="R150" s="476"/>
      <c r="S150" s="476"/>
      <c r="T150" s="476"/>
      <c r="U150" s="476"/>
      <c r="V150" s="482"/>
      <c r="W150" s="483"/>
      <c r="X150" s="483"/>
      <c r="Y150" s="489"/>
      <c r="Z150" s="490"/>
      <c r="AA150" s="490"/>
      <c r="AB150" s="490"/>
      <c r="AC150" s="490"/>
      <c r="AD150" s="490"/>
      <c r="AE150" s="491"/>
    </row>
    <row r="151" spans="2:31" hidden="1" x14ac:dyDescent="0.25">
      <c r="B151" s="264"/>
      <c r="C151" s="262"/>
      <c r="D151" s="262"/>
      <c r="E151" s="262"/>
      <c r="F151" s="262"/>
      <c r="G151" s="262"/>
      <c r="H151" s="262"/>
      <c r="I151" s="262"/>
      <c r="J151" s="262"/>
      <c r="K151" s="262"/>
      <c r="L151" s="447" t="s">
        <v>265</v>
      </c>
      <c r="M151" s="448"/>
      <c r="N151" s="449"/>
      <c r="O151" s="450" t="s">
        <v>1103</v>
      </c>
      <c r="P151" s="451"/>
      <c r="Q151" s="452"/>
      <c r="R151" s="262"/>
      <c r="S151" s="262"/>
      <c r="T151" s="262"/>
      <c r="U151" s="262"/>
      <c r="V151" s="484"/>
      <c r="W151" s="485"/>
      <c r="X151" s="485"/>
      <c r="Y151" s="492"/>
      <c r="Z151" s="493"/>
      <c r="AA151" s="493"/>
      <c r="AB151" s="493"/>
      <c r="AC151" s="493"/>
      <c r="AD151" s="493"/>
      <c r="AE151" s="494"/>
    </row>
    <row r="152" spans="2:31" hidden="1" x14ac:dyDescent="0.25">
      <c r="B152" s="453" t="s">
        <v>913</v>
      </c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5"/>
      <c r="P152" s="262"/>
      <c r="U152" s="262"/>
      <c r="V152" s="398" t="s">
        <v>45</v>
      </c>
      <c r="W152" s="399"/>
      <c r="X152" s="399"/>
      <c r="Y152" s="399"/>
      <c r="Z152" s="399"/>
      <c r="AA152" s="399"/>
      <c r="AB152" s="399"/>
      <c r="AC152" s="399"/>
      <c r="AD152" s="399"/>
      <c r="AE152" s="400"/>
    </row>
    <row r="153" spans="2:31" ht="12.75" hidden="1" customHeight="1" x14ac:dyDescent="0.25">
      <c r="B153" s="456" t="s">
        <v>796</v>
      </c>
      <c r="C153" s="457"/>
      <c r="D153" s="432" t="s">
        <v>68</v>
      </c>
      <c r="E153" s="432"/>
      <c r="F153" s="432" t="s">
        <v>266</v>
      </c>
      <c r="G153" s="432"/>
      <c r="H153" s="432" t="s">
        <v>254</v>
      </c>
      <c r="I153" s="432"/>
      <c r="J153" s="432" t="s">
        <v>73</v>
      </c>
      <c r="K153" s="432"/>
      <c r="L153" s="432" t="s">
        <v>74</v>
      </c>
      <c r="M153" s="432"/>
      <c r="N153" s="432" t="s">
        <v>33</v>
      </c>
      <c r="O153" s="433"/>
      <c r="P153" s="262"/>
      <c r="Q153" s="434" t="s">
        <v>911</v>
      </c>
      <c r="R153" s="435"/>
      <c r="S153" s="436">
        <v>5000000</v>
      </c>
      <c r="T153" s="437"/>
      <c r="U153" s="262"/>
      <c r="V153" s="438" t="s">
        <v>1134</v>
      </c>
      <c r="W153" s="439"/>
      <c r="X153" s="439"/>
      <c r="Y153" s="439"/>
      <c r="Z153" s="439"/>
      <c r="AA153" s="439"/>
      <c r="AB153" s="439"/>
      <c r="AC153" s="439"/>
      <c r="AD153" s="439"/>
      <c r="AE153" s="440"/>
    </row>
    <row r="154" spans="2:31" hidden="1" x14ac:dyDescent="0.25">
      <c r="B154" s="416"/>
      <c r="C154" s="417"/>
      <c r="D154" s="424" t="s">
        <v>1125</v>
      </c>
      <c r="E154" s="424"/>
      <c r="F154" s="424" t="s">
        <v>1126</v>
      </c>
      <c r="G154" s="424"/>
      <c r="H154" s="424" t="s">
        <v>1127</v>
      </c>
      <c r="I154" s="424"/>
      <c r="J154" s="424" t="s">
        <v>1128</v>
      </c>
      <c r="K154" s="424"/>
      <c r="L154" s="424" t="s">
        <v>1129</v>
      </c>
      <c r="M154" s="424"/>
      <c r="N154" s="424" t="s">
        <v>59</v>
      </c>
      <c r="O154" s="425"/>
      <c r="P154" s="262"/>
      <c r="Q154" s="426" t="s">
        <v>227</v>
      </c>
      <c r="R154" s="427"/>
      <c r="S154" s="428">
        <v>5000000</v>
      </c>
      <c r="T154" s="429"/>
      <c r="U154" s="262"/>
      <c r="V154" s="441"/>
      <c r="W154" s="442"/>
      <c r="X154" s="442"/>
      <c r="Y154" s="442"/>
      <c r="Z154" s="442"/>
      <c r="AA154" s="442"/>
      <c r="AB154" s="442"/>
      <c r="AC154" s="442"/>
      <c r="AD154" s="442"/>
      <c r="AE154" s="443"/>
    </row>
    <row r="155" spans="2:31" hidden="1" x14ac:dyDescent="0.25">
      <c r="B155" s="420" t="s">
        <v>231</v>
      </c>
      <c r="C155" s="421"/>
      <c r="D155" s="430">
        <v>0</v>
      </c>
      <c r="E155" s="430"/>
      <c r="F155" s="430">
        <v>1</v>
      </c>
      <c r="G155" s="430"/>
      <c r="H155" s="430">
        <v>0</v>
      </c>
      <c r="I155" s="430"/>
      <c r="J155" s="430">
        <v>0</v>
      </c>
      <c r="K155" s="430"/>
      <c r="L155" s="430">
        <v>0</v>
      </c>
      <c r="M155" s="430"/>
      <c r="N155" s="430">
        <v>0</v>
      </c>
      <c r="O155" s="431"/>
      <c r="P155" s="262"/>
      <c r="Q155" s="416" t="s">
        <v>799</v>
      </c>
      <c r="R155" s="417"/>
      <c r="S155" s="418">
        <v>0</v>
      </c>
      <c r="T155" s="419"/>
      <c r="U155" s="262"/>
      <c r="V155" s="441"/>
      <c r="W155" s="442"/>
      <c r="X155" s="442"/>
      <c r="Y155" s="442"/>
      <c r="Z155" s="442"/>
      <c r="AA155" s="442"/>
      <c r="AB155" s="442"/>
      <c r="AC155" s="442"/>
      <c r="AD155" s="442"/>
      <c r="AE155" s="443"/>
    </row>
    <row r="156" spans="2:31" hidden="1" x14ac:dyDescent="0.25">
      <c r="B156" s="420" t="s">
        <v>232</v>
      </c>
      <c r="C156" s="421"/>
      <c r="D156" s="422">
        <v>0</v>
      </c>
      <c r="E156" s="422"/>
      <c r="F156" s="422">
        <v>5000000</v>
      </c>
      <c r="G156" s="422"/>
      <c r="H156" s="422">
        <v>0</v>
      </c>
      <c r="I156" s="422"/>
      <c r="J156" s="422">
        <v>0</v>
      </c>
      <c r="K156" s="422"/>
      <c r="L156" s="422">
        <v>0</v>
      </c>
      <c r="M156" s="422"/>
      <c r="N156" s="422">
        <v>0</v>
      </c>
      <c r="O156" s="423"/>
      <c r="P156" s="262"/>
      <c r="Q156" s="262"/>
      <c r="R156" s="262"/>
      <c r="S156" s="262"/>
      <c r="T156" s="262"/>
      <c r="U156" s="262"/>
      <c r="V156" s="441"/>
      <c r="W156" s="442"/>
      <c r="X156" s="442"/>
      <c r="Y156" s="442"/>
      <c r="Z156" s="442"/>
      <c r="AA156" s="442"/>
      <c r="AB156" s="442"/>
      <c r="AC156" s="442"/>
      <c r="AD156" s="442"/>
      <c r="AE156" s="443"/>
    </row>
    <row r="157" spans="2:31" hidden="1" x14ac:dyDescent="0.25">
      <c r="B157" s="416"/>
      <c r="C157" s="417"/>
      <c r="D157" s="410" t="s">
        <v>251</v>
      </c>
      <c r="E157" s="410" t="e">
        <v>#REF!</v>
      </c>
      <c r="F157" s="410" t="s">
        <v>252</v>
      </c>
      <c r="G157" s="410" t="e">
        <v>#REF!</v>
      </c>
      <c r="H157" s="410" t="s">
        <v>253</v>
      </c>
      <c r="I157" s="410" t="e">
        <v>#REF!</v>
      </c>
      <c r="J157" s="410" t="s">
        <v>72</v>
      </c>
      <c r="K157" s="410"/>
      <c r="L157" s="410" t="s">
        <v>255</v>
      </c>
      <c r="M157" s="410"/>
      <c r="N157" s="410" t="s">
        <v>275</v>
      </c>
      <c r="O157" s="411"/>
      <c r="P157" s="262"/>
      <c r="Q157" s="288"/>
      <c r="R157" s="288"/>
      <c r="S157" s="288"/>
      <c r="T157" s="288"/>
      <c r="U157" s="262"/>
      <c r="V157" s="444"/>
      <c r="W157" s="445"/>
      <c r="X157" s="445"/>
      <c r="Y157" s="445"/>
      <c r="Z157" s="445"/>
      <c r="AA157" s="445"/>
      <c r="AB157" s="445"/>
      <c r="AC157" s="445"/>
      <c r="AD157" s="445"/>
      <c r="AE157" s="446"/>
    </row>
    <row r="158" spans="2:31" ht="15" hidden="1" customHeight="1" x14ac:dyDescent="0.25">
      <c r="B158" s="412" t="s">
        <v>1096</v>
      </c>
      <c r="C158" s="413"/>
      <c r="D158" s="414">
        <v>0</v>
      </c>
      <c r="E158" s="414"/>
      <c r="F158" s="414">
        <v>5000000</v>
      </c>
      <c r="G158" s="414"/>
      <c r="H158" s="414">
        <v>0</v>
      </c>
      <c r="I158" s="414"/>
      <c r="J158" s="414">
        <v>0</v>
      </c>
      <c r="K158" s="414"/>
      <c r="L158" s="414">
        <v>0</v>
      </c>
      <c r="M158" s="414"/>
      <c r="N158" s="414">
        <v>0</v>
      </c>
      <c r="O158" s="415"/>
      <c r="P158" s="262"/>
      <c r="Q158" s="289"/>
      <c r="R158" s="289"/>
      <c r="S158" s="290"/>
      <c r="T158" s="290"/>
      <c r="U158" s="262"/>
      <c r="V158" s="398" t="s">
        <v>228</v>
      </c>
      <c r="W158" s="399"/>
      <c r="X158" s="399"/>
      <c r="Y158" s="399"/>
      <c r="Z158" s="399"/>
      <c r="AA158" s="399"/>
      <c r="AB158" s="399"/>
      <c r="AC158" s="399"/>
      <c r="AD158" s="399"/>
      <c r="AE158" s="400"/>
    </row>
    <row r="159" spans="2:31" ht="12.75" hidden="1" customHeight="1" x14ac:dyDescent="0.25">
      <c r="B159" s="396" t="s">
        <v>59</v>
      </c>
      <c r="C159" s="397"/>
      <c r="D159" s="390">
        <v>0</v>
      </c>
      <c r="E159" s="390"/>
      <c r="F159" s="390">
        <v>0</v>
      </c>
      <c r="G159" s="390"/>
      <c r="H159" s="390">
        <v>0</v>
      </c>
      <c r="I159" s="390"/>
      <c r="J159" s="390">
        <v>0</v>
      </c>
      <c r="K159" s="390"/>
      <c r="L159" s="390">
        <v>0</v>
      </c>
      <c r="M159" s="390"/>
      <c r="N159" s="390">
        <v>0</v>
      </c>
      <c r="O159" s="391"/>
      <c r="P159" s="262"/>
      <c r="Q159" s="289"/>
      <c r="R159" s="289"/>
      <c r="S159" s="290"/>
      <c r="T159" s="290"/>
      <c r="U159" s="262"/>
      <c r="V159" s="401" t="s">
        <v>1115</v>
      </c>
      <c r="W159" s="402"/>
      <c r="X159" s="402"/>
      <c r="Y159" s="402"/>
      <c r="Z159" s="402"/>
      <c r="AA159" s="402"/>
      <c r="AB159" s="402"/>
      <c r="AC159" s="402"/>
      <c r="AD159" s="402"/>
      <c r="AE159" s="403"/>
    </row>
    <row r="160" spans="2:31" hidden="1" x14ac:dyDescent="0.25">
      <c r="B160" s="396" t="s">
        <v>59</v>
      </c>
      <c r="C160" s="397"/>
      <c r="D160" s="390">
        <v>0</v>
      </c>
      <c r="E160" s="390"/>
      <c r="F160" s="390">
        <v>0</v>
      </c>
      <c r="G160" s="390"/>
      <c r="H160" s="390">
        <v>0</v>
      </c>
      <c r="I160" s="390"/>
      <c r="J160" s="390">
        <v>0</v>
      </c>
      <c r="K160" s="390"/>
      <c r="L160" s="390">
        <v>0</v>
      </c>
      <c r="M160" s="390"/>
      <c r="N160" s="390">
        <v>0</v>
      </c>
      <c r="O160" s="391"/>
      <c r="P160" s="262"/>
      <c r="Q160" s="289"/>
      <c r="R160" s="289"/>
      <c r="S160" s="290"/>
      <c r="T160" s="290"/>
      <c r="U160" s="262"/>
      <c r="V160" s="404"/>
      <c r="W160" s="405"/>
      <c r="X160" s="405"/>
      <c r="Y160" s="405"/>
      <c r="Z160" s="405"/>
      <c r="AA160" s="405"/>
      <c r="AB160" s="405"/>
      <c r="AC160" s="405"/>
      <c r="AD160" s="405"/>
      <c r="AE160" s="406"/>
    </row>
    <row r="161" spans="2:31" hidden="1" x14ac:dyDescent="0.25">
      <c r="B161" s="396" t="s">
        <v>59</v>
      </c>
      <c r="C161" s="397"/>
      <c r="D161" s="390">
        <v>0</v>
      </c>
      <c r="E161" s="390"/>
      <c r="F161" s="390">
        <v>0</v>
      </c>
      <c r="G161" s="390"/>
      <c r="H161" s="390">
        <v>0</v>
      </c>
      <c r="I161" s="390"/>
      <c r="J161" s="390">
        <v>0</v>
      </c>
      <c r="K161" s="390"/>
      <c r="L161" s="390">
        <v>0</v>
      </c>
      <c r="M161" s="390"/>
      <c r="N161" s="390">
        <v>0</v>
      </c>
      <c r="O161" s="391"/>
      <c r="P161" s="262"/>
      <c r="Q161" s="289"/>
      <c r="R161" s="289"/>
      <c r="S161" s="290"/>
      <c r="T161" s="290"/>
      <c r="U161" s="291"/>
      <c r="V161" s="404"/>
      <c r="W161" s="405"/>
      <c r="X161" s="405"/>
      <c r="Y161" s="405"/>
      <c r="Z161" s="405"/>
      <c r="AA161" s="405"/>
      <c r="AB161" s="405"/>
      <c r="AC161" s="405"/>
      <c r="AD161" s="405"/>
      <c r="AE161" s="406"/>
    </row>
    <row r="162" spans="2:31" hidden="1" x14ac:dyDescent="0.25">
      <c r="B162" s="396" t="s">
        <v>59</v>
      </c>
      <c r="C162" s="397"/>
      <c r="D162" s="390">
        <v>0</v>
      </c>
      <c r="E162" s="390"/>
      <c r="F162" s="390">
        <v>0</v>
      </c>
      <c r="G162" s="390"/>
      <c r="H162" s="390">
        <v>0</v>
      </c>
      <c r="I162" s="390"/>
      <c r="J162" s="390">
        <v>0</v>
      </c>
      <c r="K162" s="390"/>
      <c r="L162" s="390">
        <v>0</v>
      </c>
      <c r="M162" s="390"/>
      <c r="N162" s="390">
        <v>0</v>
      </c>
      <c r="O162" s="391"/>
      <c r="P162" s="262"/>
      <c r="Q162" s="289"/>
      <c r="R162" s="289"/>
      <c r="S162" s="290"/>
      <c r="T162" s="290"/>
      <c r="U162" s="291"/>
      <c r="V162" s="404"/>
      <c r="W162" s="405"/>
      <c r="X162" s="405"/>
      <c r="Y162" s="405"/>
      <c r="Z162" s="405"/>
      <c r="AA162" s="405"/>
      <c r="AB162" s="405"/>
      <c r="AC162" s="405"/>
      <c r="AD162" s="405"/>
      <c r="AE162" s="406"/>
    </row>
    <row r="163" spans="2:31" hidden="1" x14ac:dyDescent="0.25">
      <c r="B163" s="396" t="s">
        <v>59</v>
      </c>
      <c r="C163" s="397"/>
      <c r="D163" s="390">
        <v>0</v>
      </c>
      <c r="E163" s="390"/>
      <c r="F163" s="390">
        <v>0</v>
      </c>
      <c r="G163" s="390"/>
      <c r="H163" s="390">
        <v>0</v>
      </c>
      <c r="I163" s="390"/>
      <c r="J163" s="390">
        <v>0</v>
      </c>
      <c r="K163" s="390"/>
      <c r="L163" s="390">
        <v>0</v>
      </c>
      <c r="M163" s="390"/>
      <c r="N163" s="390">
        <v>0</v>
      </c>
      <c r="O163" s="391"/>
      <c r="P163" s="262"/>
      <c r="Q163" s="289"/>
      <c r="R163" s="289"/>
      <c r="S163" s="290"/>
      <c r="T163" s="290"/>
      <c r="U163" s="291"/>
      <c r="V163" s="404"/>
      <c r="W163" s="405"/>
      <c r="X163" s="405"/>
      <c r="Y163" s="405"/>
      <c r="Z163" s="405"/>
      <c r="AA163" s="405"/>
      <c r="AB163" s="405"/>
      <c r="AC163" s="405"/>
      <c r="AD163" s="405"/>
      <c r="AE163" s="406"/>
    </row>
    <row r="164" spans="2:31" hidden="1" x14ac:dyDescent="0.25">
      <c r="B164" s="396" t="s">
        <v>59</v>
      </c>
      <c r="C164" s="397"/>
      <c r="D164" s="390">
        <v>0</v>
      </c>
      <c r="E164" s="390"/>
      <c r="F164" s="390">
        <v>0</v>
      </c>
      <c r="G164" s="390"/>
      <c r="H164" s="390">
        <v>0</v>
      </c>
      <c r="I164" s="390"/>
      <c r="J164" s="390">
        <v>0</v>
      </c>
      <c r="K164" s="390"/>
      <c r="L164" s="390">
        <v>0</v>
      </c>
      <c r="M164" s="390"/>
      <c r="N164" s="390">
        <v>0</v>
      </c>
      <c r="O164" s="391"/>
      <c r="P164" s="262"/>
      <c r="Q164" s="289"/>
      <c r="R164" s="289"/>
      <c r="S164" s="290"/>
      <c r="T164" s="290"/>
      <c r="U164" s="291"/>
      <c r="V164" s="404"/>
      <c r="W164" s="405"/>
      <c r="X164" s="405"/>
      <c r="Y164" s="405"/>
      <c r="Z164" s="405"/>
      <c r="AA164" s="405"/>
      <c r="AB164" s="405"/>
      <c r="AC164" s="405"/>
      <c r="AD164" s="405"/>
      <c r="AE164" s="406"/>
    </row>
    <row r="165" spans="2:31" hidden="1" x14ac:dyDescent="0.25">
      <c r="B165" s="396" t="s">
        <v>59</v>
      </c>
      <c r="C165" s="397"/>
      <c r="D165" s="390">
        <v>0</v>
      </c>
      <c r="E165" s="390"/>
      <c r="F165" s="390">
        <v>0</v>
      </c>
      <c r="G165" s="390"/>
      <c r="H165" s="390">
        <v>0</v>
      </c>
      <c r="I165" s="390"/>
      <c r="J165" s="390">
        <v>0</v>
      </c>
      <c r="K165" s="390"/>
      <c r="L165" s="390">
        <v>0</v>
      </c>
      <c r="M165" s="390"/>
      <c r="N165" s="390">
        <v>0</v>
      </c>
      <c r="O165" s="391"/>
      <c r="P165" s="262"/>
      <c r="Q165" s="289"/>
      <c r="R165" s="289"/>
      <c r="S165" s="290"/>
      <c r="T165" s="290"/>
      <c r="U165" s="291"/>
      <c r="V165" s="404"/>
      <c r="W165" s="405"/>
      <c r="X165" s="405"/>
      <c r="Y165" s="405"/>
      <c r="Z165" s="405"/>
      <c r="AA165" s="405"/>
      <c r="AB165" s="405"/>
      <c r="AC165" s="405"/>
      <c r="AD165" s="405"/>
      <c r="AE165" s="406"/>
    </row>
    <row r="166" spans="2:31" hidden="1" x14ac:dyDescent="0.25">
      <c r="B166" s="396" t="s">
        <v>59</v>
      </c>
      <c r="C166" s="397"/>
      <c r="D166" s="390">
        <v>0</v>
      </c>
      <c r="E166" s="390"/>
      <c r="F166" s="390">
        <v>0</v>
      </c>
      <c r="G166" s="390"/>
      <c r="H166" s="390">
        <v>0</v>
      </c>
      <c r="I166" s="390"/>
      <c r="J166" s="390">
        <v>0</v>
      </c>
      <c r="K166" s="390"/>
      <c r="L166" s="390">
        <v>0</v>
      </c>
      <c r="M166" s="390"/>
      <c r="N166" s="390">
        <v>0</v>
      </c>
      <c r="O166" s="391"/>
      <c r="P166" s="262"/>
      <c r="Q166" s="289"/>
      <c r="R166" s="289"/>
      <c r="S166" s="290"/>
      <c r="T166" s="290"/>
      <c r="U166" s="291"/>
      <c r="V166" s="404"/>
      <c r="W166" s="405"/>
      <c r="X166" s="405"/>
      <c r="Y166" s="405"/>
      <c r="Z166" s="405"/>
      <c r="AA166" s="405"/>
      <c r="AB166" s="405"/>
      <c r="AC166" s="405"/>
      <c r="AD166" s="405"/>
      <c r="AE166" s="406"/>
    </row>
    <row r="167" spans="2:31" hidden="1" x14ac:dyDescent="0.25">
      <c r="B167" s="396" t="s">
        <v>59</v>
      </c>
      <c r="C167" s="397"/>
      <c r="D167" s="390">
        <v>0</v>
      </c>
      <c r="E167" s="390"/>
      <c r="F167" s="390">
        <v>0</v>
      </c>
      <c r="G167" s="390"/>
      <c r="H167" s="390">
        <v>0</v>
      </c>
      <c r="I167" s="390"/>
      <c r="J167" s="390">
        <v>0</v>
      </c>
      <c r="K167" s="390"/>
      <c r="L167" s="390">
        <v>0</v>
      </c>
      <c r="M167" s="390"/>
      <c r="N167" s="390">
        <v>0</v>
      </c>
      <c r="O167" s="391"/>
      <c r="P167" s="262"/>
      <c r="Q167" s="289"/>
      <c r="R167" s="289"/>
      <c r="S167" s="290"/>
      <c r="T167" s="290"/>
      <c r="U167" s="291"/>
      <c r="V167" s="404"/>
      <c r="W167" s="405"/>
      <c r="X167" s="405"/>
      <c r="Y167" s="405"/>
      <c r="Z167" s="405"/>
      <c r="AA167" s="405"/>
      <c r="AB167" s="405"/>
      <c r="AC167" s="405"/>
      <c r="AD167" s="405"/>
      <c r="AE167" s="406"/>
    </row>
    <row r="168" spans="2:31" hidden="1" x14ac:dyDescent="0.25">
      <c r="B168" s="396" t="s">
        <v>59</v>
      </c>
      <c r="C168" s="397"/>
      <c r="D168" s="390">
        <v>0</v>
      </c>
      <c r="E168" s="390"/>
      <c r="F168" s="390">
        <v>0</v>
      </c>
      <c r="G168" s="390"/>
      <c r="H168" s="390">
        <v>0</v>
      </c>
      <c r="I168" s="390"/>
      <c r="J168" s="390">
        <v>0</v>
      </c>
      <c r="K168" s="390"/>
      <c r="L168" s="390">
        <v>0</v>
      </c>
      <c r="M168" s="390"/>
      <c r="N168" s="390">
        <v>0</v>
      </c>
      <c r="O168" s="391"/>
      <c r="P168" s="262"/>
      <c r="Q168" s="289"/>
      <c r="R168" s="289"/>
      <c r="S168" s="290"/>
      <c r="T168" s="290"/>
      <c r="U168" s="262"/>
      <c r="V168" s="404"/>
      <c r="W168" s="405"/>
      <c r="X168" s="405"/>
      <c r="Y168" s="405"/>
      <c r="Z168" s="405"/>
      <c r="AA168" s="405"/>
      <c r="AB168" s="405"/>
      <c r="AC168" s="405"/>
      <c r="AD168" s="405"/>
      <c r="AE168" s="406"/>
    </row>
    <row r="169" spans="2:31" hidden="1" x14ac:dyDescent="0.25">
      <c r="B169" s="396" t="s">
        <v>59</v>
      </c>
      <c r="C169" s="397"/>
      <c r="D169" s="390">
        <v>0</v>
      </c>
      <c r="E169" s="390"/>
      <c r="F169" s="390">
        <v>0</v>
      </c>
      <c r="G169" s="390"/>
      <c r="H169" s="390">
        <v>0</v>
      </c>
      <c r="I169" s="390"/>
      <c r="J169" s="390">
        <v>0</v>
      </c>
      <c r="K169" s="390"/>
      <c r="L169" s="390">
        <v>0</v>
      </c>
      <c r="M169" s="390"/>
      <c r="N169" s="390">
        <v>0</v>
      </c>
      <c r="O169" s="391"/>
      <c r="P169" s="262"/>
      <c r="Q169" s="289"/>
      <c r="R169" s="289"/>
      <c r="S169" s="290"/>
      <c r="T169" s="290"/>
      <c r="U169" s="262"/>
      <c r="V169" s="404"/>
      <c r="W169" s="405"/>
      <c r="X169" s="405"/>
      <c r="Y169" s="405"/>
      <c r="Z169" s="405"/>
      <c r="AA169" s="405"/>
      <c r="AB169" s="405"/>
      <c r="AC169" s="405"/>
      <c r="AD169" s="405"/>
      <c r="AE169" s="406"/>
    </row>
    <row r="170" spans="2:31" ht="15" hidden="1" customHeight="1" x14ac:dyDescent="0.25">
      <c r="B170" s="396" t="s">
        <v>59</v>
      </c>
      <c r="C170" s="397"/>
      <c r="D170" s="390">
        <v>0</v>
      </c>
      <c r="E170" s="390"/>
      <c r="F170" s="390">
        <v>0</v>
      </c>
      <c r="G170" s="390"/>
      <c r="H170" s="390">
        <v>0</v>
      </c>
      <c r="I170" s="390"/>
      <c r="J170" s="390">
        <v>0</v>
      </c>
      <c r="K170" s="390"/>
      <c r="L170" s="390">
        <v>0</v>
      </c>
      <c r="M170" s="390"/>
      <c r="N170" s="390">
        <v>0</v>
      </c>
      <c r="O170" s="391"/>
      <c r="P170" s="262"/>
      <c r="Q170" s="289"/>
      <c r="R170" s="289"/>
      <c r="S170" s="290"/>
      <c r="T170" s="290"/>
      <c r="U170" s="262"/>
      <c r="V170" s="404"/>
      <c r="W170" s="405"/>
      <c r="X170" s="405"/>
      <c r="Y170" s="405"/>
      <c r="Z170" s="405"/>
      <c r="AA170" s="405"/>
      <c r="AB170" s="405"/>
      <c r="AC170" s="405"/>
      <c r="AD170" s="405"/>
      <c r="AE170" s="406"/>
    </row>
    <row r="171" spans="2:31" hidden="1" x14ac:dyDescent="0.25">
      <c r="B171" s="396" t="s">
        <v>59</v>
      </c>
      <c r="C171" s="397"/>
      <c r="D171" s="390">
        <v>0</v>
      </c>
      <c r="E171" s="390"/>
      <c r="F171" s="390">
        <v>0</v>
      </c>
      <c r="G171" s="390"/>
      <c r="H171" s="390">
        <v>0</v>
      </c>
      <c r="I171" s="390"/>
      <c r="J171" s="390">
        <v>0</v>
      </c>
      <c r="K171" s="390"/>
      <c r="L171" s="390">
        <v>0</v>
      </c>
      <c r="M171" s="390"/>
      <c r="N171" s="390">
        <v>0</v>
      </c>
      <c r="O171" s="391"/>
      <c r="P171" s="262"/>
      <c r="Q171" s="289"/>
      <c r="R171" s="289"/>
      <c r="S171" s="290"/>
      <c r="T171" s="290"/>
      <c r="U171" s="262"/>
      <c r="V171" s="404"/>
      <c r="W171" s="405"/>
      <c r="X171" s="405"/>
      <c r="Y171" s="405"/>
      <c r="Z171" s="405"/>
      <c r="AA171" s="405"/>
      <c r="AB171" s="405"/>
      <c r="AC171" s="405"/>
      <c r="AD171" s="405"/>
      <c r="AE171" s="406"/>
    </row>
    <row r="172" spans="2:31" hidden="1" x14ac:dyDescent="0.25">
      <c r="B172" s="396" t="s">
        <v>59</v>
      </c>
      <c r="C172" s="397"/>
      <c r="D172" s="390">
        <v>0</v>
      </c>
      <c r="E172" s="390"/>
      <c r="F172" s="390">
        <v>0</v>
      </c>
      <c r="G172" s="390"/>
      <c r="H172" s="390">
        <v>0</v>
      </c>
      <c r="I172" s="390"/>
      <c r="J172" s="390">
        <v>0</v>
      </c>
      <c r="K172" s="390"/>
      <c r="L172" s="390">
        <v>0</v>
      </c>
      <c r="M172" s="390"/>
      <c r="N172" s="390">
        <v>0</v>
      </c>
      <c r="O172" s="391"/>
      <c r="P172" s="262"/>
      <c r="Q172" s="289"/>
      <c r="R172" s="289"/>
      <c r="S172" s="290"/>
      <c r="T172" s="290"/>
      <c r="U172" s="262"/>
      <c r="V172" s="404"/>
      <c r="W172" s="405"/>
      <c r="X172" s="405"/>
      <c r="Y172" s="405"/>
      <c r="Z172" s="405"/>
      <c r="AA172" s="405"/>
      <c r="AB172" s="405"/>
      <c r="AC172" s="405"/>
      <c r="AD172" s="405"/>
      <c r="AE172" s="406"/>
    </row>
    <row r="173" spans="2:31" hidden="1" x14ac:dyDescent="0.25">
      <c r="B173" s="396" t="s">
        <v>59</v>
      </c>
      <c r="C173" s="397"/>
      <c r="D173" s="390">
        <v>0</v>
      </c>
      <c r="E173" s="390"/>
      <c r="F173" s="390">
        <v>0</v>
      </c>
      <c r="G173" s="390"/>
      <c r="H173" s="390">
        <v>0</v>
      </c>
      <c r="I173" s="390"/>
      <c r="J173" s="390">
        <v>0</v>
      </c>
      <c r="K173" s="390"/>
      <c r="L173" s="390">
        <v>0</v>
      </c>
      <c r="M173" s="390"/>
      <c r="N173" s="390">
        <v>0</v>
      </c>
      <c r="O173" s="391"/>
      <c r="P173" s="262"/>
      <c r="Q173" s="289"/>
      <c r="R173" s="289"/>
      <c r="S173" s="290"/>
      <c r="T173" s="290"/>
      <c r="U173" s="262"/>
      <c r="V173" s="404"/>
      <c r="W173" s="405"/>
      <c r="X173" s="405"/>
      <c r="Y173" s="405"/>
      <c r="Z173" s="405"/>
      <c r="AA173" s="405"/>
      <c r="AB173" s="405"/>
      <c r="AC173" s="405"/>
      <c r="AD173" s="405"/>
      <c r="AE173" s="406"/>
    </row>
    <row r="174" spans="2:31" hidden="1" x14ac:dyDescent="0.25">
      <c r="B174" s="396" t="s">
        <v>59</v>
      </c>
      <c r="C174" s="397"/>
      <c r="D174" s="390">
        <v>0</v>
      </c>
      <c r="E174" s="390"/>
      <c r="F174" s="390">
        <v>0</v>
      </c>
      <c r="G174" s="390"/>
      <c r="H174" s="390">
        <v>0</v>
      </c>
      <c r="I174" s="390"/>
      <c r="J174" s="390">
        <v>0</v>
      </c>
      <c r="K174" s="390"/>
      <c r="L174" s="390">
        <v>0</v>
      </c>
      <c r="M174" s="390"/>
      <c r="N174" s="390">
        <v>0</v>
      </c>
      <c r="O174" s="391"/>
      <c r="P174" s="262"/>
      <c r="Q174" s="289"/>
      <c r="R174" s="289"/>
      <c r="S174" s="290"/>
      <c r="T174" s="290"/>
      <c r="U174" s="262"/>
      <c r="V174" s="404"/>
      <c r="W174" s="405"/>
      <c r="X174" s="405"/>
      <c r="Y174" s="405"/>
      <c r="Z174" s="405"/>
      <c r="AA174" s="405"/>
      <c r="AB174" s="405"/>
      <c r="AC174" s="405"/>
      <c r="AD174" s="405"/>
      <c r="AE174" s="406"/>
    </row>
    <row r="175" spans="2:31" hidden="1" x14ac:dyDescent="0.25">
      <c r="B175" s="396" t="s">
        <v>59</v>
      </c>
      <c r="C175" s="397"/>
      <c r="D175" s="390">
        <v>0</v>
      </c>
      <c r="E175" s="390"/>
      <c r="F175" s="390">
        <v>0</v>
      </c>
      <c r="G175" s="390"/>
      <c r="H175" s="390">
        <v>0</v>
      </c>
      <c r="I175" s="390"/>
      <c r="J175" s="390">
        <v>0</v>
      </c>
      <c r="K175" s="390"/>
      <c r="L175" s="390">
        <v>0</v>
      </c>
      <c r="M175" s="390"/>
      <c r="N175" s="390">
        <v>0</v>
      </c>
      <c r="O175" s="391"/>
      <c r="P175" s="262"/>
      <c r="Q175" s="289"/>
      <c r="R175" s="289"/>
      <c r="S175" s="290"/>
      <c r="T175" s="290"/>
      <c r="U175" s="262"/>
      <c r="V175" s="404"/>
      <c r="W175" s="405"/>
      <c r="X175" s="405"/>
      <c r="Y175" s="405"/>
      <c r="Z175" s="405"/>
      <c r="AA175" s="405"/>
      <c r="AB175" s="405"/>
      <c r="AC175" s="405"/>
      <c r="AD175" s="405"/>
      <c r="AE175" s="406"/>
    </row>
    <row r="176" spans="2:31" hidden="1" x14ac:dyDescent="0.25">
      <c r="B176" s="396" t="s">
        <v>59</v>
      </c>
      <c r="C176" s="397"/>
      <c r="D176" s="390">
        <v>0</v>
      </c>
      <c r="E176" s="390"/>
      <c r="F176" s="390">
        <v>0</v>
      </c>
      <c r="G176" s="390"/>
      <c r="H176" s="390">
        <v>0</v>
      </c>
      <c r="I176" s="390"/>
      <c r="J176" s="390">
        <v>0</v>
      </c>
      <c r="K176" s="390"/>
      <c r="L176" s="390">
        <v>0</v>
      </c>
      <c r="M176" s="390"/>
      <c r="N176" s="390">
        <v>0</v>
      </c>
      <c r="O176" s="391"/>
      <c r="P176" s="262"/>
      <c r="Q176" s="289"/>
      <c r="R176" s="289"/>
      <c r="S176" s="290"/>
      <c r="T176" s="290"/>
      <c r="U176" s="262"/>
      <c r="V176" s="404"/>
      <c r="W176" s="405"/>
      <c r="X176" s="405"/>
      <c r="Y176" s="405"/>
      <c r="Z176" s="405"/>
      <c r="AA176" s="405"/>
      <c r="AB176" s="405"/>
      <c r="AC176" s="405"/>
      <c r="AD176" s="405"/>
      <c r="AE176" s="406"/>
    </row>
    <row r="177" spans="2:31" hidden="1" x14ac:dyDescent="0.25">
      <c r="B177" s="396" t="s">
        <v>59</v>
      </c>
      <c r="C177" s="397"/>
      <c r="D177" s="390">
        <v>0</v>
      </c>
      <c r="E177" s="390"/>
      <c r="F177" s="390">
        <v>0</v>
      </c>
      <c r="G177" s="390"/>
      <c r="H177" s="390">
        <v>0</v>
      </c>
      <c r="I177" s="390"/>
      <c r="J177" s="390">
        <v>0</v>
      </c>
      <c r="K177" s="390"/>
      <c r="L177" s="390">
        <v>0</v>
      </c>
      <c r="M177" s="390"/>
      <c r="N177" s="390">
        <v>0</v>
      </c>
      <c r="O177" s="391"/>
      <c r="P177" s="262"/>
      <c r="Q177" s="289"/>
      <c r="R177" s="289"/>
      <c r="S177" s="290"/>
      <c r="T177" s="290"/>
      <c r="U177" s="262"/>
      <c r="V177" s="404"/>
      <c r="W177" s="405"/>
      <c r="X177" s="405"/>
      <c r="Y177" s="405"/>
      <c r="Z177" s="405"/>
      <c r="AA177" s="405"/>
      <c r="AB177" s="405"/>
      <c r="AC177" s="405"/>
      <c r="AD177" s="405"/>
      <c r="AE177" s="406"/>
    </row>
    <row r="178" spans="2:31" hidden="1" x14ac:dyDescent="0.25">
      <c r="B178" s="396" t="s">
        <v>59</v>
      </c>
      <c r="C178" s="397"/>
      <c r="D178" s="390">
        <v>0</v>
      </c>
      <c r="E178" s="390"/>
      <c r="F178" s="390">
        <v>0</v>
      </c>
      <c r="G178" s="390"/>
      <c r="H178" s="390">
        <v>0</v>
      </c>
      <c r="I178" s="390"/>
      <c r="J178" s="390">
        <v>0</v>
      </c>
      <c r="K178" s="390"/>
      <c r="L178" s="390">
        <v>0</v>
      </c>
      <c r="M178" s="390"/>
      <c r="N178" s="390">
        <v>0</v>
      </c>
      <c r="O178" s="391"/>
      <c r="P178" s="262"/>
      <c r="Q178" s="289"/>
      <c r="R178" s="289"/>
      <c r="S178" s="290"/>
      <c r="T178" s="290"/>
      <c r="U178" s="262"/>
      <c r="V178" s="404"/>
      <c r="W178" s="405"/>
      <c r="X178" s="405"/>
      <c r="Y178" s="405"/>
      <c r="Z178" s="405"/>
      <c r="AA178" s="405"/>
      <c r="AB178" s="405"/>
      <c r="AC178" s="405"/>
      <c r="AD178" s="405"/>
      <c r="AE178" s="406"/>
    </row>
    <row r="179" spans="2:31" hidden="1" x14ac:dyDescent="0.25">
      <c r="B179" s="396" t="s">
        <v>59</v>
      </c>
      <c r="C179" s="397"/>
      <c r="D179" s="390">
        <v>0</v>
      </c>
      <c r="E179" s="390"/>
      <c r="F179" s="390">
        <v>0</v>
      </c>
      <c r="G179" s="390"/>
      <c r="H179" s="390">
        <v>0</v>
      </c>
      <c r="I179" s="390"/>
      <c r="J179" s="390">
        <v>0</v>
      </c>
      <c r="K179" s="390"/>
      <c r="L179" s="390">
        <v>0</v>
      </c>
      <c r="M179" s="390"/>
      <c r="N179" s="390">
        <v>0</v>
      </c>
      <c r="O179" s="391"/>
      <c r="P179" s="262"/>
      <c r="Q179" s="289"/>
      <c r="R179" s="289"/>
      <c r="S179" s="290"/>
      <c r="T179" s="290"/>
      <c r="U179" s="262"/>
      <c r="V179" s="404"/>
      <c r="W179" s="405"/>
      <c r="X179" s="405"/>
      <c r="Y179" s="405"/>
      <c r="Z179" s="405"/>
      <c r="AA179" s="405"/>
      <c r="AB179" s="405"/>
      <c r="AC179" s="405"/>
      <c r="AD179" s="405"/>
      <c r="AE179" s="406"/>
    </row>
    <row r="180" spans="2:31" hidden="1" x14ac:dyDescent="0.25">
      <c r="B180" s="392" t="s">
        <v>59</v>
      </c>
      <c r="C180" s="393"/>
      <c r="D180" s="394">
        <v>0</v>
      </c>
      <c r="E180" s="394"/>
      <c r="F180" s="394">
        <v>0</v>
      </c>
      <c r="G180" s="394"/>
      <c r="H180" s="394">
        <v>0</v>
      </c>
      <c r="I180" s="394"/>
      <c r="J180" s="394">
        <v>0</v>
      </c>
      <c r="K180" s="394"/>
      <c r="L180" s="394">
        <v>0</v>
      </c>
      <c r="M180" s="394"/>
      <c r="N180" s="394">
        <v>0</v>
      </c>
      <c r="O180" s="395"/>
      <c r="Q180" s="289"/>
      <c r="R180" s="289"/>
      <c r="S180" s="290"/>
      <c r="T180" s="290"/>
      <c r="V180" s="407"/>
      <c r="W180" s="408"/>
      <c r="X180" s="408"/>
      <c r="Y180" s="408"/>
      <c r="Z180" s="408"/>
      <c r="AA180" s="408"/>
      <c r="AB180" s="408"/>
      <c r="AC180" s="408"/>
      <c r="AD180" s="408"/>
      <c r="AE180" s="409"/>
    </row>
    <row r="181" spans="2:31" hidden="1" x14ac:dyDescent="0.25">
      <c r="B181" s="272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  <c r="Y181" s="258"/>
      <c r="Z181" s="258"/>
      <c r="AA181" s="258"/>
      <c r="AB181" s="258"/>
      <c r="AC181" s="258"/>
      <c r="AD181" s="258"/>
      <c r="AE181" s="273"/>
    </row>
    <row r="182" spans="2:31" hidden="1" x14ac:dyDescent="0.25"/>
  </sheetData>
  <sheetProtection algorithmName="SHA-512" hashValue="EE9AhOX/KgEJinMCK1EbsqR7XomFup2jBA4ywjRJh1mhCcIQReWbws7fEBAO75A/PJt0DIQpq99xO66EcvBrjw==" saltValue="CcUN+/MDMTbVinkyRf42AA==" spinCount="100000" sheet="1" objects="1" scenarios="1"/>
  <mergeCells count="1315">
    <mergeCell ref="N179:O179"/>
    <mergeCell ref="B180:C180"/>
    <mergeCell ref="D180:E180"/>
    <mergeCell ref="F180:G180"/>
    <mergeCell ref="H180:I180"/>
    <mergeCell ref="J180:K180"/>
    <mergeCell ref="L180:M180"/>
    <mergeCell ref="N180:O180"/>
    <mergeCell ref="B179:C179"/>
    <mergeCell ref="D179:E179"/>
    <mergeCell ref="F179:G179"/>
    <mergeCell ref="H179:I179"/>
    <mergeCell ref="J179:K179"/>
    <mergeCell ref="L179:M179"/>
    <mergeCell ref="N177:O177"/>
    <mergeCell ref="B178:C178"/>
    <mergeCell ref="D178:E178"/>
    <mergeCell ref="F178:G178"/>
    <mergeCell ref="H178:I178"/>
    <mergeCell ref="J178:K178"/>
    <mergeCell ref="L178:M178"/>
    <mergeCell ref="N178:O178"/>
    <mergeCell ref="B177:C177"/>
    <mergeCell ref="D177:E177"/>
    <mergeCell ref="F177:G177"/>
    <mergeCell ref="H177:I177"/>
    <mergeCell ref="J177:K177"/>
    <mergeCell ref="L177:M177"/>
    <mergeCell ref="N175:O175"/>
    <mergeCell ref="B176:C176"/>
    <mergeCell ref="D176:E176"/>
    <mergeCell ref="F176:G176"/>
    <mergeCell ref="H176:I176"/>
    <mergeCell ref="J176:K176"/>
    <mergeCell ref="L176:M176"/>
    <mergeCell ref="N176:O176"/>
    <mergeCell ref="B175:C175"/>
    <mergeCell ref="D175:E175"/>
    <mergeCell ref="F175:G175"/>
    <mergeCell ref="H175:I175"/>
    <mergeCell ref="J175:K175"/>
    <mergeCell ref="L175:M175"/>
    <mergeCell ref="N173:O173"/>
    <mergeCell ref="B174:C174"/>
    <mergeCell ref="D174:E174"/>
    <mergeCell ref="F174:G174"/>
    <mergeCell ref="H174:I174"/>
    <mergeCell ref="J174:K174"/>
    <mergeCell ref="L174:M174"/>
    <mergeCell ref="N174:O174"/>
    <mergeCell ref="B173:C173"/>
    <mergeCell ref="D173:E173"/>
    <mergeCell ref="F173:G173"/>
    <mergeCell ref="H173:I173"/>
    <mergeCell ref="J173:K173"/>
    <mergeCell ref="L173:M173"/>
    <mergeCell ref="N171:O171"/>
    <mergeCell ref="B172:C172"/>
    <mergeCell ref="D172:E172"/>
    <mergeCell ref="F172:G172"/>
    <mergeCell ref="H172:I172"/>
    <mergeCell ref="J172:K172"/>
    <mergeCell ref="L172:M172"/>
    <mergeCell ref="N172:O172"/>
    <mergeCell ref="B171:C171"/>
    <mergeCell ref="D171:E171"/>
    <mergeCell ref="F171:G171"/>
    <mergeCell ref="H171:I171"/>
    <mergeCell ref="J171:K171"/>
    <mergeCell ref="L171:M171"/>
    <mergeCell ref="N169:O169"/>
    <mergeCell ref="B170:C170"/>
    <mergeCell ref="D170:E170"/>
    <mergeCell ref="F170:G170"/>
    <mergeCell ref="H170:I170"/>
    <mergeCell ref="J170:K170"/>
    <mergeCell ref="L170:M170"/>
    <mergeCell ref="N170:O170"/>
    <mergeCell ref="B169:C169"/>
    <mergeCell ref="D169:E169"/>
    <mergeCell ref="F169:G169"/>
    <mergeCell ref="H169:I169"/>
    <mergeCell ref="J169:K169"/>
    <mergeCell ref="L169:M169"/>
    <mergeCell ref="N167:O167"/>
    <mergeCell ref="B168:C168"/>
    <mergeCell ref="D168:E168"/>
    <mergeCell ref="F168:G168"/>
    <mergeCell ref="H168:I168"/>
    <mergeCell ref="J168:K168"/>
    <mergeCell ref="L168:M168"/>
    <mergeCell ref="N168:O168"/>
    <mergeCell ref="B167:C167"/>
    <mergeCell ref="D167:E167"/>
    <mergeCell ref="F167:G167"/>
    <mergeCell ref="H167:I167"/>
    <mergeCell ref="J167:K167"/>
    <mergeCell ref="L167:M167"/>
    <mergeCell ref="N165:O165"/>
    <mergeCell ref="B166:C166"/>
    <mergeCell ref="D166:E166"/>
    <mergeCell ref="F166:G166"/>
    <mergeCell ref="H166:I166"/>
    <mergeCell ref="J166:K166"/>
    <mergeCell ref="L166:M166"/>
    <mergeCell ref="N166:O166"/>
    <mergeCell ref="B165:C165"/>
    <mergeCell ref="D165:E165"/>
    <mergeCell ref="F165:G165"/>
    <mergeCell ref="H165:I165"/>
    <mergeCell ref="J165:K165"/>
    <mergeCell ref="L165:M165"/>
    <mergeCell ref="N163:O163"/>
    <mergeCell ref="B164:C164"/>
    <mergeCell ref="D164:E164"/>
    <mergeCell ref="F164:G164"/>
    <mergeCell ref="H164:I164"/>
    <mergeCell ref="J164:K164"/>
    <mergeCell ref="L164:M164"/>
    <mergeCell ref="N164:O164"/>
    <mergeCell ref="B163:C163"/>
    <mergeCell ref="D163:E163"/>
    <mergeCell ref="F163:G163"/>
    <mergeCell ref="H163:I163"/>
    <mergeCell ref="J163:K163"/>
    <mergeCell ref="L163:M163"/>
    <mergeCell ref="N161:O161"/>
    <mergeCell ref="B162:C162"/>
    <mergeCell ref="D162:E162"/>
    <mergeCell ref="F162:G162"/>
    <mergeCell ref="H162:I162"/>
    <mergeCell ref="J162:K162"/>
    <mergeCell ref="L162:M162"/>
    <mergeCell ref="N162:O162"/>
    <mergeCell ref="B161:C161"/>
    <mergeCell ref="D161:E161"/>
    <mergeCell ref="F161:G161"/>
    <mergeCell ref="H161:I161"/>
    <mergeCell ref="J161:K161"/>
    <mergeCell ref="L161:M161"/>
    <mergeCell ref="D160:E160"/>
    <mergeCell ref="F160:G160"/>
    <mergeCell ref="H160:I160"/>
    <mergeCell ref="J160:K160"/>
    <mergeCell ref="L160:M160"/>
    <mergeCell ref="N160:O160"/>
    <mergeCell ref="V158:AE158"/>
    <mergeCell ref="B159:C159"/>
    <mergeCell ref="D159:E159"/>
    <mergeCell ref="F159:G159"/>
    <mergeCell ref="H159:I159"/>
    <mergeCell ref="J159:K159"/>
    <mergeCell ref="L159:M159"/>
    <mergeCell ref="N159:O159"/>
    <mergeCell ref="V159:AE180"/>
    <mergeCell ref="B160:C160"/>
    <mergeCell ref="N157:O157"/>
    <mergeCell ref="B158:C158"/>
    <mergeCell ref="D158:E158"/>
    <mergeCell ref="F158:G158"/>
    <mergeCell ref="H158:I158"/>
    <mergeCell ref="J158:K158"/>
    <mergeCell ref="L158:M158"/>
    <mergeCell ref="N158:O158"/>
    <mergeCell ref="B157:C157"/>
    <mergeCell ref="D157:E157"/>
    <mergeCell ref="F157:G157"/>
    <mergeCell ref="H157:I157"/>
    <mergeCell ref="J157:K157"/>
    <mergeCell ref="L157:M157"/>
    <mergeCell ref="Q155:R155"/>
    <mergeCell ref="S155:T155"/>
    <mergeCell ref="B156:C156"/>
    <mergeCell ref="D156:E156"/>
    <mergeCell ref="F156:G156"/>
    <mergeCell ref="H156:I156"/>
    <mergeCell ref="J156:K156"/>
    <mergeCell ref="L156:M156"/>
    <mergeCell ref="N156:O156"/>
    <mergeCell ref="N154:O154"/>
    <mergeCell ref="Q154:R154"/>
    <mergeCell ref="S154:T154"/>
    <mergeCell ref="B155:C155"/>
    <mergeCell ref="D155:E155"/>
    <mergeCell ref="F155:G155"/>
    <mergeCell ref="H155:I155"/>
    <mergeCell ref="J155:K155"/>
    <mergeCell ref="L155:M155"/>
    <mergeCell ref="N155:O155"/>
    <mergeCell ref="N153:O153"/>
    <mergeCell ref="Q153:R153"/>
    <mergeCell ref="S153:T153"/>
    <mergeCell ref="V153:AE157"/>
    <mergeCell ref="B154:C154"/>
    <mergeCell ref="D154:E154"/>
    <mergeCell ref="F154:G154"/>
    <mergeCell ref="H154:I154"/>
    <mergeCell ref="J154:K154"/>
    <mergeCell ref="L154:M154"/>
    <mergeCell ref="L151:N151"/>
    <mergeCell ref="O151:Q151"/>
    <mergeCell ref="B152:O152"/>
    <mergeCell ref="V152:AE152"/>
    <mergeCell ref="B153:C153"/>
    <mergeCell ref="D153:E153"/>
    <mergeCell ref="F153:G153"/>
    <mergeCell ref="H153:I153"/>
    <mergeCell ref="J153:K153"/>
    <mergeCell ref="L153:M153"/>
    <mergeCell ref="B149:D149"/>
    <mergeCell ref="E149:K149"/>
    <mergeCell ref="B150:D150"/>
    <mergeCell ref="E150:G150"/>
    <mergeCell ref="H150:I150"/>
    <mergeCell ref="J150:K150"/>
    <mergeCell ref="B147:D147"/>
    <mergeCell ref="E147:K147"/>
    <mergeCell ref="L147:N150"/>
    <mergeCell ref="O147:U150"/>
    <mergeCell ref="V147:X147"/>
    <mergeCell ref="Y147:AE147"/>
    <mergeCell ref="B148:D148"/>
    <mergeCell ref="E148:K148"/>
    <mergeCell ref="V148:X151"/>
    <mergeCell ref="Y148:AE151"/>
    <mergeCell ref="AD142:AE142"/>
    <mergeCell ref="B145:AE145"/>
    <mergeCell ref="B146:D146"/>
    <mergeCell ref="E146:K146"/>
    <mergeCell ref="L146:N146"/>
    <mergeCell ref="O146:P146"/>
    <mergeCell ref="Q146:U146"/>
    <mergeCell ref="V146:AE146"/>
    <mergeCell ref="V139:AC139"/>
    <mergeCell ref="AD139:AE139"/>
    <mergeCell ref="B140:I140"/>
    <mergeCell ref="J140:AC140"/>
    <mergeCell ref="AD140:AE140"/>
    <mergeCell ref="AB141:AC141"/>
    <mergeCell ref="AD141:AE141"/>
    <mergeCell ref="B139:C139"/>
    <mergeCell ref="D139:E139"/>
    <mergeCell ref="F139:G139"/>
    <mergeCell ref="H139:I139"/>
    <mergeCell ref="J139:L139"/>
    <mergeCell ref="M139:U139"/>
    <mergeCell ref="V137:AC137"/>
    <mergeCell ref="AD137:AE137"/>
    <mergeCell ref="B138:C138"/>
    <mergeCell ref="D138:E138"/>
    <mergeCell ref="F138:G138"/>
    <mergeCell ref="H138:I138"/>
    <mergeCell ref="J138:L138"/>
    <mergeCell ref="M138:U138"/>
    <mergeCell ref="V138:AC138"/>
    <mergeCell ref="AD138:AE138"/>
    <mergeCell ref="B137:C137"/>
    <mergeCell ref="D137:E137"/>
    <mergeCell ref="F137:G137"/>
    <mergeCell ref="H137:I137"/>
    <mergeCell ref="J137:L137"/>
    <mergeCell ref="M137:U137"/>
    <mergeCell ref="V135:AC135"/>
    <mergeCell ref="AD135:AE135"/>
    <mergeCell ref="B136:C136"/>
    <mergeCell ref="D136:E136"/>
    <mergeCell ref="F136:G136"/>
    <mergeCell ref="H136:I136"/>
    <mergeCell ref="J136:L136"/>
    <mergeCell ref="M136:U136"/>
    <mergeCell ref="V136:AC136"/>
    <mergeCell ref="AD136:AE136"/>
    <mergeCell ref="B135:C135"/>
    <mergeCell ref="D135:E135"/>
    <mergeCell ref="F135:G135"/>
    <mergeCell ref="H135:I135"/>
    <mergeCell ref="J135:L135"/>
    <mergeCell ref="M135:U135"/>
    <mergeCell ref="V133:AC133"/>
    <mergeCell ref="AD133:AE133"/>
    <mergeCell ref="B134:C134"/>
    <mergeCell ref="D134:E134"/>
    <mergeCell ref="F134:G134"/>
    <mergeCell ref="H134:I134"/>
    <mergeCell ref="J134:L134"/>
    <mergeCell ref="M134:U134"/>
    <mergeCell ref="V134:AC134"/>
    <mergeCell ref="AD134:AE134"/>
    <mergeCell ref="B133:C133"/>
    <mergeCell ref="D133:E133"/>
    <mergeCell ref="F133:G133"/>
    <mergeCell ref="H133:I133"/>
    <mergeCell ref="J133:L133"/>
    <mergeCell ref="M133:U133"/>
    <mergeCell ref="V131:AC131"/>
    <mergeCell ref="AD131:AE131"/>
    <mergeCell ref="B132:C132"/>
    <mergeCell ref="D132:E132"/>
    <mergeCell ref="F132:G132"/>
    <mergeCell ref="H132:I132"/>
    <mergeCell ref="J132:L132"/>
    <mergeCell ref="M132:U132"/>
    <mergeCell ref="V132:AC132"/>
    <mergeCell ref="AD132:AE132"/>
    <mergeCell ref="B131:C131"/>
    <mergeCell ref="D131:E131"/>
    <mergeCell ref="F131:G131"/>
    <mergeCell ref="H131:I131"/>
    <mergeCell ref="J131:L131"/>
    <mergeCell ref="M131:U131"/>
    <mergeCell ref="V129:AC129"/>
    <mergeCell ref="AD129:AE129"/>
    <mergeCell ref="B130:C130"/>
    <mergeCell ref="D130:E130"/>
    <mergeCell ref="F130:G130"/>
    <mergeCell ref="H130:I130"/>
    <mergeCell ref="J130:L130"/>
    <mergeCell ref="M130:U130"/>
    <mergeCell ref="V130:AC130"/>
    <mergeCell ref="AD130:AE130"/>
    <mergeCell ref="B129:C129"/>
    <mergeCell ref="D129:E129"/>
    <mergeCell ref="F129:G129"/>
    <mergeCell ref="H129:I129"/>
    <mergeCell ref="J129:L129"/>
    <mergeCell ref="M129:U129"/>
    <mergeCell ref="V127:AC127"/>
    <mergeCell ref="AD127:AE127"/>
    <mergeCell ref="B128:C128"/>
    <mergeCell ref="D128:E128"/>
    <mergeCell ref="F128:G128"/>
    <mergeCell ref="H128:I128"/>
    <mergeCell ref="J128:L128"/>
    <mergeCell ref="M128:U128"/>
    <mergeCell ref="V128:AC128"/>
    <mergeCell ref="AD128:AE128"/>
    <mergeCell ref="B127:C127"/>
    <mergeCell ref="D127:E127"/>
    <mergeCell ref="F127:G127"/>
    <mergeCell ref="H127:I127"/>
    <mergeCell ref="J127:L127"/>
    <mergeCell ref="M127:U127"/>
    <mergeCell ref="V125:AC125"/>
    <mergeCell ref="AD125:AE125"/>
    <mergeCell ref="B126:C126"/>
    <mergeCell ref="D126:E126"/>
    <mergeCell ref="F126:G126"/>
    <mergeCell ref="H126:I126"/>
    <mergeCell ref="J126:L126"/>
    <mergeCell ref="M126:U126"/>
    <mergeCell ref="V126:AC126"/>
    <mergeCell ref="AD126:AE126"/>
    <mergeCell ref="B125:C125"/>
    <mergeCell ref="D125:E125"/>
    <mergeCell ref="F125:G125"/>
    <mergeCell ref="H125:I125"/>
    <mergeCell ref="J125:L125"/>
    <mergeCell ref="M125:U125"/>
    <mergeCell ref="V123:AC123"/>
    <mergeCell ref="AD123:AE123"/>
    <mergeCell ref="B124:C124"/>
    <mergeCell ref="D124:E124"/>
    <mergeCell ref="F124:G124"/>
    <mergeCell ref="H124:I124"/>
    <mergeCell ref="J124:L124"/>
    <mergeCell ref="M124:U124"/>
    <mergeCell ref="V124:AC124"/>
    <mergeCell ref="AD124:AE124"/>
    <mergeCell ref="B123:C123"/>
    <mergeCell ref="D123:E123"/>
    <mergeCell ref="F123:G123"/>
    <mergeCell ref="H123:I123"/>
    <mergeCell ref="J123:L123"/>
    <mergeCell ref="M123:U123"/>
    <mergeCell ref="V121:AC121"/>
    <mergeCell ref="AD121:AE121"/>
    <mergeCell ref="B122:C122"/>
    <mergeCell ref="D122:E122"/>
    <mergeCell ref="F122:G122"/>
    <mergeCell ref="H122:I122"/>
    <mergeCell ref="J122:L122"/>
    <mergeCell ref="M122:U122"/>
    <mergeCell ref="V122:AC122"/>
    <mergeCell ref="AD122:AE122"/>
    <mergeCell ref="B121:C121"/>
    <mergeCell ref="D121:E121"/>
    <mergeCell ref="F121:G121"/>
    <mergeCell ref="H121:I121"/>
    <mergeCell ref="J121:L121"/>
    <mergeCell ref="M121:U121"/>
    <mergeCell ref="AD119:AE119"/>
    <mergeCell ref="B120:C120"/>
    <mergeCell ref="D120:E120"/>
    <mergeCell ref="F120:G120"/>
    <mergeCell ref="H120:I120"/>
    <mergeCell ref="J120:L120"/>
    <mergeCell ref="M120:U120"/>
    <mergeCell ref="V120:AC120"/>
    <mergeCell ref="AD120:AE120"/>
    <mergeCell ref="Z117:AA117"/>
    <mergeCell ref="AB117:AC117"/>
    <mergeCell ref="AD117:AE117"/>
    <mergeCell ref="B119:C119"/>
    <mergeCell ref="D119:E119"/>
    <mergeCell ref="F119:G119"/>
    <mergeCell ref="H119:I119"/>
    <mergeCell ref="J119:L119"/>
    <mergeCell ref="M119:U119"/>
    <mergeCell ref="V119:AC119"/>
    <mergeCell ref="AD115:AE115"/>
    <mergeCell ref="B116:I116"/>
    <mergeCell ref="J116:L116"/>
    <mergeCell ref="M116:S116"/>
    <mergeCell ref="T116:Y116"/>
    <mergeCell ref="Z116:AA116"/>
    <mergeCell ref="AB116:AC116"/>
    <mergeCell ref="AD116:AE116"/>
    <mergeCell ref="AD114:AE114"/>
    <mergeCell ref="B115:C115"/>
    <mergeCell ref="D115:E115"/>
    <mergeCell ref="F115:G115"/>
    <mergeCell ref="H115:I115"/>
    <mergeCell ref="J115:L115"/>
    <mergeCell ref="M115:S115"/>
    <mergeCell ref="T115:Y115"/>
    <mergeCell ref="Z115:AA115"/>
    <mergeCell ref="AB115:AC115"/>
    <mergeCell ref="AD113:AE113"/>
    <mergeCell ref="B114:C114"/>
    <mergeCell ref="D114:E114"/>
    <mergeCell ref="F114:G114"/>
    <mergeCell ref="H114:I114"/>
    <mergeCell ref="J114:L114"/>
    <mergeCell ref="M114:S114"/>
    <mergeCell ref="T114:Y114"/>
    <mergeCell ref="Z114:AA114"/>
    <mergeCell ref="AB114:AC114"/>
    <mergeCell ref="AD112:AE112"/>
    <mergeCell ref="B113:C113"/>
    <mergeCell ref="D113:E113"/>
    <mergeCell ref="F113:G113"/>
    <mergeCell ref="H113:I113"/>
    <mergeCell ref="J113:L113"/>
    <mergeCell ref="M113:S113"/>
    <mergeCell ref="T113:Y113"/>
    <mergeCell ref="Z113:AA113"/>
    <mergeCell ref="AB113:AC113"/>
    <mergeCell ref="AD111:AE111"/>
    <mergeCell ref="B112:C112"/>
    <mergeCell ref="D112:E112"/>
    <mergeCell ref="F112:G112"/>
    <mergeCell ref="H112:I112"/>
    <mergeCell ref="J112:L112"/>
    <mergeCell ref="M112:S112"/>
    <mergeCell ref="T112:Y112"/>
    <mergeCell ref="Z112:AA112"/>
    <mergeCell ref="AB112:AC112"/>
    <mergeCell ref="AD110:AE110"/>
    <mergeCell ref="B111:C111"/>
    <mergeCell ref="D111:E111"/>
    <mergeCell ref="F111:G111"/>
    <mergeCell ref="H111:I111"/>
    <mergeCell ref="J111:L111"/>
    <mergeCell ref="M111:S111"/>
    <mergeCell ref="T111:Y111"/>
    <mergeCell ref="Z111:AA111"/>
    <mergeCell ref="AB111:AC111"/>
    <mergeCell ref="AD109:AE109"/>
    <mergeCell ref="B110:C110"/>
    <mergeCell ref="D110:E110"/>
    <mergeCell ref="F110:G110"/>
    <mergeCell ref="H110:I110"/>
    <mergeCell ref="J110:L110"/>
    <mergeCell ref="M110:S110"/>
    <mergeCell ref="T110:Y110"/>
    <mergeCell ref="Z110:AA110"/>
    <mergeCell ref="AB110:AC110"/>
    <mergeCell ref="AD108:AE108"/>
    <mergeCell ref="B109:C109"/>
    <mergeCell ref="D109:E109"/>
    <mergeCell ref="F109:G109"/>
    <mergeCell ref="H109:I109"/>
    <mergeCell ref="J109:L109"/>
    <mergeCell ref="M109:S109"/>
    <mergeCell ref="T109:Y109"/>
    <mergeCell ref="Z109:AA109"/>
    <mergeCell ref="AB109:AC109"/>
    <mergeCell ref="AD107:AE107"/>
    <mergeCell ref="B108:C108"/>
    <mergeCell ref="D108:E108"/>
    <mergeCell ref="F108:G108"/>
    <mergeCell ref="H108:I108"/>
    <mergeCell ref="J108:L108"/>
    <mergeCell ref="M108:S108"/>
    <mergeCell ref="T108:Y108"/>
    <mergeCell ref="Z108:AA108"/>
    <mergeCell ref="AB108:AC108"/>
    <mergeCell ref="AD106:AE106"/>
    <mergeCell ref="B107:C107"/>
    <mergeCell ref="D107:E107"/>
    <mergeCell ref="F107:G107"/>
    <mergeCell ref="H107:I107"/>
    <mergeCell ref="J107:L107"/>
    <mergeCell ref="M107:S107"/>
    <mergeCell ref="T107:Y107"/>
    <mergeCell ref="Z107:AA107"/>
    <mergeCell ref="AB107:AC107"/>
    <mergeCell ref="AD105:AE105"/>
    <mergeCell ref="B106:C106"/>
    <mergeCell ref="D106:E106"/>
    <mergeCell ref="F106:G106"/>
    <mergeCell ref="H106:I106"/>
    <mergeCell ref="J106:L106"/>
    <mergeCell ref="M106:S106"/>
    <mergeCell ref="T106:Y106"/>
    <mergeCell ref="Z106:AA106"/>
    <mergeCell ref="AB106:AC106"/>
    <mergeCell ref="AD104:AE104"/>
    <mergeCell ref="B105:C105"/>
    <mergeCell ref="D105:E105"/>
    <mergeCell ref="F105:G105"/>
    <mergeCell ref="H105:I105"/>
    <mergeCell ref="J105:L105"/>
    <mergeCell ref="M105:S105"/>
    <mergeCell ref="T105:Y105"/>
    <mergeCell ref="Z105:AA105"/>
    <mergeCell ref="AB105:AC105"/>
    <mergeCell ref="AD103:AE103"/>
    <mergeCell ref="B104:C104"/>
    <mergeCell ref="D104:E104"/>
    <mergeCell ref="F104:G104"/>
    <mergeCell ref="H104:I104"/>
    <mergeCell ref="J104:L104"/>
    <mergeCell ref="M104:S104"/>
    <mergeCell ref="T104:Y104"/>
    <mergeCell ref="Z104:AA104"/>
    <mergeCell ref="AB104:AC104"/>
    <mergeCell ref="AD102:AE102"/>
    <mergeCell ref="B103:C103"/>
    <mergeCell ref="D103:E103"/>
    <mergeCell ref="F103:G103"/>
    <mergeCell ref="H103:I103"/>
    <mergeCell ref="J103:L103"/>
    <mergeCell ref="M103:S103"/>
    <mergeCell ref="T103:Y103"/>
    <mergeCell ref="Z103:AA103"/>
    <mergeCell ref="AB103:AC103"/>
    <mergeCell ref="AD101:AE101"/>
    <mergeCell ref="B102:C102"/>
    <mergeCell ref="D102:E102"/>
    <mergeCell ref="F102:G102"/>
    <mergeCell ref="H102:I102"/>
    <mergeCell ref="J102:L102"/>
    <mergeCell ref="M102:S102"/>
    <mergeCell ref="T102:Y102"/>
    <mergeCell ref="Z102:AA102"/>
    <mergeCell ref="AB102:AC102"/>
    <mergeCell ref="AD100:AE100"/>
    <mergeCell ref="B101:C101"/>
    <mergeCell ref="D101:E101"/>
    <mergeCell ref="F101:G101"/>
    <mergeCell ref="H101:I101"/>
    <mergeCell ref="J101:L101"/>
    <mergeCell ref="M101:S101"/>
    <mergeCell ref="T101:Y101"/>
    <mergeCell ref="Z101:AA101"/>
    <mergeCell ref="AB101:AC101"/>
    <mergeCell ref="AD99:AE99"/>
    <mergeCell ref="B100:C100"/>
    <mergeCell ref="D100:E100"/>
    <mergeCell ref="F100:G100"/>
    <mergeCell ref="H100:I100"/>
    <mergeCell ref="J100:L100"/>
    <mergeCell ref="M100:S100"/>
    <mergeCell ref="T100:Y100"/>
    <mergeCell ref="Z100:AA100"/>
    <mergeCell ref="AB100:AC100"/>
    <mergeCell ref="AD98:AE98"/>
    <mergeCell ref="B99:C99"/>
    <mergeCell ref="D99:E99"/>
    <mergeCell ref="F99:G99"/>
    <mergeCell ref="H99:I99"/>
    <mergeCell ref="J99:L99"/>
    <mergeCell ref="M99:S99"/>
    <mergeCell ref="T99:Y99"/>
    <mergeCell ref="Z99:AA99"/>
    <mergeCell ref="AB99:AC99"/>
    <mergeCell ref="AD97:AE97"/>
    <mergeCell ref="B98:C98"/>
    <mergeCell ref="D98:E98"/>
    <mergeCell ref="F98:G98"/>
    <mergeCell ref="H98:I98"/>
    <mergeCell ref="J98:L98"/>
    <mergeCell ref="M98:S98"/>
    <mergeCell ref="T98:Y98"/>
    <mergeCell ref="Z98:AA98"/>
    <mergeCell ref="AB98:AC98"/>
    <mergeCell ref="AD96:AE96"/>
    <mergeCell ref="B97:C97"/>
    <mergeCell ref="D97:E97"/>
    <mergeCell ref="F97:G97"/>
    <mergeCell ref="H97:I97"/>
    <mergeCell ref="J97:L97"/>
    <mergeCell ref="M97:S97"/>
    <mergeCell ref="T97:Y97"/>
    <mergeCell ref="Z97:AA97"/>
    <mergeCell ref="AB97:AC97"/>
    <mergeCell ref="AD95:AE95"/>
    <mergeCell ref="B96:C96"/>
    <mergeCell ref="D96:E96"/>
    <mergeCell ref="F96:G96"/>
    <mergeCell ref="H96:I96"/>
    <mergeCell ref="J96:L96"/>
    <mergeCell ref="M96:S96"/>
    <mergeCell ref="T96:Y96"/>
    <mergeCell ref="Z96:AA96"/>
    <mergeCell ref="AB96:AC96"/>
    <mergeCell ref="AD94:AE94"/>
    <mergeCell ref="B95:C95"/>
    <mergeCell ref="D95:E95"/>
    <mergeCell ref="F95:G95"/>
    <mergeCell ref="H95:I95"/>
    <mergeCell ref="J95:L95"/>
    <mergeCell ref="M95:S95"/>
    <mergeCell ref="T95:Y95"/>
    <mergeCell ref="Z95:AA95"/>
    <mergeCell ref="AB95:AC95"/>
    <mergeCell ref="AD93:AE93"/>
    <mergeCell ref="B94:C94"/>
    <mergeCell ref="D94:E94"/>
    <mergeCell ref="F94:G94"/>
    <mergeCell ref="H94:I94"/>
    <mergeCell ref="J94:L94"/>
    <mergeCell ref="M94:S94"/>
    <mergeCell ref="T94:Y94"/>
    <mergeCell ref="Z94:AA94"/>
    <mergeCell ref="AB94:AC94"/>
    <mergeCell ref="AD92:AE92"/>
    <mergeCell ref="B93:C93"/>
    <mergeCell ref="D93:E93"/>
    <mergeCell ref="F93:G93"/>
    <mergeCell ref="H93:I93"/>
    <mergeCell ref="J93:L93"/>
    <mergeCell ref="M93:S93"/>
    <mergeCell ref="T93:Y93"/>
    <mergeCell ref="Z93:AA93"/>
    <mergeCell ref="AB93:AC93"/>
    <mergeCell ref="AD91:AE91"/>
    <mergeCell ref="B92:C92"/>
    <mergeCell ref="D92:E92"/>
    <mergeCell ref="F92:G92"/>
    <mergeCell ref="H92:I92"/>
    <mergeCell ref="J92:L92"/>
    <mergeCell ref="M92:S92"/>
    <mergeCell ref="T92:Y92"/>
    <mergeCell ref="Z92:AA92"/>
    <mergeCell ref="AB92:AC92"/>
    <mergeCell ref="AD90:AE90"/>
    <mergeCell ref="B91:C91"/>
    <mergeCell ref="D91:E91"/>
    <mergeCell ref="F91:G91"/>
    <mergeCell ref="H91:I91"/>
    <mergeCell ref="J91:L91"/>
    <mergeCell ref="M91:S91"/>
    <mergeCell ref="T91:Y91"/>
    <mergeCell ref="Z91:AA91"/>
    <mergeCell ref="AB91:AC91"/>
    <mergeCell ref="AD89:AE89"/>
    <mergeCell ref="B90:C90"/>
    <mergeCell ref="D90:E90"/>
    <mergeCell ref="F90:G90"/>
    <mergeCell ref="H90:I90"/>
    <mergeCell ref="J90:L90"/>
    <mergeCell ref="M90:S90"/>
    <mergeCell ref="T90:Y90"/>
    <mergeCell ref="Z90:AA90"/>
    <mergeCell ref="AB90:AC90"/>
    <mergeCell ref="AD88:AE88"/>
    <mergeCell ref="B89:C89"/>
    <mergeCell ref="D89:E89"/>
    <mergeCell ref="F89:G89"/>
    <mergeCell ref="H89:I89"/>
    <mergeCell ref="J89:L89"/>
    <mergeCell ref="M89:S89"/>
    <mergeCell ref="T89:Y89"/>
    <mergeCell ref="Z89:AA89"/>
    <mergeCell ref="AB89:AC89"/>
    <mergeCell ref="AD87:AE87"/>
    <mergeCell ref="B88:C88"/>
    <mergeCell ref="D88:E88"/>
    <mergeCell ref="F88:G88"/>
    <mergeCell ref="H88:I88"/>
    <mergeCell ref="J88:L88"/>
    <mergeCell ref="M88:S88"/>
    <mergeCell ref="T88:Y88"/>
    <mergeCell ref="Z88:AA88"/>
    <mergeCell ref="AB88:AC88"/>
    <mergeCell ref="AD86:AE86"/>
    <mergeCell ref="B87:C87"/>
    <mergeCell ref="D87:E87"/>
    <mergeCell ref="F87:G87"/>
    <mergeCell ref="H87:I87"/>
    <mergeCell ref="J87:L87"/>
    <mergeCell ref="M87:S87"/>
    <mergeCell ref="T87:Y87"/>
    <mergeCell ref="Z87:AA87"/>
    <mergeCell ref="AB87:AC87"/>
    <mergeCell ref="AD85:AE85"/>
    <mergeCell ref="B86:C86"/>
    <mergeCell ref="D86:E86"/>
    <mergeCell ref="F86:G86"/>
    <mergeCell ref="H86:I86"/>
    <mergeCell ref="J86:L86"/>
    <mergeCell ref="M86:S86"/>
    <mergeCell ref="T86:Y86"/>
    <mergeCell ref="Z86:AA86"/>
    <mergeCell ref="AB86:AC86"/>
    <mergeCell ref="B83:AE83"/>
    <mergeCell ref="B85:C85"/>
    <mergeCell ref="D85:E85"/>
    <mergeCell ref="F85:G85"/>
    <mergeCell ref="H85:I85"/>
    <mergeCell ref="J85:L85"/>
    <mergeCell ref="M85:S85"/>
    <mergeCell ref="T85:Y85"/>
    <mergeCell ref="Z85:AA85"/>
    <mergeCell ref="AB85:AC85"/>
    <mergeCell ref="T81:U81"/>
    <mergeCell ref="V81:W81"/>
    <mergeCell ref="X81:Y81"/>
    <mergeCell ref="Z81:AA81"/>
    <mergeCell ref="AB81:AC81"/>
    <mergeCell ref="AD81:AE81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R81:S81"/>
    <mergeCell ref="R80:S80"/>
    <mergeCell ref="T80:U80"/>
    <mergeCell ref="V80:W80"/>
    <mergeCell ref="X80:Y80"/>
    <mergeCell ref="Z80:AA80"/>
    <mergeCell ref="AB80:AC80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P80:Q80"/>
    <mergeCell ref="P79:Q79"/>
    <mergeCell ref="R79:S79"/>
    <mergeCell ref="T79:U79"/>
    <mergeCell ref="V79:W79"/>
    <mergeCell ref="X79:Y79"/>
    <mergeCell ref="Z79:AA79"/>
    <mergeCell ref="Z78:AA78"/>
    <mergeCell ref="AB78:AC78"/>
    <mergeCell ref="AD78:AE78"/>
    <mergeCell ref="B79:C79"/>
    <mergeCell ref="D79:E79"/>
    <mergeCell ref="F79:G79"/>
    <mergeCell ref="H79:I79"/>
    <mergeCell ref="J79:K79"/>
    <mergeCell ref="L79:M79"/>
    <mergeCell ref="N79:O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T77:U77"/>
    <mergeCell ref="V77:W77"/>
    <mergeCell ref="X77:Y77"/>
    <mergeCell ref="Z77:AA77"/>
    <mergeCell ref="AB77:AC77"/>
    <mergeCell ref="AD77:AE77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R77:S77"/>
    <mergeCell ref="R76:S76"/>
    <mergeCell ref="T76:U76"/>
    <mergeCell ref="V76:W76"/>
    <mergeCell ref="X76:Y76"/>
    <mergeCell ref="Z76:AA76"/>
    <mergeCell ref="AB76:AC76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P76:Q76"/>
    <mergeCell ref="P75:Q75"/>
    <mergeCell ref="R75:S75"/>
    <mergeCell ref="T75:U75"/>
    <mergeCell ref="V75:W75"/>
    <mergeCell ref="X75:Y75"/>
    <mergeCell ref="Z75:AA75"/>
    <mergeCell ref="Z74:AA74"/>
    <mergeCell ref="AB74:AC74"/>
    <mergeCell ref="AD74:AE74"/>
    <mergeCell ref="B75:C75"/>
    <mergeCell ref="D75:E75"/>
    <mergeCell ref="F75:G75"/>
    <mergeCell ref="H75:I75"/>
    <mergeCell ref="J75:K75"/>
    <mergeCell ref="L75:M75"/>
    <mergeCell ref="N75:O75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T73:U73"/>
    <mergeCell ref="V73:W73"/>
    <mergeCell ref="X73:Y73"/>
    <mergeCell ref="Z73:AA73"/>
    <mergeCell ref="AB73:AC73"/>
    <mergeCell ref="AD73:AE73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R73:S73"/>
    <mergeCell ref="R72:S72"/>
    <mergeCell ref="T72:U72"/>
    <mergeCell ref="V72:W72"/>
    <mergeCell ref="X72:Y72"/>
    <mergeCell ref="Z72:AA72"/>
    <mergeCell ref="AB72:AC72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P72:Q72"/>
    <mergeCell ref="P71:Q71"/>
    <mergeCell ref="R71:S71"/>
    <mergeCell ref="T71:U71"/>
    <mergeCell ref="V71:W71"/>
    <mergeCell ref="X71:Y71"/>
    <mergeCell ref="Z71:AA71"/>
    <mergeCell ref="Z70:AA70"/>
    <mergeCell ref="AB70:AC70"/>
    <mergeCell ref="AD70:AE70"/>
    <mergeCell ref="B71:C71"/>
    <mergeCell ref="D71:E71"/>
    <mergeCell ref="F71:G71"/>
    <mergeCell ref="H71:I71"/>
    <mergeCell ref="J71:K71"/>
    <mergeCell ref="L71:M71"/>
    <mergeCell ref="N71:O71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T69:U69"/>
    <mergeCell ref="V69:W69"/>
    <mergeCell ref="X69:Y69"/>
    <mergeCell ref="Z69:AA69"/>
    <mergeCell ref="AB69:AC69"/>
    <mergeCell ref="AD69:AE69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R69:S69"/>
    <mergeCell ref="R68:S68"/>
    <mergeCell ref="T68:U68"/>
    <mergeCell ref="V68:W68"/>
    <mergeCell ref="X68:Y68"/>
    <mergeCell ref="Z68:AA68"/>
    <mergeCell ref="AB68:AC68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P68:Q68"/>
    <mergeCell ref="P67:Q67"/>
    <mergeCell ref="R67:S67"/>
    <mergeCell ref="T67:U67"/>
    <mergeCell ref="V67:W67"/>
    <mergeCell ref="X67:Y67"/>
    <mergeCell ref="Z67:AA67"/>
    <mergeCell ref="Z66:AA66"/>
    <mergeCell ref="AB66:AC66"/>
    <mergeCell ref="AD66:AE66"/>
    <mergeCell ref="B67:C67"/>
    <mergeCell ref="D67:E67"/>
    <mergeCell ref="F67:G67"/>
    <mergeCell ref="H67:I67"/>
    <mergeCell ref="J67:K67"/>
    <mergeCell ref="L67:M67"/>
    <mergeCell ref="N67:O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T65:U65"/>
    <mergeCell ref="V65:W65"/>
    <mergeCell ref="X65:Y65"/>
    <mergeCell ref="Z65:AA65"/>
    <mergeCell ref="AB65:AC65"/>
    <mergeCell ref="AD65:AE65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R65:S65"/>
    <mergeCell ref="R64:S64"/>
    <mergeCell ref="T64:U64"/>
    <mergeCell ref="V64:W64"/>
    <mergeCell ref="X64:Y64"/>
    <mergeCell ref="Z64:AA64"/>
    <mergeCell ref="AB64:AC64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P64:Q64"/>
    <mergeCell ref="P63:Q63"/>
    <mergeCell ref="R63:S63"/>
    <mergeCell ref="T63:U63"/>
    <mergeCell ref="V63:W63"/>
    <mergeCell ref="X63:Y63"/>
    <mergeCell ref="Z63:AA63"/>
    <mergeCell ref="Z62:AA62"/>
    <mergeCell ref="AB62:AC62"/>
    <mergeCell ref="AD62:AE62"/>
    <mergeCell ref="B63:C63"/>
    <mergeCell ref="D63:E63"/>
    <mergeCell ref="F63:G63"/>
    <mergeCell ref="H63:I63"/>
    <mergeCell ref="J63:K63"/>
    <mergeCell ref="L63:M63"/>
    <mergeCell ref="N63:O63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T61:U61"/>
    <mergeCell ref="V61:W61"/>
    <mergeCell ref="X61:Y61"/>
    <mergeCell ref="Z61:AA61"/>
    <mergeCell ref="AB61:AC61"/>
    <mergeCell ref="AD61:AE61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R60:S60"/>
    <mergeCell ref="T60:U60"/>
    <mergeCell ref="V60:W60"/>
    <mergeCell ref="X60:Y60"/>
    <mergeCell ref="Z60:AA60"/>
    <mergeCell ref="AB60:AC60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P60:Q60"/>
    <mergeCell ref="P59:Q59"/>
    <mergeCell ref="R59:S59"/>
    <mergeCell ref="T59:U59"/>
    <mergeCell ref="V59:W59"/>
    <mergeCell ref="X59:Y59"/>
    <mergeCell ref="Z59:AA59"/>
    <mergeCell ref="Z58:AA58"/>
    <mergeCell ref="AB58:AC58"/>
    <mergeCell ref="AD58:AE58"/>
    <mergeCell ref="B59:C59"/>
    <mergeCell ref="D59:E59"/>
    <mergeCell ref="F59:G59"/>
    <mergeCell ref="H59:I59"/>
    <mergeCell ref="J59:K59"/>
    <mergeCell ref="L59:M59"/>
    <mergeCell ref="N59:O59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T57:U57"/>
    <mergeCell ref="V57:W57"/>
    <mergeCell ref="X57:Y57"/>
    <mergeCell ref="Z57:AA57"/>
    <mergeCell ref="AB57:AC57"/>
    <mergeCell ref="AD57:AE57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R57:S57"/>
    <mergeCell ref="R56:S56"/>
    <mergeCell ref="T56:U56"/>
    <mergeCell ref="V56:W56"/>
    <mergeCell ref="X56:Y56"/>
    <mergeCell ref="Z56:AA56"/>
    <mergeCell ref="AB56:AC56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D55:E55"/>
    <mergeCell ref="F55:G55"/>
    <mergeCell ref="H55:I55"/>
    <mergeCell ref="J55:K55"/>
    <mergeCell ref="L55:M55"/>
    <mergeCell ref="N55:O55"/>
    <mergeCell ref="M51:Q51"/>
    <mergeCell ref="R51:S51"/>
    <mergeCell ref="T51:U51"/>
    <mergeCell ref="V51:W51"/>
    <mergeCell ref="X51:Y51"/>
    <mergeCell ref="B54:AE54"/>
    <mergeCell ref="M49:Q49"/>
    <mergeCell ref="R49:S49"/>
    <mergeCell ref="T49:U49"/>
    <mergeCell ref="V49:W49"/>
    <mergeCell ref="X49:Y49"/>
    <mergeCell ref="M50:Q50"/>
    <mergeCell ref="R50:S50"/>
    <mergeCell ref="T50:U50"/>
    <mergeCell ref="V50:W50"/>
    <mergeCell ref="X50:Y50"/>
    <mergeCell ref="X47:Y47"/>
    <mergeCell ref="M48:Q48"/>
    <mergeCell ref="R48:S48"/>
    <mergeCell ref="T48:U48"/>
    <mergeCell ref="V48:W48"/>
    <mergeCell ref="X48:Y48"/>
    <mergeCell ref="M46:Q46"/>
    <mergeCell ref="R46:S46"/>
    <mergeCell ref="T46:U46"/>
    <mergeCell ref="V46:W46"/>
    <mergeCell ref="X46:Y46"/>
    <mergeCell ref="K47:L47"/>
    <mergeCell ref="M47:Q47"/>
    <mergeCell ref="R47:S47"/>
    <mergeCell ref="T47:U47"/>
    <mergeCell ref="V47:W47"/>
    <mergeCell ref="M44:Q44"/>
    <mergeCell ref="R44:S44"/>
    <mergeCell ref="T44:U44"/>
    <mergeCell ref="V44:W44"/>
    <mergeCell ref="X44:Y44"/>
    <mergeCell ref="M45:Q45"/>
    <mergeCell ref="R45:S45"/>
    <mergeCell ref="T45:U45"/>
    <mergeCell ref="V45:W45"/>
    <mergeCell ref="X45:Y45"/>
    <mergeCell ref="M42:Q42"/>
    <mergeCell ref="R42:S42"/>
    <mergeCell ref="T42:U42"/>
    <mergeCell ref="V42:W42"/>
    <mergeCell ref="X42:Y42"/>
    <mergeCell ref="M43:Q43"/>
    <mergeCell ref="R43:S43"/>
    <mergeCell ref="T43:U43"/>
    <mergeCell ref="V43:W43"/>
    <mergeCell ref="X43:Y43"/>
    <mergeCell ref="M40:Q40"/>
    <mergeCell ref="R40:S40"/>
    <mergeCell ref="T40:U40"/>
    <mergeCell ref="V40:W40"/>
    <mergeCell ref="X40:Y40"/>
    <mergeCell ref="M41:Q41"/>
    <mergeCell ref="R41:S41"/>
    <mergeCell ref="T41:U41"/>
    <mergeCell ref="V41:W41"/>
    <mergeCell ref="X41:Y41"/>
    <mergeCell ref="M38:Q38"/>
    <mergeCell ref="R38:S38"/>
    <mergeCell ref="T38:U38"/>
    <mergeCell ref="V38:W38"/>
    <mergeCell ref="X38:Y38"/>
    <mergeCell ref="M39:Q39"/>
    <mergeCell ref="R39:S39"/>
    <mergeCell ref="T39:U39"/>
    <mergeCell ref="V39:W39"/>
    <mergeCell ref="X39:Y39"/>
    <mergeCell ref="X36:Y36"/>
    <mergeCell ref="M37:Q37"/>
    <mergeCell ref="R37:S37"/>
    <mergeCell ref="T37:U37"/>
    <mergeCell ref="V37:W37"/>
    <mergeCell ref="X37:Y37"/>
    <mergeCell ref="L35:L46"/>
    <mergeCell ref="M35:Q35"/>
    <mergeCell ref="R35:S35"/>
    <mergeCell ref="T35:U35"/>
    <mergeCell ref="V35:W35"/>
    <mergeCell ref="X35:Y35"/>
    <mergeCell ref="M36:Q36"/>
    <mergeCell ref="R36:S36"/>
    <mergeCell ref="T36:U36"/>
    <mergeCell ref="V36:W36"/>
    <mergeCell ref="M33:Q33"/>
    <mergeCell ref="R33:S33"/>
    <mergeCell ref="T33:U33"/>
    <mergeCell ref="V33:W33"/>
    <mergeCell ref="X33:Y33"/>
    <mergeCell ref="M34:Q34"/>
    <mergeCell ref="R34:S34"/>
    <mergeCell ref="T34:U34"/>
    <mergeCell ref="V34:W34"/>
    <mergeCell ref="X34:Y34"/>
    <mergeCell ref="K32:L32"/>
    <mergeCell ref="M32:Q32"/>
    <mergeCell ref="R32:S32"/>
    <mergeCell ref="T32:U32"/>
    <mergeCell ref="V32:W32"/>
    <mergeCell ref="X32:Y32"/>
    <mergeCell ref="AD26:AE26"/>
    <mergeCell ref="N27:O27"/>
    <mergeCell ref="P27:R27"/>
    <mergeCell ref="B29:AE29"/>
    <mergeCell ref="R31:S31"/>
    <mergeCell ref="T31:U31"/>
    <mergeCell ref="V31:W31"/>
    <mergeCell ref="X31:Y31"/>
    <mergeCell ref="N26:O26"/>
    <mergeCell ref="P26:R26"/>
    <mergeCell ref="S26:T27"/>
    <mergeCell ref="U26:V27"/>
    <mergeCell ref="Y26:AA26"/>
    <mergeCell ref="AB26:AC26"/>
    <mergeCell ref="Y24:AA24"/>
    <mergeCell ref="AB24:AC24"/>
    <mergeCell ref="AD24:AE24"/>
    <mergeCell ref="N25:V25"/>
    <mergeCell ref="Y25:AA25"/>
    <mergeCell ref="AB25:AC25"/>
    <mergeCell ref="AD25:AE25"/>
    <mergeCell ref="Y22:AA22"/>
    <mergeCell ref="AB22:AC22"/>
    <mergeCell ref="AD22:AE22"/>
    <mergeCell ref="Y23:AA23"/>
    <mergeCell ref="AB23:AC23"/>
    <mergeCell ref="AD23:AE23"/>
    <mergeCell ref="Y20:AA20"/>
    <mergeCell ref="AB20:AC20"/>
    <mergeCell ref="AD20:AE20"/>
    <mergeCell ref="Y21:AA21"/>
    <mergeCell ref="AB21:AC21"/>
    <mergeCell ref="AD21:AE21"/>
    <mergeCell ref="B18:L18"/>
    <mergeCell ref="Q18:W18"/>
    <mergeCell ref="Y18:AA18"/>
    <mergeCell ref="AB18:AC18"/>
    <mergeCell ref="AD18:AE18"/>
    <mergeCell ref="B19:L27"/>
    <mergeCell ref="Q19:V19"/>
    <mergeCell ref="Y19:AA19"/>
    <mergeCell ref="AB19:AC19"/>
    <mergeCell ref="AD19:AE19"/>
    <mergeCell ref="AB16:AC16"/>
    <mergeCell ref="AD16:AE16"/>
    <mergeCell ref="Q17:W17"/>
    <mergeCell ref="Y17:AA17"/>
    <mergeCell ref="AB17:AC17"/>
    <mergeCell ref="AD17:AE17"/>
    <mergeCell ref="B12:L17"/>
    <mergeCell ref="Q12:W14"/>
    <mergeCell ref="AB12:AC12"/>
    <mergeCell ref="AB14:AC14"/>
    <mergeCell ref="AD14:AE14"/>
    <mergeCell ref="Q15:S15"/>
    <mergeCell ref="Y15:AA15"/>
    <mergeCell ref="AB15:AC15"/>
    <mergeCell ref="AD15:AE15"/>
    <mergeCell ref="Y16:AA16"/>
    <mergeCell ref="E8:W8"/>
    <mergeCell ref="AC8:AE8"/>
    <mergeCell ref="E9:W9"/>
    <mergeCell ref="AB10:AC10"/>
    <mergeCell ref="B11:L11"/>
    <mergeCell ref="Q11:R11"/>
    <mergeCell ref="S11:W11"/>
    <mergeCell ref="AB11:AC11"/>
    <mergeCell ref="E5:W5"/>
    <mergeCell ref="AC5:AE5"/>
    <mergeCell ref="E6:G6"/>
    <mergeCell ref="Q6:W6"/>
    <mergeCell ref="AC6:AE6"/>
    <mergeCell ref="AC7:AE7"/>
    <mergeCell ref="X1:Y1"/>
    <mergeCell ref="Z1:AB1"/>
    <mergeCell ref="E3:L3"/>
    <mergeCell ref="Q3:W3"/>
    <mergeCell ref="Y3:AB4"/>
    <mergeCell ref="AC3:AE4"/>
    <mergeCell ref="E4:W4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1986" r:id="rId4" name="cmd_Pintar">
          <controlPr defaultSize="0" autoLine="0" r:id="rId5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1986" r:id="rId4" name="cmd_Pintar"/>
      </mc:Fallback>
    </mc:AlternateContent>
    <mc:AlternateContent xmlns:mc="http://schemas.openxmlformats.org/markup-compatibility/2006">
      <mc:Choice Requires="x14">
        <control shapeId="41985" r:id="rId6" name="cmd_Lock">
          <controlPr defaultSize="0" autoLine="0" r:id="rId7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1985" r:id="rId6" name="cmd_Loc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1">
    <tabColor rgb="FF00B050"/>
  </sheetPr>
  <dimension ref="A1:AH182"/>
  <sheetViews>
    <sheetView showGridLines="0" showRowColHeaders="0" zoomScale="85" zoomScaleNormal="85" workbookViewId="0">
      <selection activeCell="B12" sqref="B12:L17"/>
    </sheetView>
  </sheetViews>
  <sheetFormatPr defaultColWidth="0" defaultRowHeight="12.75" customHeight="1" zeroHeight="1" x14ac:dyDescent="0.25"/>
  <cols>
    <col min="1" max="1" width="1.7109375" style="257" customWidth="1"/>
    <col min="2" max="7" width="6.28515625" style="257" customWidth="1"/>
    <col min="8" max="8" width="6" style="257" customWidth="1"/>
    <col min="9" max="9" width="7.28515625" style="257" customWidth="1"/>
    <col min="10" max="30" width="6.28515625" style="257" customWidth="1"/>
    <col min="31" max="31" width="7.140625" style="257" customWidth="1"/>
    <col min="32" max="32" width="1.7109375" style="257" customWidth="1"/>
    <col min="33" max="33" width="25.85546875" style="257" hidden="1" customWidth="1"/>
    <col min="34" max="34" width="10.28515625" style="257" hidden="1" customWidth="1"/>
    <col min="35" max="16384" width="0" style="257" hidden="1"/>
  </cols>
  <sheetData>
    <row r="1" spans="1:34" ht="20.25" x14ac:dyDescent="0.2">
      <c r="A1" s="256"/>
      <c r="C1" s="296" t="s">
        <v>935</v>
      </c>
      <c r="D1" s="297"/>
      <c r="E1" s="297"/>
      <c r="F1" s="297"/>
      <c r="G1" s="297"/>
      <c r="H1" s="297"/>
      <c r="I1" s="297"/>
      <c r="J1" s="298"/>
      <c r="K1" s="298"/>
      <c r="L1" s="298"/>
      <c r="M1" s="297"/>
      <c r="N1" s="297"/>
      <c r="O1" s="299"/>
      <c r="P1" s="299"/>
      <c r="Q1" s="299"/>
      <c r="R1" s="299"/>
      <c r="S1" s="299"/>
      <c r="T1" s="299"/>
      <c r="U1" s="299"/>
      <c r="V1" s="299"/>
      <c r="W1" s="299"/>
      <c r="X1" s="707" t="s">
        <v>442</v>
      </c>
      <c r="Y1" s="707"/>
      <c r="Z1" s="708">
        <v>20171219181138</v>
      </c>
      <c r="AA1" s="708"/>
      <c r="AB1" s="708"/>
      <c r="AC1" s="299"/>
    </row>
    <row r="2" spans="1:34" ht="22.5" customHeight="1" thickBot="1" x14ac:dyDescent="0.3">
      <c r="C2" s="220" t="s">
        <v>859</v>
      </c>
      <c r="D2" s="295" t="s">
        <v>1092</v>
      </c>
      <c r="E2" s="259"/>
      <c r="F2" s="259"/>
      <c r="G2" s="259"/>
      <c r="H2" s="259"/>
      <c r="I2" s="259"/>
      <c r="M2" s="259"/>
      <c r="N2" s="259"/>
      <c r="AH2" s="260"/>
    </row>
    <row r="3" spans="1:34" ht="15" customHeight="1" thickTop="1" x14ac:dyDescent="0.25">
      <c r="B3" s="303"/>
      <c r="C3" s="303"/>
      <c r="D3" s="304" t="s">
        <v>235</v>
      </c>
      <c r="E3" s="709" t="s">
        <v>1098</v>
      </c>
      <c r="F3" s="710"/>
      <c r="G3" s="710"/>
      <c r="H3" s="710"/>
      <c r="I3" s="710"/>
      <c r="J3" s="710"/>
      <c r="K3" s="710"/>
      <c r="L3" s="711"/>
      <c r="N3" s="306"/>
      <c r="O3" s="306"/>
      <c r="P3" s="324" t="s">
        <v>1059</v>
      </c>
      <c r="Q3" s="712" t="s">
        <v>1099</v>
      </c>
      <c r="R3" s="713"/>
      <c r="S3" s="713"/>
      <c r="T3" s="713"/>
      <c r="U3" s="713"/>
      <c r="V3" s="713"/>
      <c r="W3" s="714"/>
      <c r="Y3" s="715" t="s">
        <v>1060</v>
      </c>
      <c r="Z3" s="716"/>
      <c r="AA3" s="716"/>
      <c r="AB3" s="716"/>
      <c r="AC3" s="719">
        <v>5000000</v>
      </c>
      <c r="AD3" s="719"/>
      <c r="AE3" s="720"/>
    </row>
    <row r="4" spans="1:34" ht="15" customHeight="1" thickBot="1" x14ac:dyDescent="0.3">
      <c r="B4" s="303"/>
      <c r="C4" s="303"/>
      <c r="D4" s="304" t="s">
        <v>825</v>
      </c>
      <c r="E4" s="697" t="s">
        <v>1097</v>
      </c>
      <c r="F4" s="698"/>
      <c r="G4" s="698"/>
      <c r="H4" s="698"/>
      <c r="I4" s="698"/>
      <c r="J4" s="698"/>
      <c r="K4" s="698"/>
      <c r="L4" s="698"/>
      <c r="M4" s="698"/>
      <c r="N4" s="698"/>
      <c r="O4" s="698"/>
      <c r="P4" s="698"/>
      <c r="Q4" s="698"/>
      <c r="R4" s="698"/>
      <c r="S4" s="698"/>
      <c r="T4" s="698"/>
      <c r="U4" s="698"/>
      <c r="V4" s="698"/>
      <c r="W4" s="699"/>
      <c r="Y4" s="717"/>
      <c r="Z4" s="718"/>
      <c r="AA4" s="718"/>
      <c r="AB4" s="718"/>
      <c r="AC4" s="721"/>
      <c r="AD4" s="721"/>
      <c r="AE4" s="722"/>
    </row>
    <row r="5" spans="1:34" ht="15" customHeight="1" thickTop="1" x14ac:dyDescent="0.25">
      <c r="B5" s="303"/>
      <c r="C5" s="303"/>
      <c r="D5" s="304" t="s">
        <v>658</v>
      </c>
      <c r="E5" s="697" t="s">
        <v>1096</v>
      </c>
      <c r="F5" s="698"/>
      <c r="G5" s="698"/>
      <c r="H5" s="698"/>
      <c r="I5" s="698"/>
      <c r="J5" s="698"/>
      <c r="K5" s="698"/>
      <c r="L5" s="698"/>
      <c r="M5" s="698"/>
      <c r="N5" s="698"/>
      <c r="O5" s="698"/>
      <c r="P5" s="698"/>
      <c r="Q5" s="698"/>
      <c r="R5" s="698"/>
      <c r="S5" s="698"/>
      <c r="T5" s="698"/>
      <c r="U5" s="698"/>
      <c r="V5" s="698"/>
      <c r="W5" s="699"/>
      <c r="Y5" s="264"/>
      <c r="Z5" s="275"/>
      <c r="AA5" s="275"/>
      <c r="AB5" s="292" t="s">
        <v>918</v>
      </c>
      <c r="AC5" s="700">
        <v>0</v>
      </c>
      <c r="AD5" s="700"/>
      <c r="AE5" s="701"/>
    </row>
    <row r="6" spans="1:34" ht="15" customHeight="1" x14ac:dyDescent="0.25">
      <c r="B6" s="303"/>
      <c r="C6" s="303"/>
      <c r="D6" s="304" t="s">
        <v>397</v>
      </c>
      <c r="E6" s="461" t="s">
        <v>1044</v>
      </c>
      <c r="F6" s="462"/>
      <c r="G6" s="463"/>
      <c r="J6" s="303"/>
      <c r="K6" s="304" t="s">
        <v>1079</v>
      </c>
      <c r="L6" s="263" t="s">
        <v>927</v>
      </c>
      <c r="N6" s="308"/>
      <c r="O6" s="309"/>
      <c r="P6" s="325" t="s">
        <v>11</v>
      </c>
      <c r="Q6" s="702" t="s">
        <v>15</v>
      </c>
      <c r="R6" s="703"/>
      <c r="S6" s="703"/>
      <c r="T6" s="703"/>
      <c r="U6" s="703"/>
      <c r="V6" s="703"/>
      <c r="W6" s="704"/>
      <c r="Y6" s="264"/>
      <c r="Z6" s="275"/>
      <c r="AA6" s="275"/>
      <c r="AB6" s="292" t="s">
        <v>919</v>
      </c>
      <c r="AC6" s="705">
        <v>5000000</v>
      </c>
      <c r="AD6" s="705"/>
      <c r="AE6" s="706"/>
      <c r="AG6" s="260"/>
    </row>
    <row r="7" spans="1:34" ht="15" customHeight="1" x14ac:dyDescent="0.25">
      <c r="B7" s="322"/>
      <c r="C7" s="322"/>
      <c r="D7" s="322"/>
      <c r="Y7" s="264"/>
      <c r="Z7" s="275"/>
      <c r="AA7" s="275"/>
      <c r="AB7" s="292" t="s">
        <v>823</v>
      </c>
      <c r="AC7" s="705">
        <v>0</v>
      </c>
      <c r="AD7" s="705"/>
      <c r="AE7" s="706"/>
    </row>
    <row r="8" spans="1:34" ht="15" customHeight="1" x14ac:dyDescent="0.25">
      <c r="B8" s="303"/>
      <c r="C8" s="303"/>
      <c r="D8" s="304" t="s">
        <v>225</v>
      </c>
      <c r="E8" s="688" t="s">
        <v>988</v>
      </c>
      <c r="F8" s="689"/>
      <c r="G8" s="689"/>
      <c r="H8" s="689"/>
      <c r="I8" s="689"/>
      <c r="J8" s="689"/>
      <c r="K8" s="689"/>
      <c r="L8" s="689"/>
      <c r="M8" s="689"/>
      <c r="N8" s="689"/>
      <c r="O8" s="689"/>
      <c r="P8" s="689"/>
      <c r="Q8" s="689"/>
      <c r="R8" s="689"/>
      <c r="S8" s="689"/>
      <c r="T8" s="689"/>
      <c r="U8" s="689"/>
      <c r="V8" s="689"/>
      <c r="W8" s="690"/>
      <c r="Y8" s="272"/>
      <c r="Z8" s="294"/>
      <c r="AA8" s="294"/>
      <c r="AB8" s="293" t="s">
        <v>427</v>
      </c>
      <c r="AC8" s="691">
        <v>0</v>
      </c>
      <c r="AD8" s="691"/>
      <c r="AE8" s="692"/>
    </row>
    <row r="9" spans="1:34" ht="15" customHeight="1" x14ac:dyDescent="0.25">
      <c r="B9" s="303"/>
      <c r="C9" s="303"/>
      <c r="D9" s="305" t="s">
        <v>910</v>
      </c>
      <c r="E9" s="693" t="s">
        <v>411</v>
      </c>
      <c r="F9" s="694"/>
      <c r="G9" s="694"/>
      <c r="H9" s="694"/>
      <c r="I9" s="694"/>
      <c r="J9" s="694"/>
      <c r="K9" s="694"/>
      <c r="L9" s="694"/>
      <c r="M9" s="694"/>
      <c r="N9" s="694"/>
      <c r="O9" s="694"/>
      <c r="P9" s="694"/>
      <c r="Q9" s="694"/>
      <c r="R9" s="694"/>
      <c r="S9" s="694"/>
      <c r="T9" s="694"/>
      <c r="U9" s="694"/>
      <c r="V9" s="694"/>
      <c r="W9" s="695"/>
    </row>
    <row r="10" spans="1:34" ht="15" customHeight="1" x14ac:dyDescent="0.25">
      <c r="Y10" s="303"/>
      <c r="Z10" s="303"/>
      <c r="AA10" s="304" t="s">
        <v>664</v>
      </c>
      <c r="AB10" s="680">
        <v>5000000</v>
      </c>
      <c r="AC10" s="680"/>
      <c r="AH10" s="260"/>
    </row>
    <row r="11" spans="1:34" ht="15" customHeight="1" x14ac:dyDescent="0.25">
      <c r="B11" s="696" t="s">
        <v>226</v>
      </c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N11" s="303"/>
      <c r="O11" s="303"/>
      <c r="P11" s="304" t="s">
        <v>227</v>
      </c>
      <c r="Q11" s="450" t="s">
        <v>1102</v>
      </c>
      <c r="R11" s="452"/>
      <c r="S11" s="450" t="s">
        <v>1102</v>
      </c>
      <c r="T11" s="451"/>
      <c r="U11" s="451"/>
      <c r="V11" s="451"/>
      <c r="W11" s="452"/>
      <c r="Y11" s="303"/>
      <c r="Z11" s="303"/>
      <c r="AA11" s="304" t="s">
        <v>826</v>
      </c>
      <c r="AB11" s="680">
        <v>5000000</v>
      </c>
      <c r="AC11" s="680"/>
      <c r="AH11" s="260"/>
    </row>
    <row r="12" spans="1:34" ht="15" customHeight="1" x14ac:dyDescent="0.25">
      <c r="B12" s="668" t="s">
        <v>1100</v>
      </c>
      <c r="C12" s="669"/>
      <c r="D12" s="669"/>
      <c r="E12" s="669"/>
      <c r="F12" s="669"/>
      <c r="G12" s="669"/>
      <c r="H12" s="669"/>
      <c r="I12" s="669"/>
      <c r="J12" s="669"/>
      <c r="K12" s="669"/>
      <c r="L12" s="670"/>
      <c r="N12" s="303"/>
      <c r="O12" s="303"/>
      <c r="P12" s="304" t="s">
        <v>432</v>
      </c>
      <c r="Q12" s="668" t="s">
        <v>275</v>
      </c>
      <c r="R12" s="669"/>
      <c r="S12" s="669"/>
      <c r="T12" s="669"/>
      <c r="U12" s="669"/>
      <c r="V12" s="669"/>
      <c r="W12" s="670"/>
      <c r="Y12" s="303"/>
      <c r="Z12" s="303"/>
      <c r="AA12" s="304" t="s">
        <v>832</v>
      </c>
      <c r="AB12" s="680">
        <v>5000000</v>
      </c>
      <c r="AC12" s="680"/>
      <c r="AH12" s="260"/>
    </row>
    <row r="13" spans="1:34" ht="15" customHeight="1" x14ac:dyDescent="0.25">
      <c r="B13" s="671"/>
      <c r="C13" s="672"/>
      <c r="D13" s="672"/>
      <c r="E13" s="672"/>
      <c r="F13" s="672"/>
      <c r="G13" s="672"/>
      <c r="H13" s="672"/>
      <c r="I13" s="672"/>
      <c r="J13" s="672"/>
      <c r="K13" s="672"/>
      <c r="L13" s="673"/>
      <c r="N13" s="303"/>
      <c r="O13" s="303"/>
      <c r="P13" s="304"/>
      <c r="Q13" s="671"/>
      <c r="R13" s="672"/>
      <c r="S13" s="672"/>
      <c r="T13" s="672"/>
      <c r="U13" s="672"/>
      <c r="V13" s="672"/>
      <c r="W13" s="673"/>
    </row>
    <row r="14" spans="1:34" ht="15" customHeight="1" x14ac:dyDescent="0.25">
      <c r="B14" s="671"/>
      <c r="C14" s="672"/>
      <c r="D14" s="672"/>
      <c r="E14" s="672"/>
      <c r="F14" s="672"/>
      <c r="G14" s="672"/>
      <c r="H14" s="672"/>
      <c r="I14" s="672"/>
      <c r="J14" s="672"/>
      <c r="K14" s="672"/>
      <c r="L14" s="673"/>
      <c r="N14" s="303"/>
      <c r="O14" s="303"/>
      <c r="P14" s="304"/>
      <c r="Q14" s="674"/>
      <c r="R14" s="675"/>
      <c r="S14" s="675"/>
      <c r="T14" s="675"/>
      <c r="U14" s="675"/>
      <c r="V14" s="675"/>
      <c r="W14" s="676"/>
      <c r="AB14" s="681" t="s">
        <v>33</v>
      </c>
      <c r="AC14" s="681"/>
      <c r="AD14" s="682" t="s">
        <v>824</v>
      </c>
      <c r="AE14" s="682"/>
    </row>
    <row r="15" spans="1:34" ht="15" customHeight="1" x14ac:dyDescent="0.25">
      <c r="B15" s="671"/>
      <c r="C15" s="672"/>
      <c r="D15" s="672"/>
      <c r="E15" s="672"/>
      <c r="F15" s="672"/>
      <c r="G15" s="672"/>
      <c r="H15" s="672"/>
      <c r="I15" s="672"/>
      <c r="J15" s="672"/>
      <c r="K15" s="672"/>
      <c r="L15" s="673"/>
      <c r="N15" s="303"/>
      <c r="O15" s="303"/>
      <c r="P15" s="304" t="s">
        <v>265</v>
      </c>
      <c r="Q15" s="450" t="s">
        <v>1103</v>
      </c>
      <c r="R15" s="451"/>
      <c r="S15" s="452"/>
      <c r="T15" s="262"/>
      <c r="U15" s="262"/>
      <c r="V15" s="262"/>
      <c r="W15" s="262"/>
      <c r="Y15" s="683" t="s">
        <v>36</v>
      </c>
      <c r="Z15" s="684"/>
      <c r="AA15" s="685"/>
      <c r="AB15" s="686">
        <v>0</v>
      </c>
      <c r="AC15" s="687"/>
      <c r="AD15" s="686">
        <v>0</v>
      </c>
      <c r="AE15" s="687"/>
      <c r="AH15" s="261"/>
    </row>
    <row r="16" spans="1:34" ht="15" customHeight="1" x14ac:dyDescent="0.25">
      <c r="B16" s="671"/>
      <c r="C16" s="672"/>
      <c r="D16" s="672"/>
      <c r="E16" s="672"/>
      <c r="F16" s="672"/>
      <c r="G16" s="672"/>
      <c r="H16" s="672"/>
      <c r="I16" s="672"/>
      <c r="J16" s="672"/>
      <c r="K16" s="672"/>
      <c r="L16" s="673"/>
      <c r="N16" s="302"/>
      <c r="O16" s="302"/>
      <c r="Y16" s="662" t="s">
        <v>789</v>
      </c>
      <c r="Z16" s="663"/>
      <c r="AA16" s="664"/>
      <c r="AB16" s="665">
        <v>0</v>
      </c>
      <c r="AC16" s="665"/>
      <c r="AD16" s="665">
        <v>0</v>
      </c>
      <c r="AE16" s="665"/>
    </row>
    <row r="17" spans="2:31" ht="15" customHeight="1" x14ac:dyDescent="0.25">
      <c r="B17" s="674"/>
      <c r="C17" s="675"/>
      <c r="D17" s="675"/>
      <c r="E17" s="675"/>
      <c r="F17" s="675"/>
      <c r="G17" s="675"/>
      <c r="H17" s="675"/>
      <c r="I17" s="675"/>
      <c r="J17" s="675"/>
      <c r="K17" s="675"/>
      <c r="L17" s="676"/>
      <c r="N17" s="304"/>
      <c r="O17" s="304"/>
      <c r="P17" s="305" t="s">
        <v>277</v>
      </c>
      <c r="Q17" s="461" t="s">
        <v>1013</v>
      </c>
      <c r="R17" s="462"/>
      <c r="S17" s="462"/>
      <c r="T17" s="462"/>
      <c r="U17" s="462"/>
      <c r="V17" s="462"/>
      <c r="W17" s="463"/>
      <c r="Y17" s="662" t="s">
        <v>981</v>
      </c>
      <c r="Z17" s="663"/>
      <c r="AA17" s="664"/>
      <c r="AB17" s="665">
        <v>0</v>
      </c>
      <c r="AC17" s="665"/>
      <c r="AD17" s="665">
        <v>0</v>
      </c>
      <c r="AE17" s="665"/>
    </row>
    <row r="18" spans="2:31" ht="15.75" customHeight="1" x14ac:dyDescent="0.25">
      <c r="B18" s="667" t="s">
        <v>41</v>
      </c>
      <c r="C18" s="667"/>
      <c r="D18" s="667"/>
      <c r="E18" s="667"/>
      <c r="F18" s="667"/>
      <c r="G18" s="667"/>
      <c r="H18" s="667"/>
      <c r="I18" s="667"/>
      <c r="J18" s="667"/>
      <c r="K18" s="667"/>
      <c r="L18" s="667"/>
      <c r="N18" s="304"/>
      <c r="O18" s="304"/>
      <c r="P18" s="305" t="s">
        <v>229</v>
      </c>
      <c r="Q18" s="461" t="s">
        <v>1101</v>
      </c>
      <c r="R18" s="462"/>
      <c r="S18" s="462"/>
      <c r="T18" s="462"/>
      <c r="U18" s="462"/>
      <c r="V18" s="462"/>
      <c r="W18" s="463"/>
      <c r="Y18" s="662" t="s">
        <v>661</v>
      </c>
      <c r="Z18" s="663"/>
      <c r="AA18" s="664"/>
      <c r="AB18" s="665">
        <v>0</v>
      </c>
      <c r="AC18" s="665"/>
      <c r="AD18" s="665">
        <v>0</v>
      </c>
      <c r="AE18" s="665"/>
    </row>
    <row r="19" spans="2:31" ht="14.25" customHeight="1" x14ac:dyDescent="0.25">
      <c r="B19" s="668" t="s">
        <v>1130</v>
      </c>
      <c r="C19" s="669"/>
      <c r="D19" s="669"/>
      <c r="E19" s="669"/>
      <c r="F19" s="669"/>
      <c r="G19" s="669"/>
      <c r="H19" s="669"/>
      <c r="I19" s="669"/>
      <c r="J19" s="669"/>
      <c r="K19" s="669"/>
      <c r="L19" s="670"/>
      <c r="N19" s="304"/>
      <c r="O19" s="304"/>
      <c r="P19" s="305" t="s">
        <v>1023</v>
      </c>
      <c r="Q19" s="677" t="s">
        <v>949</v>
      </c>
      <c r="R19" s="678"/>
      <c r="S19" s="678"/>
      <c r="T19" s="678"/>
      <c r="U19" s="678"/>
      <c r="V19" s="679"/>
      <c r="W19" s="263" t="s">
        <v>1028</v>
      </c>
      <c r="Y19" s="662" t="s">
        <v>673</v>
      </c>
      <c r="Z19" s="663"/>
      <c r="AA19" s="664"/>
      <c r="AB19" s="665">
        <v>0</v>
      </c>
      <c r="AC19" s="665"/>
      <c r="AD19" s="665">
        <v>0</v>
      </c>
      <c r="AE19" s="665"/>
    </row>
    <row r="20" spans="2:31" ht="15" customHeight="1" x14ac:dyDescent="0.25">
      <c r="B20" s="671"/>
      <c r="C20" s="672"/>
      <c r="D20" s="672"/>
      <c r="E20" s="672"/>
      <c r="F20" s="672"/>
      <c r="G20" s="672"/>
      <c r="H20" s="672"/>
      <c r="I20" s="672"/>
      <c r="J20" s="672"/>
      <c r="K20" s="672"/>
      <c r="L20" s="673"/>
      <c r="Y20" s="662" t="s">
        <v>178</v>
      </c>
      <c r="Z20" s="663"/>
      <c r="AA20" s="664"/>
      <c r="AB20" s="665">
        <v>0</v>
      </c>
      <c r="AC20" s="665"/>
      <c r="AD20" s="665">
        <v>0</v>
      </c>
      <c r="AE20" s="665"/>
    </row>
    <row r="21" spans="2:31" ht="12.75" customHeight="1" x14ac:dyDescent="0.25">
      <c r="B21" s="671"/>
      <c r="C21" s="672"/>
      <c r="D21" s="672"/>
      <c r="E21" s="672"/>
      <c r="F21" s="672"/>
      <c r="G21" s="672"/>
      <c r="H21" s="672"/>
      <c r="I21" s="672"/>
      <c r="J21" s="672"/>
      <c r="K21" s="672"/>
      <c r="L21" s="673"/>
      <c r="M21" s="262"/>
      <c r="N21" s="262"/>
      <c r="O21" s="262"/>
      <c r="P21" s="262"/>
      <c r="Q21" s="262"/>
      <c r="R21" s="262"/>
      <c r="Y21" s="662" t="s">
        <v>183</v>
      </c>
      <c r="Z21" s="663"/>
      <c r="AA21" s="664"/>
      <c r="AB21" s="665">
        <v>0</v>
      </c>
      <c r="AC21" s="665"/>
      <c r="AD21" s="665">
        <v>0</v>
      </c>
      <c r="AE21" s="665"/>
    </row>
    <row r="22" spans="2:31" x14ac:dyDescent="0.25">
      <c r="B22" s="671"/>
      <c r="C22" s="672"/>
      <c r="D22" s="672"/>
      <c r="E22" s="672"/>
      <c r="F22" s="672"/>
      <c r="G22" s="672"/>
      <c r="H22" s="672"/>
      <c r="I22" s="672"/>
      <c r="J22" s="672"/>
      <c r="K22" s="672"/>
      <c r="L22" s="673"/>
      <c r="M22" s="262"/>
      <c r="N22" s="262"/>
      <c r="O22" s="262"/>
      <c r="P22" s="262"/>
      <c r="Q22" s="262"/>
      <c r="R22" s="262"/>
      <c r="Y22" s="662" t="s">
        <v>440</v>
      </c>
      <c r="Z22" s="663"/>
      <c r="AA22" s="664"/>
      <c r="AB22" s="665">
        <v>0</v>
      </c>
      <c r="AC22" s="665"/>
      <c r="AD22" s="665">
        <v>0</v>
      </c>
      <c r="AE22" s="665"/>
    </row>
    <row r="23" spans="2:31" x14ac:dyDescent="0.25">
      <c r="B23" s="671"/>
      <c r="C23" s="672"/>
      <c r="D23" s="672"/>
      <c r="E23" s="672"/>
      <c r="F23" s="672"/>
      <c r="G23" s="672"/>
      <c r="H23" s="672"/>
      <c r="I23" s="672"/>
      <c r="J23" s="672"/>
      <c r="K23" s="672"/>
      <c r="L23" s="673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Y23" s="662" t="s">
        <v>1029</v>
      </c>
      <c r="Z23" s="663"/>
      <c r="AA23" s="664"/>
      <c r="AB23" s="665">
        <v>0</v>
      </c>
      <c r="AC23" s="665"/>
      <c r="AD23" s="665">
        <v>0</v>
      </c>
      <c r="AE23" s="665"/>
    </row>
    <row r="24" spans="2:31" x14ac:dyDescent="0.25">
      <c r="B24" s="671"/>
      <c r="C24" s="672"/>
      <c r="D24" s="672"/>
      <c r="E24" s="672"/>
      <c r="F24" s="672"/>
      <c r="G24" s="672"/>
      <c r="H24" s="672"/>
      <c r="I24" s="672"/>
      <c r="J24" s="672"/>
      <c r="K24" s="672"/>
      <c r="L24" s="673"/>
      <c r="Y24" s="662" t="s">
        <v>1090</v>
      </c>
      <c r="Z24" s="663"/>
      <c r="AA24" s="664"/>
      <c r="AB24" s="665">
        <v>0</v>
      </c>
      <c r="AC24" s="665"/>
      <c r="AD24" s="665">
        <v>0</v>
      </c>
      <c r="AE24" s="665"/>
    </row>
    <row r="25" spans="2:31" ht="15" customHeight="1" x14ac:dyDescent="0.25">
      <c r="B25" s="671"/>
      <c r="C25" s="672"/>
      <c r="D25" s="672"/>
      <c r="E25" s="672"/>
      <c r="F25" s="672"/>
      <c r="G25" s="672"/>
      <c r="H25" s="672"/>
      <c r="I25" s="672"/>
      <c r="J25" s="672"/>
      <c r="K25" s="672"/>
      <c r="L25" s="673"/>
      <c r="N25" s="666" t="s">
        <v>1061</v>
      </c>
      <c r="O25" s="498"/>
      <c r="P25" s="498"/>
      <c r="Q25" s="498"/>
      <c r="R25" s="498"/>
      <c r="S25" s="498"/>
      <c r="T25" s="498"/>
      <c r="U25" s="498"/>
      <c r="V25" s="499"/>
      <c r="W25" s="262"/>
      <c r="X25" s="262"/>
      <c r="Y25" s="662" t="s">
        <v>855</v>
      </c>
      <c r="Z25" s="663"/>
      <c r="AA25" s="664"/>
      <c r="AB25" s="665">
        <v>0</v>
      </c>
      <c r="AC25" s="665"/>
      <c r="AD25" s="665">
        <v>0</v>
      </c>
      <c r="AE25" s="665"/>
    </row>
    <row r="26" spans="2:31" x14ac:dyDescent="0.25">
      <c r="B26" s="671"/>
      <c r="C26" s="672"/>
      <c r="D26" s="672"/>
      <c r="E26" s="672"/>
      <c r="F26" s="672"/>
      <c r="G26" s="672"/>
      <c r="H26" s="672"/>
      <c r="I26" s="672"/>
      <c r="J26" s="672"/>
      <c r="K26" s="672"/>
      <c r="L26" s="673"/>
      <c r="N26" s="649" t="s">
        <v>827</v>
      </c>
      <c r="O26" s="650"/>
      <c r="P26" s="642" t="s">
        <v>1104</v>
      </c>
      <c r="Q26" s="643"/>
      <c r="R26" s="644"/>
      <c r="S26" s="651" t="s">
        <v>835</v>
      </c>
      <c r="T26" s="652"/>
      <c r="U26" s="655" t="s">
        <v>275</v>
      </c>
      <c r="V26" s="656"/>
      <c r="Y26" s="659" t="s">
        <v>59</v>
      </c>
      <c r="Z26" s="660"/>
      <c r="AA26" s="661"/>
      <c r="AB26" s="639" t="s">
        <v>59</v>
      </c>
      <c r="AC26" s="639"/>
      <c r="AD26" s="639" t="s">
        <v>59</v>
      </c>
      <c r="AE26" s="639"/>
    </row>
    <row r="27" spans="2:31" x14ac:dyDescent="0.25">
      <c r="B27" s="674"/>
      <c r="C27" s="675"/>
      <c r="D27" s="675"/>
      <c r="E27" s="675"/>
      <c r="F27" s="675"/>
      <c r="G27" s="675"/>
      <c r="H27" s="675"/>
      <c r="I27" s="675"/>
      <c r="J27" s="675"/>
      <c r="K27" s="675"/>
      <c r="L27" s="676"/>
      <c r="N27" s="640" t="s">
        <v>828</v>
      </c>
      <c r="O27" s="641"/>
      <c r="P27" s="642" t="s">
        <v>1105</v>
      </c>
      <c r="Q27" s="643"/>
      <c r="R27" s="644"/>
      <c r="S27" s="653"/>
      <c r="T27" s="654"/>
      <c r="U27" s="657"/>
      <c r="V27" s="658"/>
      <c r="W27" s="262"/>
      <c r="X27" s="262"/>
    </row>
    <row r="28" spans="2:31" x14ac:dyDescent="0.25"/>
    <row r="29" spans="2:31" ht="15" customHeight="1" x14ac:dyDescent="0.25">
      <c r="B29" s="497" t="s">
        <v>813</v>
      </c>
      <c r="C29" s="498"/>
      <c r="D29" s="498"/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9"/>
    </row>
    <row r="30" spans="2:31" ht="13.5" thickBot="1" x14ac:dyDescent="0.3">
      <c r="B30" s="264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5"/>
    </row>
    <row r="31" spans="2:31" ht="25.5" customHeight="1" thickBot="1" x14ac:dyDescent="0.3">
      <c r="B31" s="264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645">
        <v>2018</v>
      </c>
      <c r="S31" s="646"/>
      <c r="T31" s="647">
        <v>2019</v>
      </c>
      <c r="U31" s="646"/>
      <c r="V31" s="647" t="s">
        <v>76</v>
      </c>
      <c r="W31" s="648"/>
      <c r="X31" s="645" t="s">
        <v>815</v>
      </c>
      <c r="Y31" s="648"/>
      <c r="Z31" s="262"/>
      <c r="AA31" s="262"/>
      <c r="AB31" s="262"/>
      <c r="AC31" s="262"/>
      <c r="AD31" s="262"/>
      <c r="AE31" s="265"/>
    </row>
    <row r="32" spans="2:31" ht="15" customHeight="1" x14ac:dyDescent="0.25">
      <c r="B32" s="264"/>
      <c r="C32" s="262"/>
      <c r="D32" s="262"/>
      <c r="E32" s="262"/>
      <c r="F32" s="262"/>
      <c r="G32" s="262"/>
      <c r="H32" s="262"/>
      <c r="I32" s="262"/>
      <c r="J32" s="262"/>
      <c r="K32" s="633" t="s">
        <v>57</v>
      </c>
      <c r="L32" s="634"/>
      <c r="M32" s="614" t="s">
        <v>921</v>
      </c>
      <c r="N32" s="614"/>
      <c r="O32" s="614"/>
      <c r="P32" s="614"/>
      <c r="Q32" s="615"/>
      <c r="R32" s="635">
        <v>0</v>
      </c>
      <c r="S32" s="636"/>
      <c r="T32" s="637">
        <v>0</v>
      </c>
      <c r="U32" s="636"/>
      <c r="V32" s="637">
        <v>0</v>
      </c>
      <c r="W32" s="638"/>
      <c r="X32" s="635">
        <v>0</v>
      </c>
      <c r="Y32" s="638"/>
      <c r="Z32" s="262"/>
      <c r="AA32" s="262"/>
      <c r="AB32" s="262"/>
      <c r="AC32" s="262"/>
      <c r="AD32" s="262"/>
      <c r="AE32" s="265"/>
    </row>
    <row r="33" spans="2:31" ht="12.75" customHeight="1" x14ac:dyDescent="0.25">
      <c r="B33" s="264"/>
      <c r="C33" s="262"/>
      <c r="D33" s="262"/>
      <c r="E33" s="262"/>
      <c r="F33" s="262"/>
      <c r="G33" s="262"/>
      <c r="H33" s="262"/>
      <c r="I33" s="262"/>
      <c r="J33" s="262"/>
      <c r="K33" s="266"/>
      <c r="L33" s="267"/>
      <c r="M33" s="599" t="s">
        <v>268</v>
      </c>
      <c r="N33" s="599"/>
      <c r="O33" s="599"/>
      <c r="P33" s="599"/>
      <c r="Q33" s="600"/>
      <c r="R33" s="601">
        <v>5000000</v>
      </c>
      <c r="S33" s="602"/>
      <c r="T33" s="603">
        <v>0</v>
      </c>
      <c r="U33" s="602"/>
      <c r="V33" s="603">
        <v>0</v>
      </c>
      <c r="W33" s="604"/>
      <c r="X33" s="601">
        <v>5000000</v>
      </c>
      <c r="Y33" s="604"/>
      <c r="Z33" s="262"/>
      <c r="AA33" s="262"/>
      <c r="AB33" s="262"/>
      <c r="AC33" s="262"/>
      <c r="AD33" s="262"/>
      <c r="AE33" s="265"/>
    </row>
    <row r="34" spans="2:31" ht="15" customHeight="1" x14ac:dyDescent="0.25">
      <c r="B34" s="264"/>
      <c r="C34" s="262"/>
      <c r="D34" s="262"/>
      <c r="E34" s="262"/>
      <c r="F34" s="262"/>
      <c r="G34" s="262"/>
      <c r="H34" s="262"/>
      <c r="I34" s="262"/>
      <c r="J34" s="262"/>
      <c r="K34" s="266"/>
      <c r="L34" s="267"/>
      <c r="M34" s="627" t="s">
        <v>814</v>
      </c>
      <c r="N34" s="627"/>
      <c r="O34" s="627"/>
      <c r="P34" s="627"/>
      <c r="Q34" s="628"/>
      <c r="R34" s="601">
        <v>0</v>
      </c>
      <c r="S34" s="602"/>
      <c r="T34" s="629">
        <v>0</v>
      </c>
      <c r="U34" s="630"/>
      <c r="V34" s="629">
        <v>0</v>
      </c>
      <c r="W34" s="631"/>
      <c r="X34" s="632">
        <v>0</v>
      </c>
      <c r="Y34" s="631"/>
      <c r="Z34" s="262"/>
      <c r="AA34" s="262"/>
      <c r="AB34" s="262"/>
      <c r="AC34" s="262"/>
      <c r="AD34" s="262"/>
      <c r="AE34" s="265"/>
    </row>
    <row r="35" spans="2:31" ht="12.75" customHeight="1" x14ac:dyDescent="0.25">
      <c r="B35" s="264"/>
      <c r="C35" s="262"/>
      <c r="D35" s="262"/>
      <c r="E35" s="262"/>
      <c r="F35" s="262"/>
      <c r="G35" s="262"/>
      <c r="H35" s="262"/>
      <c r="I35" s="262"/>
      <c r="J35" s="262"/>
      <c r="K35" s="266"/>
      <c r="L35" s="618" t="s">
        <v>33</v>
      </c>
      <c r="M35" s="619" t="s">
        <v>36</v>
      </c>
      <c r="N35" s="619"/>
      <c r="O35" s="619"/>
      <c r="P35" s="619"/>
      <c r="Q35" s="620"/>
      <c r="R35" s="621">
        <v>0</v>
      </c>
      <c r="S35" s="622"/>
      <c r="T35" s="623">
        <v>0</v>
      </c>
      <c r="U35" s="624"/>
      <c r="V35" s="623">
        <v>0</v>
      </c>
      <c r="W35" s="625"/>
      <c r="X35" s="626">
        <v>0</v>
      </c>
      <c r="Y35" s="625"/>
      <c r="Z35" s="262"/>
      <c r="AA35" s="262"/>
      <c r="AB35" s="262"/>
      <c r="AC35" s="262"/>
      <c r="AD35" s="262"/>
      <c r="AE35" s="265"/>
    </row>
    <row r="36" spans="2:31" x14ac:dyDescent="0.25">
      <c r="B36" s="264"/>
      <c r="C36" s="262"/>
      <c r="D36" s="262"/>
      <c r="E36" s="262"/>
      <c r="F36" s="262"/>
      <c r="G36" s="262"/>
      <c r="H36" s="262"/>
      <c r="I36" s="262"/>
      <c r="J36" s="262"/>
      <c r="K36" s="266"/>
      <c r="L36" s="618"/>
      <c r="M36" s="607" t="s">
        <v>789</v>
      </c>
      <c r="N36" s="607"/>
      <c r="O36" s="607"/>
      <c r="P36" s="607"/>
      <c r="Q36" s="608"/>
      <c r="R36" s="609">
        <v>0</v>
      </c>
      <c r="S36" s="610"/>
      <c r="T36" s="603">
        <v>0</v>
      </c>
      <c r="U36" s="602"/>
      <c r="V36" s="603">
        <v>0</v>
      </c>
      <c r="W36" s="604"/>
      <c r="X36" s="601">
        <v>0</v>
      </c>
      <c r="Y36" s="604"/>
      <c r="Z36" s="262"/>
      <c r="AA36" s="262"/>
      <c r="AB36" s="262"/>
      <c r="AC36" s="262"/>
      <c r="AD36" s="262"/>
      <c r="AE36" s="265"/>
    </row>
    <row r="37" spans="2:31" x14ac:dyDescent="0.25">
      <c r="B37" s="264"/>
      <c r="C37" s="262"/>
      <c r="D37" s="262"/>
      <c r="E37" s="262"/>
      <c r="F37" s="262"/>
      <c r="G37" s="262"/>
      <c r="H37" s="262"/>
      <c r="I37" s="262"/>
      <c r="J37" s="262"/>
      <c r="K37" s="266"/>
      <c r="L37" s="618"/>
      <c r="M37" s="607" t="s">
        <v>981</v>
      </c>
      <c r="N37" s="607"/>
      <c r="O37" s="607"/>
      <c r="P37" s="607"/>
      <c r="Q37" s="608"/>
      <c r="R37" s="609">
        <v>0</v>
      </c>
      <c r="S37" s="610"/>
      <c r="T37" s="603">
        <v>0</v>
      </c>
      <c r="U37" s="602"/>
      <c r="V37" s="603">
        <v>0</v>
      </c>
      <c r="W37" s="604"/>
      <c r="X37" s="601">
        <v>0</v>
      </c>
      <c r="Y37" s="604"/>
      <c r="Z37" s="262"/>
      <c r="AA37" s="262"/>
      <c r="AB37" s="262"/>
      <c r="AC37" s="262"/>
      <c r="AD37" s="262"/>
      <c r="AE37" s="265"/>
    </row>
    <row r="38" spans="2:31" x14ac:dyDescent="0.25">
      <c r="B38" s="264"/>
      <c r="C38" s="262"/>
      <c r="D38" s="262"/>
      <c r="E38" s="262"/>
      <c r="F38" s="262"/>
      <c r="G38" s="262"/>
      <c r="H38" s="262"/>
      <c r="I38" s="262"/>
      <c r="J38" s="262"/>
      <c r="K38" s="266"/>
      <c r="L38" s="618"/>
      <c r="M38" s="607" t="s">
        <v>661</v>
      </c>
      <c r="N38" s="607"/>
      <c r="O38" s="607"/>
      <c r="P38" s="607"/>
      <c r="Q38" s="608"/>
      <c r="R38" s="609">
        <v>0</v>
      </c>
      <c r="S38" s="610"/>
      <c r="T38" s="603">
        <v>0</v>
      </c>
      <c r="U38" s="602"/>
      <c r="V38" s="603">
        <v>0</v>
      </c>
      <c r="W38" s="604"/>
      <c r="X38" s="601">
        <v>0</v>
      </c>
      <c r="Y38" s="604"/>
      <c r="Z38" s="262"/>
      <c r="AA38" s="262"/>
      <c r="AB38" s="262"/>
      <c r="AC38" s="262"/>
      <c r="AD38" s="262"/>
      <c r="AE38" s="265"/>
    </row>
    <row r="39" spans="2:31" x14ac:dyDescent="0.25">
      <c r="B39" s="264"/>
      <c r="C39" s="262"/>
      <c r="D39" s="262"/>
      <c r="E39" s="262"/>
      <c r="F39" s="262"/>
      <c r="G39" s="262"/>
      <c r="H39" s="262"/>
      <c r="I39" s="262"/>
      <c r="J39" s="262"/>
      <c r="K39" s="266"/>
      <c r="L39" s="618"/>
      <c r="M39" s="607" t="s">
        <v>673</v>
      </c>
      <c r="N39" s="607"/>
      <c r="O39" s="607"/>
      <c r="P39" s="607"/>
      <c r="Q39" s="608"/>
      <c r="R39" s="609">
        <v>0</v>
      </c>
      <c r="S39" s="610"/>
      <c r="T39" s="603">
        <v>0</v>
      </c>
      <c r="U39" s="602"/>
      <c r="V39" s="603">
        <v>0</v>
      </c>
      <c r="W39" s="604"/>
      <c r="X39" s="601">
        <v>0</v>
      </c>
      <c r="Y39" s="604"/>
      <c r="Z39" s="262"/>
      <c r="AA39" s="262"/>
      <c r="AB39" s="262"/>
      <c r="AC39" s="262"/>
      <c r="AD39" s="262"/>
      <c r="AE39" s="265"/>
    </row>
    <row r="40" spans="2:31" x14ac:dyDescent="0.25">
      <c r="B40" s="264"/>
      <c r="C40" s="262"/>
      <c r="D40" s="262"/>
      <c r="E40" s="262"/>
      <c r="F40" s="262"/>
      <c r="G40" s="262"/>
      <c r="H40" s="262"/>
      <c r="I40" s="262"/>
      <c r="J40" s="262"/>
      <c r="K40" s="266"/>
      <c r="L40" s="618"/>
      <c r="M40" s="607" t="s">
        <v>178</v>
      </c>
      <c r="N40" s="607"/>
      <c r="O40" s="607"/>
      <c r="P40" s="607"/>
      <c r="Q40" s="608"/>
      <c r="R40" s="609">
        <v>0</v>
      </c>
      <c r="S40" s="610"/>
      <c r="T40" s="603">
        <v>0</v>
      </c>
      <c r="U40" s="602"/>
      <c r="V40" s="603">
        <v>0</v>
      </c>
      <c r="W40" s="604"/>
      <c r="X40" s="601">
        <v>0</v>
      </c>
      <c r="Y40" s="604"/>
      <c r="Z40" s="262"/>
      <c r="AA40" s="262"/>
      <c r="AB40" s="262"/>
      <c r="AC40" s="262"/>
      <c r="AD40" s="262"/>
      <c r="AE40" s="265"/>
    </row>
    <row r="41" spans="2:31" x14ac:dyDescent="0.25">
      <c r="B41" s="264"/>
      <c r="C41" s="262"/>
      <c r="D41" s="262"/>
      <c r="E41" s="262"/>
      <c r="F41" s="262"/>
      <c r="G41" s="262"/>
      <c r="H41" s="262"/>
      <c r="I41" s="262"/>
      <c r="J41" s="262"/>
      <c r="K41" s="266"/>
      <c r="L41" s="618"/>
      <c r="M41" s="607" t="s">
        <v>183</v>
      </c>
      <c r="N41" s="607"/>
      <c r="O41" s="607"/>
      <c r="P41" s="607"/>
      <c r="Q41" s="608"/>
      <c r="R41" s="609">
        <v>0</v>
      </c>
      <c r="S41" s="610"/>
      <c r="T41" s="603">
        <v>0</v>
      </c>
      <c r="U41" s="602"/>
      <c r="V41" s="603">
        <v>0</v>
      </c>
      <c r="W41" s="604"/>
      <c r="X41" s="601">
        <v>0</v>
      </c>
      <c r="Y41" s="604"/>
      <c r="Z41" s="262"/>
      <c r="AA41" s="262"/>
      <c r="AB41" s="262"/>
      <c r="AC41" s="262"/>
      <c r="AD41" s="262"/>
      <c r="AE41" s="265"/>
    </row>
    <row r="42" spans="2:31" x14ac:dyDescent="0.25">
      <c r="B42" s="264"/>
      <c r="C42" s="262"/>
      <c r="D42" s="262"/>
      <c r="E42" s="262"/>
      <c r="F42" s="262"/>
      <c r="G42" s="262"/>
      <c r="H42" s="262"/>
      <c r="I42" s="262"/>
      <c r="J42" s="262"/>
      <c r="K42" s="266"/>
      <c r="L42" s="618"/>
      <c r="M42" s="607" t="s">
        <v>440</v>
      </c>
      <c r="N42" s="607"/>
      <c r="O42" s="607"/>
      <c r="P42" s="607"/>
      <c r="Q42" s="608"/>
      <c r="R42" s="609">
        <v>0</v>
      </c>
      <c r="S42" s="610"/>
      <c r="T42" s="603">
        <v>0</v>
      </c>
      <c r="U42" s="602"/>
      <c r="V42" s="603">
        <v>0</v>
      </c>
      <c r="W42" s="604"/>
      <c r="X42" s="601">
        <v>0</v>
      </c>
      <c r="Y42" s="604"/>
      <c r="Z42" s="262"/>
      <c r="AA42" s="262"/>
      <c r="AB42" s="262"/>
      <c r="AC42" s="262"/>
      <c r="AD42" s="262"/>
      <c r="AE42" s="265"/>
    </row>
    <row r="43" spans="2:31" x14ac:dyDescent="0.25">
      <c r="B43" s="264"/>
      <c r="C43" s="262"/>
      <c r="D43" s="262"/>
      <c r="E43" s="262"/>
      <c r="F43" s="262"/>
      <c r="G43" s="262"/>
      <c r="H43" s="262"/>
      <c r="I43" s="262"/>
      <c r="J43" s="262"/>
      <c r="K43" s="266"/>
      <c r="L43" s="618"/>
      <c r="M43" s="607" t="s">
        <v>1029</v>
      </c>
      <c r="N43" s="607"/>
      <c r="O43" s="607"/>
      <c r="P43" s="607"/>
      <c r="Q43" s="608"/>
      <c r="R43" s="609">
        <v>0</v>
      </c>
      <c r="S43" s="610"/>
      <c r="T43" s="603">
        <v>0</v>
      </c>
      <c r="U43" s="602"/>
      <c r="V43" s="603">
        <v>0</v>
      </c>
      <c r="W43" s="604"/>
      <c r="X43" s="601">
        <v>0</v>
      </c>
      <c r="Y43" s="604"/>
      <c r="Z43" s="262"/>
      <c r="AA43" s="262"/>
      <c r="AB43" s="262"/>
      <c r="AC43" s="262"/>
      <c r="AD43" s="262"/>
      <c r="AE43" s="265"/>
    </row>
    <row r="44" spans="2:31" x14ac:dyDescent="0.25">
      <c r="B44" s="264"/>
      <c r="C44" s="262"/>
      <c r="D44" s="262"/>
      <c r="E44" s="262"/>
      <c r="F44" s="262"/>
      <c r="G44" s="262"/>
      <c r="H44" s="262"/>
      <c r="I44" s="262"/>
      <c r="J44" s="262"/>
      <c r="K44" s="266"/>
      <c r="L44" s="618"/>
      <c r="M44" s="607" t="s">
        <v>1090</v>
      </c>
      <c r="N44" s="607"/>
      <c r="O44" s="607"/>
      <c r="P44" s="607"/>
      <c r="Q44" s="608"/>
      <c r="R44" s="609">
        <v>0</v>
      </c>
      <c r="S44" s="610"/>
      <c r="T44" s="603">
        <v>0</v>
      </c>
      <c r="U44" s="602"/>
      <c r="V44" s="603">
        <v>0</v>
      </c>
      <c r="W44" s="604"/>
      <c r="X44" s="601">
        <v>0</v>
      </c>
      <c r="Y44" s="604"/>
      <c r="Z44" s="262"/>
      <c r="AA44" s="262"/>
      <c r="AB44" s="262"/>
      <c r="AC44" s="262"/>
      <c r="AD44" s="262"/>
      <c r="AE44" s="265"/>
    </row>
    <row r="45" spans="2:31" x14ac:dyDescent="0.25">
      <c r="B45" s="264"/>
      <c r="C45" s="262"/>
      <c r="D45" s="262"/>
      <c r="E45" s="262"/>
      <c r="F45" s="262"/>
      <c r="G45" s="262"/>
      <c r="H45" s="262"/>
      <c r="I45" s="262"/>
      <c r="J45" s="262"/>
      <c r="K45" s="266"/>
      <c r="L45" s="618"/>
      <c r="M45" s="607" t="s">
        <v>855</v>
      </c>
      <c r="N45" s="607"/>
      <c r="O45" s="607"/>
      <c r="P45" s="607"/>
      <c r="Q45" s="608"/>
      <c r="R45" s="609">
        <v>0</v>
      </c>
      <c r="S45" s="610"/>
      <c r="T45" s="603">
        <v>0</v>
      </c>
      <c r="U45" s="602"/>
      <c r="V45" s="603">
        <v>0</v>
      </c>
      <c r="W45" s="604"/>
      <c r="X45" s="601">
        <v>0</v>
      </c>
      <c r="Y45" s="604"/>
      <c r="Z45" s="262"/>
      <c r="AA45" s="262"/>
      <c r="AB45" s="262"/>
      <c r="AC45" s="262"/>
      <c r="AD45" s="262"/>
      <c r="AE45" s="265"/>
    </row>
    <row r="46" spans="2:31" ht="13.5" thickBot="1" x14ac:dyDescent="0.3">
      <c r="B46" s="264"/>
      <c r="C46" s="262"/>
      <c r="D46" s="262"/>
      <c r="E46" s="262"/>
      <c r="F46" s="262"/>
      <c r="G46" s="262"/>
      <c r="H46" s="262"/>
      <c r="I46" s="262"/>
      <c r="J46" s="262"/>
      <c r="K46" s="266"/>
      <c r="L46" s="618"/>
      <c r="M46" s="607" t="s">
        <v>59</v>
      </c>
      <c r="N46" s="607"/>
      <c r="O46" s="607"/>
      <c r="P46" s="607"/>
      <c r="Q46" s="608"/>
      <c r="R46" s="609">
        <v>0</v>
      </c>
      <c r="S46" s="610"/>
      <c r="T46" s="603">
        <v>0</v>
      </c>
      <c r="U46" s="602"/>
      <c r="V46" s="603">
        <v>0</v>
      </c>
      <c r="W46" s="604"/>
      <c r="X46" s="601">
        <v>0</v>
      </c>
      <c r="Y46" s="604"/>
      <c r="Z46" s="262"/>
      <c r="AA46" s="262"/>
      <c r="AB46" s="262"/>
      <c r="AC46" s="262"/>
      <c r="AD46" s="262"/>
      <c r="AE46" s="265"/>
    </row>
    <row r="47" spans="2:31" x14ac:dyDescent="0.25">
      <c r="B47" s="264"/>
      <c r="C47" s="262"/>
      <c r="D47" s="262"/>
      <c r="E47" s="262"/>
      <c r="F47" s="262"/>
      <c r="G47" s="262"/>
      <c r="H47" s="262"/>
      <c r="I47" s="262"/>
      <c r="J47" s="262"/>
      <c r="K47" s="611" t="s">
        <v>230</v>
      </c>
      <c r="L47" s="612"/>
      <c r="M47" s="613" t="s">
        <v>882</v>
      </c>
      <c r="N47" s="614"/>
      <c r="O47" s="614"/>
      <c r="P47" s="614"/>
      <c r="Q47" s="615"/>
      <c r="R47" s="605">
        <v>0</v>
      </c>
      <c r="S47" s="616"/>
      <c r="T47" s="617">
        <v>0</v>
      </c>
      <c r="U47" s="616"/>
      <c r="V47" s="617">
        <v>0</v>
      </c>
      <c r="W47" s="606"/>
      <c r="X47" s="605">
        <v>0</v>
      </c>
      <c r="Y47" s="606"/>
      <c r="Z47" s="262"/>
      <c r="AA47" s="262"/>
      <c r="AB47" s="262"/>
      <c r="AC47" s="262"/>
      <c r="AD47" s="262"/>
      <c r="AE47" s="265"/>
    </row>
    <row r="48" spans="2:31" x14ac:dyDescent="0.25">
      <c r="B48" s="264"/>
      <c r="C48" s="262"/>
      <c r="D48" s="262"/>
      <c r="E48" s="262"/>
      <c r="F48" s="262"/>
      <c r="G48" s="262"/>
      <c r="H48" s="262"/>
      <c r="I48" s="262"/>
      <c r="J48" s="262"/>
      <c r="K48" s="268"/>
      <c r="L48" s="269"/>
      <c r="M48" s="598" t="s">
        <v>850</v>
      </c>
      <c r="N48" s="599"/>
      <c r="O48" s="599"/>
      <c r="P48" s="599"/>
      <c r="Q48" s="600"/>
      <c r="R48" s="601">
        <v>0</v>
      </c>
      <c r="S48" s="602"/>
      <c r="T48" s="603">
        <v>0</v>
      </c>
      <c r="U48" s="602"/>
      <c r="V48" s="603">
        <v>0</v>
      </c>
      <c r="W48" s="604"/>
      <c r="X48" s="601">
        <v>0</v>
      </c>
      <c r="Y48" s="604"/>
      <c r="Z48" s="262"/>
      <c r="AA48" s="262"/>
      <c r="AB48" s="262"/>
      <c r="AC48" s="262"/>
      <c r="AD48" s="262"/>
      <c r="AE48" s="265"/>
    </row>
    <row r="49" spans="2:31" x14ac:dyDescent="0.25">
      <c r="B49" s="264"/>
      <c r="C49" s="262"/>
      <c r="D49" s="262"/>
      <c r="E49" s="262"/>
      <c r="F49" s="262"/>
      <c r="G49" s="262"/>
      <c r="H49" s="262"/>
      <c r="I49" s="262"/>
      <c r="J49" s="262"/>
      <c r="K49" s="268"/>
      <c r="L49" s="269"/>
      <c r="M49" s="598" t="s">
        <v>57</v>
      </c>
      <c r="N49" s="599"/>
      <c r="O49" s="599"/>
      <c r="P49" s="599"/>
      <c r="Q49" s="600"/>
      <c r="R49" s="601">
        <v>0</v>
      </c>
      <c r="S49" s="602"/>
      <c r="T49" s="603">
        <v>0</v>
      </c>
      <c r="U49" s="602"/>
      <c r="V49" s="603">
        <v>0</v>
      </c>
      <c r="W49" s="604"/>
      <c r="X49" s="601">
        <v>0</v>
      </c>
      <c r="Y49" s="604"/>
      <c r="Z49" s="262"/>
      <c r="AA49" s="262"/>
      <c r="AB49" s="262"/>
      <c r="AC49" s="262"/>
      <c r="AD49" s="262"/>
      <c r="AE49" s="265"/>
    </row>
    <row r="50" spans="2:31" x14ac:dyDescent="0.25">
      <c r="B50" s="264"/>
      <c r="C50" s="262"/>
      <c r="D50" s="262"/>
      <c r="E50" s="262"/>
      <c r="F50" s="262"/>
      <c r="G50" s="262"/>
      <c r="H50" s="262"/>
      <c r="I50" s="262"/>
      <c r="J50" s="262"/>
      <c r="K50" s="268"/>
      <c r="L50" s="269"/>
      <c r="M50" s="598" t="s">
        <v>922</v>
      </c>
      <c r="N50" s="599"/>
      <c r="O50" s="599"/>
      <c r="P50" s="599"/>
      <c r="Q50" s="600"/>
      <c r="R50" s="601">
        <v>0</v>
      </c>
      <c r="S50" s="602"/>
      <c r="T50" s="603">
        <v>0</v>
      </c>
      <c r="U50" s="602"/>
      <c r="V50" s="603">
        <v>0</v>
      </c>
      <c r="W50" s="604"/>
      <c r="X50" s="601">
        <v>0</v>
      </c>
      <c r="Y50" s="604"/>
      <c r="Z50" s="262"/>
      <c r="AA50" s="262"/>
      <c r="AB50" s="262"/>
      <c r="AC50" s="262"/>
      <c r="AD50" s="262"/>
      <c r="AE50" s="265"/>
    </row>
    <row r="51" spans="2:31" ht="15.75" customHeight="1" thickBot="1" x14ac:dyDescent="0.3">
      <c r="B51" s="264"/>
      <c r="C51" s="262"/>
      <c r="D51" s="262"/>
      <c r="E51" s="262"/>
      <c r="F51" s="262"/>
      <c r="G51" s="262"/>
      <c r="H51" s="262"/>
      <c r="I51" s="262"/>
      <c r="J51" s="262"/>
      <c r="K51" s="270"/>
      <c r="L51" s="271"/>
      <c r="M51" s="591" t="s">
        <v>921</v>
      </c>
      <c r="N51" s="592"/>
      <c r="O51" s="592"/>
      <c r="P51" s="592"/>
      <c r="Q51" s="593"/>
      <c r="R51" s="594">
        <v>0</v>
      </c>
      <c r="S51" s="595"/>
      <c r="T51" s="596">
        <v>0</v>
      </c>
      <c r="U51" s="595"/>
      <c r="V51" s="596">
        <v>0</v>
      </c>
      <c r="W51" s="597"/>
      <c r="X51" s="594">
        <v>0</v>
      </c>
      <c r="Y51" s="597"/>
      <c r="Z51" s="262"/>
      <c r="AA51" s="262"/>
      <c r="AB51" s="262"/>
      <c r="AC51" s="262"/>
      <c r="AD51" s="262"/>
      <c r="AE51" s="265"/>
    </row>
    <row r="52" spans="2:31" x14ac:dyDescent="0.25">
      <c r="B52" s="272"/>
      <c r="C52" s="258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258"/>
      <c r="R52" s="258"/>
      <c r="S52" s="258"/>
      <c r="T52" s="258"/>
      <c r="U52" s="258"/>
      <c r="V52" s="258"/>
      <c r="W52" s="258"/>
      <c r="X52" s="258"/>
      <c r="Y52" s="258"/>
      <c r="Z52" s="258"/>
      <c r="AA52" s="258"/>
      <c r="AB52" s="258"/>
      <c r="AC52" s="258"/>
      <c r="AD52" s="258"/>
      <c r="AE52" s="273"/>
    </row>
    <row r="53" spans="2:31" x14ac:dyDescent="0.25"/>
    <row r="54" spans="2:31" ht="14.25" x14ac:dyDescent="0.25">
      <c r="B54" s="497" t="s">
        <v>829</v>
      </c>
      <c r="C54" s="498"/>
      <c r="D54" s="498"/>
      <c r="E54" s="498"/>
      <c r="F54" s="498"/>
      <c r="G54" s="498"/>
      <c r="H54" s="498"/>
      <c r="I54" s="498"/>
      <c r="J54" s="498"/>
      <c r="K54" s="498"/>
      <c r="L54" s="498"/>
      <c r="M54" s="498"/>
      <c r="N54" s="498"/>
      <c r="O54" s="498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9"/>
    </row>
    <row r="55" spans="2:31" x14ac:dyDescent="0.25">
      <c r="B55" s="274"/>
      <c r="C55" s="275"/>
      <c r="D55" s="585" t="s">
        <v>1116</v>
      </c>
      <c r="E55" s="586"/>
      <c r="F55" s="585" t="s">
        <v>1117</v>
      </c>
      <c r="G55" s="586"/>
      <c r="H55" s="585" t="s">
        <v>1109</v>
      </c>
      <c r="I55" s="586"/>
      <c r="J55" s="585" t="s">
        <v>1118</v>
      </c>
      <c r="K55" s="586"/>
      <c r="L55" s="585" t="s">
        <v>1119</v>
      </c>
      <c r="M55" s="586"/>
      <c r="N55" s="585" t="s">
        <v>1120</v>
      </c>
      <c r="O55" s="586"/>
      <c r="P55" s="585" t="s">
        <v>1121</v>
      </c>
      <c r="Q55" s="586"/>
      <c r="R55" s="585" t="s">
        <v>1111</v>
      </c>
      <c r="S55" s="586"/>
      <c r="T55" s="585" t="s">
        <v>1122</v>
      </c>
      <c r="U55" s="586"/>
      <c r="V55" s="585" t="s">
        <v>1123</v>
      </c>
      <c r="W55" s="586"/>
      <c r="X55" s="585" t="s">
        <v>1124</v>
      </c>
      <c r="Y55" s="586"/>
      <c r="Z55" s="585" t="s">
        <v>1105</v>
      </c>
      <c r="AA55" s="586"/>
      <c r="AB55" s="585">
        <v>2019</v>
      </c>
      <c r="AC55" s="586"/>
      <c r="AD55" s="587" t="s">
        <v>76</v>
      </c>
      <c r="AE55" s="588"/>
    </row>
    <row r="56" spans="2:31" x14ac:dyDescent="0.25">
      <c r="B56" s="589" t="s">
        <v>400</v>
      </c>
      <c r="C56" s="590"/>
      <c r="D56" s="580">
        <v>0</v>
      </c>
      <c r="E56" s="584"/>
      <c r="F56" s="580">
        <v>0</v>
      </c>
      <c r="G56" s="584"/>
      <c r="H56" s="580">
        <v>1500000</v>
      </c>
      <c r="I56" s="584"/>
      <c r="J56" s="580">
        <v>0</v>
      </c>
      <c r="K56" s="584"/>
      <c r="L56" s="580">
        <v>0</v>
      </c>
      <c r="M56" s="584"/>
      <c r="N56" s="580">
        <v>0</v>
      </c>
      <c r="O56" s="584"/>
      <c r="P56" s="580">
        <v>0</v>
      </c>
      <c r="Q56" s="584"/>
      <c r="R56" s="580">
        <v>1500000</v>
      </c>
      <c r="S56" s="584"/>
      <c r="T56" s="580">
        <v>0</v>
      </c>
      <c r="U56" s="584"/>
      <c r="V56" s="580">
        <v>0</v>
      </c>
      <c r="W56" s="584"/>
      <c r="X56" s="580">
        <v>0</v>
      </c>
      <c r="Y56" s="584"/>
      <c r="Z56" s="580">
        <v>2000000</v>
      </c>
      <c r="AA56" s="584"/>
      <c r="AB56" s="580">
        <v>0</v>
      </c>
      <c r="AC56" s="584"/>
      <c r="AD56" s="580">
        <v>0</v>
      </c>
      <c r="AE56" s="581"/>
    </row>
    <row r="57" spans="2:31" x14ac:dyDescent="0.25">
      <c r="B57" s="582" t="s">
        <v>924</v>
      </c>
      <c r="C57" s="583"/>
      <c r="D57" s="577">
        <v>0</v>
      </c>
      <c r="E57" s="578"/>
      <c r="F57" s="577">
        <v>0</v>
      </c>
      <c r="G57" s="578"/>
      <c r="H57" s="577">
        <v>0</v>
      </c>
      <c r="I57" s="578"/>
      <c r="J57" s="577">
        <v>0</v>
      </c>
      <c r="K57" s="578"/>
      <c r="L57" s="577">
        <v>0</v>
      </c>
      <c r="M57" s="578"/>
      <c r="N57" s="577">
        <v>0</v>
      </c>
      <c r="O57" s="578"/>
      <c r="P57" s="577">
        <v>0</v>
      </c>
      <c r="Q57" s="578"/>
      <c r="R57" s="577">
        <v>0</v>
      </c>
      <c r="S57" s="578"/>
      <c r="T57" s="577">
        <v>0</v>
      </c>
      <c r="U57" s="578"/>
      <c r="V57" s="577">
        <v>0</v>
      </c>
      <c r="W57" s="578"/>
      <c r="X57" s="577">
        <v>0</v>
      </c>
      <c r="Y57" s="578"/>
      <c r="Z57" s="577">
        <v>0</v>
      </c>
      <c r="AA57" s="578"/>
      <c r="AB57" s="577">
        <v>0</v>
      </c>
      <c r="AC57" s="578"/>
      <c r="AD57" s="577">
        <v>0</v>
      </c>
      <c r="AE57" s="579"/>
    </row>
    <row r="58" spans="2:31" x14ac:dyDescent="0.25">
      <c r="B58" s="575" t="s">
        <v>267</v>
      </c>
      <c r="C58" s="576"/>
      <c r="D58" s="570">
        <v>0</v>
      </c>
      <c r="E58" s="571"/>
      <c r="F58" s="570">
        <v>0</v>
      </c>
      <c r="G58" s="571"/>
      <c r="H58" s="570">
        <v>1500000</v>
      </c>
      <c r="I58" s="571"/>
      <c r="J58" s="570">
        <v>0</v>
      </c>
      <c r="K58" s="571"/>
      <c r="L58" s="570">
        <v>0</v>
      </c>
      <c r="M58" s="571"/>
      <c r="N58" s="570">
        <v>0</v>
      </c>
      <c r="O58" s="571"/>
      <c r="P58" s="570">
        <v>0</v>
      </c>
      <c r="Q58" s="571"/>
      <c r="R58" s="570">
        <v>1500000</v>
      </c>
      <c r="S58" s="571"/>
      <c r="T58" s="570">
        <v>0</v>
      </c>
      <c r="U58" s="571"/>
      <c r="V58" s="570">
        <v>0</v>
      </c>
      <c r="W58" s="571"/>
      <c r="X58" s="570">
        <v>0</v>
      </c>
      <c r="Y58" s="571"/>
      <c r="Z58" s="570">
        <v>2000000</v>
      </c>
      <c r="AA58" s="571"/>
      <c r="AB58" s="570">
        <v>0</v>
      </c>
      <c r="AC58" s="571"/>
      <c r="AD58" s="570">
        <v>0</v>
      </c>
      <c r="AE58" s="572"/>
    </row>
    <row r="59" spans="2:31" ht="15" customHeight="1" x14ac:dyDescent="0.25">
      <c r="B59" s="573" t="s">
        <v>1096</v>
      </c>
      <c r="C59" s="574"/>
      <c r="D59" s="567">
        <v>0</v>
      </c>
      <c r="E59" s="568"/>
      <c r="F59" s="567">
        <v>0</v>
      </c>
      <c r="G59" s="568"/>
      <c r="H59" s="567">
        <v>1500000</v>
      </c>
      <c r="I59" s="568"/>
      <c r="J59" s="567">
        <v>0</v>
      </c>
      <c r="K59" s="568"/>
      <c r="L59" s="567">
        <v>0</v>
      </c>
      <c r="M59" s="568"/>
      <c r="N59" s="567">
        <v>0</v>
      </c>
      <c r="O59" s="568"/>
      <c r="P59" s="567">
        <v>0</v>
      </c>
      <c r="Q59" s="568"/>
      <c r="R59" s="567">
        <v>1500000</v>
      </c>
      <c r="S59" s="568"/>
      <c r="T59" s="567">
        <v>0</v>
      </c>
      <c r="U59" s="568"/>
      <c r="V59" s="567">
        <v>0</v>
      </c>
      <c r="W59" s="568"/>
      <c r="X59" s="567">
        <v>0</v>
      </c>
      <c r="Y59" s="568"/>
      <c r="Z59" s="567">
        <v>2000000</v>
      </c>
      <c r="AA59" s="568"/>
      <c r="AB59" s="567">
        <v>0</v>
      </c>
      <c r="AC59" s="568"/>
      <c r="AD59" s="567">
        <v>0</v>
      </c>
      <c r="AE59" s="569"/>
    </row>
    <row r="60" spans="2:31" hidden="1" x14ac:dyDescent="0.25">
      <c r="B60" s="565" t="s">
        <v>59</v>
      </c>
      <c r="C60" s="566"/>
      <c r="D60" s="560">
        <v>0</v>
      </c>
      <c r="E60" s="564"/>
      <c r="F60" s="560">
        <v>0</v>
      </c>
      <c r="G60" s="564"/>
      <c r="H60" s="560">
        <v>0</v>
      </c>
      <c r="I60" s="564"/>
      <c r="J60" s="560">
        <v>0</v>
      </c>
      <c r="K60" s="564"/>
      <c r="L60" s="560">
        <v>0</v>
      </c>
      <c r="M60" s="564"/>
      <c r="N60" s="560">
        <v>0</v>
      </c>
      <c r="O60" s="564"/>
      <c r="P60" s="560">
        <v>0</v>
      </c>
      <c r="Q60" s="564"/>
      <c r="R60" s="560">
        <v>0</v>
      </c>
      <c r="S60" s="564"/>
      <c r="T60" s="560">
        <v>0</v>
      </c>
      <c r="U60" s="564"/>
      <c r="V60" s="560">
        <v>0</v>
      </c>
      <c r="W60" s="564"/>
      <c r="X60" s="560">
        <v>0</v>
      </c>
      <c r="Y60" s="564"/>
      <c r="Z60" s="560">
        <v>0</v>
      </c>
      <c r="AA60" s="564"/>
      <c r="AB60" s="560">
        <v>0</v>
      </c>
      <c r="AC60" s="564"/>
      <c r="AD60" s="560">
        <v>0</v>
      </c>
      <c r="AE60" s="561"/>
    </row>
    <row r="61" spans="2:31" hidden="1" x14ac:dyDescent="0.25">
      <c r="B61" s="565" t="s">
        <v>59</v>
      </c>
      <c r="C61" s="566"/>
      <c r="D61" s="560">
        <v>0</v>
      </c>
      <c r="E61" s="564"/>
      <c r="F61" s="560">
        <v>0</v>
      </c>
      <c r="G61" s="564"/>
      <c r="H61" s="560">
        <v>0</v>
      </c>
      <c r="I61" s="564"/>
      <c r="J61" s="560">
        <v>0</v>
      </c>
      <c r="K61" s="564"/>
      <c r="L61" s="560">
        <v>0</v>
      </c>
      <c r="M61" s="564"/>
      <c r="N61" s="560">
        <v>0</v>
      </c>
      <c r="O61" s="564"/>
      <c r="P61" s="560">
        <v>0</v>
      </c>
      <c r="Q61" s="564"/>
      <c r="R61" s="560">
        <v>0</v>
      </c>
      <c r="S61" s="564"/>
      <c r="T61" s="560">
        <v>0</v>
      </c>
      <c r="U61" s="564"/>
      <c r="V61" s="560">
        <v>0</v>
      </c>
      <c r="W61" s="564"/>
      <c r="X61" s="560">
        <v>0</v>
      </c>
      <c r="Y61" s="564"/>
      <c r="Z61" s="560">
        <v>0</v>
      </c>
      <c r="AA61" s="564"/>
      <c r="AB61" s="560">
        <v>0</v>
      </c>
      <c r="AC61" s="564"/>
      <c r="AD61" s="560">
        <v>0</v>
      </c>
      <c r="AE61" s="561"/>
    </row>
    <row r="62" spans="2:31" hidden="1" x14ac:dyDescent="0.25">
      <c r="B62" s="565" t="s">
        <v>59</v>
      </c>
      <c r="C62" s="566"/>
      <c r="D62" s="560">
        <v>0</v>
      </c>
      <c r="E62" s="564"/>
      <c r="F62" s="560">
        <v>0</v>
      </c>
      <c r="G62" s="564"/>
      <c r="H62" s="560">
        <v>0</v>
      </c>
      <c r="I62" s="564"/>
      <c r="J62" s="560">
        <v>0</v>
      </c>
      <c r="K62" s="564"/>
      <c r="L62" s="560">
        <v>0</v>
      </c>
      <c r="M62" s="564"/>
      <c r="N62" s="560">
        <v>0</v>
      </c>
      <c r="O62" s="564"/>
      <c r="P62" s="560">
        <v>0</v>
      </c>
      <c r="Q62" s="564"/>
      <c r="R62" s="560">
        <v>0</v>
      </c>
      <c r="S62" s="564"/>
      <c r="T62" s="560">
        <v>0</v>
      </c>
      <c r="U62" s="564"/>
      <c r="V62" s="560">
        <v>0</v>
      </c>
      <c r="W62" s="564"/>
      <c r="X62" s="560">
        <v>0</v>
      </c>
      <c r="Y62" s="564"/>
      <c r="Z62" s="560">
        <v>0</v>
      </c>
      <c r="AA62" s="564"/>
      <c r="AB62" s="560">
        <v>0</v>
      </c>
      <c r="AC62" s="564"/>
      <c r="AD62" s="560">
        <v>0</v>
      </c>
      <c r="AE62" s="561"/>
    </row>
    <row r="63" spans="2:31" hidden="1" x14ac:dyDescent="0.25">
      <c r="B63" s="565" t="s">
        <v>59</v>
      </c>
      <c r="C63" s="566"/>
      <c r="D63" s="560">
        <v>0</v>
      </c>
      <c r="E63" s="564"/>
      <c r="F63" s="560">
        <v>0</v>
      </c>
      <c r="G63" s="564"/>
      <c r="H63" s="560">
        <v>0</v>
      </c>
      <c r="I63" s="564"/>
      <c r="J63" s="560">
        <v>0</v>
      </c>
      <c r="K63" s="564"/>
      <c r="L63" s="560">
        <v>0</v>
      </c>
      <c r="M63" s="564"/>
      <c r="N63" s="560">
        <v>0</v>
      </c>
      <c r="O63" s="564"/>
      <c r="P63" s="560">
        <v>0</v>
      </c>
      <c r="Q63" s="564"/>
      <c r="R63" s="560">
        <v>0</v>
      </c>
      <c r="S63" s="564"/>
      <c r="T63" s="560">
        <v>0</v>
      </c>
      <c r="U63" s="564"/>
      <c r="V63" s="560">
        <v>0</v>
      </c>
      <c r="W63" s="564"/>
      <c r="X63" s="560">
        <v>0</v>
      </c>
      <c r="Y63" s="564"/>
      <c r="Z63" s="560">
        <v>0</v>
      </c>
      <c r="AA63" s="564"/>
      <c r="AB63" s="560">
        <v>0</v>
      </c>
      <c r="AC63" s="564"/>
      <c r="AD63" s="560">
        <v>0</v>
      </c>
      <c r="AE63" s="561"/>
    </row>
    <row r="64" spans="2:31" hidden="1" x14ac:dyDescent="0.25">
      <c r="B64" s="565" t="s">
        <v>59</v>
      </c>
      <c r="C64" s="566"/>
      <c r="D64" s="560">
        <v>0</v>
      </c>
      <c r="E64" s="564"/>
      <c r="F64" s="560">
        <v>0</v>
      </c>
      <c r="G64" s="564"/>
      <c r="H64" s="560">
        <v>0</v>
      </c>
      <c r="I64" s="564"/>
      <c r="J64" s="560">
        <v>0</v>
      </c>
      <c r="K64" s="564"/>
      <c r="L64" s="560">
        <v>0</v>
      </c>
      <c r="M64" s="564"/>
      <c r="N64" s="560">
        <v>0</v>
      </c>
      <c r="O64" s="564"/>
      <c r="P64" s="560">
        <v>0</v>
      </c>
      <c r="Q64" s="564"/>
      <c r="R64" s="560">
        <v>0</v>
      </c>
      <c r="S64" s="564"/>
      <c r="T64" s="560">
        <v>0</v>
      </c>
      <c r="U64" s="564"/>
      <c r="V64" s="560">
        <v>0</v>
      </c>
      <c r="W64" s="564"/>
      <c r="X64" s="560">
        <v>0</v>
      </c>
      <c r="Y64" s="564"/>
      <c r="Z64" s="560">
        <v>0</v>
      </c>
      <c r="AA64" s="564"/>
      <c r="AB64" s="560">
        <v>0</v>
      </c>
      <c r="AC64" s="564"/>
      <c r="AD64" s="560">
        <v>0</v>
      </c>
      <c r="AE64" s="561"/>
    </row>
    <row r="65" spans="2:31" hidden="1" x14ac:dyDescent="0.25">
      <c r="B65" s="565" t="s">
        <v>59</v>
      </c>
      <c r="C65" s="566"/>
      <c r="D65" s="560">
        <v>0</v>
      </c>
      <c r="E65" s="564"/>
      <c r="F65" s="560">
        <v>0</v>
      </c>
      <c r="G65" s="564"/>
      <c r="H65" s="560">
        <v>0</v>
      </c>
      <c r="I65" s="564"/>
      <c r="J65" s="560">
        <v>0</v>
      </c>
      <c r="K65" s="564"/>
      <c r="L65" s="560">
        <v>0</v>
      </c>
      <c r="M65" s="564"/>
      <c r="N65" s="560">
        <v>0</v>
      </c>
      <c r="O65" s="564"/>
      <c r="P65" s="560">
        <v>0</v>
      </c>
      <c r="Q65" s="564"/>
      <c r="R65" s="560">
        <v>0</v>
      </c>
      <c r="S65" s="564"/>
      <c r="T65" s="560">
        <v>0</v>
      </c>
      <c r="U65" s="564"/>
      <c r="V65" s="560">
        <v>0</v>
      </c>
      <c r="W65" s="564"/>
      <c r="X65" s="560">
        <v>0</v>
      </c>
      <c r="Y65" s="564"/>
      <c r="Z65" s="560">
        <v>0</v>
      </c>
      <c r="AA65" s="564"/>
      <c r="AB65" s="560">
        <v>0</v>
      </c>
      <c r="AC65" s="564"/>
      <c r="AD65" s="560">
        <v>0</v>
      </c>
      <c r="AE65" s="561"/>
    </row>
    <row r="66" spans="2:31" hidden="1" x14ac:dyDescent="0.25">
      <c r="B66" s="565" t="s">
        <v>59</v>
      </c>
      <c r="C66" s="566"/>
      <c r="D66" s="560">
        <v>0</v>
      </c>
      <c r="E66" s="564"/>
      <c r="F66" s="560">
        <v>0</v>
      </c>
      <c r="G66" s="564"/>
      <c r="H66" s="560">
        <v>0</v>
      </c>
      <c r="I66" s="564"/>
      <c r="J66" s="560">
        <v>0</v>
      </c>
      <c r="K66" s="564"/>
      <c r="L66" s="560">
        <v>0</v>
      </c>
      <c r="M66" s="564"/>
      <c r="N66" s="560">
        <v>0</v>
      </c>
      <c r="O66" s="564"/>
      <c r="P66" s="560">
        <v>0</v>
      </c>
      <c r="Q66" s="564"/>
      <c r="R66" s="560">
        <v>0</v>
      </c>
      <c r="S66" s="564"/>
      <c r="T66" s="560">
        <v>0</v>
      </c>
      <c r="U66" s="564"/>
      <c r="V66" s="560">
        <v>0</v>
      </c>
      <c r="W66" s="564"/>
      <c r="X66" s="560">
        <v>0</v>
      </c>
      <c r="Y66" s="564"/>
      <c r="Z66" s="560">
        <v>0</v>
      </c>
      <c r="AA66" s="564"/>
      <c r="AB66" s="560">
        <v>0</v>
      </c>
      <c r="AC66" s="564"/>
      <c r="AD66" s="560">
        <v>0</v>
      </c>
      <c r="AE66" s="561"/>
    </row>
    <row r="67" spans="2:31" hidden="1" x14ac:dyDescent="0.25">
      <c r="B67" s="565" t="s">
        <v>59</v>
      </c>
      <c r="C67" s="566"/>
      <c r="D67" s="560">
        <v>0</v>
      </c>
      <c r="E67" s="564"/>
      <c r="F67" s="560">
        <v>0</v>
      </c>
      <c r="G67" s="564"/>
      <c r="H67" s="560">
        <v>0</v>
      </c>
      <c r="I67" s="564"/>
      <c r="J67" s="560">
        <v>0</v>
      </c>
      <c r="K67" s="564"/>
      <c r="L67" s="560">
        <v>0</v>
      </c>
      <c r="M67" s="564"/>
      <c r="N67" s="560">
        <v>0</v>
      </c>
      <c r="O67" s="564"/>
      <c r="P67" s="560">
        <v>0</v>
      </c>
      <c r="Q67" s="564"/>
      <c r="R67" s="560">
        <v>0</v>
      </c>
      <c r="S67" s="564"/>
      <c r="T67" s="560">
        <v>0</v>
      </c>
      <c r="U67" s="564"/>
      <c r="V67" s="560">
        <v>0</v>
      </c>
      <c r="W67" s="564"/>
      <c r="X67" s="560">
        <v>0</v>
      </c>
      <c r="Y67" s="564"/>
      <c r="Z67" s="560">
        <v>0</v>
      </c>
      <c r="AA67" s="564"/>
      <c r="AB67" s="560">
        <v>0</v>
      </c>
      <c r="AC67" s="564"/>
      <c r="AD67" s="560">
        <v>0</v>
      </c>
      <c r="AE67" s="561"/>
    </row>
    <row r="68" spans="2:31" hidden="1" x14ac:dyDescent="0.25">
      <c r="B68" s="565" t="s">
        <v>59</v>
      </c>
      <c r="C68" s="566"/>
      <c r="D68" s="560">
        <v>0</v>
      </c>
      <c r="E68" s="564"/>
      <c r="F68" s="560">
        <v>0</v>
      </c>
      <c r="G68" s="564"/>
      <c r="H68" s="560">
        <v>0</v>
      </c>
      <c r="I68" s="564"/>
      <c r="J68" s="560">
        <v>0</v>
      </c>
      <c r="K68" s="564"/>
      <c r="L68" s="560">
        <v>0</v>
      </c>
      <c r="M68" s="564"/>
      <c r="N68" s="560">
        <v>0</v>
      </c>
      <c r="O68" s="564"/>
      <c r="P68" s="560">
        <v>0</v>
      </c>
      <c r="Q68" s="564"/>
      <c r="R68" s="560">
        <v>0</v>
      </c>
      <c r="S68" s="564"/>
      <c r="T68" s="560">
        <v>0</v>
      </c>
      <c r="U68" s="564"/>
      <c r="V68" s="560">
        <v>0</v>
      </c>
      <c r="W68" s="564"/>
      <c r="X68" s="560">
        <v>0</v>
      </c>
      <c r="Y68" s="564"/>
      <c r="Z68" s="560">
        <v>0</v>
      </c>
      <c r="AA68" s="564"/>
      <c r="AB68" s="560">
        <v>0</v>
      </c>
      <c r="AC68" s="564"/>
      <c r="AD68" s="560">
        <v>0</v>
      </c>
      <c r="AE68" s="561"/>
    </row>
    <row r="69" spans="2:31" hidden="1" x14ac:dyDescent="0.25">
      <c r="B69" s="565" t="s">
        <v>59</v>
      </c>
      <c r="C69" s="566"/>
      <c r="D69" s="560">
        <v>0</v>
      </c>
      <c r="E69" s="564"/>
      <c r="F69" s="560">
        <v>0</v>
      </c>
      <c r="G69" s="564"/>
      <c r="H69" s="560">
        <v>0</v>
      </c>
      <c r="I69" s="564"/>
      <c r="J69" s="560">
        <v>0</v>
      </c>
      <c r="K69" s="564"/>
      <c r="L69" s="560">
        <v>0</v>
      </c>
      <c r="M69" s="564"/>
      <c r="N69" s="560">
        <v>0</v>
      </c>
      <c r="O69" s="564"/>
      <c r="P69" s="560">
        <v>0</v>
      </c>
      <c r="Q69" s="564"/>
      <c r="R69" s="560">
        <v>0</v>
      </c>
      <c r="S69" s="564"/>
      <c r="T69" s="560">
        <v>0</v>
      </c>
      <c r="U69" s="564"/>
      <c r="V69" s="560">
        <v>0</v>
      </c>
      <c r="W69" s="564"/>
      <c r="X69" s="560">
        <v>0</v>
      </c>
      <c r="Y69" s="564"/>
      <c r="Z69" s="560">
        <v>0</v>
      </c>
      <c r="AA69" s="564"/>
      <c r="AB69" s="560">
        <v>0</v>
      </c>
      <c r="AC69" s="564"/>
      <c r="AD69" s="560">
        <v>0</v>
      </c>
      <c r="AE69" s="561"/>
    </row>
    <row r="70" spans="2:31" hidden="1" x14ac:dyDescent="0.25">
      <c r="B70" s="565" t="s">
        <v>59</v>
      </c>
      <c r="C70" s="566"/>
      <c r="D70" s="560">
        <v>0</v>
      </c>
      <c r="E70" s="564"/>
      <c r="F70" s="560">
        <v>0</v>
      </c>
      <c r="G70" s="564"/>
      <c r="H70" s="560">
        <v>0</v>
      </c>
      <c r="I70" s="564"/>
      <c r="J70" s="560">
        <v>0</v>
      </c>
      <c r="K70" s="564"/>
      <c r="L70" s="560">
        <v>0</v>
      </c>
      <c r="M70" s="564"/>
      <c r="N70" s="560">
        <v>0</v>
      </c>
      <c r="O70" s="564"/>
      <c r="P70" s="560">
        <v>0</v>
      </c>
      <c r="Q70" s="564"/>
      <c r="R70" s="560">
        <v>0</v>
      </c>
      <c r="S70" s="564"/>
      <c r="T70" s="560">
        <v>0</v>
      </c>
      <c r="U70" s="564"/>
      <c r="V70" s="560">
        <v>0</v>
      </c>
      <c r="W70" s="564"/>
      <c r="X70" s="560">
        <v>0</v>
      </c>
      <c r="Y70" s="564"/>
      <c r="Z70" s="560">
        <v>0</v>
      </c>
      <c r="AA70" s="564"/>
      <c r="AB70" s="560">
        <v>0</v>
      </c>
      <c r="AC70" s="564"/>
      <c r="AD70" s="560">
        <v>0</v>
      </c>
      <c r="AE70" s="561"/>
    </row>
    <row r="71" spans="2:31" hidden="1" x14ac:dyDescent="0.25">
      <c r="B71" s="565" t="s">
        <v>59</v>
      </c>
      <c r="C71" s="566"/>
      <c r="D71" s="560">
        <v>0</v>
      </c>
      <c r="E71" s="564"/>
      <c r="F71" s="560">
        <v>0</v>
      </c>
      <c r="G71" s="564"/>
      <c r="H71" s="560">
        <v>0</v>
      </c>
      <c r="I71" s="564"/>
      <c r="J71" s="560">
        <v>0</v>
      </c>
      <c r="K71" s="564"/>
      <c r="L71" s="560">
        <v>0</v>
      </c>
      <c r="M71" s="564"/>
      <c r="N71" s="560">
        <v>0</v>
      </c>
      <c r="O71" s="564"/>
      <c r="P71" s="560">
        <v>0</v>
      </c>
      <c r="Q71" s="564"/>
      <c r="R71" s="560">
        <v>0</v>
      </c>
      <c r="S71" s="564"/>
      <c r="T71" s="560">
        <v>0</v>
      </c>
      <c r="U71" s="564"/>
      <c r="V71" s="560">
        <v>0</v>
      </c>
      <c r="W71" s="564"/>
      <c r="X71" s="560">
        <v>0</v>
      </c>
      <c r="Y71" s="564"/>
      <c r="Z71" s="560">
        <v>0</v>
      </c>
      <c r="AA71" s="564"/>
      <c r="AB71" s="560">
        <v>0</v>
      </c>
      <c r="AC71" s="564"/>
      <c r="AD71" s="560">
        <v>0</v>
      </c>
      <c r="AE71" s="561"/>
    </row>
    <row r="72" spans="2:31" hidden="1" x14ac:dyDescent="0.25">
      <c r="B72" s="565" t="s">
        <v>59</v>
      </c>
      <c r="C72" s="566"/>
      <c r="D72" s="560">
        <v>0</v>
      </c>
      <c r="E72" s="564"/>
      <c r="F72" s="560">
        <v>0</v>
      </c>
      <c r="G72" s="564"/>
      <c r="H72" s="560">
        <v>0</v>
      </c>
      <c r="I72" s="564"/>
      <c r="J72" s="560">
        <v>0</v>
      </c>
      <c r="K72" s="564"/>
      <c r="L72" s="560">
        <v>0</v>
      </c>
      <c r="M72" s="564"/>
      <c r="N72" s="560">
        <v>0</v>
      </c>
      <c r="O72" s="564"/>
      <c r="P72" s="560">
        <v>0</v>
      </c>
      <c r="Q72" s="564"/>
      <c r="R72" s="560">
        <v>0</v>
      </c>
      <c r="S72" s="564"/>
      <c r="T72" s="560">
        <v>0</v>
      </c>
      <c r="U72" s="564"/>
      <c r="V72" s="560">
        <v>0</v>
      </c>
      <c r="W72" s="564"/>
      <c r="X72" s="560">
        <v>0</v>
      </c>
      <c r="Y72" s="564"/>
      <c r="Z72" s="560">
        <v>0</v>
      </c>
      <c r="AA72" s="564"/>
      <c r="AB72" s="560">
        <v>0</v>
      </c>
      <c r="AC72" s="564"/>
      <c r="AD72" s="560">
        <v>0</v>
      </c>
      <c r="AE72" s="561"/>
    </row>
    <row r="73" spans="2:31" hidden="1" x14ac:dyDescent="0.25">
      <c r="B73" s="565" t="s">
        <v>59</v>
      </c>
      <c r="C73" s="566"/>
      <c r="D73" s="560">
        <v>0</v>
      </c>
      <c r="E73" s="564"/>
      <c r="F73" s="560">
        <v>0</v>
      </c>
      <c r="G73" s="564"/>
      <c r="H73" s="560">
        <v>0</v>
      </c>
      <c r="I73" s="564"/>
      <c r="J73" s="560">
        <v>0</v>
      </c>
      <c r="K73" s="564"/>
      <c r="L73" s="560">
        <v>0</v>
      </c>
      <c r="M73" s="564"/>
      <c r="N73" s="560">
        <v>0</v>
      </c>
      <c r="O73" s="564"/>
      <c r="P73" s="560">
        <v>0</v>
      </c>
      <c r="Q73" s="564"/>
      <c r="R73" s="560">
        <v>0</v>
      </c>
      <c r="S73" s="564"/>
      <c r="T73" s="560">
        <v>0</v>
      </c>
      <c r="U73" s="564"/>
      <c r="V73" s="560">
        <v>0</v>
      </c>
      <c r="W73" s="564"/>
      <c r="X73" s="560">
        <v>0</v>
      </c>
      <c r="Y73" s="564"/>
      <c r="Z73" s="560">
        <v>0</v>
      </c>
      <c r="AA73" s="564"/>
      <c r="AB73" s="560">
        <v>0</v>
      </c>
      <c r="AC73" s="564"/>
      <c r="AD73" s="560">
        <v>0</v>
      </c>
      <c r="AE73" s="561"/>
    </row>
    <row r="74" spans="2:31" hidden="1" x14ac:dyDescent="0.25">
      <c r="B74" s="565" t="s">
        <v>59</v>
      </c>
      <c r="C74" s="566"/>
      <c r="D74" s="560">
        <v>0</v>
      </c>
      <c r="E74" s="564"/>
      <c r="F74" s="560">
        <v>0</v>
      </c>
      <c r="G74" s="564"/>
      <c r="H74" s="560">
        <v>0</v>
      </c>
      <c r="I74" s="564"/>
      <c r="J74" s="560">
        <v>0</v>
      </c>
      <c r="K74" s="564"/>
      <c r="L74" s="560">
        <v>0</v>
      </c>
      <c r="M74" s="564"/>
      <c r="N74" s="560">
        <v>0</v>
      </c>
      <c r="O74" s="564"/>
      <c r="P74" s="560">
        <v>0</v>
      </c>
      <c r="Q74" s="564"/>
      <c r="R74" s="560">
        <v>0</v>
      </c>
      <c r="S74" s="564"/>
      <c r="T74" s="560">
        <v>0</v>
      </c>
      <c r="U74" s="564"/>
      <c r="V74" s="560">
        <v>0</v>
      </c>
      <c r="W74" s="564"/>
      <c r="X74" s="560">
        <v>0</v>
      </c>
      <c r="Y74" s="564"/>
      <c r="Z74" s="560">
        <v>0</v>
      </c>
      <c r="AA74" s="564"/>
      <c r="AB74" s="560">
        <v>0</v>
      </c>
      <c r="AC74" s="564"/>
      <c r="AD74" s="560">
        <v>0</v>
      </c>
      <c r="AE74" s="561"/>
    </row>
    <row r="75" spans="2:31" hidden="1" x14ac:dyDescent="0.25">
      <c r="B75" s="565" t="s">
        <v>59</v>
      </c>
      <c r="C75" s="566"/>
      <c r="D75" s="560">
        <v>0</v>
      </c>
      <c r="E75" s="564"/>
      <c r="F75" s="560">
        <v>0</v>
      </c>
      <c r="G75" s="564"/>
      <c r="H75" s="560">
        <v>0</v>
      </c>
      <c r="I75" s="564"/>
      <c r="J75" s="560">
        <v>0</v>
      </c>
      <c r="K75" s="564"/>
      <c r="L75" s="560">
        <v>0</v>
      </c>
      <c r="M75" s="564"/>
      <c r="N75" s="560">
        <v>0</v>
      </c>
      <c r="O75" s="564"/>
      <c r="P75" s="560">
        <v>0</v>
      </c>
      <c r="Q75" s="564"/>
      <c r="R75" s="560">
        <v>0</v>
      </c>
      <c r="S75" s="564"/>
      <c r="T75" s="560">
        <v>0</v>
      </c>
      <c r="U75" s="564"/>
      <c r="V75" s="560">
        <v>0</v>
      </c>
      <c r="W75" s="564"/>
      <c r="X75" s="560">
        <v>0</v>
      </c>
      <c r="Y75" s="564"/>
      <c r="Z75" s="560">
        <v>0</v>
      </c>
      <c r="AA75" s="564"/>
      <c r="AB75" s="560">
        <v>0</v>
      </c>
      <c r="AC75" s="564"/>
      <c r="AD75" s="560">
        <v>0</v>
      </c>
      <c r="AE75" s="561"/>
    </row>
    <row r="76" spans="2:31" hidden="1" x14ac:dyDescent="0.25">
      <c r="B76" s="565" t="s">
        <v>59</v>
      </c>
      <c r="C76" s="566"/>
      <c r="D76" s="560">
        <v>0</v>
      </c>
      <c r="E76" s="564"/>
      <c r="F76" s="560">
        <v>0</v>
      </c>
      <c r="G76" s="564"/>
      <c r="H76" s="560">
        <v>0</v>
      </c>
      <c r="I76" s="564"/>
      <c r="J76" s="560">
        <v>0</v>
      </c>
      <c r="K76" s="564"/>
      <c r="L76" s="560">
        <v>0</v>
      </c>
      <c r="M76" s="564"/>
      <c r="N76" s="560">
        <v>0</v>
      </c>
      <c r="O76" s="564"/>
      <c r="P76" s="560">
        <v>0</v>
      </c>
      <c r="Q76" s="564"/>
      <c r="R76" s="560">
        <v>0</v>
      </c>
      <c r="S76" s="564"/>
      <c r="T76" s="560">
        <v>0</v>
      </c>
      <c r="U76" s="564"/>
      <c r="V76" s="560">
        <v>0</v>
      </c>
      <c r="W76" s="564"/>
      <c r="X76" s="560">
        <v>0</v>
      </c>
      <c r="Y76" s="564"/>
      <c r="Z76" s="560">
        <v>0</v>
      </c>
      <c r="AA76" s="564"/>
      <c r="AB76" s="560">
        <v>0</v>
      </c>
      <c r="AC76" s="564"/>
      <c r="AD76" s="560">
        <v>0</v>
      </c>
      <c r="AE76" s="561"/>
    </row>
    <row r="77" spans="2:31" hidden="1" x14ac:dyDescent="0.25">
      <c r="B77" s="565" t="s">
        <v>59</v>
      </c>
      <c r="C77" s="566"/>
      <c r="D77" s="560">
        <v>0</v>
      </c>
      <c r="E77" s="564"/>
      <c r="F77" s="560">
        <v>0</v>
      </c>
      <c r="G77" s="564"/>
      <c r="H77" s="560">
        <v>0</v>
      </c>
      <c r="I77" s="564"/>
      <c r="J77" s="560">
        <v>0</v>
      </c>
      <c r="K77" s="564"/>
      <c r="L77" s="560">
        <v>0</v>
      </c>
      <c r="M77" s="564"/>
      <c r="N77" s="560">
        <v>0</v>
      </c>
      <c r="O77" s="564"/>
      <c r="P77" s="560">
        <v>0</v>
      </c>
      <c r="Q77" s="564"/>
      <c r="R77" s="560">
        <v>0</v>
      </c>
      <c r="S77" s="564"/>
      <c r="T77" s="560">
        <v>0</v>
      </c>
      <c r="U77" s="564"/>
      <c r="V77" s="560">
        <v>0</v>
      </c>
      <c r="W77" s="564"/>
      <c r="X77" s="560">
        <v>0</v>
      </c>
      <c r="Y77" s="564"/>
      <c r="Z77" s="560">
        <v>0</v>
      </c>
      <c r="AA77" s="564"/>
      <c r="AB77" s="560">
        <v>0</v>
      </c>
      <c r="AC77" s="564"/>
      <c r="AD77" s="560">
        <v>0</v>
      </c>
      <c r="AE77" s="561"/>
    </row>
    <row r="78" spans="2:31" hidden="1" x14ac:dyDescent="0.25">
      <c r="B78" s="565" t="s">
        <v>59</v>
      </c>
      <c r="C78" s="566"/>
      <c r="D78" s="560">
        <v>0</v>
      </c>
      <c r="E78" s="564"/>
      <c r="F78" s="560">
        <v>0</v>
      </c>
      <c r="G78" s="564"/>
      <c r="H78" s="560">
        <v>0</v>
      </c>
      <c r="I78" s="564"/>
      <c r="J78" s="560">
        <v>0</v>
      </c>
      <c r="K78" s="564"/>
      <c r="L78" s="560">
        <v>0</v>
      </c>
      <c r="M78" s="564"/>
      <c r="N78" s="560">
        <v>0</v>
      </c>
      <c r="O78" s="564"/>
      <c r="P78" s="560">
        <v>0</v>
      </c>
      <c r="Q78" s="564"/>
      <c r="R78" s="560">
        <v>0</v>
      </c>
      <c r="S78" s="564"/>
      <c r="T78" s="560">
        <v>0</v>
      </c>
      <c r="U78" s="564"/>
      <c r="V78" s="560">
        <v>0</v>
      </c>
      <c r="W78" s="564"/>
      <c r="X78" s="560">
        <v>0</v>
      </c>
      <c r="Y78" s="564"/>
      <c r="Z78" s="560">
        <v>0</v>
      </c>
      <c r="AA78" s="564"/>
      <c r="AB78" s="560">
        <v>0</v>
      </c>
      <c r="AC78" s="564"/>
      <c r="AD78" s="560">
        <v>0</v>
      </c>
      <c r="AE78" s="561"/>
    </row>
    <row r="79" spans="2:31" hidden="1" x14ac:dyDescent="0.25">
      <c r="B79" s="565" t="s">
        <v>59</v>
      </c>
      <c r="C79" s="566"/>
      <c r="D79" s="560">
        <v>0</v>
      </c>
      <c r="E79" s="564"/>
      <c r="F79" s="560">
        <v>0</v>
      </c>
      <c r="G79" s="564"/>
      <c r="H79" s="560">
        <v>0</v>
      </c>
      <c r="I79" s="564"/>
      <c r="J79" s="560">
        <v>0</v>
      </c>
      <c r="K79" s="564"/>
      <c r="L79" s="560">
        <v>0</v>
      </c>
      <c r="M79" s="564"/>
      <c r="N79" s="560">
        <v>0</v>
      </c>
      <c r="O79" s="564"/>
      <c r="P79" s="560">
        <v>0</v>
      </c>
      <c r="Q79" s="564"/>
      <c r="R79" s="560">
        <v>0</v>
      </c>
      <c r="S79" s="564"/>
      <c r="T79" s="560">
        <v>0</v>
      </c>
      <c r="U79" s="564"/>
      <c r="V79" s="560">
        <v>0</v>
      </c>
      <c r="W79" s="564"/>
      <c r="X79" s="560">
        <v>0</v>
      </c>
      <c r="Y79" s="564"/>
      <c r="Z79" s="560">
        <v>0</v>
      </c>
      <c r="AA79" s="564"/>
      <c r="AB79" s="560">
        <v>0</v>
      </c>
      <c r="AC79" s="564"/>
      <c r="AD79" s="560">
        <v>0</v>
      </c>
      <c r="AE79" s="561"/>
    </row>
    <row r="80" spans="2:31" hidden="1" x14ac:dyDescent="0.25">
      <c r="B80" s="565" t="s">
        <v>59</v>
      </c>
      <c r="C80" s="566"/>
      <c r="D80" s="560">
        <v>0</v>
      </c>
      <c r="E80" s="564"/>
      <c r="F80" s="560">
        <v>0</v>
      </c>
      <c r="G80" s="564"/>
      <c r="H80" s="560">
        <v>0</v>
      </c>
      <c r="I80" s="564"/>
      <c r="J80" s="560">
        <v>0</v>
      </c>
      <c r="K80" s="564"/>
      <c r="L80" s="560">
        <v>0</v>
      </c>
      <c r="M80" s="564"/>
      <c r="N80" s="560">
        <v>0</v>
      </c>
      <c r="O80" s="564"/>
      <c r="P80" s="560">
        <v>0</v>
      </c>
      <c r="Q80" s="564"/>
      <c r="R80" s="560">
        <v>0</v>
      </c>
      <c r="S80" s="564"/>
      <c r="T80" s="560">
        <v>0</v>
      </c>
      <c r="U80" s="564"/>
      <c r="V80" s="560">
        <v>0</v>
      </c>
      <c r="W80" s="564"/>
      <c r="X80" s="560">
        <v>0</v>
      </c>
      <c r="Y80" s="564"/>
      <c r="Z80" s="560">
        <v>0</v>
      </c>
      <c r="AA80" s="564"/>
      <c r="AB80" s="560">
        <v>0</v>
      </c>
      <c r="AC80" s="564"/>
      <c r="AD80" s="560">
        <v>0</v>
      </c>
      <c r="AE80" s="561"/>
    </row>
    <row r="81" spans="2:33" hidden="1" x14ac:dyDescent="0.25">
      <c r="B81" s="562" t="s">
        <v>59</v>
      </c>
      <c r="C81" s="563"/>
      <c r="D81" s="557">
        <v>0</v>
      </c>
      <c r="E81" s="558"/>
      <c r="F81" s="557">
        <v>0</v>
      </c>
      <c r="G81" s="558"/>
      <c r="H81" s="557">
        <v>0</v>
      </c>
      <c r="I81" s="558"/>
      <c r="J81" s="557">
        <v>0</v>
      </c>
      <c r="K81" s="558"/>
      <c r="L81" s="557">
        <v>0</v>
      </c>
      <c r="M81" s="558"/>
      <c r="N81" s="557">
        <v>0</v>
      </c>
      <c r="O81" s="558"/>
      <c r="P81" s="557">
        <v>0</v>
      </c>
      <c r="Q81" s="558"/>
      <c r="R81" s="557">
        <v>0</v>
      </c>
      <c r="S81" s="558"/>
      <c r="T81" s="557">
        <v>0</v>
      </c>
      <c r="U81" s="558"/>
      <c r="V81" s="557">
        <v>0</v>
      </c>
      <c r="W81" s="558"/>
      <c r="X81" s="557">
        <v>0</v>
      </c>
      <c r="Y81" s="558"/>
      <c r="Z81" s="557">
        <v>0</v>
      </c>
      <c r="AA81" s="558"/>
      <c r="AB81" s="557">
        <v>0</v>
      </c>
      <c r="AC81" s="558"/>
      <c r="AD81" s="557">
        <v>0</v>
      </c>
      <c r="AE81" s="559"/>
    </row>
    <row r="82" spans="2:33" hidden="1" x14ac:dyDescent="0.25"/>
    <row r="83" spans="2:33" ht="15" customHeight="1" x14ac:dyDescent="0.25">
      <c r="B83" s="497" t="s">
        <v>1062</v>
      </c>
      <c r="C83" s="498"/>
      <c r="D83" s="498"/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98"/>
      <c r="Y83" s="498"/>
      <c r="Z83" s="498"/>
      <c r="AA83" s="498"/>
      <c r="AB83" s="498"/>
      <c r="AC83" s="498"/>
      <c r="AD83" s="498"/>
      <c r="AE83" s="499"/>
    </row>
    <row r="84" spans="2:33" ht="15.75" x14ac:dyDescent="0.25">
      <c r="B84" s="300" t="s">
        <v>816</v>
      </c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7"/>
    </row>
    <row r="85" spans="2:33" ht="24.75" customHeight="1" thickBot="1" x14ac:dyDescent="0.25">
      <c r="B85" s="547" t="s">
        <v>817</v>
      </c>
      <c r="C85" s="529"/>
      <c r="D85" s="529" t="s">
        <v>818</v>
      </c>
      <c r="E85" s="529"/>
      <c r="F85" s="529" t="s">
        <v>443</v>
      </c>
      <c r="G85" s="529"/>
      <c r="H85" s="529" t="s">
        <v>56</v>
      </c>
      <c r="I85" s="529"/>
      <c r="J85" s="529" t="s">
        <v>40</v>
      </c>
      <c r="K85" s="529"/>
      <c r="L85" s="529"/>
      <c r="M85" s="529" t="s">
        <v>893</v>
      </c>
      <c r="N85" s="529"/>
      <c r="O85" s="529"/>
      <c r="P85" s="529"/>
      <c r="Q85" s="529"/>
      <c r="R85" s="529"/>
      <c r="S85" s="529"/>
      <c r="T85" s="529" t="s">
        <v>52</v>
      </c>
      <c r="U85" s="529"/>
      <c r="V85" s="529"/>
      <c r="W85" s="529"/>
      <c r="X85" s="529"/>
      <c r="Y85" s="529"/>
      <c r="Z85" s="529" t="s">
        <v>262</v>
      </c>
      <c r="AA85" s="529"/>
      <c r="AB85" s="529" t="s">
        <v>221</v>
      </c>
      <c r="AC85" s="529"/>
      <c r="AD85" s="529" t="s">
        <v>53</v>
      </c>
      <c r="AE85" s="530"/>
      <c r="AG85" s="278" t="s">
        <v>899</v>
      </c>
    </row>
    <row r="86" spans="2:33" ht="13.5" thickTop="1" x14ac:dyDescent="0.25">
      <c r="B86" s="531" t="s">
        <v>1106</v>
      </c>
      <c r="C86" s="532"/>
      <c r="D86" s="533" t="s">
        <v>1097</v>
      </c>
      <c r="E86" s="532"/>
      <c r="F86" s="533" t="s">
        <v>1096</v>
      </c>
      <c r="G86" s="532"/>
      <c r="H86" s="533" t="s">
        <v>1107</v>
      </c>
      <c r="I86" s="532"/>
      <c r="J86" s="534" t="s">
        <v>411</v>
      </c>
      <c r="K86" s="535"/>
      <c r="L86" s="536"/>
      <c r="M86" s="534" t="s">
        <v>988</v>
      </c>
      <c r="N86" s="535"/>
      <c r="O86" s="535"/>
      <c r="P86" s="535"/>
      <c r="Q86" s="535"/>
      <c r="R86" s="535"/>
      <c r="S86" s="536"/>
      <c r="T86" s="534" t="s">
        <v>457</v>
      </c>
      <c r="U86" s="535"/>
      <c r="V86" s="535"/>
      <c r="W86" s="535"/>
      <c r="X86" s="535"/>
      <c r="Y86" s="536"/>
      <c r="Z86" s="541">
        <v>0</v>
      </c>
      <c r="AA86" s="556"/>
      <c r="AB86" s="541">
        <v>0</v>
      </c>
      <c r="AC86" s="556"/>
      <c r="AD86" s="541">
        <v>5000000</v>
      </c>
      <c r="AE86" s="542"/>
      <c r="AG86" s="279" t="s">
        <v>1113</v>
      </c>
    </row>
    <row r="87" spans="2:33" hidden="1" x14ac:dyDescent="0.25">
      <c r="B87" s="517" t="s">
        <v>59</v>
      </c>
      <c r="C87" s="518"/>
      <c r="D87" s="519" t="s">
        <v>59</v>
      </c>
      <c r="E87" s="518"/>
      <c r="F87" s="519" t="s">
        <v>59</v>
      </c>
      <c r="G87" s="518"/>
      <c r="H87" s="519" t="s">
        <v>59</v>
      </c>
      <c r="I87" s="518"/>
      <c r="J87" s="526" t="s">
        <v>59</v>
      </c>
      <c r="K87" s="527"/>
      <c r="L87" s="528"/>
      <c r="M87" s="526" t="s">
        <v>59</v>
      </c>
      <c r="N87" s="527"/>
      <c r="O87" s="527"/>
      <c r="P87" s="527"/>
      <c r="Q87" s="527"/>
      <c r="R87" s="527"/>
      <c r="S87" s="528"/>
      <c r="T87" s="526" t="s">
        <v>59</v>
      </c>
      <c r="U87" s="527"/>
      <c r="V87" s="527"/>
      <c r="W87" s="527"/>
      <c r="X87" s="527"/>
      <c r="Y87" s="528"/>
      <c r="Z87" s="506" t="s">
        <v>59</v>
      </c>
      <c r="AA87" s="555"/>
      <c r="AB87" s="506" t="s">
        <v>59</v>
      </c>
      <c r="AC87" s="555"/>
      <c r="AD87" s="506" t="s">
        <v>59</v>
      </c>
      <c r="AE87" s="507"/>
      <c r="AG87" s="279"/>
    </row>
    <row r="88" spans="2:33" hidden="1" x14ac:dyDescent="0.25">
      <c r="B88" s="517" t="s">
        <v>59</v>
      </c>
      <c r="C88" s="518"/>
      <c r="D88" s="519" t="s">
        <v>59</v>
      </c>
      <c r="E88" s="518"/>
      <c r="F88" s="519" t="s">
        <v>59</v>
      </c>
      <c r="G88" s="518"/>
      <c r="H88" s="519" t="s">
        <v>59</v>
      </c>
      <c r="I88" s="518"/>
      <c r="J88" s="526" t="s">
        <v>59</v>
      </c>
      <c r="K88" s="527"/>
      <c r="L88" s="528"/>
      <c r="M88" s="526" t="s">
        <v>59</v>
      </c>
      <c r="N88" s="527"/>
      <c r="O88" s="527"/>
      <c r="P88" s="527"/>
      <c r="Q88" s="527"/>
      <c r="R88" s="527"/>
      <c r="S88" s="528"/>
      <c r="T88" s="526" t="s">
        <v>59</v>
      </c>
      <c r="U88" s="527"/>
      <c r="V88" s="527"/>
      <c r="W88" s="527"/>
      <c r="X88" s="527"/>
      <c r="Y88" s="528"/>
      <c r="Z88" s="506" t="s">
        <v>59</v>
      </c>
      <c r="AA88" s="555"/>
      <c r="AB88" s="506" t="s">
        <v>59</v>
      </c>
      <c r="AC88" s="555"/>
      <c r="AD88" s="506" t="s">
        <v>59</v>
      </c>
      <c r="AE88" s="507"/>
      <c r="AG88" s="279"/>
    </row>
    <row r="89" spans="2:33" hidden="1" x14ac:dyDescent="0.25">
      <c r="B89" s="517" t="s">
        <v>59</v>
      </c>
      <c r="C89" s="518"/>
      <c r="D89" s="519" t="s">
        <v>59</v>
      </c>
      <c r="E89" s="518"/>
      <c r="F89" s="519" t="s">
        <v>59</v>
      </c>
      <c r="G89" s="518"/>
      <c r="H89" s="519" t="s">
        <v>59</v>
      </c>
      <c r="I89" s="518"/>
      <c r="J89" s="526" t="s">
        <v>59</v>
      </c>
      <c r="K89" s="527"/>
      <c r="L89" s="528"/>
      <c r="M89" s="526" t="s">
        <v>59</v>
      </c>
      <c r="N89" s="527"/>
      <c r="O89" s="527"/>
      <c r="P89" s="527"/>
      <c r="Q89" s="527"/>
      <c r="R89" s="527"/>
      <c r="S89" s="528"/>
      <c r="T89" s="526" t="s">
        <v>59</v>
      </c>
      <c r="U89" s="527"/>
      <c r="V89" s="527"/>
      <c r="W89" s="527"/>
      <c r="X89" s="527"/>
      <c r="Y89" s="528"/>
      <c r="Z89" s="506" t="s">
        <v>59</v>
      </c>
      <c r="AA89" s="555"/>
      <c r="AB89" s="506" t="s">
        <v>59</v>
      </c>
      <c r="AC89" s="555"/>
      <c r="AD89" s="506" t="s">
        <v>59</v>
      </c>
      <c r="AE89" s="507"/>
      <c r="AG89" s="279"/>
    </row>
    <row r="90" spans="2:33" hidden="1" x14ac:dyDescent="0.25">
      <c r="B90" s="517" t="s">
        <v>59</v>
      </c>
      <c r="C90" s="518"/>
      <c r="D90" s="519" t="s">
        <v>59</v>
      </c>
      <c r="E90" s="518"/>
      <c r="F90" s="519" t="s">
        <v>59</v>
      </c>
      <c r="G90" s="518"/>
      <c r="H90" s="519" t="s">
        <v>59</v>
      </c>
      <c r="I90" s="518"/>
      <c r="J90" s="526" t="s">
        <v>59</v>
      </c>
      <c r="K90" s="527"/>
      <c r="L90" s="528"/>
      <c r="M90" s="526" t="s">
        <v>59</v>
      </c>
      <c r="N90" s="527"/>
      <c r="O90" s="527"/>
      <c r="P90" s="527"/>
      <c r="Q90" s="527"/>
      <c r="R90" s="527"/>
      <c r="S90" s="528"/>
      <c r="T90" s="526" t="s">
        <v>59</v>
      </c>
      <c r="U90" s="527"/>
      <c r="V90" s="527"/>
      <c r="W90" s="527"/>
      <c r="X90" s="527"/>
      <c r="Y90" s="528"/>
      <c r="Z90" s="506" t="s">
        <v>59</v>
      </c>
      <c r="AA90" s="555"/>
      <c r="AB90" s="506" t="s">
        <v>59</v>
      </c>
      <c r="AC90" s="555"/>
      <c r="AD90" s="506" t="s">
        <v>59</v>
      </c>
      <c r="AE90" s="507"/>
      <c r="AG90" s="279"/>
    </row>
    <row r="91" spans="2:33" hidden="1" x14ac:dyDescent="0.25">
      <c r="B91" s="517" t="s">
        <v>59</v>
      </c>
      <c r="C91" s="518"/>
      <c r="D91" s="519" t="s">
        <v>59</v>
      </c>
      <c r="E91" s="518"/>
      <c r="F91" s="519" t="s">
        <v>59</v>
      </c>
      <c r="G91" s="518"/>
      <c r="H91" s="519" t="s">
        <v>59</v>
      </c>
      <c r="I91" s="518"/>
      <c r="J91" s="526" t="s">
        <v>59</v>
      </c>
      <c r="K91" s="527"/>
      <c r="L91" s="528"/>
      <c r="M91" s="526" t="s">
        <v>59</v>
      </c>
      <c r="N91" s="527"/>
      <c r="O91" s="527"/>
      <c r="P91" s="527"/>
      <c r="Q91" s="527"/>
      <c r="R91" s="527"/>
      <c r="S91" s="528"/>
      <c r="T91" s="526" t="s">
        <v>59</v>
      </c>
      <c r="U91" s="527"/>
      <c r="V91" s="527"/>
      <c r="W91" s="527"/>
      <c r="X91" s="527"/>
      <c r="Y91" s="528"/>
      <c r="Z91" s="506" t="s">
        <v>59</v>
      </c>
      <c r="AA91" s="555"/>
      <c r="AB91" s="506" t="s">
        <v>59</v>
      </c>
      <c r="AC91" s="555"/>
      <c r="AD91" s="506" t="s">
        <v>59</v>
      </c>
      <c r="AE91" s="507"/>
      <c r="AG91" s="279"/>
    </row>
    <row r="92" spans="2:33" hidden="1" x14ac:dyDescent="0.25">
      <c r="B92" s="517" t="s">
        <v>59</v>
      </c>
      <c r="C92" s="518"/>
      <c r="D92" s="519" t="s">
        <v>59</v>
      </c>
      <c r="E92" s="518"/>
      <c r="F92" s="519" t="s">
        <v>59</v>
      </c>
      <c r="G92" s="518"/>
      <c r="H92" s="519" t="s">
        <v>59</v>
      </c>
      <c r="I92" s="518"/>
      <c r="J92" s="526" t="s">
        <v>59</v>
      </c>
      <c r="K92" s="527"/>
      <c r="L92" s="528"/>
      <c r="M92" s="526" t="s">
        <v>59</v>
      </c>
      <c r="N92" s="527"/>
      <c r="O92" s="527"/>
      <c r="P92" s="527"/>
      <c r="Q92" s="527"/>
      <c r="R92" s="527"/>
      <c r="S92" s="528"/>
      <c r="T92" s="526" t="s">
        <v>59</v>
      </c>
      <c r="U92" s="527"/>
      <c r="V92" s="527"/>
      <c r="W92" s="527"/>
      <c r="X92" s="527"/>
      <c r="Y92" s="528"/>
      <c r="Z92" s="506" t="s">
        <v>59</v>
      </c>
      <c r="AA92" s="555"/>
      <c r="AB92" s="506" t="s">
        <v>59</v>
      </c>
      <c r="AC92" s="555"/>
      <c r="AD92" s="506" t="s">
        <v>59</v>
      </c>
      <c r="AE92" s="507"/>
      <c r="AG92" s="279"/>
    </row>
    <row r="93" spans="2:33" hidden="1" x14ac:dyDescent="0.25">
      <c r="B93" s="517" t="s">
        <v>59</v>
      </c>
      <c r="C93" s="518"/>
      <c r="D93" s="519" t="s">
        <v>59</v>
      </c>
      <c r="E93" s="518"/>
      <c r="F93" s="519" t="s">
        <v>59</v>
      </c>
      <c r="G93" s="518"/>
      <c r="H93" s="519" t="s">
        <v>59</v>
      </c>
      <c r="I93" s="518"/>
      <c r="J93" s="526" t="s">
        <v>59</v>
      </c>
      <c r="K93" s="527"/>
      <c r="L93" s="528"/>
      <c r="M93" s="526" t="s">
        <v>59</v>
      </c>
      <c r="N93" s="527"/>
      <c r="O93" s="527"/>
      <c r="P93" s="527"/>
      <c r="Q93" s="527"/>
      <c r="R93" s="527"/>
      <c r="S93" s="528"/>
      <c r="T93" s="526" t="s">
        <v>59</v>
      </c>
      <c r="U93" s="527"/>
      <c r="V93" s="527"/>
      <c r="W93" s="527"/>
      <c r="X93" s="527"/>
      <c r="Y93" s="528"/>
      <c r="Z93" s="506" t="s">
        <v>59</v>
      </c>
      <c r="AA93" s="555"/>
      <c r="AB93" s="506" t="s">
        <v>59</v>
      </c>
      <c r="AC93" s="555"/>
      <c r="AD93" s="506" t="s">
        <v>59</v>
      </c>
      <c r="AE93" s="507"/>
      <c r="AG93" s="279"/>
    </row>
    <row r="94" spans="2:33" hidden="1" x14ac:dyDescent="0.25">
      <c r="B94" s="517" t="s">
        <v>59</v>
      </c>
      <c r="C94" s="518"/>
      <c r="D94" s="519" t="s">
        <v>59</v>
      </c>
      <c r="E94" s="518"/>
      <c r="F94" s="519" t="s">
        <v>59</v>
      </c>
      <c r="G94" s="518"/>
      <c r="H94" s="519" t="s">
        <v>59</v>
      </c>
      <c r="I94" s="518"/>
      <c r="J94" s="526" t="s">
        <v>59</v>
      </c>
      <c r="K94" s="527"/>
      <c r="L94" s="528"/>
      <c r="M94" s="526" t="s">
        <v>59</v>
      </c>
      <c r="N94" s="527"/>
      <c r="O94" s="527"/>
      <c r="P94" s="527"/>
      <c r="Q94" s="527"/>
      <c r="R94" s="527"/>
      <c r="S94" s="528"/>
      <c r="T94" s="526" t="s">
        <v>59</v>
      </c>
      <c r="U94" s="527"/>
      <c r="V94" s="527"/>
      <c r="W94" s="527"/>
      <c r="X94" s="527"/>
      <c r="Y94" s="528"/>
      <c r="Z94" s="506" t="s">
        <v>59</v>
      </c>
      <c r="AA94" s="555"/>
      <c r="AB94" s="506" t="s">
        <v>59</v>
      </c>
      <c r="AC94" s="555"/>
      <c r="AD94" s="506" t="s">
        <v>59</v>
      </c>
      <c r="AE94" s="507"/>
      <c r="AG94" s="279"/>
    </row>
    <row r="95" spans="2:33" hidden="1" x14ac:dyDescent="0.25">
      <c r="B95" s="517" t="s">
        <v>59</v>
      </c>
      <c r="C95" s="518"/>
      <c r="D95" s="519" t="s">
        <v>59</v>
      </c>
      <c r="E95" s="518"/>
      <c r="F95" s="519" t="s">
        <v>59</v>
      </c>
      <c r="G95" s="518"/>
      <c r="H95" s="519" t="s">
        <v>59</v>
      </c>
      <c r="I95" s="518"/>
      <c r="J95" s="526" t="s">
        <v>59</v>
      </c>
      <c r="K95" s="527"/>
      <c r="L95" s="528"/>
      <c r="M95" s="526" t="s">
        <v>59</v>
      </c>
      <c r="N95" s="527"/>
      <c r="O95" s="527"/>
      <c r="P95" s="527"/>
      <c r="Q95" s="527"/>
      <c r="R95" s="527"/>
      <c r="S95" s="528"/>
      <c r="T95" s="526" t="s">
        <v>59</v>
      </c>
      <c r="U95" s="527"/>
      <c r="V95" s="527"/>
      <c r="W95" s="527"/>
      <c r="X95" s="527"/>
      <c r="Y95" s="528"/>
      <c r="Z95" s="506" t="s">
        <v>59</v>
      </c>
      <c r="AA95" s="555"/>
      <c r="AB95" s="506" t="s">
        <v>59</v>
      </c>
      <c r="AC95" s="555"/>
      <c r="AD95" s="506" t="s">
        <v>59</v>
      </c>
      <c r="AE95" s="507"/>
      <c r="AG95" s="279"/>
    </row>
    <row r="96" spans="2:33" hidden="1" x14ac:dyDescent="0.25">
      <c r="B96" s="517" t="s">
        <v>59</v>
      </c>
      <c r="C96" s="518"/>
      <c r="D96" s="519" t="s">
        <v>59</v>
      </c>
      <c r="E96" s="518"/>
      <c r="F96" s="519" t="s">
        <v>59</v>
      </c>
      <c r="G96" s="518"/>
      <c r="H96" s="519" t="s">
        <v>59</v>
      </c>
      <c r="I96" s="518"/>
      <c r="J96" s="526" t="s">
        <v>59</v>
      </c>
      <c r="K96" s="527"/>
      <c r="L96" s="528"/>
      <c r="M96" s="526" t="s">
        <v>59</v>
      </c>
      <c r="N96" s="527"/>
      <c r="O96" s="527"/>
      <c r="P96" s="527"/>
      <c r="Q96" s="527"/>
      <c r="R96" s="527"/>
      <c r="S96" s="528"/>
      <c r="T96" s="526" t="s">
        <v>59</v>
      </c>
      <c r="U96" s="527"/>
      <c r="V96" s="527"/>
      <c r="W96" s="527"/>
      <c r="X96" s="527"/>
      <c r="Y96" s="528"/>
      <c r="Z96" s="506" t="s">
        <v>59</v>
      </c>
      <c r="AA96" s="555"/>
      <c r="AB96" s="506" t="s">
        <v>59</v>
      </c>
      <c r="AC96" s="555"/>
      <c r="AD96" s="506" t="s">
        <v>59</v>
      </c>
      <c r="AE96" s="507"/>
      <c r="AG96" s="279"/>
    </row>
    <row r="97" spans="2:33" hidden="1" x14ac:dyDescent="0.25">
      <c r="B97" s="517" t="s">
        <v>59</v>
      </c>
      <c r="C97" s="518"/>
      <c r="D97" s="519" t="s">
        <v>59</v>
      </c>
      <c r="E97" s="518"/>
      <c r="F97" s="519" t="s">
        <v>59</v>
      </c>
      <c r="G97" s="518"/>
      <c r="H97" s="519" t="s">
        <v>59</v>
      </c>
      <c r="I97" s="518"/>
      <c r="J97" s="526" t="s">
        <v>59</v>
      </c>
      <c r="K97" s="527"/>
      <c r="L97" s="528"/>
      <c r="M97" s="526" t="s">
        <v>59</v>
      </c>
      <c r="N97" s="527"/>
      <c r="O97" s="527"/>
      <c r="P97" s="527"/>
      <c r="Q97" s="527"/>
      <c r="R97" s="527"/>
      <c r="S97" s="528"/>
      <c r="T97" s="526" t="s">
        <v>59</v>
      </c>
      <c r="U97" s="527"/>
      <c r="V97" s="527"/>
      <c r="W97" s="527"/>
      <c r="X97" s="527"/>
      <c r="Y97" s="528"/>
      <c r="Z97" s="506" t="s">
        <v>59</v>
      </c>
      <c r="AA97" s="555"/>
      <c r="AB97" s="506" t="s">
        <v>59</v>
      </c>
      <c r="AC97" s="555"/>
      <c r="AD97" s="506" t="s">
        <v>59</v>
      </c>
      <c r="AE97" s="507"/>
      <c r="AG97" s="279"/>
    </row>
    <row r="98" spans="2:33" hidden="1" x14ac:dyDescent="0.25">
      <c r="B98" s="517" t="s">
        <v>59</v>
      </c>
      <c r="C98" s="518"/>
      <c r="D98" s="519" t="s">
        <v>59</v>
      </c>
      <c r="E98" s="518"/>
      <c r="F98" s="519" t="s">
        <v>59</v>
      </c>
      <c r="G98" s="518"/>
      <c r="H98" s="519" t="s">
        <v>59</v>
      </c>
      <c r="I98" s="518"/>
      <c r="J98" s="526" t="s">
        <v>59</v>
      </c>
      <c r="K98" s="527"/>
      <c r="L98" s="528"/>
      <c r="M98" s="526" t="s">
        <v>59</v>
      </c>
      <c r="N98" s="527"/>
      <c r="O98" s="527"/>
      <c r="P98" s="527"/>
      <c r="Q98" s="527"/>
      <c r="R98" s="527"/>
      <c r="S98" s="528"/>
      <c r="T98" s="526" t="s">
        <v>59</v>
      </c>
      <c r="U98" s="527"/>
      <c r="V98" s="527"/>
      <c r="W98" s="527"/>
      <c r="X98" s="527"/>
      <c r="Y98" s="528"/>
      <c r="Z98" s="506" t="s">
        <v>59</v>
      </c>
      <c r="AA98" s="555"/>
      <c r="AB98" s="506" t="s">
        <v>59</v>
      </c>
      <c r="AC98" s="555"/>
      <c r="AD98" s="506" t="s">
        <v>59</v>
      </c>
      <c r="AE98" s="507"/>
      <c r="AG98" s="279"/>
    </row>
    <row r="99" spans="2:33" hidden="1" x14ac:dyDescent="0.25">
      <c r="B99" s="517" t="s">
        <v>59</v>
      </c>
      <c r="C99" s="518"/>
      <c r="D99" s="519" t="s">
        <v>59</v>
      </c>
      <c r="E99" s="518"/>
      <c r="F99" s="519" t="s">
        <v>59</v>
      </c>
      <c r="G99" s="518"/>
      <c r="H99" s="519" t="s">
        <v>59</v>
      </c>
      <c r="I99" s="518"/>
      <c r="J99" s="526" t="s">
        <v>59</v>
      </c>
      <c r="K99" s="527"/>
      <c r="L99" s="528"/>
      <c r="M99" s="526" t="s">
        <v>59</v>
      </c>
      <c r="N99" s="527"/>
      <c r="O99" s="527"/>
      <c r="P99" s="527"/>
      <c r="Q99" s="527"/>
      <c r="R99" s="527"/>
      <c r="S99" s="528"/>
      <c r="T99" s="526" t="s">
        <v>59</v>
      </c>
      <c r="U99" s="527"/>
      <c r="V99" s="527"/>
      <c r="W99" s="527"/>
      <c r="X99" s="527"/>
      <c r="Y99" s="528"/>
      <c r="Z99" s="506" t="s">
        <v>59</v>
      </c>
      <c r="AA99" s="555"/>
      <c r="AB99" s="506" t="s">
        <v>59</v>
      </c>
      <c r="AC99" s="555"/>
      <c r="AD99" s="506" t="s">
        <v>59</v>
      </c>
      <c r="AE99" s="507"/>
      <c r="AG99" s="279"/>
    </row>
    <row r="100" spans="2:33" hidden="1" x14ac:dyDescent="0.25">
      <c r="B100" s="517" t="s">
        <v>59</v>
      </c>
      <c r="C100" s="518"/>
      <c r="D100" s="519" t="s">
        <v>59</v>
      </c>
      <c r="E100" s="518"/>
      <c r="F100" s="519" t="s">
        <v>59</v>
      </c>
      <c r="G100" s="518"/>
      <c r="H100" s="519" t="s">
        <v>59</v>
      </c>
      <c r="I100" s="518"/>
      <c r="J100" s="526" t="s">
        <v>59</v>
      </c>
      <c r="K100" s="527"/>
      <c r="L100" s="528"/>
      <c r="M100" s="526" t="s">
        <v>59</v>
      </c>
      <c r="N100" s="527"/>
      <c r="O100" s="527"/>
      <c r="P100" s="527"/>
      <c r="Q100" s="527"/>
      <c r="R100" s="527"/>
      <c r="S100" s="528"/>
      <c r="T100" s="526" t="s">
        <v>59</v>
      </c>
      <c r="U100" s="527"/>
      <c r="V100" s="527"/>
      <c r="W100" s="527"/>
      <c r="X100" s="527"/>
      <c r="Y100" s="528"/>
      <c r="Z100" s="506" t="s">
        <v>59</v>
      </c>
      <c r="AA100" s="555"/>
      <c r="AB100" s="506" t="s">
        <v>59</v>
      </c>
      <c r="AC100" s="555"/>
      <c r="AD100" s="506" t="s">
        <v>59</v>
      </c>
      <c r="AE100" s="507"/>
      <c r="AG100" s="279"/>
    </row>
    <row r="101" spans="2:33" hidden="1" x14ac:dyDescent="0.25">
      <c r="B101" s="517" t="s">
        <v>59</v>
      </c>
      <c r="C101" s="518"/>
      <c r="D101" s="519" t="s">
        <v>59</v>
      </c>
      <c r="E101" s="518"/>
      <c r="F101" s="519" t="s">
        <v>59</v>
      </c>
      <c r="G101" s="518"/>
      <c r="H101" s="519" t="s">
        <v>59</v>
      </c>
      <c r="I101" s="518"/>
      <c r="J101" s="526" t="s">
        <v>59</v>
      </c>
      <c r="K101" s="527"/>
      <c r="L101" s="528"/>
      <c r="M101" s="526" t="s">
        <v>59</v>
      </c>
      <c r="N101" s="527"/>
      <c r="O101" s="527"/>
      <c r="P101" s="527"/>
      <c r="Q101" s="527"/>
      <c r="R101" s="527"/>
      <c r="S101" s="528"/>
      <c r="T101" s="526" t="s">
        <v>59</v>
      </c>
      <c r="U101" s="527"/>
      <c r="V101" s="527"/>
      <c r="W101" s="527"/>
      <c r="X101" s="527"/>
      <c r="Y101" s="528"/>
      <c r="Z101" s="506" t="s">
        <v>59</v>
      </c>
      <c r="AA101" s="555"/>
      <c r="AB101" s="506" t="s">
        <v>59</v>
      </c>
      <c r="AC101" s="555"/>
      <c r="AD101" s="506" t="s">
        <v>59</v>
      </c>
      <c r="AE101" s="507"/>
      <c r="AG101" s="279"/>
    </row>
    <row r="102" spans="2:33" hidden="1" x14ac:dyDescent="0.25">
      <c r="B102" s="517" t="s">
        <v>59</v>
      </c>
      <c r="C102" s="518"/>
      <c r="D102" s="519" t="s">
        <v>59</v>
      </c>
      <c r="E102" s="518"/>
      <c r="F102" s="519" t="s">
        <v>59</v>
      </c>
      <c r="G102" s="518"/>
      <c r="H102" s="519" t="s">
        <v>59</v>
      </c>
      <c r="I102" s="518"/>
      <c r="J102" s="526" t="s">
        <v>59</v>
      </c>
      <c r="K102" s="527"/>
      <c r="L102" s="528"/>
      <c r="M102" s="526" t="s">
        <v>59</v>
      </c>
      <c r="N102" s="527"/>
      <c r="O102" s="527"/>
      <c r="P102" s="527"/>
      <c r="Q102" s="527"/>
      <c r="R102" s="527"/>
      <c r="S102" s="528"/>
      <c r="T102" s="526" t="s">
        <v>59</v>
      </c>
      <c r="U102" s="527"/>
      <c r="V102" s="527"/>
      <c r="W102" s="527"/>
      <c r="X102" s="527"/>
      <c r="Y102" s="528"/>
      <c r="Z102" s="506" t="s">
        <v>59</v>
      </c>
      <c r="AA102" s="555"/>
      <c r="AB102" s="506" t="s">
        <v>59</v>
      </c>
      <c r="AC102" s="555"/>
      <c r="AD102" s="506" t="s">
        <v>59</v>
      </c>
      <c r="AE102" s="507"/>
      <c r="AG102" s="279"/>
    </row>
    <row r="103" spans="2:33" hidden="1" x14ac:dyDescent="0.25">
      <c r="B103" s="517" t="s">
        <v>59</v>
      </c>
      <c r="C103" s="518"/>
      <c r="D103" s="519" t="s">
        <v>59</v>
      </c>
      <c r="E103" s="518"/>
      <c r="F103" s="519" t="s">
        <v>59</v>
      </c>
      <c r="G103" s="518"/>
      <c r="H103" s="519" t="s">
        <v>59</v>
      </c>
      <c r="I103" s="518"/>
      <c r="J103" s="526" t="s">
        <v>59</v>
      </c>
      <c r="K103" s="527"/>
      <c r="L103" s="528"/>
      <c r="M103" s="526" t="s">
        <v>59</v>
      </c>
      <c r="N103" s="527"/>
      <c r="O103" s="527"/>
      <c r="P103" s="527"/>
      <c r="Q103" s="527"/>
      <c r="R103" s="527"/>
      <c r="S103" s="528"/>
      <c r="T103" s="526" t="s">
        <v>59</v>
      </c>
      <c r="U103" s="527"/>
      <c r="V103" s="527"/>
      <c r="W103" s="527"/>
      <c r="X103" s="527"/>
      <c r="Y103" s="528"/>
      <c r="Z103" s="506" t="s">
        <v>59</v>
      </c>
      <c r="AA103" s="555"/>
      <c r="AB103" s="506" t="s">
        <v>59</v>
      </c>
      <c r="AC103" s="555"/>
      <c r="AD103" s="506" t="s">
        <v>59</v>
      </c>
      <c r="AE103" s="507"/>
      <c r="AG103" s="279"/>
    </row>
    <row r="104" spans="2:33" hidden="1" x14ac:dyDescent="0.25">
      <c r="B104" s="517" t="s">
        <v>59</v>
      </c>
      <c r="C104" s="518"/>
      <c r="D104" s="519" t="s">
        <v>59</v>
      </c>
      <c r="E104" s="518"/>
      <c r="F104" s="519" t="s">
        <v>59</v>
      </c>
      <c r="G104" s="518"/>
      <c r="H104" s="519" t="s">
        <v>59</v>
      </c>
      <c r="I104" s="518"/>
      <c r="J104" s="526" t="s">
        <v>59</v>
      </c>
      <c r="K104" s="527"/>
      <c r="L104" s="528"/>
      <c r="M104" s="526" t="s">
        <v>59</v>
      </c>
      <c r="N104" s="527"/>
      <c r="O104" s="527"/>
      <c r="P104" s="527"/>
      <c r="Q104" s="527"/>
      <c r="R104" s="527"/>
      <c r="S104" s="528"/>
      <c r="T104" s="526" t="s">
        <v>59</v>
      </c>
      <c r="U104" s="527"/>
      <c r="V104" s="527"/>
      <c r="W104" s="527"/>
      <c r="X104" s="527"/>
      <c r="Y104" s="528"/>
      <c r="Z104" s="506" t="s">
        <v>59</v>
      </c>
      <c r="AA104" s="555"/>
      <c r="AB104" s="506" t="s">
        <v>59</v>
      </c>
      <c r="AC104" s="555"/>
      <c r="AD104" s="506" t="s">
        <v>59</v>
      </c>
      <c r="AE104" s="507"/>
      <c r="AG104" s="279"/>
    </row>
    <row r="105" spans="2:33" hidden="1" x14ac:dyDescent="0.25">
      <c r="B105" s="517" t="s">
        <v>59</v>
      </c>
      <c r="C105" s="518"/>
      <c r="D105" s="519" t="s">
        <v>59</v>
      </c>
      <c r="E105" s="518"/>
      <c r="F105" s="519" t="s">
        <v>59</v>
      </c>
      <c r="G105" s="518"/>
      <c r="H105" s="519" t="s">
        <v>59</v>
      </c>
      <c r="I105" s="518"/>
      <c r="J105" s="526" t="s">
        <v>59</v>
      </c>
      <c r="K105" s="527"/>
      <c r="L105" s="528"/>
      <c r="M105" s="526" t="s">
        <v>59</v>
      </c>
      <c r="N105" s="527"/>
      <c r="O105" s="527"/>
      <c r="P105" s="527"/>
      <c r="Q105" s="527"/>
      <c r="R105" s="527"/>
      <c r="S105" s="528"/>
      <c r="T105" s="526" t="s">
        <v>59</v>
      </c>
      <c r="U105" s="527"/>
      <c r="V105" s="527"/>
      <c r="W105" s="527"/>
      <c r="X105" s="527"/>
      <c r="Y105" s="528"/>
      <c r="Z105" s="506" t="s">
        <v>59</v>
      </c>
      <c r="AA105" s="555"/>
      <c r="AB105" s="506" t="s">
        <v>59</v>
      </c>
      <c r="AC105" s="555"/>
      <c r="AD105" s="506" t="s">
        <v>59</v>
      </c>
      <c r="AE105" s="507"/>
      <c r="AG105" s="279"/>
    </row>
    <row r="106" spans="2:33" hidden="1" x14ac:dyDescent="0.25">
      <c r="B106" s="517" t="s">
        <v>59</v>
      </c>
      <c r="C106" s="518"/>
      <c r="D106" s="519" t="s">
        <v>59</v>
      </c>
      <c r="E106" s="518"/>
      <c r="F106" s="519" t="s">
        <v>59</v>
      </c>
      <c r="G106" s="518"/>
      <c r="H106" s="519" t="s">
        <v>59</v>
      </c>
      <c r="I106" s="518"/>
      <c r="J106" s="526" t="s">
        <v>59</v>
      </c>
      <c r="K106" s="527"/>
      <c r="L106" s="528"/>
      <c r="M106" s="526" t="s">
        <v>59</v>
      </c>
      <c r="N106" s="527"/>
      <c r="O106" s="527"/>
      <c r="P106" s="527"/>
      <c r="Q106" s="527"/>
      <c r="R106" s="527"/>
      <c r="S106" s="528"/>
      <c r="T106" s="526" t="s">
        <v>59</v>
      </c>
      <c r="U106" s="527"/>
      <c r="V106" s="527"/>
      <c r="W106" s="527"/>
      <c r="X106" s="527"/>
      <c r="Y106" s="528"/>
      <c r="Z106" s="506" t="s">
        <v>59</v>
      </c>
      <c r="AA106" s="555"/>
      <c r="AB106" s="506" t="s">
        <v>59</v>
      </c>
      <c r="AC106" s="555"/>
      <c r="AD106" s="506" t="s">
        <v>59</v>
      </c>
      <c r="AE106" s="507"/>
      <c r="AG106" s="279"/>
    </row>
    <row r="107" spans="2:33" hidden="1" x14ac:dyDescent="0.25">
      <c r="B107" s="517" t="s">
        <v>59</v>
      </c>
      <c r="C107" s="518"/>
      <c r="D107" s="519" t="s">
        <v>59</v>
      </c>
      <c r="E107" s="518"/>
      <c r="F107" s="519" t="s">
        <v>59</v>
      </c>
      <c r="G107" s="518"/>
      <c r="H107" s="519" t="s">
        <v>59</v>
      </c>
      <c r="I107" s="518"/>
      <c r="J107" s="526" t="s">
        <v>59</v>
      </c>
      <c r="K107" s="527"/>
      <c r="L107" s="528"/>
      <c r="M107" s="526" t="s">
        <v>59</v>
      </c>
      <c r="N107" s="527"/>
      <c r="O107" s="527"/>
      <c r="P107" s="527"/>
      <c r="Q107" s="527"/>
      <c r="R107" s="527"/>
      <c r="S107" s="528"/>
      <c r="T107" s="526" t="s">
        <v>59</v>
      </c>
      <c r="U107" s="527"/>
      <c r="V107" s="527"/>
      <c r="W107" s="527"/>
      <c r="X107" s="527"/>
      <c r="Y107" s="528"/>
      <c r="Z107" s="506" t="s">
        <v>59</v>
      </c>
      <c r="AA107" s="555"/>
      <c r="AB107" s="506" t="s">
        <v>59</v>
      </c>
      <c r="AC107" s="555"/>
      <c r="AD107" s="506" t="s">
        <v>59</v>
      </c>
      <c r="AE107" s="507"/>
      <c r="AG107" s="279"/>
    </row>
    <row r="108" spans="2:33" hidden="1" x14ac:dyDescent="0.25">
      <c r="B108" s="517" t="s">
        <v>59</v>
      </c>
      <c r="C108" s="518"/>
      <c r="D108" s="519" t="s">
        <v>59</v>
      </c>
      <c r="E108" s="518"/>
      <c r="F108" s="519" t="s">
        <v>59</v>
      </c>
      <c r="G108" s="518"/>
      <c r="H108" s="519" t="s">
        <v>59</v>
      </c>
      <c r="I108" s="518"/>
      <c r="J108" s="526" t="s">
        <v>59</v>
      </c>
      <c r="K108" s="527"/>
      <c r="L108" s="528"/>
      <c r="M108" s="526" t="s">
        <v>59</v>
      </c>
      <c r="N108" s="527"/>
      <c r="O108" s="527"/>
      <c r="P108" s="527"/>
      <c r="Q108" s="527"/>
      <c r="R108" s="527"/>
      <c r="S108" s="528"/>
      <c r="T108" s="526" t="s">
        <v>59</v>
      </c>
      <c r="U108" s="527"/>
      <c r="V108" s="527"/>
      <c r="W108" s="527"/>
      <c r="X108" s="527"/>
      <c r="Y108" s="528"/>
      <c r="Z108" s="506" t="s">
        <v>59</v>
      </c>
      <c r="AA108" s="555"/>
      <c r="AB108" s="506" t="s">
        <v>59</v>
      </c>
      <c r="AC108" s="555"/>
      <c r="AD108" s="506" t="s">
        <v>59</v>
      </c>
      <c r="AE108" s="507"/>
      <c r="AG108" s="279"/>
    </row>
    <row r="109" spans="2:33" hidden="1" x14ac:dyDescent="0.25">
      <c r="B109" s="517" t="s">
        <v>59</v>
      </c>
      <c r="C109" s="518"/>
      <c r="D109" s="519" t="s">
        <v>59</v>
      </c>
      <c r="E109" s="518"/>
      <c r="F109" s="519" t="s">
        <v>59</v>
      </c>
      <c r="G109" s="518"/>
      <c r="H109" s="519" t="s">
        <v>59</v>
      </c>
      <c r="I109" s="518"/>
      <c r="J109" s="526" t="s">
        <v>59</v>
      </c>
      <c r="K109" s="527"/>
      <c r="L109" s="528"/>
      <c r="M109" s="526" t="s">
        <v>59</v>
      </c>
      <c r="N109" s="527"/>
      <c r="O109" s="527"/>
      <c r="P109" s="527"/>
      <c r="Q109" s="527"/>
      <c r="R109" s="527"/>
      <c r="S109" s="528"/>
      <c r="T109" s="526" t="s">
        <v>59</v>
      </c>
      <c r="U109" s="527"/>
      <c r="V109" s="527"/>
      <c r="W109" s="527"/>
      <c r="X109" s="527"/>
      <c r="Y109" s="528"/>
      <c r="Z109" s="506" t="s">
        <v>59</v>
      </c>
      <c r="AA109" s="555"/>
      <c r="AB109" s="506" t="s">
        <v>59</v>
      </c>
      <c r="AC109" s="555"/>
      <c r="AD109" s="506" t="s">
        <v>59</v>
      </c>
      <c r="AE109" s="507"/>
      <c r="AG109" s="279"/>
    </row>
    <row r="110" spans="2:33" hidden="1" x14ac:dyDescent="0.25">
      <c r="B110" s="517" t="s">
        <v>59</v>
      </c>
      <c r="C110" s="518"/>
      <c r="D110" s="519" t="s">
        <v>59</v>
      </c>
      <c r="E110" s="518"/>
      <c r="F110" s="519" t="s">
        <v>59</v>
      </c>
      <c r="G110" s="518"/>
      <c r="H110" s="519" t="s">
        <v>59</v>
      </c>
      <c r="I110" s="518"/>
      <c r="J110" s="526" t="s">
        <v>59</v>
      </c>
      <c r="K110" s="527"/>
      <c r="L110" s="528"/>
      <c r="M110" s="526" t="s">
        <v>59</v>
      </c>
      <c r="N110" s="527"/>
      <c r="O110" s="527"/>
      <c r="P110" s="527"/>
      <c r="Q110" s="527"/>
      <c r="R110" s="527"/>
      <c r="S110" s="528"/>
      <c r="T110" s="526" t="s">
        <v>59</v>
      </c>
      <c r="U110" s="527"/>
      <c r="V110" s="527"/>
      <c r="W110" s="527"/>
      <c r="X110" s="527"/>
      <c r="Y110" s="528"/>
      <c r="Z110" s="506" t="s">
        <v>59</v>
      </c>
      <c r="AA110" s="555"/>
      <c r="AB110" s="506" t="s">
        <v>59</v>
      </c>
      <c r="AC110" s="555"/>
      <c r="AD110" s="506" t="s">
        <v>59</v>
      </c>
      <c r="AE110" s="507"/>
      <c r="AG110" s="279"/>
    </row>
    <row r="111" spans="2:33" hidden="1" x14ac:dyDescent="0.25">
      <c r="B111" s="517" t="s">
        <v>59</v>
      </c>
      <c r="C111" s="518"/>
      <c r="D111" s="519" t="s">
        <v>59</v>
      </c>
      <c r="E111" s="518"/>
      <c r="F111" s="519" t="s">
        <v>59</v>
      </c>
      <c r="G111" s="518"/>
      <c r="H111" s="519" t="s">
        <v>59</v>
      </c>
      <c r="I111" s="518"/>
      <c r="J111" s="526" t="s">
        <v>59</v>
      </c>
      <c r="K111" s="527"/>
      <c r="L111" s="528"/>
      <c r="M111" s="526" t="s">
        <v>59</v>
      </c>
      <c r="N111" s="527"/>
      <c r="O111" s="527"/>
      <c r="P111" s="527"/>
      <c r="Q111" s="527"/>
      <c r="R111" s="527"/>
      <c r="S111" s="528"/>
      <c r="T111" s="526" t="s">
        <v>59</v>
      </c>
      <c r="U111" s="527"/>
      <c r="V111" s="527"/>
      <c r="W111" s="527"/>
      <c r="X111" s="527"/>
      <c r="Y111" s="528"/>
      <c r="Z111" s="506" t="s">
        <v>59</v>
      </c>
      <c r="AA111" s="555"/>
      <c r="AB111" s="506" t="s">
        <v>59</v>
      </c>
      <c r="AC111" s="555"/>
      <c r="AD111" s="506" t="s">
        <v>59</v>
      </c>
      <c r="AE111" s="507"/>
      <c r="AG111" s="279"/>
    </row>
    <row r="112" spans="2:33" hidden="1" x14ac:dyDescent="0.25">
      <c r="B112" s="517" t="s">
        <v>59</v>
      </c>
      <c r="C112" s="518"/>
      <c r="D112" s="519" t="s">
        <v>59</v>
      </c>
      <c r="E112" s="518"/>
      <c r="F112" s="519" t="s">
        <v>59</v>
      </c>
      <c r="G112" s="518"/>
      <c r="H112" s="519" t="s">
        <v>59</v>
      </c>
      <c r="I112" s="518"/>
      <c r="J112" s="526" t="s">
        <v>59</v>
      </c>
      <c r="K112" s="527"/>
      <c r="L112" s="528"/>
      <c r="M112" s="526" t="s">
        <v>59</v>
      </c>
      <c r="N112" s="527"/>
      <c r="O112" s="527"/>
      <c r="P112" s="527"/>
      <c r="Q112" s="527"/>
      <c r="R112" s="527"/>
      <c r="S112" s="528"/>
      <c r="T112" s="526" t="s">
        <v>59</v>
      </c>
      <c r="U112" s="527"/>
      <c r="V112" s="527"/>
      <c r="W112" s="527"/>
      <c r="X112" s="527"/>
      <c r="Y112" s="528"/>
      <c r="Z112" s="506" t="s">
        <v>59</v>
      </c>
      <c r="AA112" s="555"/>
      <c r="AB112" s="506" t="s">
        <v>59</v>
      </c>
      <c r="AC112" s="555"/>
      <c r="AD112" s="506" t="s">
        <v>59</v>
      </c>
      <c r="AE112" s="507"/>
      <c r="AG112" s="279"/>
    </row>
    <row r="113" spans="2:33" hidden="1" x14ac:dyDescent="0.25">
      <c r="B113" s="517" t="s">
        <v>59</v>
      </c>
      <c r="C113" s="518"/>
      <c r="D113" s="519" t="s">
        <v>59</v>
      </c>
      <c r="E113" s="518"/>
      <c r="F113" s="519" t="s">
        <v>59</v>
      </c>
      <c r="G113" s="518"/>
      <c r="H113" s="519" t="s">
        <v>59</v>
      </c>
      <c r="I113" s="518"/>
      <c r="J113" s="526" t="s">
        <v>59</v>
      </c>
      <c r="K113" s="527"/>
      <c r="L113" s="528"/>
      <c r="M113" s="526" t="s">
        <v>59</v>
      </c>
      <c r="N113" s="527"/>
      <c r="O113" s="527"/>
      <c r="P113" s="527"/>
      <c r="Q113" s="527"/>
      <c r="R113" s="527"/>
      <c r="S113" s="528"/>
      <c r="T113" s="526" t="s">
        <v>59</v>
      </c>
      <c r="U113" s="527"/>
      <c r="V113" s="527"/>
      <c r="W113" s="527"/>
      <c r="X113" s="527"/>
      <c r="Y113" s="528"/>
      <c r="Z113" s="506" t="s">
        <v>59</v>
      </c>
      <c r="AA113" s="555"/>
      <c r="AB113" s="506" t="s">
        <v>59</v>
      </c>
      <c r="AC113" s="555"/>
      <c r="AD113" s="506" t="s">
        <v>59</v>
      </c>
      <c r="AE113" s="507"/>
      <c r="AG113" s="279"/>
    </row>
    <row r="114" spans="2:33" hidden="1" x14ac:dyDescent="0.25">
      <c r="B114" s="517" t="s">
        <v>59</v>
      </c>
      <c r="C114" s="518"/>
      <c r="D114" s="519" t="s">
        <v>59</v>
      </c>
      <c r="E114" s="518"/>
      <c r="F114" s="519" t="s">
        <v>59</v>
      </c>
      <c r="G114" s="518"/>
      <c r="H114" s="519" t="s">
        <v>59</v>
      </c>
      <c r="I114" s="518"/>
      <c r="J114" s="526" t="s">
        <v>59</v>
      </c>
      <c r="K114" s="527"/>
      <c r="L114" s="528"/>
      <c r="M114" s="526" t="s">
        <v>59</v>
      </c>
      <c r="N114" s="527"/>
      <c r="O114" s="527"/>
      <c r="P114" s="527"/>
      <c r="Q114" s="527"/>
      <c r="R114" s="527"/>
      <c r="S114" s="528"/>
      <c r="T114" s="526" t="s">
        <v>59</v>
      </c>
      <c r="U114" s="527"/>
      <c r="V114" s="527"/>
      <c r="W114" s="527"/>
      <c r="X114" s="527"/>
      <c r="Y114" s="528"/>
      <c r="Z114" s="506" t="s">
        <v>59</v>
      </c>
      <c r="AA114" s="555"/>
      <c r="AB114" s="506" t="s">
        <v>59</v>
      </c>
      <c r="AC114" s="555"/>
      <c r="AD114" s="506" t="s">
        <v>59</v>
      </c>
      <c r="AE114" s="507"/>
      <c r="AG114" s="279"/>
    </row>
    <row r="115" spans="2:33" hidden="1" x14ac:dyDescent="0.25">
      <c r="B115" s="517" t="s">
        <v>59</v>
      </c>
      <c r="C115" s="518"/>
      <c r="D115" s="519" t="s">
        <v>59</v>
      </c>
      <c r="E115" s="518"/>
      <c r="F115" s="519" t="s">
        <v>59</v>
      </c>
      <c r="G115" s="518"/>
      <c r="H115" s="519" t="s">
        <v>59</v>
      </c>
      <c r="I115" s="518"/>
      <c r="J115" s="526" t="s">
        <v>59</v>
      </c>
      <c r="K115" s="527"/>
      <c r="L115" s="528"/>
      <c r="M115" s="526" t="s">
        <v>59</v>
      </c>
      <c r="N115" s="527"/>
      <c r="O115" s="527"/>
      <c r="P115" s="527"/>
      <c r="Q115" s="527"/>
      <c r="R115" s="527"/>
      <c r="S115" s="528"/>
      <c r="T115" s="526" t="s">
        <v>59</v>
      </c>
      <c r="U115" s="527"/>
      <c r="V115" s="527"/>
      <c r="W115" s="527"/>
      <c r="X115" s="527"/>
      <c r="Y115" s="528"/>
      <c r="Z115" s="506" t="s">
        <v>59</v>
      </c>
      <c r="AA115" s="555"/>
      <c r="AB115" s="506" t="s">
        <v>59</v>
      </c>
      <c r="AC115" s="555"/>
      <c r="AD115" s="506" t="s">
        <v>59</v>
      </c>
      <c r="AE115" s="507"/>
      <c r="AG115" s="279"/>
    </row>
    <row r="116" spans="2:33" hidden="1" x14ac:dyDescent="0.25">
      <c r="B116" s="548" t="s">
        <v>820</v>
      </c>
      <c r="C116" s="549"/>
      <c r="D116" s="549"/>
      <c r="E116" s="549"/>
      <c r="F116" s="549"/>
      <c r="G116" s="549"/>
      <c r="H116" s="549"/>
      <c r="I116" s="549"/>
      <c r="J116" s="526" t="s">
        <v>900</v>
      </c>
      <c r="K116" s="527"/>
      <c r="L116" s="528"/>
      <c r="M116" s="526" t="s">
        <v>900</v>
      </c>
      <c r="N116" s="527"/>
      <c r="O116" s="527"/>
      <c r="P116" s="527"/>
      <c r="Q116" s="527"/>
      <c r="R116" s="527"/>
      <c r="S116" s="528"/>
      <c r="T116" s="550" t="s">
        <v>900</v>
      </c>
      <c r="U116" s="550"/>
      <c r="V116" s="550"/>
      <c r="W116" s="550"/>
      <c r="X116" s="550"/>
      <c r="Y116" s="550"/>
      <c r="Z116" s="551">
        <v>0</v>
      </c>
      <c r="AA116" s="551"/>
      <c r="AB116" s="552" t="s">
        <v>929</v>
      </c>
      <c r="AC116" s="553"/>
      <c r="AD116" s="551">
        <v>0</v>
      </c>
      <c r="AE116" s="554"/>
    </row>
    <row r="117" spans="2:33" ht="15" customHeight="1" x14ac:dyDescent="0.25">
      <c r="B117" s="264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80" t="s">
        <v>821</v>
      </c>
      <c r="Z117" s="543">
        <v>0</v>
      </c>
      <c r="AA117" s="544"/>
      <c r="AB117" s="543" t="s">
        <v>275</v>
      </c>
      <c r="AC117" s="544"/>
      <c r="AD117" s="545">
        <v>5000000</v>
      </c>
      <c r="AE117" s="546"/>
    </row>
    <row r="118" spans="2:33" ht="15.75" x14ac:dyDescent="0.25">
      <c r="B118" s="301" t="s">
        <v>822</v>
      </c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81"/>
      <c r="AA118" s="281"/>
      <c r="AB118" s="281"/>
      <c r="AC118" s="281"/>
      <c r="AD118" s="281"/>
      <c r="AE118" s="282"/>
    </row>
    <row r="119" spans="2:33" ht="27" customHeight="1" thickBot="1" x14ac:dyDescent="0.25">
      <c r="B119" s="547" t="s">
        <v>817</v>
      </c>
      <c r="C119" s="529"/>
      <c r="D119" s="529" t="s">
        <v>818</v>
      </c>
      <c r="E119" s="529"/>
      <c r="F119" s="529" t="s">
        <v>443</v>
      </c>
      <c r="G119" s="529"/>
      <c r="H119" s="529" t="s">
        <v>56</v>
      </c>
      <c r="I119" s="529"/>
      <c r="J119" s="529" t="s">
        <v>40</v>
      </c>
      <c r="K119" s="529"/>
      <c r="L119" s="529"/>
      <c r="M119" s="529" t="s">
        <v>819</v>
      </c>
      <c r="N119" s="529"/>
      <c r="O119" s="529"/>
      <c r="P119" s="529"/>
      <c r="Q119" s="529"/>
      <c r="R119" s="529"/>
      <c r="S119" s="529"/>
      <c r="T119" s="529"/>
      <c r="U119" s="529"/>
      <c r="V119" s="529" t="s">
        <v>270</v>
      </c>
      <c r="W119" s="529"/>
      <c r="X119" s="529"/>
      <c r="Y119" s="529"/>
      <c r="Z119" s="529"/>
      <c r="AA119" s="529"/>
      <c r="AB119" s="529"/>
      <c r="AC119" s="529"/>
      <c r="AD119" s="529" t="s">
        <v>53</v>
      </c>
      <c r="AE119" s="530"/>
      <c r="AG119" s="278" t="s">
        <v>899</v>
      </c>
    </row>
    <row r="120" spans="2:33" ht="13.5" hidden="1" thickTop="1" x14ac:dyDescent="0.25">
      <c r="B120" s="531" t="s">
        <v>59</v>
      </c>
      <c r="C120" s="532"/>
      <c r="D120" s="533" t="s">
        <v>59</v>
      </c>
      <c r="E120" s="532"/>
      <c r="F120" s="533" t="s">
        <v>59</v>
      </c>
      <c r="G120" s="532"/>
      <c r="H120" s="533" t="s">
        <v>59</v>
      </c>
      <c r="I120" s="532"/>
      <c r="J120" s="534" t="s">
        <v>59</v>
      </c>
      <c r="K120" s="535"/>
      <c r="L120" s="536"/>
      <c r="M120" s="537" t="s">
        <v>59</v>
      </c>
      <c r="N120" s="538"/>
      <c r="O120" s="538"/>
      <c r="P120" s="538"/>
      <c r="Q120" s="538"/>
      <c r="R120" s="538"/>
      <c r="S120" s="538"/>
      <c r="T120" s="538"/>
      <c r="U120" s="539"/>
      <c r="V120" s="540" t="s">
        <v>59</v>
      </c>
      <c r="W120" s="540"/>
      <c r="X120" s="540"/>
      <c r="Y120" s="540"/>
      <c r="Z120" s="540"/>
      <c r="AA120" s="540"/>
      <c r="AB120" s="540"/>
      <c r="AC120" s="540"/>
      <c r="AD120" s="541" t="s">
        <v>59</v>
      </c>
      <c r="AE120" s="542"/>
      <c r="AG120" s="279"/>
    </row>
    <row r="121" spans="2:33" hidden="1" x14ac:dyDescent="0.25">
      <c r="B121" s="517" t="s">
        <v>59</v>
      </c>
      <c r="C121" s="518"/>
      <c r="D121" s="519" t="s">
        <v>59</v>
      </c>
      <c r="E121" s="518"/>
      <c r="F121" s="519" t="s">
        <v>59</v>
      </c>
      <c r="G121" s="518"/>
      <c r="H121" s="519" t="s">
        <v>59</v>
      </c>
      <c r="I121" s="518"/>
      <c r="J121" s="526" t="s">
        <v>59</v>
      </c>
      <c r="K121" s="527"/>
      <c r="L121" s="528"/>
      <c r="M121" s="523" t="s">
        <v>59</v>
      </c>
      <c r="N121" s="524"/>
      <c r="O121" s="524"/>
      <c r="P121" s="524"/>
      <c r="Q121" s="524"/>
      <c r="R121" s="524"/>
      <c r="S121" s="524"/>
      <c r="T121" s="524"/>
      <c r="U121" s="525"/>
      <c r="V121" s="505" t="s">
        <v>59</v>
      </c>
      <c r="W121" s="505"/>
      <c r="X121" s="505"/>
      <c r="Y121" s="505"/>
      <c r="Z121" s="505"/>
      <c r="AA121" s="505"/>
      <c r="AB121" s="505"/>
      <c r="AC121" s="505"/>
      <c r="AD121" s="506" t="s">
        <v>59</v>
      </c>
      <c r="AE121" s="507"/>
      <c r="AG121" s="279"/>
    </row>
    <row r="122" spans="2:33" hidden="1" x14ac:dyDescent="0.25">
      <c r="B122" s="517" t="s">
        <v>59</v>
      </c>
      <c r="C122" s="518"/>
      <c r="D122" s="519" t="s">
        <v>59</v>
      </c>
      <c r="E122" s="518"/>
      <c r="F122" s="519" t="s">
        <v>59</v>
      </c>
      <c r="G122" s="518"/>
      <c r="H122" s="519" t="s">
        <v>59</v>
      </c>
      <c r="I122" s="518"/>
      <c r="J122" s="526" t="s">
        <v>59</v>
      </c>
      <c r="K122" s="527"/>
      <c r="L122" s="528"/>
      <c r="M122" s="523" t="s">
        <v>59</v>
      </c>
      <c r="N122" s="524"/>
      <c r="O122" s="524"/>
      <c r="P122" s="524"/>
      <c r="Q122" s="524"/>
      <c r="R122" s="524"/>
      <c r="S122" s="524"/>
      <c r="T122" s="524"/>
      <c r="U122" s="525"/>
      <c r="V122" s="505" t="s">
        <v>59</v>
      </c>
      <c r="W122" s="505"/>
      <c r="X122" s="505"/>
      <c r="Y122" s="505"/>
      <c r="Z122" s="505"/>
      <c r="AA122" s="505"/>
      <c r="AB122" s="505"/>
      <c r="AC122" s="505"/>
      <c r="AD122" s="506" t="s">
        <v>59</v>
      </c>
      <c r="AE122" s="507"/>
      <c r="AG122" s="279"/>
    </row>
    <row r="123" spans="2:33" hidden="1" x14ac:dyDescent="0.25">
      <c r="B123" s="517" t="s">
        <v>59</v>
      </c>
      <c r="C123" s="518"/>
      <c r="D123" s="519" t="s">
        <v>59</v>
      </c>
      <c r="E123" s="518"/>
      <c r="F123" s="519" t="s">
        <v>59</v>
      </c>
      <c r="G123" s="518"/>
      <c r="H123" s="519" t="s">
        <v>59</v>
      </c>
      <c r="I123" s="518"/>
      <c r="J123" s="526" t="s">
        <v>59</v>
      </c>
      <c r="K123" s="527"/>
      <c r="L123" s="528"/>
      <c r="M123" s="523" t="s">
        <v>59</v>
      </c>
      <c r="N123" s="524"/>
      <c r="O123" s="524"/>
      <c r="P123" s="524"/>
      <c r="Q123" s="524"/>
      <c r="R123" s="524"/>
      <c r="S123" s="524"/>
      <c r="T123" s="524"/>
      <c r="U123" s="525"/>
      <c r="V123" s="505" t="s">
        <v>59</v>
      </c>
      <c r="W123" s="505"/>
      <c r="X123" s="505"/>
      <c r="Y123" s="505"/>
      <c r="Z123" s="505"/>
      <c r="AA123" s="505"/>
      <c r="AB123" s="505"/>
      <c r="AC123" s="505"/>
      <c r="AD123" s="506" t="s">
        <v>59</v>
      </c>
      <c r="AE123" s="507"/>
      <c r="AG123" s="279"/>
    </row>
    <row r="124" spans="2:33" hidden="1" x14ac:dyDescent="0.25">
      <c r="B124" s="517" t="s">
        <v>59</v>
      </c>
      <c r="C124" s="518"/>
      <c r="D124" s="519" t="s">
        <v>59</v>
      </c>
      <c r="E124" s="518"/>
      <c r="F124" s="519" t="s">
        <v>59</v>
      </c>
      <c r="G124" s="518"/>
      <c r="H124" s="519" t="s">
        <v>59</v>
      </c>
      <c r="I124" s="518"/>
      <c r="J124" s="526" t="s">
        <v>59</v>
      </c>
      <c r="K124" s="527"/>
      <c r="L124" s="528"/>
      <c r="M124" s="523" t="s">
        <v>59</v>
      </c>
      <c r="N124" s="524"/>
      <c r="O124" s="524"/>
      <c r="P124" s="524"/>
      <c r="Q124" s="524"/>
      <c r="R124" s="524"/>
      <c r="S124" s="524"/>
      <c r="T124" s="524"/>
      <c r="U124" s="525"/>
      <c r="V124" s="505" t="s">
        <v>59</v>
      </c>
      <c r="W124" s="505"/>
      <c r="X124" s="505"/>
      <c r="Y124" s="505"/>
      <c r="Z124" s="505"/>
      <c r="AA124" s="505"/>
      <c r="AB124" s="505"/>
      <c r="AC124" s="505"/>
      <c r="AD124" s="506" t="s">
        <v>59</v>
      </c>
      <c r="AE124" s="507"/>
      <c r="AG124" s="279"/>
    </row>
    <row r="125" spans="2:33" hidden="1" x14ac:dyDescent="0.25">
      <c r="B125" s="517" t="s">
        <v>59</v>
      </c>
      <c r="C125" s="518"/>
      <c r="D125" s="519" t="s">
        <v>59</v>
      </c>
      <c r="E125" s="518"/>
      <c r="F125" s="519" t="s">
        <v>59</v>
      </c>
      <c r="G125" s="518"/>
      <c r="H125" s="519" t="s">
        <v>59</v>
      </c>
      <c r="I125" s="518"/>
      <c r="J125" s="526" t="s">
        <v>59</v>
      </c>
      <c r="K125" s="527"/>
      <c r="L125" s="528"/>
      <c r="M125" s="523" t="s">
        <v>59</v>
      </c>
      <c r="N125" s="524"/>
      <c r="O125" s="524"/>
      <c r="P125" s="524"/>
      <c r="Q125" s="524"/>
      <c r="R125" s="524"/>
      <c r="S125" s="524"/>
      <c r="T125" s="524"/>
      <c r="U125" s="525"/>
      <c r="V125" s="505" t="s">
        <v>59</v>
      </c>
      <c r="W125" s="505"/>
      <c r="X125" s="505"/>
      <c r="Y125" s="505"/>
      <c r="Z125" s="505"/>
      <c r="AA125" s="505"/>
      <c r="AB125" s="505"/>
      <c r="AC125" s="505"/>
      <c r="AD125" s="506" t="s">
        <v>59</v>
      </c>
      <c r="AE125" s="507"/>
      <c r="AG125" s="279"/>
    </row>
    <row r="126" spans="2:33" hidden="1" x14ac:dyDescent="0.25">
      <c r="B126" s="517" t="s">
        <v>59</v>
      </c>
      <c r="C126" s="518"/>
      <c r="D126" s="519" t="s">
        <v>59</v>
      </c>
      <c r="E126" s="518"/>
      <c r="F126" s="519" t="s">
        <v>59</v>
      </c>
      <c r="G126" s="518"/>
      <c r="H126" s="519" t="s">
        <v>59</v>
      </c>
      <c r="I126" s="518"/>
      <c r="J126" s="526" t="s">
        <v>59</v>
      </c>
      <c r="K126" s="527"/>
      <c r="L126" s="528"/>
      <c r="M126" s="523" t="s">
        <v>59</v>
      </c>
      <c r="N126" s="524"/>
      <c r="O126" s="524"/>
      <c r="P126" s="524"/>
      <c r="Q126" s="524"/>
      <c r="R126" s="524"/>
      <c r="S126" s="524"/>
      <c r="T126" s="524"/>
      <c r="U126" s="525"/>
      <c r="V126" s="505" t="s">
        <v>59</v>
      </c>
      <c r="W126" s="505"/>
      <c r="X126" s="505"/>
      <c r="Y126" s="505"/>
      <c r="Z126" s="505"/>
      <c r="AA126" s="505"/>
      <c r="AB126" s="505"/>
      <c r="AC126" s="505"/>
      <c r="AD126" s="506" t="s">
        <v>59</v>
      </c>
      <c r="AE126" s="507"/>
      <c r="AG126" s="279"/>
    </row>
    <row r="127" spans="2:33" hidden="1" x14ac:dyDescent="0.25">
      <c r="B127" s="517" t="s">
        <v>59</v>
      </c>
      <c r="C127" s="518"/>
      <c r="D127" s="519" t="s">
        <v>59</v>
      </c>
      <c r="E127" s="518"/>
      <c r="F127" s="519" t="s">
        <v>59</v>
      </c>
      <c r="G127" s="518"/>
      <c r="H127" s="519" t="s">
        <v>59</v>
      </c>
      <c r="I127" s="518"/>
      <c r="J127" s="526" t="s">
        <v>59</v>
      </c>
      <c r="K127" s="527"/>
      <c r="L127" s="528"/>
      <c r="M127" s="523" t="s">
        <v>59</v>
      </c>
      <c r="N127" s="524"/>
      <c r="O127" s="524"/>
      <c r="P127" s="524"/>
      <c r="Q127" s="524"/>
      <c r="R127" s="524"/>
      <c r="S127" s="524"/>
      <c r="T127" s="524"/>
      <c r="U127" s="525"/>
      <c r="V127" s="505" t="s">
        <v>59</v>
      </c>
      <c r="W127" s="505"/>
      <c r="X127" s="505"/>
      <c r="Y127" s="505"/>
      <c r="Z127" s="505"/>
      <c r="AA127" s="505"/>
      <c r="AB127" s="505"/>
      <c r="AC127" s="505"/>
      <c r="AD127" s="506" t="s">
        <v>59</v>
      </c>
      <c r="AE127" s="507"/>
      <c r="AG127" s="279"/>
    </row>
    <row r="128" spans="2:33" hidden="1" x14ac:dyDescent="0.25">
      <c r="B128" s="517" t="s">
        <v>59</v>
      </c>
      <c r="C128" s="518"/>
      <c r="D128" s="519" t="s">
        <v>59</v>
      </c>
      <c r="E128" s="518"/>
      <c r="F128" s="519" t="s">
        <v>59</v>
      </c>
      <c r="G128" s="518"/>
      <c r="H128" s="519" t="s">
        <v>59</v>
      </c>
      <c r="I128" s="518"/>
      <c r="J128" s="526" t="s">
        <v>59</v>
      </c>
      <c r="K128" s="527"/>
      <c r="L128" s="528"/>
      <c r="M128" s="523" t="s">
        <v>59</v>
      </c>
      <c r="N128" s="524"/>
      <c r="O128" s="524"/>
      <c r="P128" s="524"/>
      <c r="Q128" s="524"/>
      <c r="R128" s="524"/>
      <c r="S128" s="524"/>
      <c r="T128" s="524"/>
      <c r="U128" s="525"/>
      <c r="V128" s="505" t="s">
        <v>59</v>
      </c>
      <c r="W128" s="505"/>
      <c r="X128" s="505"/>
      <c r="Y128" s="505"/>
      <c r="Z128" s="505"/>
      <c r="AA128" s="505"/>
      <c r="AB128" s="505"/>
      <c r="AC128" s="505"/>
      <c r="AD128" s="506" t="s">
        <v>59</v>
      </c>
      <c r="AE128" s="507"/>
      <c r="AG128" s="279"/>
    </row>
    <row r="129" spans="2:33" hidden="1" x14ac:dyDescent="0.25">
      <c r="B129" s="517" t="s">
        <v>59</v>
      </c>
      <c r="C129" s="518"/>
      <c r="D129" s="519" t="s">
        <v>59</v>
      </c>
      <c r="E129" s="518"/>
      <c r="F129" s="519" t="s">
        <v>59</v>
      </c>
      <c r="G129" s="518"/>
      <c r="H129" s="519" t="s">
        <v>59</v>
      </c>
      <c r="I129" s="518"/>
      <c r="J129" s="526" t="s">
        <v>59</v>
      </c>
      <c r="K129" s="527"/>
      <c r="L129" s="528"/>
      <c r="M129" s="523" t="s">
        <v>59</v>
      </c>
      <c r="N129" s="524"/>
      <c r="O129" s="524"/>
      <c r="P129" s="524"/>
      <c r="Q129" s="524"/>
      <c r="R129" s="524"/>
      <c r="S129" s="524"/>
      <c r="T129" s="524"/>
      <c r="U129" s="525"/>
      <c r="V129" s="505" t="s">
        <v>59</v>
      </c>
      <c r="W129" s="505"/>
      <c r="X129" s="505"/>
      <c r="Y129" s="505"/>
      <c r="Z129" s="505"/>
      <c r="AA129" s="505"/>
      <c r="AB129" s="505"/>
      <c r="AC129" s="505"/>
      <c r="AD129" s="506" t="s">
        <v>59</v>
      </c>
      <c r="AE129" s="507"/>
      <c r="AG129" s="279"/>
    </row>
    <row r="130" spans="2:33" hidden="1" x14ac:dyDescent="0.25">
      <c r="B130" s="517" t="s">
        <v>59</v>
      </c>
      <c r="C130" s="518"/>
      <c r="D130" s="519" t="s">
        <v>59</v>
      </c>
      <c r="E130" s="518"/>
      <c r="F130" s="519" t="s">
        <v>59</v>
      </c>
      <c r="G130" s="518"/>
      <c r="H130" s="519" t="s">
        <v>59</v>
      </c>
      <c r="I130" s="518"/>
      <c r="J130" s="526" t="s">
        <v>59</v>
      </c>
      <c r="K130" s="527"/>
      <c r="L130" s="528"/>
      <c r="M130" s="523" t="s">
        <v>59</v>
      </c>
      <c r="N130" s="524"/>
      <c r="O130" s="524"/>
      <c r="P130" s="524"/>
      <c r="Q130" s="524"/>
      <c r="R130" s="524"/>
      <c r="S130" s="524"/>
      <c r="T130" s="524"/>
      <c r="U130" s="525"/>
      <c r="V130" s="505" t="s">
        <v>59</v>
      </c>
      <c r="W130" s="505"/>
      <c r="X130" s="505"/>
      <c r="Y130" s="505"/>
      <c r="Z130" s="505"/>
      <c r="AA130" s="505"/>
      <c r="AB130" s="505"/>
      <c r="AC130" s="505"/>
      <c r="AD130" s="506" t="s">
        <v>59</v>
      </c>
      <c r="AE130" s="507"/>
      <c r="AG130" s="279"/>
    </row>
    <row r="131" spans="2:33" hidden="1" x14ac:dyDescent="0.25">
      <c r="B131" s="517" t="s">
        <v>59</v>
      </c>
      <c r="C131" s="518"/>
      <c r="D131" s="519" t="s">
        <v>59</v>
      </c>
      <c r="E131" s="518"/>
      <c r="F131" s="519" t="s">
        <v>59</v>
      </c>
      <c r="G131" s="518"/>
      <c r="H131" s="519" t="s">
        <v>59</v>
      </c>
      <c r="I131" s="518"/>
      <c r="J131" s="526" t="s">
        <v>59</v>
      </c>
      <c r="K131" s="527"/>
      <c r="L131" s="528"/>
      <c r="M131" s="523" t="s">
        <v>59</v>
      </c>
      <c r="N131" s="524"/>
      <c r="O131" s="524"/>
      <c r="P131" s="524"/>
      <c r="Q131" s="524"/>
      <c r="R131" s="524"/>
      <c r="S131" s="524"/>
      <c r="T131" s="524"/>
      <c r="U131" s="525"/>
      <c r="V131" s="505" t="s">
        <v>59</v>
      </c>
      <c r="W131" s="505"/>
      <c r="X131" s="505"/>
      <c r="Y131" s="505"/>
      <c r="Z131" s="505"/>
      <c r="AA131" s="505"/>
      <c r="AB131" s="505"/>
      <c r="AC131" s="505"/>
      <c r="AD131" s="506" t="s">
        <v>59</v>
      </c>
      <c r="AE131" s="507"/>
      <c r="AG131" s="279"/>
    </row>
    <row r="132" spans="2:33" hidden="1" x14ac:dyDescent="0.25">
      <c r="B132" s="517" t="s">
        <v>59</v>
      </c>
      <c r="C132" s="518"/>
      <c r="D132" s="519" t="s">
        <v>59</v>
      </c>
      <c r="E132" s="518"/>
      <c r="F132" s="519" t="s">
        <v>59</v>
      </c>
      <c r="G132" s="518"/>
      <c r="H132" s="519" t="s">
        <v>59</v>
      </c>
      <c r="I132" s="518"/>
      <c r="J132" s="526" t="s">
        <v>59</v>
      </c>
      <c r="K132" s="527"/>
      <c r="L132" s="528"/>
      <c r="M132" s="523" t="s">
        <v>59</v>
      </c>
      <c r="N132" s="524"/>
      <c r="O132" s="524"/>
      <c r="P132" s="524"/>
      <c r="Q132" s="524"/>
      <c r="R132" s="524"/>
      <c r="S132" s="524"/>
      <c r="T132" s="524"/>
      <c r="U132" s="525"/>
      <c r="V132" s="505" t="s">
        <v>59</v>
      </c>
      <c r="W132" s="505"/>
      <c r="X132" s="505"/>
      <c r="Y132" s="505"/>
      <c r="Z132" s="505"/>
      <c r="AA132" s="505"/>
      <c r="AB132" s="505"/>
      <c r="AC132" s="505"/>
      <c r="AD132" s="506" t="s">
        <v>59</v>
      </c>
      <c r="AE132" s="507"/>
      <c r="AG132" s="279"/>
    </row>
    <row r="133" spans="2:33" hidden="1" x14ac:dyDescent="0.25">
      <c r="B133" s="517" t="s">
        <v>59</v>
      </c>
      <c r="C133" s="518"/>
      <c r="D133" s="519" t="s">
        <v>59</v>
      </c>
      <c r="E133" s="518"/>
      <c r="F133" s="519" t="s">
        <v>59</v>
      </c>
      <c r="G133" s="518"/>
      <c r="H133" s="519" t="s">
        <v>59</v>
      </c>
      <c r="I133" s="518"/>
      <c r="J133" s="526" t="s">
        <v>59</v>
      </c>
      <c r="K133" s="527"/>
      <c r="L133" s="528"/>
      <c r="M133" s="523" t="s">
        <v>59</v>
      </c>
      <c r="N133" s="524"/>
      <c r="O133" s="524"/>
      <c r="P133" s="524"/>
      <c r="Q133" s="524"/>
      <c r="R133" s="524"/>
      <c r="S133" s="524"/>
      <c r="T133" s="524"/>
      <c r="U133" s="525"/>
      <c r="V133" s="505" t="s">
        <v>59</v>
      </c>
      <c r="W133" s="505"/>
      <c r="X133" s="505"/>
      <c r="Y133" s="505"/>
      <c r="Z133" s="505"/>
      <c r="AA133" s="505"/>
      <c r="AB133" s="505"/>
      <c r="AC133" s="505"/>
      <c r="AD133" s="506" t="s">
        <v>59</v>
      </c>
      <c r="AE133" s="507"/>
      <c r="AG133" s="279"/>
    </row>
    <row r="134" spans="2:33" hidden="1" x14ac:dyDescent="0.25">
      <c r="B134" s="517" t="s">
        <v>59</v>
      </c>
      <c r="C134" s="518"/>
      <c r="D134" s="519" t="s">
        <v>59</v>
      </c>
      <c r="E134" s="518"/>
      <c r="F134" s="519" t="s">
        <v>59</v>
      </c>
      <c r="G134" s="518"/>
      <c r="H134" s="519" t="s">
        <v>59</v>
      </c>
      <c r="I134" s="518"/>
      <c r="J134" s="526" t="s">
        <v>59</v>
      </c>
      <c r="K134" s="527"/>
      <c r="L134" s="528"/>
      <c r="M134" s="523" t="s">
        <v>59</v>
      </c>
      <c r="N134" s="524"/>
      <c r="O134" s="524"/>
      <c r="P134" s="524"/>
      <c r="Q134" s="524"/>
      <c r="R134" s="524"/>
      <c r="S134" s="524"/>
      <c r="T134" s="524"/>
      <c r="U134" s="525"/>
      <c r="V134" s="505" t="s">
        <v>59</v>
      </c>
      <c r="W134" s="505"/>
      <c r="X134" s="505"/>
      <c r="Y134" s="505"/>
      <c r="Z134" s="505"/>
      <c r="AA134" s="505"/>
      <c r="AB134" s="505"/>
      <c r="AC134" s="505"/>
      <c r="AD134" s="506" t="s">
        <v>59</v>
      </c>
      <c r="AE134" s="507"/>
      <c r="AG134" s="279"/>
    </row>
    <row r="135" spans="2:33" hidden="1" x14ac:dyDescent="0.25">
      <c r="B135" s="517" t="s">
        <v>59</v>
      </c>
      <c r="C135" s="518"/>
      <c r="D135" s="519" t="s">
        <v>59</v>
      </c>
      <c r="E135" s="518"/>
      <c r="F135" s="519" t="s">
        <v>59</v>
      </c>
      <c r="G135" s="518"/>
      <c r="H135" s="519" t="s">
        <v>59</v>
      </c>
      <c r="I135" s="518"/>
      <c r="J135" s="526" t="s">
        <v>59</v>
      </c>
      <c r="K135" s="527"/>
      <c r="L135" s="528"/>
      <c r="M135" s="523" t="s">
        <v>59</v>
      </c>
      <c r="N135" s="524"/>
      <c r="O135" s="524"/>
      <c r="P135" s="524"/>
      <c r="Q135" s="524"/>
      <c r="R135" s="524"/>
      <c r="S135" s="524"/>
      <c r="T135" s="524"/>
      <c r="U135" s="525"/>
      <c r="V135" s="505" t="s">
        <v>59</v>
      </c>
      <c r="W135" s="505"/>
      <c r="X135" s="505"/>
      <c r="Y135" s="505"/>
      <c r="Z135" s="505"/>
      <c r="AA135" s="505"/>
      <c r="AB135" s="505"/>
      <c r="AC135" s="505"/>
      <c r="AD135" s="506" t="s">
        <v>59</v>
      </c>
      <c r="AE135" s="507"/>
      <c r="AG135" s="279"/>
    </row>
    <row r="136" spans="2:33" hidden="1" x14ac:dyDescent="0.25">
      <c r="B136" s="517" t="s">
        <v>59</v>
      </c>
      <c r="C136" s="518"/>
      <c r="D136" s="519" t="s">
        <v>59</v>
      </c>
      <c r="E136" s="518"/>
      <c r="F136" s="519" t="s">
        <v>59</v>
      </c>
      <c r="G136" s="518"/>
      <c r="H136" s="519" t="s">
        <v>59</v>
      </c>
      <c r="I136" s="518"/>
      <c r="J136" s="526" t="s">
        <v>59</v>
      </c>
      <c r="K136" s="527"/>
      <c r="L136" s="528"/>
      <c r="M136" s="523" t="s">
        <v>59</v>
      </c>
      <c r="N136" s="524"/>
      <c r="O136" s="524"/>
      <c r="P136" s="524"/>
      <c r="Q136" s="524"/>
      <c r="R136" s="524"/>
      <c r="S136" s="524"/>
      <c r="T136" s="524"/>
      <c r="U136" s="525"/>
      <c r="V136" s="505" t="s">
        <v>59</v>
      </c>
      <c r="W136" s="505"/>
      <c r="X136" s="505"/>
      <c r="Y136" s="505"/>
      <c r="Z136" s="505"/>
      <c r="AA136" s="505"/>
      <c r="AB136" s="505"/>
      <c r="AC136" s="505"/>
      <c r="AD136" s="506" t="s">
        <v>59</v>
      </c>
      <c r="AE136" s="507"/>
      <c r="AG136" s="279"/>
    </row>
    <row r="137" spans="2:33" hidden="1" x14ac:dyDescent="0.25">
      <c r="B137" s="517" t="s">
        <v>59</v>
      </c>
      <c r="C137" s="518"/>
      <c r="D137" s="519" t="s">
        <v>59</v>
      </c>
      <c r="E137" s="518"/>
      <c r="F137" s="519" t="s">
        <v>59</v>
      </c>
      <c r="G137" s="518"/>
      <c r="H137" s="519" t="s">
        <v>59</v>
      </c>
      <c r="I137" s="518"/>
      <c r="J137" s="526" t="s">
        <v>59</v>
      </c>
      <c r="K137" s="527"/>
      <c r="L137" s="528"/>
      <c r="M137" s="523" t="s">
        <v>59</v>
      </c>
      <c r="N137" s="524"/>
      <c r="O137" s="524"/>
      <c r="P137" s="524"/>
      <c r="Q137" s="524"/>
      <c r="R137" s="524"/>
      <c r="S137" s="524"/>
      <c r="T137" s="524"/>
      <c r="U137" s="525"/>
      <c r="V137" s="505" t="s">
        <v>59</v>
      </c>
      <c r="W137" s="505"/>
      <c r="X137" s="505"/>
      <c r="Y137" s="505"/>
      <c r="Z137" s="505"/>
      <c r="AA137" s="505"/>
      <c r="AB137" s="505"/>
      <c r="AC137" s="505"/>
      <c r="AD137" s="506" t="s">
        <v>59</v>
      </c>
      <c r="AE137" s="507"/>
      <c r="AG137" s="279"/>
    </row>
    <row r="138" spans="2:33" hidden="1" x14ac:dyDescent="0.25">
      <c r="B138" s="517" t="s">
        <v>59</v>
      </c>
      <c r="C138" s="518"/>
      <c r="D138" s="519" t="s">
        <v>59</v>
      </c>
      <c r="E138" s="518"/>
      <c r="F138" s="519" t="s">
        <v>59</v>
      </c>
      <c r="G138" s="518"/>
      <c r="H138" s="519" t="s">
        <v>59</v>
      </c>
      <c r="I138" s="518"/>
      <c r="J138" s="526" t="s">
        <v>59</v>
      </c>
      <c r="K138" s="527"/>
      <c r="L138" s="528"/>
      <c r="M138" s="523" t="s">
        <v>59</v>
      </c>
      <c r="N138" s="524"/>
      <c r="O138" s="524"/>
      <c r="P138" s="524"/>
      <c r="Q138" s="524"/>
      <c r="R138" s="524"/>
      <c r="S138" s="524"/>
      <c r="T138" s="524"/>
      <c r="U138" s="525"/>
      <c r="V138" s="505" t="s">
        <v>59</v>
      </c>
      <c r="W138" s="505"/>
      <c r="X138" s="505"/>
      <c r="Y138" s="505"/>
      <c r="Z138" s="505"/>
      <c r="AA138" s="505"/>
      <c r="AB138" s="505"/>
      <c r="AC138" s="505"/>
      <c r="AD138" s="506" t="s">
        <v>59</v>
      </c>
      <c r="AE138" s="507"/>
      <c r="AG138" s="279"/>
    </row>
    <row r="139" spans="2:33" hidden="1" x14ac:dyDescent="0.25">
      <c r="B139" s="517" t="s">
        <v>59</v>
      </c>
      <c r="C139" s="518"/>
      <c r="D139" s="519" t="s">
        <v>59</v>
      </c>
      <c r="E139" s="518"/>
      <c r="F139" s="519" t="s">
        <v>59</v>
      </c>
      <c r="G139" s="518"/>
      <c r="H139" s="519" t="s">
        <v>59</v>
      </c>
      <c r="I139" s="518"/>
      <c r="J139" s="520"/>
      <c r="K139" s="521"/>
      <c r="L139" s="522"/>
      <c r="M139" s="523" t="s">
        <v>59</v>
      </c>
      <c r="N139" s="524"/>
      <c r="O139" s="524"/>
      <c r="P139" s="524"/>
      <c r="Q139" s="524"/>
      <c r="R139" s="524"/>
      <c r="S139" s="524"/>
      <c r="T139" s="524"/>
      <c r="U139" s="525"/>
      <c r="V139" s="505" t="s">
        <v>59</v>
      </c>
      <c r="W139" s="505"/>
      <c r="X139" s="505"/>
      <c r="Y139" s="505"/>
      <c r="Z139" s="505"/>
      <c r="AA139" s="505"/>
      <c r="AB139" s="505"/>
      <c r="AC139" s="505"/>
      <c r="AD139" s="506" t="s">
        <v>59</v>
      </c>
      <c r="AE139" s="507"/>
      <c r="AG139" s="279"/>
    </row>
    <row r="140" spans="2:33" ht="15" customHeight="1" thickTop="1" x14ac:dyDescent="0.25">
      <c r="B140" s="508" t="s">
        <v>820</v>
      </c>
      <c r="C140" s="509"/>
      <c r="D140" s="509"/>
      <c r="E140" s="509"/>
      <c r="F140" s="509"/>
      <c r="G140" s="509"/>
      <c r="H140" s="509"/>
      <c r="I140" s="509"/>
      <c r="J140" s="510"/>
      <c r="K140" s="511"/>
      <c r="L140" s="511"/>
      <c r="M140" s="511"/>
      <c r="N140" s="511"/>
      <c r="O140" s="511"/>
      <c r="P140" s="511"/>
      <c r="Q140" s="511"/>
      <c r="R140" s="511"/>
      <c r="S140" s="511"/>
      <c r="T140" s="511"/>
      <c r="U140" s="511"/>
      <c r="V140" s="511"/>
      <c r="W140" s="511"/>
      <c r="X140" s="511"/>
      <c r="Y140" s="511"/>
      <c r="Z140" s="511"/>
      <c r="AA140" s="511"/>
      <c r="AB140" s="511"/>
      <c r="AC140" s="512"/>
      <c r="AD140" s="506">
        <v>0</v>
      </c>
      <c r="AE140" s="507"/>
    </row>
    <row r="141" spans="2:33" ht="13.5" thickBot="1" x14ac:dyDescent="0.3">
      <c r="B141" s="264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62"/>
      <c r="AB141" s="513" t="s">
        <v>821</v>
      </c>
      <c r="AC141" s="514"/>
      <c r="AD141" s="515">
        <v>0</v>
      </c>
      <c r="AE141" s="516"/>
    </row>
    <row r="142" spans="2:33" ht="15" thickTop="1" x14ac:dyDescent="0.25">
      <c r="B142" s="283"/>
      <c r="C142" s="284"/>
      <c r="D142" s="284"/>
      <c r="E142" s="284"/>
      <c r="F142" s="284"/>
      <c r="G142" s="284"/>
      <c r="H142" s="284"/>
      <c r="I142" s="284"/>
      <c r="J142" s="284"/>
      <c r="K142" s="284"/>
      <c r="L142" s="284"/>
      <c r="M142" s="284"/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5"/>
      <c r="AA142" s="285"/>
      <c r="AB142" s="286"/>
      <c r="AC142" s="287" t="s">
        <v>830</v>
      </c>
      <c r="AD142" s="495">
        <v>5000000</v>
      </c>
      <c r="AE142" s="496"/>
    </row>
    <row r="143" spans="2:33" x14ac:dyDescent="0.25"/>
    <row r="144" spans="2:33" hidden="1" x14ac:dyDescent="0.25"/>
    <row r="145" spans="2:31" ht="15" hidden="1" customHeight="1" x14ac:dyDescent="0.25">
      <c r="B145" s="497" t="s">
        <v>657</v>
      </c>
      <c r="C145" s="498"/>
      <c r="D145" s="498"/>
      <c r="E145" s="498"/>
      <c r="F145" s="498"/>
      <c r="G145" s="498"/>
      <c r="H145" s="498"/>
      <c r="I145" s="498"/>
      <c r="J145" s="498"/>
      <c r="K145" s="498"/>
      <c r="L145" s="498"/>
      <c r="M145" s="498"/>
      <c r="N145" s="498"/>
      <c r="O145" s="498"/>
      <c r="P145" s="498"/>
      <c r="Q145" s="498"/>
      <c r="R145" s="498"/>
      <c r="S145" s="498"/>
      <c r="T145" s="498"/>
      <c r="U145" s="498"/>
      <c r="V145" s="498"/>
      <c r="W145" s="498"/>
      <c r="X145" s="498"/>
      <c r="Y145" s="498"/>
      <c r="Z145" s="498"/>
      <c r="AA145" s="498"/>
      <c r="AB145" s="498"/>
      <c r="AC145" s="498"/>
      <c r="AD145" s="498"/>
      <c r="AE145" s="499"/>
    </row>
    <row r="146" spans="2:31" hidden="1" x14ac:dyDescent="0.25">
      <c r="B146" s="477" t="s">
        <v>795</v>
      </c>
      <c r="C146" s="478"/>
      <c r="D146" s="500"/>
      <c r="E146" s="501" t="s">
        <v>1098</v>
      </c>
      <c r="F146" s="451"/>
      <c r="G146" s="451"/>
      <c r="H146" s="451"/>
      <c r="I146" s="451"/>
      <c r="J146" s="451"/>
      <c r="K146" s="452"/>
      <c r="L146" s="477" t="s">
        <v>227</v>
      </c>
      <c r="M146" s="478"/>
      <c r="N146" s="500"/>
      <c r="O146" s="450" t="s">
        <v>1102</v>
      </c>
      <c r="P146" s="452"/>
      <c r="Q146" s="450" t="s">
        <v>1102</v>
      </c>
      <c r="R146" s="451"/>
      <c r="S146" s="451"/>
      <c r="T146" s="451"/>
      <c r="U146" s="452"/>
      <c r="V146" s="502" t="s">
        <v>46</v>
      </c>
      <c r="W146" s="503"/>
      <c r="X146" s="503"/>
      <c r="Y146" s="503"/>
      <c r="Z146" s="503"/>
      <c r="AA146" s="503"/>
      <c r="AB146" s="503"/>
      <c r="AC146" s="503"/>
      <c r="AD146" s="503"/>
      <c r="AE146" s="504"/>
    </row>
    <row r="147" spans="2:31" ht="15" hidden="1" customHeight="1" x14ac:dyDescent="0.25">
      <c r="B147" s="458" t="s">
        <v>1024</v>
      </c>
      <c r="C147" s="459"/>
      <c r="D147" s="460"/>
      <c r="E147" s="450" t="s">
        <v>949</v>
      </c>
      <c r="F147" s="451"/>
      <c r="G147" s="451"/>
      <c r="H147" s="451"/>
      <c r="I147" s="451"/>
      <c r="J147" s="451"/>
      <c r="K147" s="452"/>
      <c r="L147" s="458" t="s">
        <v>432</v>
      </c>
      <c r="M147" s="459"/>
      <c r="N147" s="460"/>
      <c r="O147" s="471" t="s">
        <v>275</v>
      </c>
      <c r="P147" s="472"/>
      <c r="Q147" s="472"/>
      <c r="R147" s="472"/>
      <c r="S147" s="472"/>
      <c r="T147" s="472"/>
      <c r="U147" s="472"/>
      <c r="V147" s="477" t="s">
        <v>47</v>
      </c>
      <c r="W147" s="478"/>
      <c r="X147" s="478"/>
      <c r="Y147" s="479" t="s">
        <v>419</v>
      </c>
      <c r="Z147" s="480"/>
      <c r="AA147" s="480"/>
      <c r="AB147" s="480"/>
      <c r="AC147" s="480"/>
      <c r="AD147" s="480"/>
      <c r="AE147" s="481"/>
    </row>
    <row r="148" spans="2:31" ht="12.75" hidden="1" customHeight="1" x14ac:dyDescent="0.25">
      <c r="B148" s="458" t="s">
        <v>11</v>
      </c>
      <c r="C148" s="459"/>
      <c r="D148" s="460"/>
      <c r="E148" s="461" t="s">
        <v>15</v>
      </c>
      <c r="F148" s="462"/>
      <c r="G148" s="462"/>
      <c r="H148" s="462"/>
      <c r="I148" s="462"/>
      <c r="J148" s="462"/>
      <c r="K148" s="463"/>
      <c r="L148" s="458"/>
      <c r="M148" s="459"/>
      <c r="N148" s="460"/>
      <c r="O148" s="473"/>
      <c r="P148" s="474"/>
      <c r="Q148" s="474"/>
      <c r="R148" s="474"/>
      <c r="S148" s="474"/>
      <c r="T148" s="474"/>
      <c r="U148" s="474"/>
      <c r="V148" s="482" t="s">
        <v>48</v>
      </c>
      <c r="W148" s="483"/>
      <c r="X148" s="483"/>
      <c r="Y148" s="486" t="s">
        <v>275</v>
      </c>
      <c r="Z148" s="487"/>
      <c r="AA148" s="487"/>
      <c r="AB148" s="487"/>
      <c r="AC148" s="487"/>
      <c r="AD148" s="487"/>
      <c r="AE148" s="488"/>
    </row>
    <row r="149" spans="2:31" hidden="1" x14ac:dyDescent="0.25">
      <c r="B149" s="458" t="s">
        <v>954</v>
      </c>
      <c r="C149" s="459"/>
      <c r="D149" s="460"/>
      <c r="E149" s="461" t="s">
        <v>418</v>
      </c>
      <c r="F149" s="462"/>
      <c r="G149" s="462"/>
      <c r="H149" s="462"/>
      <c r="I149" s="462"/>
      <c r="J149" s="462"/>
      <c r="K149" s="463"/>
      <c r="L149" s="458"/>
      <c r="M149" s="459"/>
      <c r="N149" s="460"/>
      <c r="O149" s="473"/>
      <c r="P149" s="474"/>
      <c r="Q149" s="474"/>
      <c r="R149" s="474"/>
      <c r="S149" s="474"/>
      <c r="T149" s="474"/>
      <c r="U149" s="474"/>
      <c r="V149" s="482"/>
      <c r="W149" s="483"/>
      <c r="X149" s="483"/>
      <c r="Y149" s="489"/>
      <c r="Z149" s="490"/>
      <c r="AA149" s="490"/>
      <c r="AB149" s="490"/>
      <c r="AC149" s="490"/>
      <c r="AD149" s="490"/>
      <c r="AE149" s="491"/>
    </row>
    <row r="150" spans="2:31" hidden="1" x14ac:dyDescent="0.25">
      <c r="B150" s="447" t="s">
        <v>797</v>
      </c>
      <c r="C150" s="448"/>
      <c r="D150" s="449"/>
      <c r="E150" s="464" t="s">
        <v>1044</v>
      </c>
      <c r="F150" s="465"/>
      <c r="G150" s="466"/>
      <c r="H150" s="467" t="s">
        <v>798</v>
      </c>
      <c r="I150" s="468"/>
      <c r="J150" s="469">
        <v>11.4</v>
      </c>
      <c r="K150" s="470"/>
      <c r="L150" s="458"/>
      <c r="M150" s="459"/>
      <c r="N150" s="460"/>
      <c r="O150" s="475"/>
      <c r="P150" s="476"/>
      <c r="Q150" s="476"/>
      <c r="R150" s="476"/>
      <c r="S150" s="476"/>
      <c r="T150" s="476"/>
      <c r="U150" s="476"/>
      <c r="V150" s="482"/>
      <c r="W150" s="483"/>
      <c r="X150" s="483"/>
      <c r="Y150" s="489"/>
      <c r="Z150" s="490"/>
      <c r="AA150" s="490"/>
      <c r="AB150" s="490"/>
      <c r="AC150" s="490"/>
      <c r="AD150" s="490"/>
      <c r="AE150" s="491"/>
    </row>
    <row r="151" spans="2:31" hidden="1" x14ac:dyDescent="0.25">
      <c r="B151" s="264"/>
      <c r="C151" s="262"/>
      <c r="D151" s="262"/>
      <c r="E151" s="262"/>
      <c r="F151" s="262"/>
      <c r="G151" s="262"/>
      <c r="H151" s="262"/>
      <c r="I151" s="262"/>
      <c r="J151" s="262"/>
      <c r="K151" s="262"/>
      <c r="L151" s="447" t="s">
        <v>265</v>
      </c>
      <c r="M151" s="448"/>
      <c r="N151" s="449"/>
      <c r="O151" s="450" t="s">
        <v>1103</v>
      </c>
      <c r="P151" s="451"/>
      <c r="Q151" s="452"/>
      <c r="R151" s="262"/>
      <c r="S151" s="262"/>
      <c r="T151" s="262"/>
      <c r="U151" s="262"/>
      <c r="V151" s="484"/>
      <c r="W151" s="485"/>
      <c r="X151" s="485"/>
      <c r="Y151" s="492"/>
      <c r="Z151" s="493"/>
      <c r="AA151" s="493"/>
      <c r="AB151" s="493"/>
      <c r="AC151" s="493"/>
      <c r="AD151" s="493"/>
      <c r="AE151" s="494"/>
    </row>
    <row r="152" spans="2:31" hidden="1" x14ac:dyDescent="0.25">
      <c r="B152" s="453" t="s">
        <v>913</v>
      </c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5"/>
      <c r="P152" s="262"/>
      <c r="U152" s="262"/>
      <c r="V152" s="398" t="s">
        <v>45</v>
      </c>
      <c r="W152" s="399"/>
      <c r="X152" s="399"/>
      <c r="Y152" s="399"/>
      <c r="Z152" s="399"/>
      <c r="AA152" s="399"/>
      <c r="AB152" s="399"/>
      <c r="AC152" s="399"/>
      <c r="AD152" s="399"/>
      <c r="AE152" s="400"/>
    </row>
    <row r="153" spans="2:31" ht="12.75" hidden="1" customHeight="1" x14ac:dyDescent="0.25">
      <c r="B153" s="456" t="s">
        <v>796</v>
      </c>
      <c r="C153" s="457"/>
      <c r="D153" s="432" t="s">
        <v>68</v>
      </c>
      <c r="E153" s="432"/>
      <c r="F153" s="432" t="s">
        <v>266</v>
      </c>
      <c r="G153" s="432"/>
      <c r="H153" s="432" t="s">
        <v>254</v>
      </c>
      <c r="I153" s="432"/>
      <c r="J153" s="432" t="s">
        <v>73</v>
      </c>
      <c r="K153" s="432"/>
      <c r="L153" s="432" t="s">
        <v>74</v>
      </c>
      <c r="M153" s="432"/>
      <c r="N153" s="432" t="s">
        <v>33</v>
      </c>
      <c r="O153" s="433"/>
      <c r="P153" s="262"/>
      <c r="Q153" s="434" t="s">
        <v>911</v>
      </c>
      <c r="R153" s="435"/>
      <c r="S153" s="436">
        <v>5000000</v>
      </c>
      <c r="T153" s="437"/>
      <c r="U153" s="262"/>
      <c r="V153" s="438" t="s">
        <v>1131</v>
      </c>
      <c r="W153" s="439"/>
      <c r="X153" s="439"/>
      <c r="Y153" s="439"/>
      <c r="Z153" s="439"/>
      <c r="AA153" s="439"/>
      <c r="AB153" s="439"/>
      <c r="AC153" s="439"/>
      <c r="AD153" s="439"/>
      <c r="AE153" s="440"/>
    </row>
    <row r="154" spans="2:31" hidden="1" x14ac:dyDescent="0.25">
      <c r="B154" s="416"/>
      <c r="C154" s="417"/>
      <c r="D154" s="424" t="s">
        <v>1125</v>
      </c>
      <c r="E154" s="424"/>
      <c r="F154" s="424" t="s">
        <v>1126</v>
      </c>
      <c r="G154" s="424"/>
      <c r="H154" s="424" t="s">
        <v>1127</v>
      </c>
      <c r="I154" s="424"/>
      <c r="J154" s="424" t="s">
        <v>1128</v>
      </c>
      <c r="K154" s="424"/>
      <c r="L154" s="424" t="s">
        <v>1129</v>
      </c>
      <c r="M154" s="424"/>
      <c r="N154" s="424" t="s">
        <v>59</v>
      </c>
      <c r="O154" s="425"/>
      <c r="P154" s="262"/>
      <c r="Q154" s="426" t="s">
        <v>227</v>
      </c>
      <c r="R154" s="427"/>
      <c r="S154" s="428">
        <v>5000000</v>
      </c>
      <c r="T154" s="429"/>
      <c r="U154" s="262"/>
      <c r="V154" s="441"/>
      <c r="W154" s="442"/>
      <c r="X154" s="442"/>
      <c r="Y154" s="442"/>
      <c r="Z154" s="442"/>
      <c r="AA154" s="442"/>
      <c r="AB154" s="442"/>
      <c r="AC154" s="442"/>
      <c r="AD154" s="442"/>
      <c r="AE154" s="443"/>
    </row>
    <row r="155" spans="2:31" hidden="1" x14ac:dyDescent="0.25">
      <c r="B155" s="420" t="s">
        <v>231</v>
      </c>
      <c r="C155" s="421"/>
      <c r="D155" s="430">
        <v>0</v>
      </c>
      <c r="E155" s="430"/>
      <c r="F155" s="430">
        <v>1</v>
      </c>
      <c r="G155" s="430"/>
      <c r="H155" s="430">
        <v>0</v>
      </c>
      <c r="I155" s="430"/>
      <c r="J155" s="430">
        <v>0</v>
      </c>
      <c r="K155" s="430"/>
      <c r="L155" s="430">
        <v>0</v>
      </c>
      <c r="M155" s="430"/>
      <c r="N155" s="430">
        <v>0</v>
      </c>
      <c r="O155" s="431"/>
      <c r="P155" s="262"/>
      <c r="Q155" s="416" t="s">
        <v>799</v>
      </c>
      <c r="R155" s="417"/>
      <c r="S155" s="418">
        <v>0</v>
      </c>
      <c r="T155" s="419"/>
      <c r="U155" s="262"/>
      <c r="V155" s="441"/>
      <c r="W155" s="442"/>
      <c r="X155" s="442"/>
      <c r="Y155" s="442"/>
      <c r="Z155" s="442"/>
      <c r="AA155" s="442"/>
      <c r="AB155" s="442"/>
      <c r="AC155" s="442"/>
      <c r="AD155" s="442"/>
      <c r="AE155" s="443"/>
    </row>
    <row r="156" spans="2:31" hidden="1" x14ac:dyDescent="0.25">
      <c r="B156" s="420" t="s">
        <v>232</v>
      </c>
      <c r="C156" s="421"/>
      <c r="D156" s="422">
        <v>0</v>
      </c>
      <c r="E156" s="422"/>
      <c r="F156" s="422">
        <v>5000000</v>
      </c>
      <c r="G156" s="422"/>
      <c r="H156" s="422">
        <v>0</v>
      </c>
      <c r="I156" s="422"/>
      <c r="J156" s="422">
        <v>0</v>
      </c>
      <c r="K156" s="422"/>
      <c r="L156" s="422">
        <v>0</v>
      </c>
      <c r="M156" s="422"/>
      <c r="N156" s="422">
        <v>0</v>
      </c>
      <c r="O156" s="423"/>
      <c r="P156" s="262"/>
      <c r="Q156" s="262"/>
      <c r="R156" s="262"/>
      <c r="S156" s="262"/>
      <c r="T156" s="262"/>
      <c r="U156" s="262"/>
      <c r="V156" s="441"/>
      <c r="W156" s="442"/>
      <c r="X156" s="442"/>
      <c r="Y156" s="442"/>
      <c r="Z156" s="442"/>
      <c r="AA156" s="442"/>
      <c r="AB156" s="442"/>
      <c r="AC156" s="442"/>
      <c r="AD156" s="442"/>
      <c r="AE156" s="443"/>
    </row>
    <row r="157" spans="2:31" hidden="1" x14ac:dyDescent="0.25">
      <c r="B157" s="416"/>
      <c r="C157" s="417"/>
      <c r="D157" s="410" t="s">
        <v>251</v>
      </c>
      <c r="E157" s="410" t="e">
        <v>#REF!</v>
      </c>
      <c r="F157" s="410" t="s">
        <v>252</v>
      </c>
      <c r="G157" s="410" t="e">
        <v>#REF!</v>
      </c>
      <c r="H157" s="410" t="s">
        <v>253</v>
      </c>
      <c r="I157" s="410" t="e">
        <v>#REF!</v>
      </c>
      <c r="J157" s="410" t="s">
        <v>72</v>
      </c>
      <c r="K157" s="410"/>
      <c r="L157" s="410" t="s">
        <v>255</v>
      </c>
      <c r="M157" s="410"/>
      <c r="N157" s="410" t="s">
        <v>275</v>
      </c>
      <c r="O157" s="411"/>
      <c r="P157" s="262"/>
      <c r="Q157" s="288"/>
      <c r="R157" s="288"/>
      <c r="S157" s="288"/>
      <c r="T157" s="288"/>
      <c r="U157" s="262"/>
      <c r="V157" s="444"/>
      <c r="W157" s="445"/>
      <c r="X157" s="445"/>
      <c r="Y157" s="445"/>
      <c r="Z157" s="445"/>
      <c r="AA157" s="445"/>
      <c r="AB157" s="445"/>
      <c r="AC157" s="445"/>
      <c r="AD157" s="445"/>
      <c r="AE157" s="446"/>
    </row>
    <row r="158" spans="2:31" ht="15" hidden="1" customHeight="1" x14ac:dyDescent="0.25">
      <c r="B158" s="412" t="s">
        <v>1096</v>
      </c>
      <c r="C158" s="413"/>
      <c r="D158" s="414">
        <v>0</v>
      </c>
      <c r="E158" s="414"/>
      <c r="F158" s="414">
        <v>5000000</v>
      </c>
      <c r="G158" s="414"/>
      <c r="H158" s="414">
        <v>0</v>
      </c>
      <c r="I158" s="414"/>
      <c r="J158" s="414">
        <v>0</v>
      </c>
      <c r="K158" s="414"/>
      <c r="L158" s="414">
        <v>0</v>
      </c>
      <c r="M158" s="414"/>
      <c r="N158" s="414">
        <v>0</v>
      </c>
      <c r="O158" s="415"/>
      <c r="P158" s="262"/>
      <c r="Q158" s="289"/>
      <c r="R158" s="289"/>
      <c r="S158" s="290"/>
      <c r="T158" s="290"/>
      <c r="U158" s="262"/>
      <c r="V158" s="398" t="s">
        <v>228</v>
      </c>
      <c r="W158" s="399"/>
      <c r="X158" s="399"/>
      <c r="Y158" s="399"/>
      <c r="Z158" s="399"/>
      <c r="AA158" s="399"/>
      <c r="AB158" s="399"/>
      <c r="AC158" s="399"/>
      <c r="AD158" s="399"/>
      <c r="AE158" s="400"/>
    </row>
    <row r="159" spans="2:31" ht="12.75" hidden="1" customHeight="1" x14ac:dyDescent="0.25">
      <c r="B159" s="396" t="s">
        <v>59</v>
      </c>
      <c r="C159" s="397"/>
      <c r="D159" s="390">
        <v>0</v>
      </c>
      <c r="E159" s="390"/>
      <c r="F159" s="390">
        <v>0</v>
      </c>
      <c r="G159" s="390"/>
      <c r="H159" s="390">
        <v>0</v>
      </c>
      <c r="I159" s="390"/>
      <c r="J159" s="390">
        <v>0</v>
      </c>
      <c r="K159" s="390"/>
      <c r="L159" s="390">
        <v>0</v>
      </c>
      <c r="M159" s="390"/>
      <c r="N159" s="390">
        <v>0</v>
      </c>
      <c r="O159" s="391"/>
      <c r="P159" s="262"/>
      <c r="Q159" s="289"/>
      <c r="R159" s="289"/>
      <c r="S159" s="290"/>
      <c r="T159" s="290"/>
      <c r="U159" s="262"/>
      <c r="V159" s="401" t="s">
        <v>1115</v>
      </c>
      <c r="W159" s="402"/>
      <c r="X159" s="402"/>
      <c r="Y159" s="402"/>
      <c r="Z159" s="402"/>
      <c r="AA159" s="402"/>
      <c r="AB159" s="402"/>
      <c r="AC159" s="402"/>
      <c r="AD159" s="402"/>
      <c r="AE159" s="403"/>
    </row>
    <row r="160" spans="2:31" hidden="1" x14ac:dyDescent="0.25">
      <c r="B160" s="396" t="s">
        <v>59</v>
      </c>
      <c r="C160" s="397"/>
      <c r="D160" s="390">
        <v>0</v>
      </c>
      <c r="E160" s="390"/>
      <c r="F160" s="390">
        <v>0</v>
      </c>
      <c r="G160" s="390"/>
      <c r="H160" s="390">
        <v>0</v>
      </c>
      <c r="I160" s="390"/>
      <c r="J160" s="390">
        <v>0</v>
      </c>
      <c r="K160" s="390"/>
      <c r="L160" s="390">
        <v>0</v>
      </c>
      <c r="M160" s="390"/>
      <c r="N160" s="390">
        <v>0</v>
      </c>
      <c r="O160" s="391"/>
      <c r="P160" s="262"/>
      <c r="Q160" s="289"/>
      <c r="R160" s="289"/>
      <c r="S160" s="290"/>
      <c r="T160" s="290"/>
      <c r="U160" s="262"/>
      <c r="V160" s="404"/>
      <c r="W160" s="405"/>
      <c r="X160" s="405"/>
      <c r="Y160" s="405"/>
      <c r="Z160" s="405"/>
      <c r="AA160" s="405"/>
      <c r="AB160" s="405"/>
      <c r="AC160" s="405"/>
      <c r="AD160" s="405"/>
      <c r="AE160" s="406"/>
    </row>
    <row r="161" spans="2:31" hidden="1" x14ac:dyDescent="0.25">
      <c r="B161" s="396" t="s">
        <v>59</v>
      </c>
      <c r="C161" s="397"/>
      <c r="D161" s="390">
        <v>0</v>
      </c>
      <c r="E161" s="390"/>
      <c r="F161" s="390">
        <v>0</v>
      </c>
      <c r="G161" s="390"/>
      <c r="H161" s="390">
        <v>0</v>
      </c>
      <c r="I161" s="390"/>
      <c r="J161" s="390">
        <v>0</v>
      </c>
      <c r="K161" s="390"/>
      <c r="L161" s="390">
        <v>0</v>
      </c>
      <c r="M161" s="390"/>
      <c r="N161" s="390">
        <v>0</v>
      </c>
      <c r="O161" s="391"/>
      <c r="P161" s="262"/>
      <c r="Q161" s="289"/>
      <c r="R161" s="289"/>
      <c r="S161" s="290"/>
      <c r="T161" s="290"/>
      <c r="U161" s="291"/>
      <c r="V161" s="404"/>
      <c r="W161" s="405"/>
      <c r="X161" s="405"/>
      <c r="Y161" s="405"/>
      <c r="Z161" s="405"/>
      <c r="AA161" s="405"/>
      <c r="AB161" s="405"/>
      <c r="AC161" s="405"/>
      <c r="AD161" s="405"/>
      <c r="AE161" s="406"/>
    </row>
    <row r="162" spans="2:31" hidden="1" x14ac:dyDescent="0.25">
      <c r="B162" s="396" t="s">
        <v>59</v>
      </c>
      <c r="C162" s="397"/>
      <c r="D162" s="390">
        <v>0</v>
      </c>
      <c r="E162" s="390"/>
      <c r="F162" s="390">
        <v>0</v>
      </c>
      <c r="G162" s="390"/>
      <c r="H162" s="390">
        <v>0</v>
      </c>
      <c r="I162" s="390"/>
      <c r="J162" s="390">
        <v>0</v>
      </c>
      <c r="K162" s="390"/>
      <c r="L162" s="390">
        <v>0</v>
      </c>
      <c r="M162" s="390"/>
      <c r="N162" s="390">
        <v>0</v>
      </c>
      <c r="O162" s="391"/>
      <c r="P162" s="262"/>
      <c r="Q162" s="289"/>
      <c r="R162" s="289"/>
      <c r="S162" s="290"/>
      <c r="T162" s="290"/>
      <c r="U162" s="291"/>
      <c r="V162" s="404"/>
      <c r="W162" s="405"/>
      <c r="X162" s="405"/>
      <c r="Y162" s="405"/>
      <c r="Z162" s="405"/>
      <c r="AA162" s="405"/>
      <c r="AB162" s="405"/>
      <c r="AC162" s="405"/>
      <c r="AD162" s="405"/>
      <c r="AE162" s="406"/>
    </row>
    <row r="163" spans="2:31" hidden="1" x14ac:dyDescent="0.25">
      <c r="B163" s="396" t="s">
        <v>59</v>
      </c>
      <c r="C163" s="397"/>
      <c r="D163" s="390">
        <v>0</v>
      </c>
      <c r="E163" s="390"/>
      <c r="F163" s="390">
        <v>0</v>
      </c>
      <c r="G163" s="390"/>
      <c r="H163" s="390">
        <v>0</v>
      </c>
      <c r="I163" s="390"/>
      <c r="J163" s="390">
        <v>0</v>
      </c>
      <c r="K163" s="390"/>
      <c r="L163" s="390">
        <v>0</v>
      </c>
      <c r="M163" s="390"/>
      <c r="N163" s="390">
        <v>0</v>
      </c>
      <c r="O163" s="391"/>
      <c r="P163" s="262"/>
      <c r="Q163" s="289"/>
      <c r="R163" s="289"/>
      <c r="S163" s="290"/>
      <c r="T163" s="290"/>
      <c r="U163" s="291"/>
      <c r="V163" s="404"/>
      <c r="W163" s="405"/>
      <c r="X163" s="405"/>
      <c r="Y163" s="405"/>
      <c r="Z163" s="405"/>
      <c r="AA163" s="405"/>
      <c r="AB163" s="405"/>
      <c r="AC163" s="405"/>
      <c r="AD163" s="405"/>
      <c r="AE163" s="406"/>
    </row>
    <row r="164" spans="2:31" hidden="1" x14ac:dyDescent="0.25">
      <c r="B164" s="396" t="s">
        <v>59</v>
      </c>
      <c r="C164" s="397"/>
      <c r="D164" s="390">
        <v>0</v>
      </c>
      <c r="E164" s="390"/>
      <c r="F164" s="390">
        <v>0</v>
      </c>
      <c r="G164" s="390"/>
      <c r="H164" s="390">
        <v>0</v>
      </c>
      <c r="I164" s="390"/>
      <c r="J164" s="390">
        <v>0</v>
      </c>
      <c r="K164" s="390"/>
      <c r="L164" s="390">
        <v>0</v>
      </c>
      <c r="M164" s="390"/>
      <c r="N164" s="390">
        <v>0</v>
      </c>
      <c r="O164" s="391"/>
      <c r="P164" s="262"/>
      <c r="Q164" s="289"/>
      <c r="R164" s="289"/>
      <c r="S164" s="290"/>
      <c r="T164" s="290"/>
      <c r="U164" s="291"/>
      <c r="V164" s="404"/>
      <c r="W164" s="405"/>
      <c r="X164" s="405"/>
      <c r="Y164" s="405"/>
      <c r="Z164" s="405"/>
      <c r="AA164" s="405"/>
      <c r="AB164" s="405"/>
      <c r="AC164" s="405"/>
      <c r="AD164" s="405"/>
      <c r="AE164" s="406"/>
    </row>
    <row r="165" spans="2:31" hidden="1" x14ac:dyDescent="0.25">
      <c r="B165" s="396" t="s">
        <v>59</v>
      </c>
      <c r="C165" s="397"/>
      <c r="D165" s="390">
        <v>0</v>
      </c>
      <c r="E165" s="390"/>
      <c r="F165" s="390">
        <v>0</v>
      </c>
      <c r="G165" s="390"/>
      <c r="H165" s="390">
        <v>0</v>
      </c>
      <c r="I165" s="390"/>
      <c r="J165" s="390">
        <v>0</v>
      </c>
      <c r="K165" s="390"/>
      <c r="L165" s="390">
        <v>0</v>
      </c>
      <c r="M165" s="390"/>
      <c r="N165" s="390">
        <v>0</v>
      </c>
      <c r="O165" s="391"/>
      <c r="P165" s="262"/>
      <c r="Q165" s="289"/>
      <c r="R165" s="289"/>
      <c r="S165" s="290"/>
      <c r="T165" s="290"/>
      <c r="U165" s="291"/>
      <c r="V165" s="404"/>
      <c r="W165" s="405"/>
      <c r="X165" s="405"/>
      <c r="Y165" s="405"/>
      <c r="Z165" s="405"/>
      <c r="AA165" s="405"/>
      <c r="AB165" s="405"/>
      <c r="AC165" s="405"/>
      <c r="AD165" s="405"/>
      <c r="AE165" s="406"/>
    </row>
    <row r="166" spans="2:31" hidden="1" x14ac:dyDescent="0.25">
      <c r="B166" s="396" t="s">
        <v>59</v>
      </c>
      <c r="C166" s="397"/>
      <c r="D166" s="390">
        <v>0</v>
      </c>
      <c r="E166" s="390"/>
      <c r="F166" s="390">
        <v>0</v>
      </c>
      <c r="G166" s="390"/>
      <c r="H166" s="390">
        <v>0</v>
      </c>
      <c r="I166" s="390"/>
      <c r="J166" s="390">
        <v>0</v>
      </c>
      <c r="K166" s="390"/>
      <c r="L166" s="390">
        <v>0</v>
      </c>
      <c r="M166" s="390"/>
      <c r="N166" s="390">
        <v>0</v>
      </c>
      <c r="O166" s="391"/>
      <c r="P166" s="262"/>
      <c r="Q166" s="289"/>
      <c r="R166" s="289"/>
      <c r="S166" s="290"/>
      <c r="T166" s="290"/>
      <c r="U166" s="291"/>
      <c r="V166" s="404"/>
      <c r="W166" s="405"/>
      <c r="X166" s="405"/>
      <c r="Y166" s="405"/>
      <c r="Z166" s="405"/>
      <c r="AA166" s="405"/>
      <c r="AB166" s="405"/>
      <c r="AC166" s="405"/>
      <c r="AD166" s="405"/>
      <c r="AE166" s="406"/>
    </row>
    <row r="167" spans="2:31" hidden="1" x14ac:dyDescent="0.25">
      <c r="B167" s="396" t="s">
        <v>59</v>
      </c>
      <c r="C167" s="397"/>
      <c r="D167" s="390">
        <v>0</v>
      </c>
      <c r="E167" s="390"/>
      <c r="F167" s="390">
        <v>0</v>
      </c>
      <c r="G167" s="390"/>
      <c r="H167" s="390">
        <v>0</v>
      </c>
      <c r="I167" s="390"/>
      <c r="J167" s="390">
        <v>0</v>
      </c>
      <c r="K167" s="390"/>
      <c r="L167" s="390">
        <v>0</v>
      </c>
      <c r="M167" s="390"/>
      <c r="N167" s="390">
        <v>0</v>
      </c>
      <c r="O167" s="391"/>
      <c r="P167" s="262"/>
      <c r="Q167" s="289"/>
      <c r="R167" s="289"/>
      <c r="S167" s="290"/>
      <c r="T167" s="290"/>
      <c r="U167" s="291"/>
      <c r="V167" s="404"/>
      <c r="W167" s="405"/>
      <c r="X167" s="405"/>
      <c r="Y167" s="405"/>
      <c r="Z167" s="405"/>
      <c r="AA167" s="405"/>
      <c r="AB167" s="405"/>
      <c r="AC167" s="405"/>
      <c r="AD167" s="405"/>
      <c r="AE167" s="406"/>
    </row>
    <row r="168" spans="2:31" hidden="1" x14ac:dyDescent="0.25">
      <c r="B168" s="396" t="s">
        <v>59</v>
      </c>
      <c r="C168" s="397"/>
      <c r="D168" s="390">
        <v>0</v>
      </c>
      <c r="E168" s="390"/>
      <c r="F168" s="390">
        <v>0</v>
      </c>
      <c r="G168" s="390"/>
      <c r="H168" s="390">
        <v>0</v>
      </c>
      <c r="I168" s="390"/>
      <c r="J168" s="390">
        <v>0</v>
      </c>
      <c r="K168" s="390"/>
      <c r="L168" s="390">
        <v>0</v>
      </c>
      <c r="M168" s="390"/>
      <c r="N168" s="390">
        <v>0</v>
      </c>
      <c r="O168" s="391"/>
      <c r="P168" s="262"/>
      <c r="Q168" s="289"/>
      <c r="R168" s="289"/>
      <c r="S168" s="290"/>
      <c r="T168" s="290"/>
      <c r="U168" s="262"/>
      <c r="V168" s="404"/>
      <c r="W168" s="405"/>
      <c r="X168" s="405"/>
      <c r="Y168" s="405"/>
      <c r="Z168" s="405"/>
      <c r="AA168" s="405"/>
      <c r="AB168" s="405"/>
      <c r="AC168" s="405"/>
      <c r="AD168" s="405"/>
      <c r="AE168" s="406"/>
    </row>
    <row r="169" spans="2:31" hidden="1" x14ac:dyDescent="0.25">
      <c r="B169" s="396" t="s">
        <v>59</v>
      </c>
      <c r="C169" s="397"/>
      <c r="D169" s="390">
        <v>0</v>
      </c>
      <c r="E169" s="390"/>
      <c r="F169" s="390">
        <v>0</v>
      </c>
      <c r="G169" s="390"/>
      <c r="H169" s="390">
        <v>0</v>
      </c>
      <c r="I169" s="390"/>
      <c r="J169" s="390">
        <v>0</v>
      </c>
      <c r="K169" s="390"/>
      <c r="L169" s="390">
        <v>0</v>
      </c>
      <c r="M169" s="390"/>
      <c r="N169" s="390">
        <v>0</v>
      </c>
      <c r="O169" s="391"/>
      <c r="P169" s="262"/>
      <c r="Q169" s="289"/>
      <c r="R169" s="289"/>
      <c r="S169" s="290"/>
      <c r="T169" s="290"/>
      <c r="U169" s="262"/>
      <c r="V169" s="404"/>
      <c r="W169" s="405"/>
      <c r="X169" s="405"/>
      <c r="Y169" s="405"/>
      <c r="Z169" s="405"/>
      <c r="AA169" s="405"/>
      <c r="AB169" s="405"/>
      <c r="AC169" s="405"/>
      <c r="AD169" s="405"/>
      <c r="AE169" s="406"/>
    </row>
    <row r="170" spans="2:31" ht="15" hidden="1" customHeight="1" x14ac:dyDescent="0.25">
      <c r="B170" s="396" t="s">
        <v>59</v>
      </c>
      <c r="C170" s="397"/>
      <c r="D170" s="390">
        <v>0</v>
      </c>
      <c r="E170" s="390"/>
      <c r="F170" s="390">
        <v>0</v>
      </c>
      <c r="G170" s="390"/>
      <c r="H170" s="390">
        <v>0</v>
      </c>
      <c r="I170" s="390"/>
      <c r="J170" s="390">
        <v>0</v>
      </c>
      <c r="K170" s="390"/>
      <c r="L170" s="390">
        <v>0</v>
      </c>
      <c r="M170" s="390"/>
      <c r="N170" s="390">
        <v>0</v>
      </c>
      <c r="O170" s="391"/>
      <c r="P170" s="262"/>
      <c r="Q170" s="289"/>
      <c r="R170" s="289"/>
      <c r="S170" s="290"/>
      <c r="T170" s="290"/>
      <c r="U170" s="262"/>
      <c r="V170" s="404"/>
      <c r="W170" s="405"/>
      <c r="X170" s="405"/>
      <c r="Y170" s="405"/>
      <c r="Z170" s="405"/>
      <c r="AA170" s="405"/>
      <c r="AB170" s="405"/>
      <c r="AC170" s="405"/>
      <c r="AD170" s="405"/>
      <c r="AE170" s="406"/>
    </row>
    <row r="171" spans="2:31" hidden="1" x14ac:dyDescent="0.25">
      <c r="B171" s="396" t="s">
        <v>59</v>
      </c>
      <c r="C171" s="397"/>
      <c r="D171" s="390">
        <v>0</v>
      </c>
      <c r="E171" s="390"/>
      <c r="F171" s="390">
        <v>0</v>
      </c>
      <c r="G171" s="390"/>
      <c r="H171" s="390">
        <v>0</v>
      </c>
      <c r="I171" s="390"/>
      <c r="J171" s="390">
        <v>0</v>
      </c>
      <c r="K171" s="390"/>
      <c r="L171" s="390">
        <v>0</v>
      </c>
      <c r="M171" s="390"/>
      <c r="N171" s="390">
        <v>0</v>
      </c>
      <c r="O171" s="391"/>
      <c r="P171" s="262"/>
      <c r="Q171" s="289"/>
      <c r="R171" s="289"/>
      <c r="S171" s="290"/>
      <c r="T171" s="290"/>
      <c r="U171" s="262"/>
      <c r="V171" s="404"/>
      <c r="W171" s="405"/>
      <c r="X171" s="405"/>
      <c r="Y171" s="405"/>
      <c r="Z171" s="405"/>
      <c r="AA171" s="405"/>
      <c r="AB171" s="405"/>
      <c r="AC171" s="405"/>
      <c r="AD171" s="405"/>
      <c r="AE171" s="406"/>
    </row>
    <row r="172" spans="2:31" hidden="1" x14ac:dyDescent="0.25">
      <c r="B172" s="396" t="s">
        <v>59</v>
      </c>
      <c r="C172" s="397"/>
      <c r="D172" s="390">
        <v>0</v>
      </c>
      <c r="E172" s="390"/>
      <c r="F172" s="390">
        <v>0</v>
      </c>
      <c r="G172" s="390"/>
      <c r="H172" s="390">
        <v>0</v>
      </c>
      <c r="I172" s="390"/>
      <c r="J172" s="390">
        <v>0</v>
      </c>
      <c r="K172" s="390"/>
      <c r="L172" s="390">
        <v>0</v>
      </c>
      <c r="M172" s="390"/>
      <c r="N172" s="390">
        <v>0</v>
      </c>
      <c r="O172" s="391"/>
      <c r="P172" s="262"/>
      <c r="Q172" s="289"/>
      <c r="R172" s="289"/>
      <c r="S172" s="290"/>
      <c r="T172" s="290"/>
      <c r="U172" s="262"/>
      <c r="V172" s="404"/>
      <c r="W172" s="405"/>
      <c r="X172" s="405"/>
      <c r="Y172" s="405"/>
      <c r="Z172" s="405"/>
      <c r="AA172" s="405"/>
      <c r="AB172" s="405"/>
      <c r="AC172" s="405"/>
      <c r="AD172" s="405"/>
      <c r="AE172" s="406"/>
    </row>
    <row r="173" spans="2:31" hidden="1" x14ac:dyDescent="0.25">
      <c r="B173" s="396" t="s">
        <v>59</v>
      </c>
      <c r="C173" s="397"/>
      <c r="D173" s="390">
        <v>0</v>
      </c>
      <c r="E173" s="390"/>
      <c r="F173" s="390">
        <v>0</v>
      </c>
      <c r="G173" s="390"/>
      <c r="H173" s="390">
        <v>0</v>
      </c>
      <c r="I173" s="390"/>
      <c r="J173" s="390">
        <v>0</v>
      </c>
      <c r="K173" s="390"/>
      <c r="L173" s="390">
        <v>0</v>
      </c>
      <c r="M173" s="390"/>
      <c r="N173" s="390">
        <v>0</v>
      </c>
      <c r="O173" s="391"/>
      <c r="P173" s="262"/>
      <c r="Q173" s="289"/>
      <c r="R173" s="289"/>
      <c r="S173" s="290"/>
      <c r="T173" s="290"/>
      <c r="U173" s="262"/>
      <c r="V173" s="404"/>
      <c r="W173" s="405"/>
      <c r="X173" s="405"/>
      <c r="Y173" s="405"/>
      <c r="Z173" s="405"/>
      <c r="AA173" s="405"/>
      <c r="AB173" s="405"/>
      <c r="AC173" s="405"/>
      <c r="AD173" s="405"/>
      <c r="AE173" s="406"/>
    </row>
    <row r="174" spans="2:31" hidden="1" x14ac:dyDescent="0.25">
      <c r="B174" s="396" t="s">
        <v>59</v>
      </c>
      <c r="C174" s="397"/>
      <c r="D174" s="390">
        <v>0</v>
      </c>
      <c r="E174" s="390"/>
      <c r="F174" s="390">
        <v>0</v>
      </c>
      <c r="G174" s="390"/>
      <c r="H174" s="390">
        <v>0</v>
      </c>
      <c r="I174" s="390"/>
      <c r="J174" s="390">
        <v>0</v>
      </c>
      <c r="K174" s="390"/>
      <c r="L174" s="390">
        <v>0</v>
      </c>
      <c r="M174" s="390"/>
      <c r="N174" s="390">
        <v>0</v>
      </c>
      <c r="O174" s="391"/>
      <c r="P174" s="262"/>
      <c r="Q174" s="289"/>
      <c r="R174" s="289"/>
      <c r="S174" s="290"/>
      <c r="T174" s="290"/>
      <c r="U174" s="262"/>
      <c r="V174" s="404"/>
      <c r="W174" s="405"/>
      <c r="X174" s="405"/>
      <c r="Y174" s="405"/>
      <c r="Z174" s="405"/>
      <c r="AA174" s="405"/>
      <c r="AB174" s="405"/>
      <c r="AC174" s="405"/>
      <c r="AD174" s="405"/>
      <c r="AE174" s="406"/>
    </row>
    <row r="175" spans="2:31" hidden="1" x14ac:dyDescent="0.25">
      <c r="B175" s="396" t="s">
        <v>59</v>
      </c>
      <c r="C175" s="397"/>
      <c r="D175" s="390">
        <v>0</v>
      </c>
      <c r="E175" s="390"/>
      <c r="F175" s="390">
        <v>0</v>
      </c>
      <c r="G175" s="390"/>
      <c r="H175" s="390">
        <v>0</v>
      </c>
      <c r="I175" s="390"/>
      <c r="J175" s="390">
        <v>0</v>
      </c>
      <c r="K175" s="390"/>
      <c r="L175" s="390">
        <v>0</v>
      </c>
      <c r="M175" s="390"/>
      <c r="N175" s="390">
        <v>0</v>
      </c>
      <c r="O175" s="391"/>
      <c r="P175" s="262"/>
      <c r="Q175" s="289"/>
      <c r="R175" s="289"/>
      <c r="S175" s="290"/>
      <c r="T175" s="290"/>
      <c r="U175" s="262"/>
      <c r="V175" s="404"/>
      <c r="W175" s="405"/>
      <c r="X175" s="405"/>
      <c r="Y175" s="405"/>
      <c r="Z175" s="405"/>
      <c r="AA175" s="405"/>
      <c r="AB175" s="405"/>
      <c r="AC175" s="405"/>
      <c r="AD175" s="405"/>
      <c r="AE175" s="406"/>
    </row>
    <row r="176" spans="2:31" hidden="1" x14ac:dyDescent="0.25">
      <c r="B176" s="396" t="s">
        <v>59</v>
      </c>
      <c r="C176" s="397"/>
      <c r="D176" s="390">
        <v>0</v>
      </c>
      <c r="E176" s="390"/>
      <c r="F176" s="390">
        <v>0</v>
      </c>
      <c r="G176" s="390"/>
      <c r="H176" s="390">
        <v>0</v>
      </c>
      <c r="I176" s="390"/>
      <c r="J176" s="390">
        <v>0</v>
      </c>
      <c r="K176" s="390"/>
      <c r="L176" s="390">
        <v>0</v>
      </c>
      <c r="M176" s="390"/>
      <c r="N176" s="390">
        <v>0</v>
      </c>
      <c r="O176" s="391"/>
      <c r="P176" s="262"/>
      <c r="Q176" s="289"/>
      <c r="R176" s="289"/>
      <c r="S176" s="290"/>
      <c r="T176" s="290"/>
      <c r="U176" s="262"/>
      <c r="V176" s="404"/>
      <c r="W176" s="405"/>
      <c r="X176" s="405"/>
      <c r="Y176" s="405"/>
      <c r="Z176" s="405"/>
      <c r="AA176" s="405"/>
      <c r="AB176" s="405"/>
      <c r="AC176" s="405"/>
      <c r="AD176" s="405"/>
      <c r="AE176" s="406"/>
    </row>
    <row r="177" spans="2:31" hidden="1" x14ac:dyDescent="0.25">
      <c r="B177" s="396" t="s">
        <v>59</v>
      </c>
      <c r="C177" s="397"/>
      <c r="D177" s="390">
        <v>0</v>
      </c>
      <c r="E177" s="390"/>
      <c r="F177" s="390">
        <v>0</v>
      </c>
      <c r="G177" s="390"/>
      <c r="H177" s="390">
        <v>0</v>
      </c>
      <c r="I177" s="390"/>
      <c r="J177" s="390">
        <v>0</v>
      </c>
      <c r="K177" s="390"/>
      <c r="L177" s="390">
        <v>0</v>
      </c>
      <c r="M177" s="390"/>
      <c r="N177" s="390">
        <v>0</v>
      </c>
      <c r="O177" s="391"/>
      <c r="P177" s="262"/>
      <c r="Q177" s="289"/>
      <c r="R177" s="289"/>
      <c r="S177" s="290"/>
      <c r="T177" s="290"/>
      <c r="U177" s="262"/>
      <c r="V177" s="404"/>
      <c r="W177" s="405"/>
      <c r="X177" s="405"/>
      <c r="Y177" s="405"/>
      <c r="Z177" s="405"/>
      <c r="AA177" s="405"/>
      <c r="AB177" s="405"/>
      <c r="AC177" s="405"/>
      <c r="AD177" s="405"/>
      <c r="AE177" s="406"/>
    </row>
    <row r="178" spans="2:31" hidden="1" x14ac:dyDescent="0.25">
      <c r="B178" s="396" t="s">
        <v>59</v>
      </c>
      <c r="C178" s="397"/>
      <c r="D178" s="390">
        <v>0</v>
      </c>
      <c r="E178" s="390"/>
      <c r="F178" s="390">
        <v>0</v>
      </c>
      <c r="G178" s="390"/>
      <c r="H178" s="390">
        <v>0</v>
      </c>
      <c r="I178" s="390"/>
      <c r="J178" s="390">
        <v>0</v>
      </c>
      <c r="K178" s="390"/>
      <c r="L178" s="390">
        <v>0</v>
      </c>
      <c r="M178" s="390"/>
      <c r="N178" s="390">
        <v>0</v>
      </c>
      <c r="O178" s="391"/>
      <c r="P178" s="262"/>
      <c r="Q178" s="289"/>
      <c r="R178" s="289"/>
      <c r="S178" s="290"/>
      <c r="T178" s="290"/>
      <c r="U178" s="262"/>
      <c r="V178" s="404"/>
      <c r="W178" s="405"/>
      <c r="X178" s="405"/>
      <c r="Y178" s="405"/>
      <c r="Z178" s="405"/>
      <c r="AA178" s="405"/>
      <c r="AB178" s="405"/>
      <c r="AC178" s="405"/>
      <c r="AD178" s="405"/>
      <c r="AE178" s="406"/>
    </row>
    <row r="179" spans="2:31" hidden="1" x14ac:dyDescent="0.25">
      <c r="B179" s="396" t="s">
        <v>59</v>
      </c>
      <c r="C179" s="397"/>
      <c r="D179" s="390">
        <v>0</v>
      </c>
      <c r="E179" s="390"/>
      <c r="F179" s="390">
        <v>0</v>
      </c>
      <c r="G179" s="390"/>
      <c r="H179" s="390">
        <v>0</v>
      </c>
      <c r="I179" s="390"/>
      <c r="J179" s="390">
        <v>0</v>
      </c>
      <c r="K179" s="390"/>
      <c r="L179" s="390">
        <v>0</v>
      </c>
      <c r="M179" s="390"/>
      <c r="N179" s="390">
        <v>0</v>
      </c>
      <c r="O179" s="391"/>
      <c r="P179" s="262"/>
      <c r="Q179" s="289"/>
      <c r="R179" s="289"/>
      <c r="S179" s="290"/>
      <c r="T179" s="290"/>
      <c r="U179" s="262"/>
      <c r="V179" s="404"/>
      <c r="W179" s="405"/>
      <c r="X179" s="405"/>
      <c r="Y179" s="405"/>
      <c r="Z179" s="405"/>
      <c r="AA179" s="405"/>
      <c r="AB179" s="405"/>
      <c r="AC179" s="405"/>
      <c r="AD179" s="405"/>
      <c r="AE179" s="406"/>
    </row>
    <row r="180" spans="2:31" hidden="1" x14ac:dyDescent="0.25">
      <c r="B180" s="392" t="s">
        <v>59</v>
      </c>
      <c r="C180" s="393"/>
      <c r="D180" s="394">
        <v>0</v>
      </c>
      <c r="E180" s="394"/>
      <c r="F180" s="394">
        <v>0</v>
      </c>
      <c r="G180" s="394"/>
      <c r="H180" s="394">
        <v>0</v>
      </c>
      <c r="I180" s="394"/>
      <c r="J180" s="394">
        <v>0</v>
      </c>
      <c r="K180" s="394"/>
      <c r="L180" s="394">
        <v>0</v>
      </c>
      <c r="M180" s="394"/>
      <c r="N180" s="394">
        <v>0</v>
      </c>
      <c r="O180" s="395"/>
      <c r="Q180" s="289"/>
      <c r="R180" s="289"/>
      <c r="S180" s="290"/>
      <c r="T180" s="290"/>
      <c r="V180" s="407"/>
      <c r="W180" s="408"/>
      <c r="X180" s="408"/>
      <c r="Y180" s="408"/>
      <c r="Z180" s="408"/>
      <c r="AA180" s="408"/>
      <c r="AB180" s="408"/>
      <c r="AC180" s="408"/>
      <c r="AD180" s="408"/>
      <c r="AE180" s="409"/>
    </row>
    <row r="181" spans="2:31" hidden="1" x14ac:dyDescent="0.25">
      <c r="B181" s="272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  <c r="Y181" s="258"/>
      <c r="Z181" s="258"/>
      <c r="AA181" s="258"/>
      <c r="AB181" s="258"/>
      <c r="AC181" s="258"/>
      <c r="AD181" s="258"/>
      <c r="AE181" s="273"/>
    </row>
    <row r="182" spans="2:31" hidden="1" x14ac:dyDescent="0.25"/>
  </sheetData>
  <sheetProtection algorithmName="SHA-512" hashValue="FR6tPGb/WyU6QlnmGIf+R+CoT+yPEmHV2hoO7PCLF7vWQihbSMSuGQcil5aaS2ZDRPFp9xXxmYVzVRGA17Trag==" saltValue="lVAJQbf3vk+mwzuKA+b6lQ==" spinCount="100000" sheet="1" objects="1" scenarios="1"/>
  <mergeCells count="1315">
    <mergeCell ref="E8:W8"/>
    <mergeCell ref="AC8:AE8"/>
    <mergeCell ref="E9:W9"/>
    <mergeCell ref="AB10:AC10"/>
    <mergeCell ref="B11:L11"/>
    <mergeCell ref="Q11:R11"/>
    <mergeCell ref="S11:W11"/>
    <mergeCell ref="AB11:AC11"/>
    <mergeCell ref="E5:W5"/>
    <mergeCell ref="AC5:AE5"/>
    <mergeCell ref="E6:G6"/>
    <mergeCell ref="Q6:W6"/>
    <mergeCell ref="AC6:AE6"/>
    <mergeCell ref="AC7:AE7"/>
    <mergeCell ref="X1:Y1"/>
    <mergeCell ref="Z1:AB1"/>
    <mergeCell ref="E3:L3"/>
    <mergeCell ref="Q3:W3"/>
    <mergeCell ref="Y3:AB4"/>
    <mergeCell ref="AC3:AE4"/>
    <mergeCell ref="E4:W4"/>
    <mergeCell ref="B18:L18"/>
    <mergeCell ref="Q18:W18"/>
    <mergeCell ref="Y18:AA18"/>
    <mergeCell ref="AB18:AC18"/>
    <mergeCell ref="AD18:AE18"/>
    <mergeCell ref="B19:L27"/>
    <mergeCell ref="Q19:V19"/>
    <mergeCell ref="Y19:AA19"/>
    <mergeCell ref="AB19:AC19"/>
    <mergeCell ref="AD19:AE19"/>
    <mergeCell ref="AB16:AC16"/>
    <mergeCell ref="AD16:AE16"/>
    <mergeCell ref="Q17:W17"/>
    <mergeCell ref="Y17:AA17"/>
    <mergeCell ref="AB17:AC17"/>
    <mergeCell ref="AD17:AE17"/>
    <mergeCell ref="B12:L17"/>
    <mergeCell ref="Q12:W14"/>
    <mergeCell ref="AB12:AC12"/>
    <mergeCell ref="AB14:AC14"/>
    <mergeCell ref="AD14:AE14"/>
    <mergeCell ref="Q15:S15"/>
    <mergeCell ref="Y15:AA15"/>
    <mergeCell ref="AB15:AC15"/>
    <mergeCell ref="AD15:AE15"/>
    <mergeCell ref="Y16:AA16"/>
    <mergeCell ref="Y24:AA24"/>
    <mergeCell ref="AB24:AC24"/>
    <mergeCell ref="AD24:AE24"/>
    <mergeCell ref="N25:V25"/>
    <mergeCell ref="Y25:AA25"/>
    <mergeCell ref="AB25:AC25"/>
    <mergeCell ref="AD25:AE25"/>
    <mergeCell ref="Y22:AA22"/>
    <mergeCell ref="AB22:AC22"/>
    <mergeCell ref="AD22:AE22"/>
    <mergeCell ref="Y23:AA23"/>
    <mergeCell ref="AB23:AC23"/>
    <mergeCell ref="AD23:AE23"/>
    <mergeCell ref="Y20:AA20"/>
    <mergeCell ref="AB20:AC20"/>
    <mergeCell ref="AD20:AE20"/>
    <mergeCell ref="Y21:AA21"/>
    <mergeCell ref="AB21:AC21"/>
    <mergeCell ref="AD21:AE21"/>
    <mergeCell ref="M33:Q33"/>
    <mergeCell ref="R33:S33"/>
    <mergeCell ref="T33:U33"/>
    <mergeCell ref="V33:W33"/>
    <mergeCell ref="X33:Y33"/>
    <mergeCell ref="M34:Q34"/>
    <mergeCell ref="R34:S34"/>
    <mergeCell ref="T34:U34"/>
    <mergeCell ref="V34:W34"/>
    <mergeCell ref="X34:Y34"/>
    <mergeCell ref="K32:L32"/>
    <mergeCell ref="M32:Q32"/>
    <mergeCell ref="R32:S32"/>
    <mergeCell ref="T32:U32"/>
    <mergeCell ref="V32:W32"/>
    <mergeCell ref="X32:Y32"/>
    <mergeCell ref="AD26:AE26"/>
    <mergeCell ref="N27:O27"/>
    <mergeCell ref="P27:R27"/>
    <mergeCell ref="B29:AE29"/>
    <mergeCell ref="R31:S31"/>
    <mergeCell ref="T31:U31"/>
    <mergeCell ref="V31:W31"/>
    <mergeCell ref="X31:Y31"/>
    <mergeCell ref="N26:O26"/>
    <mergeCell ref="P26:R26"/>
    <mergeCell ref="S26:T27"/>
    <mergeCell ref="U26:V27"/>
    <mergeCell ref="Y26:AA26"/>
    <mergeCell ref="AB26:AC26"/>
    <mergeCell ref="M38:Q38"/>
    <mergeCell ref="R38:S38"/>
    <mergeCell ref="T38:U38"/>
    <mergeCell ref="V38:W38"/>
    <mergeCell ref="X38:Y38"/>
    <mergeCell ref="M39:Q39"/>
    <mergeCell ref="R39:S39"/>
    <mergeCell ref="T39:U39"/>
    <mergeCell ref="V39:W39"/>
    <mergeCell ref="X39:Y39"/>
    <mergeCell ref="X36:Y36"/>
    <mergeCell ref="M37:Q37"/>
    <mergeCell ref="R37:S37"/>
    <mergeCell ref="T37:U37"/>
    <mergeCell ref="V37:W37"/>
    <mergeCell ref="X37:Y37"/>
    <mergeCell ref="L35:L46"/>
    <mergeCell ref="M35:Q35"/>
    <mergeCell ref="R35:S35"/>
    <mergeCell ref="T35:U35"/>
    <mergeCell ref="V35:W35"/>
    <mergeCell ref="X35:Y35"/>
    <mergeCell ref="M36:Q36"/>
    <mergeCell ref="R36:S36"/>
    <mergeCell ref="T36:U36"/>
    <mergeCell ref="V36:W36"/>
    <mergeCell ref="M42:Q42"/>
    <mergeCell ref="R42:S42"/>
    <mergeCell ref="T42:U42"/>
    <mergeCell ref="V42:W42"/>
    <mergeCell ref="X42:Y42"/>
    <mergeCell ref="M43:Q43"/>
    <mergeCell ref="R43:S43"/>
    <mergeCell ref="T43:U43"/>
    <mergeCell ref="V43:W43"/>
    <mergeCell ref="X43:Y43"/>
    <mergeCell ref="M40:Q40"/>
    <mergeCell ref="R40:S40"/>
    <mergeCell ref="T40:U40"/>
    <mergeCell ref="V40:W40"/>
    <mergeCell ref="X40:Y40"/>
    <mergeCell ref="M41:Q41"/>
    <mergeCell ref="R41:S41"/>
    <mergeCell ref="T41:U41"/>
    <mergeCell ref="V41:W41"/>
    <mergeCell ref="X41:Y41"/>
    <mergeCell ref="M46:Q46"/>
    <mergeCell ref="R46:S46"/>
    <mergeCell ref="T46:U46"/>
    <mergeCell ref="V46:W46"/>
    <mergeCell ref="X46:Y46"/>
    <mergeCell ref="K47:L47"/>
    <mergeCell ref="M47:Q47"/>
    <mergeCell ref="R47:S47"/>
    <mergeCell ref="T47:U47"/>
    <mergeCell ref="V47:W47"/>
    <mergeCell ref="M44:Q44"/>
    <mergeCell ref="R44:S44"/>
    <mergeCell ref="T44:U44"/>
    <mergeCell ref="V44:W44"/>
    <mergeCell ref="X44:Y44"/>
    <mergeCell ref="M45:Q45"/>
    <mergeCell ref="R45:S45"/>
    <mergeCell ref="T45:U45"/>
    <mergeCell ref="V45:W45"/>
    <mergeCell ref="X45:Y45"/>
    <mergeCell ref="M51:Q51"/>
    <mergeCell ref="R51:S51"/>
    <mergeCell ref="T51:U51"/>
    <mergeCell ref="V51:W51"/>
    <mergeCell ref="X51:Y51"/>
    <mergeCell ref="B54:AE54"/>
    <mergeCell ref="M49:Q49"/>
    <mergeCell ref="R49:S49"/>
    <mergeCell ref="T49:U49"/>
    <mergeCell ref="V49:W49"/>
    <mergeCell ref="X49:Y49"/>
    <mergeCell ref="M50:Q50"/>
    <mergeCell ref="R50:S50"/>
    <mergeCell ref="T50:U50"/>
    <mergeCell ref="V50:W50"/>
    <mergeCell ref="X50:Y50"/>
    <mergeCell ref="X47:Y47"/>
    <mergeCell ref="M48:Q48"/>
    <mergeCell ref="R48:S48"/>
    <mergeCell ref="T48:U48"/>
    <mergeCell ref="V48:W48"/>
    <mergeCell ref="X48:Y48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D55:E55"/>
    <mergeCell ref="F55:G55"/>
    <mergeCell ref="H55:I55"/>
    <mergeCell ref="J55:K55"/>
    <mergeCell ref="L55:M55"/>
    <mergeCell ref="N55:O55"/>
    <mergeCell ref="B58:C58"/>
    <mergeCell ref="D58:E58"/>
    <mergeCell ref="F58:G58"/>
    <mergeCell ref="H58:I58"/>
    <mergeCell ref="J58:K58"/>
    <mergeCell ref="L58:M58"/>
    <mergeCell ref="T57:U57"/>
    <mergeCell ref="V57:W57"/>
    <mergeCell ref="X57:Y57"/>
    <mergeCell ref="Z57:AA57"/>
    <mergeCell ref="AB57:AC57"/>
    <mergeCell ref="AD57:AE57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R57:S57"/>
    <mergeCell ref="R56:S56"/>
    <mergeCell ref="T56:U56"/>
    <mergeCell ref="V56:W56"/>
    <mergeCell ref="X56:Y56"/>
    <mergeCell ref="Z56:AA56"/>
    <mergeCell ref="AB56:AC56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P60:Q60"/>
    <mergeCell ref="P59:Q59"/>
    <mergeCell ref="R59:S59"/>
    <mergeCell ref="T59:U59"/>
    <mergeCell ref="V59:W59"/>
    <mergeCell ref="X59:Y59"/>
    <mergeCell ref="Z59:AA59"/>
    <mergeCell ref="Z58:AA58"/>
    <mergeCell ref="AB58:AC58"/>
    <mergeCell ref="AD58:AE58"/>
    <mergeCell ref="B59:C59"/>
    <mergeCell ref="D59:E59"/>
    <mergeCell ref="F59:G59"/>
    <mergeCell ref="H59:I59"/>
    <mergeCell ref="J59:K59"/>
    <mergeCell ref="L59:M59"/>
    <mergeCell ref="N59:O59"/>
    <mergeCell ref="N58:O58"/>
    <mergeCell ref="P58:Q58"/>
    <mergeCell ref="R58:S58"/>
    <mergeCell ref="T58:U58"/>
    <mergeCell ref="V58:W58"/>
    <mergeCell ref="X58:Y58"/>
    <mergeCell ref="B62:C62"/>
    <mergeCell ref="D62:E62"/>
    <mergeCell ref="F62:G62"/>
    <mergeCell ref="H62:I62"/>
    <mergeCell ref="J62:K62"/>
    <mergeCell ref="L62:M62"/>
    <mergeCell ref="T61:U61"/>
    <mergeCell ref="V61:W61"/>
    <mergeCell ref="X61:Y61"/>
    <mergeCell ref="Z61:AA61"/>
    <mergeCell ref="AB61:AC61"/>
    <mergeCell ref="AD61:AE61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R60:S60"/>
    <mergeCell ref="T60:U60"/>
    <mergeCell ref="V60:W60"/>
    <mergeCell ref="X60:Y60"/>
    <mergeCell ref="Z60:AA60"/>
    <mergeCell ref="AB60:AC60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P64:Q64"/>
    <mergeCell ref="P63:Q63"/>
    <mergeCell ref="R63:S63"/>
    <mergeCell ref="T63:U63"/>
    <mergeCell ref="V63:W63"/>
    <mergeCell ref="X63:Y63"/>
    <mergeCell ref="Z63:AA63"/>
    <mergeCell ref="Z62:AA62"/>
    <mergeCell ref="AB62:AC62"/>
    <mergeCell ref="AD62:AE62"/>
    <mergeCell ref="B63:C63"/>
    <mergeCell ref="D63:E63"/>
    <mergeCell ref="F63:G63"/>
    <mergeCell ref="H63:I63"/>
    <mergeCell ref="J63:K63"/>
    <mergeCell ref="L63:M63"/>
    <mergeCell ref="N63:O63"/>
    <mergeCell ref="N62:O62"/>
    <mergeCell ref="P62:Q62"/>
    <mergeCell ref="R62:S62"/>
    <mergeCell ref="T62:U62"/>
    <mergeCell ref="V62:W62"/>
    <mergeCell ref="X62:Y62"/>
    <mergeCell ref="B66:C66"/>
    <mergeCell ref="D66:E66"/>
    <mergeCell ref="F66:G66"/>
    <mergeCell ref="H66:I66"/>
    <mergeCell ref="J66:K66"/>
    <mergeCell ref="L66:M66"/>
    <mergeCell ref="T65:U65"/>
    <mergeCell ref="V65:W65"/>
    <mergeCell ref="X65:Y65"/>
    <mergeCell ref="Z65:AA65"/>
    <mergeCell ref="AB65:AC65"/>
    <mergeCell ref="AD65:AE65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R65:S65"/>
    <mergeCell ref="R64:S64"/>
    <mergeCell ref="T64:U64"/>
    <mergeCell ref="V64:W64"/>
    <mergeCell ref="X64:Y64"/>
    <mergeCell ref="Z64:AA64"/>
    <mergeCell ref="AB64:AC64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P68:Q68"/>
    <mergeCell ref="P67:Q67"/>
    <mergeCell ref="R67:S67"/>
    <mergeCell ref="T67:U67"/>
    <mergeCell ref="V67:W67"/>
    <mergeCell ref="X67:Y67"/>
    <mergeCell ref="Z67:AA67"/>
    <mergeCell ref="Z66:AA66"/>
    <mergeCell ref="AB66:AC66"/>
    <mergeCell ref="AD66:AE66"/>
    <mergeCell ref="B67:C67"/>
    <mergeCell ref="D67:E67"/>
    <mergeCell ref="F67:G67"/>
    <mergeCell ref="H67:I67"/>
    <mergeCell ref="J67:K67"/>
    <mergeCell ref="L67:M67"/>
    <mergeCell ref="N67:O67"/>
    <mergeCell ref="N66:O66"/>
    <mergeCell ref="P66:Q66"/>
    <mergeCell ref="R66:S66"/>
    <mergeCell ref="T66:U66"/>
    <mergeCell ref="V66:W66"/>
    <mergeCell ref="X66:Y66"/>
    <mergeCell ref="B70:C70"/>
    <mergeCell ref="D70:E70"/>
    <mergeCell ref="F70:G70"/>
    <mergeCell ref="H70:I70"/>
    <mergeCell ref="J70:K70"/>
    <mergeCell ref="L70:M70"/>
    <mergeCell ref="T69:U69"/>
    <mergeCell ref="V69:W69"/>
    <mergeCell ref="X69:Y69"/>
    <mergeCell ref="Z69:AA69"/>
    <mergeCell ref="AB69:AC69"/>
    <mergeCell ref="AD69:AE69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R69:S69"/>
    <mergeCell ref="R68:S68"/>
    <mergeCell ref="T68:U68"/>
    <mergeCell ref="V68:W68"/>
    <mergeCell ref="X68:Y68"/>
    <mergeCell ref="Z68:AA68"/>
    <mergeCell ref="AB68:AC68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P72:Q72"/>
    <mergeCell ref="P71:Q71"/>
    <mergeCell ref="R71:S71"/>
    <mergeCell ref="T71:U71"/>
    <mergeCell ref="V71:W71"/>
    <mergeCell ref="X71:Y71"/>
    <mergeCell ref="Z71:AA71"/>
    <mergeCell ref="Z70:AA70"/>
    <mergeCell ref="AB70:AC70"/>
    <mergeCell ref="AD70:AE70"/>
    <mergeCell ref="B71:C71"/>
    <mergeCell ref="D71:E71"/>
    <mergeCell ref="F71:G71"/>
    <mergeCell ref="H71:I71"/>
    <mergeCell ref="J71:K71"/>
    <mergeCell ref="L71:M71"/>
    <mergeCell ref="N71:O71"/>
    <mergeCell ref="N70:O70"/>
    <mergeCell ref="P70:Q70"/>
    <mergeCell ref="R70:S70"/>
    <mergeCell ref="T70:U70"/>
    <mergeCell ref="V70:W70"/>
    <mergeCell ref="X70:Y70"/>
    <mergeCell ref="B74:C74"/>
    <mergeCell ref="D74:E74"/>
    <mergeCell ref="F74:G74"/>
    <mergeCell ref="H74:I74"/>
    <mergeCell ref="J74:K74"/>
    <mergeCell ref="L74:M74"/>
    <mergeCell ref="T73:U73"/>
    <mergeCell ref="V73:W73"/>
    <mergeCell ref="X73:Y73"/>
    <mergeCell ref="Z73:AA73"/>
    <mergeCell ref="AB73:AC73"/>
    <mergeCell ref="AD73:AE73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R73:S73"/>
    <mergeCell ref="R72:S72"/>
    <mergeCell ref="T72:U72"/>
    <mergeCell ref="V72:W72"/>
    <mergeCell ref="X72:Y72"/>
    <mergeCell ref="Z72:AA72"/>
    <mergeCell ref="AB72:AC72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P76:Q76"/>
    <mergeCell ref="P75:Q75"/>
    <mergeCell ref="R75:S75"/>
    <mergeCell ref="T75:U75"/>
    <mergeCell ref="V75:W75"/>
    <mergeCell ref="X75:Y75"/>
    <mergeCell ref="Z75:AA75"/>
    <mergeCell ref="Z74:AA74"/>
    <mergeCell ref="AB74:AC74"/>
    <mergeCell ref="AD74:AE74"/>
    <mergeCell ref="B75:C75"/>
    <mergeCell ref="D75:E75"/>
    <mergeCell ref="F75:G75"/>
    <mergeCell ref="H75:I75"/>
    <mergeCell ref="J75:K75"/>
    <mergeCell ref="L75:M75"/>
    <mergeCell ref="N75:O75"/>
    <mergeCell ref="N74:O74"/>
    <mergeCell ref="P74:Q74"/>
    <mergeCell ref="R74:S74"/>
    <mergeCell ref="T74:U74"/>
    <mergeCell ref="V74:W74"/>
    <mergeCell ref="X74:Y74"/>
    <mergeCell ref="B78:C78"/>
    <mergeCell ref="D78:E78"/>
    <mergeCell ref="F78:G78"/>
    <mergeCell ref="H78:I78"/>
    <mergeCell ref="J78:K78"/>
    <mergeCell ref="L78:M78"/>
    <mergeCell ref="T77:U77"/>
    <mergeCell ref="V77:W77"/>
    <mergeCell ref="X77:Y77"/>
    <mergeCell ref="Z77:AA77"/>
    <mergeCell ref="AB77:AC77"/>
    <mergeCell ref="AD77:AE77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R77:S77"/>
    <mergeCell ref="R76:S76"/>
    <mergeCell ref="T76:U76"/>
    <mergeCell ref="V76:W76"/>
    <mergeCell ref="X76:Y76"/>
    <mergeCell ref="Z76:AA76"/>
    <mergeCell ref="AB76:AC76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P80:Q80"/>
    <mergeCell ref="P79:Q79"/>
    <mergeCell ref="R79:S79"/>
    <mergeCell ref="T79:U79"/>
    <mergeCell ref="V79:W79"/>
    <mergeCell ref="X79:Y79"/>
    <mergeCell ref="Z79:AA79"/>
    <mergeCell ref="Z78:AA78"/>
    <mergeCell ref="AB78:AC78"/>
    <mergeCell ref="AD78:AE78"/>
    <mergeCell ref="B79:C79"/>
    <mergeCell ref="D79:E79"/>
    <mergeCell ref="F79:G79"/>
    <mergeCell ref="H79:I79"/>
    <mergeCell ref="J79:K79"/>
    <mergeCell ref="L79:M79"/>
    <mergeCell ref="N79:O79"/>
    <mergeCell ref="N78:O78"/>
    <mergeCell ref="P78:Q78"/>
    <mergeCell ref="R78:S78"/>
    <mergeCell ref="T78:U78"/>
    <mergeCell ref="V78:W78"/>
    <mergeCell ref="X78:Y78"/>
    <mergeCell ref="T81:U81"/>
    <mergeCell ref="V81:W81"/>
    <mergeCell ref="X81:Y81"/>
    <mergeCell ref="Z81:AA81"/>
    <mergeCell ref="AB81:AC81"/>
    <mergeCell ref="AD81:AE81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R81:S81"/>
    <mergeCell ref="R80:S80"/>
    <mergeCell ref="T80:U80"/>
    <mergeCell ref="V80:W80"/>
    <mergeCell ref="X80:Y80"/>
    <mergeCell ref="Z80:AA80"/>
    <mergeCell ref="AB80:AC80"/>
    <mergeCell ref="AD85:AE85"/>
    <mergeCell ref="B86:C86"/>
    <mergeCell ref="D86:E86"/>
    <mergeCell ref="F86:G86"/>
    <mergeCell ref="H86:I86"/>
    <mergeCell ref="J86:L86"/>
    <mergeCell ref="M86:S86"/>
    <mergeCell ref="T86:Y86"/>
    <mergeCell ref="Z86:AA86"/>
    <mergeCell ref="AB86:AC86"/>
    <mergeCell ref="B83:AE83"/>
    <mergeCell ref="B85:C85"/>
    <mergeCell ref="D85:E85"/>
    <mergeCell ref="F85:G85"/>
    <mergeCell ref="H85:I85"/>
    <mergeCell ref="J85:L85"/>
    <mergeCell ref="M85:S85"/>
    <mergeCell ref="T85:Y85"/>
    <mergeCell ref="Z85:AA85"/>
    <mergeCell ref="AB85:AC85"/>
    <mergeCell ref="AD87:AE87"/>
    <mergeCell ref="B88:C88"/>
    <mergeCell ref="D88:E88"/>
    <mergeCell ref="F88:G88"/>
    <mergeCell ref="H88:I88"/>
    <mergeCell ref="J88:L88"/>
    <mergeCell ref="M88:S88"/>
    <mergeCell ref="T88:Y88"/>
    <mergeCell ref="Z88:AA88"/>
    <mergeCell ref="AB88:AC88"/>
    <mergeCell ref="AD86:AE86"/>
    <mergeCell ref="B87:C87"/>
    <mergeCell ref="D87:E87"/>
    <mergeCell ref="F87:G87"/>
    <mergeCell ref="H87:I87"/>
    <mergeCell ref="J87:L87"/>
    <mergeCell ref="M87:S87"/>
    <mergeCell ref="T87:Y87"/>
    <mergeCell ref="Z87:AA87"/>
    <mergeCell ref="AB87:AC87"/>
    <mergeCell ref="AD89:AE89"/>
    <mergeCell ref="B90:C90"/>
    <mergeCell ref="D90:E90"/>
    <mergeCell ref="F90:G90"/>
    <mergeCell ref="H90:I90"/>
    <mergeCell ref="J90:L90"/>
    <mergeCell ref="M90:S90"/>
    <mergeCell ref="T90:Y90"/>
    <mergeCell ref="Z90:AA90"/>
    <mergeCell ref="AB90:AC90"/>
    <mergeCell ref="AD88:AE88"/>
    <mergeCell ref="B89:C89"/>
    <mergeCell ref="D89:E89"/>
    <mergeCell ref="F89:G89"/>
    <mergeCell ref="H89:I89"/>
    <mergeCell ref="J89:L89"/>
    <mergeCell ref="M89:S89"/>
    <mergeCell ref="T89:Y89"/>
    <mergeCell ref="Z89:AA89"/>
    <mergeCell ref="AB89:AC89"/>
    <mergeCell ref="AD91:AE91"/>
    <mergeCell ref="B92:C92"/>
    <mergeCell ref="D92:E92"/>
    <mergeCell ref="F92:G92"/>
    <mergeCell ref="H92:I92"/>
    <mergeCell ref="J92:L92"/>
    <mergeCell ref="M92:S92"/>
    <mergeCell ref="T92:Y92"/>
    <mergeCell ref="Z92:AA92"/>
    <mergeCell ref="AB92:AC92"/>
    <mergeCell ref="AD90:AE90"/>
    <mergeCell ref="B91:C91"/>
    <mergeCell ref="D91:E91"/>
    <mergeCell ref="F91:G91"/>
    <mergeCell ref="H91:I91"/>
    <mergeCell ref="J91:L91"/>
    <mergeCell ref="M91:S91"/>
    <mergeCell ref="T91:Y91"/>
    <mergeCell ref="Z91:AA91"/>
    <mergeCell ref="AB91:AC91"/>
    <mergeCell ref="AD93:AE93"/>
    <mergeCell ref="B94:C94"/>
    <mergeCell ref="D94:E94"/>
    <mergeCell ref="F94:G94"/>
    <mergeCell ref="H94:I94"/>
    <mergeCell ref="J94:L94"/>
    <mergeCell ref="M94:S94"/>
    <mergeCell ref="T94:Y94"/>
    <mergeCell ref="Z94:AA94"/>
    <mergeCell ref="AB94:AC94"/>
    <mergeCell ref="AD92:AE92"/>
    <mergeCell ref="B93:C93"/>
    <mergeCell ref="D93:E93"/>
    <mergeCell ref="F93:G93"/>
    <mergeCell ref="H93:I93"/>
    <mergeCell ref="J93:L93"/>
    <mergeCell ref="M93:S93"/>
    <mergeCell ref="T93:Y93"/>
    <mergeCell ref="Z93:AA93"/>
    <mergeCell ref="AB93:AC93"/>
    <mergeCell ref="AD95:AE95"/>
    <mergeCell ref="B96:C96"/>
    <mergeCell ref="D96:E96"/>
    <mergeCell ref="F96:G96"/>
    <mergeCell ref="H96:I96"/>
    <mergeCell ref="J96:L96"/>
    <mergeCell ref="M96:S96"/>
    <mergeCell ref="T96:Y96"/>
    <mergeCell ref="Z96:AA96"/>
    <mergeCell ref="AB96:AC96"/>
    <mergeCell ref="AD94:AE94"/>
    <mergeCell ref="B95:C95"/>
    <mergeCell ref="D95:E95"/>
    <mergeCell ref="F95:G95"/>
    <mergeCell ref="H95:I95"/>
    <mergeCell ref="J95:L95"/>
    <mergeCell ref="M95:S95"/>
    <mergeCell ref="T95:Y95"/>
    <mergeCell ref="Z95:AA95"/>
    <mergeCell ref="AB95:AC95"/>
    <mergeCell ref="AD97:AE97"/>
    <mergeCell ref="B98:C98"/>
    <mergeCell ref="D98:E98"/>
    <mergeCell ref="F98:G98"/>
    <mergeCell ref="H98:I98"/>
    <mergeCell ref="J98:L98"/>
    <mergeCell ref="M98:S98"/>
    <mergeCell ref="T98:Y98"/>
    <mergeCell ref="Z98:AA98"/>
    <mergeCell ref="AB98:AC98"/>
    <mergeCell ref="AD96:AE96"/>
    <mergeCell ref="B97:C97"/>
    <mergeCell ref="D97:E97"/>
    <mergeCell ref="F97:G97"/>
    <mergeCell ref="H97:I97"/>
    <mergeCell ref="J97:L97"/>
    <mergeCell ref="M97:S97"/>
    <mergeCell ref="T97:Y97"/>
    <mergeCell ref="Z97:AA97"/>
    <mergeCell ref="AB97:AC97"/>
    <mergeCell ref="AD99:AE99"/>
    <mergeCell ref="B100:C100"/>
    <mergeCell ref="D100:E100"/>
    <mergeCell ref="F100:G100"/>
    <mergeCell ref="H100:I100"/>
    <mergeCell ref="J100:L100"/>
    <mergeCell ref="M100:S100"/>
    <mergeCell ref="T100:Y100"/>
    <mergeCell ref="Z100:AA100"/>
    <mergeCell ref="AB100:AC100"/>
    <mergeCell ref="AD98:AE98"/>
    <mergeCell ref="B99:C99"/>
    <mergeCell ref="D99:E99"/>
    <mergeCell ref="F99:G99"/>
    <mergeCell ref="H99:I99"/>
    <mergeCell ref="J99:L99"/>
    <mergeCell ref="M99:S99"/>
    <mergeCell ref="T99:Y99"/>
    <mergeCell ref="Z99:AA99"/>
    <mergeCell ref="AB99:AC99"/>
    <mergeCell ref="AD101:AE101"/>
    <mergeCell ref="B102:C102"/>
    <mergeCell ref="D102:E102"/>
    <mergeCell ref="F102:G102"/>
    <mergeCell ref="H102:I102"/>
    <mergeCell ref="J102:L102"/>
    <mergeCell ref="M102:S102"/>
    <mergeCell ref="T102:Y102"/>
    <mergeCell ref="Z102:AA102"/>
    <mergeCell ref="AB102:AC102"/>
    <mergeCell ref="AD100:AE100"/>
    <mergeCell ref="B101:C101"/>
    <mergeCell ref="D101:E101"/>
    <mergeCell ref="F101:G101"/>
    <mergeCell ref="H101:I101"/>
    <mergeCell ref="J101:L101"/>
    <mergeCell ref="M101:S101"/>
    <mergeCell ref="T101:Y101"/>
    <mergeCell ref="Z101:AA101"/>
    <mergeCell ref="AB101:AC101"/>
    <mergeCell ref="AD103:AE103"/>
    <mergeCell ref="B104:C104"/>
    <mergeCell ref="D104:E104"/>
    <mergeCell ref="F104:G104"/>
    <mergeCell ref="H104:I104"/>
    <mergeCell ref="J104:L104"/>
    <mergeCell ref="M104:S104"/>
    <mergeCell ref="T104:Y104"/>
    <mergeCell ref="Z104:AA104"/>
    <mergeCell ref="AB104:AC104"/>
    <mergeCell ref="AD102:AE102"/>
    <mergeCell ref="B103:C103"/>
    <mergeCell ref="D103:E103"/>
    <mergeCell ref="F103:G103"/>
    <mergeCell ref="H103:I103"/>
    <mergeCell ref="J103:L103"/>
    <mergeCell ref="M103:S103"/>
    <mergeCell ref="T103:Y103"/>
    <mergeCell ref="Z103:AA103"/>
    <mergeCell ref="AB103:AC103"/>
    <mergeCell ref="AD105:AE105"/>
    <mergeCell ref="B106:C106"/>
    <mergeCell ref="D106:E106"/>
    <mergeCell ref="F106:G106"/>
    <mergeCell ref="H106:I106"/>
    <mergeCell ref="J106:L106"/>
    <mergeCell ref="M106:S106"/>
    <mergeCell ref="T106:Y106"/>
    <mergeCell ref="Z106:AA106"/>
    <mergeCell ref="AB106:AC106"/>
    <mergeCell ref="AD104:AE104"/>
    <mergeCell ref="B105:C105"/>
    <mergeCell ref="D105:E105"/>
    <mergeCell ref="F105:G105"/>
    <mergeCell ref="H105:I105"/>
    <mergeCell ref="J105:L105"/>
    <mergeCell ref="M105:S105"/>
    <mergeCell ref="T105:Y105"/>
    <mergeCell ref="Z105:AA105"/>
    <mergeCell ref="AB105:AC105"/>
    <mergeCell ref="AD107:AE107"/>
    <mergeCell ref="B108:C108"/>
    <mergeCell ref="D108:E108"/>
    <mergeCell ref="F108:G108"/>
    <mergeCell ref="H108:I108"/>
    <mergeCell ref="J108:L108"/>
    <mergeCell ref="M108:S108"/>
    <mergeCell ref="T108:Y108"/>
    <mergeCell ref="Z108:AA108"/>
    <mergeCell ref="AB108:AC108"/>
    <mergeCell ref="AD106:AE106"/>
    <mergeCell ref="B107:C107"/>
    <mergeCell ref="D107:E107"/>
    <mergeCell ref="F107:G107"/>
    <mergeCell ref="H107:I107"/>
    <mergeCell ref="J107:L107"/>
    <mergeCell ref="M107:S107"/>
    <mergeCell ref="T107:Y107"/>
    <mergeCell ref="Z107:AA107"/>
    <mergeCell ref="AB107:AC107"/>
    <mergeCell ref="AD109:AE109"/>
    <mergeCell ref="B110:C110"/>
    <mergeCell ref="D110:E110"/>
    <mergeCell ref="F110:G110"/>
    <mergeCell ref="H110:I110"/>
    <mergeCell ref="J110:L110"/>
    <mergeCell ref="M110:S110"/>
    <mergeCell ref="T110:Y110"/>
    <mergeCell ref="Z110:AA110"/>
    <mergeCell ref="AB110:AC110"/>
    <mergeCell ref="AD108:AE108"/>
    <mergeCell ref="B109:C109"/>
    <mergeCell ref="D109:E109"/>
    <mergeCell ref="F109:G109"/>
    <mergeCell ref="H109:I109"/>
    <mergeCell ref="J109:L109"/>
    <mergeCell ref="M109:S109"/>
    <mergeCell ref="T109:Y109"/>
    <mergeCell ref="Z109:AA109"/>
    <mergeCell ref="AB109:AC109"/>
    <mergeCell ref="AD111:AE111"/>
    <mergeCell ref="B112:C112"/>
    <mergeCell ref="D112:E112"/>
    <mergeCell ref="F112:G112"/>
    <mergeCell ref="H112:I112"/>
    <mergeCell ref="J112:L112"/>
    <mergeCell ref="M112:S112"/>
    <mergeCell ref="T112:Y112"/>
    <mergeCell ref="Z112:AA112"/>
    <mergeCell ref="AB112:AC112"/>
    <mergeCell ref="AD110:AE110"/>
    <mergeCell ref="B111:C111"/>
    <mergeCell ref="D111:E111"/>
    <mergeCell ref="F111:G111"/>
    <mergeCell ref="H111:I111"/>
    <mergeCell ref="J111:L111"/>
    <mergeCell ref="M111:S111"/>
    <mergeCell ref="T111:Y111"/>
    <mergeCell ref="Z111:AA111"/>
    <mergeCell ref="AB111:AC111"/>
    <mergeCell ref="AD113:AE113"/>
    <mergeCell ref="B114:C114"/>
    <mergeCell ref="D114:E114"/>
    <mergeCell ref="F114:G114"/>
    <mergeCell ref="H114:I114"/>
    <mergeCell ref="J114:L114"/>
    <mergeCell ref="M114:S114"/>
    <mergeCell ref="T114:Y114"/>
    <mergeCell ref="Z114:AA114"/>
    <mergeCell ref="AB114:AC114"/>
    <mergeCell ref="AD112:AE112"/>
    <mergeCell ref="B113:C113"/>
    <mergeCell ref="D113:E113"/>
    <mergeCell ref="F113:G113"/>
    <mergeCell ref="H113:I113"/>
    <mergeCell ref="J113:L113"/>
    <mergeCell ref="M113:S113"/>
    <mergeCell ref="T113:Y113"/>
    <mergeCell ref="Z113:AA113"/>
    <mergeCell ref="AB113:AC113"/>
    <mergeCell ref="AD115:AE115"/>
    <mergeCell ref="B116:I116"/>
    <mergeCell ref="J116:L116"/>
    <mergeCell ref="M116:S116"/>
    <mergeCell ref="T116:Y116"/>
    <mergeCell ref="Z116:AA116"/>
    <mergeCell ref="AB116:AC116"/>
    <mergeCell ref="AD116:AE116"/>
    <mergeCell ref="AD114:AE114"/>
    <mergeCell ref="B115:C115"/>
    <mergeCell ref="D115:E115"/>
    <mergeCell ref="F115:G115"/>
    <mergeCell ref="H115:I115"/>
    <mergeCell ref="J115:L115"/>
    <mergeCell ref="M115:S115"/>
    <mergeCell ref="T115:Y115"/>
    <mergeCell ref="Z115:AA115"/>
    <mergeCell ref="AB115:AC115"/>
    <mergeCell ref="AD119:AE119"/>
    <mergeCell ref="B120:C120"/>
    <mergeCell ref="D120:E120"/>
    <mergeCell ref="F120:G120"/>
    <mergeCell ref="H120:I120"/>
    <mergeCell ref="J120:L120"/>
    <mergeCell ref="M120:U120"/>
    <mergeCell ref="V120:AC120"/>
    <mergeCell ref="AD120:AE120"/>
    <mergeCell ref="Z117:AA117"/>
    <mergeCell ref="AB117:AC117"/>
    <mergeCell ref="AD117:AE117"/>
    <mergeCell ref="B119:C119"/>
    <mergeCell ref="D119:E119"/>
    <mergeCell ref="F119:G119"/>
    <mergeCell ref="H119:I119"/>
    <mergeCell ref="J119:L119"/>
    <mergeCell ref="M119:U119"/>
    <mergeCell ref="V119:AC119"/>
    <mergeCell ref="V123:AC123"/>
    <mergeCell ref="AD123:AE123"/>
    <mergeCell ref="B124:C124"/>
    <mergeCell ref="D124:E124"/>
    <mergeCell ref="F124:G124"/>
    <mergeCell ref="H124:I124"/>
    <mergeCell ref="J124:L124"/>
    <mergeCell ref="M124:U124"/>
    <mergeCell ref="V124:AC124"/>
    <mergeCell ref="AD124:AE124"/>
    <mergeCell ref="B123:C123"/>
    <mergeCell ref="D123:E123"/>
    <mergeCell ref="F123:G123"/>
    <mergeCell ref="H123:I123"/>
    <mergeCell ref="J123:L123"/>
    <mergeCell ref="M123:U123"/>
    <mergeCell ref="V121:AC121"/>
    <mergeCell ref="AD121:AE121"/>
    <mergeCell ref="B122:C122"/>
    <mergeCell ref="D122:E122"/>
    <mergeCell ref="F122:G122"/>
    <mergeCell ref="H122:I122"/>
    <mergeCell ref="J122:L122"/>
    <mergeCell ref="M122:U122"/>
    <mergeCell ref="V122:AC122"/>
    <mergeCell ref="AD122:AE122"/>
    <mergeCell ref="B121:C121"/>
    <mergeCell ref="D121:E121"/>
    <mergeCell ref="F121:G121"/>
    <mergeCell ref="H121:I121"/>
    <mergeCell ref="J121:L121"/>
    <mergeCell ref="M121:U121"/>
    <mergeCell ref="V127:AC127"/>
    <mergeCell ref="AD127:AE127"/>
    <mergeCell ref="B128:C128"/>
    <mergeCell ref="D128:E128"/>
    <mergeCell ref="F128:G128"/>
    <mergeCell ref="H128:I128"/>
    <mergeCell ref="J128:L128"/>
    <mergeCell ref="M128:U128"/>
    <mergeCell ref="V128:AC128"/>
    <mergeCell ref="AD128:AE128"/>
    <mergeCell ref="B127:C127"/>
    <mergeCell ref="D127:E127"/>
    <mergeCell ref="F127:G127"/>
    <mergeCell ref="H127:I127"/>
    <mergeCell ref="J127:L127"/>
    <mergeCell ref="M127:U127"/>
    <mergeCell ref="V125:AC125"/>
    <mergeCell ref="AD125:AE125"/>
    <mergeCell ref="B126:C126"/>
    <mergeCell ref="D126:E126"/>
    <mergeCell ref="F126:G126"/>
    <mergeCell ref="H126:I126"/>
    <mergeCell ref="J126:L126"/>
    <mergeCell ref="M126:U126"/>
    <mergeCell ref="V126:AC126"/>
    <mergeCell ref="AD126:AE126"/>
    <mergeCell ref="B125:C125"/>
    <mergeCell ref="D125:E125"/>
    <mergeCell ref="F125:G125"/>
    <mergeCell ref="H125:I125"/>
    <mergeCell ref="J125:L125"/>
    <mergeCell ref="M125:U125"/>
    <mergeCell ref="V131:AC131"/>
    <mergeCell ref="AD131:AE131"/>
    <mergeCell ref="B132:C132"/>
    <mergeCell ref="D132:E132"/>
    <mergeCell ref="F132:G132"/>
    <mergeCell ref="H132:I132"/>
    <mergeCell ref="J132:L132"/>
    <mergeCell ref="M132:U132"/>
    <mergeCell ref="V132:AC132"/>
    <mergeCell ref="AD132:AE132"/>
    <mergeCell ref="B131:C131"/>
    <mergeCell ref="D131:E131"/>
    <mergeCell ref="F131:G131"/>
    <mergeCell ref="H131:I131"/>
    <mergeCell ref="J131:L131"/>
    <mergeCell ref="M131:U131"/>
    <mergeCell ref="V129:AC129"/>
    <mergeCell ref="AD129:AE129"/>
    <mergeCell ref="B130:C130"/>
    <mergeCell ref="D130:E130"/>
    <mergeCell ref="F130:G130"/>
    <mergeCell ref="H130:I130"/>
    <mergeCell ref="J130:L130"/>
    <mergeCell ref="M130:U130"/>
    <mergeCell ref="V130:AC130"/>
    <mergeCell ref="AD130:AE130"/>
    <mergeCell ref="B129:C129"/>
    <mergeCell ref="D129:E129"/>
    <mergeCell ref="F129:G129"/>
    <mergeCell ref="H129:I129"/>
    <mergeCell ref="J129:L129"/>
    <mergeCell ref="M129:U129"/>
    <mergeCell ref="V135:AC135"/>
    <mergeCell ref="AD135:AE135"/>
    <mergeCell ref="B136:C136"/>
    <mergeCell ref="D136:E136"/>
    <mergeCell ref="F136:G136"/>
    <mergeCell ref="H136:I136"/>
    <mergeCell ref="J136:L136"/>
    <mergeCell ref="M136:U136"/>
    <mergeCell ref="V136:AC136"/>
    <mergeCell ref="AD136:AE136"/>
    <mergeCell ref="B135:C135"/>
    <mergeCell ref="D135:E135"/>
    <mergeCell ref="F135:G135"/>
    <mergeCell ref="H135:I135"/>
    <mergeCell ref="J135:L135"/>
    <mergeCell ref="M135:U135"/>
    <mergeCell ref="V133:AC133"/>
    <mergeCell ref="AD133:AE133"/>
    <mergeCell ref="B134:C134"/>
    <mergeCell ref="D134:E134"/>
    <mergeCell ref="F134:G134"/>
    <mergeCell ref="H134:I134"/>
    <mergeCell ref="J134:L134"/>
    <mergeCell ref="M134:U134"/>
    <mergeCell ref="V134:AC134"/>
    <mergeCell ref="AD134:AE134"/>
    <mergeCell ref="B133:C133"/>
    <mergeCell ref="D133:E133"/>
    <mergeCell ref="F133:G133"/>
    <mergeCell ref="H133:I133"/>
    <mergeCell ref="J133:L133"/>
    <mergeCell ref="M133:U133"/>
    <mergeCell ref="V139:AC139"/>
    <mergeCell ref="AD139:AE139"/>
    <mergeCell ref="B140:I140"/>
    <mergeCell ref="J140:AC140"/>
    <mergeCell ref="AD140:AE140"/>
    <mergeCell ref="AB141:AC141"/>
    <mergeCell ref="AD141:AE141"/>
    <mergeCell ref="B139:C139"/>
    <mergeCell ref="D139:E139"/>
    <mergeCell ref="F139:G139"/>
    <mergeCell ref="H139:I139"/>
    <mergeCell ref="J139:L139"/>
    <mergeCell ref="M139:U139"/>
    <mergeCell ref="V137:AC137"/>
    <mergeCell ref="AD137:AE137"/>
    <mergeCell ref="B138:C138"/>
    <mergeCell ref="D138:E138"/>
    <mergeCell ref="F138:G138"/>
    <mergeCell ref="H138:I138"/>
    <mergeCell ref="J138:L138"/>
    <mergeCell ref="M138:U138"/>
    <mergeCell ref="V138:AC138"/>
    <mergeCell ref="AD138:AE138"/>
    <mergeCell ref="B137:C137"/>
    <mergeCell ref="D137:E137"/>
    <mergeCell ref="F137:G137"/>
    <mergeCell ref="H137:I137"/>
    <mergeCell ref="J137:L137"/>
    <mergeCell ref="M137:U137"/>
    <mergeCell ref="B149:D149"/>
    <mergeCell ref="E149:K149"/>
    <mergeCell ref="B150:D150"/>
    <mergeCell ref="E150:G150"/>
    <mergeCell ref="H150:I150"/>
    <mergeCell ref="J150:K150"/>
    <mergeCell ref="B147:D147"/>
    <mergeCell ref="E147:K147"/>
    <mergeCell ref="L147:N150"/>
    <mergeCell ref="O147:U150"/>
    <mergeCell ref="V147:X147"/>
    <mergeCell ref="Y147:AE147"/>
    <mergeCell ref="B148:D148"/>
    <mergeCell ref="E148:K148"/>
    <mergeCell ref="V148:X151"/>
    <mergeCell ref="Y148:AE151"/>
    <mergeCell ref="AD142:AE142"/>
    <mergeCell ref="B145:AE145"/>
    <mergeCell ref="B146:D146"/>
    <mergeCell ref="E146:K146"/>
    <mergeCell ref="L146:N146"/>
    <mergeCell ref="O146:P146"/>
    <mergeCell ref="Q146:U146"/>
    <mergeCell ref="V146:AE146"/>
    <mergeCell ref="N153:O153"/>
    <mergeCell ref="Q153:R153"/>
    <mergeCell ref="S153:T153"/>
    <mergeCell ref="V153:AE157"/>
    <mergeCell ref="B154:C154"/>
    <mergeCell ref="D154:E154"/>
    <mergeCell ref="F154:G154"/>
    <mergeCell ref="H154:I154"/>
    <mergeCell ref="J154:K154"/>
    <mergeCell ref="L154:M154"/>
    <mergeCell ref="L151:N151"/>
    <mergeCell ref="O151:Q151"/>
    <mergeCell ref="B152:O152"/>
    <mergeCell ref="V152:AE152"/>
    <mergeCell ref="B153:C153"/>
    <mergeCell ref="D153:E153"/>
    <mergeCell ref="F153:G153"/>
    <mergeCell ref="H153:I153"/>
    <mergeCell ref="J153:K153"/>
    <mergeCell ref="L153:M153"/>
    <mergeCell ref="Q155:R155"/>
    <mergeCell ref="S155:T155"/>
    <mergeCell ref="B156:C156"/>
    <mergeCell ref="D156:E156"/>
    <mergeCell ref="F156:G156"/>
    <mergeCell ref="H156:I156"/>
    <mergeCell ref="J156:K156"/>
    <mergeCell ref="L156:M156"/>
    <mergeCell ref="N156:O156"/>
    <mergeCell ref="N154:O154"/>
    <mergeCell ref="Q154:R154"/>
    <mergeCell ref="S154:T154"/>
    <mergeCell ref="B155:C155"/>
    <mergeCell ref="D155:E155"/>
    <mergeCell ref="F155:G155"/>
    <mergeCell ref="H155:I155"/>
    <mergeCell ref="J155:K155"/>
    <mergeCell ref="L155:M155"/>
    <mergeCell ref="N155:O155"/>
    <mergeCell ref="D160:E160"/>
    <mergeCell ref="F160:G160"/>
    <mergeCell ref="H160:I160"/>
    <mergeCell ref="J160:K160"/>
    <mergeCell ref="L160:M160"/>
    <mergeCell ref="N160:O160"/>
    <mergeCell ref="V158:AE158"/>
    <mergeCell ref="B159:C159"/>
    <mergeCell ref="D159:E159"/>
    <mergeCell ref="F159:G159"/>
    <mergeCell ref="H159:I159"/>
    <mergeCell ref="J159:K159"/>
    <mergeCell ref="L159:M159"/>
    <mergeCell ref="N159:O159"/>
    <mergeCell ref="V159:AE180"/>
    <mergeCell ref="B160:C160"/>
    <mergeCell ref="N157:O157"/>
    <mergeCell ref="B158:C158"/>
    <mergeCell ref="D158:E158"/>
    <mergeCell ref="F158:G158"/>
    <mergeCell ref="H158:I158"/>
    <mergeCell ref="J158:K158"/>
    <mergeCell ref="L158:M158"/>
    <mergeCell ref="N158:O158"/>
    <mergeCell ref="B157:C157"/>
    <mergeCell ref="D157:E157"/>
    <mergeCell ref="F157:G157"/>
    <mergeCell ref="H157:I157"/>
    <mergeCell ref="J157:K157"/>
    <mergeCell ref="L157:M157"/>
    <mergeCell ref="N163:O163"/>
    <mergeCell ref="B164:C164"/>
    <mergeCell ref="D164:E164"/>
    <mergeCell ref="F164:G164"/>
    <mergeCell ref="H164:I164"/>
    <mergeCell ref="J164:K164"/>
    <mergeCell ref="L164:M164"/>
    <mergeCell ref="N164:O164"/>
    <mergeCell ref="B163:C163"/>
    <mergeCell ref="D163:E163"/>
    <mergeCell ref="F163:G163"/>
    <mergeCell ref="H163:I163"/>
    <mergeCell ref="J163:K163"/>
    <mergeCell ref="L163:M163"/>
    <mergeCell ref="N161:O161"/>
    <mergeCell ref="B162:C162"/>
    <mergeCell ref="D162:E162"/>
    <mergeCell ref="F162:G162"/>
    <mergeCell ref="H162:I162"/>
    <mergeCell ref="J162:K162"/>
    <mergeCell ref="L162:M162"/>
    <mergeCell ref="N162:O162"/>
    <mergeCell ref="B161:C161"/>
    <mergeCell ref="D161:E161"/>
    <mergeCell ref="F161:G161"/>
    <mergeCell ref="H161:I161"/>
    <mergeCell ref="J161:K161"/>
    <mergeCell ref="L161:M161"/>
    <mergeCell ref="N167:O167"/>
    <mergeCell ref="B168:C168"/>
    <mergeCell ref="D168:E168"/>
    <mergeCell ref="F168:G168"/>
    <mergeCell ref="H168:I168"/>
    <mergeCell ref="J168:K168"/>
    <mergeCell ref="L168:M168"/>
    <mergeCell ref="N168:O168"/>
    <mergeCell ref="B167:C167"/>
    <mergeCell ref="D167:E167"/>
    <mergeCell ref="F167:G167"/>
    <mergeCell ref="H167:I167"/>
    <mergeCell ref="J167:K167"/>
    <mergeCell ref="L167:M167"/>
    <mergeCell ref="N165:O165"/>
    <mergeCell ref="B166:C166"/>
    <mergeCell ref="D166:E166"/>
    <mergeCell ref="F166:G166"/>
    <mergeCell ref="H166:I166"/>
    <mergeCell ref="J166:K166"/>
    <mergeCell ref="L166:M166"/>
    <mergeCell ref="N166:O166"/>
    <mergeCell ref="B165:C165"/>
    <mergeCell ref="D165:E165"/>
    <mergeCell ref="F165:G165"/>
    <mergeCell ref="H165:I165"/>
    <mergeCell ref="J165:K165"/>
    <mergeCell ref="L165:M165"/>
    <mergeCell ref="N171:O171"/>
    <mergeCell ref="B172:C172"/>
    <mergeCell ref="D172:E172"/>
    <mergeCell ref="F172:G172"/>
    <mergeCell ref="H172:I172"/>
    <mergeCell ref="J172:K172"/>
    <mergeCell ref="L172:M172"/>
    <mergeCell ref="N172:O172"/>
    <mergeCell ref="B171:C171"/>
    <mergeCell ref="D171:E171"/>
    <mergeCell ref="F171:G171"/>
    <mergeCell ref="H171:I171"/>
    <mergeCell ref="J171:K171"/>
    <mergeCell ref="L171:M171"/>
    <mergeCell ref="N169:O169"/>
    <mergeCell ref="B170:C170"/>
    <mergeCell ref="D170:E170"/>
    <mergeCell ref="F170:G170"/>
    <mergeCell ref="H170:I170"/>
    <mergeCell ref="J170:K170"/>
    <mergeCell ref="L170:M170"/>
    <mergeCell ref="N170:O170"/>
    <mergeCell ref="B169:C169"/>
    <mergeCell ref="D169:E169"/>
    <mergeCell ref="F169:G169"/>
    <mergeCell ref="H169:I169"/>
    <mergeCell ref="J169:K169"/>
    <mergeCell ref="L169:M169"/>
    <mergeCell ref="N175:O175"/>
    <mergeCell ref="B176:C176"/>
    <mergeCell ref="D176:E176"/>
    <mergeCell ref="F176:G176"/>
    <mergeCell ref="H176:I176"/>
    <mergeCell ref="J176:K176"/>
    <mergeCell ref="L176:M176"/>
    <mergeCell ref="N176:O176"/>
    <mergeCell ref="B175:C175"/>
    <mergeCell ref="D175:E175"/>
    <mergeCell ref="F175:G175"/>
    <mergeCell ref="H175:I175"/>
    <mergeCell ref="J175:K175"/>
    <mergeCell ref="L175:M175"/>
    <mergeCell ref="N173:O173"/>
    <mergeCell ref="B174:C174"/>
    <mergeCell ref="D174:E174"/>
    <mergeCell ref="F174:G174"/>
    <mergeCell ref="H174:I174"/>
    <mergeCell ref="J174:K174"/>
    <mergeCell ref="L174:M174"/>
    <mergeCell ref="N174:O174"/>
    <mergeCell ref="B173:C173"/>
    <mergeCell ref="D173:E173"/>
    <mergeCell ref="F173:G173"/>
    <mergeCell ref="H173:I173"/>
    <mergeCell ref="J173:K173"/>
    <mergeCell ref="L173:M173"/>
    <mergeCell ref="N179:O179"/>
    <mergeCell ref="B180:C180"/>
    <mergeCell ref="D180:E180"/>
    <mergeCell ref="F180:G180"/>
    <mergeCell ref="H180:I180"/>
    <mergeCell ref="J180:K180"/>
    <mergeCell ref="L180:M180"/>
    <mergeCell ref="N180:O180"/>
    <mergeCell ref="B179:C179"/>
    <mergeCell ref="D179:E179"/>
    <mergeCell ref="F179:G179"/>
    <mergeCell ref="H179:I179"/>
    <mergeCell ref="J179:K179"/>
    <mergeCell ref="L179:M179"/>
    <mergeCell ref="N177:O177"/>
    <mergeCell ref="B178:C178"/>
    <mergeCell ref="D178:E178"/>
    <mergeCell ref="F178:G178"/>
    <mergeCell ref="H178:I178"/>
    <mergeCell ref="J178:K178"/>
    <mergeCell ref="L178:M178"/>
    <mergeCell ref="N178:O178"/>
    <mergeCell ref="B177:C177"/>
    <mergeCell ref="D177:E177"/>
    <mergeCell ref="F177:G177"/>
    <mergeCell ref="H177:I177"/>
    <mergeCell ref="J177:K177"/>
    <mergeCell ref="L177:M177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30721" r:id="rId4" name="cmd_Lock">
          <controlPr defaultSize="0" autoLine="0" r:id="rId5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30721" r:id="rId4" name="cmd_Lock"/>
      </mc:Fallback>
    </mc:AlternateContent>
    <mc:AlternateContent xmlns:mc="http://schemas.openxmlformats.org/markup-compatibility/2006">
      <mc:Choice Requires="x14">
        <control shapeId="30722" r:id="rId6" name="cmd_Pintar">
          <controlPr defaultSize="0" autoLine="0" r:id="rId7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30722" r:id="rId6" name="cmd_Pint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">
    <tabColor rgb="FF00B050"/>
  </sheetPr>
  <dimension ref="A1:AH182"/>
  <sheetViews>
    <sheetView showGridLines="0" showRowColHeaders="0" zoomScale="85" zoomScaleNormal="85" workbookViewId="0">
      <selection activeCell="E3" sqref="E3:L3"/>
    </sheetView>
  </sheetViews>
  <sheetFormatPr defaultColWidth="0" defaultRowHeight="12.75" zeroHeight="1" x14ac:dyDescent="0.25"/>
  <cols>
    <col min="1" max="1" width="1.7109375" style="257" customWidth="1"/>
    <col min="2" max="7" width="6.28515625" style="257" customWidth="1"/>
    <col min="8" max="8" width="6" style="257" customWidth="1"/>
    <col min="9" max="9" width="7.28515625" style="257" customWidth="1"/>
    <col min="10" max="30" width="6.28515625" style="257" customWidth="1"/>
    <col min="31" max="31" width="7.140625" style="257" customWidth="1"/>
    <col min="32" max="32" width="1.7109375" style="257" customWidth="1"/>
    <col min="33" max="33" width="25.85546875" style="257" hidden="1" customWidth="1"/>
    <col min="34" max="34" width="10.28515625" style="257" hidden="1" customWidth="1"/>
    <col min="35" max="16384" width="0" style="257" hidden="1"/>
  </cols>
  <sheetData>
    <row r="1" spans="1:34" ht="20.25" x14ac:dyDescent="0.2">
      <c r="A1" s="256"/>
      <c r="C1" s="296" t="s">
        <v>935</v>
      </c>
      <c r="D1" s="297"/>
      <c r="E1" s="297"/>
      <c r="F1" s="297"/>
      <c r="G1" s="297"/>
      <c r="H1" s="297"/>
      <c r="I1" s="297"/>
      <c r="J1" s="298"/>
      <c r="K1" s="298"/>
      <c r="L1" s="298"/>
      <c r="M1" s="297"/>
      <c r="N1" s="297"/>
      <c r="O1" s="299"/>
      <c r="P1" s="299"/>
      <c r="Q1" s="299"/>
      <c r="R1" s="299"/>
      <c r="S1" s="299"/>
      <c r="T1" s="299"/>
      <c r="U1" s="299"/>
      <c r="V1" s="299"/>
      <c r="W1" s="299"/>
      <c r="X1" s="707" t="s">
        <v>442</v>
      </c>
      <c r="Y1" s="707"/>
      <c r="Z1" s="708">
        <f>TB_DEFESA!$B$2</f>
        <v>20171219184258</v>
      </c>
      <c r="AA1" s="708"/>
      <c r="AB1" s="708"/>
      <c r="AC1" s="299"/>
    </row>
    <row r="2" spans="1:34" ht="22.5" customHeight="1" thickBot="1" x14ac:dyDescent="0.3">
      <c r="C2" s="220" t="str">
        <f>Defesa!B3</f>
        <v>Versão:</v>
      </c>
      <c r="D2" s="295" t="str">
        <f>Defesa!$C$3</f>
        <v>2018.00</v>
      </c>
      <c r="E2" s="259"/>
      <c r="F2" s="259"/>
      <c r="G2" s="259"/>
      <c r="H2" s="259"/>
      <c r="I2" s="259"/>
      <c r="M2" s="259"/>
      <c r="N2" s="259"/>
      <c r="AH2" s="260"/>
    </row>
    <row r="3" spans="1:34" ht="15" customHeight="1" thickTop="1" x14ac:dyDescent="0.25">
      <c r="B3" s="303"/>
      <c r="C3" s="303"/>
      <c r="D3" s="304" t="str">
        <f>Defesa!E5</f>
        <v>Nome Projeto</v>
      </c>
      <c r="E3" s="709" t="str">
        <f>TB_DEFESA!$D$2</f>
        <v>Automatização das Config do Faturamento</v>
      </c>
      <c r="F3" s="710"/>
      <c r="G3" s="710"/>
      <c r="H3" s="710"/>
      <c r="I3" s="710"/>
      <c r="J3" s="710"/>
      <c r="K3" s="710"/>
      <c r="L3" s="711"/>
      <c r="N3" s="306"/>
      <c r="O3" s="306"/>
      <c r="P3" s="307" t="s">
        <v>1059</v>
      </c>
      <c r="Q3" s="712" t="str">
        <f>TB_DEFESA!$E$2</f>
        <v>VivianAparecida de Jesus</v>
      </c>
      <c r="R3" s="713"/>
      <c r="S3" s="713"/>
      <c r="T3" s="713"/>
      <c r="U3" s="713"/>
      <c r="V3" s="713"/>
      <c r="W3" s="714"/>
      <c r="Y3" s="715" t="s">
        <v>1060</v>
      </c>
      <c r="Z3" s="716"/>
      <c r="AA3" s="716"/>
      <c r="AB3" s="716"/>
      <c r="AC3" s="719">
        <f>SUM(AC5:AE8)</f>
        <v>5000000</v>
      </c>
      <c r="AD3" s="719"/>
      <c r="AE3" s="720"/>
    </row>
    <row r="4" spans="1:34" ht="15" customHeight="1" thickBot="1" x14ac:dyDescent="0.3">
      <c r="B4" s="303"/>
      <c r="C4" s="303"/>
      <c r="D4" s="304" t="s">
        <v>825</v>
      </c>
      <c r="E4" s="697" t="str">
        <f>TB_DEFESA!$AJ$2</f>
        <v>PRJ00027489</v>
      </c>
      <c r="F4" s="698"/>
      <c r="G4" s="698"/>
      <c r="H4" s="698"/>
      <c r="I4" s="698"/>
      <c r="J4" s="698"/>
      <c r="K4" s="698"/>
      <c r="L4" s="698"/>
      <c r="M4" s="698"/>
      <c r="N4" s="698"/>
      <c r="O4" s="698"/>
      <c r="P4" s="698"/>
      <c r="Q4" s="698"/>
      <c r="R4" s="698"/>
      <c r="S4" s="698"/>
      <c r="T4" s="698"/>
      <c r="U4" s="698"/>
      <c r="V4" s="698"/>
      <c r="W4" s="699"/>
      <c r="Y4" s="717"/>
      <c r="Z4" s="718"/>
      <c r="AA4" s="718"/>
      <c r="AB4" s="718"/>
      <c r="AC4" s="721"/>
      <c r="AD4" s="721"/>
      <c r="AE4" s="722"/>
    </row>
    <row r="5" spans="1:34" ht="15" customHeight="1" thickTop="1" x14ac:dyDescent="0.25">
      <c r="B5" s="303"/>
      <c r="C5" s="303"/>
      <c r="D5" s="304" t="s">
        <v>658</v>
      </c>
      <c r="E5" s="697" t="str">
        <f>TB_DEFESA!$AG$2</f>
        <v>PRJ00027490</v>
      </c>
      <c r="F5" s="698"/>
      <c r="G5" s="698"/>
      <c r="H5" s="698"/>
      <c r="I5" s="698"/>
      <c r="J5" s="698"/>
      <c r="K5" s="698"/>
      <c r="L5" s="698"/>
      <c r="M5" s="698"/>
      <c r="N5" s="698"/>
      <c r="O5" s="698"/>
      <c r="P5" s="698"/>
      <c r="Q5" s="698"/>
      <c r="R5" s="698"/>
      <c r="S5" s="698"/>
      <c r="T5" s="698"/>
      <c r="U5" s="698"/>
      <c r="V5" s="698"/>
      <c r="W5" s="699"/>
      <c r="Y5" s="264"/>
      <c r="Z5" s="275"/>
      <c r="AA5" s="275"/>
      <c r="AB5" s="292" t="s">
        <v>918</v>
      </c>
      <c r="AC5" s="700">
        <f>SUMIFS(Propostas!$AA$8:$AA$207, Propostas!$G$8:$G$207, "SIM")</f>
        <v>0</v>
      </c>
      <c r="AD5" s="700"/>
      <c r="AE5" s="701"/>
    </row>
    <row r="6" spans="1:34" ht="15" customHeight="1" x14ac:dyDescent="0.25">
      <c r="B6" s="303"/>
      <c r="C6" s="303"/>
      <c r="D6" s="304" t="s">
        <v>397</v>
      </c>
      <c r="E6" s="461" t="str">
        <f>TB_DEFESA!$C$2</f>
        <v>COMITÊ</v>
      </c>
      <c r="F6" s="462"/>
      <c r="G6" s="463"/>
      <c r="J6" s="303"/>
      <c r="K6" s="304" t="s">
        <v>1079</v>
      </c>
      <c r="L6" s="263" t="str">
        <f>IF($AC$5 = 0, "NÃO", "SIM")</f>
        <v>NÃO</v>
      </c>
      <c r="N6" s="308"/>
      <c r="O6" s="309"/>
      <c r="P6" s="310" t="s">
        <v>11</v>
      </c>
      <c r="Q6" s="702" t="str">
        <f>TB_DEFESA!Q2</f>
        <v>Evolutivas</v>
      </c>
      <c r="R6" s="703"/>
      <c r="S6" s="703"/>
      <c r="T6" s="703"/>
      <c r="U6" s="703"/>
      <c r="V6" s="703"/>
      <c r="W6" s="704"/>
      <c r="Y6" s="264"/>
      <c r="Z6" s="275"/>
      <c r="AA6" s="275"/>
      <c r="AB6" s="292" t="s">
        <v>919</v>
      </c>
      <c r="AC6" s="705">
        <f>SUMIFS(Propostas!$AA$8:$AA$207, Propostas!$G$8:$G$207, "NÃO", Propostas!$V$8:$V$207, 0)</f>
        <v>5000000</v>
      </c>
      <c r="AD6" s="705"/>
      <c r="AE6" s="706"/>
      <c r="AG6" s="260"/>
    </row>
    <row r="7" spans="1:34" ht="15" customHeight="1" x14ac:dyDescent="0.25">
      <c r="B7" s="322"/>
      <c r="C7" s="322"/>
      <c r="D7" s="322"/>
      <c r="Y7" s="264"/>
      <c r="Z7" s="275"/>
      <c r="AA7" s="275"/>
      <c r="AB7" s="292" t="s">
        <v>823</v>
      </c>
      <c r="AC7" s="705">
        <f>SUM(AD15:AE26)</f>
        <v>0</v>
      </c>
      <c r="AD7" s="705"/>
      <c r="AE7" s="706"/>
    </row>
    <row r="8" spans="1:34" ht="15" customHeight="1" x14ac:dyDescent="0.25">
      <c r="B8" s="303"/>
      <c r="C8" s="303"/>
      <c r="D8" s="304" t="s">
        <v>225</v>
      </c>
      <c r="E8" s="688" t="str">
        <f>TB_DEFESA!$AH$2</f>
        <v>&lt; A CONTRATAR &gt;</v>
      </c>
      <c r="F8" s="689"/>
      <c r="G8" s="689"/>
      <c r="H8" s="689"/>
      <c r="I8" s="689"/>
      <c r="J8" s="689"/>
      <c r="K8" s="689"/>
      <c r="L8" s="689"/>
      <c r="M8" s="689"/>
      <c r="N8" s="689"/>
      <c r="O8" s="689"/>
      <c r="P8" s="689"/>
      <c r="Q8" s="689"/>
      <c r="R8" s="689"/>
      <c r="S8" s="689"/>
      <c r="T8" s="689"/>
      <c r="U8" s="689"/>
      <c r="V8" s="689"/>
      <c r="W8" s="690"/>
      <c r="Y8" s="272"/>
      <c r="Z8" s="294"/>
      <c r="AA8" s="294"/>
      <c r="AB8" s="293" t="s">
        <v>427</v>
      </c>
      <c r="AC8" s="691">
        <f>SUM(AB15:AC26)</f>
        <v>0</v>
      </c>
      <c r="AD8" s="691"/>
      <c r="AE8" s="692"/>
    </row>
    <row r="9" spans="1:34" ht="15" customHeight="1" x14ac:dyDescent="0.25">
      <c r="B9" s="303"/>
      <c r="C9" s="303"/>
      <c r="D9" s="305" t="s">
        <v>910</v>
      </c>
      <c r="E9" s="693" t="str">
        <f>TB_DEFESA!$R$2</f>
        <v>Macroestimativa</v>
      </c>
      <c r="F9" s="694"/>
      <c r="G9" s="694"/>
      <c r="H9" s="694"/>
      <c r="I9" s="694"/>
      <c r="J9" s="694"/>
      <c r="K9" s="694"/>
      <c r="L9" s="694"/>
      <c r="M9" s="694"/>
      <c r="N9" s="694"/>
      <c r="O9" s="694"/>
      <c r="P9" s="694"/>
      <c r="Q9" s="694"/>
      <c r="R9" s="694"/>
      <c r="S9" s="694"/>
      <c r="T9" s="694"/>
      <c r="U9" s="694"/>
      <c r="V9" s="694"/>
      <c r="W9" s="695"/>
    </row>
    <row r="10" spans="1:34" ht="15" customHeight="1" x14ac:dyDescent="0.25">
      <c r="Y10" s="303"/>
      <c r="Z10" s="303"/>
      <c r="AA10" s="304" t="s">
        <v>664</v>
      </c>
      <c r="AB10" s="680">
        <f>TB_DEFESA!AB2</f>
        <v>5000000</v>
      </c>
      <c r="AC10" s="680"/>
      <c r="AH10" s="260"/>
    </row>
    <row r="11" spans="1:34" ht="15" customHeight="1" x14ac:dyDescent="0.25">
      <c r="B11" s="696" t="s">
        <v>226</v>
      </c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N11" s="303"/>
      <c r="O11" s="303"/>
      <c r="P11" s="304" t="s">
        <v>227</v>
      </c>
      <c r="Q11" s="450" t="str">
        <f>TB_DEFESA!$F$2</f>
        <v>CRIAR</v>
      </c>
      <c r="R11" s="452"/>
      <c r="S11" s="450" t="str">
        <f>TB_DEFESA!$G$2</f>
        <v>CRIAR</v>
      </c>
      <c r="T11" s="451"/>
      <c r="U11" s="451"/>
      <c r="V11" s="451"/>
      <c r="W11" s="452"/>
      <c r="Y11" s="303"/>
      <c r="Z11" s="303"/>
      <c r="AA11" s="304" t="s">
        <v>826</v>
      </c>
      <c r="AB11" s="680">
        <f>TB_DEFESA!AC2</f>
        <v>5000000</v>
      </c>
      <c r="AC11" s="680"/>
      <c r="AH11" s="260"/>
    </row>
    <row r="12" spans="1:34" ht="15" customHeight="1" x14ac:dyDescent="0.25">
      <c r="B12" s="668" t="str">
        <f>TB_DEFESA!$J$2</f>
        <v xml:space="preserve">Este projeto tem como objetivo automatizar configurações de faturamento  que estão no escopo da Fase 2 do GTA (SVA). 
</v>
      </c>
      <c r="C12" s="669"/>
      <c r="D12" s="669"/>
      <c r="E12" s="669"/>
      <c r="F12" s="669"/>
      <c r="G12" s="669"/>
      <c r="H12" s="669"/>
      <c r="I12" s="669"/>
      <c r="J12" s="669"/>
      <c r="K12" s="669"/>
      <c r="L12" s="670"/>
      <c r="N12" s="303"/>
      <c r="O12" s="303"/>
      <c r="P12" s="304" t="s">
        <v>432</v>
      </c>
      <c r="Q12" s="668" t="str">
        <f>TB_DEFESA!$H$2</f>
        <v>N/A</v>
      </c>
      <c r="R12" s="669"/>
      <c r="S12" s="669"/>
      <c r="T12" s="669"/>
      <c r="U12" s="669"/>
      <c r="V12" s="669"/>
      <c r="W12" s="670"/>
      <c r="Y12" s="303"/>
      <c r="Z12" s="303"/>
      <c r="AA12" s="304" t="s">
        <v>832</v>
      </c>
      <c r="AB12" s="680">
        <f>TB_DEFESA!AD2</f>
        <v>5000000</v>
      </c>
      <c r="AC12" s="680"/>
      <c r="AH12" s="260"/>
    </row>
    <row r="13" spans="1:34" ht="15" customHeight="1" x14ac:dyDescent="0.25">
      <c r="B13" s="671"/>
      <c r="C13" s="672"/>
      <c r="D13" s="672"/>
      <c r="E13" s="672"/>
      <c r="F13" s="672"/>
      <c r="G13" s="672"/>
      <c r="H13" s="672"/>
      <c r="I13" s="672"/>
      <c r="J13" s="672"/>
      <c r="K13" s="672"/>
      <c r="L13" s="673"/>
      <c r="N13" s="303"/>
      <c r="O13" s="303"/>
      <c r="P13" s="304"/>
      <c r="Q13" s="671"/>
      <c r="R13" s="672"/>
      <c r="S13" s="672"/>
      <c r="T13" s="672"/>
      <c r="U13" s="672"/>
      <c r="V13" s="672"/>
      <c r="W13" s="673"/>
    </row>
    <row r="14" spans="1:34" ht="15" customHeight="1" x14ac:dyDescent="0.25">
      <c r="B14" s="671"/>
      <c r="C14" s="672"/>
      <c r="D14" s="672"/>
      <c r="E14" s="672"/>
      <c r="F14" s="672"/>
      <c r="G14" s="672"/>
      <c r="H14" s="672"/>
      <c r="I14" s="672"/>
      <c r="J14" s="672"/>
      <c r="K14" s="672"/>
      <c r="L14" s="673"/>
      <c r="N14" s="303"/>
      <c r="O14" s="303"/>
      <c r="P14" s="304"/>
      <c r="Q14" s="674"/>
      <c r="R14" s="675"/>
      <c r="S14" s="675"/>
      <c r="T14" s="675"/>
      <c r="U14" s="675"/>
      <c r="V14" s="675"/>
      <c r="W14" s="676"/>
      <c r="AB14" s="681" t="s">
        <v>33</v>
      </c>
      <c r="AC14" s="681"/>
      <c r="AD14" s="682" t="s">
        <v>824</v>
      </c>
      <c r="AE14" s="682"/>
    </row>
    <row r="15" spans="1:34" ht="15" customHeight="1" x14ac:dyDescent="0.25">
      <c r="B15" s="671"/>
      <c r="C15" s="672"/>
      <c r="D15" s="672"/>
      <c r="E15" s="672"/>
      <c r="F15" s="672"/>
      <c r="G15" s="672"/>
      <c r="H15" s="672"/>
      <c r="I15" s="672"/>
      <c r="J15" s="672"/>
      <c r="K15" s="672"/>
      <c r="L15" s="673"/>
      <c r="N15" s="303"/>
      <c r="O15" s="303"/>
      <c r="P15" s="304" t="s">
        <v>265</v>
      </c>
      <c r="Q15" s="450" t="str">
        <f>TB_DEFESA!$I$2</f>
        <v>FOI de Sistemas</v>
      </c>
      <c r="R15" s="451"/>
      <c r="S15" s="452"/>
      <c r="T15" s="262"/>
      <c r="U15" s="262"/>
      <c r="V15" s="262"/>
      <c r="W15" s="262"/>
      <c r="Y15" s="683" t="str">
        <f>IF(Defesa!L15 = "", "", Defesa!L15)</f>
        <v>Accenture - Testes</v>
      </c>
      <c r="Z15" s="684"/>
      <c r="AA15" s="685"/>
      <c r="AB15" s="686">
        <f>IF(Defesa!M15 = "", "", Defesa!M15)</f>
        <v>0</v>
      </c>
      <c r="AC15" s="687"/>
      <c r="AD15" s="686">
        <f>IF(Defesa!N15 = "", "", Defesa!N15)</f>
        <v>0</v>
      </c>
      <c r="AE15" s="687"/>
      <c r="AH15" s="261"/>
    </row>
    <row r="16" spans="1:34" ht="15" customHeight="1" x14ac:dyDescent="0.25">
      <c r="B16" s="671"/>
      <c r="C16" s="672"/>
      <c r="D16" s="672"/>
      <c r="E16" s="672"/>
      <c r="F16" s="672"/>
      <c r="G16" s="672"/>
      <c r="H16" s="672"/>
      <c r="I16" s="672"/>
      <c r="J16" s="672"/>
      <c r="K16" s="672"/>
      <c r="L16" s="673"/>
      <c r="N16" s="302"/>
      <c r="O16" s="302"/>
      <c r="Y16" s="662" t="str">
        <f>IF(Defesa!L16 = "", "", Defesa!L16)</f>
        <v>Accenture - Torre II</v>
      </c>
      <c r="Z16" s="663"/>
      <c r="AA16" s="664"/>
      <c r="AB16" s="665">
        <f>IF(Defesa!M16 = "", "", Defesa!M16)</f>
        <v>0</v>
      </c>
      <c r="AC16" s="665"/>
      <c r="AD16" s="665">
        <f>IF(Defesa!N16 = "", "", Defesa!N16)</f>
        <v>0</v>
      </c>
      <c r="AE16" s="665"/>
    </row>
    <row r="17" spans="2:31" ht="15" customHeight="1" x14ac:dyDescent="0.25">
      <c r="B17" s="674"/>
      <c r="C17" s="675"/>
      <c r="D17" s="675"/>
      <c r="E17" s="675"/>
      <c r="F17" s="675"/>
      <c r="G17" s="675"/>
      <c r="H17" s="675"/>
      <c r="I17" s="675"/>
      <c r="J17" s="675"/>
      <c r="K17" s="675"/>
      <c r="L17" s="676"/>
      <c r="N17" s="304"/>
      <c r="O17" s="304"/>
      <c r="P17" s="305" t="s">
        <v>277</v>
      </c>
      <c r="Q17" s="461" t="str">
        <f>TB_DEFESA!$S$2</f>
        <v>Sistemas</v>
      </c>
      <c r="R17" s="462"/>
      <c r="S17" s="462"/>
      <c r="T17" s="462"/>
      <c r="U17" s="462"/>
      <c r="V17" s="462"/>
      <c r="W17" s="463"/>
      <c r="Y17" s="662" t="str">
        <f>IF(Defesa!L17 = "", "", Defesa!L17)</f>
        <v>Amdocs</v>
      </c>
      <c r="Z17" s="663"/>
      <c r="AA17" s="664"/>
      <c r="AB17" s="665">
        <f>IF(Defesa!M17 = "", "", Defesa!M17)</f>
        <v>0</v>
      </c>
      <c r="AC17" s="665"/>
      <c r="AD17" s="665">
        <f>IF(Defesa!N17 = "", "", Defesa!N17)</f>
        <v>0</v>
      </c>
      <c r="AE17" s="665"/>
    </row>
    <row r="18" spans="2:31" ht="15.75" customHeight="1" x14ac:dyDescent="0.25">
      <c r="B18" s="667" t="s">
        <v>41</v>
      </c>
      <c r="C18" s="667"/>
      <c r="D18" s="667"/>
      <c r="E18" s="667"/>
      <c r="F18" s="667"/>
      <c r="G18" s="667"/>
      <c r="H18" s="667"/>
      <c r="I18" s="667"/>
      <c r="J18" s="667"/>
      <c r="K18" s="667"/>
      <c r="L18" s="667"/>
      <c r="N18" s="304"/>
      <c r="O18" s="304"/>
      <c r="P18" s="305" t="s">
        <v>229</v>
      </c>
      <c r="Q18" s="461" t="str">
        <f>TB_DEFESA!$T$2</f>
        <v>Marcio Caroso</v>
      </c>
      <c r="R18" s="462"/>
      <c r="S18" s="462"/>
      <c r="T18" s="462"/>
      <c r="U18" s="462"/>
      <c r="V18" s="462"/>
      <c r="W18" s="463"/>
      <c r="Y18" s="662" t="str">
        <f>IF(Defesa!L18 = "", "", Defesa!L18)</f>
        <v>Capgemini - Torre III</v>
      </c>
      <c r="Z18" s="663"/>
      <c r="AA18" s="664"/>
      <c r="AB18" s="665">
        <f>IF(Defesa!M18 = "", "", Defesa!M18)</f>
        <v>0</v>
      </c>
      <c r="AC18" s="665"/>
      <c r="AD18" s="665">
        <f>IF(Defesa!N18 = "", "", Defesa!N18)</f>
        <v>0</v>
      </c>
      <c r="AE18" s="665"/>
    </row>
    <row r="19" spans="2:31" ht="14.25" customHeight="1" x14ac:dyDescent="0.25">
      <c r="B19" s="668" t="str">
        <f>TB_DEFESA!$K$2</f>
        <v xml:space="preserve">Redução dos problemas de erro em cobrança de valores nas faturas de clientes, ou perda de receita, relacionadas a configuração de tarifas de usos de provedores (SVA).
Redução de perdas de receita na ordem de R$ 12 MM/ano.
Redução de custos de desenvolvimento de 7.2 MM/ano.
Melhoria do “Time to Market” das novas configurações (em média) de 6 meses para 2 dias.
Adequação aos padrões da SOX, com perfil de acesso e controle para as novas  funcionalidades.
</v>
      </c>
      <c r="C19" s="669"/>
      <c r="D19" s="669"/>
      <c r="E19" s="669"/>
      <c r="F19" s="669"/>
      <c r="G19" s="669"/>
      <c r="H19" s="669"/>
      <c r="I19" s="669"/>
      <c r="J19" s="669"/>
      <c r="K19" s="669"/>
      <c r="L19" s="670"/>
      <c r="N19" s="304"/>
      <c r="O19" s="304"/>
      <c r="P19" s="305" t="s">
        <v>1023</v>
      </c>
      <c r="Q19" s="677" t="str">
        <f>TB_DEFESA!$U$2</f>
        <v>FABIO LUIS GLASER</v>
      </c>
      <c r="R19" s="678"/>
      <c r="S19" s="678"/>
      <c r="T19" s="678"/>
      <c r="U19" s="678"/>
      <c r="V19" s="679"/>
      <c r="W19" s="263" t="str">
        <f>VLOOKUP($Q$19, TABELAS!$M:$O, 3, FALSE)</f>
        <v>GTDS</v>
      </c>
      <c r="Y19" s="662" t="str">
        <f>IF(Defesa!L19 = "", "", Defesa!L19)</f>
        <v>Capgemini - Torre VI</v>
      </c>
      <c r="Z19" s="663"/>
      <c r="AA19" s="664"/>
      <c r="AB19" s="665">
        <f>IF(Defesa!M19 = "", "", Defesa!M19)</f>
        <v>0</v>
      </c>
      <c r="AC19" s="665"/>
      <c r="AD19" s="665">
        <f>IF(Defesa!N19 = "", "", Defesa!N19)</f>
        <v>0</v>
      </c>
      <c r="AE19" s="665"/>
    </row>
    <row r="20" spans="2:31" ht="15" customHeight="1" x14ac:dyDescent="0.25">
      <c r="B20" s="671"/>
      <c r="C20" s="672"/>
      <c r="D20" s="672"/>
      <c r="E20" s="672"/>
      <c r="F20" s="672"/>
      <c r="G20" s="672"/>
      <c r="H20" s="672"/>
      <c r="I20" s="672"/>
      <c r="J20" s="672"/>
      <c r="K20" s="672"/>
      <c r="L20" s="673"/>
      <c r="Y20" s="662" t="str">
        <f>IF(Defesa!L20 = "", "", Defesa!L20)</f>
        <v>CPqD</v>
      </c>
      <c r="Z20" s="663"/>
      <c r="AA20" s="664"/>
      <c r="AB20" s="665">
        <f>IF(Defesa!M20 = "", "", Defesa!M20)</f>
        <v>0</v>
      </c>
      <c r="AC20" s="665"/>
      <c r="AD20" s="665">
        <f>IF(Defesa!N20 = "", "", Defesa!N20)</f>
        <v>0</v>
      </c>
      <c r="AE20" s="665"/>
    </row>
    <row r="21" spans="2:31" ht="12.75" customHeight="1" x14ac:dyDescent="0.25">
      <c r="B21" s="671"/>
      <c r="C21" s="672"/>
      <c r="D21" s="672"/>
      <c r="E21" s="672"/>
      <c r="F21" s="672"/>
      <c r="G21" s="672"/>
      <c r="H21" s="672"/>
      <c r="I21" s="672"/>
      <c r="J21" s="672"/>
      <c r="K21" s="672"/>
      <c r="L21" s="673"/>
      <c r="M21" s="262"/>
      <c r="N21" s="262"/>
      <c r="O21" s="262"/>
      <c r="P21" s="262"/>
      <c r="Q21" s="262"/>
      <c r="R21" s="262"/>
      <c r="Y21" s="662" t="str">
        <f>IF(Defesa!L21 = "", "", Defesa!L21)</f>
        <v>IBM</v>
      </c>
      <c r="Z21" s="663"/>
      <c r="AA21" s="664"/>
      <c r="AB21" s="665">
        <f>IF(Defesa!M21 = "", "", Defesa!M21)</f>
        <v>0</v>
      </c>
      <c r="AC21" s="665"/>
      <c r="AD21" s="665">
        <f>IF(Defesa!N21 = "", "", Defesa!N21)</f>
        <v>0</v>
      </c>
      <c r="AE21" s="665"/>
    </row>
    <row r="22" spans="2:31" x14ac:dyDescent="0.25">
      <c r="B22" s="671"/>
      <c r="C22" s="672"/>
      <c r="D22" s="672"/>
      <c r="E22" s="672"/>
      <c r="F22" s="672"/>
      <c r="G22" s="672"/>
      <c r="H22" s="672"/>
      <c r="I22" s="672"/>
      <c r="J22" s="672"/>
      <c r="K22" s="672"/>
      <c r="L22" s="673"/>
      <c r="M22" s="262"/>
      <c r="N22" s="262"/>
      <c r="O22" s="262"/>
      <c r="P22" s="262"/>
      <c r="Q22" s="262"/>
      <c r="R22" s="262"/>
      <c r="Y22" s="662" t="str">
        <f>IF(Defesa!L22 = "", "", Defesa!L22)</f>
        <v>Link - Teste Integrado</v>
      </c>
      <c r="Z22" s="663"/>
      <c r="AA22" s="664"/>
      <c r="AB22" s="665">
        <f>IF(Defesa!M22 = "", "", Defesa!M22)</f>
        <v>0</v>
      </c>
      <c r="AC22" s="665"/>
      <c r="AD22" s="665">
        <f>IF(Defesa!N22 = "", "", Defesa!N22)</f>
        <v>0</v>
      </c>
      <c r="AE22" s="665"/>
    </row>
    <row r="23" spans="2:31" x14ac:dyDescent="0.25">
      <c r="B23" s="671"/>
      <c r="C23" s="672"/>
      <c r="D23" s="672"/>
      <c r="E23" s="672"/>
      <c r="F23" s="672"/>
      <c r="G23" s="672"/>
      <c r="H23" s="672"/>
      <c r="I23" s="672"/>
      <c r="J23" s="672"/>
      <c r="K23" s="672"/>
      <c r="L23" s="673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Y23" s="662" t="str">
        <f>IF(Defesa!L23 = "", "", Defesa!L23)</f>
        <v>Oracle</v>
      </c>
      <c r="Z23" s="663"/>
      <c r="AA23" s="664"/>
      <c r="AB23" s="665">
        <f>IF(Defesa!M23 = "", "", Defesa!M23)</f>
        <v>0</v>
      </c>
      <c r="AC23" s="665"/>
      <c r="AD23" s="665">
        <f>IF(Defesa!N23 = "", "", Defesa!N23)</f>
        <v>0</v>
      </c>
      <c r="AE23" s="665"/>
    </row>
    <row r="24" spans="2:31" x14ac:dyDescent="0.25">
      <c r="B24" s="671"/>
      <c r="C24" s="672"/>
      <c r="D24" s="672"/>
      <c r="E24" s="672"/>
      <c r="F24" s="672"/>
      <c r="G24" s="672"/>
      <c r="H24" s="672"/>
      <c r="I24" s="672"/>
      <c r="J24" s="672"/>
      <c r="K24" s="672"/>
      <c r="L24" s="673"/>
      <c r="Y24" s="662" t="str">
        <f>IF(Defesa!L24 = "", "", Defesa!L24)</f>
        <v>OPEN LABS</v>
      </c>
      <c r="Z24" s="663"/>
      <c r="AA24" s="664"/>
      <c r="AB24" s="665">
        <f>IF(Defesa!M24 = "", "", Defesa!M24)</f>
        <v>0</v>
      </c>
      <c r="AC24" s="665"/>
      <c r="AD24" s="665">
        <f>IF(Defesa!N24 = "", "", Defesa!N24)</f>
        <v>0</v>
      </c>
      <c r="AE24" s="665"/>
    </row>
    <row r="25" spans="2:31" ht="15" customHeight="1" x14ac:dyDescent="0.25">
      <c r="B25" s="671"/>
      <c r="C25" s="672"/>
      <c r="D25" s="672"/>
      <c r="E25" s="672"/>
      <c r="F25" s="672"/>
      <c r="G25" s="672"/>
      <c r="H25" s="672"/>
      <c r="I25" s="672"/>
      <c r="J25" s="672"/>
      <c r="K25" s="672"/>
      <c r="L25" s="673"/>
      <c r="N25" s="666" t="s">
        <v>1061</v>
      </c>
      <c r="O25" s="498"/>
      <c r="P25" s="498"/>
      <c r="Q25" s="498"/>
      <c r="R25" s="498"/>
      <c r="S25" s="498"/>
      <c r="T25" s="498"/>
      <c r="U25" s="498"/>
      <c r="V25" s="499"/>
      <c r="W25" s="262"/>
      <c r="X25" s="262"/>
      <c r="Y25" s="662" t="str">
        <f>IF(Defesa!L25 = "", "", Defesa!L25)</f>
        <v>Squadra - Torre IV</v>
      </c>
      <c r="Z25" s="663"/>
      <c r="AA25" s="664"/>
      <c r="AB25" s="665">
        <f>IF(Defesa!M25 = "", "", Defesa!M25)</f>
        <v>0</v>
      </c>
      <c r="AC25" s="665"/>
      <c r="AD25" s="665">
        <f>IF(Defesa!N25 = "", "", Defesa!N25)</f>
        <v>0</v>
      </c>
      <c r="AE25" s="665"/>
    </row>
    <row r="26" spans="2:31" x14ac:dyDescent="0.25">
      <c r="B26" s="671"/>
      <c r="C26" s="672"/>
      <c r="D26" s="672"/>
      <c r="E26" s="672"/>
      <c r="F26" s="672"/>
      <c r="G26" s="672"/>
      <c r="H26" s="672"/>
      <c r="I26" s="672"/>
      <c r="J26" s="672"/>
      <c r="K26" s="672"/>
      <c r="L26" s="673"/>
      <c r="N26" s="649" t="s">
        <v>827</v>
      </c>
      <c r="O26" s="650"/>
      <c r="P26" s="642" t="str">
        <f>TB_DEFESA!$M$2</f>
        <v>DEZ/2017</v>
      </c>
      <c r="Q26" s="643"/>
      <c r="R26" s="644"/>
      <c r="S26" s="651" t="s">
        <v>835</v>
      </c>
      <c r="T26" s="652"/>
      <c r="U26" s="655" t="str">
        <f>IF(TB_DEFESA!$N$2 = "N/A",
         IF(NOT(ISERR(SEARCH("CR -", $E9))), "CR",
          IF(NOT(ISERR(SEARCH("PKE ", $E9))),  "PKE", "N/A")),
   TB_DEFESA!$N$2)</f>
        <v>N/A</v>
      </c>
      <c r="V26" s="656"/>
      <c r="Y26" s="659" t="str">
        <f>IF(Defesa!L26 = "", "", Defesa!L26)</f>
        <v/>
      </c>
      <c r="Z26" s="660"/>
      <c r="AA26" s="661"/>
      <c r="AB26" s="639" t="str">
        <f>IF(Defesa!M26 = "", "", Defesa!M26)</f>
        <v/>
      </c>
      <c r="AC26" s="639"/>
      <c r="AD26" s="639" t="str">
        <f>IF(Defesa!N26 = "", "", Defesa!N26)</f>
        <v/>
      </c>
      <c r="AE26" s="639"/>
    </row>
    <row r="27" spans="2:31" x14ac:dyDescent="0.25">
      <c r="B27" s="674"/>
      <c r="C27" s="675"/>
      <c r="D27" s="675"/>
      <c r="E27" s="675"/>
      <c r="F27" s="675"/>
      <c r="G27" s="675"/>
      <c r="H27" s="675"/>
      <c r="I27" s="675"/>
      <c r="J27" s="675"/>
      <c r="K27" s="675"/>
      <c r="L27" s="676"/>
      <c r="N27" s="640" t="s">
        <v>828</v>
      </c>
      <c r="O27" s="641"/>
      <c r="P27" s="642" t="str">
        <f>TB_DEFESA!$O$2</f>
        <v>DEZ/2018</v>
      </c>
      <c r="Q27" s="643"/>
      <c r="R27" s="644"/>
      <c r="S27" s="653"/>
      <c r="T27" s="654"/>
      <c r="U27" s="657"/>
      <c r="V27" s="658"/>
      <c r="W27" s="262"/>
      <c r="X27" s="262"/>
    </row>
    <row r="28" spans="2:31" x14ac:dyDescent="0.25"/>
    <row r="29" spans="2:31" ht="15" customHeight="1" x14ac:dyDescent="0.25">
      <c r="B29" s="497" t="s">
        <v>813</v>
      </c>
      <c r="C29" s="498"/>
      <c r="D29" s="498"/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9"/>
    </row>
    <row r="30" spans="2:31" ht="13.5" thickBot="1" x14ac:dyDescent="0.3">
      <c r="B30" s="264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5"/>
    </row>
    <row r="31" spans="2:31" ht="25.5" customHeight="1" thickBot="1" x14ac:dyDescent="0.3">
      <c r="B31" s="264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645">
        <f>TABELAS!R2</f>
        <v>2018</v>
      </c>
      <c r="S31" s="646"/>
      <c r="T31" s="647">
        <f>R31 + 1</f>
        <v>2019</v>
      </c>
      <c r="U31" s="646"/>
      <c r="V31" s="647" t="s">
        <v>76</v>
      </c>
      <c r="W31" s="648"/>
      <c r="X31" s="645" t="s">
        <v>815</v>
      </c>
      <c r="Y31" s="648"/>
      <c r="Z31" s="262"/>
      <c r="AA31" s="262"/>
      <c r="AB31" s="262"/>
      <c r="AC31" s="262"/>
      <c r="AD31" s="262"/>
      <c r="AE31" s="265"/>
    </row>
    <row r="32" spans="2:31" ht="15" customHeight="1" x14ac:dyDescent="0.25">
      <c r="B32" s="264"/>
      <c r="C32" s="262"/>
      <c r="D32" s="262"/>
      <c r="E32" s="262"/>
      <c r="F32" s="262"/>
      <c r="G32" s="262"/>
      <c r="H32" s="262"/>
      <c r="I32" s="262"/>
      <c r="J32" s="262"/>
      <c r="K32" s="633" t="s">
        <v>57</v>
      </c>
      <c r="L32" s="634"/>
      <c r="M32" s="614" t="s">
        <v>921</v>
      </c>
      <c r="N32" s="614"/>
      <c r="O32" s="614"/>
      <c r="P32" s="614"/>
      <c r="Q32" s="615"/>
      <c r="R32" s="635">
        <f>SUMIFS(Propostas!$AD:$AD, Propostas!$AH:$AH, "NÃO", Propostas!$AM:$AM, FICHA!$M32, Propostas!$BC:$BC, $R$31)</f>
        <v>0</v>
      </c>
      <c r="S32" s="636"/>
      <c r="T32" s="637">
        <f>SUMIFS(Propostas!$AD:$AD, Propostas!$AH:$AH, "NÃO", Propostas!$AM:$AM, FICHA!$M32, Propostas!$BC:$BC, $T$31)</f>
        <v>0</v>
      </c>
      <c r="U32" s="636"/>
      <c r="V32" s="637">
        <f>SUMIFS(Propostas!$AD:$AD, Propostas!$AH:$AH, "NÃO", Propostas!$AM:$AM, FICHA!$M32, Propostas!$BC:$BC, $V$31)</f>
        <v>0</v>
      </c>
      <c r="W32" s="638"/>
      <c r="X32" s="635">
        <f>SUM(R32+T32+V32)</f>
        <v>0</v>
      </c>
      <c r="Y32" s="638"/>
      <c r="Z32" s="262"/>
      <c r="AA32" s="262"/>
      <c r="AB32" s="262"/>
      <c r="AC32" s="262"/>
      <c r="AD32" s="262"/>
      <c r="AE32" s="265"/>
    </row>
    <row r="33" spans="2:31" ht="12.75" customHeight="1" x14ac:dyDescent="0.25">
      <c r="B33" s="264"/>
      <c r="C33" s="262"/>
      <c r="D33" s="262"/>
      <c r="E33" s="262"/>
      <c r="F33" s="262"/>
      <c r="G33" s="262"/>
      <c r="H33" s="262"/>
      <c r="I33" s="262"/>
      <c r="J33" s="262"/>
      <c r="K33" s="266"/>
      <c r="L33" s="267"/>
      <c r="M33" s="599" t="s">
        <v>268</v>
      </c>
      <c r="N33" s="599"/>
      <c r="O33" s="599"/>
      <c r="P33" s="599"/>
      <c r="Q33" s="600"/>
      <c r="R33" s="601">
        <f>SUMIFS(Propostas!$AD:$AD, Propostas!$AH:$AH, "NÃO", Propostas!$AM:$AM, "Serviços", Propostas!$BD:$BD, 0, Propostas!$BC:$BC, $R$31)</f>
        <v>5000000</v>
      </c>
      <c r="S33" s="602"/>
      <c r="T33" s="603">
        <f>SUMIFS(Propostas!$AD:$AD, Propostas!$AH:$AH, "NÃO", Propostas!$AM:$AM, "Serviços", Propostas!$BD:$BD, 0, Propostas!$BC:$BC, $T$31)</f>
        <v>0</v>
      </c>
      <c r="U33" s="602"/>
      <c r="V33" s="603">
        <f>SUMIFS(Propostas!$AD:$AD, Propostas!$AH:$AH, "NÃO", Propostas!$AM:$AM, "Serviços", Propostas!$BD:$BD, 0, Propostas!$BC:$BC, $V$31)</f>
        <v>0</v>
      </c>
      <c r="W33" s="604"/>
      <c r="X33" s="601">
        <f t="shared" ref="X33:X51" si="0">SUM(R33+T33+V33)</f>
        <v>5000000</v>
      </c>
      <c r="Y33" s="604"/>
      <c r="Z33" s="262"/>
      <c r="AA33" s="262"/>
      <c r="AB33" s="262"/>
      <c r="AC33" s="262"/>
      <c r="AD33" s="262"/>
      <c r="AE33" s="265"/>
    </row>
    <row r="34" spans="2:31" ht="15" customHeight="1" x14ac:dyDescent="0.25">
      <c r="B34" s="264"/>
      <c r="C34" s="262"/>
      <c r="D34" s="262"/>
      <c r="E34" s="262"/>
      <c r="F34" s="262"/>
      <c r="G34" s="262"/>
      <c r="H34" s="262"/>
      <c r="I34" s="262"/>
      <c r="J34" s="262"/>
      <c r="K34" s="266"/>
      <c r="L34" s="267"/>
      <c r="M34" s="627" t="s">
        <v>814</v>
      </c>
      <c r="N34" s="627"/>
      <c r="O34" s="627"/>
      <c r="P34" s="627"/>
      <c r="Q34" s="628"/>
      <c r="R34" s="601">
        <f>SUMIFS(Propostas!$AD:$AD, Propostas!$AH:$AH, "NÃO", Propostas!$BD:$BD, 2, Propostas!$BC:$BC, $R$31)</f>
        <v>0</v>
      </c>
      <c r="S34" s="602"/>
      <c r="T34" s="629">
        <f>SUMIFS(Propostas!$AD:$AD, Propostas!$AH:$AH, "NÃO", Propostas!$AM:$AM, "Serviços", Propostas!$BD:$BD, 2, Propostas!$BC:$BC, $T$31)</f>
        <v>0</v>
      </c>
      <c r="U34" s="630"/>
      <c r="V34" s="629">
        <f>SUMIFS(Propostas!$AD:$AD, Propostas!$AH:$AH, "NÃO", Propostas!$AM:$AM, "Serviços", Propostas!$BD:$BD, 2, Propostas!$BC:$BC, $V$31)</f>
        <v>0</v>
      </c>
      <c r="W34" s="631"/>
      <c r="X34" s="632">
        <f t="shared" si="0"/>
        <v>0</v>
      </c>
      <c r="Y34" s="631"/>
      <c r="Z34" s="262"/>
      <c r="AA34" s="262"/>
      <c r="AB34" s="262"/>
      <c r="AC34" s="262"/>
      <c r="AD34" s="262"/>
      <c r="AE34" s="265"/>
    </row>
    <row r="35" spans="2:31" ht="12.75" customHeight="1" x14ac:dyDescent="0.25">
      <c r="B35" s="264"/>
      <c r="C35" s="262"/>
      <c r="D35" s="262"/>
      <c r="E35" s="262"/>
      <c r="F35" s="262"/>
      <c r="G35" s="262"/>
      <c r="H35" s="262"/>
      <c r="I35" s="262"/>
      <c r="J35" s="262"/>
      <c r="K35" s="266"/>
      <c r="L35" s="618" t="s">
        <v>33</v>
      </c>
      <c r="M35" s="619" t="str">
        <f t="shared" ref="M35:M46" si="1">Y15</f>
        <v>Accenture - Testes</v>
      </c>
      <c r="N35" s="619"/>
      <c r="O35" s="619"/>
      <c r="P35" s="619"/>
      <c r="Q35" s="620"/>
      <c r="R35" s="621">
        <f t="shared" ref="R35:R46" si="2">IF(AB15= "", 0, AB15)</f>
        <v>0</v>
      </c>
      <c r="S35" s="622"/>
      <c r="T35" s="623">
        <v>0</v>
      </c>
      <c r="U35" s="624"/>
      <c r="V35" s="623">
        <v>0</v>
      </c>
      <c r="W35" s="625"/>
      <c r="X35" s="626">
        <f t="shared" si="0"/>
        <v>0</v>
      </c>
      <c r="Y35" s="625"/>
      <c r="Z35" s="262"/>
      <c r="AA35" s="262"/>
      <c r="AB35" s="262"/>
      <c r="AC35" s="262"/>
      <c r="AD35" s="262"/>
      <c r="AE35" s="265"/>
    </row>
    <row r="36" spans="2:31" x14ac:dyDescent="0.25">
      <c r="B36" s="264"/>
      <c r="C36" s="262"/>
      <c r="D36" s="262"/>
      <c r="E36" s="262"/>
      <c r="F36" s="262"/>
      <c r="G36" s="262"/>
      <c r="H36" s="262"/>
      <c r="I36" s="262"/>
      <c r="J36" s="262"/>
      <c r="K36" s="266"/>
      <c r="L36" s="618"/>
      <c r="M36" s="607" t="str">
        <f t="shared" si="1"/>
        <v>Accenture - Torre II</v>
      </c>
      <c r="N36" s="607"/>
      <c r="O36" s="607"/>
      <c r="P36" s="607"/>
      <c r="Q36" s="608"/>
      <c r="R36" s="609">
        <f t="shared" si="2"/>
        <v>0</v>
      </c>
      <c r="S36" s="610"/>
      <c r="T36" s="603">
        <v>0</v>
      </c>
      <c r="U36" s="602"/>
      <c r="V36" s="603">
        <v>0</v>
      </c>
      <c r="W36" s="604"/>
      <c r="X36" s="601">
        <f t="shared" si="0"/>
        <v>0</v>
      </c>
      <c r="Y36" s="604"/>
      <c r="Z36" s="262"/>
      <c r="AA36" s="262"/>
      <c r="AB36" s="262"/>
      <c r="AC36" s="262"/>
      <c r="AD36" s="262"/>
      <c r="AE36" s="265"/>
    </row>
    <row r="37" spans="2:31" x14ac:dyDescent="0.25">
      <c r="B37" s="264"/>
      <c r="C37" s="262"/>
      <c r="D37" s="262"/>
      <c r="E37" s="262"/>
      <c r="F37" s="262"/>
      <c r="G37" s="262"/>
      <c r="H37" s="262"/>
      <c r="I37" s="262"/>
      <c r="J37" s="262"/>
      <c r="K37" s="266"/>
      <c r="L37" s="618"/>
      <c r="M37" s="607" t="str">
        <f t="shared" si="1"/>
        <v>Amdocs</v>
      </c>
      <c r="N37" s="607"/>
      <c r="O37" s="607"/>
      <c r="P37" s="607"/>
      <c r="Q37" s="608"/>
      <c r="R37" s="609">
        <f t="shared" si="2"/>
        <v>0</v>
      </c>
      <c r="S37" s="610"/>
      <c r="T37" s="603">
        <v>0</v>
      </c>
      <c r="U37" s="602"/>
      <c r="V37" s="603">
        <v>0</v>
      </c>
      <c r="W37" s="604"/>
      <c r="X37" s="601">
        <f t="shared" si="0"/>
        <v>0</v>
      </c>
      <c r="Y37" s="604"/>
      <c r="Z37" s="262"/>
      <c r="AA37" s="262"/>
      <c r="AB37" s="262"/>
      <c r="AC37" s="262"/>
      <c r="AD37" s="262"/>
      <c r="AE37" s="265"/>
    </row>
    <row r="38" spans="2:31" x14ac:dyDescent="0.25">
      <c r="B38" s="264"/>
      <c r="C38" s="262"/>
      <c r="D38" s="262"/>
      <c r="E38" s="262"/>
      <c r="F38" s="262"/>
      <c r="G38" s="262"/>
      <c r="H38" s="262"/>
      <c r="I38" s="262"/>
      <c r="J38" s="262"/>
      <c r="K38" s="266"/>
      <c r="L38" s="618"/>
      <c r="M38" s="607" t="str">
        <f t="shared" si="1"/>
        <v>Capgemini - Torre III</v>
      </c>
      <c r="N38" s="607"/>
      <c r="O38" s="607"/>
      <c r="P38" s="607"/>
      <c r="Q38" s="608"/>
      <c r="R38" s="609">
        <f t="shared" si="2"/>
        <v>0</v>
      </c>
      <c r="S38" s="610"/>
      <c r="T38" s="603">
        <v>0</v>
      </c>
      <c r="U38" s="602"/>
      <c r="V38" s="603">
        <v>0</v>
      </c>
      <c r="W38" s="604"/>
      <c r="X38" s="601">
        <f t="shared" si="0"/>
        <v>0</v>
      </c>
      <c r="Y38" s="604"/>
      <c r="Z38" s="262"/>
      <c r="AA38" s="262"/>
      <c r="AB38" s="262"/>
      <c r="AC38" s="262"/>
      <c r="AD38" s="262"/>
      <c r="AE38" s="265"/>
    </row>
    <row r="39" spans="2:31" x14ac:dyDescent="0.25">
      <c r="B39" s="264"/>
      <c r="C39" s="262"/>
      <c r="D39" s="262"/>
      <c r="E39" s="262"/>
      <c r="F39" s="262"/>
      <c r="G39" s="262"/>
      <c r="H39" s="262"/>
      <c r="I39" s="262"/>
      <c r="J39" s="262"/>
      <c r="K39" s="266"/>
      <c r="L39" s="618"/>
      <c r="M39" s="607" t="str">
        <f t="shared" si="1"/>
        <v>Capgemini - Torre VI</v>
      </c>
      <c r="N39" s="607"/>
      <c r="O39" s="607"/>
      <c r="P39" s="607"/>
      <c r="Q39" s="608"/>
      <c r="R39" s="609">
        <f t="shared" si="2"/>
        <v>0</v>
      </c>
      <c r="S39" s="610"/>
      <c r="T39" s="603">
        <v>0</v>
      </c>
      <c r="U39" s="602"/>
      <c r="V39" s="603">
        <v>0</v>
      </c>
      <c r="W39" s="604"/>
      <c r="X39" s="601">
        <f t="shared" si="0"/>
        <v>0</v>
      </c>
      <c r="Y39" s="604"/>
      <c r="Z39" s="262"/>
      <c r="AA39" s="262"/>
      <c r="AB39" s="262"/>
      <c r="AC39" s="262"/>
      <c r="AD39" s="262"/>
      <c r="AE39" s="265"/>
    </row>
    <row r="40" spans="2:31" x14ac:dyDescent="0.25">
      <c r="B40" s="264"/>
      <c r="C40" s="262"/>
      <c r="D40" s="262"/>
      <c r="E40" s="262"/>
      <c r="F40" s="262"/>
      <c r="G40" s="262"/>
      <c r="H40" s="262"/>
      <c r="I40" s="262"/>
      <c r="J40" s="262"/>
      <c r="K40" s="266"/>
      <c r="L40" s="618"/>
      <c r="M40" s="607" t="str">
        <f t="shared" si="1"/>
        <v>CPqD</v>
      </c>
      <c r="N40" s="607"/>
      <c r="O40" s="607"/>
      <c r="P40" s="607"/>
      <c r="Q40" s="608"/>
      <c r="R40" s="609">
        <f t="shared" si="2"/>
        <v>0</v>
      </c>
      <c r="S40" s="610"/>
      <c r="T40" s="603">
        <v>0</v>
      </c>
      <c r="U40" s="602"/>
      <c r="V40" s="603">
        <v>0</v>
      </c>
      <c r="W40" s="604"/>
      <c r="X40" s="601">
        <f t="shared" si="0"/>
        <v>0</v>
      </c>
      <c r="Y40" s="604"/>
      <c r="Z40" s="262"/>
      <c r="AA40" s="262"/>
      <c r="AB40" s="262"/>
      <c r="AC40" s="262"/>
      <c r="AD40" s="262"/>
      <c r="AE40" s="265"/>
    </row>
    <row r="41" spans="2:31" x14ac:dyDescent="0.25">
      <c r="B41" s="264"/>
      <c r="C41" s="262"/>
      <c r="D41" s="262"/>
      <c r="E41" s="262"/>
      <c r="F41" s="262"/>
      <c r="G41" s="262"/>
      <c r="H41" s="262"/>
      <c r="I41" s="262"/>
      <c r="J41" s="262"/>
      <c r="K41" s="266"/>
      <c r="L41" s="618"/>
      <c r="M41" s="607" t="str">
        <f t="shared" si="1"/>
        <v>IBM</v>
      </c>
      <c r="N41" s="607"/>
      <c r="O41" s="607"/>
      <c r="P41" s="607"/>
      <c r="Q41" s="608"/>
      <c r="R41" s="609">
        <f t="shared" si="2"/>
        <v>0</v>
      </c>
      <c r="S41" s="610"/>
      <c r="T41" s="603">
        <v>0</v>
      </c>
      <c r="U41" s="602"/>
      <c r="V41" s="603">
        <v>0</v>
      </c>
      <c r="W41" s="604"/>
      <c r="X41" s="601">
        <f t="shared" si="0"/>
        <v>0</v>
      </c>
      <c r="Y41" s="604"/>
      <c r="Z41" s="262"/>
      <c r="AA41" s="262"/>
      <c r="AB41" s="262"/>
      <c r="AC41" s="262"/>
      <c r="AD41" s="262"/>
      <c r="AE41" s="265"/>
    </row>
    <row r="42" spans="2:31" x14ac:dyDescent="0.25">
      <c r="B42" s="264"/>
      <c r="C42" s="262"/>
      <c r="D42" s="262"/>
      <c r="E42" s="262"/>
      <c r="F42" s="262"/>
      <c r="G42" s="262"/>
      <c r="H42" s="262"/>
      <c r="I42" s="262"/>
      <c r="J42" s="262"/>
      <c r="K42" s="266"/>
      <c r="L42" s="618"/>
      <c r="M42" s="607" t="str">
        <f t="shared" si="1"/>
        <v>Link - Teste Integrado</v>
      </c>
      <c r="N42" s="607"/>
      <c r="O42" s="607"/>
      <c r="P42" s="607"/>
      <c r="Q42" s="608"/>
      <c r="R42" s="609">
        <f t="shared" si="2"/>
        <v>0</v>
      </c>
      <c r="S42" s="610"/>
      <c r="T42" s="603">
        <v>0</v>
      </c>
      <c r="U42" s="602"/>
      <c r="V42" s="603">
        <v>0</v>
      </c>
      <c r="W42" s="604"/>
      <c r="X42" s="601">
        <f t="shared" si="0"/>
        <v>0</v>
      </c>
      <c r="Y42" s="604"/>
      <c r="Z42" s="262"/>
      <c r="AA42" s="262"/>
      <c r="AB42" s="262"/>
      <c r="AC42" s="262"/>
      <c r="AD42" s="262"/>
      <c r="AE42" s="265"/>
    </row>
    <row r="43" spans="2:31" x14ac:dyDescent="0.25">
      <c r="B43" s="264"/>
      <c r="C43" s="262"/>
      <c r="D43" s="262"/>
      <c r="E43" s="262"/>
      <c r="F43" s="262"/>
      <c r="G43" s="262"/>
      <c r="H43" s="262"/>
      <c r="I43" s="262"/>
      <c r="J43" s="262"/>
      <c r="K43" s="266"/>
      <c r="L43" s="618"/>
      <c r="M43" s="607" t="str">
        <f t="shared" si="1"/>
        <v>Oracle</v>
      </c>
      <c r="N43" s="607"/>
      <c r="O43" s="607"/>
      <c r="P43" s="607"/>
      <c r="Q43" s="608"/>
      <c r="R43" s="609">
        <f t="shared" si="2"/>
        <v>0</v>
      </c>
      <c r="S43" s="610"/>
      <c r="T43" s="603">
        <v>0</v>
      </c>
      <c r="U43" s="602"/>
      <c r="V43" s="603">
        <v>0</v>
      </c>
      <c r="W43" s="604"/>
      <c r="X43" s="601">
        <f t="shared" si="0"/>
        <v>0</v>
      </c>
      <c r="Y43" s="604"/>
      <c r="Z43" s="262"/>
      <c r="AA43" s="262"/>
      <c r="AB43" s="262"/>
      <c r="AC43" s="262"/>
      <c r="AD43" s="262"/>
      <c r="AE43" s="265"/>
    </row>
    <row r="44" spans="2:31" x14ac:dyDescent="0.25">
      <c r="B44" s="264"/>
      <c r="C44" s="262"/>
      <c r="D44" s="262"/>
      <c r="E44" s="262"/>
      <c r="F44" s="262"/>
      <c r="G44" s="262"/>
      <c r="H44" s="262"/>
      <c r="I44" s="262"/>
      <c r="J44" s="262"/>
      <c r="K44" s="266"/>
      <c r="L44" s="618"/>
      <c r="M44" s="607" t="str">
        <f t="shared" si="1"/>
        <v>OPEN LABS</v>
      </c>
      <c r="N44" s="607"/>
      <c r="O44" s="607"/>
      <c r="P44" s="607"/>
      <c r="Q44" s="608"/>
      <c r="R44" s="609">
        <f t="shared" si="2"/>
        <v>0</v>
      </c>
      <c r="S44" s="610"/>
      <c r="T44" s="603">
        <v>0</v>
      </c>
      <c r="U44" s="602"/>
      <c r="V44" s="603">
        <v>0</v>
      </c>
      <c r="W44" s="604"/>
      <c r="X44" s="601">
        <f t="shared" si="0"/>
        <v>0</v>
      </c>
      <c r="Y44" s="604"/>
      <c r="Z44" s="262"/>
      <c r="AA44" s="262"/>
      <c r="AB44" s="262"/>
      <c r="AC44" s="262"/>
      <c r="AD44" s="262"/>
      <c r="AE44" s="265"/>
    </row>
    <row r="45" spans="2:31" x14ac:dyDescent="0.25">
      <c r="B45" s="264"/>
      <c r="C45" s="262"/>
      <c r="D45" s="262"/>
      <c r="E45" s="262"/>
      <c r="F45" s="262"/>
      <c r="G45" s="262"/>
      <c r="H45" s="262"/>
      <c r="I45" s="262"/>
      <c r="J45" s="262"/>
      <c r="K45" s="266"/>
      <c r="L45" s="618"/>
      <c r="M45" s="607" t="str">
        <f t="shared" si="1"/>
        <v>Squadra - Torre IV</v>
      </c>
      <c r="N45" s="607"/>
      <c r="O45" s="607"/>
      <c r="P45" s="607"/>
      <c r="Q45" s="608"/>
      <c r="R45" s="609">
        <f t="shared" si="2"/>
        <v>0</v>
      </c>
      <c r="S45" s="610"/>
      <c r="T45" s="603">
        <v>0</v>
      </c>
      <c r="U45" s="602"/>
      <c r="V45" s="603">
        <v>0</v>
      </c>
      <c r="W45" s="604"/>
      <c r="X45" s="601">
        <f t="shared" si="0"/>
        <v>0</v>
      </c>
      <c r="Y45" s="604"/>
      <c r="Z45" s="262"/>
      <c r="AA45" s="262"/>
      <c r="AB45" s="262"/>
      <c r="AC45" s="262"/>
      <c r="AD45" s="262"/>
      <c r="AE45" s="265"/>
    </row>
    <row r="46" spans="2:31" ht="13.5" thickBot="1" x14ac:dyDescent="0.3">
      <c r="B46" s="264"/>
      <c r="C46" s="262"/>
      <c r="D46" s="262"/>
      <c r="E46" s="262"/>
      <c r="F46" s="262"/>
      <c r="G46" s="262"/>
      <c r="H46" s="262"/>
      <c r="I46" s="262"/>
      <c r="J46" s="262"/>
      <c r="K46" s="266"/>
      <c r="L46" s="618"/>
      <c r="M46" s="607" t="str">
        <f t="shared" si="1"/>
        <v/>
      </c>
      <c r="N46" s="607"/>
      <c r="O46" s="607"/>
      <c r="P46" s="607"/>
      <c r="Q46" s="608"/>
      <c r="R46" s="609">
        <f t="shared" si="2"/>
        <v>0</v>
      </c>
      <c r="S46" s="610"/>
      <c r="T46" s="603">
        <v>0</v>
      </c>
      <c r="U46" s="602"/>
      <c r="V46" s="603">
        <v>0</v>
      </c>
      <c r="W46" s="604"/>
      <c r="X46" s="601">
        <f t="shared" si="0"/>
        <v>0</v>
      </c>
      <c r="Y46" s="604"/>
      <c r="Z46" s="262"/>
      <c r="AA46" s="262"/>
      <c r="AB46" s="262"/>
      <c r="AC46" s="262"/>
      <c r="AD46" s="262"/>
      <c r="AE46" s="265"/>
    </row>
    <row r="47" spans="2:31" x14ac:dyDescent="0.25">
      <c r="B47" s="264"/>
      <c r="C47" s="262"/>
      <c r="D47" s="262"/>
      <c r="E47" s="262"/>
      <c r="F47" s="262"/>
      <c r="G47" s="262"/>
      <c r="H47" s="262"/>
      <c r="I47" s="262"/>
      <c r="J47" s="262"/>
      <c r="K47" s="611" t="s">
        <v>230</v>
      </c>
      <c r="L47" s="612"/>
      <c r="M47" s="613" t="s">
        <v>882</v>
      </c>
      <c r="N47" s="614"/>
      <c r="O47" s="614"/>
      <c r="P47" s="614"/>
      <c r="Q47" s="615"/>
      <c r="R47" s="605">
        <f>SUMIFS(Propostas!$AD:$AD, Propostas!$AH:$AH, "SIM", Propostas!$AM:$AM, $M47, Propostas!$BC:$BC, $R$31)</f>
        <v>0</v>
      </c>
      <c r="S47" s="616"/>
      <c r="T47" s="617">
        <f>SUMIFS(Propostas!$AD:$AD, Propostas!$AH:$AH, "SIM", Propostas!$AM:$AM, $M47, Propostas!$BC:$BC, $T$31)</f>
        <v>0</v>
      </c>
      <c r="U47" s="616"/>
      <c r="V47" s="617">
        <f>SUMIFS(Propostas!$AD:$AD, Propostas!$AH:$AH, "SIM", Propostas!$AM:$AM, $M47, Propostas!$BC:$BC, $V$31)</f>
        <v>0</v>
      </c>
      <c r="W47" s="606"/>
      <c r="X47" s="605">
        <f t="shared" si="0"/>
        <v>0</v>
      </c>
      <c r="Y47" s="606"/>
      <c r="Z47" s="262"/>
      <c r="AA47" s="262"/>
      <c r="AB47" s="262"/>
      <c r="AC47" s="262"/>
      <c r="AD47" s="262"/>
      <c r="AE47" s="265"/>
    </row>
    <row r="48" spans="2:31" x14ac:dyDescent="0.25">
      <c r="B48" s="264"/>
      <c r="C48" s="262"/>
      <c r="D48" s="262"/>
      <c r="E48" s="262"/>
      <c r="F48" s="262"/>
      <c r="G48" s="262"/>
      <c r="H48" s="262"/>
      <c r="I48" s="262"/>
      <c r="J48" s="262"/>
      <c r="K48" s="268"/>
      <c r="L48" s="269"/>
      <c r="M48" s="598" t="s">
        <v>850</v>
      </c>
      <c r="N48" s="599"/>
      <c r="O48" s="599"/>
      <c r="P48" s="599"/>
      <c r="Q48" s="600"/>
      <c r="R48" s="601">
        <f>SUMIFS(Propostas!$AD:$AD, Propostas!$AH:$AH, "SIM", Propostas!$AM:$AM, $M48, Propostas!$BC:$BC, $R$31)</f>
        <v>0</v>
      </c>
      <c r="S48" s="602"/>
      <c r="T48" s="603">
        <f>SUMIFS(Propostas!$AD:$AD, Propostas!$AH:$AH, "SIM", Propostas!$AM:$AM, $M48, Propostas!$BC:$BC, $T$31)</f>
        <v>0</v>
      </c>
      <c r="U48" s="602"/>
      <c r="V48" s="603">
        <f>SUMIFS(Propostas!$AD:$AD, Propostas!$AH:$AH, "SIM", Propostas!$AM:$AM, $M48, Propostas!$BC:$BC, $V$31)</f>
        <v>0</v>
      </c>
      <c r="W48" s="604"/>
      <c r="X48" s="601">
        <f t="shared" si="0"/>
        <v>0</v>
      </c>
      <c r="Y48" s="604"/>
      <c r="Z48" s="262"/>
      <c r="AA48" s="262"/>
      <c r="AB48" s="262"/>
      <c r="AC48" s="262"/>
      <c r="AD48" s="262"/>
      <c r="AE48" s="265"/>
    </row>
    <row r="49" spans="2:31" x14ac:dyDescent="0.25">
      <c r="B49" s="264"/>
      <c r="C49" s="262"/>
      <c r="D49" s="262"/>
      <c r="E49" s="262"/>
      <c r="F49" s="262"/>
      <c r="G49" s="262"/>
      <c r="H49" s="262"/>
      <c r="I49" s="262"/>
      <c r="J49" s="262"/>
      <c r="K49" s="268"/>
      <c r="L49" s="269"/>
      <c r="M49" s="598" t="s">
        <v>57</v>
      </c>
      <c r="N49" s="599"/>
      <c r="O49" s="599"/>
      <c r="P49" s="599"/>
      <c r="Q49" s="600"/>
      <c r="R49" s="601">
        <f>SUMIFS(Propostas!$AD:$AD, Propostas!$AH:$AH, "SIM", Propostas!$AM:$AM, $M49, Propostas!$BC:$BC, $R$31)</f>
        <v>0</v>
      </c>
      <c r="S49" s="602"/>
      <c r="T49" s="603">
        <f>SUMIFS(Propostas!$AD:$AD, Propostas!$AH:$AH, "SIM", Propostas!$AM:$AM, $M49, Propostas!$BC:$BC, $T$31)</f>
        <v>0</v>
      </c>
      <c r="U49" s="602"/>
      <c r="V49" s="603">
        <f>SUMIFS(Propostas!$AD:$AD, Propostas!$AH:$AH, "SIM", Propostas!$AM:$AM, $M49, Propostas!$BC:$BC, $V$31)</f>
        <v>0</v>
      </c>
      <c r="W49" s="604"/>
      <c r="X49" s="601">
        <f t="shared" si="0"/>
        <v>0</v>
      </c>
      <c r="Y49" s="604"/>
      <c r="Z49" s="262"/>
      <c r="AA49" s="262"/>
      <c r="AB49" s="262"/>
      <c r="AC49" s="262"/>
      <c r="AD49" s="262"/>
      <c r="AE49" s="265"/>
    </row>
    <row r="50" spans="2:31" x14ac:dyDescent="0.25">
      <c r="B50" s="264"/>
      <c r="C50" s="262"/>
      <c r="D50" s="262"/>
      <c r="E50" s="262"/>
      <c r="F50" s="262"/>
      <c r="G50" s="262"/>
      <c r="H50" s="262"/>
      <c r="I50" s="262"/>
      <c r="J50" s="262"/>
      <c r="K50" s="268"/>
      <c r="L50" s="269"/>
      <c r="M50" s="598" t="s">
        <v>922</v>
      </c>
      <c r="N50" s="599"/>
      <c r="O50" s="599"/>
      <c r="P50" s="599"/>
      <c r="Q50" s="600"/>
      <c r="R50" s="601">
        <f>SUMIFS(Propostas!$AD:$AD, Propostas!$AH:$AH, "SIM", Propostas!$AM:$AM, $M50, Propostas!$BC:$BC, $R$31)</f>
        <v>0</v>
      </c>
      <c r="S50" s="602"/>
      <c r="T50" s="603">
        <f>SUMIFS(Propostas!$AD:$AD, Propostas!$AH:$AH, "SIM", Propostas!$AM:$AM, $M50, Propostas!$BC:$BC, $T$31)</f>
        <v>0</v>
      </c>
      <c r="U50" s="602"/>
      <c r="V50" s="603">
        <f>SUMIFS(Propostas!$AD:$AD, Propostas!$AH:$AH, "SIM", Propostas!$AM:$AM, $M50, Propostas!$BC:$BC, $V$31)</f>
        <v>0</v>
      </c>
      <c r="W50" s="604"/>
      <c r="X50" s="601">
        <f t="shared" si="0"/>
        <v>0</v>
      </c>
      <c r="Y50" s="604"/>
      <c r="Z50" s="262"/>
      <c r="AA50" s="262"/>
      <c r="AB50" s="262"/>
      <c r="AC50" s="262"/>
      <c r="AD50" s="262"/>
      <c r="AE50" s="265"/>
    </row>
    <row r="51" spans="2:31" ht="15.75" customHeight="1" thickBot="1" x14ac:dyDescent="0.3">
      <c r="B51" s="264"/>
      <c r="C51" s="262"/>
      <c r="D51" s="262"/>
      <c r="E51" s="262"/>
      <c r="F51" s="262"/>
      <c r="G51" s="262"/>
      <c r="H51" s="262"/>
      <c r="I51" s="262"/>
      <c r="J51" s="262"/>
      <c r="K51" s="270"/>
      <c r="L51" s="271"/>
      <c r="M51" s="591" t="s">
        <v>921</v>
      </c>
      <c r="N51" s="592"/>
      <c r="O51" s="592"/>
      <c r="P51" s="592"/>
      <c r="Q51" s="593"/>
      <c r="R51" s="594">
        <f>SUMIFS(Propostas!$AD:$AD, Propostas!$AH:$AH, "SIM", Propostas!$AM:$AM, $M51, Propostas!$BC:$BC, $R$31)</f>
        <v>0</v>
      </c>
      <c r="S51" s="595"/>
      <c r="T51" s="596">
        <f>SUMIFS(Propostas!$AD:$AD, Propostas!$AH:$AH, "SIM", Propostas!$AM:$AM, $M51, Propostas!$BC:$BC, $T$31)</f>
        <v>0</v>
      </c>
      <c r="U51" s="595"/>
      <c r="V51" s="596">
        <f>SUMIFS(Propostas!$AD:$AD, Propostas!$AH:$AH, "SIM", Propostas!$AM:$AM, $M51, Propostas!$BC:$BC, $V$31)</f>
        <v>0</v>
      </c>
      <c r="W51" s="597"/>
      <c r="X51" s="594">
        <f t="shared" si="0"/>
        <v>0</v>
      </c>
      <c r="Y51" s="597"/>
      <c r="Z51" s="262"/>
      <c r="AA51" s="262"/>
      <c r="AB51" s="262"/>
      <c r="AC51" s="262"/>
      <c r="AD51" s="262"/>
      <c r="AE51" s="265"/>
    </row>
    <row r="52" spans="2:31" x14ac:dyDescent="0.25">
      <c r="B52" s="272"/>
      <c r="C52" s="258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258"/>
      <c r="R52" s="258"/>
      <c r="S52" s="258"/>
      <c r="T52" s="258"/>
      <c r="U52" s="258"/>
      <c r="V52" s="258"/>
      <c r="W52" s="258"/>
      <c r="X52" s="258"/>
      <c r="Y52" s="258"/>
      <c r="Z52" s="258"/>
      <c r="AA52" s="258"/>
      <c r="AB52" s="258"/>
      <c r="AC52" s="258"/>
      <c r="AD52" s="258"/>
      <c r="AE52" s="273"/>
    </row>
    <row r="53" spans="2:31" x14ac:dyDescent="0.25"/>
    <row r="54" spans="2:31" ht="14.25" x14ac:dyDescent="0.25">
      <c r="B54" s="497" t="s">
        <v>829</v>
      </c>
      <c r="C54" s="498"/>
      <c r="D54" s="498"/>
      <c r="E54" s="498"/>
      <c r="F54" s="498"/>
      <c r="G54" s="498"/>
      <c r="H54" s="498"/>
      <c r="I54" s="498"/>
      <c r="J54" s="498"/>
      <c r="K54" s="498"/>
      <c r="L54" s="498"/>
      <c r="M54" s="498"/>
      <c r="N54" s="498"/>
      <c r="O54" s="498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9"/>
    </row>
    <row r="55" spans="2:31" x14ac:dyDescent="0.25">
      <c r="B55" s="274"/>
      <c r="C55" s="275"/>
      <c r="D55" s="585" t="str">
        <f>TABELAS!$Q$2</f>
        <v>JAN/2018</v>
      </c>
      <c r="E55" s="586"/>
      <c r="F55" s="585" t="str">
        <f>TABELAS!$Q$3</f>
        <v>FEV/2018</v>
      </c>
      <c r="G55" s="586"/>
      <c r="H55" s="585" t="str">
        <f>TABELAS!$Q$4</f>
        <v>MAR/2018</v>
      </c>
      <c r="I55" s="586"/>
      <c r="J55" s="585" t="str">
        <f>TABELAS!$Q$5</f>
        <v>ABR/2018</v>
      </c>
      <c r="K55" s="586"/>
      <c r="L55" s="585" t="str">
        <f>TABELAS!$Q$6</f>
        <v>MAI/2018</v>
      </c>
      <c r="M55" s="586"/>
      <c r="N55" s="585" t="str">
        <f>TABELAS!$Q$7</f>
        <v>JUN/2018</v>
      </c>
      <c r="O55" s="586"/>
      <c r="P55" s="585" t="str">
        <f>TABELAS!$Q$8</f>
        <v>JUL/2018</v>
      </c>
      <c r="Q55" s="586"/>
      <c r="R55" s="585" t="str">
        <f>TABELAS!$Q$9</f>
        <v>AGO/2018</v>
      </c>
      <c r="S55" s="586"/>
      <c r="T55" s="585" t="str">
        <f>TABELAS!$Q$10</f>
        <v>SET/2018</v>
      </c>
      <c r="U55" s="586"/>
      <c r="V55" s="585" t="str">
        <f>TABELAS!$Q$11</f>
        <v>OUT/2018</v>
      </c>
      <c r="W55" s="586"/>
      <c r="X55" s="585" t="str">
        <f>TABELAS!$Q$12</f>
        <v>NOV/2018</v>
      </c>
      <c r="Y55" s="586"/>
      <c r="Z55" s="585" t="str">
        <f>TABELAS!$Q$13</f>
        <v>DEZ/2018</v>
      </c>
      <c r="AA55" s="586"/>
      <c r="AB55" s="585">
        <f>TABELAS!$Q$14</f>
        <v>2019</v>
      </c>
      <c r="AC55" s="586"/>
      <c r="AD55" s="587" t="str">
        <f>TABELAS!$Q$15</f>
        <v>Próximos Anos</v>
      </c>
      <c r="AE55" s="588"/>
    </row>
    <row r="56" spans="2:31" x14ac:dyDescent="0.25">
      <c r="B56" s="589" t="s">
        <v>400</v>
      </c>
      <c r="C56" s="590"/>
      <c r="D56" s="580">
        <f>SUM(D57:E58)</f>
        <v>0</v>
      </c>
      <c r="E56" s="584"/>
      <c r="F56" s="580">
        <f>SUM(F57:G58)</f>
        <v>0</v>
      </c>
      <c r="G56" s="584"/>
      <c r="H56" s="580">
        <f>SUM(H57:I58)</f>
        <v>1500000</v>
      </c>
      <c r="I56" s="584"/>
      <c r="J56" s="580">
        <f>SUM(J57:K58)</f>
        <v>0</v>
      </c>
      <c r="K56" s="584"/>
      <c r="L56" s="580">
        <f>SUM(L57:M58)</f>
        <v>0</v>
      </c>
      <c r="M56" s="584"/>
      <c r="N56" s="580">
        <f>SUM(N57:O58)</f>
        <v>0</v>
      </c>
      <c r="O56" s="584"/>
      <c r="P56" s="580">
        <f>SUM(P57:Q58)</f>
        <v>0</v>
      </c>
      <c r="Q56" s="584"/>
      <c r="R56" s="580">
        <f>SUM(R57:S58)</f>
        <v>1500000</v>
      </c>
      <c r="S56" s="584"/>
      <c r="T56" s="580">
        <f>SUM(T57:U58)</f>
        <v>0</v>
      </c>
      <c r="U56" s="584"/>
      <c r="V56" s="580">
        <f>SUM(V57:W58)</f>
        <v>0</v>
      </c>
      <c r="W56" s="584"/>
      <c r="X56" s="580">
        <f>SUM(X57:Y58)</f>
        <v>0</v>
      </c>
      <c r="Y56" s="584"/>
      <c r="Z56" s="580">
        <f>SUM(Z57:AA58)</f>
        <v>2000000</v>
      </c>
      <c r="AA56" s="584"/>
      <c r="AB56" s="580">
        <f>SUM(AB57:AC58)</f>
        <v>0</v>
      </c>
      <c r="AC56" s="584"/>
      <c r="AD56" s="580">
        <f>SUM(AD57:AE58)</f>
        <v>0</v>
      </c>
      <c r="AE56" s="581"/>
    </row>
    <row r="57" spans="2:31" x14ac:dyDescent="0.25">
      <c r="B57" s="582" t="s">
        <v>924</v>
      </c>
      <c r="C57" s="583"/>
      <c r="D57" s="577">
        <f>SUMIFS(Propostas!$AD:$AD, Propostas!$AH:$AH, "SIM", Propostas!$AC:$AC, D$55)</f>
        <v>0</v>
      </c>
      <c r="E57" s="578"/>
      <c r="F57" s="577">
        <f>SUMIFS(Propostas!$AD:$AD, Propostas!$AH:$AH, "SIM", Propostas!$AC:$AC, F$55)</f>
        <v>0</v>
      </c>
      <c r="G57" s="578"/>
      <c r="H57" s="577">
        <f>SUMIFS(Propostas!$AD:$AD, Propostas!$AH:$AH, "SIM", Propostas!$AC:$AC, H$55)</f>
        <v>0</v>
      </c>
      <c r="I57" s="578"/>
      <c r="J57" s="577">
        <f>SUMIFS(Propostas!$AD:$AD, Propostas!$AH:$AH, "SIM", Propostas!$AC:$AC, J$55)</f>
        <v>0</v>
      </c>
      <c r="K57" s="578"/>
      <c r="L57" s="577">
        <f>SUMIFS(Propostas!$AD:$AD, Propostas!$AH:$AH, "SIM", Propostas!$AC:$AC, L$55)</f>
        <v>0</v>
      </c>
      <c r="M57" s="578"/>
      <c r="N57" s="577">
        <f>SUMIFS(Propostas!$AD:$AD, Propostas!$AH:$AH, "SIM", Propostas!$AC:$AC, N$55)</f>
        <v>0</v>
      </c>
      <c r="O57" s="578"/>
      <c r="P57" s="577">
        <f>SUMIFS(Propostas!$AD:$AD, Propostas!$AH:$AH, "SIM", Propostas!$AC:$AC, P$55)</f>
        <v>0</v>
      </c>
      <c r="Q57" s="578"/>
      <c r="R57" s="577">
        <f>SUMIFS(Propostas!$AD:$AD, Propostas!$AH:$AH, "SIM", Propostas!$AC:$AC, R$55)</f>
        <v>0</v>
      </c>
      <c r="S57" s="578"/>
      <c r="T57" s="577">
        <f>SUMIFS(Propostas!$AD:$AD, Propostas!$AH:$AH, "SIM", Propostas!$AC:$AC, T$55)</f>
        <v>0</v>
      </c>
      <c r="U57" s="578"/>
      <c r="V57" s="577">
        <f>SUMIFS(Propostas!$AD:$AD, Propostas!$AH:$AH, "SIM", Propostas!$AC:$AC, V$55)</f>
        <v>0</v>
      </c>
      <c r="W57" s="578"/>
      <c r="X57" s="577">
        <f>SUMIFS(Propostas!$AD:$AD, Propostas!$AH:$AH, "SIM", Propostas!$AC:$AC, X$55)</f>
        <v>0</v>
      </c>
      <c r="Y57" s="578"/>
      <c r="Z57" s="577">
        <f>SUMIFS(Propostas!$AD:$AD, Propostas!$AH:$AH, "SIM", Propostas!$AC:$AC, Z$55)</f>
        <v>0</v>
      </c>
      <c r="AA57" s="578"/>
      <c r="AB57" s="577">
        <f>SUMIFS(Propostas!$AD:$AD, Propostas!$AH:$AH, "SIM", Propostas!$AC:$AC, AB$55)</f>
        <v>0</v>
      </c>
      <c r="AC57" s="578"/>
      <c r="AD57" s="577">
        <f>SUMIFS(Propostas!$AD:$AD, Propostas!$AH:$AH, "SIM", Propostas!$AC:$AC, AD$55)</f>
        <v>0</v>
      </c>
      <c r="AE57" s="579"/>
    </row>
    <row r="58" spans="2:31" x14ac:dyDescent="0.25">
      <c r="B58" s="575" t="s">
        <v>267</v>
      </c>
      <c r="C58" s="576"/>
      <c r="D58" s="570">
        <f>SUMIFS(Propostas!$AD:$AD, Propostas!$AH:$AH, "NÃO", Propostas!$AC:$AC, D$55)</f>
        <v>0</v>
      </c>
      <c r="E58" s="571"/>
      <c r="F58" s="570">
        <f>SUMIFS(Propostas!$AD:$AD, Propostas!$AH:$AH, "NÃO", Propostas!$AC:$AC, F$55)</f>
        <v>0</v>
      </c>
      <c r="G58" s="571"/>
      <c r="H58" s="570">
        <f>SUMIFS(Propostas!$AD:$AD, Propostas!$AH:$AH, "NÃO", Propostas!$AC:$AC, H$55)</f>
        <v>1500000</v>
      </c>
      <c r="I58" s="571"/>
      <c r="J58" s="570">
        <f>SUMIFS(Propostas!$AD:$AD, Propostas!$AH:$AH, "NÃO", Propostas!$AC:$AC, J$55)</f>
        <v>0</v>
      </c>
      <c r="K58" s="571"/>
      <c r="L58" s="570">
        <f>SUMIFS(Propostas!$AD:$AD, Propostas!$AH:$AH, "NÃO", Propostas!$AC:$AC, L$55)</f>
        <v>0</v>
      </c>
      <c r="M58" s="571"/>
      <c r="N58" s="570">
        <f>SUMIFS(Propostas!$AD:$AD, Propostas!$AH:$AH, "NÃO", Propostas!$AC:$AC, N$55)</f>
        <v>0</v>
      </c>
      <c r="O58" s="571"/>
      <c r="P58" s="570">
        <f>SUMIFS(Propostas!$AD:$AD, Propostas!$AH:$AH, "NÃO", Propostas!$AC:$AC, P$55)</f>
        <v>0</v>
      </c>
      <c r="Q58" s="571"/>
      <c r="R58" s="570">
        <f>SUMIFS(Propostas!$AD:$AD, Propostas!$AH:$AH, "NÃO", Propostas!$AC:$AC, R$55)</f>
        <v>1500000</v>
      </c>
      <c r="S58" s="571"/>
      <c r="T58" s="570">
        <f>SUMIFS(Propostas!$AD:$AD, Propostas!$AH:$AH, "NÃO", Propostas!$AC:$AC, T$55)</f>
        <v>0</v>
      </c>
      <c r="U58" s="571"/>
      <c r="V58" s="570">
        <f>SUMIFS(Propostas!$AD:$AD, Propostas!$AH:$AH, "NÃO", Propostas!$AC:$AC, V$55)</f>
        <v>0</v>
      </c>
      <c r="W58" s="571"/>
      <c r="X58" s="570">
        <f>SUMIFS(Propostas!$AD:$AD, Propostas!$AH:$AH, "NÃO", Propostas!$AC:$AC, X$55)</f>
        <v>0</v>
      </c>
      <c r="Y58" s="571"/>
      <c r="Z58" s="570">
        <f>SUMIFS(Propostas!$AD:$AD, Propostas!$AH:$AH, "NÃO", Propostas!$AC:$AC, Z$55)</f>
        <v>2000000</v>
      </c>
      <c r="AA58" s="571"/>
      <c r="AB58" s="570">
        <f>SUMIFS(Propostas!$AD:$AD, Propostas!$AH:$AH, "NÃO", Propostas!$AC:$AC, AB$55)</f>
        <v>0</v>
      </c>
      <c r="AC58" s="571"/>
      <c r="AD58" s="570">
        <f>SUMIFS(Propostas!$AD:$AD, Propostas!$AH:$AH, "NÃO", Propostas!$AC:$AC, AD$55)</f>
        <v>0</v>
      </c>
      <c r="AE58" s="572"/>
    </row>
    <row r="59" spans="2:31" ht="15" customHeight="1" x14ac:dyDescent="0.25">
      <c r="B59" s="573" t="str">
        <f>IF(Defesa!C7 = "", "", Defesa!C7)</f>
        <v>PRJ00027490</v>
      </c>
      <c r="C59" s="574"/>
      <c r="D59" s="567">
        <f>SUMIFS(Propostas!$AD:$AD, Propostas!$AC:$AC, D$55, Propostas!$C:$C, $B59)</f>
        <v>0</v>
      </c>
      <c r="E59" s="568"/>
      <c r="F59" s="567">
        <f>SUMIFS(Propostas!$AD:$AD, Propostas!$AC:$AC, F$55, Propostas!$C:$C, $B59)</f>
        <v>0</v>
      </c>
      <c r="G59" s="568"/>
      <c r="H59" s="567">
        <f>SUMIFS(Propostas!$AD:$AD, Propostas!$AC:$AC, H$55, Propostas!$C:$C, $B59)</f>
        <v>1500000</v>
      </c>
      <c r="I59" s="568"/>
      <c r="J59" s="567">
        <f>SUMIFS(Propostas!$AD:$AD, Propostas!$AC:$AC, J$55, Propostas!$C:$C, $B59)</f>
        <v>0</v>
      </c>
      <c r="K59" s="568"/>
      <c r="L59" s="567">
        <f>SUMIFS(Propostas!$AD:$AD, Propostas!$AC:$AC, L$55, Propostas!$C:$C, $B59)</f>
        <v>0</v>
      </c>
      <c r="M59" s="568"/>
      <c r="N59" s="567">
        <f>SUMIFS(Propostas!$AD:$AD, Propostas!$AC:$AC, N$55, Propostas!$C:$C, $B59)</f>
        <v>0</v>
      </c>
      <c r="O59" s="568"/>
      <c r="P59" s="567">
        <f>SUMIFS(Propostas!$AD:$AD, Propostas!$AC:$AC, P$55, Propostas!$C:$C, $B59)</f>
        <v>0</v>
      </c>
      <c r="Q59" s="568"/>
      <c r="R59" s="567">
        <f>SUMIFS(Propostas!$AD:$AD, Propostas!$AC:$AC, R$55, Propostas!$C:$C, $B59)</f>
        <v>1500000</v>
      </c>
      <c r="S59" s="568"/>
      <c r="T59" s="567">
        <f>SUMIFS(Propostas!$AD:$AD, Propostas!$AC:$AC, T$55, Propostas!$C:$C, $B59)</f>
        <v>0</v>
      </c>
      <c r="U59" s="568"/>
      <c r="V59" s="567">
        <f>SUMIFS(Propostas!$AD:$AD, Propostas!$AC:$AC, V$55, Propostas!$C:$C, $B59)</f>
        <v>0</v>
      </c>
      <c r="W59" s="568"/>
      <c r="X59" s="567">
        <f>SUMIFS(Propostas!$AD:$AD, Propostas!$AC:$AC, X$55, Propostas!$C:$C, $B59)</f>
        <v>0</v>
      </c>
      <c r="Y59" s="568"/>
      <c r="Z59" s="567">
        <f>SUMIFS(Propostas!$AD:$AD, Propostas!$AC:$AC, Z$55, Propostas!$C:$C, $B59)</f>
        <v>2000000</v>
      </c>
      <c r="AA59" s="568"/>
      <c r="AB59" s="567">
        <f>SUMIFS(Propostas!$AD:$AD, Propostas!$AC:$AC, AB$55, Propostas!$C:$C, $B59)</f>
        <v>0</v>
      </c>
      <c r="AC59" s="568"/>
      <c r="AD59" s="567">
        <f>SUMIFS(Propostas!$AD:$AD, Propostas!$AC:$AC, AD$55, Propostas!$C:$C, $B59)</f>
        <v>0</v>
      </c>
      <c r="AE59" s="569"/>
    </row>
    <row r="60" spans="2:31" x14ac:dyDescent="0.25">
      <c r="B60" s="565" t="str">
        <f>IF(Defesa!C8 = "", "", Defesa!C8)</f>
        <v/>
      </c>
      <c r="C60" s="566"/>
      <c r="D60" s="560">
        <f>SUMIFS(Propostas!$AD:$AD, Propostas!$AC:$AC, D$55, Propostas!$C:$C, $B60)</f>
        <v>0</v>
      </c>
      <c r="E60" s="564"/>
      <c r="F60" s="560">
        <f>SUMIFS(Propostas!$AD:$AD, Propostas!$AC:$AC, F$55, Propostas!$C:$C, $B60)</f>
        <v>0</v>
      </c>
      <c r="G60" s="564"/>
      <c r="H60" s="560">
        <f>SUMIFS(Propostas!$AD:$AD, Propostas!$AC:$AC, H$55, Propostas!$C:$C, $B60)</f>
        <v>0</v>
      </c>
      <c r="I60" s="564"/>
      <c r="J60" s="560">
        <f>SUMIFS(Propostas!$AD:$AD, Propostas!$AC:$AC, J$55, Propostas!$C:$C, $B60)</f>
        <v>0</v>
      </c>
      <c r="K60" s="564"/>
      <c r="L60" s="560">
        <f>SUMIFS(Propostas!$AD:$AD, Propostas!$AC:$AC, L$55, Propostas!$C:$C, $B60)</f>
        <v>0</v>
      </c>
      <c r="M60" s="564"/>
      <c r="N60" s="560">
        <f>SUMIFS(Propostas!$AD:$AD, Propostas!$AC:$AC, N$55, Propostas!$C:$C, $B60)</f>
        <v>0</v>
      </c>
      <c r="O60" s="564"/>
      <c r="P60" s="560">
        <f>SUMIFS(Propostas!$AD:$AD, Propostas!$AC:$AC, P$55, Propostas!$C:$C, $B60)</f>
        <v>0</v>
      </c>
      <c r="Q60" s="564"/>
      <c r="R60" s="560">
        <f>SUMIFS(Propostas!$AD:$AD, Propostas!$AC:$AC, R$55, Propostas!$C:$C, $B60)</f>
        <v>0</v>
      </c>
      <c r="S60" s="564"/>
      <c r="T60" s="560">
        <f>SUMIFS(Propostas!$AD:$AD, Propostas!$AC:$AC, T$55, Propostas!$C:$C, $B60)</f>
        <v>0</v>
      </c>
      <c r="U60" s="564"/>
      <c r="V60" s="560">
        <f>SUMIFS(Propostas!$AD:$AD, Propostas!$AC:$AC, V$55, Propostas!$C:$C, $B60)</f>
        <v>0</v>
      </c>
      <c r="W60" s="564"/>
      <c r="X60" s="560">
        <f>SUMIFS(Propostas!$AD:$AD, Propostas!$AC:$AC, X$55, Propostas!$C:$C, $B60)</f>
        <v>0</v>
      </c>
      <c r="Y60" s="564"/>
      <c r="Z60" s="560">
        <f>SUMIFS(Propostas!$AD:$AD, Propostas!$AC:$AC, Z$55, Propostas!$C:$C, $B60)</f>
        <v>0</v>
      </c>
      <c r="AA60" s="564"/>
      <c r="AB60" s="560">
        <f>SUMIFS(Propostas!$AD:$AD, Propostas!$AC:$AC, AB$55, Propostas!$C:$C, $B60)</f>
        <v>0</v>
      </c>
      <c r="AC60" s="564"/>
      <c r="AD60" s="560">
        <f>SUMIFS(Propostas!$AD:$AD, Propostas!$AC:$AC, AD$55, Propostas!$C:$C, $B60)</f>
        <v>0</v>
      </c>
      <c r="AE60" s="561"/>
    </row>
    <row r="61" spans="2:31" x14ac:dyDescent="0.25">
      <c r="B61" s="565" t="str">
        <f>IF(Defesa!C9 = "", "", Defesa!C9)</f>
        <v/>
      </c>
      <c r="C61" s="566"/>
      <c r="D61" s="560">
        <f>SUMIFS(Propostas!$AD:$AD, Propostas!$AC:$AC, D$55, Propostas!$C:$C, $B61)</f>
        <v>0</v>
      </c>
      <c r="E61" s="564"/>
      <c r="F61" s="560">
        <f>SUMIFS(Propostas!$AD:$AD, Propostas!$AC:$AC, F$55, Propostas!$C:$C, $B61)</f>
        <v>0</v>
      </c>
      <c r="G61" s="564"/>
      <c r="H61" s="560">
        <f>SUMIFS(Propostas!$AD:$AD, Propostas!$AC:$AC, H$55, Propostas!$C:$C, $B61)</f>
        <v>0</v>
      </c>
      <c r="I61" s="564"/>
      <c r="J61" s="560">
        <f>SUMIFS(Propostas!$AD:$AD, Propostas!$AC:$AC, J$55, Propostas!$C:$C, $B61)</f>
        <v>0</v>
      </c>
      <c r="K61" s="564"/>
      <c r="L61" s="560">
        <f>SUMIFS(Propostas!$AD:$AD, Propostas!$AC:$AC, L$55, Propostas!$C:$C, $B61)</f>
        <v>0</v>
      </c>
      <c r="M61" s="564"/>
      <c r="N61" s="560">
        <f>SUMIFS(Propostas!$AD:$AD, Propostas!$AC:$AC, N$55, Propostas!$C:$C, $B61)</f>
        <v>0</v>
      </c>
      <c r="O61" s="564"/>
      <c r="P61" s="560">
        <f>SUMIFS(Propostas!$AD:$AD, Propostas!$AC:$AC, P$55, Propostas!$C:$C, $B61)</f>
        <v>0</v>
      </c>
      <c r="Q61" s="564"/>
      <c r="R61" s="560">
        <f>SUMIFS(Propostas!$AD:$AD, Propostas!$AC:$AC, R$55, Propostas!$C:$C, $B61)</f>
        <v>0</v>
      </c>
      <c r="S61" s="564"/>
      <c r="T61" s="560">
        <f>SUMIFS(Propostas!$AD:$AD, Propostas!$AC:$AC, T$55, Propostas!$C:$C, $B61)</f>
        <v>0</v>
      </c>
      <c r="U61" s="564"/>
      <c r="V61" s="560">
        <f>SUMIFS(Propostas!$AD:$AD, Propostas!$AC:$AC, V$55, Propostas!$C:$C, $B61)</f>
        <v>0</v>
      </c>
      <c r="W61" s="564"/>
      <c r="X61" s="560">
        <f>SUMIFS(Propostas!$AD:$AD, Propostas!$AC:$AC, X$55, Propostas!$C:$C, $B61)</f>
        <v>0</v>
      </c>
      <c r="Y61" s="564"/>
      <c r="Z61" s="560">
        <f>SUMIFS(Propostas!$AD:$AD, Propostas!$AC:$AC, Z$55, Propostas!$C:$C, $B61)</f>
        <v>0</v>
      </c>
      <c r="AA61" s="564"/>
      <c r="AB61" s="560">
        <f>SUMIFS(Propostas!$AD:$AD, Propostas!$AC:$AC, AB$55, Propostas!$C:$C, $B61)</f>
        <v>0</v>
      </c>
      <c r="AC61" s="564"/>
      <c r="AD61" s="560">
        <f>SUMIFS(Propostas!$AD:$AD, Propostas!$AC:$AC, AD$55, Propostas!$C:$C, $B61)</f>
        <v>0</v>
      </c>
      <c r="AE61" s="561"/>
    </row>
    <row r="62" spans="2:31" x14ac:dyDescent="0.25">
      <c r="B62" s="565" t="str">
        <f>IF(Defesa!C10 = "", "", Defesa!C10)</f>
        <v/>
      </c>
      <c r="C62" s="566"/>
      <c r="D62" s="560">
        <f>SUMIFS(Propostas!$AD:$AD, Propostas!$AC:$AC, D$55, Propostas!$C:$C, $B62)</f>
        <v>0</v>
      </c>
      <c r="E62" s="564"/>
      <c r="F62" s="560">
        <f>SUMIFS(Propostas!$AD:$AD, Propostas!$AC:$AC, F$55, Propostas!$C:$C, $B62)</f>
        <v>0</v>
      </c>
      <c r="G62" s="564"/>
      <c r="H62" s="560">
        <f>SUMIFS(Propostas!$AD:$AD, Propostas!$AC:$AC, H$55, Propostas!$C:$C, $B62)</f>
        <v>0</v>
      </c>
      <c r="I62" s="564"/>
      <c r="J62" s="560">
        <f>SUMIFS(Propostas!$AD:$AD, Propostas!$AC:$AC, J$55, Propostas!$C:$C, $B62)</f>
        <v>0</v>
      </c>
      <c r="K62" s="564"/>
      <c r="L62" s="560">
        <f>SUMIFS(Propostas!$AD:$AD, Propostas!$AC:$AC, L$55, Propostas!$C:$C, $B62)</f>
        <v>0</v>
      </c>
      <c r="M62" s="564"/>
      <c r="N62" s="560">
        <f>SUMIFS(Propostas!$AD:$AD, Propostas!$AC:$AC, N$55, Propostas!$C:$C, $B62)</f>
        <v>0</v>
      </c>
      <c r="O62" s="564"/>
      <c r="P62" s="560">
        <f>SUMIFS(Propostas!$AD:$AD, Propostas!$AC:$AC, P$55, Propostas!$C:$C, $B62)</f>
        <v>0</v>
      </c>
      <c r="Q62" s="564"/>
      <c r="R62" s="560">
        <f>SUMIFS(Propostas!$AD:$AD, Propostas!$AC:$AC, R$55, Propostas!$C:$C, $B62)</f>
        <v>0</v>
      </c>
      <c r="S62" s="564"/>
      <c r="T62" s="560">
        <f>SUMIFS(Propostas!$AD:$AD, Propostas!$AC:$AC, T$55, Propostas!$C:$C, $B62)</f>
        <v>0</v>
      </c>
      <c r="U62" s="564"/>
      <c r="V62" s="560">
        <f>SUMIFS(Propostas!$AD:$AD, Propostas!$AC:$AC, V$55, Propostas!$C:$C, $B62)</f>
        <v>0</v>
      </c>
      <c r="W62" s="564"/>
      <c r="X62" s="560">
        <f>SUMIFS(Propostas!$AD:$AD, Propostas!$AC:$AC, X$55, Propostas!$C:$C, $B62)</f>
        <v>0</v>
      </c>
      <c r="Y62" s="564"/>
      <c r="Z62" s="560">
        <f>SUMIFS(Propostas!$AD:$AD, Propostas!$AC:$AC, Z$55, Propostas!$C:$C, $B62)</f>
        <v>0</v>
      </c>
      <c r="AA62" s="564"/>
      <c r="AB62" s="560">
        <f>SUMIFS(Propostas!$AD:$AD, Propostas!$AC:$AC, AB$55, Propostas!$C:$C, $B62)</f>
        <v>0</v>
      </c>
      <c r="AC62" s="564"/>
      <c r="AD62" s="560">
        <f>SUMIFS(Propostas!$AD:$AD, Propostas!$AC:$AC, AD$55, Propostas!$C:$C, $B62)</f>
        <v>0</v>
      </c>
      <c r="AE62" s="561"/>
    </row>
    <row r="63" spans="2:31" x14ac:dyDescent="0.25">
      <c r="B63" s="565" t="str">
        <f>IF(Defesa!C11 = "", "", Defesa!C11)</f>
        <v/>
      </c>
      <c r="C63" s="566"/>
      <c r="D63" s="560">
        <f>SUMIFS(Propostas!$AD:$AD, Propostas!$AC:$AC, D$55, Propostas!$C:$C, $B63)</f>
        <v>0</v>
      </c>
      <c r="E63" s="564"/>
      <c r="F63" s="560">
        <f>SUMIFS(Propostas!$AD:$AD, Propostas!$AC:$AC, F$55, Propostas!$C:$C, $B63)</f>
        <v>0</v>
      </c>
      <c r="G63" s="564"/>
      <c r="H63" s="560">
        <f>SUMIFS(Propostas!$AD:$AD, Propostas!$AC:$AC, H$55, Propostas!$C:$C, $B63)</f>
        <v>0</v>
      </c>
      <c r="I63" s="564"/>
      <c r="J63" s="560">
        <f>SUMIFS(Propostas!$AD:$AD, Propostas!$AC:$AC, J$55, Propostas!$C:$C, $B63)</f>
        <v>0</v>
      </c>
      <c r="K63" s="564"/>
      <c r="L63" s="560">
        <f>SUMIFS(Propostas!$AD:$AD, Propostas!$AC:$AC, L$55, Propostas!$C:$C, $B63)</f>
        <v>0</v>
      </c>
      <c r="M63" s="564"/>
      <c r="N63" s="560">
        <f>SUMIFS(Propostas!$AD:$AD, Propostas!$AC:$AC, N$55, Propostas!$C:$C, $B63)</f>
        <v>0</v>
      </c>
      <c r="O63" s="564"/>
      <c r="P63" s="560">
        <f>SUMIFS(Propostas!$AD:$AD, Propostas!$AC:$AC, P$55, Propostas!$C:$C, $B63)</f>
        <v>0</v>
      </c>
      <c r="Q63" s="564"/>
      <c r="R63" s="560">
        <f>SUMIFS(Propostas!$AD:$AD, Propostas!$AC:$AC, R$55, Propostas!$C:$C, $B63)</f>
        <v>0</v>
      </c>
      <c r="S63" s="564"/>
      <c r="T63" s="560">
        <f>SUMIFS(Propostas!$AD:$AD, Propostas!$AC:$AC, T$55, Propostas!$C:$C, $B63)</f>
        <v>0</v>
      </c>
      <c r="U63" s="564"/>
      <c r="V63" s="560">
        <f>SUMIFS(Propostas!$AD:$AD, Propostas!$AC:$AC, V$55, Propostas!$C:$C, $B63)</f>
        <v>0</v>
      </c>
      <c r="W63" s="564"/>
      <c r="X63" s="560">
        <f>SUMIFS(Propostas!$AD:$AD, Propostas!$AC:$AC, X$55, Propostas!$C:$C, $B63)</f>
        <v>0</v>
      </c>
      <c r="Y63" s="564"/>
      <c r="Z63" s="560">
        <f>SUMIFS(Propostas!$AD:$AD, Propostas!$AC:$AC, Z$55, Propostas!$C:$C, $B63)</f>
        <v>0</v>
      </c>
      <c r="AA63" s="564"/>
      <c r="AB63" s="560">
        <f>SUMIFS(Propostas!$AD:$AD, Propostas!$AC:$AC, AB$55, Propostas!$C:$C, $B63)</f>
        <v>0</v>
      </c>
      <c r="AC63" s="564"/>
      <c r="AD63" s="560">
        <f>SUMIFS(Propostas!$AD:$AD, Propostas!$AC:$AC, AD$55, Propostas!$C:$C, $B63)</f>
        <v>0</v>
      </c>
      <c r="AE63" s="561"/>
    </row>
    <row r="64" spans="2:31" x14ac:dyDescent="0.25">
      <c r="B64" s="565" t="str">
        <f>IF(Defesa!C12 = "", "", Defesa!C12)</f>
        <v/>
      </c>
      <c r="C64" s="566"/>
      <c r="D64" s="560">
        <f>SUMIFS(Propostas!$AD:$AD, Propostas!$AC:$AC, D$55, Propostas!$C:$C, $B64)</f>
        <v>0</v>
      </c>
      <c r="E64" s="564"/>
      <c r="F64" s="560">
        <f>SUMIFS(Propostas!$AD:$AD, Propostas!$AC:$AC, F$55, Propostas!$C:$C, $B64)</f>
        <v>0</v>
      </c>
      <c r="G64" s="564"/>
      <c r="H64" s="560">
        <f>SUMIFS(Propostas!$AD:$AD, Propostas!$AC:$AC, H$55, Propostas!$C:$C, $B64)</f>
        <v>0</v>
      </c>
      <c r="I64" s="564"/>
      <c r="J64" s="560">
        <f>SUMIFS(Propostas!$AD:$AD, Propostas!$AC:$AC, J$55, Propostas!$C:$C, $B64)</f>
        <v>0</v>
      </c>
      <c r="K64" s="564"/>
      <c r="L64" s="560">
        <f>SUMIFS(Propostas!$AD:$AD, Propostas!$AC:$AC, L$55, Propostas!$C:$C, $B64)</f>
        <v>0</v>
      </c>
      <c r="M64" s="564"/>
      <c r="N64" s="560">
        <f>SUMIFS(Propostas!$AD:$AD, Propostas!$AC:$AC, N$55, Propostas!$C:$C, $B64)</f>
        <v>0</v>
      </c>
      <c r="O64" s="564"/>
      <c r="P64" s="560">
        <f>SUMIFS(Propostas!$AD:$AD, Propostas!$AC:$AC, P$55, Propostas!$C:$C, $B64)</f>
        <v>0</v>
      </c>
      <c r="Q64" s="564"/>
      <c r="R64" s="560">
        <f>SUMIFS(Propostas!$AD:$AD, Propostas!$AC:$AC, R$55, Propostas!$C:$C, $B64)</f>
        <v>0</v>
      </c>
      <c r="S64" s="564"/>
      <c r="T64" s="560">
        <f>SUMIFS(Propostas!$AD:$AD, Propostas!$AC:$AC, T$55, Propostas!$C:$C, $B64)</f>
        <v>0</v>
      </c>
      <c r="U64" s="564"/>
      <c r="V64" s="560">
        <f>SUMIFS(Propostas!$AD:$AD, Propostas!$AC:$AC, V$55, Propostas!$C:$C, $B64)</f>
        <v>0</v>
      </c>
      <c r="W64" s="564"/>
      <c r="X64" s="560">
        <f>SUMIFS(Propostas!$AD:$AD, Propostas!$AC:$AC, X$55, Propostas!$C:$C, $B64)</f>
        <v>0</v>
      </c>
      <c r="Y64" s="564"/>
      <c r="Z64" s="560">
        <f>SUMIFS(Propostas!$AD:$AD, Propostas!$AC:$AC, Z$55, Propostas!$C:$C, $B64)</f>
        <v>0</v>
      </c>
      <c r="AA64" s="564"/>
      <c r="AB64" s="560">
        <f>SUMIFS(Propostas!$AD:$AD, Propostas!$AC:$AC, AB$55, Propostas!$C:$C, $B64)</f>
        <v>0</v>
      </c>
      <c r="AC64" s="564"/>
      <c r="AD64" s="560">
        <f>SUMIFS(Propostas!$AD:$AD, Propostas!$AC:$AC, AD$55, Propostas!$C:$C, $B64)</f>
        <v>0</v>
      </c>
      <c r="AE64" s="561"/>
    </row>
    <row r="65" spans="2:31" x14ac:dyDescent="0.25">
      <c r="B65" s="565" t="str">
        <f>IF(Defesa!C13 = "", "", Defesa!C13)</f>
        <v/>
      </c>
      <c r="C65" s="566"/>
      <c r="D65" s="560">
        <f>SUMIFS(Propostas!$AD:$AD, Propostas!$AC:$AC, D$55, Propostas!$C:$C, $B65)</f>
        <v>0</v>
      </c>
      <c r="E65" s="564"/>
      <c r="F65" s="560">
        <f>SUMIFS(Propostas!$AD:$AD, Propostas!$AC:$AC, F$55, Propostas!$C:$C, $B65)</f>
        <v>0</v>
      </c>
      <c r="G65" s="564"/>
      <c r="H65" s="560">
        <f>SUMIFS(Propostas!$AD:$AD, Propostas!$AC:$AC, H$55, Propostas!$C:$C, $B65)</f>
        <v>0</v>
      </c>
      <c r="I65" s="564"/>
      <c r="J65" s="560">
        <f>SUMIFS(Propostas!$AD:$AD, Propostas!$AC:$AC, J$55, Propostas!$C:$C, $B65)</f>
        <v>0</v>
      </c>
      <c r="K65" s="564"/>
      <c r="L65" s="560">
        <f>SUMIFS(Propostas!$AD:$AD, Propostas!$AC:$AC, L$55, Propostas!$C:$C, $B65)</f>
        <v>0</v>
      </c>
      <c r="M65" s="564"/>
      <c r="N65" s="560">
        <f>SUMIFS(Propostas!$AD:$AD, Propostas!$AC:$AC, N$55, Propostas!$C:$C, $B65)</f>
        <v>0</v>
      </c>
      <c r="O65" s="564"/>
      <c r="P65" s="560">
        <f>SUMIFS(Propostas!$AD:$AD, Propostas!$AC:$AC, P$55, Propostas!$C:$C, $B65)</f>
        <v>0</v>
      </c>
      <c r="Q65" s="564"/>
      <c r="R65" s="560">
        <f>SUMIFS(Propostas!$AD:$AD, Propostas!$AC:$AC, R$55, Propostas!$C:$C, $B65)</f>
        <v>0</v>
      </c>
      <c r="S65" s="564"/>
      <c r="T65" s="560">
        <f>SUMIFS(Propostas!$AD:$AD, Propostas!$AC:$AC, T$55, Propostas!$C:$C, $B65)</f>
        <v>0</v>
      </c>
      <c r="U65" s="564"/>
      <c r="V65" s="560">
        <f>SUMIFS(Propostas!$AD:$AD, Propostas!$AC:$AC, V$55, Propostas!$C:$C, $B65)</f>
        <v>0</v>
      </c>
      <c r="W65" s="564"/>
      <c r="X65" s="560">
        <f>SUMIFS(Propostas!$AD:$AD, Propostas!$AC:$AC, X$55, Propostas!$C:$C, $B65)</f>
        <v>0</v>
      </c>
      <c r="Y65" s="564"/>
      <c r="Z65" s="560">
        <f>SUMIFS(Propostas!$AD:$AD, Propostas!$AC:$AC, Z$55, Propostas!$C:$C, $B65)</f>
        <v>0</v>
      </c>
      <c r="AA65" s="564"/>
      <c r="AB65" s="560">
        <f>SUMIFS(Propostas!$AD:$AD, Propostas!$AC:$AC, AB$55, Propostas!$C:$C, $B65)</f>
        <v>0</v>
      </c>
      <c r="AC65" s="564"/>
      <c r="AD65" s="560">
        <f>SUMIFS(Propostas!$AD:$AD, Propostas!$AC:$AC, AD$55, Propostas!$C:$C, $B65)</f>
        <v>0</v>
      </c>
      <c r="AE65" s="561"/>
    </row>
    <row r="66" spans="2:31" x14ac:dyDescent="0.25">
      <c r="B66" s="565" t="str">
        <f>IF(Defesa!C14 = "", "", Defesa!C14)</f>
        <v/>
      </c>
      <c r="C66" s="566"/>
      <c r="D66" s="560">
        <f>SUMIFS(Propostas!$AD:$AD, Propostas!$AC:$AC, D$55, Propostas!$C:$C, $B66)</f>
        <v>0</v>
      </c>
      <c r="E66" s="564"/>
      <c r="F66" s="560">
        <f>SUMIFS(Propostas!$AD:$AD, Propostas!$AC:$AC, F$55, Propostas!$C:$C, $B66)</f>
        <v>0</v>
      </c>
      <c r="G66" s="564"/>
      <c r="H66" s="560">
        <f>SUMIFS(Propostas!$AD:$AD, Propostas!$AC:$AC, H$55, Propostas!$C:$C, $B66)</f>
        <v>0</v>
      </c>
      <c r="I66" s="564"/>
      <c r="J66" s="560">
        <f>SUMIFS(Propostas!$AD:$AD, Propostas!$AC:$AC, J$55, Propostas!$C:$C, $B66)</f>
        <v>0</v>
      </c>
      <c r="K66" s="564"/>
      <c r="L66" s="560">
        <f>SUMIFS(Propostas!$AD:$AD, Propostas!$AC:$AC, L$55, Propostas!$C:$C, $B66)</f>
        <v>0</v>
      </c>
      <c r="M66" s="564"/>
      <c r="N66" s="560">
        <f>SUMIFS(Propostas!$AD:$AD, Propostas!$AC:$AC, N$55, Propostas!$C:$C, $B66)</f>
        <v>0</v>
      </c>
      <c r="O66" s="564"/>
      <c r="P66" s="560">
        <f>SUMIFS(Propostas!$AD:$AD, Propostas!$AC:$AC, P$55, Propostas!$C:$C, $B66)</f>
        <v>0</v>
      </c>
      <c r="Q66" s="564"/>
      <c r="R66" s="560">
        <f>SUMIFS(Propostas!$AD:$AD, Propostas!$AC:$AC, R$55, Propostas!$C:$C, $B66)</f>
        <v>0</v>
      </c>
      <c r="S66" s="564"/>
      <c r="T66" s="560">
        <f>SUMIFS(Propostas!$AD:$AD, Propostas!$AC:$AC, T$55, Propostas!$C:$C, $B66)</f>
        <v>0</v>
      </c>
      <c r="U66" s="564"/>
      <c r="V66" s="560">
        <f>SUMIFS(Propostas!$AD:$AD, Propostas!$AC:$AC, V$55, Propostas!$C:$C, $B66)</f>
        <v>0</v>
      </c>
      <c r="W66" s="564"/>
      <c r="X66" s="560">
        <f>SUMIFS(Propostas!$AD:$AD, Propostas!$AC:$AC, X$55, Propostas!$C:$C, $B66)</f>
        <v>0</v>
      </c>
      <c r="Y66" s="564"/>
      <c r="Z66" s="560">
        <f>SUMIFS(Propostas!$AD:$AD, Propostas!$AC:$AC, Z$55, Propostas!$C:$C, $B66)</f>
        <v>0</v>
      </c>
      <c r="AA66" s="564"/>
      <c r="AB66" s="560">
        <f>SUMIFS(Propostas!$AD:$AD, Propostas!$AC:$AC, AB$55, Propostas!$C:$C, $B66)</f>
        <v>0</v>
      </c>
      <c r="AC66" s="564"/>
      <c r="AD66" s="560">
        <f>SUMIFS(Propostas!$AD:$AD, Propostas!$AC:$AC, AD$55, Propostas!$C:$C, $B66)</f>
        <v>0</v>
      </c>
      <c r="AE66" s="561"/>
    </row>
    <row r="67" spans="2:31" x14ac:dyDescent="0.25">
      <c r="B67" s="565" t="str">
        <f>IF(Defesa!C15 = "", "", Defesa!C15)</f>
        <v/>
      </c>
      <c r="C67" s="566"/>
      <c r="D67" s="560">
        <f>SUMIFS(Propostas!$AD:$AD, Propostas!$AC:$AC, D$55, Propostas!$C:$C, $B67)</f>
        <v>0</v>
      </c>
      <c r="E67" s="564"/>
      <c r="F67" s="560">
        <f>SUMIFS(Propostas!$AD:$AD, Propostas!$AC:$AC, F$55, Propostas!$C:$C, $B67)</f>
        <v>0</v>
      </c>
      <c r="G67" s="564"/>
      <c r="H67" s="560">
        <f>SUMIFS(Propostas!$AD:$AD, Propostas!$AC:$AC, H$55, Propostas!$C:$C, $B67)</f>
        <v>0</v>
      </c>
      <c r="I67" s="564"/>
      <c r="J67" s="560">
        <f>SUMIFS(Propostas!$AD:$AD, Propostas!$AC:$AC, J$55, Propostas!$C:$C, $B67)</f>
        <v>0</v>
      </c>
      <c r="K67" s="564"/>
      <c r="L67" s="560">
        <f>SUMIFS(Propostas!$AD:$AD, Propostas!$AC:$AC, L$55, Propostas!$C:$C, $B67)</f>
        <v>0</v>
      </c>
      <c r="M67" s="564"/>
      <c r="N67" s="560">
        <f>SUMIFS(Propostas!$AD:$AD, Propostas!$AC:$AC, N$55, Propostas!$C:$C, $B67)</f>
        <v>0</v>
      </c>
      <c r="O67" s="564"/>
      <c r="P67" s="560">
        <f>SUMIFS(Propostas!$AD:$AD, Propostas!$AC:$AC, P$55, Propostas!$C:$C, $B67)</f>
        <v>0</v>
      </c>
      <c r="Q67" s="564"/>
      <c r="R67" s="560">
        <f>SUMIFS(Propostas!$AD:$AD, Propostas!$AC:$AC, R$55, Propostas!$C:$C, $B67)</f>
        <v>0</v>
      </c>
      <c r="S67" s="564"/>
      <c r="T67" s="560">
        <f>SUMIFS(Propostas!$AD:$AD, Propostas!$AC:$AC, T$55, Propostas!$C:$C, $B67)</f>
        <v>0</v>
      </c>
      <c r="U67" s="564"/>
      <c r="V67" s="560">
        <f>SUMIFS(Propostas!$AD:$AD, Propostas!$AC:$AC, V$55, Propostas!$C:$C, $B67)</f>
        <v>0</v>
      </c>
      <c r="W67" s="564"/>
      <c r="X67" s="560">
        <f>SUMIFS(Propostas!$AD:$AD, Propostas!$AC:$AC, X$55, Propostas!$C:$C, $B67)</f>
        <v>0</v>
      </c>
      <c r="Y67" s="564"/>
      <c r="Z67" s="560">
        <f>SUMIFS(Propostas!$AD:$AD, Propostas!$AC:$AC, Z$55, Propostas!$C:$C, $B67)</f>
        <v>0</v>
      </c>
      <c r="AA67" s="564"/>
      <c r="AB67" s="560">
        <f>SUMIFS(Propostas!$AD:$AD, Propostas!$AC:$AC, AB$55, Propostas!$C:$C, $B67)</f>
        <v>0</v>
      </c>
      <c r="AC67" s="564"/>
      <c r="AD67" s="560">
        <f>SUMIFS(Propostas!$AD:$AD, Propostas!$AC:$AC, AD$55, Propostas!$C:$C, $B67)</f>
        <v>0</v>
      </c>
      <c r="AE67" s="561"/>
    </row>
    <row r="68" spans="2:31" x14ac:dyDescent="0.25">
      <c r="B68" s="565" t="str">
        <f>IF(Defesa!C16 = "", "", Defesa!C16)</f>
        <v/>
      </c>
      <c r="C68" s="566"/>
      <c r="D68" s="560">
        <f>SUMIFS(Propostas!$AD:$AD, Propostas!$AC:$AC, D$55, Propostas!$C:$C, $B68)</f>
        <v>0</v>
      </c>
      <c r="E68" s="564"/>
      <c r="F68" s="560">
        <f>SUMIFS(Propostas!$AD:$AD, Propostas!$AC:$AC, F$55, Propostas!$C:$C, $B68)</f>
        <v>0</v>
      </c>
      <c r="G68" s="564"/>
      <c r="H68" s="560">
        <f>SUMIFS(Propostas!$AD:$AD, Propostas!$AC:$AC, H$55, Propostas!$C:$C, $B68)</f>
        <v>0</v>
      </c>
      <c r="I68" s="564"/>
      <c r="J68" s="560">
        <f>SUMIFS(Propostas!$AD:$AD, Propostas!$AC:$AC, J$55, Propostas!$C:$C, $B68)</f>
        <v>0</v>
      </c>
      <c r="K68" s="564"/>
      <c r="L68" s="560">
        <f>SUMIFS(Propostas!$AD:$AD, Propostas!$AC:$AC, L$55, Propostas!$C:$C, $B68)</f>
        <v>0</v>
      </c>
      <c r="M68" s="564"/>
      <c r="N68" s="560">
        <f>SUMIFS(Propostas!$AD:$AD, Propostas!$AC:$AC, N$55, Propostas!$C:$C, $B68)</f>
        <v>0</v>
      </c>
      <c r="O68" s="564"/>
      <c r="P68" s="560">
        <f>SUMIFS(Propostas!$AD:$AD, Propostas!$AC:$AC, P$55, Propostas!$C:$C, $B68)</f>
        <v>0</v>
      </c>
      <c r="Q68" s="564"/>
      <c r="R68" s="560">
        <f>SUMIFS(Propostas!$AD:$AD, Propostas!$AC:$AC, R$55, Propostas!$C:$C, $B68)</f>
        <v>0</v>
      </c>
      <c r="S68" s="564"/>
      <c r="T68" s="560">
        <f>SUMIFS(Propostas!$AD:$AD, Propostas!$AC:$AC, T$55, Propostas!$C:$C, $B68)</f>
        <v>0</v>
      </c>
      <c r="U68" s="564"/>
      <c r="V68" s="560">
        <f>SUMIFS(Propostas!$AD:$AD, Propostas!$AC:$AC, V$55, Propostas!$C:$C, $B68)</f>
        <v>0</v>
      </c>
      <c r="W68" s="564"/>
      <c r="X68" s="560">
        <f>SUMIFS(Propostas!$AD:$AD, Propostas!$AC:$AC, X$55, Propostas!$C:$C, $B68)</f>
        <v>0</v>
      </c>
      <c r="Y68" s="564"/>
      <c r="Z68" s="560">
        <f>SUMIFS(Propostas!$AD:$AD, Propostas!$AC:$AC, Z$55, Propostas!$C:$C, $B68)</f>
        <v>0</v>
      </c>
      <c r="AA68" s="564"/>
      <c r="AB68" s="560">
        <f>SUMIFS(Propostas!$AD:$AD, Propostas!$AC:$AC, AB$55, Propostas!$C:$C, $B68)</f>
        <v>0</v>
      </c>
      <c r="AC68" s="564"/>
      <c r="AD68" s="560">
        <f>SUMIFS(Propostas!$AD:$AD, Propostas!$AC:$AC, AD$55, Propostas!$C:$C, $B68)</f>
        <v>0</v>
      </c>
      <c r="AE68" s="561"/>
    </row>
    <row r="69" spans="2:31" x14ac:dyDescent="0.25">
      <c r="B69" s="565" t="str">
        <f>IF(Defesa!C17 = "", "", Defesa!C17)</f>
        <v/>
      </c>
      <c r="C69" s="566"/>
      <c r="D69" s="560">
        <f>SUMIFS(Propostas!$AD:$AD, Propostas!$AC:$AC, D$55, Propostas!$C:$C, $B69)</f>
        <v>0</v>
      </c>
      <c r="E69" s="564"/>
      <c r="F69" s="560">
        <f>SUMIFS(Propostas!$AD:$AD, Propostas!$AC:$AC, F$55, Propostas!$C:$C, $B69)</f>
        <v>0</v>
      </c>
      <c r="G69" s="564"/>
      <c r="H69" s="560">
        <f>SUMIFS(Propostas!$AD:$AD, Propostas!$AC:$AC, H$55, Propostas!$C:$C, $B69)</f>
        <v>0</v>
      </c>
      <c r="I69" s="564"/>
      <c r="J69" s="560">
        <f>SUMIFS(Propostas!$AD:$AD, Propostas!$AC:$AC, J$55, Propostas!$C:$C, $B69)</f>
        <v>0</v>
      </c>
      <c r="K69" s="564"/>
      <c r="L69" s="560">
        <f>SUMIFS(Propostas!$AD:$AD, Propostas!$AC:$AC, L$55, Propostas!$C:$C, $B69)</f>
        <v>0</v>
      </c>
      <c r="M69" s="564"/>
      <c r="N69" s="560">
        <f>SUMIFS(Propostas!$AD:$AD, Propostas!$AC:$AC, N$55, Propostas!$C:$C, $B69)</f>
        <v>0</v>
      </c>
      <c r="O69" s="564"/>
      <c r="P69" s="560">
        <f>SUMIFS(Propostas!$AD:$AD, Propostas!$AC:$AC, P$55, Propostas!$C:$C, $B69)</f>
        <v>0</v>
      </c>
      <c r="Q69" s="564"/>
      <c r="R69" s="560">
        <f>SUMIFS(Propostas!$AD:$AD, Propostas!$AC:$AC, R$55, Propostas!$C:$C, $B69)</f>
        <v>0</v>
      </c>
      <c r="S69" s="564"/>
      <c r="T69" s="560">
        <f>SUMIFS(Propostas!$AD:$AD, Propostas!$AC:$AC, T$55, Propostas!$C:$C, $B69)</f>
        <v>0</v>
      </c>
      <c r="U69" s="564"/>
      <c r="V69" s="560">
        <f>SUMIFS(Propostas!$AD:$AD, Propostas!$AC:$AC, V$55, Propostas!$C:$C, $B69)</f>
        <v>0</v>
      </c>
      <c r="W69" s="564"/>
      <c r="X69" s="560">
        <f>SUMIFS(Propostas!$AD:$AD, Propostas!$AC:$AC, X$55, Propostas!$C:$C, $B69)</f>
        <v>0</v>
      </c>
      <c r="Y69" s="564"/>
      <c r="Z69" s="560">
        <f>SUMIFS(Propostas!$AD:$AD, Propostas!$AC:$AC, Z$55, Propostas!$C:$C, $B69)</f>
        <v>0</v>
      </c>
      <c r="AA69" s="564"/>
      <c r="AB69" s="560">
        <f>SUMIFS(Propostas!$AD:$AD, Propostas!$AC:$AC, AB$55, Propostas!$C:$C, $B69)</f>
        <v>0</v>
      </c>
      <c r="AC69" s="564"/>
      <c r="AD69" s="560">
        <f>SUMIFS(Propostas!$AD:$AD, Propostas!$AC:$AC, AD$55, Propostas!$C:$C, $B69)</f>
        <v>0</v>
      </c>
      <c r="AE69" s="561"/>
    </row>
    <row r="70" spans="2:31" x14ac:dyDescent="0.25">
      <c r="B70" s="565" t="str">
        <f>IF(Defesa!C18 = "", "", Defesa!C18)</f>
        <v/>
      </c>
      <c r="C70" s="566"/>
      <c r="D70" s="560">
        <f>SUMIFS(Propostas!$AD:$AD, Propostas!$AC:$AC, D$55, Propostas!$C:$C, $B70)</f>
        <v>0</v>
      </c>
      <c r="E70" s="564"/>
      <c r="F70" s="560">
        <f>SUMIFS(Propostas!$AD:$AD, Propostas!$AC:$AC, F$55, Propostas!$C:$C, $B70)</f>
        <v>0</v>
      </c>
      <c r="G70" s="564"/>
      <c r="H70" s="560">
        <f>SUMIFS(Propostas!$AD:$AD, Propostas!$AC:$AC, H$55, Propostas!$C:$C, $B70)</f>
        <v>0</v>
      </c>
      <c r="I70" s="564"/>
      <c r="J70" s="560">
        <f>SUMIFS(Propostas!$AD:$AD, Propostas!$AC:$AC, J$55, Propostas!$C:$C, $B70)</f>
        <v>0</v>
      </c>
      <c r="K70" s="564"/>
      <c r="L70" s="560">
        <f>SUMIFS(Propostas!$AD:$AD, Propostas!$AC:$AC, L$55, Propostas!$C:$C, $B70)</f>
        <v>0</v>
      </c>
      <c r="M70" s="564"/>
      <c r="N70" s="560">
        <f>SUMIFS(Propostas!$AD:$AD, Propostas!$AC:$AC, N$55, Propostas!$C:$C, $B70)</f>
        <v>0</v>
      </c>
      <c r="O70" s="564"/>
      <c r="P70" s="560">
        <f>SUMIFS(Propostas!$AD:$AD, Propostas!$AC:$AC, P$55, Propostas!$C:$C, $B70)</f>
        <v>0</v>
      </c>
      <c r="Q70" s="564"/>
      <c r="R70" s="560">
        <f>SUMIFS(Propostas!$AD:$AD, Propostas!$AC:$AC, R$55, Propostas!$C:$C, $B70)</f>
        <v>0</v>
      </c>
      <c r="S70" s="564"/>
      <c r="T70" s="560">
        <f>SUMIFS(Propostas!$AD:$AD, Propostas!$AC:$AC, T$55, Propostas!$C:$C, $B70)</f>
        <v>0</v>
      </c>
      <c r="U70" s="564"/>
      <c r="V70" s="560">
        <f>SUMIFS(Propostas!$AD:$AD, Propostas!$AC:$AC, V$55, Propostas!$C:$C, $B70)</f>
        <v>0</v>
      </c>
      <c r="W70" s="564"/>
      <c r="X70" s="560">
        <f>SUMIFS(Propostas!$AD:$AD, Propostas!$AC:$AC, X$55, Propostas!$C:$C, $B70)</f>
        <v>0</v>
      </c>
      <c r="Y70" s="564"/>
      <c r="Z70" s="560">
        <f>SUMIFS(Propostas!$AD:$AD, Propostas!$AC:$AC, Z$55, Propostas!$C:$C, $B70)</f>
        <v>0</v>
      </c>
      <c r="AA70" s="564"/>
      <c r="AB70" s="560">
        <f>SUMIFS(Propostas!$AD:$AD, Propostas!$AC:$AC, AB$55, Propostas!$C:$C, $B70)</f>
        <v>0</v>
      </c>
      <c r="AC70" s="564"/>
      <c r="AD70" s="560">
        <f>SUMIFS(Propostas!$AD:$AD, Propostas!$AC:$AC, AD$55, Propostas!$C:$C, $B70)</f>
        <v>0</v>
      </c>
      <c r="AE70" s="561"/>
    </row>
    <row r="71" spans="2:31" x14ac:dyDescent="0.25">
      <c r="B71" s="565" t="str">
        <f>IF(Defesa!C19 = "", "", Defesa!C19)</f>
        <v/>
      </c>
      <c r="C71" s="566"/>
      <c r="D71" s="560">
        <f>SUMIFS(Propostas!$AD:$AD, Propostas!$AC:$AC, D$55, Propostas!$C:$C, $B71)</f>
        <v>0</v>
      </c>
      <c r="E71" s="564"/>
      <c r="F71" s="560">
        <f>SUMIFS(Propostas!$AD:$AD, Propostas!$AC:$AC, F$55, Propostas!$C:$C, $B71)</f>
        <v>0</v>
      </c>
      <c r="G71" s="564"/>
      <c r="H71" s="560">
        <f>SUMIFS(Propostas!$AD:$AD, Propostas!$AC:$AC, H$55, Propostas!$C:$C, $B71)</f>
        <v>0</v>
      </c>
      <c r="I71" s="564"/>
      <c r="J71" s="560">
        <f>SUMIFS(Propostas!$AD:$AD, Propostas!$AC:$AC, J$55, Propostas!$C:$C, $B71)</f>
        <v>0</v>
      </c>
      <c r="K71" s="564"/>
      <c r="L71" s="560">
        <f>SUMIFS(Propostas!$AD:$AD, Propostas!$AC:$AC, L$55, Propostas!$C:$C, $B71)</f>
        <v>0</v>
      </c>
      <c r="M71" s="564"/>
      <c r="N71" s="560">
        <f>SUMIFS(Propostas!$AD:$AD, Propostas!$AC:$AC, N$55, Propostas!$C:$C, $B71)</f>
        <v>0</v>
      </c>
      <c r="O71" s="564"/>
      <c r="P71" s="560">
        <f>SUMIFS(Propostas!$AD:$AD, Propostas!$AC:$AC, P$55, Propostas!$C:$C, $B71)</f>
        <v>0</v>
      </c>
      <c r="Q71" s="564"/>
      <c r="R71" s="560">
        <f>SUMIFS(Propostas!$AD:$AD, Propostas!$AC:$AC, R$55, Propostas!$C:$C, $B71)</f>
        <v>0</v>
      </c>
      <c r="S71" s="564"/>
      <c r="T71" s="560">
        <f>SUMIFS(Propostas!$AD:$AD, Propostas!$AC:$AC, T$55, Propostas!$C:$C, $B71)</f>
        <v>0</v>
      </c>
      <c r="U71" s="564"/>
      <c r="V71" s="560">
        <f>SUMIFS(Propostas!$AD:$AD, Propostas!$AC:$AC, V$55, Propostas!$C:$C, $B71)</f>
        <v>0</v>
      </c>
      <c r="W71" s="564"/>
      <c r="X71" s="560">
        <f>SUMIFS(Propostas!$AD:$AD, Propostas!$AC:$AC, X$55, Propostas!$C:$C, $B71)</f>
        <v>0</v>
      </c>
      <c r="Y71" s="564"/>
      <c r="Z71" s="560">
        <f>SUMIFS(Propostas!$AD:$AD, Propostas!$AC:$AC, Z$55, Propostas!$C:$C, $B71)</f>
        <v>0</v>
      </c>
      <c r="AA71" s="564"/>
      <c r="AB71" s="560">
        <f>SUMIFS(Propostas!$AD:$AD, Propostas!$AC:$AC, AB$55, Propostas!$C:$C, $B71)</f>
        <v>0</v>
      </c>
      <c r="AC71" s="564"/>
      <c r="AD71" s="560">
        <f>SUMIFS(Propostas!$AD:$AD, Propostas!$AC:$AC, AD$55, Propostas!$C:$C, $B71)</f>
        <v>0</v>
      </c>
      <c r="AE71" s="561"/>
    </row>
    <row r="72" spans="2:31" x14ac:dyDescent="0.25">
      <c r="B72" s="565" t="str">
        <f>IF(Defesa!C20 = "", "", Defesa!C20)</f>
        <v/>
      </c>
      <c r="C72" s="566"/>
      <c r="D72" s="560">
        <f>SUMIFS(Propostas!$AD:$AD, Propostas!$AC:$AC, D$55, Propostas!$C:$C, $B72)</f>
        <v>0</v>
      </c>
      <c r="E72" s="564"/>
      <c r="F72" s="560">
        <f>SUMIFS(Propostas!$AD:$AD, Propostas!$AC:$AC, F$55, Propostas!$C:$C, $B72)</f>
        <v>0</v>
      </c>
      <c r="G72" s="564"/>
      <c r="H72" s="560">
        <f>SUMIFS(Propostas!$AD:$AD, Propostas!$AC:$AC, H$55, Propostas!$C:$C, $B72)</f>
        <v>0</v>
      </c>
      <c r="I72" s="564"/>
      <c r="J72" s="560">
        <f>SUMIFS(Propostas!$AD:$AD, Propostas!$AC:$AC, J$55, Propostas!$C:$C, $B72)</f>
        <v>0</v>
      </c>
      <c r="K72" s="564"/>
      <c r="L72" s="560">
        <f>SUMIFS(Propostas!$AD:$AD, Propostas!$AC:$AC, L$55, Propostas!$C:$C, $B72)</f>
        <v>0</v>
      </c>
      <c r="M72" s="564"/>
      <c r="N72" s="560">
        <f>SUMIFS(Propostas!$AD:$AD, Propostas!$AC:$AC, N$55, Propostas!$C:$C, $B72)</f>
        <v>0</v>
      </c>
      <c r="O72" s="564"/>
      <c r="P72" s="560">
        <f>SUMIFS(Propostas!$AD:$AD, Propostas!$AC:$AC, P$55, Propostas!$C:$C, $B72)</f>
        <v>0</v>
      </c>
      <c r="Q72" s="564"/>
      <c r="R72" s="560">
        <f>SUMIFS(Propostas!$AD:$AD, Propostas!$AC:$AC, R$55, Propostas!$C:$C, $B72)</f>
        <v>0</v>
      </c>
      <c r="S72" s="564"/>
      <c r="T72" s="560">
        <f>SUMIFS(Propostas!$AD:$AD, Propostas!$AC:$AC, T$55, Propostas!$C:$C, $B72)</f>
        <v>0</v>
      </c>
      <c r="U72" s="564"/>
      <c r="V72" s="560">
        <f>SUMIFS(Propostas!$AD:$AD, Propostas!$AC:$AC, V$55, Propostas!$C:$C, $B72)</f>
        <v>0</v>
      </c>
      <c r="W72" s="564"/>
      <c r="X72" s="560">
        <f>SUMIFS(Propostas!$AD:$AD, Propostas!$AC:$AC, X$55, Propostas!$C:$C, $B72)</f>
        <v>0</v>
      </c>
      <c r="Y72" s="564"/>
      <c r="Z72" s="560">
        <f>SUMIFS(Propostas!$AD:$AD, Propostas!$AC:$AC, Z$55, Propostas!$C:$C, $B72)</f>
        <v>0</v>
      </c>
      <c r="AA72" s="564"/>
      <c r="AB72" s="560">
        <f>SUMIFS(Propostas!$AD:$AD, Propostas!$AC:$AC, AB$55, Propostas!$C:$C, $B72)</f>
        <v>0</v>
      </c>
      <c r="AC72" s="564"/>
      <c r="AD72" s="560">
        <f>SUMIFS(Propostas!$AD:$AD, Propostas!$AC:$AC, AD$55, Propostas!$C:$C, $B72)</f>
        <v>0</v>
      </c>
      <c r="AE72" s="561"/>
    </row>
    <row r="73" spans="2:31" x14ac:dyDescent="0.25">
      <c r="B73" s="565" t="str">
        <f>IF(Defesa!C21 = "", "", Defesa!C21)</f>
        <v/>
      </c>
      <c r="C73" s="566"/>
      <c r="D73" s="560">
        <f>SUMIFS(Propostas!$AD:$AD, Propostas!$AC:$AC, D$55, Propostas!$C:$C, $B73)</f>
        <v>0</v>
      </c>
      <c r="E73" s="564"/>
      <c r="F73" s="560">
        <f>SUMIFS(Propostas!$AD:$AD, Propostas!$AC:$AC, F$55, Propostas!$C:$C, $B73)</f>
        <v>0</v>
      </c>
      <c r="G73" s="564"/>
      <c r="H73" s="560">
        <f>SUMIFS(Propostas!$AD:$AD, Propostas!$AC:$AC, H$55, Propostas!$C:$C, $B73)</f>
        <v>0</v>
      </c>
      <c r="I73" s="564"/>
      <c r="J73" s="560">
        <f>SUMIFS(Propostas!$AD:$AD, Propostas!$AC:$AC, J$55, Propostas!$C:$C, $B73)</f>
        <v>0</v>
      </c>
      <c r="K73" s="564"/>
      <c r="L73" s="560">
        <f>SUMIFS(Propostas!$AD:$AD, Propostas!$AC:$AC, L$55, Propostas!$C:$C, $B73)</f>
        <v>0</v>
      </c>
      <c r="M73" s="564"/>
      <c r="N73" s="560">
        <f>SUMIFS(Propostas!$AD:$AD, Propostas!$AC:$AC, N$55, Propostas!$C:$C, $B73)</f>
        <v>0</v>
      </c>
      <c r="O73" s="564"/>
      <c r="P73" s="560">
        <f>SUMIFS(Propostas!$AD:$AD, Propostas!$AC:$AC, P$55, Propostas!$C:$C, $B73)</f>
        <v>0</v>
      </c>
      <c r="Q73" s="564"/>
      <c r="R73" s="560">
        <f>SUMIFS(Propostas!$AD:$AD, Propostas!$AC:$AC, R$55, Propostas!$C:$C, $B73)</f>
        <v>0</v>
      </c>
      <c r="S73" s="564"/>
      <c r="T73" s="560">
        <f>SUMIFS(Propostas!$AD:$AD, Propostas!$AC:$AC, T$55, Propostas!$C:$C, $B73)</f>
        <v>0</v>
      </c>
      <c r="U73" s="564"/>
      <c r="V73" s="560">
        <f>SUMIFS(Propostas!$AD:$AD, Propostas!$AC:$AC, V$55, Propostas!$C:$C, $B73)</f>
        <v>0</v>
      </c>
      <c r="W73" s="564"/>
      <c r="X73" s="560">
        <f>SUMIFS(Propostas!$AD:$AD, Propostas!$AC:$AC, X$55, Propostas!$C:$C, $B73)</f>
        <v>0</v>
      </c>
      <c r="Y73" s="564"/>
      <c r="Z73" s="560">
        <f>SUMIFS(Propostas!$AD:$AD, Propostas!$AC:$AC, Z$55, Propostas!$C:$C, $B73)</f>
        <v>0</v>
      </c>
      <c r="AA73" s="564"/>
      <c r="AB73" s="560">
        <f>SUMIFS(Propostas!$AD:$AD, Propostas!$AC:$AC, AB$55, Propostas!$C:$C, $B73)</f>
        <v>0</v>
      </c>
      <c r="AC73" s="564"/>
      <c r="AD73" s="560">
        <f>SUMIFS(Propostas!$AD:$AD, Propostas!$AC:$AC, AD$55, Propostas!$C:$C, $B73)</f>
        <v>0</v>
      </c>
      <c r="AE73" s="561"/>
    </row>
    <row r="74" spans="2:31" x14ac:dyDescent="0.25">
      <c r="B74" s="565" t="str">
        <f>IF(Defesa!C22 = "", "", Defesa!C22)</f>
        <v/>
      </c>
      <c r="C74" s="566"/>
      <c r="D74" s="560">
        <f>SUMIFS(Propostas!$AD:$AD, Propostas!$AC:$AC, D$55, Propostas!$C:$C, $B74)</f>
        <v>0</v>
      </c>
      <c r="E74" s="564"/>
      <c r="F74" s="560">
        <f>SUMIFS(Propostas!$AD:$AD, Propostas!$AC:$AC, F$55, Propostas!$C:$C, $B74)</f>
        <v>0</v>
      </c>
      <c r="G74" s="564"/>
      <c r="H74" s="560">
        <f>SUMIFS(Propostas!$AD:$AD, Propostas!$AC:$AC, H$55, Propostas!$C:$C, $B74)</f>
        <v>0</v>
      </c>
      <c r="I74" s="564"/>
      <c r="J74" s="560">
        <f>SUMIFS(Propostas!$AD:$AD, Propostas!$AC:$AC, J$55, Propostas!$C:$C, $B74)</f>
        <v>0</v>
      </c>
      <c r="K74" s="564"/>
      <c r="L74" s="560">
        <f>SUMIFS(Propostas!$AD:$AD, Propostas!$AC:$AC, L$55, Propostas!$C:$C, $B74)</f>
        <v>0</v>
      </c>
      <c r="M74" s="564"/>
      <c r="N74" s="560">
        <f>SUMIFS(Propostas!$AD:$AD, Propostas!$AC:$AC, N$55, Propostas!$C:$C, $B74)</f>
        <v>0</v>
      </c>
      <c r="O74" s="564"/>
      <c r="P74" s="560">
        <f>SUMIFS(Propostas!$AD:$AD, Propostas!$AC:$AC, P$55, Propostas!$C:$C, $B74)</f>
        <v>0</v>
      </c>
      <c r="Q74" s="564"/>
      <c r="R74" s="560">
        <f>SUMIFS(Propostas!$AD:$AD, Propostas!$AC:$AC, R$55, Propostas!$C:$C, $B74)</f>
        <v>0</v>
      </c>
      <c r="S74" s="564"/>
      <c r="T74" s="560">
        <f>SUMIFS(Propostas!$AD:$AD, Propostas!$AC:$AC, T$55, Propostas!$C:$C, $B74)</f>
        <v>0</v>
      </c>
      <c r="U74" s="564"/>
      <c r="V74" s="560">
        <f>SUMIFS(Propostas!$AD:$AD, Propostas!$AC:$AC, V$55, Propostas!$C:$C, $B74)</f>
        <v>0</v>
      </c>
      <c r="W74" s="564"/>
      <c r="X74" s="560">
        <f>SUMIFS(Propostas!$AD:$AD, Propostas!$AC:$AC, X$55, Propostas!$C:$C, $B74)</f>
        <v>0</v>
      </c>
      <c r="Y74" s="564"/>
      <c r="Z74" s="560">
        <f>SUMIFS(Propostas!$AD:$AD, Propostas!$AC:$AC, Z$55, Propostas!$C:$C, $B74)</f>
        <v>0</v>
      </c>
      <c r="AA74" s="564"/>
      <c r="AB74" s="560">
        <f>SUMIFS(Propostas!$AD:$AD, Propostas!$AC:$AC, AB$55, Propostas!$C:$C, $B74)</f>
        <v>0</v>
      </c>
      <c r="AC74" s="564"/>
      <c r="AD74" s="560">
        <f>SUMIFS(Propostas!$AD:$AD, Propostas!$AC:$AC, AD$55, Propostas!$C:$C, $B74)</f>
        <v>0</v>
      </c>
      <c r="AE74" s="561"/>
    </row>
    <row r="75" spans="2:31" x14ac:dyDescent="0.25">
      <c r="B75" s="565" t="str">
        <f>IF(Defesa!C23 = "", "", Defesa!C23)</f>
        <v/>
      </c>
      <c r="C75" s="566"/>
      <c r="D75" s="560">
        <f>SUMIFS(Propostas!$AD:$AD, Propostas!$AC:$AC, D$55, Propostas!$C:$C, $B75)</f>
        <v>0</v>
      </c>
      <c r="E75" s="564"/>
      <c r="F75" s="560">
        <f>SUMIFS(Propostas!$AD:$AD, Propostas!$AC:$AC, F$55, Propostas!$C:$C, $B75)</f>
        <v>0</v>
      </c>
      <c r="G75" s="564"/>
      <c r="H75" s="560">
        <f>SUMIFS(Propostas!$AD:$AD, Propostas!$AC:$AC, H$55, Propostas!$C:$C, $B75)</f>
        <v>0</v>
      </c>
      <c r="I75" s="564"/>
      <c r="J75" s="560">
        <f>SUMIFS(Propostas!$AD:$AD, Propostas!$AC:$AC, J$55, Propostas!$C:$C, $B75)</f>
        <v>0</v>
      </c>
      <c r="K75" s="564"/>
      <c r="L75" s="560">
        <f>SUMIFS(Propostas!$AD:$AD, Propostas!$AC:$AC, L$55, Propostas!$C:$C, $B75)</f>
        <v>0</v>
      </c>
      <c r="M75" s="564"/>
      <c r="N75" s="560">
        <f>SUMIFS(Propostas!$AD:$AD, Propostas!$AC:$AC, N$55, Propostas!$C:$C, $B75)</f>
        <v>0</v>
      </c>
      <c r="O75" s="564"/>
      <c r="P75" s="560">
        <f>SUMIFS(Propostas!$AD:$AD, Propostas!$AC:$AC, P$55, Propostas!$C:$C, $B75)</f>
        <v>0</v>
      </c>
      <c r="Q75" s="564"/>
      <c r="R75" s="560">
        <f>SUMIFS(Propostas!$AD:$AD, Propostas!$AC:$AC, R$55, Propostas!$C:$C, $B75)</f>
        <v>0</v>
      </c>
      <c r="S75" s="564"/>
      <c r="T75" s="560">
        <f>SUMIFS(Propostas!$AD:$AD, Propostas!$AC:$AC, T$55, Propostas!$C:$C, $B75)</f>
        <v>0</v>
      </c>
      <c r="U75" s="564"/>
      <c r="V75" s="560">
        <f>SUMIFS(Propostas!$AD:$AD, Propostas!$AC:$AC, V$55, Propostas!$C:$C, $B75)</f>
        <v>0</v>
      </c>
      <c r="W75" s="564"/>
      <c r="X75" s="560">
        <f>SUMIFS(Propostas!$AD:$AD, Propostas!$AC:$AC, X$55, Propostas!$C:$C, $B75)</f>
        <v>0</v>
      </c>
      <c r="Y75" s="564"/>
      <c r="Z75" s="560">
        <f>SUMIFS(Propostas!$AD:$AD, Propostas!$AC:$AC, Z$55, Propostas!$C:$C, $B75)</f>
        <v>0</v>
      </c>
      <c r="AA75" s="564"/>
      <c r="AB75" s="560">
        <f>SUMIFS(Propostas!$AD:$AD, Propostas!$AC:$AC, AB$55, Propostas!$C:$C, $B75)</f>
        <v>0</v>
      </c>
      <c r="AC75" s="564"/>
      <c r="AD75" s="560">
        <f>SUMIFS(Propostas!$AD:$AD, Propostas!$AC:$AC, AD$55, Propostas!$C:$C, $B75)</f>
        <v>0</v>
      </c>
      <c r="AE75" s="561"/>
    </row>
    <row r="76" spans="2:31" x14ac:dyDescent="0.25">
      <c r="B76" s="565" t="str">
        <f>IF(Defesa!C24 = "", "", Defesa!C24)</f>
        <v/>
      </c>
      <c r="C76" s="566"/>
      <c r="D76" s="560">
        <f>SUMIFS(Propostas!$AD:$AD, Propostas!$AC:$AC, D$55, Propostas!$C:$C, $B76)</f>
        <v>0</v>
      </c>
      <c r="E76" s="564"/>
      <c r="F76" s="560">
        <f>SUMIFS(Propostas!$AD:$AD, Propostas!$AC:$AC, F$55, Propostas!$C:$C, $B76)</f>
        <v>0</v>
      </c>
      <c r="G76" s="564"/>
      <c r="H76" s="560">
        <f>SUMIFS(Propostas!$AD:$AD, Propostas!$AC:$AC, H$55, Propostas!$C:$C, $B76)</f>
        <v>0</v>
      </c>
      <c r="I76" s="564"/>
      <c r="J76" s="560">
        <f>SUMIFS(Propostas!$AD:$AD, Propostas!$AC:$AC, J$55, Propostas!$C:$C, $B76)</f>
        <v>0</v>
      </c>
      <c r="K76" s="564"/>
      <c r="L76" s="560">
        <f>SUMIFS(Propostas!$AD:$AD, Propostas!$AC:$AC, L$55, Propostas!$C:$C, $B76)</f>
        <v>0</v>
      </c>
      <c r="M76" s="564"/>
      <c r="N76" s="560">
        <f>SUMIFS(Propostas!$AD:$AD, Propostas!$AC:$AC, N$55, Propostas!$C:$C, $B76)</f>
        <v>0</v>
      </c>
      <c r="O76" s="564"/>
      <c r="P76" s="560">
        <f>SUMIFS(Propostas!$AD:$AD, Propostas!$AC:$AC, P$55, Propostas!$C:$C, $B76)</f>
        <v>0</v>
      </c>
      <c r="Q76" s="564"/>
      <c r="R76" s="560">
        <f>SUMIFS(Propostas!$AD:$AD, Propostas!$AC:$AC, R$55, Propostas!$C:$C, $B76)</f>
        <v>0</v>
      </c>
      <c r="S76" s="564"/>
      <c r="T76" s="560">
        <f>SUMIFS(Propostas!$AD:$AD, Propostas!$AC:$AC, T$55, Propostas!$C:$C, $B76)</f>
        <v>0</v>
      </c>
      <c r="U76" s="564"/>
      <c r="V76" s="560">
        <f>SUMIFS(Propostas!$AD:$AD, Propostas!$AC:$AC, V$55, Propostas!$C:$C, $B76)</f>
        <v>0</v>
      </c>
      <c r="W76" s="564"/>
      <c r="X76" s="560">
        <f>SUMIFS(Propostas!$AD:$AD, Propostas!$AC:$AC, X$55, Propostas!$C:$C, $B76)</f>
        <v>0</v>
      </c>
      <c r="Y76" s="564"/>
      <c r="Z76" s="560">
        <f>SUMIFS(Propostas!$AD:$AD, Propostas!$AC:$AC, Z$55, Propostas!$C:$C, $B76)</f>
        <v>0</v>
      </c>
      <c r="AA76" s="564"/>
      <c r="AB76" s="560">
        <f>SUMIFS(Propostas!$AD:$AD, Propostas!$AC:$AC, AB$55, Propostas!$C:$C, $B76)</f>
        <v>0</v>
      </c>
      <c r="AC76" s="564"/>
      <c r="AD76" s="560">
        <f>SUMIFS(Propostas!$AD:$AD, Propostas!$AC:$AC, AD$55, Propostas!$C:$C, $B76)</f>
        <v>0</v>
      </c>
      <c r="AE76" s="561"/>
    </row>
    <row r="77" spans="2:31" x14ac:dyDescent="0.25">
      <c r="B77" s="565" t="str">
        <f>IF(Defesa!C25 = "", "", Defesa!C25)</f>
        <v/>
      </c>
      <c r="C77" s="566"/>
      <c r="D77" s="560">
        <f>SUMIFS(Propostas!$AD:$AD, Propostas!$AC:$AC, D$55, Propostas!$C:$C, $B77)</f>
        <v>0</v>
      </c>
      <c r="E77" s="564"/>
      <c r="F77" s="560">
        <f>SUMIFS(Propostas!$AD:$AD, Propostas!$AC:$AC, F$55, Propostas!$C:$C, $B77)</f>
        <v>0</v>
      </c>
      <c r="G77" s="564"/>
      <c r="H77" s="560">
        <f>SUMIFS(Propostas!$AD:$AD, Propostas!$AC:$AC, H$55, Propostas!$C:$C, $B77)</f>
        <v>0</v>
      </c>
      <c r="I77" s="564"/>
      <c r="J77" s="560">
        <f>SUMIFS(Propostas!$AD:$AD, Propostas!$AC:$AC, J$55, Propostas!$C:$C, $B77)</f>
        <v>0</v>
      </c>
      <c r="K77" s="564"/>
      <c r="L77" s="560">
        <f>SUMIFS(Propostas!$AD:$AD, Propostas!$AC:$AC, L$55, Propostas!$C:$C, $B77)</f>
        <v>0</v>
      </c>
      <c r="M77" s="564"/>
      <c r="N77" s="560">
        <f>SUMIFS(Propostas!$AD:$AD, Propostas!$AC:$AC, N$55, Propostas!$C:$C, $B77)</f>
        <v>0</v>
      </c>
      <c r="O77" s="564"/>
      <c r="P77" s="560">
        <f>SUMIFS(Propostas!$AD:$AD, Propostas!$AC:$AC, P$55, Propostas!$C:$C, $B77)</f>
        <v>0</v>
      </c>
      <c r="Q77" s="564"/>
      <c r="R77" s="560">
        <f>SUMIFS(Propostas!$AD:$AD, Propostas!$AC:$AC, R$55, Propostas!$C:$C, $B77)</f>
        <v>0</v>
      </c>
      <c r="S77" s="564"/>
      <c r="T77" s="560">
        <f>SUMIFS(Propostas!$AD:$AD, Propostas!$AC:$AC, T$55, Propostas!$C:$C, $B77)</f>
        <v>0</v>
      </c>
      <c r="U77" s="564"/>
      <c r="V77" s="560">
        <f>SUMIFS(Propostas!$AD:$AD, Propostas!$AC:$AC, V$55, Propostas!$C:$C, $B77)</f>
        <v>0</v>
      </c>
      <c r="W77" s="564"/>
      <c r="X77" s="560">
        <f>SUMIFS(Propostas!$AD:$AD, Propostas!$AC:$AC, X$55, Propostas!$C:$C, $B77)</f>
        <v>0</v>
      </c>
      <c r="Y77" s="564"/>
      <c r="Z77" s="560">
        <f>SUMIFS(Propostas!$AD:$AD, Propostas!$AC:$AC, Z$55, Propostas!$C:$C, $B77)</f>
        <v>0</v>
      </c>
      <c r="AA77" s="564"/>
      <c r="AB77" s="560">
        <f>SUMIFS(Propostas!$AD:$AD, Propostas!$AC:$AC, AB$55, Propostas!$C:$C, $B77)</f>
        <v>0</v>
      </c>
      <c r="AC77" s="564"/>
      <c r="AD77" s="560">
        <f>SUMIFS(Propostas!$AD:$AD, Propostas!$AC:$AC, AD$55, Propostas!$C:$C, $B77)</f>
        <v>0</v>
      </c>
      <c r="AE77" s="561"/>
    </row>
    <row r="78" spans="2:31" x14ac:dyDescent="0.25">
      <c r="B78" s="565" t="str">
        <f>IF(Defesa!C26 = "", "", Defesa!C26)</f>
        <v/>
      </c>
      <c r="C78" s="566"/>
      <c r="D78" s="560">
        <f>SUMIFS(Propostas!$AD:$AD, Propostas!$AC:$AC, D$55, Propostas!$C:$C, $B78)</f>
        <v>0</v>
      </c>
      <c r="E78" s="564"/>
      <c r="F78" s="560">
        <f>SUMIFS(Propostas!$AD:$AD, Propostas!$AC:$AC, F$55, Propostas!$C:$C, $B78)</f>
        <v>0</v>
      </c>
      <c r="G78" s="564"/>
      <c r="H78" s="560">
        <f>SUMIFS(Propostas!$AD:$AD, Propostas!$AC:$AC, H$55, Propostas!$C:$C, $B78)</f>
        <v>0</v>
      </c>
      <c r="I78" s="564"/>
      <c r="J78" s="560">
        <f>SUMIFS(Propostas!$AD:$AD, Propostas!$AC:$AC, J$55, Propostas!$C:$C, $B78)</f>
        <v>0</v>
      </c>
      <c r="K78" s="564"/>
      <c r="L78" s="560">
        <f>SUMIFS(Propostas!$AD:$AD, Propostas!$AC:$AC, L$55, Propostas!$C:$C, $B78)</f>
        <v>0</v>
      </c>
      <c r="M78" s="564"/>
      <c r="N78" s="560">
        <f>SUMIFS(Propostas!$AD:$AD, Propostas!$AC:$AC, N$55, Propostas!$C:$C, $B78)</f>
        <v>0</v>
      </c>
      <c r="O78" s="564"/>
      <c r="P78" s="560">
        <f>SUMIFS(Propostas!$AD:$AD, Propostas!$AC:$AC, P$55, Propostas!$C:$C, $B78)</f>
        <v>0</v>
      </c>
      <c r="Q78" s="564"/>
      <c r="R78" s="560">
        <f>SUMIFS(Propostas!$AD:$AD, Propostas!$AC:$AC, R$55, Propostas!$C:$C, $B78)</f>
        <v>0</v>
      </c>
      <c r="S78" s="564"/>
      <c r="T78" s="560">
        <f>SUMIFS(Propostas!$AD:$AD, Propostas!$AC:$AC, T$55, Propostas!$C:$C, $B78)</f>
        <v>0</v>
      </c>
      <c r="U78" s="564"/>
      <c r="V78" s="560">
        <f>SUMIFS(Propostas!$AD:$AD, Propostas!$AC:$AC, V$55, Propostas!$C:$C, $B78)</f>
        <v>0</v>
      </c>
      <c r="W78" s="564"/>
      <c r="X78" s="560">
        <f>SUMIFS(Propostas!$AD:$AD, Propostas!$AC:$AC, X$55, Propostas!$C:$C, $B78)</f>
        <v>0</v>
      </c>
      <c r="Y78" s="564"/>
      <c r="Z78" s="560">
        <f>SUMIFS(Propostas!$AD:$AD, Propostas!$AC:$AC, Z$55, Propostas!$C:$C, $B78)</f>
        <v>0</v>
      </c>
      <c r="AA78" s="564"/>
      <c r="AB78" s="560">
        <f>SUMIFS(Propostas!$AD:$AD, Propostas!$AC:$AC, AB$55, Propostas!$C:$C, $B78)</f>
        <v>0</v>
      </c>
      <c r="AC78" s="564"/>
      <c r="AD78" s="560">
        <f>SUMIFS(Propostas!$AD:$AD, Propostas!$AC:$AC, AD$55, Propostas!$C:$C, $B78)</f>
        <v>0</v>
      </c>
      <c r="AE78" s="561"/>
    </row>
    <row r="79" spans="2:31" x14ac:dyDescent="0.25">
      <c r="B79" s="565" t="str">
        <f>IF(Defesa!C27 = "", "", Defesa!C27)</f>
        <v/>
      </c>
      <c r="C79" s="566"/>
      <c r="D79" s="560">
        <f>SUMIFS(Propostas!$AD:$AD, Propostas!$AC:$AC, D$55, Propostas!$C:$C, $B79)</f>
        <v>0</v>
      </c>
      <c r="E79" s="564"/>
      <c r="F79" s="560">
        <f>SUMIFS(Propostas!$AD:$AD, Propostas!$AC:$AC, F$55, Propostas!$C:$C, $B79)</f>
        <v>0</v>
      </c>
      <c r="G79" s="564"/>
      <c r="H79" s="560">
        <f>SUMIFS(Propostas!$AD:$AD, Propostas!$AC:$AC, H$55, Propostas!$C:$C, $B79)</f>
        <v>0</v>
      </c>
      <c r="I79" s="564"/>
      <c r="J79" s="560">
        <f>SUMIFS(Propostas!$AD:$AD, Propostas!$AC:$AC, J$55, Propostas!$C:$C, $B79)</f>
        <v>0</v>
      </c>
      <c r="K79" s="564"/>
      <c r="L79" s="560">
        <f>SUMIFS(Propostas!$AD:$AD, Propostas!$AC:$AC, L$55, Propostas!$C:$C, $B79)</f>
        <v>0</v>
      </c>
      <c r="M79" s="564"/>
      <c r="N79" s="560">
        <f>SUMIFS(Propostas!$AD:$AD, Propostas!$AC:$AC, N$55, Propostas!$C:$C, $B79)</f>
        <v>0</v>
      </c>
      <c r="O79" s="564"/>
      <c r="P79" s="560">
        <f>SUMIFS(Propostas!$AD:$AD, Propostas!$AC:$AC, P$55, Propostas!$C:$C, $B79)</f>
        <v>0</v>
      </c>
      <c r="Q79" s="564"/>
      <c r="R79" s="560">
        <f>SUMIFS(Propostas!$AD:$AD, Propostas!$AC:$AC, R$55, Propostas!$C:$C, $B79)</f>
        <v>0</v>
      </c>
      <c r="S79" s="564"/>
      <c r="T79" s="560">
        <f>SUMIFS(Propostas!$AD:$AD, Propostas!$AC:$AC, T$55, Propostas!$C:$C, $B79)</f>
        <v>0</v>
      </c>
      <c r="U79" s="564"/>
      <c r="V79" s="560">
        <f>SUMIFS(Propostas!$AD:$AD, Propostas!$AC:$AC, V$55, Propostas!$C:$C, $B79)</f>
        <v>0</v>
      </c>
      <c r="W79" s="564"/>
      <c r="X79" s="560">
        <f>SUMIFS(Propostas!$AD:$AD, Propostas!$AC:$AC, X$55, Propostas!$C:$C, $B79)</f>
        <v>0</v>
      </c>
      <c r="Y79" s="564"/>
      <c r="Z79" s="560">
        <f>SUMIFS(Propostas!$AD:$AD, Propostas!$AC:$AC, Z$55, Propostas!$C:$C, $B79)</f>
        <v>0</v>
      </c>
      <c r="AA79" s="564"/>
      <c r="AB79" s="560">
        <f>SUMIFS(Propostas!$AD:$AD, Propostas!$AC:$AC, AB$55, Propostas!$C:$C, $B79)</f>
        <v>0</v>
      </c>
      <c r="AC79" s="564"/>
      <c r="AD79" s="560">
        <f>SUMIFS(Propostas!$AD:$AD, Propostas!$AC:$AC, AD$55, Propostas!$C:$C, $B79)</f>
        <v>0</v>
      </c>
      <c r="AE79" s="561"/>
    </row>
    <row r="80" spans="2:31" x14ac:dyDescent="0.25">
      <c r="B80" s="565" t="str">
        <f>IF(Defesa!C28 = "", "", Defesa!C28)</f>
        <v/>
      </c>
      <c r="C80" s="566"/>
      <c r="D80" s="560">
        <f>SUMIFS(Propostas!$AD:$AD, Propostas!$AC:$AC, D$55, Propostas!$C:$C, $B80)</f>
        <v>0</v>
      </c>
      <c r="E80" s="564"/>
      <c r="F80" s="560">
        <f>SUMIFS(Propostas!$AD:$AD, Propostas!$AC:$AC, F$55, Propostas!$C:$C, $B80)</f>
        <v>0</v>
      </c>
      <c r="G80" s="564"/>
      <c r="H80" s="560">
        <f>SUMIFS(Propostas!$AD:$AD, Propostas!$AC:$AC, H$55, Propostas!$C:$C, $B80)</f>
        <v>0</v>
      </c>
      <c r="I80" s="564"/>
      <c r="J80" s="560">
        <f>SUMIFS(Propostas!$AD:$AD, Propostas!$AC:$AC, J$55, Propostas!$C:$C, $B80)</f>
        <v>0</v>
      </c>
      <c r="K80" s="564"/>
      <c r="L80" s="560">
        <f>SUMIFS(Propostas!$AD:$AD, Propostas!$AC:$AC, L$55, Propostas!$C:$C, $B80)</f>
        <v>0</v>
      </c>
      <c r="M80" s="564"/>
      <c r="N80" s="560">
        <f>SUMIFS(Propostas!$AD:$AD, Propostas!$AC:$AC, N$55, Propostas!$C:$C, $B80)</f>
        <v>0</v>
      </c>
      <c r="O80" s="564"/>
      <c r="P80" s="560">
        <f>SUMIFS(Propostas!$AD:$AD, Propostas!$AC:$AC, P$55, Propostas!$C:$C, $B80)</f>
        <v>0</v>
      </c>
      <c r="Q80" s="564"/>
      <c r="R80" s="560">
        <f>SUMIFS(Propostas!$AD:$AD, Propostas!$AC:$AC, R$55, Propostas!$C:$C, $B80)</f>
        <v>0</v>
      </c>
      <c r="S80" s="564"/>
      <c r="T80" s="560">
        <f>SUMIFS(Propostas!$AD:$AD, Propostas!$AC:$AC, T$55, Propostas!$C:$C, $B80)</f>
        <v>0</v>
      </c>
      <c r="U80" s="564"/>
      <c r="V80" s="560">
        <f>SUMIFS(Propostas!$AD:$AD, Propostas!$AC:$AC, V$55, Propostas!$C:$C, $B80)</f>
        <v>0</v>
      </c>
      <c r="W80" s="564"/>
      <c r="X80" s="560">
        <f>SUMIFS(Propostas!$AD:$AD, Propostas!$AC:$AC, X$55, Propostas!$C:$C, $B80)</f>
        <v>0</v>
      </c>
      <c r="Y80" s="564"/>
      <c r="Z80" s="560">
        <f>SUMIFS(Propostas!$AD:$AD, Propostas!$AC:$AC, Z$55, Propostas!$C:$C, $B80)</f>
        <v>0</v>
      </c>
      <c r="AA80" s="564"/>
      <c r="AB80" s="560">
        <f>SUMIFS(Propostas!$AD:$AD, Propostas!$AC:$AC, AB$55, Propostas!$C:$C, $B80)</f>
        <v>0</v>
      </c>
      <c r="AC80" s="564"/>
      <c r="AD80" s="560">
        <f>SUMIFS(Propostas!$AD:$AD, Propostas!$AC:$AC, AD$55, Propostas!$C:$C, $B80)</f>
        <v>0</v>
      </c>
      <c r="AE80" s="561"/>
    </row>
    <row r="81" spans="2:33" x14ac:dyDescent="0.25">
      <c r="B81" s="562" t="str">
        <f>IF(Defesa!C29 = "", "", Defesa!C29)</f>
        <v/>
      </c>
      <c r="C81" s="563"/>
      <c r="D81" s="557">
        <f>SUMIFS(Propostas!$AD:$AD, Propostas!$AC:$AC, D$55, Propostas!$C:$C, $B81)</f>
        <v>0</v>
      </c>
      <c r="E81" s="558"/>
      <c r="F81" s="557">
        <f>SUMIFS(Propostas!$AD:$AD, Propostas!$AC:$AC, F$55, Propostas!$C:$C, $B81)</f>
        <v>0</v>
      </c>
      <c r="G81" s="558"/>
      <c r="H81" s="557">
        <f>SUMIFS(Propostas!$AD:$AD, Propostas!$AC:$AC, H$55, Propostas!$C:$C, $B81)</f>
        <v>0</v>
      </c>
      <c r="I81" s="558"/>
      <c r="J81" s="557">
        <f>SUMIFS(Propostas!$AD:$AD, Propostas!$AC:$AC, J$55, Propostas!$C:$C, $B81)</f>
        <v>0</v>
      </c>
      <c r="K81" s="558"/>
      <c r="L81" s="557">
        <f>SUMIFS(Propostas!$AD:$AD, Propostas!$AC:$AC, L$55, Propostas!$C:$C, $B81)</f>
        <v>0</v>
      </c>
      <c r="M81" s="558"/>
      <c r="N81" s="557">
        <f>SUMIFS(Propostas!$AD:$AD, Propostas!$AC:$AC, N$55, Propostas!$C:$C, $B81)</f>
        <v>0</v>
      </c>
      <c r="O81" s="558"/>
      <c r="P81" s="557">
        <f>SUMIFS(Propostas!$AD:$AD, Propostas!$AC:$AC, P$55, Propostas!$C:$C, $B81)</f>
        <v>0</v>
      </c>
      <c r="Q81" s="558"/>
      <c r="R81" s="557">
        <f>SUMIFS(Propostas!$AD:$AD, Propostas!$AC:$AC, R$55, Propostas!$C:$C, $B81)</f>
        <v>0</v>
      </c>
      <c r="S81" s="558"/>
      <c r="T81" s="557">
        <f>SUMIFS(Propostas!$AD:$AD, Propostas!$AC:$AC, T$55, Propostas!$C:$C, $B81)</f>
        <v>0</v>
      </c>
      <c r="U81" s="558"/>
      <c r="V81" s="557">
        <f>SUMIFS(Propostas!$AD:$AD, Propostas!$AC:$AC, V$55, Propostas!$C:$C, $B81)</f>
        <v>0</v>
      </c>
      <c r="W81" s="558"/>
      <c r="X81" s="557">
        <f>SUMIFS(Propostas!$AD:$AD, Propostas!$AC:$AC, X$55, Propostas!$C:$C, $B81)</f>
        <v>0</v>
      </c>
      <c r="Y81" s="558"/>
      <c r="Z81" s="557">
        <f>SUMIFS(Propostas!$AD:$AD, Propostas!$AC:$AC, Z$55, Propostas!$C:$C, $B81)</f>
        <v>0</v>
      </c>
      <c r="AA81" s="558"/>
      <c r="AB81" s="557">
        <f>SUMIFS(Propostas!$AD:$AD, Propostas!$AC:$AC, AB$55, Propostas!$C:$C, $B81)</f>
        <v>0</v>
      </c>
      <c r="AC81" s="558"/>
      <c r="AD81" s="557">
        <f>SUMIFS(Propostas!$AD:$AD, Propostas!$AC:$AC, AD$55, Propostas!$C:$C, $B81)</f>
        <v>0</v>
      </c>
      <c r="AE81" s="559"/>
    </row>
    <row r="82" spans="2:33" x14ac:dyDescent="0.25"/>
    <row r="83" spans="2:33" ht="15" customHeight="1" x14ac:dyDescent="0.25">
      <c r="B83" s="497" t="s">
        <v>1062</v>
      </c>
      <c r="C83" s="498"/>
      <c r="D83" s="498"/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98"/>
      <c r="Y83" s="498"/>
      <c r="Z83" s="498"/>
      <c r="AA83" s="498"/>
      <c r="AB83" s="498"/>
      <c r="AC83" s="498"/>
      <c r="AD83" s="498"/>
      <c r="AE83" s="499"/>
    </row>
    <row r="84" spans="2:33" ht="15.75" x14ac:dyDescent="0.25">
      <c r="B84" s="300" t="s">
        <v>816</v>
      </c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7"/>
    </row>
    <row r="85" spans="2:33" ht="24.75" customHeight="1" thickBot="1" x14ac:dyDescent="0.25">
      <c r="B85" s="547" t="s">
        <v>817</v>
      </c>
      <c r="C85" s="529"/>
      <c r="D85" s="529" t="s">
        <v>818</v>
      </c>
      <c r="E85" s="529"/>
      <c r="F85" s="529" t="s">
        <v>443</v>
      </c>
      <c r="G85" s="529"/>
      <c r="H85" s="529" t="s">
        <v>56</v>
      </c>
      <c r="I85" s="529"/>
      <c r="J85" s="529" t="s">
        <v>40</v>
      </c>
      <c r="K85" s="529"/>
      <c r="L85" s="529"/>
      <c r="M85" s="529" t="s">
        <v>893</v>
      </c>
      <c r="N85" s="529"/>
      <c r="O85" s="529"/>
      <c r="P85" s="529"/>
      <c r="Q85" s="529"/>
      <c r="R85" s="529"/>
      <c r="S85" s="529"/>
      <c r="T85" s="529" t="s">
        <v>52</v>
      </c>
      <c r="U85" s="529"/>
      <c r="V85" s="529"/>
      <c r="W85" s="529"/>
      <c r="X85" s="529"/>
      <c r="Y85" s="529"/>
      <c r="Z85" s="529" t="s">
        <v>262</v>
      </c>
      <c r="AA85" s="529"/>
      <c r="AB85" s="529" t="s">
        <v>221</v>
      </c>
      <c r="AC85" s="529"/>
      <c r="AD85" s="529" t="s">
        <v>53</v>
      </c>
      <c r="AE85" s="530"/>
      <c r="AG85" s="278" t="s">
        <v>899</v>
      </c>
    </row>
    <row r="86" spans="2:33" ht="13.5" thickTop="1" x14ac:dyDescent="0.25">
      <c r="B86" s="531" t="str">
        <f>IF($AG86="","", VLOOKUP($AG86,TB_PROPOSTA!$B:$Y,3,FALSE))</f>
        <v>ESTIMATIVA</v>
      </c>
      <c r="C86" s="532"/>
      <c r="D86" s="533" t="str">
        <f>IF($AG86="","",VLOOKUP($AG86,TB_PROPOSTA!$B:$Z,25,FALSE))</f>
        <v>PRJ00027489</v>
      </c>
      <c r="E86" s="532"/>
      <c r="F86" s="533" t="str">
        <f>IF($AG86="","",VLOOKUP($AG86,TB_PROPOSTA!$B:$Z,5,FALSE))</f>
        <v>PRJ00027490</v>
      </c>
      <c r="G86" s="532"/>
      <c r="H86" s="533" t="str">
        <f>IF($AG86="","",VLOOKUP($AG86,TB_PROPOSTA!$B:$Z, 6,FALSE))</f>
        <v>ME-17494747</v>
      </c>
      <c r="I86" s="532"/>
      <c r="J86" s="534" t="str">
        <f>IF($AG86="","",VLOOKUP($AG86,TB_PROPOSTA!$B:$Z, 24,FALSE))</f>
        <v>Macroestimativa</v>
      </c>
      <c r="K86" s="535"/>
      <c r="L86" s="536"/>
      <c r="M86" s="534" t="str">
        <f>IF($AG86="","",VLOOKUP($AG86,TB_PROPOSTA!$B:$Z, 9,FALSE))</f>
        <v>&lt; A CONTRATAR &gt;</v>
      </c>
      <c r="N86" s="535"/>
      <c r="O86" s="535"/>
      <c r="P86" s="535"/>
      <c r="Q86" s="535"/>
      <c r="R86" s="535"/>
      <c r="S86" s="536"/>
      <c r="T86" s="534" t="str">
        <f>IF($AG86="","",VLOOKUP($AG86,TB_PROPOSTA!$B:$Z, 14,FALSE))</f>
        <v>&lt;Não se Aplica&gt;</v>
      </c>
      <c r="U86" s="535"/>
      <c r="V86" s="535"/>
      <c r="W86" s="535"/>
      <c r="X86" s="535"/>
      <c r="Y86" s="536"/>
      <c r="Z86" s="541">
        <f>IF($AG86="","",VLOOKUP($AG86,TB_PROPOSTA!$B:$Z, 17,FALSE))</f>
        <v>0</v>
      </c>
      <c r="AA86" s="556"/>
      <c r="AB86" s="541">
        <f>IF($AG86="","",VLOOKUP($AG86,TB_PROPOSTA!$B:$Z, 18,FALSE))</f>
        <v>0</v>
      </c>
      <c r="AC86" s="556"/>
      <c r="AD86" s="541">
        <f>IF($AG86="","",VLOOKUP($AG86,TB_PROPOSTA!$B:$Z, 19,FALSE))</f>
        <v>5000000</v>
      </c>
      <c r="AE86" s="542"/>
      <c r="AG86" s="279" t="s">
        <v>1113</v>
      </c>
    </row>
    <row r="87" spans="2:33" x14ac:dyDescent="0.25">
      <c r="B87" s="517" t="str">
        <f>IF($AG87="","", VLOOKUP($AG87,TB_PROPOSTA!$B:$Y,3,FALSE))</f>
        <v/>
      </c>
      <c r="C87" s="518"/>
      <c r="D87" s="519" t="str">
        <f>IF($AG87="","",VLOOKUP($AG87,TB_PROPOSTA!$B:$Z,25,FALSE))</f>
        <v/>
      </c>
      <c r="E87" s="518"/>
      <c r="F87" s="519" t="str">
        <f>IF($AG87="","",VLOOKUP($AG87,TB_PROPOSTA!$B:$Z,5,FALSE))</f>
        <v/>
      </c>
      <c r="G87" s="518"/>
      <c r="H87" s="519" t="str">
        <f>IF($AG87="","",VLOOKUP($AG87,TB_PROPOSTA!$B:$Z, 6,FALSE))</f>
        <v/>
      </c>
      <c r="I87" s="518"/>
      <c r="J87" s="526" t="str">
        <f>IF($AG87="","",VLOOKUP($AG87,TB_PROPOSTA!$B:$Z, 24,FALSE))</f>
        <v/>
      </c>
      <c r="K87" s="527"/>
      <c r="L87" s="528"/>
      <c r="M87" s="526" t="str">
        <f>IF($AG87="","",VLOOKUP($AG87,TB_PROPOSTA!$B:$Z, 9,FALSE))</f>
        <v/>
      </c>
      <c r="N87" s="527"/>
      <c r="O87" s="527"/>
      <c r="P87" s="527"/>
      <c r="Q87" s="527"/>
      <c r="R87" s="527"/>
      <c r="S87" s="528"/>
      <c r="T87" s="526" t="str">
        <f>IF($AG87="","",VLOOKUP($AG87,TB_PROPOSTA!$B:$Z, 14,FALSE))</f>
        <v/>
      </c>
      <c r="U87" s="527"/>
      <c r="V87" s="527"/>
      <c r="W87" s="527"/>
      <c r="X87" s="527"/>
      <c r="Y87" s="528"/>
      <c r="Z87" s="506" t="str">
        <f>IF($AG87="","",VLOOKUP($AG87,TB_PROPOSTA!$B:$Z, 17,FALSE))</f>
        <v/>
      </c>
      <c r="AA87" s="555"/>
      <c r="AB87" s="506" t="str">
        <f>IF($AG87="","",VLOOKUP($AG87,TB_PROPOSTA!$B:$Z, 18,FALSE))</f>
        <v/>
      </c>
      <c r="AC87" s="555"/>
      <c r="AD87" s="506" t="str">
        <f>IF($AG87="","",VLOOKUP($AG87,TB_PROPOSTA!$B:$Z, 19,FALSE))</f>
        <v/>
      </c>
      <c r="AE87" s="507"/>
      <c r="AG87" s="279"/>
    </row>
    <row r="88" spans="2:33" x14ac:dyDescent="0.25">
      <c r="B88" s="517" t="str">
        <f>IF($AG88="","", VLOOKUP($AG88,TB_PROPOSTA!$B:$Y,3,FALSE))</f>
        <v/>
      </c>
      <c r="C88" s="518"/>
      <c r="D88" s="519" t="str">
        <f>IF($AG88="","",VLOOKUP($AG88,TB_PROPOSTA!$B:$Z,25,FALSE))</f>
        <v/>
      </c>
      <c r="E88" s="518"/>
      <c r="F88" s="519" t="str">
        <f>IF($AG88="","",VLOOKUP($AG88,TB_PROPOSTA!$B:$Z,5,FALSE))</f>
        <v/>
      </c>
      <c r="G88" s="518"/>
      <c r="H88" s="519" t="str">
        <f>IF($AG88="","",VLOOKUP($AG88,TB_PROPOSTA!$B:$Z, 6,FALSE))</f>
        <v/>
      </c>
      <c r="I88" s="518"/>
      <c r="J88" s="526" t="str">
        <f>IF($AG88="","",VLOOKUP($AG88,TB_PROPOSTA!$B:$Z, 24,FALSE))</f>
        <v/>
      </c>
      <c r="K88" s="527"/>
      <c r="L88" s="528"/>
      <c r="M88" s="526" t="str">
        <f>IF($AG88="","",VLOOKUP($AG88,TB_PROPOSTA!$B:$Z, 9,FALSE))</f>
        <v/>
      </c>
      <c r="N88" s="527"/>
      <c r="O88" s="527"/>
      <c r="P88" s="527"/>
      <c r="Q88" s="527"/>
      <c r="R88" s="527"/>
      <c r="S88" s="528"/>
      <c r="T88" s="526" t="str">
        <f>IF($AG88="","",VLOOKUP($AG88,TB_PROPOSTA!$B:$Z, 14,FALSE))</f>
        <v/>
      </c>
      <c r="U88" s="527"/>
      <c r="V88" s="527"/>
      <c r="W88" s="527"/>
      <c r="X88" s="527"/>
      <c r="Y88" s="528"/>
      <c r="Z88" s="506" t="str">
        <f>IF($AG88="","",VLOOKUP($AG88,TB_PROPOSTA!$B:$Z, 17,FALSE))</f>
        <v/>
      </c>
      <c r="AA88" s="555"/>
      <c r="AB88" s="506" t="str">
        <f>IF($AG88="","",VLOOKUP($AG88,TB_PROPOSTA!$B:$Z, 18,FALSE))</f>
        <v/>
      </c>
      <c r="AC88" s="555"/>
      <c r="AD88" s="506" t="str">
        <f>IF($AG88="","",VLOOKUP($AG88,TB_PROPOSTA!$B:$Z, 19,FALSE))</f>
        <v/>
      </c>
      <c r="AE88" s="507"/>
      <c r="AG88" s="279"/>
    </row>
    <row r="89" spans="2:33" x14ac:dyDescent="0.25">
      <c r="B89" s="517" t="str">
        <f>IF($AG89="","", VLOOKUP($AG89,TB_PROPOSTA!$B:$Y,3,FALSE))</f>
        <v/>
      </c>
      <c r="C89" s="518"/>
      <c r="D89" s="519" t="str">
        <f>IF($AG89="","",VLOOKUP($AG89,TB_PROPOSTA!$B:$Z,25,FALSE))</f>
        <v/>
      </c>
      <c r="E89" s="518"/>
      <c r="F89" s="519" t="str">
        <f>IF($AG89="","",VLOOKUP($AG89,TB_PROPOSTA!$B:$Z,5,FALSE))</f>
        <v/>
      </c>
      <c r="G89" s="518"/>
      <c r="H89" s="519" t="str">
        <f>IF($AG89="","",VLOOKUP($AG89,TB_PROPOSTA!$B:$Z, 6,FALSE))</f>
        <v/>
      </c>
      <c r="I89" s="518"/>
      <c r="J89" s="526" t="str">
        <f>IF($AG89="","",VLOOKUP($AG89,TB_PROPOSTA!$B:$Z, 24,FALSE))</f>
        <v/>
      </c>
      <c r="K89" s="527"/>
      <c r="L89" s="528"/>
      <c r="M89" s="526" t="str">
        <f>IF($AG89="","",VLOOKUP($AG89,TB_PROPOSTA!$B:$Z, 9,FALSE))</f>
        <v/>
      </c>
      <c r="N89" s="527"/>
      <c r="O89" s="527"/>
      <c r="P89" s="527"/>
      <c r="Q89" s="527"/>
      <c r="R89" s="527"/>
      <c r="S89" s="528"/>
      <c r="T89" s="526" t="str">
        <f>IF($AG89="","",VLOOKUP($AG89,TB_PROPOSTA!$B:$Z, 14,FALSE))</f>
        <v/>
      </c>
      <c r="U89" s="527"/>
      <c r="V89" s="527"/>
      <c r="W89" s="527"/>
      <c r="X89" s="527"/>
      <c r="Y89" s="528"/>
      <c r="Z89" s="506" t="str">
        <f>IF($AG89="","",VLOOKUP($AG89,TB_PROPOSTA!$B:$Z, 17,FALSE))</f>
        <v/>
      </c>
      <c r="AA89" s="555"/>
      <c r="AB89" s="506" t="str">
        <f>IF($AG89="","",VLOOKUP($AG89,TB_PROPOSTA!$B:$Z, 18,FALSE))</f>
        <v/>
      </c>
      <c r="AC89" s="555"/>
      <c r="AD89" s="506" t="str">
        <f>IF($AG89="","",VLOOKUP($AG89,TB_PROPOSTA!$B:$Z, 19,FALSE))</f>
        <v/>
      </c>
      <c r="AE89" s="507"/>
      <c r="AG89" s="279"/>
    </row>
    <row r="90" spans="2:33" x14ac:dyDescent="0.25">
      <c r="B90" s="517" t="str">
        <f>IF($AG90="","", VLOOKUP($AG90,TB_PROPOSTA!$B:$Y,3,FALSE))</f>
        <v/>
      </c>
      <c r="C90" s="518"/>
      <c r="D90" s="519" t="str">
        <f>IF($AG90="","",VLOOKUP($AG90,TB_PROPOSTA!$B:$Z,25,FALSE))</f>
        <v/>
      </c>
      <c r="E90" s="518"/>
      <c r="F90" s="519" t="str">
        <f>IF($AG90="","",VLOOKUP($AG90,TB_PROPOSTA!$B:$Z,5,FALSE))</f>
        <v/>
      </c>
      <c r="G90" s="518"/>
      <c r="H90" s="519" t="str">
        <f>IF($AG90="","",VLOOKUP($AG90,TB_PROPOSTA!$B:$Z, 6,FALSE))</f>
        <v/>
      </c>
      <c r="I90" s="518"/>
      <c r="J90" s="526" t="str">
        <f>IF($AG90="","",VLOOKUP($AG90,TB_PROPOSTA!$B:$Z, 24,FALSE))</f>
        <v/>
      </c>
      <c r="K90" s="527"/>
      <c r="L90" s="528"/>
      <c r="M90" s="526" t="str">
        <f>IF($AG90="","",VLOOKUP($AG90,TB_PROPOSTA!$B:$Z, 9,FALSE))</f>
        <v/>
      </c>
      <c r="N90" s="527"/>
      <c r="O90" s="527"/>
      <c r="P90" s="527"/>
      <c r="Q90" s="527"/>
      <c r="R90" s="527"/>
      <c r="S90" s="528"/>
      <c r="T90" s="526" t="str">
        <f>IF($AG90="","",VLOOKUP($AG90,TB_PROPOSTA!$B:$Z, 14,FALSE))</f>
        <v/>
      </c>
      <c r="U90" s="527"/>
      <c r="V90" s="527"/>
      <c r="W90" s="527"/>
      <c r="X90" s="527"/>
      <c r="Y90" s="528"/>
      <c r="Z90" s="506" t="str">
        <f>IF($AG90="","",VLOOKUP($AG90,TB_PROPOSTA!$B:$Z, 17,FALSE))</f>
        <v/>
      </c>
      <c r="AA90" s="555"/>
      <c r="AB90" s="506" t="str">
        <f>IF($AG90="","",VLOOKUP($AG90,TB_PROPOSTA!$B:$Z, 18,FALSE))</f>
        <v/>
      </c>
      <c r="AC90" s="555"/>
      <c r="AD90" s="506" t="str">
        <f>IF($AG90="","",VLOOKUP($AG90,TB_PROPOSTA!$B:$Z, 19,FALSE))</f>
        <v/>
      </c>
      <c r="AE90" s="507"/>
      <c r="AG90" s="279"/>
    </row>
    <row r="91" spans="2:33" x14ac:dyDescent="0.25">
      <c r="B91" s="517" t="str">
        <f>IF($AG91="","", VLOOKUP($AG91,TB_PROPOSTA!$B:$Y,3,FALSE))</f>
        <v/>
      </c>
      <c r="C91" s="518"/>
      <c r="D91" s="519" t="str">
        <f>IF($AG91="","",VLOOKUP($AG91,TB_PROPOSTA!$B:$Z,25,FALSE))</f>
        <v/>
      </c>
      <c r="E91" s="518"/>
      <c r="F91" s="519" t="str">
        <f>IF($AG91="","",VLOOKUP($AG91,TB_PROPOSTA!$B:$Z,5,FALSE))</f>
        <v/>
      </c>
      <c r="G91" s="518"/>
      <c r="H91" s="519" t="str">
        <f>IF($AG91="","",VLOOKUP($AG91,TB_PROPOSTA!$B:$Z, 6,FALSE))</f>
        <v/>
      </c>
      <c r="I91" s="518"/>
      <c r="J91" s="526" t="str">
        <f>IF($AG91="","",VLOOKUP($AG91,TB_PROPOSTA!$B:$Z, 24,FALSE))</f>
        <v/>
      </c>
      <c r="K91" s="527"/>
      <c r="L91" s="528"/>
      <c r="M91" s="526" t="str">
        <f>IF($AG91="","",VLOOKUP($AG91,TB_PROPOSTA!$B:$Z, 9,FALSE))</f>
        <v/>
      </c>
      <c r="N91" s="527"/>
      <c r="O91" s="527"/>
      <c r="P91" s="527"/>
      <c r="Q91" s="527"/>
      <c r="R91" s="527"/>
      <c r="S91" s="528"/>
      <c r="T91" s="526" t="str">
        <f>IF($AG91="","",VLOOKUP($AG91,TB_PROPOSTA!$B:$Z, 14,FALSE))</f>
        <v/>
      </c>
      <c r="U91" s="527"/>
      <c r="V91" s="527"/>
      <c r="W91" s="527"/>
      <c r="X91" s="527"/>
      <c r="Y91" s="528"/>
      <c r="Z91" s="506" t="str">
        <f>IF($AG91="","",VLOOKUP($AG91,TB_PROPOSTA!$B:$Z, 17,FALSE))</f>
        <v/>
      </c>
      <c r="AA91" s="555"/>
      <c r="AB91" s="506" t="str">
        <f>IF($AG91="","",VLOOKUP($AG91,TB_PROPOSTA!$B:$Z, 18,FALSE))</f>
        <v/>
      </c>
      <c r="AC91" s="555"/>
      <c r="AD91" s="506" t="str">
        <f>IF($AG91="","",VLOOKUP($AG91,TB_PROPOSTA!$B:$Z, 19,FALSE))</f>
        <v/>
      </c>
      <c r="AE91" s="507"/>
      <c r="AG91" s="279"/>
    </row>
    <row r="92" spans="2:33" x14ac:dyDescent="0.25">
      <c r="B92" s="517" t="str">
        <f>IF($AG92="","", VLOOKUP($AG92,TB_PROPOSTA!$B:$Y,3,FALSE))</f>
        <v/>
      </c>
      <c r="C92" s="518"/>
      <c r="D92" s="519" t="str">
        <f>IF($AG92="","",VLOOKUP($AG92,TB_PROPOSTA!$B:$Z,25,FALSE))</f>
        <v/>
      </c>
      <c r="E92" s="518"/>
      <c r="F92" s="519" t="str">
        <f>IF($AG92="","",VLOOKUP($AG92,TB_PROPOSTA!$B:$Z,5,FALSE))</f>
        <v/>
      </c>
      <c r="G92" s="518"/>
      <c r="H92" s="519" t="str">
        <f>IF($AG92="","",VLOOKUP($AG92,TB_PROPOSTA!$B:$Z, 6,FALSE))</f>
        <v/>
      </c>
      <c r="I92" s="518"/>
      <c r="J92" s="526" t="str">
        <f>IF($AG92="","",VLOOKUP($AG92,TB_PROPOSTA!$B:$Z, 24,FALSE))</f>
        <v/>
      </c>
      <c r="K92" s="527"/>
      <c r="L92" s="528"/>
      <c r="M92" s="526" t="str">
        <f>IF($AG92="","",VLOOKUP($AG92,TB_PROPOSTA!$B:$Z, 9,FALSE))</f>
        <v/>
      </c>
      <c r="N92" s="527"/>
      <c r="O92" s="527"/>
      <c r="P92" s="527"/>
      <c r="Q92" s="527"/>
      <c r="R92" s="527"/>
      <c r="S92" s="528"/>
      <c r="T92" s="526" t="str">
        <f>IF($AG92="","",VLOOKUP($AG92,TB_PROPOSTA!$B:$Z, 14,FALSE))</f>
        <v/>
      </c>
      <c r="U92" s="527"/>
      <c r="V92" s="527"/>
      <c r="W92" s="527"/>
      <c r="X92" s="527"/>
      <c r="Y92" s="528"/>
      <c r="Z92" s="506" t="str">
        <f>IF($AG92="","",VLOOKUP($AG92,TB_PROPOSTA!$B:$Z, 17,FALSE))</f>
        <v/>
      </c>
      <c r="AA92" s="555"/>
      <c r="AB92" s="506" t="str">
        <f>IF($AG92="","",VLOOKUP($AG92,TB_PROPOSTA!$B:$Z, 18,FALSE))</f>
        <v/>
      </c>
      <c r="AC92" s="555"/>
      <c r="AD92" s="506" t="str">
        <f>IF($AG92="","",VLOOKUP($AG92,TB_PROPOSTA!$B:$Z, 19,FALSE))</f>
        <v/>
      </c>
      <c r="AE92" s="507"/>
      <c r="AG92" s="279"/>
    </row>
    <row r="93" spans="2:33" x14ac:dyDescent="0.25">
      <c r="B93" s="517" t="str">
        <f>IF($AG93="","", VLOOKUP($AG93,TB_PROPOSTA!$B:$Y,3,FALSE))</f>
        <v/>
      </c>
      <c r="C93" s="518"/>
      <c r="D93" s="519" t="str">
        <f>IF($AG93="","",VLOOKUP($AG93,TB_PROPOSTA!$B:$Z,25,FALSE))</f>
        <v/>
      </c>
      <c r="E93" s="518"/>
      <c r="F93" s="519" t="str">
        <f>IF($AG93="","",VLOOKUP($AG93,TB_PROPOSTA!$B:$Z,5,FALSE))</f>
        <v/>
      </c>
      <c r="G93" s="518"/>
      <c r="H93" s="519" t="str">
        <f>IF($AG93="","",VLOOKUP($AG93,TB_PROPOSTA!$B:$Z, 6,FALSE))</f>
        <v/>
      </c>
      <c r="I93" s="518"/>
      <c r="J93" s="526" t="str">
        <f>IF($AG93="","",VLOOKUP($AG93,TB_PROPOSTA!$B:$Z, 24,FALSE))</f>
        <v/>
      </c>
      <c r="K93" s="527"/>
      <c r="L93" s="528"/>
      <c r="M93" s="526" t="str">
        <f>IF($AG93="","",VLOOKUP($AG93,TB_PROPOSTA!$B:$Z, 9,FALSE))</f>
        <v/>
      </c>
      <c r="N93" s="527"/>
      <c r="O93" s="527"/>
      <c r="P93" s="527"/>
      <c r="Q93" s="527"/>
      <c r="R93" s="527"/>
      <c r="S93" s="528"/>
      <c r="T93" s="526" t="str">
        <f>IF($AG93="","",VLOOKUP($AG93,TB_PROPOSTA!$B:$Z, 14,FALSE))</f>
        <v/>
      </c>
      <c r="U93" s="527"/>
      <c r="V93" s="527"/>
      <c r="W93" s="527"/>
      <c r="X93" s="527"/>
      <c r="Y93" s="528"/>
      <c r="Z93" s="506" t="str">
        <f>IF($AG93="","",VLOOKUP($AG93,TB_PROPOSTA!$B:$Z, 17,FALSE))</f>
        <v/>
      </c>
      <c r="AA93" s="555"/>
      <c r="AB93" s="506" t="str">
        <f>IF($AG93="","",VLOOKUP($AG93,TB_PROPOSTA!$B:$Z, 18,FALSE))</f>
        <v/>
      </c>
      <c r="AC93" s="555"/>
      <c r="AD93" s="506" t="str">
        <f>IF($AG93="","",VLOOKUP($AG93,TB_PROPOSTA!$B:$Z, 19,FALSE))</f>
        <v/>
      </c>
      <c r="AE93" s="507"/>
      <c r="AG93" s="279"/>
    </row>
    <row r="94" spans="2:33" x14ac:dyDescent="0.25">
      <c r="B94" s="517" t="str">
        <f>IF($AG94="","", VLOOKUP($AG94,TB_PROPOSTA!$B:$Y,3,FALSE))</f>
        <v/>
      </c>
      <c r="C94" s="518"/>
      <c r="D94" s="519" t="str">
        <f>IF($AG94="","",VLOOKUP($AG94,TB_PROPOSTA!$B:$Z,25,FALSE))</f>
        <v/>
      </c>
      <c r="E94" s="518"/>
      <c r="F94" s="519" t="str">
        <f>IF($AG94="","",VLOOKUP($AG94,TB_PROPOSTA!$B:$Z,5,FALSE))</f>
        <v/>
      </c>
      <c r="G94" s="518"/>
      <c r="H94" s="519" t="str">
        <f>IF($AG94="","",VLOOKUP($AG94,TB_PROPOSTA!$B:$Z, 6,FALSE))</f>
        <v/>
      </c>
      <c r="I94" s="518"/>
      <c r="J94" s="526" t="str">
        <f>IF($AG94="","",VLOOKUP($AG94,TB_PROPOSTA!$B:$Z, 24,FALSE))</f>
        <v/>
      </c>
      <c r="K94" s="527"/>
      <c r="L94" s="528"/>
      <c r="M94" s="526" t="str">
        <f>IF($AG94="","",VLOOKUP($AG94,TB_PROPOSTA!$B:$Z, 9,FALSE))</f>
        <v/>
      </c>
      <c r="N94" s="527"/>
      <c r="O94" s="527"/>
      <c r="P94" s="527"/>
      <c r="Q94" s="527"/>
      <c r="R94" s="527"/>
      <c r="S94" s="528"/>
      <c r="T94" s="526" t="str">
        <f>IF($AG94="","",VLOOKUP($AG94,TB_PROPOSTA!$B:$Z, 14,FALSE))</f>
        <v/>
      </c>
      <c r="U94" s="527"/>
      <c r="V94" s="527"/>
      <c r="W94" s="527"/>
      <c r="X94" s="527"/>
      <c r="Y94" s="528"/>
      <c r="Z94" s="506" t="str">
        <f>IF($AG94="","",VLOOKUP($AG94,TB_PROPOSTA!$B:$Z, 17,FALSE))</f>
        <v/>
      </c>
      <c r="AA94" s="555"/>
      <c r="AB94" s="506" t="str">
        <f>IF($AG94="","",VLOOKUP($AG94,TB_PROPOSTA!$B:$Z, 18,FALSE))</f>
        <v/>
      </c>
      <c r="AC94" s="555"/>
      <c r="AD94" s="506" t="str">
        <f>IF($AG94="","",VLOOKUP($AG94,TB_PROPOSTA!$B:$Z, 19,FALSE))</f>
        <v/>
      </c>
      <c r="AE94" s="507"/>
      <c r="AG94" s="279"/>
    </row>
    <row r="95" spans="2:33" x14ac:dyDescent="0.25">
      <c r="B95" s="517" t="str">
        <f>IF($AG95="","", VLOOKUP($AG95,TB_PROPOSTA!$B:$Y,3,FALSE))</f>
        <v/>
      </c>
      <c r="C95" s="518"/>
      <c r="D95" s="519" t="str">
        <f>IF($AG95="","",VLOOKUP($AG95,TB_PROPOSTA!$B:$Z,25,FALSE))</f>
        <v/>
      </c>
      <c r="E95" s="518"/>
      <c r="F95" s="519" t="str">
        <f>IF($AG95="","",VLOOKUP($AG95,TB_PROPOSTA!$B:$Z,5,FALSE))</f>
        <v/>
      </c>
      <c r="G95" s="518"/>
      <c r="H95" s="519" t="str">
        <f>IF($AG95="","",VLOOKUP($AG95,TB_PROPOSTA!$B:$Z, 6,FALSE))</f>
        <v/>
      </c>
      <c r="I95" s="518"/>
      <c r="J95" s="526" t="str">
        <f>IF($AG95="","",VLOOKUP($AG95,TB_PROPOSTA!$B:$Z, 24,FALSE))</f>
        <v/>
      </c>
      <c r="K95" s="527"/>
      <c r="L95" s="528"/>
      <c r="M95" s="526" t="str">
        <f>IF($AG95="","",VLOOKUP($AG95,TB_PROPOSTA!$B:$Z, 9,FALSE))</f>
        <v/>
      </c>
      <c r="N95" s="527"/>
      <c r="O95" s="527"/>
      <c r="P95" s="527"/>
      <c r="Q95" s="527"/>
      <c r="R95" s="527"/>
      <c r="S95" s="528"/>
      <c r="T95" s="526" t="str">
        <f>IF($AG95="","",VLOOKUP($AG95,TB_PROPOSTA!$B:$Z, 14,FALSE))</f>
        <v/>
      </c>
      <c r="U95" s="527"/>
      <c r="V95" s="527"/>
      <c r="W95" s="527"/>
      <c r="X95" s="527"/>
      <c r="Y95" s="528"/>
      <c r="Z95" s="506" t="str">
        <f>IF($AG95="","",VLOOKUP($AG95,TB_PROPOSTA!$B:$Z, 17,FALSE))</f>
        <v/>
      </c>
      <c r="AA95" s="555"/>
      <c r="AB95" s="506" t="str">
        <f>IF($AG95="","",VLOOKUP($AG95,TB_PROPOSTA!$B:$Z, 18,FALSE))</f>
        <v/>
      </c>
      <c r="AC95" s="555"/>
      <c r="AD95" s="506" t="str">
        <f>IF($AG95="","",VLOOKUP($AG95,TB_PROPOSTA!$B:$Z, 19,FALSE))</f>
        <v/>
      </c>
      <c r="AE95" s="507"/>
      <c r="AG95" s="279"/>
    </row>
    <row r="96" spans="2:33" x14ac:dyDescent="0.25">
      <c r="B96" s="517" t="str">
        <f>IF($AG96="","", VLOOKUP($AG96,TB_PROPOSTA!$B:$Y,3,FALSE))</f>
        <v/>
      </c>
      <c r="C96" s="518"/>
      <c r="D96" s="519" t="str">
        <f>IF($AG96="","",VLOOKUP($AG96,TB_PROPOSTA!$B:$Z,25,FALSE))</f>
        <v/>
      </c>
      <c r="E96" s="518"/>
      <c r="F96" s="519" t="str">
        <f>IF($AG96="","",VLOOKUP($AG96,TB_PROPOSTA!$B:$Z,5,FALSE))</f>
        <v/>
      </c>
      <c r="G96" s="518"/>
      <c r="H96" s="519" t="str">
        <f>IF($AG96="","",VLOOKUP($AG96,TB_PROPOSTA!$B:$Z, 6,FALSE))</f>
        <v/>
      </c>
      <c r="I96" s="518"/>
      <c r="J96" s="526" t="str">
        <f>IF($AG96="","",VLOOKUP($AG96,TB_PROPOSTA!$B:$Z, 24,FALSE))</f>
        <v/>
      </c>
      <c r="K96" s="527"/>
      <c r="L96" s="528"/>
      <c r="M96" s="526" t="str">
        <f>IF($AG96="","",VLOOKUP($AG96,TB_PROPOSTA!$B:$Z, 9,FALSE))</f>
        <v/>
      </c>
      <c r="N96" s="527"/>
      <c r="O96" s="527"/>
      <c r="P96" s="527"/>
      <c r="Q96" s="527"/>
      <c r="R96" s="527"/>
      <c r="S96" s="528"/>
      <c r="T96" s="526" t="str">
        <f>IF($AG96="","",VLOOKUP($AG96,TB_PROPOSTA!$B:$Z, 14,FALSE))</f>
        <v/>
      </c>
      <c r="U96" s="527"/>
      <c r="V96" s="527"/>
      <c r="W96" s="527"/>
      <c r="X96" s="527"/>
      <c r="Y96" s="528"/>
      <c r="Z96" s="506" t="str">
        <f>IF($AG96="","",VLOOKUP($AG96,TB_PROPOSTA!$B:$Z, 17,FALSE))</f>
        <v/>
      </c>
      <c r="AA96" s="555"/>
      <c r="AB96" s="506" t="str">
        <f>IF($AG96="","",VLOOKUP($AG96,TB_PROPOSTA!$B:$Z, 18,FALSE))</f>
        <v/>
      </c>
      <c r="AC96" s="555"/>
      <c r="AD96" s="506" t="str">
        <f>IF($AG96="","",VLOOKUP($AG96,TB_PROPOSTA!$B:$Z, 19,FALSE))</f>
        <v/>
      </c>
      <c r="AE96" s="507"/>
      <c r="AG96" s="279"/>
    </row>
    <row r="97" spans="2:33" x14ac:dyDescent="0.25">
      <c r="B97" s="517" t="str">
        <f>IF($AG97="","", VLOOKUP($AG97,TB_PROPOSTA!$B:$Y,3,FALSE))</f>
        <v/>
      </c>
      <c r="C97" s="518"/>
      <c r="D97" s="519" t="str">
        <f>IF($AG97="","",VLOOKUP($AG97,TB_PROPOSTA!$B:$Z,25,FALSE))</f>
        <v/>
      </c>
      <c r="E97" s="518"/>
      <c r="F97" s="519" t="str">
        <f>IF($AG97="","",VLOOKUP($AG97,TB_PROPOSTA!$B:$Z,5,FALSE))</f>
        <v/>
      </c>
      <c r="G97" s="518"/>
      <c r="H97" s="519" t="str">
        <f>IF($AG97="","",VLOOKUP($AG97,TB_PROPOSTA!$B:$Z, 6,FALSE))</f>
        <v/>
      </c>
      <c r="I97" s="518"/>
      <c r="J97" s="526" t="str">
        <f>IF($AG97="","",VLOOKUP($AG97,TB_PROPOSTA!$B:$Z, 24,FALSE))</f>
        <v/>
      </c>
      <c r="K97" s="527"/>
      <c r="L97" s="528"/>
      <c r="M97" s="526" t="str">
        <f>IF($AG97="","",VLOOKUP($AG97,TB_PROPOSTA!$B:$Z, 9,FALSE))</f>
        <v/>
      </c>
      <c r="N97" s="527"/>
      <c r="O97" s="527"/>
      <c r="P97" s="527"/>
      <c r="Q97" s="527"/>
      <c r="R97" s="527"/>
      <c r="S97" s="528"/>
      <c r="T97" s="526" t="str">
        <f>IF($AG97="","",VLOOKUP($AG97,TB_PROPOSTA!$B:$Z, 14,FALSE))</f>
        <v/>
      </c>
      <c r="U97" s="527"/>
      <c r="V97" s="527"/>
      <c r="W97" s="527"/>
      <c r="X97" s="527"/>
      <c r="Y97" s="528"/>
      <c r="Z97" s="506" t="str">
        <f>IF($AG97="","",VLOOKUP($AG97,TB_PROPOSTA!$B:$Z, 17,FALSE))</f>
        <v/>
      </c>
      <c r="AA97" s="555"/>
      <c r="AB97" s="506" t="str">
        <f>IF($AG97="","",VLOOKUP($AG97,TB_PROPOSTA!$B:$Z, 18,FALSE))</f>
        <v/>
      </c>
      <c r="AC97" s="555"/>
      <c r="AD97" s="506" t="str">
        <f>IF($AG97="","",VLOOKUP($AG97,TB_PROPOSTA!$B:$Z, 19,FALSE))</f>
        <v/>
      </c>
      <c r="AE97" s="507"/>
      <c r="AG97" s="279"/>
    </row>
    <row r="98" spans="2:33" x14ac:dyDescent="0.25">
      <c r="B98" s="517" t="str">
        <f>IF($AG98="","", VLOOKUP($AG98,TB_PROPOSTA!$B:$Y,3,FALSE))</f>
        <v/>
      </c>
      <c r="C98" s="518"/>
      <c r="D98" s="519" t="str">
        <f>IF($AG98="","",VLOOKUP($AG98,TB_PROPOSTA!$B:$Z,25,FALSE))</f>
        <v/>
      </c>
      <c r="E98" s="518"/>
      <c r="F98" s="519" t="str">
        <f>IF($AG98="","",VLOOKUP($AG98,TB_PROPOSTA!$B:$Z,5,FALSE))</f>
        <v/>
      </c>
      <c r="G98" s="518"/>
      <c r="H98" s="519" t="str">
        <f>IF($AG98="","",VLOOKUP($AG98,TB_PROPOSTA!$B:$Z, 6,FALSE))</f>
        <v/>
      </c>
      <c r="I98" s="518"/>
      <c r="J98" s="526" t="str">
        <f>IF($AG98="","",VLOOKUP($AG98,TB_PROPOSTA!$B:$Z, 24,FALSE))</f>
        <v/>
      </c>
      <c r="K98" s="527"/>
      <c r="L98" s="528"/>
      <c r="M98" s="526" t="str">
        <f>IF($AG98="","",VLOOKUP($AG98,TB_PROPOSTA!$B:$Z, 9,FALSE))</f>
        <v/>
      </c>
      <c r="N98" s="527"/>
      <c r="O98" s="527"/>
      <c r="P98" s="527"/>
      <c r="Q98" s="527"/>
      <c r="R98" s="527"/>
      <c r="S98" s="528"/>
      <c r="T98" s="526" t="str">
        <f>IF($AG98="","",VLOOKUP($AG98,TB_PROPOSTA!$B:$Z, 14,FALSE))</f>
        <v/>
      </c>
      <c r="U98" s="527"/>
      <c r="V98" s="527"/>
      <c r="W98" s="527"/>
      <c r="X98" s="527"/>
      <c r="Y98" s="528"/>
      <c r="Z98" s="506" t="str">
        <f>IF($AG98="","",VLOOKUP($AG98,TB_PROPOSTA!$B:$Z, 17,FALSE))</f>
        <v/>
      </c>
      <c r="AA98" s="555"/>
      <c r="AB98" s="506" t="str">
        <f>IF($AG98="","",VLOOKUP($AG98,TB_PROPOSTA!$B:$Z, 18,FALSE))</f>
        <v/>
      </c>
      <c r="AC98" s="555"/>
      <c r="AD98" s="506" t="str">
        <f>IF($AG98="","",VLOOKUP($AG98,TB_PROPOSTA!$B:$Z, 19,FALSE))</f>
        <v/>
      </c>
      <c r="AE98" s="507"/>
      <c r="AG98" s="279"/>
    </row>
    <row r="99" spans="2:33" x14ac:dyDescent="0.25">
      <c r="B99" s="517" t="str">
        <f>IF($AG99="","", VLOOKUP($AG99,TB_PROPOSTA!$B:$Y,3,FALSE))</f>
        <v/>
      </c>
      <c r="C99" s="518"/>
      <c r="D99" s="519" t="str">
        <f>IF($AG99="","",VLOOKUP($AG99,TB_PROPOSTA!$B:$Z,25,FALSE))</f>
        <v/>
      </c>
      <c r="E99" s="518"/>
      <c r="F99" s="519" t="str">
        <f>IF($AG99="","",VLOOKUP($AG99,TB_PROPOSTA!$B:$Z,5,FALSE))</f>
        <v/>
      </c>
      <c r="G99" s="518"/>
      <c r="H99" s="519" t="str">
        <f>IF($AG99="","",VLOOKUP($AG99,TB_PROPOSTA!$B:$Z, 6,FALSE))</f>
        <v/>
      </c>
      <c r="I99" s="518"/>
      <c r="J99" s="526" t="str">
        <f>IF($AG99="","",VLOOKUP($AG99,TB_PROPOSTA!$B:$Z, 24,FALSE))</f>
        <v/>
      </c>
      <c r="K99" s="527"/>
      <c r="L99" s="528"/>
      <c r="M99" s="526" t="str">
        <f>IF($AG99="","",VLOOKUP($AG99,TB_PROPOSTA!$B:$Z, 9,FALSE))</f>
        <v/>
      </c>
      <c r="N99" s="527"/>
      <c r="O99" s="527"/>
      <c r="P99" s="527"/>
      <c r="Q99" s="527"/>
      <c r="R99" s="527"/>
      <c r="S99" s="528"/>
      <c r="T99" s="526" t="str">
        <f>IF($AG99="","",VLOOKUP($AG99,TB_PROPOSTA!$B:$Z, 14,FALSE))</f>
        <v/>
      </c>
      <c r="U99" s="527"/>
      <c r="V99" s="527"/>
      <c r="W99" s="527"/>
      <c r="X99" s="527"/>
      <c r="Y99" s="528"/>
      <c r="Z99" s="506" t="str">
        <f>IF($AG99="","",VLOOKUP($AG99,TB_PROPOSTA!$B:$Z, 17,FALSE))</f>
        <v/>
      </c>
      <c r="AA99" s="555"/>
      <c r="AB99" s="506" t="str">
        <f>IF($AG99="","",VLOOKUP($AG99,TB_PROPOSTA!$B:$Z, 18,FALSE))</f>
        <v/>
      </c>
      <c r="AC99" s="555"/>
      <c r="AD99" s="506" t="str">
        <f>IF($AG99="","",VLOOKUP($AG99,TB_PROPOSTA!$B:$Z, 19,FALSE))</f>
        <v/>
      </c>
      <c r="AE99" s="507"/>
      <c r="AG99" s="279"/>
    </row>
    <row r="100" spans="2:33" x14ac:dyDescent="0.25">
      <c r="B100" s="517" t="str">
        <f>IF($AG100="","", VLOOKUP($AG100,TB_PROPOSTA!$B:$Y,3,FALSE))</f>
        <v/>
      </c>
      <c r="C100" s="518"/>
      <c r="D100" s="519" t="str">
        <f>IF($AG100="","",VLOOKUP($AG100,TB_PROPOSTA!$B:$Z,25,FALSE))</f>
        <v/>
      </c>
      <c r="E100" s="518"/>
      <c r="F100" s="519" t="str">
        <f>IF($AG100="","",VLOOKUP($AG100,TB_PROPOSTA!$B:$Z,5,FALSE))</f>
        <v/>
      </c>
      <c r="G100" s="518"/>
      <c r="H100" s="519" t="str">
        <f>IF($AG100="","",VLOOKUP($AG100,TB_PROPOSTA!$B:$Z, 6,FALSE))</f>
        <v/>
      </c>
      <c r="I100" s="518"/>
      <c r="J100" s="526" t="str">
        <f>IF($AG100="","",VLOOKUP($AG100,TB_PROPOSTA!$B:$Z, 24,FALSE))</f>
        <v/>
      </c>
      <c r="K100" s="527"/>
      <c r="L100" s="528"/>
      <c r="M100" s="526" t="str">
        <f>IF($AG100="","",VLOOKUP($AG100,TB_PROPOSTA!$B:$Z, 9,FALSE))</f>
        <v/>
      </c>
      <c r="N100" s="527"/>
      <c r="O100" s="527"/>
      <c r="P100" s="527"/>
      <c r="Q100" s="527"/>
      <c r="R100" s="527"/>
      <c r="S100" s="528"/>
      <c r="T100" s="526" t="str">
        <f>IF($AG100="","",VLOOKUP($AG100,TB_PROPOSTA!$B:$Z, 14,FALSE))</f>
        <v/>
      </c>
      <c r="U100" s="527"/>
      <c r="V100" s="527"/>
      <c r="W100" s="527"/>
      <c r="X100" s="527"/>
      <c r="Y100" s="528"/>
      <c r="Z100" s="506" t="str">
        <f>IF($AG100="","",VLOOKUP($AG100,TB_PROPOSTA!$B:$Z, 17,FALSE))</f>
        <v/>
      </c>
      <c r="AA100" s="555"/>
      <c r="AB100" s="506" t="str">
        <f>IF($AG100="","",VLOOKUP($AG100,TB_PROPOSTA!$B:$Z, 18,FALSE))</f>
        <v/>
      </c>
      <c r="AC100" s="555"/>
      <c r="AD100" s="506" t="str">
        <f>IF($AG100="","",VLOOKUP($AG100,TB_PROPOSTA!$B:$Z, 19,FALSE))</f>
        <v/>
      </c>
      <c r="AE100" s="507"/>
      <c r="AG100" s="279"/>
    </row>
    <row r="101" spans="2:33" x14ac:dyDescent="0.25">
      <c r="B101" s="517" t="str">
        <f>IF($AG101="","", VLOOKUP($AG101,TB_PROPOSTA!$B:$Y,3,FALSE))</f>
        <v/>
      </c>
      <c r="C101" s="518"/>
      <c r="D101" s="519" t="str">
        <f>IF($AG101="","",VLOOKUP($AG101,TB_PROPOSTA!$B:$Z,25,FALSE))</f>
        <v/>
      </c>
      <c r="E101" s="518"/>
      <c r="F101" s="519" t="str">
        <f>IF($AG101="","",VLOOKUP($AG101,TB_PROPOSTA!$B:$Z,5,FALSE))</f>
        <v/>
      </c>
      <c r="G101" s="518"/>
      <c r="H101" s="519" t="str">
        <f>IF($AG101="","",VLOOKUP($AG101,TB_PROPOSTA!$B:$Z, 6,FALSE))</f>
        <v/>
      </c>
      <c r="I101" s="518"/>
      <c r="J101" s="526" t="str">
        <f>IF($AG101="","",VLOOKUP($AG101,TB_PROPOSTA!$B:$Z, 24,FALSE))</f>
        <v/>
      </c>
      <c r="K101" s="527"/>
      <c r="L101" s="528"/>
      <c r="M101" s="526" t="str">
        <f>IF($AG101="","",VLOOKUP($AG101,TB_PROPOSTA!$B:$Z, 9,FALSE))</f>
        <v/>
      </c>
      <c r="N101" s="527"/>
      <c r="O101" s="527"/>
      <c r="P101" s="527"/>
      <c r="Q101" s="527"/>
      <c r="R101" s="527"/>
      <c r="S101" s="528"/>
      <c r="T101" s="526" t="str">
        <f>IF($AG101="","",VLOOKUP($AG101,TB_PROPOSTA!$B:$Z, 14,FALSE))</f>
        <v/>
      </c>
      <c r="U101" s="527"/>
      <c r="V101" s="527"/>
      <c r="W101" s="527"/>
      <c r="X101" s="527"/>
      <c r="Y101" s="528"/>
      <c r="Z101" s="506" t="str">
        <f>IF($AG101="","",VLOOKUP($AG101,TB_PROPOSTA!$B:$Z, 17,FALSE))</f>
        <v/>
      </c>
      <c r="AA101" s="555"/>
      <c r="AB101" s="506" t="str">
        <f>IF($AG101="","",VLOOKUP($AG101,TB_PROPOSTA!$B:$Z, 18,FALSE))</f>
        <v/>
      </c>
      <c r="AC101" s="555"/>
      <c r="AD101" s="506" t="str">
        <f>IF($AG101="","",VLOOKUP($AG101,TB_PROPOSTA!$B:$Z, 19,FALSE))</f>
        <v/>
      </c>
      <c r="AE101" s="507"/>
      <c r="AG101" s="279"/>
    </row>
    <row r="102" spans="2:33" x14ac:dyDescent="0.25">
      <c r="B102" s="517" t="str">
        <f>IF($AG102="","", VLOOKUP($AG102,TB_PROPOSTA!$B:$Y,3,FALSE))</f>
        <v/>
      </c>
      <c r="C102" s="518"/>
      <c r="D102" s="519" t="str">
        <f>IF($AG102="","",VLOOKUP($AG102,TB_PROPOSTA!$B:$Z,25,FALSE))</f>
        <v/>
      </c>
      <c r="E102" s="518"/>
      <c r="F102" s="519" t="str">
        <f>IF($AG102="","",VLOOKUP($AG102,TB_PROPOSTA!$B:$Z,5,FALSE))</f>
        <v/>
      </c>
      <c r="G102" s="518"/>
      <c r="H102" s="519" t="str">
        <f>IF($AG102="","",VLOOKUP($AG102,TB_PROPOSTA!$B:$Z, 6,FALSE))</f>
        <v/>
      </c>
      <c r="I102" s="518"/>
      <c r="J102" s="526" t="str">
        <f>IF($AG102="","",VLOOKUP($AG102,TB_PROPOSTA!$B:$Z, 24,FALSE))</f>
        <v/>
      </c>
      <c r="K102" s="527"/>
      <c r="L102" s="528"/>
      <c r="M102" s="526" t="str">
        <f>IF($AG102="","",VLOOKUP($AG102,TB_PROPOSTA!$B:$Z, 9,FALSE))</f>
        <v/>
      </c>
      <c r="N102" s="527"/>
      <c r="O102" s="527"/>
      <c r="P102" s="527"/>
      <c r="Q102" s="527"/>
      <c r="R102" s="527"/>
      <c r="S102" s="528"/>
      <c r="T102" s="526" t="str">
        <f>IF($AG102="","",VLOOKUP($AG102,TB_PROPOSTA!$B:$Z, 14,FALSE))</f>
        <v/>
      </c>
      <c r="U102" s="527"/>
      <c r="V102" s="527"/>
      <c r="W102" s="527"/>
      <c r="X102" s="527"/>
      <c r="Y102" s="528"/>
      <c r="Z102" s="506" t="str">
        <f>IF($AG102="","",VLOOKUP($AG102,TB_PROPOSTA!$B:$Z, 17,FALSE))</f>
        <v/>
      </c>
      <c r="AA102" s="555"/>
      <c r="AB102" s="506" t="str">
        <f>IF($AG102="","",VLOOKUP($AG102,TB_PROPOSTA!$B:$Z, 18,FALSE))</f>
        <v/>
      </c>
      <c r="AC102" s="555"/>
      <c r="AD102" s="506" t="str">
        <f>IF($AG102="","",VLOOKUP($AG102,TB_PROPOSTA!$B:$Z, 19,FALSE))</f>
        <v/>
      </c>
      <c r="AE102" s="507"/>
      <c r="AG102" s="279"/>
    </row>
    <row r="103" spans="2:33" x14ac:dyDescent="0.25">
      <c r="B103" s="517" t="str">
        <f>IF($AG103="","", VLOOKUP($AG103,TB_PROPOSTA!$B:$Y,3,FALSE))</f>
        <v/>
      </c>
      <c r="C103" s="518"/>
      <c r="D103" s="519" t="str">
        <f>IF($AG103="","",VLOOKUP($AG103,TB_PROPOSTA!$B:$Z,25,FALSE))</f>
        <v/>
      </c>
      <c r="E103" s="518"/>
      <c r="F103" s="519" t="str">
        <f>IF($AG103="","",VLOOKUP($AG103,TB_PROPOSTA!$B:$Z,5,FALSE))</f>
        <v/>
      </c>
      <c r="G103" s="518"/>
      <c r="H103" s="519" t="str">
        <f>IF($AG103="","",VLOOKUP($AG103,TB_PROPOSTA!$B:$Z, 6,FALSE))</f>
        <v/>
      </c>
      <c r="I103" s="518"/>
      <c r="J103" s="526" t="str">
        <f>IF($AG103="","",VLOOKUP($AG103,TB_PROPOSTA!$B:$Z, 24,FALSE))</f>
        <v/>
      </c>
      <c r="K103" s="527"/>
      <c r="L103" s="528"/>
      <c r="M103" s="526" t="str">
        <f>IF($AG103="","",VLOOKUP($AG103,TB_PROPOSTA!$B:$Z, 9,FALSE))</f>
        <v/>
      </c>
      <c r="N103" s="527"/>
      <c r="O103" s="527"/>
      <c r="P103" s="527"/>
      <c r="Q103" s="527"/>
      <c r="R103" s="527"/>
      <c r="S103" s="528"/>
      <c r="T103" s="526" t="str">
        <f>IF($AG103="","",VLOOKUP($AG103,TB_PROPOSTA!$B:$Z, 14,FALSE))</f>
        <v/>
      </c>
      <c r="U103" s="527"/>
      <c r="V103" s="527"/>
      <c r="W103" s="527"/>
      <c r="X103" s="527"/>
      <c r="Y103" s="528"/>
      <c r="Z103" s="506" t="str">
        <f>IF($AG103="","",VLOOKUP($AG103,TB_PROPOSTA!$B:$Z, 17,FALSE))</f>
        <v/>
      </c>
      <c r="AA103" s="555"/>
      <c r="AB103" s="506" t="str">
        <f>IF($AG103="","",VLOOKUP($AG103,TB_PROPOSTA!$B:$Z, 18,FALSE))</f>
        <v/>
      </c>
      <c r="AC103" s="555"/>
      <c r="AD103" s="506" t="str">
        <f>IF($AG103="","",VLOOKUP($AG103,TB_PROPOSTA!$B:$Z, 19,FALSE))</f>
        <v/>
      </c>
      <c r="AE103" s="507"/>
      <c r="AG103" s="279"/>
    </row>
    <row r="104" spans="2:33" x14ac:dyDescent="0.25">
      <c r="B104" s="517" t="str">
        <f>IF($AG104="","", VLOOKUP($AG104,TB_PROPOSTA!$B:$Y,3,FALSE))</f>
        <v/>
      </c>
      <c r="C104" s="518"/>
      <c r="D104" s="519" t="str">
        <f>IF($AG104="","",VLOOKUP($AG104,TB_PROPOSTA!$B:$Z,25,FALSE))</f>
        <v/>
      </c>
      <c r="E104" s="518"/>
      <c r="F104" s="519" t="str">
        <f>IF($AG104="","",VLOOKUP($AG104,TB_PROPOSTA!$B:$Z,5,FALSE))</f>
        <v/>
      </c>
      <c r="G104" s="518"/>
      <c r="H104" s="519" t="str">
        <f>IF($AG104="","",VLOOKUP($AG104,TB_PROPOSTA!$B:$Z, 6,FALSE))</f>
        <v/>
      </c>
      <c r="I104" s="518"/>
      <c r="J104" s="526" t="str">
        <f>IF($AG104="","",VLOOKUP($AG104,TB_PROPOSTA!$B:$Z, 24,FALSE))</f>
        <v/>
      </c>
      <c r="K104" s="527"/>
      <c r="L104" s="528"/>
      <c r="M104" s="526" t="str">
        <f>IF($AG104="","",VLOOKUP($AG104,TB_PROPOSTA!$B:$Z, 9,FALSE))</f>
        <v/>
      </c>
      <c r="N104" s="527"/>
      <c r="O104" s="527"/>
      <c r="P104" s="527"/>
      <c r="Q104" s="527"/>
      <c r="R104" s="527"/>
      <c r="S104" s="528"/>
      <c r="T104" s="526" t="str">
        <f>IF($AG104="","",VLOOKUP($AG104,TB_PROPOSTA!$B:$Z, 14,FALSE))</f>
        <v/>
      </c>
      <c r="U104" s="527"/>
      <c r="V104" s="527"/>
      <c r="W104" s="527"/>
      <c r="X104" s="527"/>
      <c r="Y104" s="528"/>
      <c r="Z104" s="506" t="str">
        <f>IF($AG104="","",VLOOKUP($AG104,TB_PROPOSTA!$B:$Z, 17,FALSE))</f>
        <v/>
      </c>
      <c r="AA104" s="555"/>
      <c r="AB104" s="506" t="str">
        <f>IF($AG104="","",VLOOKUP($AG104,TB_PROPOSTA!$B:$Z, 18,FALSE))</f>
        <v/>
      </c>
      <c r="AC104" s="555"/>
      <c r="AD104" s="506" t="str">
        <f>IF($AG104="","",VLOOKUP($AG104,TB_PROPOSTA!$B:$Z, 19,FALSE))</f>
        <v/>
      </c>
      <c r="AE104" s="507"/>
      <c r="AG104" s="279"/>
    </row>
    <row r="105" spans="2:33" x14ac:dyDescent="0.25">
      <c r="B105" s="517" t="str">
        <f>IF($AG105="","", VLOOKUP($AG105,TB_PROPOSTA!$B:$Y,3,FALSE))</f>
        <v/>
      </c>
      <c r="C105" s="518"/>
      <c r="D105" s="519" t="str">
        <f>IF($AG105="","",VLOOKUP($AG105,TB_PROPOSTA!$B:$Z,25,FALSE))</f>
        <v/>
      </c>
      <c r="E105" s="518"/>
      <c r="F105" s="519" t="str">
        <f>IF($AG105="","",VLOOKUP($AG105,TB_PROPOSTA!$B:$Z,5,FALSE))</f>
        <v/>
      </c>
      <c r="G105" s="518"/>
      <c r="H105" s="519" t="str">
        <f>IF($AG105="","",VLOOKUP($AG105,TB_PROPOSTA!$B:$Z, 6,FALSE))</f>
        <v/>
      </c>
      <c r="I105" s="518"/>
      <c r="J105" s="526" t="str">
        <f>IF($AG105="","",VLOOKUP($AG105,TB_PROPOSTA!$B:$Z, 24,FALSE))</f>
        <v/>
      </c>
      <c r="K105" s="527"/>
      <c r="L105" s="528"/>
      <c r="M105" s="526" t="str">
        <f>IF($AG105="","",VLOOKUP($AG105,TB_PROPOSTA!$B:$Z, 9,FALSE))</f>
        <v/>
      </c>
      <c r="N105" s="527"/>
      <c r="O105" s="527"/>
      <c r="P105" s="527"/>
      <c r="Q105" s="527"/>
      <c r="R105" s="527"/>
      <c r="S105" s="528"/>
      <c r="T105" s="526" t="str">
        <f>IF($AG105="","",VLOOKUP($AG105,TB_PROPOSTA!$B:$Z, 14,FALSE))</f>
        <v/>
      </c>
      <c r="U105" s="527"/>
      <c r="V105" s="527"/>
      <c r="W105" s="527"/>
      <c r="X105" s="527"/>
      <c r="Y105" s="528"/>
      <c r="Z105" s="506" t="str">
        <f>IF($AG105="","",VLOOKUP($AG105,TB_PROPOSTA!$B:$Z, 17,FALSE))</f>
        <v/>
      </c>
      <c r="AA105" s="555"/>
      <c r="AB105" s="506" t="str">
        <f>IF($AG105="","",VLOOKUP($AG105,TB_PROPOSTA!$B:$Z, 18,FALSE))</f>
        <v/>
      </c>
      <c r="AC105" s="555"/>
      <c r="AD105" s="506" t="str">
        <f>IF($AG105="","",VLOOKUP($AG105,TB_PROPOSTA!$B:$Z, 19,FALSE))</f>
        <v/>
      </c>
      <c r="AE105" s="507"/>
      <c r="AG105" s="279"/>
    </row>
    <row r="106" spans="2:33" x14ac:dyDescent="0.25">
      <c r="B106" s="517" t="str">
        <f>IF($AG106="","", VLOOKUP($AG106,TB_PROPOSTA!$B:$Y,3,FALSE))</f>
        <v/>
      </c>
      <c r="C106" s="518"/>
      <c r="D106" s="519" t="str">
        <f>IF($AG106="","",VLOOKUP($AG106,TB_PROPOSTA!$B:$Z,25,FALSE))</f>
        <v/>
      </c>
      <c r="E106" s="518"/>
      <c r="F106" s="519" t="str">
        <f>IF($AG106="","",VLOOKUP($AG106,TB_PROPOSTA!$B:$Z,5,FALSE))</f>
        <v/>
      </c>
      <c r="G106" s="518"/>
      <c r="H106" s="519" t="str">
        <f>IF($AG106="","",VLOOKUP($AG106,TB_PROPOSTA!$B:$Z, 6,FALSE))</f>
        <v/>
      </c>
      <c r="I106" s="518"/>
      <c r="J106" s="526" t="str">
        <f>IF($AG106="","",VLOOKUP($AG106,TB_PROPOSTA!$B:$Z, 24,FALSE))</f>
        <v/>
      </c>
      <c r="K106" s="527"/>
      <c r="L106" s="528"/>
      <c r="M106" s="526" t="str">
        <f>IF($AG106="","",VLOOKUP($AG106,TB_PROPOSTA!$B:$Z, 9,FALSE))</f>
        <v/>
      </c>
      <c r="N106" s="527"/>
      <c r="O106" s="527"/>
      <c r="P106" s="527"/>
      <c r="Q106" s="527"/>
      <c r="R106" s="527"/>
      <c r="S106" s="528"/>
      <c r="T106" s="526" t="str">
        <f>IF($AG106="","",VLOOKUP($AG106,TB_PROPOSTA!$B:$Z, 14,FALSE))</f>
        <v/>
      </c>
      <c r="U106" s="527"/>
      <c r="V106" s="527"/>
      <c r="W106" s="527"/>
      <c r="X106" s="527"/>
      <c r="Y106" s="528"/>
      <c r="Z106" s="506" t="str">
        <f>IF($AG106="","",VLOOKUP($AG106,TB_PROPOSTA!$B:$Z, 17,FALSE))</f>
        <v/>
      </c>
      <c r="AA106" s="555"/>
      <c r="AB106" s="506" t="str">
        <f>IF($AG106="","",VLOOKUP($AG106,TB_PROPOSTA!$B:$Z, 18,FALSE))</f>
        <v/>
      </c>
      <c r="AC106" s="555"/>
      <c r="AD106" s="506" t="str">
        <f>IF($AG106="","",VLOOKUP($AG106,TB_PROPOSTA!$B:$Z, 19,FALSE))</f>
        <v/>
      </c>
      <c r="AE106" s="507"/>
      <c r="AG106" s="279"/>
    </row>
    <row r="107" spans="2:33" x14ac:dyDescent="0.25">
      <c r="B107" s="517" t="str">
        <f>IF($AG107="","", VLOOKUP($AG107,TB_PROPOSTA!$B:$Y,3,FALSE))</f>
        <v/>
      </c>
      <c r="C107" s="518"/>
      <c r="D107" s="519" t="str">
        <f>IF($AG107="","",VLOOKUP($AG107,TB_PROPOSTA!$B:$Z,25,FALSE))</f>
        <v/>
      </c>
      <c r="E107" s="518"/>
      <c r="F107" s="519" t="str">
        <f>IF($AG107="","",VLOOKUP($AG107,TB_PROPOSTA!$B:$Z,5,FALSE))</f>
        <v/>
      </c>
      <c r="G107" s="518"/>
      <c r="H107" s="519" t="str">
        <f>IF($AG107="","",VLOOKUP($AG107,TB_PROPOSTA!$B:$Z, 6,FALSE))</f>
        <v/>
      </c>
      <c r="I107" s="518"/>
      <c r="J107" s="526" t="str">
        <f>IF($AG107="","",VLOOKUP($AG107,TB_PROPOSTA!$B:$Z, 24,FALSE))</f>
        <v/>
      </c>
      <c r="K107" s="527"/>
      <c r="L107" s="528"/>
      <c r="M107" s="526" t="str">
        <f>IF($AG107="","",VLOOKUP($AG107,TB_PROPOSTA!$B:$Z, 9,FALSE))</f>
        <v/>
      </c>
      <c r="N107" s="527"/>
      <c r="O107" s="527"/>
      <c r="P107" s="527"/>
      <c r="Q107" s="527"/>
      <c r="R107" s="527"/>
      <c r="S107" s="528"/>
      <c r="T107" s="526" t="str">
        <f>IF($AG107="","",VLOOKUP($AG107,TB_PROPOSTA!$B:$Z, 14,FALSE))</f>
        <v/>
      </c>
      <c r="U107" s="527"/>
      <c r="V107" s="527"/>
      <c r="W107" s="527"/>
      <c r="X107" s="527"/>
      <c r="Y107" s="528"/>
      <c r="Z107" s="506" t="str">
        <f>IF($AG107="","",VLOOKUP($AG107,TB_PROPOSTA!$B:$Z, 17,FALSE))</f>
        <v/>
      </c>
      <c r="AA107" s="555"/>
      <c r="AB107" s="506" t="str">
        <f>IF($AG107="","",VLOOKUP($AG107,TB_PROPOSTA!$B:$Z, 18,FALSE))</f>
        <v/>
      </c>
      <c r="AC107" s="555"/>
      <c r="AD107" s="506" t="str">
        <f>IF($AG107="","",VLOOKUP($AG107,TB_PROPOSTA!$B:$Z, 19,FALSE))</f>
        <v/>
      </c>
      <c r="AE107" s="507"/>
      <c r="AG107" s="279"/>
    </row>
    <row r="108" spans="2:33" x14ac:dyDescent="0.25">
      <c r="B108" s="517" t="str">
        <f>IF($AG108="","", VLOOKUP($AG108,TB_PROPOSTA!$B:$Y,3,FALSE))</f>
        <v/>
      </c>
      <c r="C108" s="518"/>
      <c r="D108" s="519" t="str">
        <f>IF($AG108="","",VLOOKUP($AG108,TB_PROPOSTA!$B:$Z,25,FALSE))</f>
        <v/>
      </c>
      <c r="E108" s="518"/>
      <c r="F108" s="519" t="str">
        <f>IF($AG108="","",VLOOKUP($AG108,TB_PROPOSTA!$B:$Z,5,FALSE))</f>
        <v/>
      </c>
      <c r="G108" s="518"/>
      <c r="H108" s="519" t="str">
        <f>IF($AG108="","",VLOOKUP($AG108,TB_PROPOSTA!$B:$Z, 6,FALSE))</f>
        <v/>
      </c>
      <c r="I108" s="518"/>
      <c r="J108" s="526" t="str">
        <f>IF($AG108="","",VLOOKUP($AG108,TB_PROPOSTA!$B:$Z, 24,FALSE))</f>
        <v/>
      </c>
      <c r="K108" s="527"/>
      <c r="L108" s="528"/>
      <c r="M108" s="526" t="str">
        <f>IF($AG108="","",VLOOKUP($AG108,TB_PROPOSTA!$B:$Z, 9,FALSE))</f>
        <v/>
      </c>
      <c r="N108" s="527"/>
      <c r="O108" s="527"/>
      <c r="P108" s="527"/>
      <c r="Q108" s="527"/>
      <c r="R108" s="527"/>
      <c r="S108" s="528"/>
      <c r="T108" s="526" t="str">
        <f>IF($AG108="","",VLOOKUP($AG108,TB_PROPOSTA!$B:$Z, 14,FALSE))</f>
        <v/>
      </c>
      <c r="U108" s="527"/>
      <c r="V108" s="527"/>
      <c r="W108" s="527"/>
      <c r="X108" s="527"/>
      <c r="Y108" s="528"/>
      <c r="Z108" s="506" t="str">
        <f>IF($AG108="","",VLOOKUP($AG108,TB_PROPOSTA!$B:$Z, 17,FALSE))</f>
        <v/>
      </c>
      <c r="AA108" s="555"/>
      <c r="AB108" s="506" t="str">
        <f>IF($AG108="","",VLOOKUP($AG108,TB_PROPOSTA!$B:$Z, 18,FALSE))</f>
        <v/>
      </c>
      <c r="AC108" s="555"/>
      <c r="AD108" s="506" t="str">
        <f>IF($AG108="","",VLOOKUP($AG108,TB_PROPOSTA!$B:$Z, 19,FALSE))</f>
        <v/>
      </c>
      <c r="AE108" s="507"/>
      <c r="AG108" s="279"/>
    </row>
    <row r="109" spans="2:33" x14ac:dyDescent="0.25">
      <c r="B109" s="517" t="str">
        <f>IF($AG109="","", VLOOKUP($AG109,TB_PROPOSTA!$B:$Y,3,FALSE))</f>
        <v/>
      </c>
      <c r="C109" s="518"/>
      <c r="D109" s="519" t="str">
        <f>IF($AG109="","",VLOOKUP($AG109,TB_PROPOSTA!$B:$Z,25,FALSE))</f>
        <v/>
      </c>
      <c r="E109" s="518"/>
      <c r="F109" s="519" t="str">
        <f>IF($AG109="","",VLOOKUP($AG109,TB_PROPOSTA!$B:$Z,5,FALSE))</f>
        <v/>
      </c>
      <c r="G109" s="518"/>
      <c r="H109" s="519" t="str">
        <f>IF($AG109="","",VLOOKUP($AG109,TB_PROPOSTA!$B:$Z, 6,FALSE))</f>
        <v/>
      </c>
      <c r="I109" s="518"/>
      <c r="J109" s="526" t="str">
        <f>IF($AG109="","",VLOOKUP($AG109,TB_PROPOSTA!$B:$Z, 24,FALSE))</f>
        <v/>
      </c>
      <c r="K109" s="527"/>
      <c r="L109" s="528"/>
      <c r="M109" s="526" t="str">
        <f>IF($AG109="","",VLOOKUP($AG109,TB_PROPOSTA!$B:$Z, 9,FALSE))</f>
        <v/>
      </c>
      <c r="N109" s="527"/>
      <c r="O109" s="527"/>
      <c r="P109" s="527"/>
      <c r="Q109" s="527"/>
      <c r="R109" s="527"/>
      <c r="S109" s="528"/>
      <c r="T109" s="526" t="str">
        <f>IF($AG109="","",VLOOKUP($AG109,TB_PROPOSTA!$B:$Z, 14,FALSE))</f>
        <v/>
      </c>
      <c r="U109" s="527"/>
      <c r="V109" s="527"/>
      <c r="W109" s="527"/>
      <c r="X109" s="527"/>
      <c r="Y109" s="528"/>
      <c r="Z109" s="506" t="str">
        <f>IF($AG109="","",VLOOKUP($AG109,TB_PROPOSTA!$B:$Z, 17,FALSE))</f>
        <v/>
      </c>
      <c r="AA109" s="555"/>
      <c r="AB109" s="506" t="str">
        <f>IF($AG109="","",VLOOKUP($AG109,TB_PROPOSTA!$B:$Z, 18,FALSE))</f>
        <v/>
      </c>
      <c r="AC109" s="555"/>
      <c r="AD109" s="506" t="str">
        <f>IF($AG109="","",VLOOKUP($AG109,TB_PROPOSTA!$B:$Z, 19,FALSE))</f>
        <v/>
      </c>
      <c r="AE109" s="507"/>
      <c r="AG109" s="279"/>
    </row>
    <row r="110" spans="2:33" x14ac:dyDescent="0.25">
      <c r="B110" s="517" t="str">
        <f>IF($AG110="","", VLOOKUP($AG110,TB_PROPOSTA!$B:$Y,3,FALSE))</f>
        <v/>
      </c>
      <c r="C110" s="518"/>
      <c r="D110" s="519" t="str">
        <f>IF($AG110="","",VLOOKUP($AG110,TB_PROPOSTA!$B:$Z,25,FALSE))</f>
        <v/>
      </c>
      <c r="E110" s="518"/>
      <c r="F110" s="519" t="str">
        <f>IF($AG110="","",VLOOKUP($AG110,TB_PROPOSTA!$B:$Z,5,FALSE))</f>
        <v/>
      </c>
      <c r="G110" s="518"/>
      <c r="H110" s="519" t="str">
        <f>IF($AG110="","",VLOOKUP($AG110,TB_PROPOSTA!$B:$Z, 6,FALSE))</f>
        <v/>
      </c>
      <c r="I110" s="518"/>
      <c r="J110" s="526" t="str">
        <f>IF($AG110="","",VLOOKUP($AG110,TB_PROPOSTA!$B:$Z, 24,FALSE))</f>
        <v/>
      </c>
      <c r="K110" s="527"/>
      <c r="L110" s="528"/>
      <c r="M110" s="526" t="str">
        <f>IF($AG110="","",VLOOKUP($AG110,TB_PROPOSTA!$B:$Z, 9,FALSE))</f>
        <v/>
      </c>
      <c r="N110" s="527"/>
      <c r="O110" s="527"/>
      <c r="P110" s="527"/>
      <c r="Q110" s="527"/>
      <c r="R110" s="527"/>
      <c r="S110" s="528"/>
      <c r="T110" s="526" t="str">
        <f>IF($AG110="","",VLOOKUP($AG110,TB_PROPOSTA!$B:$Z, 14,FALSE))</f>
        <v/>
      </c>
      <c r="U110" s="527"/>
      <c r="V110" s="527"/>
      <c r="W110" s="527"/>
      <c r="X110" s="527"/>
      <c r="Y110" s="528"/>
      <c r="Z110" s="506" t="str">
        <f>IF($AG110="","",VLOOKUP($AG110,TB_PROPOSTA!$B:$Z, 17,FALSE))</f>
        <v/>
      </c>
      <c r="AA110" s="555"/>
      <c r="AB110" s="506" t="str">
        <f>IF($AG110="","",VLOOKUP($AG110,TB_PROPOSTA!$B:$Z, 18,FALSE))</f>
        <v/>
      </c>
      <c r="AC110" s="555"/>
      <c r="AD110" s="506" t="str">
        <f>IF($AG110="","",VLOOKUP($AG110,TB_PROPOSTA!$B:$Z, 19,FALSE))</f>
        <v/>
      </c>
      <c r="AE110" s="507"/>
      <c r="AG110" s="279"/>
    </row>
    <row r="111" spans="2:33" x14ac:dyDescent="0.25">
      <c r="B111" s="517" t="str">
        <f>IF($AG111="","", VLOOKUP($AG111,TB_PROPOSTA!$B:$Y,3,FALSE))</f>
        <v/>
      </c>
      <c r="C111" s="518"/>
      <c r="D111" s="519" t="str">
        <f>IF($AG111="","",VLOOKUP($AG111,TB_PROPOSTA!$B:$Z,25,FALSE))</f>
        <v/>
      </c>
      <c r="E111" s="518"/>
      <c r="F111" s="519" t="str">
        <f>IF($AG111="","",VLOOKUP($AG111,TB_PROPOSTA!$B:$Z,5,FALSE))</f>
        <v/>
      </c>
      <c r="G111" s="518"/>
      <c r="H111" s="519" t="str">
        <f>IF($AG111="","",VLOOKUP($AG111,TB_PROPOSTA!$B:$Z, 6,FALSE))</f>
        <v/>
      </c>
      <c r="I111" s="518"/>
      <c r="J111" s="526" t="str">
        <f>IF($AG111="","",VLOOKUP($AG111,TB_PROPOSTA!$B:$Z, 24,FALSE))</f>
        <v/>
      </c>
      <c r="K111" s="527"/>
      <c r="L111" s="528"/>
      <c r="M111" s="526" t="str">
        <f>IF($AG111="","",VLOOKUP($AG111,TB_PROPOSTA!$B:$Z, 9,FALSE))</f>
        <v/>
      </c>
      <c r="N111" s="527"/>
      <c r="O111" s="527"/>
      <c r="P111" s="527"/>
      <c r="Q111" s="527"/>
      <c r="R111" s="527"/>
      <c r="S111" s="528"/>
      <c r="T111" s="526" t="str">
        <f>IF($AG111="","",VLOOKUP($AG111,TB_PROPOSTA!$B:$Z, 14,FALSE))</f>
        <v/>
      </c>
      <c r="U111" s="527"/>
      <c r="V111" s="527"/>
      <c r="W111" s="527"/>
      <c r="X111" s="527"/>
      <c r="Y111" s="528"/>
      <c r="Z111" s="506" t="str">
        <f>IF($AG111="","",VLOOKUP($AG111,TB_PROPOSTA!$B:$Z, 17,FALSE))</f>
        <v/>
      </c>
      <c r="AA111" s="555"/>
      <c r="AB111" s="506" t="str">
        <f>IF($AG111="","",VLOOKUP($AG111,TB_PROPOSTA!$B:$Z, 18,FALSE))</f>
        <v/>
      </c>
      <c r="AC111" s="555"/>
      <c r="AD111" s="506" t="str">
        <f>IF($AG111="","",VLOOKUP($AG111,TB_PROPOSTA!$B:$Z, 19,FALSE))</f>
        <v/>
      </c>
      <c r="AE111" s="507"/>
      <c r="AG111" s="279"/>
    </row>
    <row r="112" spans="2:33" x14ac:dyDescent="0.25">
      <c r="B112" s="517" t="str">
        <f>IF($AG112="","", VLOOKUP($AG112,TB_PROPOSTA!$B:$Y,3,FALSE))</f>
        <v/>
      </c>
      <c r="C112" s="518"/>
      <c r="D112" s="519" t="str">
        <f>IF($AG112="","",VLOOKUP($AG112,TB_PROPOSTA!$B:$Z,25,FALSE))</f>
        <v/>
      </c>
      <c r="E112" s="518"/>
      <c r="F112" s="519" t="str">
        <f>IF($AG112="","",VLOOKUP($AG112,TB_PROPOSTA!$B:$Z,5,FALSE))</f>
        <v/>
      </c>
      <c r="G112" s="518"/>
      <c r="H112" s="519" t="str">
        <f>IF($AG112="","",VLOOKUP($AG112,TB_PROPOSTA!$B:$Z, 6,FALSE))</f>
        <v/>
      </c>
      <c r="I112" s="518"/>
      <c r="J112" s="526" t="str">
        <f>IF($AG112="","",VLOOKUP($AG112,TB_PROPOSTA!$B:$Z, 24,FALSE))</f>
        <v/>
      </c>
      <c r="K112" s="527"/>
      <c r="L112" s="528"/>
      <c r="M112" s="526" t="str">
        <f>IF($AG112="","",VLOOKUP($AG112,TB_PROPOSTA!$B:$Z, 9,FALSE))</f>
        <v/>
      </c>
      <c r="N112" s="527"/>
      <c r="O112" s="527"/>
      <c r="P112" s="527"/>
      <c r="Q112" s="527"/>
      <c r="R112" s="527"/>
      <c r="S112" s="528"/>
      <c r="T112" s="526" t="str">
        <f>IF($AG112="","",VLOOKUP($AG112,TB_PROPOSTA!$B:$Z, 14,FALSE))</f>
        <v/>
      </c>
      <c r="U112" s="527"/>
      <c r="V112" s="527"/>
      <c r="W112" s="527"/>
      <c r="X112" s="527"/>
      <c r="Y112" s="528"/>
      <c r="Z112" s="506" t="str">
        <f>IF($AG112="","",VLOOKUP($AG112,TB_PROPOSTA!$B:$Z, 17,FALSE))</f>
        <v/>
      </c>
      <c r="AA112" s="555"/>
      <c r="AB112" s="506" t="str">
        <f>IF($AG112="","",VLOOKUP($AG112,TB_PROPOSTA!$B:$Z, 18,FALSE))</f>
        <v/>
      </c>
      <c r="AC112" s="555"/>
      <c r="AD112" s="506" t="str">
        <f>IF($AG112="","",VLOOKUP($AG112,TB_PROPOSTA!$B:$Z, 19,FALSE))</f>
        <v/>
      </c>
      <c r="AE112" s="507"/>
      <c r="AG112" s="279"/>
    </row>
    <row r="113" spans="2:33" x14ac:dyDescent="0.25">
      <c r="B113" s="517" t="str">
        <f>IF($AG113="","", VLOOKUP($AG113,TB_PROPOSTA!$B:$Y,3,FALSE))</f>
        <v/>
      </c>
      <c r="C113" s="518"/>
      <c r="D113" s="519" t="str">
        <f>IF($AG113="","",VLOOKUP($AG113,TB_PROPOSTA!$B:$Z,25,FALSE))</f>
        <v/>
      </c>
      <c r="E113" s="518"/>
      <c r="F113" s="519" t="str">
        <f>IF($AG113="","",VLOOKUP($AG113,TB_PROPOSTA!$B:$Z,5,FALSE))</f>
        <v/>
      </c>
      <c r="G113" s="518"/>
      <c r="H113" s="519" t="str">
        <f>IF($AG113="","",VLOOKUP($AG113,TB_PROPOSTA!$B:$Z, 6,FALSE))</f>
        <v/>
      </c>
      <c r="I113" s="518"/>
      <c r="J113" s="526" t="str">
        <f>IF($AG113="","",VLOOKUP($AG113,TB_PROPOSTA!$B:$Z, 24,FALSE))</f>
        <v/>
      </c>
      <c r="K113" s="527"/>
      <c r="L113" s="528"/>
      <c r="M113" s="526" t="str">
        <f>IF($AG113="","",VLOOKUP($AG113,TB_PROPOSTA!$B:$Z, 9,FALSE))</f>
        <v/>
      </c>
      <c r="N113" s="527"/>
      <c r="O113" s="527"/>
      <c r="P113" s="527"/>
      <c r="Q113" s="527"/>
      <c r="R113" s="527"/>
      <c r="S113" s="528"/>
      <c r="T113" s="526" t="str">
        <f>IF($AG113="","",VLOOKUP($AG113,TB_PROPOSTA!$B:$Z, 14,FALSE))</f>
        <v/>
      </c>
      <c r="U113" s="527"/>
      <c r="V113" s="527"/>
      <c r="W113" s="527"/>
      <c r="X113" s="527"/>
      <c r="Y113" s="528"/>
      <c r="Z113" s="506" t="str">
        <f>IF($AG113="","",VLOOKUP($AG113,TB_PROPOSTA!$B:$Z, 17,FALSE))</f>
        <v/>
      </c>
      <c r="AA113" s="555"/>
      <c r="AB113" s="506" t="str">
        <f>IF($AG113="","",VLOOKUP($AG113,TB_PROPOSTA!$B:$Z, 18,FALSE))</f>
        <v/>
      </c>
      <c r="AC113" s="555"/>
      <c r="AD113" s="506" t="str">
        <f>IF($AG113="","",VLOOKUP($AG113,TB_PROPOSTA!$B:$Z, 19,FALSE))</f>
        <v/>
      </c>
      <c r="AE113" s="507"/>
      <c r="AG113" s="279"/>
    </row>
    <row r="114" spans="2:33" x14ac:dyDescent="0.25">
      <c r="B114" s="517" t="str">
        <f>IF($AG114="","", VLOOKUP($AG114,TB_PROPOSTA!$B:$Y,3,FALSE))</f>
        <v/>
      </c>
      <c r="C114" s="518"/>
      <c r="D114" s="519" t="str">
        <f>IF($AG114="","",VLOOKUP($AG114,TB_PROPOSTA!$B:$Z,25,FALSE))</f>
        <v/>
      </c>
      <c r="E114" s="518"/>
      <c r="F114" s="519" t="str">
        <f>IF($AG114="","",VLOOKUP($AG114,TB_PROPOSTA!$B:$Z,5,FALSE))</f>
        <v/>
      </c>
      <c r="G114" s="518"/>
      <c r="H114" s="519" t="str">
        <f>IF($AG114="","",VLOOKUP($AG114,TB_PROPOSTA!$B:$Z, 6,FALSE))</f>
        <v/>
      </c>
      <c r="I114" s="518"/>
      <c r="J114" s="526" t="str">
        <f>IF($AG114="","",VLOOKUP($AG114,TB_PROPOSTA!$B:$Z, 24,FALSE))</f>
        <v/>
      </c>
      <c r="K114" s="527"/>
      <c r="L114" s="528"/>
      <c r="M114" s="526" t="str">
        <f>IF($AG114="","",VLOOKUP($AG114,TB_PROPOSTA!$B:$Z, 9,FALSE))</f>
        <v/>
      </c>
      <c r="N114" s="527"/>
      <c r="O114" s="527"/>
      <c r="P114" s="527"/>
      <c r="Q114" s="527"/>
      <c r="R114" s="527"/>
      <c r="S114" s="528"/>
      <c r="T114" s="526" t="str">
        <f>IF($AG114="","",VLOOKUP($AG114,TB_PROPOSTA!$B:$Z, 14,FALSE))</f>
        <v/>
      </c>
      <c r="U114" s="527"/>
      <c r="V114" s="527"/>
      <c r="W114" s="527"/>
      <c r="X114" s="527"/>
      <c r="Y114" s="528"/>
      <c r="Z114" s="506" t="str">
        <f>IF($AG114="","",VLOOKUP($AG114,TB_PROPOSTA!$B:$Z, 17,FALSE))</f>
        <v/>
      </c>
      <c r="AA114" s="555"/>
      <c r="AB114" s="506" t="str">
        <f>IF($AG114="","",VLOOKUP($AG114,TB_PROPOSTA!$B:$Z, 18,FALSE))</f>
        <v/>
      </c>
      <c r="AC114" s="555"/>
      <c r="AD114" s="506" t="str">
        <f>IF($AG114="","",VLOOKUP($AG114,TB_PROPOSTA!$B:$Z, 19,FALSE))</f>
        <v/>
      </c>
      <c r="AE114" s="507"/>
      <c r="AG114" s="279"/>
    </row>
    <row r="115" spans="2:33" x14ac:dyDescent="0.25">
      <c r="B115" s="517" t="str">
        <f>IF($AG115="","", VLOOKUP($AG115,TB_PROPOSTA!$B:$Y,3,FALSE))</f>
        <v/>
      </c>
      <c r="C115" s="518"/>
      <c r="D115" s="519" t="str">
        <f>IF($AG115="","",VLOOKUP($AG115,TB_PROPOSTA!$B:$Z,25,FALSE))</f>
        <v/>
      </c>
      <c r="E115" s="518"/>
      <c r="F115" s="519" t="str">
        <f>IF($AG115="","",VLOOKUP($AG115,TB_PROPOSTA!$B:$Z,5,FALSE))</f>
        <v/>
      </c>
      <c r="G115" s="518"/>
      <c r="H115" s="519" t="str">
        <f>IF($AG115="","",VLOOKUP($AG115,TB_PROPOSTA!$B:$Z, 6,FALSE))</f>
        <v/>
      </c>
      <c r="I115" s="518"/>
      <c r="J115" s="526" t="str">
        <f>IF($AG115="","",VLOOKUP($AG115,TB_PROPOSTA!$B:$Z, 24,FALSE))</f>
        <v/>
      </c>
      <c r="K115" s="527"/>
      <c r="L115" s="528"/>
      <c r="M115" s="526" t="str">
        <f>IF($AG115="","",VLOOKUP($AG115,TB_PROPOSTA!$B:$Z, 9,FALSE))</f>
        <v/>
      </c>
      <c r="N115" s="527"/>
      <c r="O115" s="527"/>
      <c r="P115" s="527"/>
      <c r="Q115" s="527"/>
      <c r="R115" s="527"/>
      <c r="S115" s="528"/>
      <c r="T115" s="526" t="str">
        <f>IF($AG115="","",VLOOKUP($AG115,TB_PROPOSTA!$B:$Z, 14,FALSE))</f>
        <v/>
      </c>
      <c r="U115" s="527"/>
      <c r="V115" s="527"/>
      <c r="W115" s="527"/>
      <c r="X115" s="527"/>
      <c r="Y115" s="528"/>
      <c r="Z115" s="506" t="str">
        <f>IF($AG115="","",VLOOKUP($AG115,TB_PROPOSTA!$B:$Z, 17,FALSE))</f>
        <v/>
      </c>
      <c r="AA115" s="555"/>
      <c r="AB115" s="506" t="str">
        <f>IF($AG115="","",VLOOKUP($AG115,TB_PROPOSTA!$B:$Z, 18,FALSE))</f>
        <v/>
      </c>
      <c r="AC115" s="555"/>
      <c r="AD115" s="506" t="str">
        <f>IF($AG115="","",VLOOKUP($AG115,TB_PROPOSTA!$B:$Z, 19,FALSE))</f>
        <v/>
      </c>
      <c r="AE115" s="507"/>
      <c r="AG115" s="279"/>
    </row>
    <row r="116" spans="2:33" x14ac:dyDescent="0.25">
      <c r="B116" s="548" t="s">
        <v>820</v>
      </c>
      <c r="C116" s="549"/>
      <c r="D116" s="549"/>
      <c r="E116" s="549"/>
      <c r="F116" s="549"/>
      <c r="G116" s="549"/>
      <c r="H116" s="549"/>
      <c r="I116" s="549"/>
      <c r="J116" s="526" t="s">
        <v>900</v>
      </c>
      <c r="K116" s="527"/>
      <c r="L116" s="528"/>
      <c r="M116" s="526" t="s">
        <v>900</v>
      </c>
      <c r="N116" s="527"/>
      <c r="O116" s="527"/>
      <c r="P116" s="527"/>
      <c r="Q116" s="527"/>
      <c r="R116" s="527"/>
      <c r="S116" s="528"/>
      <c r="T116" s="550" t="s">
        <v>900</v>
      </c>
      <c r="U116" s="550"/>
      <c r="V116" s="550"/>
      <c r="W116" s="550"/>
      <c r="X116" s="550"/>
      <c r="Y116" s="550"/>
      <c r="Z116" s="551">
        <f xml:space="preserve"> Z117- SUM(Z86:AA115)</f>
        <v>0</v>
      </c>
      <c r="AA116" s="551"/>
      <c r="AB116" s="552" t="s">
        <v>929</v>
      </c>
      <c r="AC116" s="553"/>
      <c r="AD116" s="551">
        <f>AD117- SUM(AD86:AE115)</f>
        <v>0</v>
      </c>
      <c r="AE116" s="554"/>
    </row>
    <row r="117" spans="2:33" ht="15" customHeight="1" x14ac:dyDescent="0.25">
      <c r="B117" s="264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80" t="s">
        <v>821</v>
      </c>
      <c r="Z117" s="543">
        <f>TB_PROPOSTA!A13</f>
        <v>0</v>
      </c>
      <c r="AA117" s="544"/>
      <c r="AB117" s="543" t="s">
        <v>275</v>
      </c>
      <c r="AC117" s="544"/>
      <c r="AD117" s="545">
        <f>TB_PROPOSTA!A9</f>
        <v>5000000</v>
      </c>
      <c r="AE117" s="546"/>
    </row>
    <row r="118" spans="2:33" ht="15.75" x14ac:dyDescent="0.25">
      <c r="B118" s="301" t="s">
        <v>822</v>
      </c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81"/>
      <c r="AA118" s="281"/>
      <c r="AB118" s="281"/>
      <c r="AC118" s="281"/>
      <c r="AD118" s="281"/>
      <c r="AE118" s="282"/>
    </row>
    <row r="119" spans="2:33" ht="27" customHeight="1" thickBot="1" x14ac:dyDescent="0.25">
      <c r="B119" s="547" t="s">
        <v>817</v>
      </c>
      <c r="C119" s="529"/>
      <c r="D119" s="529" t="s">
        <v>818</v>
      </c>
      <c r="E119" s="529"/>
      <c r="F119" s="529" t="s">
        <v>443</v>
      </c>
      <c r="G119" s="529"/>
      <c r="H119" s="529" t="s">
        <v>56</v>
      </c>
      <c r="I119" s="529"/>
      <c r="J119" s="529" t="s">
        <v>40</v>
      </c>
      <c r="K119" s="529"/>
      <c r="L119" s="529"/>
      <c r="M119" s="529" t="s">
        <v>819</v>
      </c>
      <c r="N119" s="529"/>
      <c r="O119" s="529"/>
      <c r="P119" s="529"/>
      <c r="Q119" s="529"/>
      <c r="R119" s="529"/>
      <c r="S119" s="529"/>
      <c r="T119" s="529"/>
      <c r="U119" s="529"/>
      <c r="V119" s="529" t="s">
        <v>270</v>
      </c>
      <c r="W119" s="529"/>
      <c r="X119" s="529"/>
      <c r="Y119" s="529"/>
      <c r="Z119" s="529"/>
      <c r="AA119" s="529"/>
      <c r="AB119" s="529"/>
      <c r="AC119" s="529"/>
      <c r="AD119" s="529" t="s">
        <v>53</v>
      </c>
      <c r="AE119" s="530"/>
      <c r="AG119" s="278" t="s">
        <v>899</v>
      </c>
    </row>
    <row r="120" spans="2:33" ht="13.5" thickTop="1" x14ac:dyDescent="0.25">
      <c r="B120" s="531" t="str">
        <f>IF($AG120="","", VLOOKUP($AG120,TB_PROPOSTA!$B:$Y,3,FALSE))</f>
        <v/>
      </c>
      <c r="C120" s="532"/>
      <c r="D120" s="533" t="str">
        <f>IF($AG120="","",VLOOKUP($AG120,TB_PROPOSTA!$B:$Z,25,FALSE))</f>
        <v/>
      </c>
      <c r="E120" s="532"/>
      <c r="F120" s="533" t="str">
        <f>IF($AG120="","",VLOOKUP($AG120,TB_PROPOSTA!$B:$Z,5,FALSE))</f>
        <v/>
      </c>
      <c r="G120" s="532"/>
      <c r="H120" s="533" t="str">
        <f>IF($AG120="","",VLOOKUP($AG120,TB_PROPOSTA!$B:$Z, 6,FALSE))</f>
        <v/>
      </c>
      <c r="I120" s="532"/>
      <c r="J120" s="534" t="str">
        <f>IF($AG120="","",VLOOKUP($AG120,TB_PROPOSTA!$B:$Z, 24,FALSE))</f>
        <v/>
      </c>
      <c r="K120" s="535"/>
      <c r="L120" s="536"/>
      <c r="M120" s="537" t="str">
        <f>IF($AG120="", "", VLOOKUP($AG120, TB_PROPOSTA!$B:$Z, 22,FALSE)  )</f>
        <v/>
      </c>
      <c r="N120" s="538"/>
      <c r="O120" s="538"/>
      <c r="P120" s="538"/>
      <c r="Q120" s="538"/>
      <c r="R120" s="538"/>
      <c r="S120" s="538"/>
      <c r="T120" s="538"/>
      <c r="U120" s="539"/>
      <c r="V120" s="540" t="str">
        <f>IF($AG120="", "", VLOOKUP($AG120, TB_PROPOSTA!$B:$Z, 21,FALSE)  )</f>
        <v/>
      </c>
      <c r="W120" s="540"/>
      <c r="X120" s="540"/>
      <c r="Y120" s="540"/>
      <c r="Z120" s="540"/>
      <c r="AA120" s="540"/>
      <c r="AB120" s="540"/>
      <c r="AC120" s="540"/>
      <c r="AD120" s="541" t="str">
        <f>IF($AG120="","",VLOOKUP($AG120,TB_PROPOSTA!$B:$Z, 19,FALSE))</f>
        <v/>
      </c>
      <c r="AE120" s="542"/>
      <c r="AG120" s="279"/>
    </row>
    <row r="121" spans="2:33" x14ac:dyDescent="0.25">
      <c r="B121" s="517" t="str">
        <f>IF($AG121="","", VLOOKUP($AG121,TB_PROPOSTA!$B:$Y,3,FALSE))</f>
        <v/>
      </c>
      <c r="C121" s="518"/>
      <c r="D121" s="519" t="str">
        <f>IF($AG121="","",VLOOKUP($AG121,TB_PROPOSTA!$B:$Z,25,FALSE))</f>
        <v/>
      </c>
      <c r="E121" s="518"/>
      <c r="F121" s="519" t="str">
        <f>IF($AG121="","",VLOOKUP($AG121,TB_PROPOSTA!$B:$Z,5,FALSE))</f>
        <v/>
      </c>
      <c r="G121" s="518"/>
      <c r="H121" s="519" t="str">
        <f>IF($AG121="","",VLOOKUP($AG121,TB_PROPOSTA!$B:$Z, 6,FALSE))</f>
        <v/>
      </c>
      <c r="I121" s="518"/>
      <c r="J121" s="526" t="str">
        <f>IF($AG121="","",VLOOKUP($AG121,TB_PROPOSTA!$B:$Z, 24,FALSE))</f>
        <v/>
      </c>
      <c r="K121" s="527"/>
      <c r="L121" s="528"/>
      <c r="M121" s="523" t="str">
        <f>IF($AG121="", "", VLOOKUP($AG121, TB_PROPOSTA!$B:$Z, 22,FALSE)  )</f>
        <v/>
      </c>
      <c r="N121" s="524"/>
      <c r="O121" s="524"/>
      <c r="P121" s="524"/>
      <c r="Q121" s="524"/>
      <c r="R121" s="524"/>
      <c r="S121" s="524"/>
      <c r="T121" s="524"/>
      <c r="U121" s="525"/>
      <c r="V121" s="505" t="str">
        <f>IF($AG121="", "", VLOOKUP($AG121, TB_PROPOSTA!$B:$Z, 21,FALSE)  )</f>
        <v/>
      </c>
      <c r="W121" s="505"/>
      <c r="X121" s="505"/>
      <c r="Y121" s="505"/>
      <c r="Z121" s="505"/>
      <c r="AA121" s="505"/>
      <c r="AB121" s="505"/>
      <c r="AC121" s="505"/>
      <c r="AD121" s="506" t="str">
        <f>IF($AG121="","",VLOOKUP($AG121,TB_PROPOSTA!$B:$Z, 19,FALSE))</f>
        <v/>
      </c>
      <c r="AE121" s="507"/>
      <c r="AG121" s="279"/>
    </row>
    <row r="122" spans="2:33" x14ac:dyDescent="0.25">
      <c r="B122" s="517" t="str">
        <f>IF($AG122="","", VLOOKUP($AG122,TB_PROPOSTA!$B:$Y,3,FALSE))</f>
        <v/>
      </c>
      <c r="C122" s="518"/>
      <c r="D122" s="519" t="str">
        <f>IF($AG122="","",VLOOKUP($AG122,TB_PROPOSTA!$B:$Z,25,FALSE))</f>
        <v/>
      </c>
      <c r="E122" s="518"/>
      <c r="F122" s="519" t="str">
        <f>IF($AG122="","",VLOOKUP($AG122,TB_PROPOSTA!$B:$Z,5,FALSE))</f>
        <v/>
      </c>
      <c r="G122" s="518"/>
      <c r="H122" s="519" t="str">
        <f>IF($AG122="","",VLOOKUP($AG122,TB_PROPOSTA!$B:$Z, 6,FALSE))</f>
        <v/>
      </c>
      <c r="I122" s="518"/>
      <c r="J122" s="526" t="str">
        <f>IF($AG122="","",VLOOKUP($AG122,TB_PROPOSTA!$B:$Z, 24,FALSE))</f>
        <v/>
      </c>
      <c r="K122" s="527"/>
      <c r="L122" s="528"/>
      <c r="M122" s="523" t="str">
        <f>IF($AG122="", "", VLOOKUP($AG122, TB_PROPOSTA!$B:$Z, 22,FALSE)  )</f>
        <v/>
      </c>
      <c r="N122" s="524"/>
      <c r="O122" s="524"/>
      <c r="P122" s="524"/>
      <c r="Q122" s="524"/>
      <c r="R122" s="524"/>
      <c r="S122" s="524"/>
      <c r="T122" s="524"/>
      <c r="U122" s="525"/>
      <c r="V122" s="505" t="str">
        <f>IF($AG122="", "", VLOOKUP($AG122, TB_PROPOSTA!$B:$Z, 21,FALSE)  )</f>
        <v/>
      </c>
      <c r="W122" s="505"/>
      <c r="X122" s="505"/>
      <c r="Y122" s="505"/>
      <c r="Z122" s="505"/>
      <c r="AA122" s="505"/>
      <c r="AB122" s="505"/>
      <c r="AC122" s="505"/>
      <c r="AD122" s="506" t="str">
        <f>IF($AG122="","",VLOOKUP($AG122,TB_PROPOSTA!$B:$Z, 19,FALSE))</f>
        <v/>
      </c>
      <c r="AE122" s="507"/>
      <c r="AG122" s="279"/>
    </row>
    <row r="123" spans="2:33" x14ac:dyDescent="0.25">
      <c r="B123" s="517" t="str">
        <f>IF($AG123="","", VLOOKUP($AG123,TB_PROPOSTA!$B:$Y,3,FALSE))</f>
        <v/>
      </c>
      <c r="C123" s="518"/>
      <c r="D123" s="519" t="str">
        <f>IF($AG123="","",VLOOKUP($AG123,TB_PROPOSTA!$B:$Z,25,FALSE))</f>
        <v/>
      </c>
      <c r="E123" s="518"/>
      <c r="F123" s="519" t="str">
        <f>IF($AG123="","",VLOOKUP($AG123,TB_PROPOSTA!$B:$Z,5,FALSE))</f>
        <v/>
      </c>
      <c r="G123" s="518"/>
      <c r="H123" s="519" t="str">
        <f>IF($AG123="","",VLOOKUP($AG123,TB_PROPOSTA!$B:$Z, 6,FALSE))</f>
        <v/>
      </c>
      <c r="I123" s="518"/>
      <c r="J123" s="526" t="str">
        <f>IF($AG123="","",VLOOKUP($AG123,TB_PROPOSTA!$B:$Z, 24,FALSE))</f>
        <v/>
      </c>
      <c r="K123" s="527"/>
      <c r="L123" s="528"/>
      <c r="M123" s="523" t="str">
        <f>IF($AG123="", "", VLOOKUP($AG123, TB_PROPOSTA!$B:$Z, 22,FALSE)  )</f>
        <v/>
      </c>
      <c r="N123" s="524"/>
      <c r="O123" s="524"/>
      <c r="P123" s="524"/>
      <c r="Q123" s="524"/>
      <c r="R123" s="524"/>
      <c r="S123" s="524"/>
      <c r="T123" s="524"/>
      <c r="U123" s="525"/>
      <c r="V123" s="505" t="str">
        <f>IF($AG123="", "", VLOOKUP($AG123, TB_PROPOSTA!$B:$Z, 21,FALSE)  )</f>
        <v/>
      </c>
      <c r="W123" s="505"/>
      <c r="X123" s="505"/>
      <c r="Y123" s="505"/>
      <c r="Z123" s="505"/>
      <c r="AA123" s="505"/>
      <c r="AB123" s="505"/>
      <c r="AC123" s="505"/>
      <c r="AD123" s="506" t="str">
        <f>IF($AG123="","",VLOOKUP($AG123,TB_PROPOSTA!$B:$Z, 19,FALSE))</f>
        <v/>
      </c>
      <c r="AE123" s="507"/>
      <c r="AG123" s="279"/>
    </row>
    <row r="124" spans="2:33" x14ac:dyDescent="0.25">
      <c r="B124" s="517" t="str">
        <f>IF($AG124="","", VLOOKUP($AG124,TB_PROPOSTA!$B:$Y,3,FALSE))</f>
        <v/>
      </c>
      <c r="C124" s="518"/>
      <c r="D124" s="519" t="str">
        <f>IF($AG124="","",VLOOKUP($AG124,TB_PROPOSTA!$B:$Z,25,FALSE))</f>
        <v/>
      </c>
      <c r="E124" s="518"/>
      <c r="F124" s="519" t="str">
        <f>IF($AG124="","",VLOOKUP($AG124,TB_PROPOSTA!$B:$Z,5,FALSE))</f>
        <v/>
      </c>
      <c r="G124" s="518"/>
      <c r="H124" s="519" t="str">
        <f>IF($AG124="","",VLOOKUP($AG124,TB_PROPOSTA!$B:$Z, 6,FALSE))</f>
        <v/>
      </c>
      <c r="I124" s="518"/>
      <c r="J124" s="526" t="str">
        <f>IF($AG124="","",VLOOKUP($AG124,TB_PROPOSTA!$B:$Z, 24,FALSE))</f>
        <v/>
      </c>
      <c r="K124" s="527"/>
      <c r="L124" s="528"/>
      <c r="M124" s="523" t="str">
        <f>IF($AG124="", "", VLOOKUP($AG124, TB_PROPOSTA!$B:$Z, 22,FALSE)  )</f>
        <v/>
      </c>
      <c r="N124" s="524"/>
      <c r="O124" s="524"/>
      <c r="P124" s="524"/>
      <c r="Q124" s="524"/>
      <c r="R124" s="524"/>
      <c r="S124" s="524"/>
      <c r="T124" s="524"/>
      <c r="U124" s="525"/>
      <c r="V124" s="505" t="str">
        <f>IF($AG124="", "", VLOOKUP($AG124, TB_PROPOSTA!$B:$Z, 21,FALSE)  )</f>
        <v/>
      </c>
      <c r="W124" s="505"/>
      <c r="X124" s="505"/>
      <c r="Y124" s="505"/>
      <c r="Z124" s="505"/>
      <c r="AA124" s="505"/>
      <c r="AB124" s="505"/>
      <c r="AC124" s="505"/>
      <c r="AD124" s="506" t="str">
        <f>IF($AG124="","",VLOOKUP($AG124,TB_PROPOSTA!$B:$Z, 19,FALSE))</f>
        <v/>
      </c>
      <c r="AE124" s="507"/>
      <c r="AG124" s="279"/>
    </row>
    <row r="125" spans="2:33" x14ac:dyDescent="0.25">
      <c r="B125" s="517" t="str">
        <f>IF($AG125="","", VLOOKUP($AG125,TB_PROPOSTA!$B:$Y,3,FALSE))</f>
        <v/>
      </c>
      <c r="C125" s="518"/>
      <c r="D125" s="519" t="str">
        <f>IF($AG125="","",VLOOKUP($AG125,TB_PROPOSTA!$B:$Z,25,FALSE))</f>
        <v/>
      </c>
      <c r="E125" s="518"/>
      <c r="F125" s="519" t="str">
        <f>IF($AG125="","",VLOOKUP($AG125,TB_PROPOSTA!$B:$Z,5,FALSE))</f>
        <v/>
      </c>
      <c r="G125" s="518"/>
      <c r="H125" s="519" t="str">
        <f>IF($AG125="","",VLOOKUP($AG125,TB_PROPOSTA!$B:$Z, 6,FALSE))</f>
        <v/>
      </c>
      <c r="I125" s="518"/>
      <c r="J125" s="526" t="str">
        <f>IF($AG125="","",VLOOKUP($AG125,TB_PROPOSTA!$B:$Z, 24,FALSE))</f>
        <v/>
      </c>
      <c r="K125" s="527"/>
      <c r="L125" s="528"/>
      <c r="M125" s="523" t="str">
        <f>IF($AG125="", "", VLOOKUP($AG125, TB_PROPOSTA!$B:$Z, 22,FALSE)  )</f>
        <v/>
      </c>
      <c r="N125" s="524"/>
      <c r="O125" s="524"/>
      <c r="P125" s="524"/>
      <c r="Q125" s="524"/>
      <c r="R125" s="524"/>
      <c r="S125" s="524"/>
      <c r="T125" s="524"/>
      <c r="U125" s="525"/>
      <c r="V125" s="505" t="str">
        <f>IF($AG125="", "", VLOOKUP($AG125, TB_PROPOSTA!$B:$Z, 21,FALSE)  )</f>
        <v/>
      </c>
      <c r="W125" s="505"/>
      <c r="X125" s="505"/>
      <c r="Y125" s="505"/>
      <c r="Z125" s="505"/>
      <c r="AA125" s="505"/>
      <c r="AB125" s="505"/>
      <c r="AC125" s="505"/>
      <c r="AD125" s="506" t="str">
        <f>IF($AG125="","",VLOOKUP($AG125,TB_PROPOSTA!$B:$Z, 19,FALSE))</f>
        <v/>
      </c>
      <c r="AE125" s="507"/>
      <c r="AG125" s="279"/>
    </row>
    <row r="126" spans="2:33" x14ac:dyDescent="0.25">
      <c r="B126" s="517" t="str">
        <f>IF($AG126="","", VLOOKUP($AG126,TB_PROPOSTA!$B:$Y,3,FALSE))</f>
        <v/>
      </c>
      <c r="C126" s="518"/>
      <c r="D126" s="519" t="str">
        <f>IF($AG126="","",VLOOKUP($AG126,TB_PROPOSTA!$B:$Z,25,FALSE))</f>
        <v/>
      </c>
      <c r="E126" s="518"/>
      <c r="F126" s="519" t="str">
        <f>IF($AG126="","",VLOOKUP($AG126,TB_PROPOSTA!$B:$Z,5,FALSE))</f>
        <v/>
      </c>
      <c r="G126" s="518"/>
      <c r="H126" s="519" t="str">
        <f>IF($AG126="","",VLOOKUP($AG126,TB_PROPOSTA!$B:$Z, 6,FALSE))</f>
        <v/>
      </c>
      <c r="I126" s="518"/>
      <c r="J126" s="526" t="str">
        <f>IF($AG126="","",VLOOKUP($AG126,TB_PROPOSTA!$B:$Z, 24,FALSE))</f>
        <v/>
      </c>
      <c r="K126" s="527"/>
      <c r="L126" s="528"/>
      <c r="M126" s="523" t="str">
        <f>IF($AG126="", "", VLOOKUP($AG126, TB_PROPOSTA!$B:$Z, 22,FALSE)  )</f>
        <v/>
      </c>
      <c r="N126" s="524"/>
      <c r="O126" s="524"/>
      <c r="P126" s="524"/>
      <c r="Q126" s="524"/>
      <c r="R126" s="524"/>
      <c r="S126" s="524"/>
      <c r="T126" s="524"/>
      <c r="U126" s="525"/>
      <c r="V126" s="505" t="str">
        <f>IF($AG126="", "", VLOOKUP($AG126, TB_PROPOSTA!$B:$Z, 21,FALSE)  )</f>
        <v/>
      </c>
      <c r="W126" s="505"/>
      <c r="X126" s="505"/>
      <c r="Y126" s="505"/>
      <c r="Z126" s="505"/>
      <c r="AA126" s="505"/>
      <c r="AB126" s="505"/>
      <c r="AC126" s="505"/>
      <c r="AD126" s="506" t="str">
        <f>IF($AG126="","",VLOOKUP($AG126,TB_PROPOSTA!$B:$Z, 19,FALSE))</f>
        <v/>
      </c>
      <c r="AE126" s="507"/>
      <c r="AG126" s="279"/>
    </row>
    <row r="127" spans="2:33" x14ac:dyDescent="0.25">
      <c r="B127" s="517" t="str">
        <f>IF($AG127="","", VLOOKUP($AG127,TB_PROPOSTA!$B:$Y,3,FALSE))</f>
        <v/>
      </c>
      <c r="C127" s="518"/>
      <c r="D127" s="519" t="str">
        <f>IF($AG127="","",VLOOKUP($AG127,TB_PROPOSTA!$B:$Z,25,FALSE))</f>
        <v/>
      </c>
      <c r="E127" s="518"/>
      <c r="F127" s="519" t="str">
        <f>IF($AG127="","",VLOOKUP($AG127,TB_PROPOSTA!$B:$Z,5,FALSE))</f>
        <v/>
      </c>
      <c r="G127" s="518"/>
      <c r="H127" s="519" t="str">
        <f>IF($AG127="","",VLOOKUP($AG127,TB_PROPOSTA!$B:$Z, 6,FALSE))</f>
        <v/>
      </c>
      <c r="I127" s="518"/>
      <c r="J127" s="526" t="str">
        <f>IF($AG127="","",VLOOKUP($AG127,TB_PROPOSTA!$B:$Z, 24,FALSE))</f>
        <v/>
      </c>
      <c r="K127" s="527"/>
      <c r="L127" s="528"/>
      <c r="M127" s="523" t="str">
        <f>IF($AG127="", "", VLOOKUP($AG127, TB_PROPOSTA!$B:$Z, 22,FALSE)  )</f>
        <v/>
      </c>
      <c r="N127" s="524"/>
      <c r="O127" s="524"/>
      <c r="P127" s="524"/>
      <c r="Q127" s="524"/>
      <c r="R127" s="524"/>
      <c r="S127" s="524"/>
      <c r="T127" s="524"/>
      <c r="U127" s="525"/>
      <c r="V127" s="505" t="str">
        <f>IF($AG127="", "", VLOOKUP($AG127, TB_PROPOSTA!$B:$Z, 21,FALSE)  )</f>
        <v/>
      </c>
      <c r="W127" s="505"/>
      <c r="X127" s="505"/>
      <c r="Y127" s="505"/>
      <c r="Z127" s="505"/>
      <c r="AA127" s="505"/>
      <c r="AB127" s="505"/>
      <c r="AC127" s="505"/>
      <c r="AD127" s="506" t="str">
        <f>IF($AG127="","",VLOOKUP($AG127,TB_PROPOSTA!$B:$Z, 19,FALSE))</f>
        <v/>
      </c>
      <c r="AE127" s="507"/>
      <c r="AG127" s="279"/>
    </row>
    <row r="128" spans="2:33" x14ac:dyDescent="0.25">
      <c r="B128" s="517" t="str">
        <f>IF($AG128="","", VLOOKUP($AG128,TB_PROPOSTA!$B:$Y,3,FALSE))</f>
        <v/>
      </c>
      <c r="C128" s="518"/>
      <c r="D128" s="519" t="str">
        <f>IF($AG128="","",VLOOKUP($AG128,TB_PROPOSTA!$B:$Z,25,FALSE))</f>
        <v/>
      </c>
      <c r="E128" s="518"/>
      <c r="F128" s="519" t="str">
        <f>IF($AG128="","",VLOOKUP($AG128,TB_PROPOSTA!$B:$Z,5,FALSE))</f>
        <v/>
      </c>
      <c r="G128" s="518"/>
      <c r="H128" s="519" t="str">
        <f>IF($AG128="","",VLOOKUP($AG128,TB_PROPOSTA!$B:$Z, 6,FALSE))</f>
        <v/>
      </c>
      <c r="I128" s="518"/>
      <c r="J128" s="526" t="str">
        <f>IF($AG128="","",VLOOKUP($AG128,TB_PROPOSTA!$B:$Z, 24,FALSE))</f>
        <v/>
      </c>
      <c r="K128" s="527"/>
      <c r="L128" s="528"/>
      <c r="M128" s="523" t="str">
        <f>IF($AG128="", "", VLOOKUP($AG128, TB_PROPOSTA!$B:$Z, 22,FALSE)  )</f>
        <v/>
      </c>
      <c r="N128" s="524"/>
      <c r="O128" s="524"/>
      <c r="P128" s="524"/>
      <c r="Q128" s="524"/>
      <c r="R128" s="524"/>
      <c r="S128" s="524"/>
      <c r="T128" s="524"/>
      <c r="U128" s="525"/>
      <c r="V128" s="505" t="str">
        <f>IF($AG128="", "", VLOOKUP($AG128, TB_PROPOSTA!$B:$Z, 21,FALSE)  )</f>
        <v/>
      </c>
      <c r="W128" s="505"/>
      <c r="X128" s="505"/>
      <c r="Y128" s="505"/>
      <c r="Z128" s="505"/>
      <c r="AA128" s="505"/>
      <c r="AB128" s="505"/>
      <c r="AC128" s="505"/>
      <c r="AD128" s="506" t="str">
        <f>IF($AG128="","",VLOOKUP($AG128,TB_PROPOSTA!$B:$Z, 19,FALSE))</f>
        <v/>
      </c>
      <c r="AE128" s="507"/>
      <c r="AG128" s="279"/>
    </row>
    <row r="129" spans="2:33" x14ac:dyDescent="0.25">
      <c r="B129" s="517" t="str">
        <f>IF($AG129="","", VLOOKUP($AG129,TB_PROPOSTA!$B:$Y,3,FALSE))</f>
        <v/>
      </c>
      <c r="C129" s="518"/>
      <c r="D129" s="519" t="str">
        <f>IF($AG129="","",VLOOKUP($AG129,TB_PROPOSTA!$B:$Z,25,FALSE))</f>
        <v/>
      </c>
      <c r="E129" s="518"/>
      <c r="F129" s="519" t="str">
        <f>IF($AG129="","",VLOOKUP($AG129,TB_PROPOSTA!$B:$Z,5,FALSE))</f>
        <v/>
      </c>
      <c r="G129" s="518"/>
      <c r="H129" s="519" t="str">
        <f>IF($AG129="","",VLOOKUP($AG129,TB_PROPOSTA!$B:$Z, 6,FALSE))</f>
        <v/>
      </c>
      <c r="I129" s="518"/>
      <c r="J129" s="526" t="str">
        <f>IF($AG129="","",VLOOKUP($AG129,TB_PROPOSTA!$B:$Z, 24,FALSE))</f>
        <v/>
      </c>
      <c r="K129" s="527"/>
      <c r="L129" s="528"/>
      <c r="M129" s="523" t="str">
        <f>IF($AG129="", "", VLOOKUP($AG129, TB_PROPOSTA!$B:$Z, 22,FALSE)  )</f>
        <v/>
      </c>
      <c r="N129" s="524"/>
      <c r="O129" s="524"/>
      <c r="P129" s="524"/>
      <c r="Q129" s="524"/>
      <c r="R129" s="524"/>
      <c r="S129" s="524"/>
      <c r="T129" s="524"/>
      <c r="U129" s="525"/>
      <c r="V129" s="505" t="str">
        <f>IF($AG129="", "", VLOOKUP($AG129, TB_PROPOSTA!$B:$Z, 21,FALSE)  )</f>
        <v/>
      </c>
      <c r="W129" s="505"/>
      <c r="X129" s="505"/>
      <c r="Y129" s="505"/>
      <c r="Z129" s="505"/>
      <c r="AA129" s="505"/>
      <c r="AB129" s="505"/>
      <c r="AC129" s="505"/>
      <c r="AD129" s="506" t="str">
        <f>IF($AG129="","",VLOOKUP($AG129,TB_PROPOSTA!$B:$Z, 19,FALSE))</f>
        <v/>
      </c>
      <c r="AE129" s="507"/>
      <c r="AG129" s="279"/>
    </row>
    <row r="130" spans="2:33" x14ac:dyDescent="0.25">
      <c r="B130" s="517" t="str">
        <f>IF($AG130="","", VLOOKUP($AG130,TB_PROPOSTA!$B:$Y,3,FALSE))</f>
        <v/>
      </c>
      <c r="C130" s="518"/>
      <c r="D130" s="519" t="str">
        <f>IF($AG130="","",VLOOKUP($AG130,TB_PROPOSTA!$B:$Z,25,FALSE))</f>
        <v/>
      </c>
      <c r="E130" s="518"/>
      <c r="F130" s="519" t="str">
        <f>IF($AG130="","",VLOOKUP($AG130,TB_PROPOSTA!$B:$Z,5,FALSE))</f>
        <v/>
      </c>
      <c r="G130" s="518"/>
      <c r="H130" s="519" t="str">
        <f>IF($AG130="","",VLOOKUP($AG130,TB_PROPOSTA!$B:$Z, 6,FALSE))</f>
        <v/>
      </c>
      <c r="I130" s="518"/>
      <c r="J130" s="526" t="str">
        <f>IF($AG130="","",VLOOKUP($AG130,TB_PROPOSTA!$B:$Z, 24,FALSE))</f>
        <v/>
      </c>
      <c r="K130" s="527"/>
      <c r="L130" s="528"/>
      <c r="M130" s="523" t="str">
        <f>IF($AG130="", "", VLOOKUP($AG130, TB_PROPOSTA!$B:$Z, 22,FALSE)  )</f>
        <v/>
      </c>
      <c r="N130" s="524"/>
      <c r="O130" s="524"/>
      <c r="P130" s="524"/>
      <c r="Q130" s="524"/>
      <c r="R130" s="524"/>
      <c r="S130" s="524"/>
      <c r="T130" s="524"/>
      <c r="U130" s="525"/>
      <c r="V130" s="505" t="str">
        <f>IF($AG130="", "", VLOOKUP($AG130, TB_PROPOSTA!$B:$Z, 21,FALSE)  )</f>
        <v/>
      </c>
      <c r="W130" s="505"/>
      <c r="X130" s="505"/>
      <c r="Y130" s="505"/>
      <c r="Z130" s="505"/>
      <c r="AA130" s="505"/>
      <c r="AB130" s="505"/>
      <c r="AC130" s="505"/>
      <c r="AD130" s="506" t="str">
        <f>IF($AG130="","",VLOOKUP($AG130,TB_PROPOSTA!$B:$Z, 19,FALSE))</f>
        <v/>
      </c>
      <c r="AE130" s="507"/>
      <c r="AG130" s="279"/>
    </row>
    <row r="131" spans="2:33" x14ac:dyDescent="0.25">
      <c r="B131" s="517" t="str">
        <f>IF($AG131="","", VLOOKUP($AG131,TB_PROPOSTA!$B:$Y,3,FALSE))</f>
        <v/>
      </c>
      <c r="C131" s="518"/>
      <c r="D131" s="519" t="str">
        <f>IF($AG131="","",VLOOKUP($AG131,TB_PROPOSTA!$B:$Z,25,FALSE))</f>
        <v/>
      </c>
      <c r="E131" s="518"/>
      <c r="F131" s="519" t="str">
        <f>IF($AG131="","",VLOOKUP($AG131,TB_PROPOSTA!$B:$Z,5,FALSE))</f>
        <v/>
      </c>
      <c r="G131" s="518"/>
      <c r="H131" s="519" t="str">
        <f>IF($AG131="","",VLOOKUP($AG131,TB_PROPOSTA!$B:$Z, 6,FALSE))</f>
        <v/>
      </c>
      <c r="I131" s="518"/>
      <c r="J131" s="526" t="str">
        <f>IF($AG131="","",VLOOKUP($AG131,TB_PROPOSTA!$B:$Z, 24,FALSE))</f>
        <v/>
      </c>
      <c r="K131" s="527"/>
      <c r="L131" s="528"/>
      <c r="M131" s="523" t="str">
        <f>IF($AG131="", "", VLOOKUP($AG131, TB_PROPOSTA!$B:$Z, 22,FALSE)  )</f>
        <v/>
      </c>
      <c r="N131" s="524"/>
      <c r="O131" s="524"/>
      <c r="P131" s="524"/>
      <c r="Q131" s="524"/>
      <c r="R131" s="524"/>
      <c r="S131" s="524"/>
      <c r="T131" s="524"/>
      <c r="U131" s="525"/>
      <c r="V131" s="505" t="str">
        <f>IF($AG131="", "", VLOOKUP($AG131, TB_PROPOSTA!$B:$Z, 21,FALSE)  )</f>
        <v/>
      </c>
      <c r="W131" s="505"/>
      <c r="X131" s="505"/>
      <c r="Y131" s="505"/>
      <c r="Z131" s="505"/>
      <c r="AA131" s="505"/>
      <c r="AB131" s="505"/>
      <c r="AC131" s="505"/>
      <c r="AD131" s="506" t="str">
        <f>IF($AG131="","",VLOOKUP($AG131,TB_PROPOSTA!$B:$Z, 19,FALSE))</f>
        <v/>
      </c>
      <c r="AE131" s="507"/>
      <c r="AG131" s="279"/>
    </row>
    <row r="132" spans="2:33" x14ac:dyDescent="0.25">
      <c r="B132" s="517" t="str">
        <f>IF($AG132="","", VLOOKUP($AG132,TB_PROPOSTA!$B:$Y,3,FALSE))</f>
        <v/>
      </c>
      <c r="C132" s="518"/>
      <c r="D132" s="519" t="str">
        <f>IF($AG132="","",VLOOKUP($AG132,TB_PROPOSTA!$B:$Z,25,FALSE))</f>
        <v/>
      </c>
      <c r="E132" s="518"/>
      <c r="F132" s="519" t="str">
        <f>IF($AG132="","",VLOOKUP($AG132,TB_PROPOSTA!$B:$Z,5,FALSE))</f>
        <v/>
      </c>
      <c r="G132" s="518"/>
      <c r="H132" s="519" t="str">
        <f>IF($AG132="","",VLOOKUP($AG132,TB_PROPOSTA!$B:$Z, 6,FALSE))</f>
        <v/>
      </c>
      <c r="I132" s="518"/>
      <c r="J132" s="526" t="str">
        <f>IF($AG132="","",VLOOKUP($AG132,TB_PROPOSTA!$B:$Z, 24,FALSE))</f>
        <v/>
      </c>
      <c r="K132" s="527"/>
      <c r="L132" s="528"/>
      <c r="M132" s="523" t="str">
        <f>IF($AG132="", "", VLOOKUP($AG132, TB_PROPOSTA!$B:$Z, 22,FALSE)  )</f>
        <v/>
      </c>
      <c r="N132" s="524"/>
      <c r="O132" s="524"/>
      <c r="P132" s="524"/>
      <c r="Q132" s="524"/>
      <c r="R132" s="524"/>
      <c r="S132" s="524"/>
      <c r="T132" s="524"/>
      <c r="U132" s="525"/>
      <c r="V132" s="505" t="str">
        <f>IF($AG132="", "", VLOOKUP($AG132, TB_PROPOSTA!$B:$Z, 21,FALSE)  )</f>
        <v/>
      </c>
      <c r="W132" s="505"/>
      <c r="X132" s="505"/>
      <c r="Y132" s="505"/>
      <c r="Z132" s="505"/>
      <c r="AA132" s="505"/>
      <c r="AB132" s="505"/>
      <c r="AC132" s="505"/>
      <c r="AD132" s="506" t="str">
        <f>IF($AG132="","",VLOOKUP($AG132,TB_PROPOSTA!$B:$Z, 19,FALSE))</f>
        <v/>
      </c>
      <c r="AE132" s="507"/>
      <c r="AG132" s="279"/>
    </row>
    <row r="133" spans="2:33" x14ac:dyDescent="0.25">
      <c r="B133" s="517" t="str">
        <f>IF($AG133="","", VLOOKUP($AG133,TB_PROPOSTA!$B:$Y,3,FALSE))</f>
        <v/>
      </c>
      <c r="C133" s="518"/>
      <c r="D133" s="519" t="str">
        <f>IF($AG133="","",VLOOKUP($AG133,TB_PROPOSTA!$B:$Z,25,FALSE))</f>
        <v/>
      </c>
      <c r="E133" s="518"/>
      <c r="F133" s="519" t="str">
        <f>IF($AG133="","",VLOOKUP($AG133,TB_PROPOSTA!$B:$Z,5,FALSE))</f>
        <v/>
      </c>
      <c r="G133" s="518"/>
      <c r="H133" s="519" t="str">
        <f>IF($AG133="","",VLOOKUP($AG133,TB_PROPOSTA!$B:$Z, 6,FALSE))</f>
        <v/>
      </c>
      <c r="I133" s="518"/>
      <c r="J133" s="526" t="str">
        <f>IF($AG133="","",VLOOKUP($AG133,TB_PROPOSTA!$B:$Z, 24,FALSE))</f>
        <v/>
      </c>
      <c r="K133" s="527"/>
      <c r="L133" s="528"/>
      <c r="M133" s="523" t="str">
        <f>IF($AG133="", "", VLOOKUP($AG133, TB_PROPOSTA!$B:$Z, 22,FALSE)  )</f>
        <v/>
      </c>
      <c r="N133" s="524"/>
      <c r="O133" s="524"/>
      <c r="P133" s="524"/>
      <c r="Q133" s="524"/>
      <c r="R133" s="524"/>
      <c r="S133" s="524"/>
      <c r="T133" s="524"/>
      <c r="U133" s="525"/>
      <c r="V133" s="505" t="str">
        <f>IF($AG133="", "", VLOOKUP($AG133, TB_PROPOSTA!$B:$Z, 21,FALSE)  )</f>
        <v/>
      </c>
      <c r="W133" s="505"/>
      <c r="X133" s="505"/>
      <c r="Y133" s="505"/>
      <c r="Z133" s="505"/>
      <c r="AA133" s="505"/>
      <c r="AB133" s="505"/>
      <c r="AC133" s="505"/>
      <c r="AD133" s="506" t="str">
        <f>IF($AG133="","",VLOOKUP($AG133,TB_PROPOSTA!$B:$Z, 19,FALSE))</f>
        <v/>
      </c>
      <c r="AE133" s="507"/>
      <c r="AG133" s="279"/>
    </row>
    <row r="134" spans="2:33" x14ac:dyDescent="0.25">
      <c r="B134" s="517" t="str">
        <f>IF($AG134="","", VLOOKUP($AG134,TB_PROPOSTA!$B:$Y,3,FALSE))</f>
        <v/>
      </c>
      <c r="C134" s="518"/>
      <c r="D134" s="519" t="str">
        <f>IF($AG134="","",VLOOKUP($AG134,TB_PROPOSTA!$B:$Z,25,FALSE))</f>
        <v/>
      </c>
      <c r="E134" s="518"/>
      <c r="F134" s="519" t="str">
        <f>IF($AG134="","",VLOOKUP($AG134,TB_PROPOSTA!$B:$Z,5,FALSE))</f>
        <v/>
      </c>
      <c r="G134" s="518"/>
      <c r="H134" s="519" t="str">
        <f>IF($AG134="","",VLOOKUP($AG134,TB_PROPOSTA!$B:$Z, 6,FALSE))</f>
        <v/>
      </c>
      <c r="I134" s="518"/>
      <c r="J134" s="526" t="str">
        <f>IF($AG134="","",VLOOKUP($AG134,TB_PROPOSTA!$B:$Z, 24,FALSE))</f>
        <v/>
      </c>
      <c r="K134" s="527"/>
      <c r="L134" s="528"/>
      <c r="M134" s="523" t="str">
        <f>IF($AG134="", "", VLOOKUP($AG134, TB_PROPOSTA!$B:$Z, 22,FALSE)  )</f>
        <v/>
      </c>
      <c r="N134" s="524"/>
      <c r="O134" s="524"/>
      <c r="P134" s="524"/>
      <c r="Q134" s="524"/>
      <c r="R134" s="524"/>
      <c r="S134" s="524"/>
      <c r="T134" s="524"/>
      <c r="U134" s="525"/>
      <c r="V134" s="505" t="str">
        <f>IF($AG134="", "", VLOOKUP($AG134, TB_PROPOSTA!$B:$Z, 21,FALSE)  )</f>
        <v/>
      </c>
      <c r="W134" s="505"/>
      <c r="X134" s="505"/>
      <c r="Y134" s="505"/>
      <c r="Z134" s="505"/>
      <c r="AA134" s="505"/>
      <c r="AB134" s="505"/>
      <c r="AC134" s="505"/>
      <c r="AD134" s="506" t="str">
        <f>IF($AG134="","",VLOOKUP($AG134,TB_PROPOSTA!$B:$Z, 19,FALSE))</f>
        <v/>
      </c>
      <c r="AE134" s="507"/>
      <c r="AG134" s="279"/>
    </row>
    <row r="135" spans="2:33" x14ac:dyDescent="0.25">
      <c r="B135" s="517" t="str">
        <f>IF($AG135="","", VLOOKUP($AG135,TB_PROPOSTA!$B:$Y,3,FALSE))</f>
        <v/>
      </c>
      <c r="C135" s="518"/>
      <c r="D135" s="519" t="str">
        <f>IF($AG135="","",VLOOKUP($AG135,TB_PROPOSTA!$B:$Z,25,FALSE))</f>
        <v/>
      </c>
      <c r="E135" s="518"/>
      <c r="F135" s="519" t="str">
        <f>IF($AG135="","",VLOOKUP($AG135,TB_PROPOSTA!$B:$Z,5,FALSE))</f>
        <v/>
      </c>
      <c r="G135" s="518"/>
      <c r="H135" s="519" t="str">
        <f>IF($AG135="","",VLOOKUP($AG135,TB_PROPOSTA!$B:$Z, 6,FALSE))</f>
        <v/>
      </c>
      <c r="I135" s="518"/>
      <c r="J135" s="526" t="str">
        <f>IF($AG135="","",VLOOKUP($AG135,TB_PROPOSTA!$B:$Z, 24,FALSE))</f>
        <v/>
      </c>
      <c r="K135" s="527"/>
      <c r="L135" s="528"/>
      <c r="M135" s="523" t="str">
        <f>IF($AG135="", "", VLOOKUP($AG135, TB_PROPOSTA!$B:$Z, 22,FALSE)  )</f>
        <v/>
      </c>
      <c r="N135" s="524"/>
      <c r="O135" s="524"/>
      <c r="P135" s="524"/>
      <c r="Q135" s="524"/>
      <c r="R135" s="524"/>
      <c r="S135" s="524"/>
      <c r="T135" s="524"/>
      <c r="U135" s="525"/>
      <c r="V135" s="505" t="str">
        <f>IF($AG135="", "", VLOOKUP($AG135, TB_PROPOSTA!$B:$Z, 21,FALSE)  )</f>
        <v/>
      </c>
      <c r="W135" s="505"/>
      <c r="X135" s="505"/>
      <c r="Y135" s="505"/>
      <c r="Z135" s="505"/>
      <c r="AA135" s="505"/>
      <c r="AB135" s="505"/>
      <c r="AC135" s="505"/>
      <c r="AD135" s="506" t="str">
        <f>IF($AG135="","",VLOOKUP($AG135,TB_PROPOSTA!$B:$Z, 19,FALSE))</f>
        <v/>
      </c>
      <c r="AE135" s="507"/>
      <c r="AG135" s="279"/>
    </row>
    <row r="136" spans="2:33" x14ac:dyDescent="0.25">
      <c r="B136" s="517" t="str">
        <f>IF($AG136="","", VLOOKUP($AG136,TB_PROPOSTA!$B:$Y,3,FALSE))</f>
        <v/>
      </c>
      <c r="C136" s="518"/>
      <c r="D136" s="519" t="str">
        <f>IF($AG136="","",VLOOKUP($AG136,TB_PROPOSTA!$B:$Z,25,FALSE))</f>
        <v/>
      </c>
      <c r="E136" s="518"/>
      <c r="F136" s="519" t="str">
        <f>IF($AG136="","",VLOOKUP($AG136,TB_PROPOSTA!$B:$Z,5,FALSE))</f>
        <v/>
      </c>
      <c r="G136" s="518"/>
      <c r="H136" s="519" t="str">
        <f>IF($AG136="","",VLOOKUP($AG136,TB_PROPOSTA!$B:$Z, 6,FALSE))</f>
        <v/>
      </c>
      <c r="I136" s="518"/>
      <c r="J136" s="526" t="str">
        <f>IF($AG136="","",VLOOKUP($AG136,TB_PROPOSTA!$B:$Z, 24,FALSE))</f>
        <v/>
      </c>
      <c r="K136" s="527"/>
      <c r="L136" s="528"/>
      <c r="M136" s="523" t="str">
        <f>IF($AG136="", "", VLOOKUP($AG136, TB_PROPOSTA!$B:$Z, 22,FALSE)  )</f>
        <v/>
      </c>
      <c r="N136" s="524"/>
      <c r="O136" s="524"/>
      <c r="P136" s="524"/>
      <c r="Q136" s="524"/>
      <c r="R136" s="524"/>
      <c r="S136" s="524"/>
      <c r="T136" s="524"/>
      <c r="U136" s="525"/>
      <c r="V136" s="505" t="str">
        <f>IF($AG136="", "", VLOOKUP($AG136, TB_PROPOSTA!$B:$Z, 21,FALSE)  )</f>
        <v/>
      </c>
      <c r="W136" s="505"/>
      <c r="X136" s="505"/>
      <c r="Y136" s="505"/>
      <c r="Z136" s="505"/>
      <c r="AA136" s="505"/>
      <c r="AB136" s="505"/>
      <c r="AC136" s="505"/>
      <c r="AD136" s="506" t="str">
        <f>IF($AG136="","",VLOOKUP($AG136,TB_PROPOSTA!$B:$Z, 19,FALSE))</f>
        <v/>
      </c>
      <c r="AE136" s="507"/>
      <c r="AG136" s="279"/>
    </row>
    <row r="137" spans="2:33" x14ac:dyDescent="0.25">
      <c r="B137" s="517" t="str">
        <f>IF($AG137="","", VLOOKUP($AG137,TB_PROPOSTA!$B:$Y,3,FALSE))</f>
        <v/>
      </c>
      <c r="C137" s="518"/>
      <c r="D137" s="519" t="str">
        <f>IF($AG137="","",VLOOKUP($AG137,TB_PROPOSTA!$B:$Z,25,FALSE))</f>
        <v/>
      </c>
      <c r="E137" s="518"/>
      <c r="F137" s="519" t="str">
        <f>IF($AG137="","",VLOOKUP($AG137,TB_PROPOSTA!$B:$Z,5,FALSE))</f>
        <v/>
      </c>
      <c r="G137" s="518"/>
      <c r="H137" s="519" t="str">
        <f>IF($AG137="","",VLOOKUP($AG137,TB_PROPOSTA!$B:$Z, 6,FALSE))</f>
        <v/>
      </c>
      <c r="I137" s="518"/>
      <c r="J137" s="526" t="str">
        <f>IF($AG137="","",VLOOKUP($AG137,TB_PROPOSTA!$B:$Z, 24,FALSE))</f>
        <v/>
      </c>
      <c r="K137" s="527"/>
      <c r="L137" s="528"/>
      <c r="M137" s="523" t="str">
        <f>IF($AG137="", "", VLOOKUP($AG137, TB_PROPOSTA!$B:$Z, 22,FALSE)  )</f>
        <v/>
      </c>
      <c r="N137" s="524"/>
      <c r="O137" s="524"/>
      <c r="P137" s="524"/>
      <c r="Q137" s="524"/>
      <c r="R137" s="524"/>
      <c r="S137" s="524"/>
      <c r="T137" s="524"/>
      <c r="U137" s="525"/>
      <c r="V137" s="505" t="str">
        <f>IF($AG137="", "", VLOOKUP($AG137, TB_PROPOSTA!$B:$Z, 21,FALSE)  )</f>
        <v/>
      </c>
      <c r="W137" s="505"/>
      <c r="X137" s="505"/>
      <c r="Y137" s="505"/>
      <c r="Z137" s="505"/>
      <c r="AA137" s="505"/>
      <c r="AB137" s="505"/>
      <c r="AC137" s="505"/>
      <c r="AD137" s="506" t="str">
        <f>IF($AG137="","",VLOOKUP($AG137,TB_PROPOSTA!$B:$Z, 19,FALSE))</f>
        <v/>
      </c>
      <c r="AE137" s="507"/>
      <c r="AG137" s="279"/>
    </row>
    <row r="138" spans="2:33" x14ac:dyDescent="0.25">
      <c r="B138" s="517" t="str">
        <f>IF($AG138="","", VLOOKUP($AG138,TB_PROPOSTA!$B:$Y,3,FALSE))</f>
        <v/>
      </c>
      <c r="C138" s="518"/>
      <c r="D138" s="519" t="str">
        <f>IF($AG138="","",VLOOKUP($AG138,TB_PROPOSTA!$B:$Z,25,FALSE))</f>
        <v/>
      </c>
      <c r="E138" s="518"/>
      <c r="F138" s="519" t="str">
        <f>IF($AG138="","",VLOOKUP($AG138,TB_PROPOSTA!$B:$Z,5,FALSE))</f>
        <v/>
      </c>
      <c r="G138" s="518"/>
      <c r="H138" s="519" t="str">
        <f>IF($AG138="","",VLOOKUP($AG138,TB_PROPOSTA!$B:$Z, 6,FALSE))</f>
        <v/>
      </c>
      <c r="I138" s="518"/>
      <c r="J138" s="526" t="str">
        <f>IF($AG138="","",VLOOKUP($AG138,TB_PROPOSTA!$B:$Z, 24,FALSE))</f>
        <v/>
      </c>
      <c r="K138" s="527"/>
      <c r="L138" s="528"/>
      <c r="M138" s="523" t="str">
        <f>IF($AG138="", "", VLOOKUP($AG138, TB_PROPOSTA!$B:$Z, 22,FALSE)  )</f>
        <v/>
      </c>
      <c r="N138" s="524"/>
      <c r="O138" s="524"/>
      <c r="P138" s="524"/>
      <c r="Q138" s="524"/>
      <c r="R138" s="524"/>
      <c r="S138" s="524"/>
      <c r="T138" s="524"/>
      <c r="U138" s="525"/>
      <c r="V138" s="505" t="str">
        <f>IF($AG138="", "", VLOOKUP($AG138, TB_PROPOSTA!$B:$Z, 21,FALSE)  )</f>
        <v/>
      </c>
      <c r="W138" s="505"/>
      <c r="X138" s="505"/>
      <c r="Y138" s="505"/>
      <c r="Z138" s="505"/>
      <c r="AA138" s="505"/>
      <c r="AB138" s="505"/>
      <c r="AC138" s="505"/>
      <c r="AD138" s="506" t="str">
        <f>IF($AG138="","",VLOOKUP($AG138,TB_PROPOSTA!$B:$Z, 19,FALSE))</f>
        <v/>
      </c>
      <c r="AE138" s="507"/>
      <c r="AG138" s="279"/>
    </row>
    <row r="139" spans="2:33" x14ac:dyDescent="0.25">
      <c r="B139" s="517" t="str">
        <f>IF($AG139="","", VLOOKUP($AG139,TB_PROPOSTA!$B:$Y,3,FALSE))</f>
        <v/>
      </c>
      <c r="C139" s="518"/>
      <c r="D139" s="519" t="str">
        <f>IF($AG139="","",VLOOKUP($AG139,TB_PROPOSTA!$B:$Z,25,FALSE))</f>
        <v/>
      </c>
      <c r="E139" s="518"/>
      <c r="F139" s="519" t="str">
        <f>IF($AG139="","",VLOOKUP($AG139,TB_PROPOSTA!$B:$Z,5,FALSE))</f>
        <v/>
      </c>
      <c r="G139" s="518"/>
      <c r="H139" s="519" t="str">
        <f>IF($AG139="","",VLOOKUP($AG139,TB_PROPOSTA!$B:$Z, 6,FALSE))</f>
        <v/>
      </c>
      <c r="I139" s="518"/>
      <c r="J139" s="520"/>
      <c r="K139" s="521"/>
      <c r="L139" s="522"/>
      <c r="M139" s="523" t="str">
        <f>IF($AG139="", "", VLOOKUP($AG139, TB_PROPOSTA!$B:$Z, 22,FALSE)  )</f>
        <v/>
      </c>
      <c r="N139" s="524"/>
      <c r="O139" s="524"/>
      <c r="P139" s="524"/>
      <c r="Q139" s="524"/>
      <c r="R139" s="524"/>
      <c r="S139" s="524"/>
      <c r="T139" s="524"/>
      <c r="U139" s="525"/>
      <c r="V139" s="505" t="str">
        <f>IF($AG139="", "", VLOOKUP($AG139, TB_PROPOSTA!$B:$Z, 21,FALSE)  )</f>
        <v/>
      </c>
      <c r="W139" s="505"/>
      <c r="X139" s="505"/>
      <c r="Y139" s="505"/>
      <c r="Z139" s="505"/>
      <c r="AA139" s="505"/>
      <c r="AB139" s="505"/>
      <c r="AC139" s="505"/>
      <c r="AD139" s="506" t="str">
        <f>IF($AG139="","",VLOOKUP($AG139,TB_PROPOSTA!$B:$Z, 19,FALSE))</f>
        <v/>
      </c>
      <c r="AE139" s="507"/>
      <c r="AG139" s="279"/>
    </row>
    <row r="140" spans="2:33" ht="15" customHeight="1" x14ac:dyDescent="0.25">
      <c r="B140" s="508" t="s">
        <v>820</v>
      </c>
      <c r="C140" s="509"/>
      <c r="D140" s="509"/>
      <c r="E140" s="509"/>
      <c r="F140" s="509"/>
      <c r="G140" s="509"/>
      <c r="H140" s="509"/>
      <c r="I140" s="509"/>
      <c r="J140" s="510"/>
      <c r="K140" s="511"/>
      <c r="L140" s="511"/>
      <c r="M140" s="511"/>
      <c r="N140" s="511"/>
      <c r="O140" s="511"/>
      <c r="P140" s="511"/>
      <c r="Q140" s="511"/>
      <c r="R140" s="511"/>
      <c r="S140" s="511"/>
      <c r="T140" s="511"/>
      <c r="U140" s="511"/>
      <c r="V140" s="511"/>
      <c r="W140" s="511"/>
      <c r="X140" s="511"/>
      <c r="Y140" s="511"/>
      <c r="Z140" s="511"/>
      <c r="AA140" s="511"/>
      <c r="AB140" s="511"/>
      <c r="AC140" s="512"/>
      <c r="AD140" s="506">
        <f xml:space="preserve"> AD141 - (SUM(AD120:AE139))</f>
        <v>0</v>
      </c>
      <c r="AE140" s="507"/>
    </row>
    <row r="141" spans="2:33" ht="13.5" thickBot="1" x14ac:dyDescent="0.3">
      <c r="B141" s="264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62"/>
      <c r="AB141" s="513" t="s">
        <v>821</v>
      </c>
      <c r="AC141" s="514"/>
      <c r="AD141" s="515">
        <f xml:space="preserve"> TB_PROPOSTA!A11</f>
        <v>0</v>
      </c>
      <c r="AE141" s="516"/>
    </row>
    <row r="142" spans="2:33" ht="15" thickTop="1" x14ac:dyDescent="0.25">
      <c r="B142" s="283"/>
      <c r="C142" s="284"/>
      <c r="D142" s="284"/>
      <c r="E142" s="284"/>
      <c r="F142" s="284"/>
      <c r="G142" s="284"/>
      <c r="H142" s="284"/>
      <c r="I142" s="284"/>
      <c r="J142" s="284"/>
      <c r="K142" s="284"/>
      <c r="L142" s="284"/>
      <c r="M142" s="284"/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5"/>
      <c r="AA142" s="285"/>
      <c r="AB142" s="286"/>
      <c r="AC142" s="287" t="s">
        <v>830</v>
      </c>
      <c r="AD142" s="495">
        <f>SUM(AD117 + AD141)</f>
        <v>5000000</v>
      </c>
      <c r="AE142" s="496"/>
    </row>
    <row r="143" spans="2:33" x14ac:dyDescent="0.25"/>
    <row r="144" spans="2:33" hidden="1" x14ac:dyDescent="0.25"/>
    <row r="145" spans="2:31" ht="15" hidden="1" customHeight="1" x14ac:dyDescent="0.25">
      <c r="B145" s="497" t="s">
        <v>657</v>
      </c>
      <c r="C145" s="498"/>
      <c r="D145" s="498"/>
      <c r="E145" s="498"/>
      <c r="F145" s="498"/>
      <c r="G145" s="498"/>
      <c r="H145" s="498"/>
      <c r="I145" s="498"/>
      <c r="J145" s="498"/>
      <c r="K145" s="498"/>
      <c r="L145" s="498"/>
      <c r="M145" s="498"/>
      <c r="N145" s="498"/>
      <c r="O145" s="498"/>
      <c r="P145" s="498"/>
      <c r="Q145" s="498"/>
      <c r="R145" s="498"/>
      <c r="S145" s="498"/>
      <c r="T145" s="498"/>
      <c r="U145" s="498"/>
      <c r="V145" s="498"/>
      <c r="W145" s="498"/>
      <c r="X145" s="498"/>
      <c r="Y145" s="498"/>
      <c r="Z145" s="498"/>
      <c r="AA145" s="498"/>
      <c r="AB145" s="498"/>
      <c r="AC145" s="498"/>
      <c r="AD145" s="498"/>
      <c r="AE145" s="499"/>
    </row>
    <row r="146" spans="2:31" hidden="1" x14ac:dyDescent="0.25">
      <c r="B146" s="477" t="s">
        <v>795</v>
      </c>
      <c r="C146" s="478"/>
      <c r="D146" s="500"/>
      <c r="E146" s="501" t="str">
        <f xml:space="preserve"> $E$3</f>
        <v>Automatização das Config do Faturamento</v>
      </c>
      <c r="F146" s="451"/>
      <c r="G146" s="451"/>
      <c r="H146" s="451"/>
      <c r="I146" s="451"/>
      <c r="J146" s="451"/>
      <c r="K146" s="452"/>
      <c r="L146" s="477" t="s">
        <v>227</v>
      </c>
      <c r="M146" s="478"/>
      <c r="N146" s="500"/>
      <c r="O146" s="450" t="str">
        <f>$Q$11</f>
        <v>CRIAR</v>
      </c>
      <c r="P146" s="452"/>
      <c r="Q146" s="450" t="str">
        <f>S11</f>
        <v>CRIAR</v>
      </c>
      <c r="R146" s="451"/>
      <c r="S146" s="451"/>
      <c r="T146" s="451"/>
      <c r="U146" s="452"/>
      <c r="V146" s="502" t="s">
        <v>46</v>
      </c>
      <c r="W146" s="503"/>
      <c r="X146" s="503"/>
      <c r="Y146" s="503"/>
      <c r="Z146" s="503"/>
      <c r="AA146" s="503"/>
      <c r="AB146" s="503"/>
      <c r="AC146" s="503"/>
      <c r="AD146" s="503"/>
      <c r="AE146" s="504"/>
    </row>
    <row r="147" spans="2:31" ht="15" hidden="1" customHeight="1" x14ac:dyDescent="0.25">
      <c r="B147" s="458" t="s">
        <v>1024</v>
      </c>
      <c r="C147" s="459"/>
      <c r="D147" s="460"/>
      <c r="E147" s="450" t="str">
        <f>$Q$19</f>
        <v>FABIO LUIS GLASER</v>
      </c>
      <c r="F147" s="451"/>
      <c r="G147" s="451"/>
      <c r="H147" s="451"/>
      <c r="I147" s="451"/>
      <c r="J147" s="451"/>
      <c r="K147" s="452"/>
      <c r="L147" s="458" t="s">
        <v>432</v>
      </c>
      <c r="M147" s="459"/>
      <c r="N147" s="460"/>
      <c r="O147" s="471" t="str">
        <f>Q12</f>
        <v>N/A</v>
      </c>
      <c r="P147" s="472"/>
      <c r="Q147" s="472"/>
      <c r="R147" s="472"/>
      <c r="S147" s="472"/>
      <c r="T147" s="472"/>
      <c r="U147" s="472"/>
      <c r="V147" s="477" t="s">
        <v>47</v>
      </c>
      <c r="W147" s="478"/>
      <c r="X147" s="478"/>
      <c r="Y147" s="479" t="str">
        <f>TB_DEFESA!Z2</f>
        <v>Reduz Custo</v>
      </c>
      <c r="Z147" s="480"/>
      <c r="AA147" s="480"/>
      <c r="AB147" s="480"/>
      <c r="AC147" s="480"/>
      <c r="AD147" s="480"/>
      <c r="AE147" s="481"/>
    </row>
    <row r="148" spans="2:31" ht="12.75" hidden="1" customHeight="1" x14ac:dyDescent="0.25">
      <c r="B148" s="458" t="s">
        <v>11</v>
      </c>
      <c r="C148" s="459"/>
      <c r="D148" s="460"/>
      <c r="E148" s="461" t="str">
        <f>$Q$6</f>
        <v>Evolutivas</v>
      </c>
      <c r="F148" s="462"/>
      <c r="G148" s="462"/>
      <c r="H148" s="462"/>
      <c r="I148" s="462"/>
      <c r="J148" s="462"/>
      <c r="K148" s="463"/>
      <c r="L148" s="458"/>
      <c r="M148" s="459"/>
      <c r="N148" s="460"/>
      <c r="O148" s="473"/>
      <c r="P148" s="474"/>
      <c r="Q148" s="474"/>
      <c r="R148" s="474"/>
      <c r="S148" s="474"/>
      <c r="T148" s="474"/>
      <c r="U148" s="474"/>
      <c r="V148" s="482" t="s">
        <v>48</v>
      </c>
      <c r="W148" s="483"/>
      <c r="X148" s="483"/>
      <c r="Y148" s="486" t="str">
        <f>TB_DEFESA!AA2</f>
        <v>N/A</v>
      </c>
      <c r="Z148" s="487"/>
      <c r="AA148" s="487"/>
      <c r="AB148" s="487"/>
      <c r="AC148" s="487"/>
      <c r="AD148" s="487"/>
      <c r="AE148" s="488"/>
    </row>
    <row r="149" spans="2:31" hidden="1" x14ac:dyDescent="0.25">
      <c r="B149" s="458" t="s">
        <v>954</v>
      </c>
      <c r="C149" s="459"/>
      <c r="D149" s="460"/>
      <c r="E149" s="461" t="str">
        <f>TB_DEFESA!$P2</f>
        <v>Não Alocável</v>
      </c>
      <c r="F149" s="462"/>
      <c r="G149" s="462"/>
      <c r="H149" s="462"/>
      <c r="I149" s="462"/>
      <c r="J149" s="462"/>
      <c r="K149" s="463"/>
      <c r="L149" s="458"/>
      <c r="M149" s="459"/>
      <c r="N149" s="460"/>
      <c r="O149" s="473"/>
      <c r="P149" s="474"/>
      <c r="Q149" s="474"/>
      <c r="R149" s="474"/>
      <c r="S149" s="474"/>
      <c r="T149" s="474"/>
      <c r="U149" s="474"/>
      <c r="V149" s="482"/>
      <c r="W149" s="483"/>
      <c r="X149" s="483"/>
      <c r="Y149" s="489"/>
      <c r="Z149" s="490"/>
      <c r="AA149" s="490"/>
      <c r="AB149" s="490"/>
      <c r="AC149" s="490"/>
      <c r="AD149" s="490"/>
      <c r="AE149" s="491"/>
    </row>
    <row r="150" spans="2:31" hidden="1" x14ac:dyDescent="0.25">
      <c r="B150" s="447" t="s">
        <v>797</v>
      </c>
      <c r="C150" s="448"/>
      <c r="D150" s="449"/>
      <c r="E150" s="464" t="str">
        <f xml:space="preserve"> $E$6</f>
        <v>COMITÊ</v>
      </c>
      <c r="F150" s="465"/>
      <c r="G150" s="466"/>
      <c r="H150" s="467" t="s">
        <v>798</v>
      </c>
      <c r="I150" s="468"/>
      <c r="J150" s="469">
        <f ca="1">IF(ISNUMBER(DATEVALUE(P27)), IF( DAYS360(TODAY(),DATEVALUE(P27)) &lt; 0, "JÁ IMPLANTADO", DAYS360(TODAY(),DATEVALUE(P27))/30), P27)</f>
        <v>11.4</v>
      </c>
      <c r="K150" s="470"/>
      <c r="L150" s="458"/>
      <c r="M150" s="459"/>
      <c r="N150" s="460"/>
      <c r="O150" s="475"/>
      <c r="P150" s="476"/>
      <c r="Q150" s="476"/>
      <c r="R150" s="476"/>
      <c r="S150" s="476"/>
      <c r="T150" s="476"/>
      <c r="U150" s="476"/>
      <c r="V150" s="482"/>
      <c r="W150" s="483"/>
      <c r="X150" s="483"/>
      <c r="Y150" s="489"/>
      <c r="Z150" s="490"/>
      <c r="AA150" s="490"/>
      <c r="AB150" s="490"/>
      <c r="AC150" s="490"/>
      <c r="AD150" s="490"/>
      <c r="AE150" s="491"/>
    </row>
    <row r="151" spans="2:31" hidden="1" x14ac:dyDescent="0.25">
      <c r="B151" s="264"/>
      <c r="C151" s="262"/>
      <c r="D151" s="262"/>
      <c r="E151" s="262"/>
      <c r="F151" s="262"/>
      <c r="G151" s="262"/>
      <c r="H151" s="262"/>
      <c r="I151" s="262"/>
      <c r="J151" s="262"/>
      <c r="K151" s="262"/>
      <c r="L151" s="447" t="s">
        <v>265</v>
      </c>
      <c r="M151" s="448"/>
      <c r="N151" s="449"/>
      <c r="O151" s="450" t="str">
        <f>Q15</f>
        <v>FOI de Sistemas</v>
      </c>
      <c r="P151" s="451"/>
      <c r="Q151" s="452"/>
      <c r="R151" s="262"/>
      <c r="S151" s="262"/>
      <c r="T151" s="262"/>
      <c r="U151" s="262"/>
      <c r="V151" s="484"/>
      <c r="W151" s="485"/>
      <c r="X151" s="485"/>
      <c r="Y151" s="492"/>
      <c r="Z151" s="493"/>
      <c r="AA151" s="493"/>
      <c r="AB151" s="493"/>
      <c r="AC151" s="493"/>
      <c r="AD151" s="493"/>
      <c r="AE151" s="494"/>
    </row>
    <row r="152" spans="2:31" hidden="1" x14ac:dyDescent="0.25">
      <c r="B152" s="453" t="s">
        <v>913</v>
      </c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5"/>
      <c r="P152" s="262"/>
      <c r="U152" s="262"/>
      <c r="V152" s="398" t="s">
        <v>45</v>
      </c>
      <c r="W152" s="399"/>
      <c r="X152" s="399"/>
      <c r="Y152" s="399"/>
      <c r="Z152" s="399"/>
      <c r="AA152" s="399"/>
      <c r="AB152" s="399"/>
      <c r="AC152" s="399"/>
      <c r="AD152" s="399"/>
      <c r="AE152" s="400"/>
    </row>
    <row r="153" spans="2:31" ht="12.75" hidden="1" customHeight="1" x14ac:dyDescent="0.25">
      <c r="B153" s="456" t="s">
        <v>796</v>
      </c>
      <c r="C153" s="457"/>
      <c r="D153" s="432" t="str">
        <f>IF(TABELAS!$T2 = "","", TABELAS!$U2 )</f>
        <v>TLM</v>
      </c>
      <c r="E153" s="432"/>
      <c r="F153" s="432" t="str">
        <f>IF(TABELAS!$T3 = "","", TABELAS!$U3 )</f>
        <v>SMPE</v>
      </c>
      <c r="G153" s="432"/>
      <c r="H153" s="432" t="str">
        <f>IF(TABELAS!$T4 = "","", TABELAS!$U4 )</f>
        <v>BTSA</v>
      </c>
      <c r="I153" s="432"/>
      <c r="J153" s="432" t="str">
        <f>IF(TABELAS!$T5 = "","", TABELAS!$U5 )</f>
        <v>BrTCM</v>
      </c>
      <c r="K153" s="432"/>
      <c r="L153" s="432" t="str">
        <f>IF(TABELAS!$T6 = "","", TABELAS!$U6 )</f>
        <v>PGA</v>
      </c>
      <c r="M153" s="432"/>
      <c r="N153" s="432" t="str">
        <f>IF(TABELAS!$T7 = "","", TABELAS!$U7 )</f>
        <v>Baseline</v>
      </c>
      <c r="O153" s="433"/>
      <c r="P153" s="262"/>
      <c r="Q153" s="434" t="s">
        <v>911</v>
      </c>
      <c r="R153" s="435"/>
      <c r="S153" s="436">
        <f>AD142</f>
        <v>5000000</v>
      </c>
      <c r="T153" s="437"/>
      <c r="U153" s="262"/>
      <c r="V153" s="438" t="str">
        <f>TB_DEFESA!$L$2</f>
        <v xml:space="preserve">Manutenção das perdas de receita na ordem de R$ 12 MM/ano e dos gastos com configurações na ordem de R$ 7,2 MM/ano.
</v>
      </c>
      <c r="W153" s="439"/>
      <c r="X153" s="439"/>
      <c r="Y153" s="439"/>
      <c r="Z153" s="439"/>
      <c r="AA153" s="439"/>
      <c r="AB153" s="439"/>
      <c r="AC153" s="439"/>
      <c r="AD153" s="439"/>
      <c r="AE153" s="440"/>
    </row>
    <row r="154" spans="2:31" hidden="1" x14ac:dyDescent="0.25">
      <c r="B154" s="416"/>
      <c r="C154" s="417"/>
      <c r="D154" s="424" t="str">
        <f>IF(OR(TABELAS!$T2 = "", TABELAS!$W2 =  "N/A"),"", $O$146 &amp;"-" &amp;TABELAS!$W2 )</f>
        <v>CRIAR-001</v>
      </c>
      <c r="E154" s="424"/>
      <c r="F154" s="424" t="str">
        <f>IF(OR(TABELAS!$T3 = "", TABELAS!$W3 =  "N/A"),"", $O$146 &amp;"-" &amp;TABELAS!$W3 )</f>
        <v>CRIAR-010</v>
      </c>
      <c r="G154" s="424"/>
      <c r="H154" s="424" t="str">
        <f>IF(OR(TABELAS!$T4 = "", TABELAS!$W4 =  "N/A"),"", $O$146 &amp;"-" &amp;TABELAS!$W4 )</f>
        <v>CRIAR-009</v>
      </c>
      <c r="I154" s="424"/>
      <c r="J154" s="424" t="str">
        <f>IF(OR(TABELAS!$T5 = "", TABELAS!$W5 =  "N/A"),"", $O$146 &amp;"-" &amp;TABELAS!$W5 )</f>
        <v>CRIAR-011</v>
      </c>
      <c r="K154" s="424"/>
      <c r="L154" s="424" t="str">
        <f>IF(OR(TABELAS!$T6 = "", TABELAS!$W6 =  "N/A"),"", $O$146 &amp;"-" &amp;TABELAS!$W6 )</f>
        <v>CRIAR-006</v>
      </c>
      <c r="M154" s="424"/>
      <c r="N154" s="424" t="str">
        <f>IF(OR(TABELAS!$T7 = "", TABELAS!$W7 =  "N/A"), "", $O$146 &amp;"-" &amp;TABELAS!$W7 )</f>
        <v/>
      </c>
      <c r="O154" s="425"/>
      <c r="P154" s="262"/>
      <c r="Q154" s="426" t="s">
        <v>227</v>
      </c>
      <c r="R154" s="427"/>
      <c r="S154" s="428">
        <f>S153-S155</f>
        <v>5000000</v>
      </c>
      <c r="T154" s="429"/>
      <c r="U154" s="262"/>
      <c r="V154" s="441"/>
      <c r="W154" s="442"/>
      <c r="X154" s="442"/>
      <c r="Y154" s="442"/>
      <c r="Z154" s="442"/>
      <c r="AA154" s="442"/>
      <c r="AB154" s="442"/>
      <c r="AC154" s="442"/>
      <c r="AD154" s="442"/>
      <c r="AE154" s="443"/>
    </row>
    <row r="155" spans="2:31" hidden="1" x14ac:dyDescent="0.25">
      <c r="B155" s="420" t="s">
        <v>231</v>
      </c>
      <c r="C155" s="421"/>
      <c r="D155" s="430">
        <f>IF(TABELAS!$T2="", "", IF($S$153=0, 0, $D$156/$S$153))</f>
        <v>0</v>
      </c>
      <c r="E155" s="430"/>
      <c r="F155" s="430">
        <f>IF(TABELAS!$T3="", "", IF($S$153=0, 0, $F$156/$S$153))</f>
        <v>1</v>
      </c>
      <c r="G155" s="430"/>
      <c r="H155" s="430">
        <f>IF(TABELAS!$T4="", "", IF($S$153=0, 0, $H$156/$S$153))</f>
        <v>0</v>
      </c>
      <c r="I155" s="430"/>
      <c r="J155" s="430">
        <f>IF(TABELAS!$T5="", "", IF($S$153=0, 0, $J$156/$S$153))</f>
        <v>0</v>
      </c>
      <c r="K155" s="430"/>
      <c r="L155" s="430">
        <f>IF(TABELAS!$T6="", "", IF($S$153=0, 0, $L$156/$S$153))</f>
        <v>0</v>
      </c>
      <c r="M155" s="430"/>
      <c r="N155" s="430">
        <f>IF(TABELAS!$T7="", "", IF($S$153=0, 0, $N$156/$S$153))</f>
        <v>0</v>
      </c>
      <c r="O155" s="431"/>
      <c r="P155" s="262"/>
      <c r="Q155" s="416" t="s">
        <v>799</v>
      </c>
      <c r="R155" s="417"/>
      <c r="S155" s="418">
        <f>TB_PROPOSTA!A15</f>
        <v>0</v>
      </c>
      <c r="T155" s="419"/>
      <c r="U155" s="262"/>
      <c r="V155" s="441"/>
      <c r="W155" s="442"/>
      <c r="X155" s="442"/>
      <c r="Y155" s="442"/>
      <c r="Z155" s="442"/>
      <c r="AA155" s="442"/>
      <c r="AB155" s="442"/>
      <c r="AC155" s="442"/>
      <c r="AD155" s="442"/>
      <c r="AE155" s="443"/>
    </row>
    <row r="156" spans="2:31" hidden="1" x14ac:dyDescent="0.25">
      <c r="B156" s="420" t="s">
        <v>232</v>
      </c>
      <c r="C156" s="421"/>
      <c r="D156" s="422">
        <f>SUM(D158:E180)</f>
        <v>0</v>
      </c>
      <c r="E156" s="422"/>
      <c r="F156" s="422">
        <f>SUM(F158:G180)</f>
        <v>5000000</v>
      </c>
      <c r="G156" s="422"/>
      <c r="H156" s="422">
        <f>SUM(H158:I180)</f>
        <v>0</v>
      </c>
      <c r="I156" s="422"/>
      <c r="J156" s="422">
        <f>SUM(J158:K180)</f>
        <v>0</v>
      </c>
      <c r="K156" s="422"/>
      <c r="L156" s="422">
        <f>SUM(L158:M180)</f>
        <v>0</v>
      </c>
      <c r="M156" s="422"/>
      <c r="N156" s="422">
        <f>SUM(N158:O180)</f>
        <v>0</v>
      </c>
      <c r="O156" s="423"/>
      <c r="P156" s="262"/>
      <c r="Q156" s="262"/>
      <c r="R156" s="262"/>
      <c r="S156" s="262"/>
      <c r="T156" s="262"/>
      <c r="U156" s="262"/>
      <c r="V156" s="441"/>
      <c r="W156" s="442"/>
      <c r="X156" s="442"/>
      <c r="Y156" s="442"/>
      <c r="Z156" s="442"/>
      <c r="AA156" s="442"/>
      <c r="AB156" s="442"/>
      <c r="AC156" s="442"/>
      <c r="AD156" s="442"/>
      <c r="AE156" s="443"/>
    </row>
    <row r="157" spans="2:31" hidden="1" x14ac:dyDescent="0.25">
      <c r="B157" s="416"/>
      <c r="C157" s="417"/>
      <c r="D157" s="410" t="str">
        <f>IF(TABELAS!$T2 = "","", TABELAS!$T2)</f>
        <v>Oi Fixa R1</v>
      </c>
      <c r="E157" s="410" t="e">
        <f>IF(TABELAS!#REF! = "","", TABELAS!#REF!)</f>
        <v>#REF!</v>
      </c>
      <c r="F157" s="410" t="str">
        <f>IF(TABELAS!$T3= "","", TABELAS!$T3)</f>
        <v>Oi Móvel S.A.</v>
      </c>
      <c r="G157" s="410" t="e">
        <f>IF(TABELAS!#REF! = "","", TABELAS!#REF!)</f>
        <v>#REF!</v>
      </c>
      <c r="H157" s="410" t="str">
        <f>IF(TABELAS!$T4 = "","", TABELAS!$T4)</f>
        <v>BTSA Fixa R2</v>
      </c>
      <c r="I157" s="410" t="e">
        <f>IF(TABELAS!#REF! = "","", TABELAS!#REF!)</f>
        <v>#REF!</v>
      </c>
      <c r="J157" s="410" t="str">
        <f>IF(TABELAS!$T5 = "","", TABELAS!$T5)</f>
        <v>BrTCM - Metrorede</v>
      </c>
      <c r="K157" s="410"/>
      <c r="L157" s="410" t="str">
        <f>IF(TABELAS!$T6 = "","", TABELAS!$T6)</f>
        <v>PAGGO</v>
      </c>
      <c r="M157" s="410"/>
      <c r="N157" s="410" t="str">
        <f>IF(TABELAS!$T7 = "","", TABELAS!$T7)</f>
        <v>N/A</v>
      </c>
      <c r="O157" s="411"/>
      <c r="P157" s="262"/>
      <c r="Q157" s="288"/>
      <c r="R157" s="288"/>
      <c r="S157" s="288"/>
      <c r="T157" s="288"/>
      <c r="U157" s="262"/>
      <c r="V157" s="444"/>
      <c r="W157" s="445"/>
      <c r="X157" s="445"/>
      <c r="Y157" s="445"/>
      <c r="Z157" s="445"/>
      <c r="AA157" s="445"/>
      <c r="AB157" s="445"/>
      <c r="AC157" s="445"/>
      <c r="AD157" s="445"/>
      <c r="AE157" s="446"/>
    </row>
    <row r="158" spans="2:31" ht="15" hidden="1" customHeight="1" x14ac:dyDescent="0.25">
      <c r="B158" s="412" t="str">
        <f>B59</f>
        <v>PRJ00027490</v>
      </c>
      <c r="C158" s="413"/>
      <c r="D158" s="414">
        <f>SUMIFS( TB_PROPOSTA!$T:$T, TB_PROPOSTA!$F:$F, $B158, TB_PROPOSTA!$Q:$Q, D$157)</f>
        <v>0</v>
      </c>
      <c r="E158" s="414"/>
      <c r="F158" s="414">
        <f>SUMIFS( TB_PROPOSTA!$T:$T, TB_PROPOSTA!$F:$F, $B158, TB_PROPOSTA!$Q:$Q, F$157)</f>
        <v>5000000</v>
      </c>
      <c r="G158" s="414"/>
      <c r="H158" s="414">
        <f>SUMIFS( TB_PROPOSTA!$T:$T, TB_PROPOSTA!$F:$F, $B158, TB_PROPOSTA!$Q:$Q, H$157)</f>
        <v>0</v>
      </c>
      <c r="I158" s="414"/>
      <c r="J158" s="414">
        <f>SUMIFS( TB_PROPOSTA!$T:$T, TB_PROPOSTA!$F:$F, $B158, TB_PROPOSTA!$Q:$Q, J$157)</f>
        <v>0</v>
      </c>
      <c r="K158" s="414"/>
      <c r="L158" s="414">
        <f>SUMIFS( TB_PROPOSTA!$T:$T, TB_PROPOSTA!$F:$F, $B158, TB_PROPOSTA!$Q:$Q, L$157)</f>
        <v>0</v>
      </c>
      <c r="M158" s="414"/>
      <c r="N158" s="414">
        <f>SUMIFS( TB_PROPOSTA!$T:$T, TB_PROPOSTA!$F:$F, $B158, TB_PROPOSTA!$Q:$Q, N$157)</f>
        <v>0</v>
      </c>
      <c r="O158" s="415"/>
      <c r="P158" s="262"/>
      <c r="Q158" s="289"/>
      <c r="R158" s="289"/>
      <c r="S158" s="290"/>
      <c r="T158" s="290"/>
      <c r="U158" s="262"/>
      <c r="V158" s="398" t="s">
        <v>228</v>
      </c>
      <c r="W158" s="399"/>
      <c r="X158" s="399"/>
      <c r="Y158" s="399"/>
      <c r="Z158" s="399"/>
      <c r="AA158" s="399"/>
      <c r="AB158" s="399"/>
      <c r="AC158" s="399"/>
      <c r="AD158" s="399"/>
      <c r="AE158" s="400"/>
    </row>
    <row r="159" spans="2:31" ht="12.75" hidden="1" customHeight="1" x14ac:dyDescent="0.25">
      <c r="B159" s="396" t="str">
        <f t="shared" ref="B159:B180" si="3">B60</f>
        <v/>
      </c>
      <c r="C159" s="397"/>
      <c r="D159" s="390">
        <f>SUMIFS( TB_PROPOSTA!$T:$T, TB_PROPOSTA!$F:$F, $B159, TB_PROPOSTA!$Q:$Q, D$157)</f>
        <v>0</v>
      </c>
      <c r="E159" s="390"/>
      <c r="F159" s="390">
        <f>SUMIFS( TB_PROPOSTA!$T:$T, TB_PROPOSTA!$F:$F, $B159, TB_PROPOSTA!$Q:$Q, F$157)</f>
        <v>0</v>
      </c>
      <c r="G159" s="390"/>
      <c r="H159" s="390">
        <f>SUMIFS( TB_PROPOSTA!$T:$T, TB_PROPOSTA!$F:$F, $B159, TB_PROPOSTA!$Q:$Q, H$157)</f>
        <v>0</v>
      </c>
      <c r="I159" s="390"/>
      <c r="J159" s="390">
        <f>SUMIFS( TB_PROPOSTA!$T:$T, TB_PROPOSTA!$F:$F, $B159, TB_PROPOSTA!$Q:$Q, J$157)</f>
        <v>0</v>
      </c>
      <c r="K159" s="390"/>
      <c r="L159" s="390">
        <f>SUMIFS( TB_PROPOSTA!$T:$T, TB_PROPOSTA!$F:$F, $B159, TB_PROPOSTA!$Q:$Q, L$157)</f>
        <v>0</v>
      </c>
      <c r="M159" s="390"/>
      <c r="N159" s="390">
        <f>SUMIFS( TB_PROPOSTA!$T:$T, TB_PROPOSTA!$F:$F, $B159, TB_PROPOSTA!$Q:$Q, N$157)</f>
        <v>0</v>
      </c>
      <c r="O159" s="391"/>
      <c r="P159" s="262"/>
      <c r="Q159" s="289"/>
      <c r="R159" s="289"/>
      <c r="S159" s="290"/>
      <c r="T159" s="290"/>
      <c r="U159" s="262"/>
      <c r="V159" s="401" t="str">
        <f>TB_DEFESA!$AI$2</f>
        <v xml:space="preserve">ME-17494747 | Macroestimativa | &lt;Não se Aplica&gt; | &lt; A CONTRATAR &gt; | 0,000h * R$0,00 = R$5.000.000,00
</v>
      </c>
      <c r="W159" s="402"/>
      <c r="X159" s="402"/>
      <c r="Y159" s="402"/>
      <c r="Z159" s="402"/>
      <c r="AA159" s="402"/>
      <c r="AB159" s="402"/>
      <c r="AC159" s="402"/>
      <c r="AD159" s="402"/>
      <c r="AE159" s="403"/>
    </row>
    <row r="160" spans="2:31" hidden="1" x14ac:dyDescent="0.25">
      <c r="B160" s="396" t="str">
        <f t="shared" si="3"/>
        <v/>
      </c>
      <c r="C160" s="397"/>
      <c r="D160" s="390">
        <f>SUMIFS( TB_PROPOSTA!$T:$T, TB_PROPOSTA!$F:$F, $B160, TB_PROPOSTA!$Q:$Q, D$157)</f>
        <v>0</v>
      </c>
      <c r="E160" s="390"/>
      <c r="F160" s="390">
        <f>SUMIFS( TB_PROPOSTA!$T:$T, TB_PROPOSTA!$F:$F, $B160, TB_PROPOSTA!$Q:$Q, F$157)</f>
        <v>0</v>
      </c>
      <c r="G160" s="390"/>
      <c r="H160" s="390">
        <f>SUMIFS( TB_PROPOSTA!$T:$T, TB_PROPOSTA!$F:$F, $B160, TB_PROPOSTA!$Q:$Q, H$157)</f>
        <v>0</v>
      </c>
      <c r="I160" s="390"/>
      <c r="J160" s="390">
        <f>SUMIFS( TB_PROPOSTA!$T:$T, TB_PROPOSTA!$F:$F, $B160, TB_PROPOSTA!$Q:$Q, J$157)</f>
        <v>0</v>
      </c>
      <c r="K160" s="390"/>
      <c r="L160" s="390">
        <f>SUMIFS( TB_PROPOSTA!$T:$T, TB_PROPOSTA!$F:$F, $B160, TB_PROPOSTA!$Q:$Q, L$157)</f>
        <v>0</v>
      </c>
      <c r="M160" s="390"/>
      <c r="N160" s="390">
        <f>SUMIFS( TB_PROPOSTA!$T:$T, TB_PROPOSTA!$F:$F, $B160, TB_PROPOSTA!$Q:$Q, N$157)</f>
        <v>0</v>
      </c>
      <c r="O160" s="391"/>
      <c r="P160" s="262"/>
      <c r="Q160" s="289"/>
      <c r="R160" s="289"/>
      <c r="S160" s="290"/>
      <c r="T160" s="290"/>
      <c r="U160" s="262"/>
      <c r="V160" s="404"/>
      <c r="W160" s="405"/>
      <c r="X160" s="405"/>
      <c r="Y160" s="405"/>
      <c r="Z160" s="405"/>
      <c r="AA160" s="405"/>
      <c r="AB160" s="405"/>
      <c r="AC160" s="405"/>
      <c r="AD160" s="405"/>
      <c r="AE160" s="406"/>
    </row>
    <row r="161" spans="2:31" hidden="1" x14ac:dyDescent="0.25">
      <c r="B161" s="396" t="str">
        <f t="shared" si="3"/>
        <v/>
      </c>
      <c r="C161" s="397"/>
      <c r="D161" s="390">
        <f>SUMIFS( TB_PROPOSTA!$T:$T, TB_PROPOSTA!$F:$F, $B161, TB_PROPOSTA!$Q:$Q, D$157)</f>
        <v>0</v>
      </c>
      <c r="E161" s="390"/>
      <c r="F161" s="390">
        <f>SUMIFS( TB_PROPOSTA!$T:$T, TB_PROPOSTA!$F:$F, $B161, TB_PROPOSTA!$Q:$Q, F$157)</f>
        <v>0</v>
      </c>
      <c r="G161" s="390"/>
      <c r="H161" s="390">
        <f>SUMIFS( TB_PROPOSTA!$T:$T, TB_PROPOSTA!$F:$F, $B161, TB_PROPOSTA!$Q:$Q, H$157)</f>
        <v>0</v>
      </c>
      <c r="I161" s="390"/>
      <c r="J161" s="390">
        <f>SUMIFS( TB_PROPOSTA!$T:$T, TB_PROPOSTA!$F:$F, $B161, TB_PROPOSTA!$Q:$Q, J$157)</f>
        <v>0</v>
      </c>
      <c r="K161" s="390"/>
      <c r="L161" s="390">
        <f>SUMIFS( TB_PROPOSTA!$T:$T, TB_PROPOSTA!$F:$F, $B161, TB_PROPOSTA!$Q:$Q, L$157)</f>
        <v>0</v>
      </c>
      <c r="M161" s="390"/>
      <c r="N161" s="390">
        <f>SUMIFS( TB_PROPOSTA!$T:$T, TB_PROPOSTA!$F:$F, $B161, TB_PROPOSTA!$Q:$Q, N$157)</f>
        <v>0</v>
      </c>
      <c r="O161" s="391"/>
      <c r="P161" s="262"/>
      <c r="Q161" s="289"/>
      <c r="R161" s="289"/>
      <c r="S161" s="290"/>
      <c r="T161" s="290"/>
      <c r="U161" s="291"/>
      <c r="V161" s="404"/>
      <c r="W161" s="405"/>
      <c r="X161" s="405"/>
      <c r="Y161" s="405"/>
      <c r="Z161" s="405"/>
      <c r="AA161" s="405"/>
      <c r="AB161" s="405"/>
      <c r="AC161" s="405"/>
      <c r="AD161" s="405"/>
      <c r="AE161" s="406"/>
    </row>
    <row r="162" spans="2:31" hidden="1" x14ac:dyDescent="0.25">
      <c r="B162" s="396" t="str">
        <f t="shared" si="3"/>
        <v/>
      </c>
      <c r="C162" s="397"/>
      <c r="D162" s="390">
        <f>SUMIFS( TB_PROPOSTA!$T:$T, TB_PROPOSTA!$F:$F, $B162, TB_PROPOSTA!$Q:$Q, D$157)</f>
        <v>0</v>
      </c>
      <c r="E162" s="390"/>
      <c r="F162" s="390">
        <f>SUMIFS( TB_PROPOSTA!$T:$T, TB_PROPOSTA!$F:$F, $B162, TB_PROPOSTA!$Q:$Q, F$157)</f>
        <v>0</v>
      </c>
      <c r="G162" s="390"/>
      <c r="H162" s="390">
        <f>SUMIFS( TB_PROPOSTA!$T:$T, TB_PROPOSTA!$F:$F, $B162, TB_PROPOSTA!$Q:$Q, H$157)</f>
        <v>0</v>
      </c>
      <c r="I162" s="390"/>
      <c r="J162" s="390">
        <f>SUMIFS( TB_PROPOSTA!$T:$T, TB_PROPOSTA!$F:$F, $B162, TB_PROPOSTA!$Q:$Q, J$157)</f>
        <v>0</v>
      </c>
      <c r="K162" s="390"/>
      <c r="L162" s="390">
        <f>SUMIFS( TB_PROPOSTA!$T:$T, TB_PROPOSTA!$F:$F, $B162, TB_PROPOSTA!$Q:$Q, L$157)</f>
        <v>0</v>
      </c>
      <c r="M162" s="390"/>
      <c r="N162" s="390">
        <f>SUMIFS( TB_PROPOSTA!$T:$T, TB_PROPOSTA!$F:$F, $B162, TB_PROPOSTA!$Q:$Q, N$157)</f>
        <v>0</v>
      </c>
      <c r="O162" s="391"/>
      <c r="P162" s="262"/>
      <c r="Q162" s="289"/>
      <c r="R162" s="289"/>
      <c r="S162" s="290"/>
      <c r="T162" s="290"/>
      <c r="U162" s="291"/>
      <c r="V162" s="404"/>
      <c r="W162" s="405"/>
      <c r="X162" s="405"/>
      <c r="Y162" s="405"/>
      <c r="Z162" s="405"/>
      <c r="AA162" s="405"/>
      <c r="AB162" s="405"/>
      <c r="AC162" s="405"/>
      <c r="AD162" s="405"/>
      <c r="AE162" s="406"/>
    </row>
    <row r="163" spans="2:31" hidden="1" x14ac:dyDescent="0.25">
      <c r="B163" s="396" t="str">
        <f t="shared" si="3"/>
        <v/>
      </c>
      <c r="C163" s="397"/>
      <c r="D163" s="390">
        <f>SUMIFS( TB_PROPOSTA!$T:$T, TB_PROPOSTA!$F:$F, $B163, TB_PROPOSTA!$Q:$Q, D$157)</f>
        <v>0</v>
      </c>
      <c r="E163" s="390"/>
      <c r="F163" s="390">
        <f>SUMIFS( TB_PROPOSTA!$T:$T, TB_PROPOSTA!$F:$F, $B163, TB_PROPOSTA!$Q:$Q, F$157)</f>
        <v>0</v>
      </c>
      <c r="G163" s="390"/>
      <c r="H163" s="390">
        <f>SUMIFS( TB_PROPOSTA!$T:$T, TB_PROPOSTA!$F:$F, $B163, TB_PROPOSTA!$Q:$Q, H$157)</f>
        <v>0</v>
      </c>
      <c r="I163" s="390"/>
      <c r="J163" s="390">
        <f>SUMIFS( TB_PROPOSTA!$T:$T, TB_PROPOSTA!$F:$F, $B163, TB_PROPOSTA!$Q:$Q, J$157)</f>
        <v>0</v>
      </c>
      <c r="K163" s="390"/>
      <c r="L163" s="390">
        <f>SUMIFS( TB_PROPOSTA!$T:$T, TB_PROPOSTA!$F:$F, $B163, TB_PROPOSTA!$Q:$Q, L$157)</f>
        <v>0</v>
      </c>
      <c r="M163" s="390"/>
      <c r="N163" s="390">
        <f>SUMIFS( TB_PROPOSTA!$T:$T, TB_PROPOSTA!$F:$F, $B163, TB_PROPOSTA!$Q:$Q, N$157)</f>
        <v>0</v>
      </c>
      <c r="O163" s="391"/>
      <c r="P163" s="262"/>
      <c r="Q163" s="289"/>
      <c r="R163" s="289"/>
      <c r="S163" s="290"/>
      <c r="T163" s="290"/>
      <c r="U163" s="291"/>
      <c r="V163" s="404"/>
      <c r="W163" s="405"/>
      <c r="X163" s="405"/>
      <c r="Y163" s="405"/>
      <c r="Z163" s="405"/>
      <c r="AA163" s="405"/>
      <c r="AB163" s="405"/>
      <c r="AC163" s="405"/>
      <c r="AD163" s="405"/>
      <c r="AE163" s="406"/>
    </row>
    <row r="164" spans="2:31" hidden="1" x14ac:dyDescent="0.25">
      <c r="B164" s="396" t="str">
        <f t="shared" si="3"/>
        <v/>
      </c>
      <c r="C164" s="397"/>
      <c r="D164" s="390">
        <f>SUMIFS( TB_PROPOSTA!$T:$T, TB_PROPOSTA!$F:$F, $B164, TB_PROPOSTA!$Q:$Q, D$157)</f>
        <v>0</v>
      </c>
      <c r="E164" s="390"/>
      <c r="F164" s="390">
        <f>SUMIFS( TB_PROPOSTA!$T:$T, TB_PROPOSTA!$F:$F, $B164, TB_PROPOSTA!$Q:$Q, F$157)</f>
        <v>0</v>
      </c>
      <c r="G164" s="390"/>
      <c r="H164" s="390">
        <f>SUMIFS( TB_PROPOSTA!$T:$T, TB_PROPOSTA!$F:$F, $B164, TB_PROPOSTA!$Q:$Q, H$157)</f>
        <v>0</v>
      </c>
      <c r="I164" s="390"/>
      <c r="J164" s="390">
        <f>SUMIFS( TB_PROPOSTA!$T:$T, TB_PROPOSTA!$F:$F, $B164, TB_PROPOSTA!$Q:$Q, J$157)</f>
        <v>0</v>
      </c>
      <c r="K164" s="390"/>
      <c r="L164" s="390">
        <f>SUMIFS( TB_PROPOSTA!$T:$T, TB_PROPOSTA!$F:$F, $B164, TB_PROPOSTA!$Q:$Q, L$157)</f>
        <v>0</v>
      </c>
      <c r="M164" s="390"/>
      <c r="N164" s="390">
        <f>SUMIFS( TB_PROPOSTA!$T:$T, TB_PROPOSTA!$F:$F, $B164, TB_PROPOSTA!$Q:$Q, N$157)</f>
        <v>0</v>
      </c>
      <c r="O164" s="391"/>
      <c r="P164" s="262"/>
      <c r="Q164" s="289"/>
      <c r="R164" s="289"/>
      <c r="S164" s="290"/>
      <c r="T164" s="290"/>
      <c r="U164" s="291"/>
      <c r="V164" s="404"/>
      <c r="W164" s="405"/>
      <c r="X164" s="405"/>
      <c r="Y164" s="405"/>
      <c r="Z164" s="405"/>
      <c r="AA164" s="405"/>
      <c r="AB164" s="405"/>
      <c r="AC164" s="405"/>
      <c r="AD164" s="405"/>
      <c r="AE164" s="406"/>
    </row>
    <row r="165" spans="2:31" hidden="1" x14ac:dyDescent="0.25">
      <c r="B165" s="396" t="str">
        <f t="shared" si="3"/>
        <v/>
      </c>
      <c r="C165" s="397"/>
      <c r="D165" s="390">
        <f>SUMIFS( TB_PROPOSTA!$T:$T, TB_PROPOSTA!$F:$F, $B165, TB_PROPOSTA!$Q:$Q, D$157)</f>
        <v>0</v>
      </c>
      <c r="E165" s="390"/>
      <c r="F165" s="390">
        <f>SUMIFS( TB_PROPOSTA!$T:$T, TB_PROPOSTA!$F:$F, $B165, TB_PROPOSTA!$Q:$Q, F$157)</f>
        <v>0</v>
      </c>
      <c r="G165" s="390"/>
      <c r="H165" s="390">
        <f>SUMIFS( TB_PROPOSTA!$T:$T, TB_PROPOSTA!$F:$F, $B165, TB_PROPOSTA!$Q:$Q, H$157)</f>
        <v>0</v>
      </c>
      <c r="I165" s="390"/>
      <c r="J165" s="390">
        <f>SUMIFS( TB_PROPOSTA!$T:$T, TB_PROPOSTA!$F:$F, $B165, TB_PROPOSTA!$Q:$Q, J$157)</f>
        <v>0</v>
      </c>
      <c r="K165" s="390"/>
      <c r="L165" s="390">
        <f>SUMIFS( TB_PROPOSTA!$T:$T, TB_PROPOSTA!$F:$F, $B165, TB_PROPOSTA!$Q:$Q, L$157)</f>
        <v>0</v>
      </c>
      <c r="M165" s="390"/>
      <c r="N165" s="390">
        <f>SUMIFS( TB_PROPOSTA!$T:$T, TB_PROPOSTA!$F:$F, $B165, TB_PROPOSTA!$Q:$Q, N$157)</f>
        <v>0</v>
      </c>
      <c r="O165" s="391"/>
      <c r="P165" s="262"/>
      <c r="Q165" s="289"/>
      <c r="R165" s="289"/>
      <c r="S165" s="290"/>
      <c r="T165" s="290"/>
      <c r="U165" s="291"/>
      <c r="V165" s="404"/>
      <c r="W165" s="405"/>
      <c r="X165" s="405"/>
      <c r="Y165" s="405"/>
      <c r="Z165" s="405"/>
      <c r="AA165" s="405"/>
      <c r="AB165" s="405"/>
      <c r="AC165" s="405"/>
      <c r="AD165" s="405"/>
      <c r="AE165" s="406"/>
    </row>
    <row r="166" spans="2:31" hidden="1" x14ac:dyDescent="0.25">
      <c r="B166" s="396" t="str">
        <f t="shared" si="3"/>
        <v/>
      </c>
      <c r="C166" s="397"/>
      <c r="D166" s="390">
        <f>SUMIFS( TB_PROPOSTA!$T:$T, TB_PROPOSTA!$F:$F, $B166, TB_PROPOSTA!$Q:$Q, D$157)</f>
        <v>0</v>
      </c>
      <c r="E166" s="390"/>
      <c r="F166" s="390">
        <f>SUMIFS( TB_PROPOSTA!$T:$T, TB_PROPOSTA!$F:$F, $B166, TB_PROPOSTA!$Q:$Q, F$157)</f>
        <v>0</v>
      </c>
      <c r="G166" s="390"/>
      <c r="H166" s="390">
        <f>SUMIFS( TB_PROPOSTA!$T:$T, TB_PROPOSTA!$F:$F, $B166, TB_PROPOSTA!$Q:$Q, H$157)</f>
        <v>0</v>
      </c>
      <c r="I166" s="390"/>
      <c r="J166" s="390">
        <f>SUMIFS( TB_PROPOSTA!$T:$T, TB_PROPOSTA!$F:$F, $B166, TB_PROPOSTA!$Q:$Q, J$157)</f>
        <v>0</v>
      </c>
      <c r="K166" s="390"/>
      <c r="L166" s="390">
        <f>SUMIFS( TB_PROPOSTA!$T:$T, TB_PROPOSTA!$F:$F, $B166, TB_PROPOSTA!$Q:$Q, L$157)</f>
        <v>0</v>
      </c>
      <c r="M166" s="390"/>
      <c r="N166" s="390">
        <f>SUMIFS( TB_PROPOSTA!$T:$T, TB_PROPOSTA!$F:$F, $B166, TB_PROPOSTA!$Q:$Q, N$157)</f>
        <v>0</v>
      </c>
      <c r="O166" s="391"/>
      <c r="P166" s="262"/>
      <c r="Q166" s="289"/>
      <c r="R166" s="289"/>
      <c r="S166" s="290"/>
      <c r="T166" s="290"/>
      <c r="U166" s="291"/>
      <c r="V166" s="404"/>
      <c r="W166" s="405"/>
      <c r="X166" s="405"/>
      <c r="Y166" s="405"/>
      <c r="Z166" s="405"/>
      <c r="AA166" s="405"/>
      <c r="AB166" s="405"/>
      <c r="AC166" s="405"/>
      <c r="AD166" s="405"/>
      <c r="AE166" s="406"/>
    </row>
    <row r="167" spans="2:31" hidden="1" x14ac:dyDescent="0.25">
      <c r="B167" s="396" t="str">
        <f t="shared" si="3"/>
        <v/>
      </c>
      <c r="C167" s="397"/>
      <c r="D167" s="390">
        <f>SUMIFS( TB_PROPOSTA!$T:$T, TB_PROPOSTA!$F:$F, $B167, TB_PROPOSTA!$Q:$Q, D$157)</f>
        <v>0</v>
      </c>
      <c r="E167" s="390"/>
      <c r="F167" s="390">
        <f>SUMIFS( TB_PROPOSTA!$T:$T, TB_PROPOSTA!$F:$F, $B167, TB_PROPOSTA!$Q:$Q, F$157)</f>
        <v>0</v>
      </c>
      <c r="G167" s="390"/>
      <c r="H167" s="390">
        <f>SUMIFS( TB_PROPOSTA!$T:$T, TB_PROPOSTA!$F:$F, $B167, TB_PROPOSTA!$Q:$Q, H$157)</f>
        <v>0</v>
      </c>
      <c r="I167" s="390"/>
      <c r="J167" s="390">
        <f>SUMIFS( TB_PROPOSTA!$T:$T, TB_PROPOSTA!$F:$F, $B167, TB_PROPOSTA!$Q:$Q, J$157)</f>
        <v>0</v>
      </c>
      <c r="K167" s="390"/>
      <c r="L167" s="390">
        <f>SUMIFS( TB_PROPOSTA!$T:$T, TB_PROPOSTA!$F:$F, $B167, TB_PROPOSTA!$Q:$Q, L$157)</f>
        <v>0</v>
      </c>
      <c r="M167" s="390"/>
      <c r="N167" s="390">
        <f>SUMIFS( TB_PROPOSTA!$T:$T, TB_PROPOSTA!$F:$F, $B167, TB_PROPOSTA!$Q:$Q, N$157)</f>
        <v>0</v>
      </c>
      <c r="O167" s="391"/>
      <c r="P167" s="262"/>
      <c r="Q167" s="289"/>
      <c r="R167" s="289"/>
      <c r="S167" s="290"/>
      <c r="T167" s="290"/>
      <c r="U167" s="291"/>
      <c r="V167" s="404"/>
      <c r="W167" s="405"/>
      <c r="X167" s="405"/>
      <c r="Y167" s="405"/>
      <c r="Z167" s="405"/>
      <c r="AA167" s="405"/>
      <c r="AB167" s="405"/>
      <c r="AC167" s="405"/>
      <c r="AD167" s="405"/>
      <c r="AE167" s="406"/>
    </row>
    <row r="168" spans="2:31" hidden="1" x14ac:dyDescent="0.25">
      <c r="B168" s="396" t="str">
        <f t="shared" si="3"/>
        <v/>
      </c>
      <c r="C168" s="397"/>
      <c r="D168" s="390">
        <f>SUMIFS( TB_PROPOSTA!$T:$T, TB_PROPOSTA!$F:$F, $B168, TB_PROPOSTA!$Q:$Q, D$157)</f>
        <v>0</v>
      </c>
      <c r="E168" s="390"/>
      <c r="F168" s="390">
        <f>SUMIFS( TB_PROPOSTA!$T:$T, TB_PROPOSTA!$F:$F, $B168, TB_PROPOSTA!$Q:$Q, F$157)</f>
        <v>0</v>
      </c>
      <c r="G168" s="390"/>
      <c r="H168" s="390">
        <f>SUMIFS( TB_PROPOSTA!$T:$T, TB_PROPOSTA!$F:$F, $B168, TB_PROPOSTA!$Q:$Q, H$157)</f>
        <v>0</v>
      </c>
      <c r="I168" s="390"/>
      <c r="J168" s="390">
        <f>SUMIFS( TB_PROPOSTA!$T:$T, TB_PROPOSTA!$F:$F, $B168, TB_PROPOSTA!$Q:$Q, J$157)</f>
        <v>0</v>
      </c>
      <c r="K168" s="390"/>
      <c r="L168" s="390">
        <f>SUMIFS( TB_PROPOSTA!$T:$T, TB_PROPOSTA!$F:$F, $B168, TB_PROPOSTA!$Q:$Q, L$157)</f>
        <v>0</v>
      </c>
      <c r="M168" s="390"/>
      <c r="N168" s="390">
        <f>SUMIFS( TB_PROPOSTA!$T:$T, TB_PROPOSTA!$F:$F, $B168, TB_PROPOSTA!$Q:$Q, N$157)</f>
        <v>0</v>
      </c>
      <c r="O168" s="391"/>
      <c r="P168" s="262"/>
      <c r="Q168" s="289"/>
      <c r="R168" s="289"/>
      <c r="S168" s="290"/>
      <c r="T168" s="290"/>
      <c r="U168" s="262"/>
      <c r="V168" s="404"/>
      <c r="W168" s="405"/>
      <c r="X168" s="405"/>
      <c r="Y168" s="405"/>
      <c r="Z168" s="405"/>
      <c r="AA168" s="405"/>
      <c r="AB168" s="405"/>
      <c r="AC168" s="405"/>
      <c r="AD168" s="405"/>
      <c r="AE168" s="406"/>
    </row>
    <row r="169" spans="2:31" hidden="1" x14ac:dyDescent="0.25">
      <c r="B169" s="396" t="str">
        <f t="shared" si="3"/>
        <v/>
      </c>
      <c r="C169" s="397"/>
      <c r="D169" s="390">
        <f>SUMIFS( TB_PROPOSTA!$T:$T, TB_PROPOSTA!$F:$F, $B169, TB_PROPOSTA!$Q:$Q, D$157)</f>
        <v>0</v>
      </c>
      <c r="E169" s="390"/>
      <c r="F169" s="390">
        <f>SUMIFS( TB_PROPOSTA!$T:$T, TB_PROPOSTA!$F:$F, $B169, TB_PROPOSTA!$Q:$Q, F$157)</f>
        <v>0</v>
      </c>
      <c r="G169" s="390"/>
      <c r="H169" s="390">
        <f>SUMIFS( TB_PROPOSTA!$T:$T, TB_PROPOSTA!$F:$F, $B169, TB_PROPOSTA!$Q:$Q, H$157)</f>
        <v>0</v>
      </c>
      <c r="I169" s="390"/>
      <c r="J169" s="390">
        <f>SUMIFS( TB_PROPOSTA!$T:$T, TB_PROPOSTA!$F:$F, $B169, TB_PROPOSTA!$Q:$Q, J$157)</f>
        <v>0</v>
      </c>
      <c r="K169" s="390"/>
      <c r="L169" s="390">
        <f>SUMIFS( TB_PROPOSTA!$T:$T, TB_PROPOSTA!$F:$F, $B169, TB_PROPOSTA!$Q:$Q, L$157)</f>
        <v>0</v>
      </c>
      <c r="M169" s="390"/>
      <c r="N169" s="390">
        <f>SUMIFS( TB_PROPOSTA!$T:$T, TB_PROPOSTA!$F:$F, $B169, TB_PROPOSTA!$Q:$Q, N$157)</f>
        <v>0</v>
      </c>
      <c r="O169" s="391"/>
      <c r="P169" s="262"/>
      <c r="Q169" s="289"/>
      <c r="R169" s="289"/>
      <c r="S169" s="290"/>
      <c r="T169" s="290"/>
      <c r="U169" s="262"/>
      <c r="V169" s="404"/>
      <c r="W169" s="405"/>
      <c r="X169" s="405"/>
      <c r="Y169" s="405"/>
      <c r="Z169" s="405"/>
      <c r="AA169" s="405"/>
      <c r="AB169" s="405"/>
      <c r="AC169" s="405"/>
      <c r="AD169" s="405"/>
      <c r="AE169" s="406"/>
    </row>
    <row r="170" spans="2:31" ht="15" hidden="1" customHeight="1" x14ac:dyDescent="0.25">
      <c r="B170" s="396" t="str">
        <f t="shared" si="3"/>
        <v/>
      </c>
      <c r="C170" s="397"/>
      <c r="D170" s="390">
        <f>SUMIFS( TB_PROPOSTA!$T:$T, TB_PROPOSTA!$F:$F, $B170, TB_PROPOSTA!$Q:$Q, D$157)</f>
        <v>0</v>
      </c>
      <c r="E170" s="390"/>
      <c r="F170" s="390">
        <f>SUMIFS( TB_PROPOSTA!$T:$T, TB_PROPOSTA!$F:$F, $B170, TB_PROPOSTA!$Q:$Q, F$157)</f>
        <v>0</v>
      </c>
      <c r="G170" s="390"/>
      <c r="H170" s="390">
        <f>SUMIFS( TB_PROPOSTA!$T:$T, TB_PROPOSTA!$F:$F, $B170, TB_PROPOSTA!$Q:$Q, H$157)</f>
        <v>0</v>
      </c>
      <c r="I170" s="390"/>
      <c r="J170" s="390">
        <f>SUMIFS( TB_PROPOSTA!$T:$T, TB_PROPOSTA!$F:$F, $B170, TB_PROPOSTA!$Q:$Q, J$157)</f>
        <v>0</v>
      </c>
      <c r="K170" s="390"/>
      <c r="L170" s="390">
        <f>SUMIFS( TB_PROPOSTA!$T:$T, TB_PROPOSTA!$F:$F, $B170, TB_PROPOSTA!$Q:$Q, L$157)</f>
        <v>0</v>
      </c>
      <c r="M170" s="390"/>
      <c r="N170" s="390">
        <f>SUMIFS( TB_PROPOSTA!$T:$T, TB_PROPOSTA!$F:$F, $B170, TB_PROPOSTA!$Q:$Q, N$157)</f>
        <v>0</v>
      </c>
      <c r="O170" s="391"/>
      <c r="P170" s="262"/>
      <c r="Q170" s="289"/>
      <c r="R170" s="289"/>
      <c r="S170" s="290"/>
      <c r="T170" s="290"/>
      <c r="U170" s="262"/>
      <c r="V170" s="404"/>
      <c r="W170" s="405"/>
      <c r="X170" s="405"/>
      <c r="Y170" s="405"/>
      <c r="Z170" s="405"/>
      <c r="AA170" s="405"/>
      <c r="AB170" s="405"/>
      <c r="AC170" s="405"/>
      <c r="AD170" s="405"/>
      <c r="AE170" s="406"/>
    </row>
    <row r="171" spans="2:31" hidden="1" x14ac:dyDescent="0.25">
      <c r="B171" s="396" t="str">
        <f t="shared" si="3"/>
        <v/>
      </c>
      <c r="C171" s="397"/>
      <c r="D171" s="390">
        <f>SUMIFS( TB_PROPOSTA!$T:$T, TB_PROPOSTA!$F:$F, $B171, TB_PROPOSTA!$Q:$Q, D$157)</f>
        <v>0</v>
      </c>
      <c r="E171" s="390"/>
      <c r="F171" s="390">
        <f>SUMIFS( TB_PROPOSTA!$T:$T, TB_PROPOSTA!$F:$F, $B171, TB_PROPOSTA!$Q:$Q, F$157)</f>
        <v>0</v>
      </c>
      <c r="G171" s="390"/>
      <c r="H171" s="390">
        <f>SUMIFS( TB_PROPOSTA!$T:$T, TB_PROPOSTA!$F:$F, $B171, TB_PROPOSTA!$Q:$Q, H$157)</f>
        <v>0</v>
      </c>
      <c r="I171" s="390"/>
      <c r="J171" s="390">
        <f>SUMIFS( TB_PROPOSTA!$T:$T, TB_PROPOSTA!$F:$F, $B171, TB_PROPOSTA!$Q:$Q, J$157)</f>
        <v>0</v>
      </c>
      <c r="K171" s="390"/>
      <c r="L171" s="390">
        <f>SUMIFS( TB_PROPOSTA!$T:$T, TB_PROPOSTA!$F:$F, $B171, TB_PROPOSTA!$Q:$Q, L$157)</f>
        <v>0</v>
      </c>
      <c r="M171" s="390"/>
      <c r="N171" s="390">
        <f>SUMIFS( TB_PROPOSTA!$T:$T, TB_PROPOSTA!$F:$F, $B171, TB_PROPOSTA!$Q:$Q, N$157)</f>
        <v>0</v>
      </c>
      <c r="O171" s="391"/>
      <c r="P171" s="262"/>
      <c r="Q171" s="289"/>
      <c r="R171" s="289"/>
      <c r="S171" s="290"/>
      <c r="T171" s="290"/>
      <c r="U171" s="262"/>
      <c r="V171" s="404"/>
      <c r="W171" s="405"/>
      <c r="X171" s="405"/>
      <c r="Y171" s="405"/>
      <c r="Z171" s="405"/>
      <c r="AA171" s="405"/>
      <c r="AB171" s="405"/>
      <c r="AC171" s="405"/>
      <c r="AD171" s="405"/>
      <c r="AE171" s="406"/>
    </row>
    <row r="172" spans="2:31" hidden="1" x14ac:dyDescent="0.25">
      <c r="B172" s="396" t="str">
        <f t="shared" si="3"/>
        <v/>
      </c>
      <c r="C172" s="397"/>
      <c r="D172" s="390">
        <f>SUMIFS( TB_PROPOSTA!$T:$T, TB_PROPOSTA!$F:$F, $B172, TB_PROPOSTA!$Q:$Q, D$157)</f>
        <v>0</v>
      </c>
      <c r="E172" s="390"/>
      <c r="F172" s="390">
        <f>SUMIFS( TB_PROPOSTA!$T:$T, TB_PROPOSTA!$F:$F, $B172, TB_PROPOSTA!$Q:$Q, F$157)</f>
        <v>0</v>
      </c>
      <c r="G172" s="390"/>
      <c r="H172" s="390">
        <f>SUMIFS( TB_PROPOSTA!$T:$T, TB_PROPOSTA!$F:$F, $B172, TB_PROPOSTA!$Q:$Q, H$157)</f>
        <v>0</v>
      </c>
      <c r="I172" s="390"/>
      <c r="J172" s="390">
        <f>SUMIFS( TB_PROPOSTA!$T:$T, TB_PROPOSTA!$F:$F, $B172, TB_PROPOSTA!$Q:$Q, J$157)</f>
        <v>0</v>
      </c>
      <c r="K172" s="390"/>
      <c r="L172" s="390">
        <f>SUMIFS( TB_PROPOSTA!$T:$T, TB_PROPOSTA!$F:$F, $B172, TB_PROPOSTA!$Q:$Q, L$157)</f>
        <v>0</v>
      </c>
      <c r="M172" s="390"/>
      <c r="N172" s="390">
        <f>SUMIFS( TB_PROPOSTA!$T:$T, TB_PROPOSTA!$F:$F, $B172, TB_PROPOSTA!$Q:$Q, N$157)</f>
        <v>0</v>
      </c>
      <c r="O172" s="391"/>
      <c r="P172" s="262"/>
      <c r="Q172" s="289"/>
      <c r="R172" s="289"/>
      <c r="S172" s="290"/>
      <c r="T172" s="290"/>
      <c r="U172" s="262"/>
      <c r="V172" s="404"/>
      <c r="W172" s="405"/>
      <c r="X172" s="405"/>
      <c r="Y172" s="405"/>
      <c r="Z172" s="405"/>
      <c r="AA172" s="405"/>
      <c r="AB172" s="405"/>
      <c r="AC172" s="405"/>
      <c r="AD172" s="405"/>
      <c r="AE172" s="406"/>
    </row>
    <row r="173" spans="2:31" hidden="1" x14ac:dyDescent="0.25">
      <c r="B173" s="396" t="str">
        <f t="shared" si="3"/>
        <v/>
      </c>
      <c r="C173" s="397"/>
      <c r="D173" s="390">
        <f>SUMIFS( TB_PROPOSTA!$T:$T, TB_PROPOSTA!$F:$F, $B173, TB_PROPOSTA!$Q:$Q, D$157)</f>
        <v>0</v>
      </c>
      <c r="E173" s="390"/>
      <c r="F173" s="390">
        <f>SUMIFS( TB_PROPOSTA!$T:$T, TB_PROPOSTA!$F:$F, $B173, TB_PROPOSTA!$Q:$Q, F$157)</f>
        <v>0</v>
      </c>
      <c r="G173" s="390"/>
      <c r="H173" s="390">
        <f>SUMIFS( TB_PROPOSTA!$T:$T, TB_PROPOSTA!$F:$F, $B173, TB_PROPOSTA!$Q:$Q, H$157)</f>
        <v>0</v>
      </c>
      <c r="I173" s="390"/>
      <c r="J173" s="390">
        <f>SUMIFS( TB_PROPOSTA!$T:$T, TB_PROPOSTA!$F:$F, $B173, TB_PROPOSTA!$Q:$Q, J$157)</f>
        <v>0</v>
      </c>
      <c r="K173" s="390"/>
      <c r="L173" s="390">
        <f>SUMIFS( TB_PROPOSTA!$T:$T, TB_PROPOSTA!$F:$F, $B173, TB_PROPOSTA!$Q:$Q, L$157)</f>
        <v>0</v>
      </c>
      <c r="M173" s="390"/>
      <c r="N173" s="390">
        <f>SUMIFS( TB_PROPOSTA!$T:$T, TB_PROPOSTA!$F:$F, $B173, TB_PROPOSTA!$Q:$Q, N$157)</f>
        <v>0</v>
      </c>
      <c r="O173" s="391"/>
      <c r="P173" s="262"/>
      <c r="Q173" s="289"/>
      <c r="R173" s="289"/>
      <c r="S173" s="290"/>
      <c r="T173" s="290"/>
      <c r="U173" s="262"/>
      <c r="V173" s="404"/>
      <c r="W173" s="405"/>
      <c r="X173" s="405"/>
      <c r="Y173" s="405"/>
      <c r="Z173" s="405"/>
      <c r="AA173" s="405"/>
      <c r="AB173" s="405"/>
      <c r="AC173" s="405"/>
      <c r="AD173" s="405"/>
      <c r="AE173" s="406"/>
    </row>
    <row r="174" spans="2:31" hidden="1" x14ac:dyDescent="0.25">
      <c r="B174" s="396" t="str">
        <f t="shared" si="3"/>
        <v/>
      </c>
      <c r="C174" s="397"/>
      <c r="D174" s="390">
        <f>SUMIFS( TB_PROPOSTA!$T:$T, TB_PROPOSTA!$F:$F, $B174, TB_PROPOSTA!$Q:$Q, D$157)</f>
        <v>0</v>
      </c>
      <c r="E174" s="390"/>
      <c r="F174" s="390">
        <f>SUMIFS( TB_PROPOSTA!$T:$T, TB_PROPOSTA!$F:$F, $B174, TB_PROPOSTA!$Q:$Q, F$157)</f>
        <v>0</v>
      </c>
      <c r="G174" s="390"/>
      <c r="H174" s="390">
        <f>SUMIFS( TB_PROPOSTA!$T:$T, TB_PROPOSTA!$F:$F, $B174, TB_PROPOSTA!$Q:$Q, H$157)</f>
        <v>0</v>
      </c>
      <c r="I174" s="390"/>
      <c r="J174" s="390">
        <f>SUMIFS( TB_PROPOSTA!$T:$T, TB_PROPOSTA!$F:$F, $B174, TB_PROPOSTA!$Q:$Q, J$157)</f>
        <v>0</v>
      </c>
      <c r="K174" s="390"/>
      <c r="L174" s="390">
        <f>SUMIFS( TB_PROPOSTA!$T:$T, TB_PROPOSTA!$F:$F, $B174, TB_PROPOSTA!$Q:$Q, L$157)</f>
        <v>0</v>
      </c>
      <c r="M174" s="390"/>
      <c r="N174" s="390">
        <f>SUMIFS( TB_PROPOSTA!$T:$T, TB_PROPOSTA!$F:$F, $B174, TB_PROPOSTA!$Q:$Q, N$157)</f>
        <v>0</v>
      </c>
      <c r="O174" s="391"/>
      <c r="P174" s="262"/>
      <c r="Q174" s="289"/>
      <c r="R174" s="289"/>
      <c r="S174" s="290"/>
      <c r="T174" s="290"/>
      <c r="U174" s="262"/>
      <c r="V174" s="404"/>
      <c r="W174" s="405"/>
      <c r="X174" s="405"/>
      <c r="Y174" s="405"/>
      <c r="Z174" s="405"/>
      <c r="AA174" s="405"/>
      <c r="AB174" s="405"/>
      <c r="AC174" s="405"/>
      <c r="AD174" s="405"/>
      <c r="AE174" s="406"/>
    </row>
    <row r="175" spans="2:31" hidden="1" x14ac:dyDescent="0.25">
      <c r="B175" s="396" t="str">
        <f t="shared" si="3"/>
        <v/>
      </c>
      <c r="C175" s="397"/>
      <c r="D175" s="390">
        <f>SUMIFS( TB_PROPOSTA!$T:$T, TB_PROPOSTA!$F:$F, $B175, TB_PROPOSTA!$Q:$Q, D$157)</f>
        <v>0</v>
      </c>
      <c r="E175" s="390"/>
      <c r="F175" s="390">
        <f>SUMIFS( TB_PROPOSTA!$T:$T, TB_PROPOSTA!$F:$F, $B175, TB_PROPOSTA!$Q:$Q, F$157)</f>
        <v>0</v>
      </c>
      <c r="G175" s="390"/>
      <c r="H175" s="390">
        <f>SUMIFS( TB_PROPOSTA!$T:$T, TB_PROPOSTA!$F:$F, $B175, TB_PROPOSTA!$Q:$Q, H$157)</f>
        <v>0</v>
      </c>
      <c r="I175" s="390"/>
      <c r="J175" s="390">
        <f>SUMIFS( TB_PROPOSTA!$T:$T, TB_PROPOSTA!$F:$F, $B175, TB_PROPOSTA!$Q:$Q, J$157)</f>
        <v>0</v>
      </c>
      <c r="K175" s="390"/>
      <c r="L175" s="390">
        <f>SUMIFS( TB_PROPOSTA!$T:$T, TB_PROPOSTA!$F:$F, $B175, TB_PROPOSTA!$Q:$Q, L$157)</f>
        <v>0</v>
      </c>
      <c r="M175" s="390"/>
      <c r="N175" s="390">
        <f>SUMIFS( TB_PROPOSTA!$T:$T, TB_PROPOSTA!$F:$F, $B175, TB_PROPOSTA!$Q:$Q, N$157)</f>
        <v>0</v>
      </c>
      <c r="O175" s="391"/>
      <c r="P175" s="262"/>
      <c r="Q175" s="289"/>
      <c r="R175" s="289"/>
      <c r="S175" s="290"/>
      <c r="T175" s="290"/>
      <c r="U175" s="262"/>
      <c r="V175" s="404"/>
      <c r="W175" s="405"/>
      <c r="X175" s="405"/>
      <c r="Y175" s="405"/>
      <c r="Z175" s="405"/>
      <c r="AA175" s="405"/>
      <c r="AB175" s="405"/>
      <c r="AC175" s="405"/>
      <c r="AD175" s="405"/>
      <c r="AE175" s="406"/>
    </row>
    <row r="176" spans="2:31" hidden="1" x14ac:dyDescent="0.25">
      <c r="B176" s="396" t="str">
        <f t="shared" si="3"/>
        <v/>
      </c>
      <c r="C176" s="397"/>
      <c r="D176" s="390">
        <f>SUMIFS( TB_PROPOSTA!$T:$T, TB_PROPOSTA!$F:$F, $B176, TB_PROPOSTA!$Q:$Q, D$157)</f>
        <v>0</v>
      </c>
      <c r="E176" s="390"/>
      <c r="F176" s="390">
        <f>SUMIFS( TB_PROPOSTA!$T:$T, TB_PROPOSTA!$F:$F, $B176, TB_PROPOSTA!$Q:$Q, F$157)</f>
        <v>0</v>
      </c>
      <c r="G176" s="390"/>
      <c r="H176" s="390">
        <f>SUMIFS( TB_PROPOSTA!$T:$T, TB_PROPOSTA!$F:$F, $B176, TB_PROPOSTA!$Q:$Q, H$157)</f>
        <v>0</v>
      </c>
      <c r="I176" s="390"/>
      <c r="J176" s="390">
        <f>SUMIFS( TB_PROPOSTA!$T:$T, TB_PROPOSTA!$F:$F, $B176, TB_PROPOSTA!$Q:$Q, J$157)</f>
        <v>0</v>
      </c>
      <c r="K176" s="390"/>
      <c r="L176" s="390">
        <f>SUMIFS( TB_PROPOSTA!$T:$T, TB_PROPOSTA!$F:$F, $B176, TB_PROPOSTA!$Q:$Q, L$157)</f>
        <v>0</v>
      </c>
      <c r="M176" s="390"/>
      <c r="N176" s="390">
        <f>SUMIFS( TB_PROPOSTA!$T:$T, TB_PROPOSTA!$F:$F, $B176, TB_PROPOSTA!$Q:$Q, N$157)</f>
        <v>0</v>
      </c>
      <c r="O176" s="391"/>
      <c r="P176" s="262"/>
      <c r="Q176" s="289"/>
      <c r="R176" s="289"/>
      <c r="S176" s="290"/>
      <c r="T176" s="290"/>
      <c r="U176" s="262"/>
      <c r="V176" s="404"/>
      <c r="W176" s="405"/>
      <c r="X176" s="405"/>
      <c r="Y176" s="405"/>
      <c r="Z176" s="405"/>
      <c r="AA176" s="405"/>
      <c r="AB176" s="405"/>
      <c r="AC176" s="405"/>
      <c r="AD176" s="405"/>
      <c r="AE176" s="406"/>
    </row>
    <row r="177" spans="2:31" hidden="1" x14ac:dyDescent="0.25">
      <c r="B177" s="396" t="str">
        <f t="shared" si="3"/>
        <v/>
      </c>
      <c r="C177" s="397"/>
      <c r="D177" s="390">
        <f>SUMIFS( TB_PROPOSTA!$T:$T, TB_PROPOSTA!$F:$F, $B177, TB_PROPOSTA!$Q:$Q, D$157)</f>
        <v>0</v>
      </c>
      <c r="E177" s="390"/>
      <c r="F177" s="390">
        <f>SUMIFS( TB_PROPOSTA!$T:$T, TB_PROPOSTA!$F:$F, $B177, TB_PROPOSTA!$Q:$Q, F$157)</f>
        <v>0</v>
      </c>
      <c r="G177" s="390"/>
      <c r="H177" s="390">
        <f>SUMIFS( TB_PROPOSTA!$T:$T, TB_PROPOSTA!$F:$F, $B177, TB_PROPOSTA!$Q:$Q, H$157)</f>
        <v>0</v>
      </c>
      <c r="I177" s="390"/>
      <c r="J177" s="390">
        <f>SUMIFS( TB_PROPOSTA!$T:$T, TB_PROPOSTA!$F:$F, $B177, TB_PROPOSTA!$Q:$Q, J$157)</f>
        <v>0</v>
      </c>
      <c r="K177" s="390"/>
      <c r="L177" s="390">
        <f>SUMIFS( TB_PROPOSTA!$T:$T, TB_PROPOSTA!$F:$F, $B177, TB_PROPOSTA!$Q:$Q, L$157)</f>
        <v>0</v>
      </c>
      <c r="M177" s="390"/>
      <c r="N177" s="390">
        <f>SUMIFS( TB_PROPOSTA!$T:$T, TB_PROPOSTA!$F:$F, $B177, TB_PROPOSTA!$Q:$Q, N$157)</f>
        <v>0</v>
      </c>
      <c r="O177" s="391"/>
      <c r="P177" s="262"/>
      <c r="Q177" s="289"/>
      <c r="R177" s="289"/>
      <c r="S177" s="290"/>
      <c r="T177" s="290"/>
      <c r="U177" s="262"/>
      <c r="V177" s="404"/>
      <c r="W177" s="405"/>
      <c r="X177" s="405"/>
      <c r="Y177" s="405"/>
      <c r="Z177" s="405"/>
      <c r="AA177" s="405"/>
      <c r="AB177" s="405"/>
      <c r="AC177" s="405"/>
      <c r="AD177" s="405"/>
      <c r="AE177" s="406"/>
    </row>
    <row r="178" spans="2:31" hidden="1" x14ac:dyDescent="0.25">
      <c r="B178" s="396" t="str">
        <f t="shared" si="3"/>
        <v/>
      </c>
      <c r="C178" s="397"/>
      <c r="D178" s="390">
        <f>SUMIFS( TB_PROPOSTA!$T:$T, TB_PROPOSTA!$F:$F, $B178, TB_PROPOSTA!$Q:$Q, D$157)</f>
        <v>0</v>
      </c>
      <c r="E178" s="390"/>
      <c r="F178" s="390">
        <f>SUMIFS( TB_PROPOSTA!$T:$T, TB_PROPOSTA!$F:$F, $B178, TB_PROPOSTA!$Q:$Q, F$157)</f>
        <v>0</v>
      </c>
      <c r="G178" s="390"/>
      <c r="H178" s="390">
        <f>SUMIFS( TB_PROPOSTA!$T:$T, TB_PROPOSTA!$F:$F, $B178, TB_PROPOSTA!$Q:$Q, H$157)</f>
        <v>0</v>
      </c>
      <c r="I178" s="390"/>
      <c r="J178" s="390">
        <f>SUMIFS( TB_PROPOSTA!$T:$T, TB_PROPOSTA!$F:$F, $B178, TB_PROPOSTA!$Q:$Q, J$157)</f>
        <v>0</v>
      </c>
      <c r="K178" s="390"/>
      <c r="L178" s="390">
        <f>SUMIFS( TB_PROPOSTA!$T:$T, TB_PROPOSTA!$F:$F, $B178, TB_PROPOSTA!$Q:$Q, L$157)</f>
        <v>0</v>
      </c>
      <c r="M178" s="390"/>
      <c r="N178" s="390">
        <f>SUMIFS( TB_PROPOSTA!$T:$T, TB_PROPOSTA!$F:$F, $B178, TB_PROPOSTA!$Q:$Q, N$157)</f>
        <v>0</v>
      </c>
      <c r="O178" s="391"/>
      <c r="P178" s="262"/>
      <c r="Q178" s="289"/>
      <c r="R178" s="289"/>
      <c r="S178" s="290"/>
      <c r="T178" s="290"/>
      <c r="U178" s="262"/>
      <c r="V178" s="404"/>
      <c r="W178" s="405"/>
      <c r="X178" s="405"/>
      <c r="Y178" s="405"/>
      <c r="Z178" s="405"/>
      <c r="AA178" s="405"/>
      <c r="AB178" s="405"/>
      <c r="AC178" s="405"/>
      <c r="AD178" s="405"/>
      <c r="AE178" s="406"/>
    </row>
    <row r="179" spans="2:31" hidden="1" x14ac:dyDescent="0.25">
      <c r="B179" s="396" t="str">
        <f t="shared" si="3"/>
        <v/>
      </c>
      <c r="C179" s="397"/>
      <c r="D179" s="390">
        <f>SUMIFS( TB_PROPOSTA!$T:$T, TB_PROPOSTA!$F:$F, $B179, TB_PROPOSTA!$Q:$Q, D$157)</f>
        <v>0</v>
      </c>
      <c r="E179" s="390"/>
      <c r="F179" s="390">
        <f>SUMIFS( TB_PROPOSTA!$T:$T, TB_PROPOSTA!$F:$F, $B179, TB_PROPOSTA!$Q:$Q, F$157)</f>
        <v>0</v>
      </c>
      <c r="G179" s="390"/>
      <c r="H179" s="390">
        <f>SUMIFS( TB_PROPOSTA!$T:$T, TB_PROPOSTA!$F:$F, $B179, TB_PROPOSTA!$Q:$Q, H$157)</f>
        <v>0</v>
      </c>
      <c r="I179" s="390"/>
      <c r="J179" s="390">
        <f>SUMIFS( TB_PROPOSTA!$T:$T, TB_PROPOSTA!$F:$F, $B179, TB_PROPOSTA!$Q:$Q, J$157)</f>
        <v>0</v>
      </c>
      <c r="K179" s="390"/>
      <c r="L179" s="390">
        <f>SUMIFS( TB_PROPOSTA!$T:$T, TB_PROPOSTA!$F:$F, $B179, TB_PROPOSTA!$Q:$Q, L$157)</f>
        <v>0</v>
      </c>
      <c r="M179" s="390"/>
      <c r="N179" s="390">
        <f>SUMIFS( TB_PROPOSTA!$T:$T, TB_PROPOSTA!$F:$F, $B179, TB_PROPOSTA!$Q:$Q, N$157)</f>
        <v>0</v>
      </c>
      <c r="O179" s="391"/>
      <c r="P179" s="262"/>
      <c r="Q179" s="289"/>
      <c r="R179" s="289"/>
      <c r="S179" s="290"/>
      <c r="T179" s="290"/>
      <c r="U179" s="262"/>
      <c r="V179" s="404"/>
      <c r="W179" s="405"/>
      <c r="X179" s="405"/>
      <c r="Y179" s="405"/>
      <c r="Z179" s="405"/>
      <c r="AA179" s="405"/>
      <c r="AB179" s="405"/>
      <c r="AC179" s="405"/>
      <c r="AD179" s="405"/>
      <c r="AE179" s="406"/>
    </row>
    <row r="180" spans="2:31" hidden="1" x14ac:dyDescent="0.25">
      <c r="B180" s="392" t="str">
        <f t="shared" si="3"/>
        <v/>
      </c>
      <c r="C180" s="393"/>
      <c r="D180" s="394">
        <f>SUMIFS( TB_PROPOSTA!$T:$T, TB_PROPOSTA!$F:$F, $B180, TB_PROPOSTA!$Q:$Q, D$157)</f>
        <v>0</v>
      </c>
      <c r="E180" s="394"/>
      <c r="F180" s="394">
        <f>SUMIFS( TB_PROPOSTA!$T:$T, TB_PROPOSTA!$F:$F, $B180, TB_PROPOSTA!$Q:$Q, F$157)</f>
        <v>0</v>
      </c>
      <c r="G180" s="394"/>
      <c r="H180" s="394">
        <f>SUMIFS( TB_PROPOSTA!$T:$T, TB_PROPOSTA!$F:$F, $B180, TB_PROPOSTA!$Q:$Q, H$157)</f>
        <v>0</v>
      </c>
      <c r="I180" s="394"/>
      <c r="J180" s="394">
        <f>SUMIFS( TB_PROPOSTA!$T:$T, TB_PROPOSTA!$F:$F, $B180, TB_PROPOSTA!$Q:$Q, J$157)</f>
        <v>0</v>
      </c>
      <c r="K180" s="394"/>
      <c r="L180" s="394">
        <f>SUMIFS( TB_PROPOSTA!$T:$T, TB_PROPOSTA!$F:$F, $B180, TB_PROPOSTA!$Q:$Q, L$157)</f>
        <v>0</v>
      </c>
      <c r="M180" s="394"/>
      <c r="N180" s="394">
        <f>SUMIFS( TB_PROPOSTA!$T:$T, TB_PROPOSTA!$F:$F, $B180, TB_PROPOSTA!$Q:$Q, N$157)</f>
        <v>0</v>
      </c>
      <c r="O180" s="395"/>
      <c r="Q180" s="289"/>
      <c r="R180" s="289"/>
      <c r="S180" s="290"/>
      <c r="T180" s="290"/>
      <c r="V180" s="407"/>
      <c r="W180" s="408"/>
      <c r="X180" s="408"/>
      <c r="Y180" s="408"/>
      <c r="Z180" s="408"/>
      <c r="AA180" s="408"/>
      <c r="AB180" s="408"/>
      <c r="AC180" s="408"/>
      <c r="AD180" s="408"/>
      <c r="AE180" s="409"/>
    </row>
    <row r="181" spans="2:31" hidden="1" x14ac:dyDescent="0.25">
      <c r="B181" s="272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  <c r="Y181" s="258"/>
      <c r="Z181" s="258"/>
      <c r="AA181" s="258"/>
      <c r="AB181" s="258"/>
      <c r="AC181" s="258"/>
      <c r="AD181" s="258"/>
      <c r="AE181" s="273"/>
    </row>
    <row r="182" spans="2:31" hidden="1" x14ac:dyDescent="0.25"/>
  </sheetData>
  <sheetProtection algorithmName="SHA-512" hashValue="byTkzk3T99c7xte6cVr8peisgHp+eGB/Sz8KjlMRWJTFb03BX6hqBJ4fCtBSmMRZ7ilydejI5rQChvRLAorYpg==" saltValue="DE9dqibPcrJhN7EVW+j7ig==" spinCount="100000" sheet="1" objects="1" scenarios="1"/>
  <mergeCells count="1315">
    <mergeCell ref="Y3:AB4"/>
    <mergeCell ref="AC3:AE4"/>
    <mergeCell ref="AC5:AE5"/>
    <mergeCell ref="AC6:AE6"/>
    <mergeCell ref="AC7:AE7"/>
    <mergeCell ref="AC8:AE8"/>
    <mergeCell ref="E3:L3"/>
    <mergeCell ref="M135:U135"/>
    <mergeCell ref="M136:U136"/>
    <mergeCell ref="M137:U137"/>
    <mergeCell ref="M138:U138"/>
    <mergeCell ref="M139:U139"/>
    <mergeCell ref="B145:AE145"/>
    <mergeCell ref="E4:W4"/>
    <mergeCell ref="E5:W5"/>
    <mergeCell ref="B12:L17"/>
    <mergeCell ref="B11:L11"/>
    <mergeCell ref="B18:L18"/>
    <mergeCell ref="B19:L27"/>
    <mergeCell ref="J138:L138"/>
    <mergeCell ref="J139:L139"/>
    <mergeCell ref="M119:U119"/>
    <mergeCell ref="M120:U120"/>
    <mergeCell ref="M121:U121"/>
    <mergeCell ref="M122:U122"/>
    <mergeCell ref="M123:U123"/>
    <mergeCell ref="M124:U124"/>
    <mergeCell ref="M125:U125"/>
    <mergeCell ref="M126:U126"/>
    <mergeCell ref="M127:U127"/>
    <mergeCell ref="M128:U128"/>
    <mergeCell ref="E6:G6"/>
    <mergeCell ref="B29:AE29"/>
    <mergeCell ref="X37:Y37"/>
    <mergeCell ref="X33:Y33"/>
    <mergeCell ref="R34:S34"/>
    <mergeCell ref="T34:U34"/>
    <mergeCell ref="V34:W34"/>
    <mergeCell ref="X34:Y34"/>
    <mergeCell ref="R31:S31"/>
    <mergeCell ref="AB20:AC20"/>
    <mergeCell ref="AD20:AE20"/>
    <mergeCell ref="AB17:AC17"/>
    <mergeCell ref="AD17:AE17"/>
    <mergeCell ref="K32:L32"/>
    <mergeCell ref="AB16:AC16"/>
    <mergeCell ref="Y16:AA16"/>
    <mergeCell ref="Y17:AA17"/>
    <mergeCell ref="Y18:AA18"/>
    <mergeCell ref="Y19:AA19"/>
    <mergeCell ref="Y20:AA20"/>
    <mergeCell ref="Y21:AA21"/>
    <mergeCell ref="Y22:AA22"/>
    <mergeCell ref="Y23:AA23"/>
    <mergeCell ref="Y24:AA24"/>
    <mergeCell ref="Y25:AA25"/>
    <mergeCell ref="Y26:AA26"/>
    <mergeCell ref="R35:S35"/>
    <mergeCell ref="AD16:AE16"/>
    <mergeCell ref="AB26:AC26"/>
    <mergeCell ref="AD26:AE26"/>
    <mergeCell ref="AB24:AC24"/>
    <mergeCell ref="AD24:AE24"/>
    <mergeCell ref="AB25:AC25"/>
    <mergeCell ref="Q12:W14"/>
    <mergeCell ref="AD139:AE139"/>
    <mergeCell ref="J136:L136"/>
    <mergeCell ref="J137:L137"/>
    <mergeCell ref="AD120:AE120"/>
    <mergeCell ref="Z115:AA115"/>
    <mergeCell ref="AB115:AC115"/>
    <mergeCell ref="AD115:AE115"/>
    <mergeCell ref="B116:I116"/>
    <mergeCell ref="Z116:AA116"/>
    <mergeCell ref="AB116:AC116"/>
    <mergeCell ref="AD116:AE116"/>
    <mergeCell ref="B115:C115"/>
    <mergeCell ref="D115:E115"/>
    <mergeCell ref="B138:C138"/>
    <mergeCell ref="D138:E138"/>
    <mergeCell ref="F138:G138"/>
    <mergeCell ref="H138:I138"/>
    <mergeCell ref="V138:AC138"/>
    <mergeCell ref="B137:C137"/>
    <mergeCell ref="D137:E137"/>
    <mergeCell ref="F137:G137"/>
    <mergeCell ref="H137:I137"/>
    <mergeCell ref="V137:AC137"/>
    <mergeCell ref="M129:U129"/>
    <mergeCell ref="M130:U130"/>
    <mergeCell ref="M131:U131"/>
    <mergeCell ref="M132:U132"/>
    <mergeCell ref="M133:U133"/>
    <mergeCell ref="M134:U134"/>
    <mergeCell ref="M50:Q50"/>
    <mergeCell ref="M51:Q51"/>
    <mergeCell ref="Q3:W3"/>
    <mergeCell ref="Q6:W6"/>
    <mergeCell ref="M35:Q35"/>
    <mergeCell ref="M36:Q36"/>
    <mergeCell ref="M37:Q37"/>
    <mergeCell ref="Q19:V19"/>
    <mergeCell ref="Q18:W18"/>
    <mergeCell ref="Q17:W17"/>
    <mergeCell ref="T37:U37"/>
    <mergeCell ref="V37:W37"/>
    <mergeCell ref="R33:S33"/>
    <mergeCell ref="T33:U33"/>
    <mergeCell ref="V33:W33"/>
    <mergeCell ref="F131:G131"/>
    <mergeCell ref="H131:I131"/>
    <mergeCell ref="V131:AC131"/>
    <mergeCell ref="B123:C123"/>
    <mergeCell ref="F120:G120"/>
    <mergeCell ref="H120:I120"/>
    <mergeCell ref="V120:AC120"/>
    <mergeCell ref="Z117:AA117"/>
    <mergeCell ref="AB117:AC117"/>
    <mergeCell ref="M112:S112"/>
    <mergeCell ref="F115:G115"/>
    <mergeCell ref="H115:I115"/>
    <mergeCell ref="Z107:AA107"/>
    <mergeCell ref="AB107:AC107"/>
    <mergeCell ref="AB104:AC104"/>
    <mergeCell ref="Z99:AA99"/>
    <mergeCell ref="AB99:AC99"/>
    <mergeCell ref="AB96:AC96"/>
    <mergeCell ref="E8:W8"/>
    <mergeCell ref="M38:Q38"/>
    <mergeCell ref="M39:Q39"/>
    <mergeCell ref="M40:Q40"/>
    <mergeCell ref="M41:Q41"/>
    <mergeCell ref="M42:Q42"/>
    <mergeCell ref="M43:Q43"/>
    <mergeCell ref="AD126:AE126"/>
    <mergeCell ref="AD124:AE124"/>
    <mergeCell ref="E9:W9"/>
    <mergeCell ref="AD137:AE137"/>
    <mergeCell ref="J133:L133"/>
    <mergeCell ref="AD133:AE133"/>
    <mergeCell ref="F119:G119"/>
    <mergeCell ref="H119:I119"/>
    <mergeCell ref="V119:AC119"/>
    <mergeCell ref="AD119:AE119"/>
    <mergeCell ref="J119:L119"/>
    <mergeCell ref="J120:L120"/>
    <mergeCell ref="J121:L121"/>
    <mergeCell ref="V124:AC124"/>
    <mergeCell ref="AD122:AE122"/>
    <mergeCell ref="D123:E123"/>
    <mergeCell ref="F123:G123"/>
    <mergeCell ref="H123:I123"/>
    <mergeCell ref="V123:AC123"/>
    <mergeCell ref="L35:L46"/>
    <mergeCell ref="T36:U36"/>
    <mergeCell ref="V36:W36"/>
    <mergeCell ref="X36:Y36"/>
    <mergeCell ref="AD123:AE123"/>
    <mergeCell ref="AD109:AE109"/>
    <mergeCell ref="AD107:AE107"/>
    <mergeCell ref="B136:C136"/>
    <mergeCell ref="D136:E136"/>
    <mergeCell ref="F136:G136"/>
    <mergeCell ref="H136:I136"/>
    <mergeCell ref="V136:AC136"/>
    <mergeCell ref="AD134:AE134"/>
    <mergeCell ref="B135:C135"/>
    <mergeCell ref="D135:E135"/>
    <mergeCell ref="F135:G135"/>
    <mergeCell ref="H135:I135"/>
    <mergeCell ref="V135:AC135"/>
    <mergeCell ref="AD135:AE135"/>
    <mergeCell ref="AD142:AE142"/>
    <mergeCell ref="AD138:AE138"/>
    <mergeCell ref="B139:C139"/>
    <mergeCell ref="J135:L135"/>
    <mergeCell ref="B140:I140"/>
    <mergeCell ref="J140:AC140"/>
    <mergeCell ref="AD140:AE140"/>
    <mergeCell ref="AB141:AC141"/>
    <mergeCell ref="AD141:AE141"/>
    <mergeCell ref="B134:C134"/>
    <mergeCell ref="D134:E134"/>
    <mergeCell ref="F134:G134"/>
    <mergeCell ref="H134:I134"/>
    <mergeCell ref="V134:AC134"/>
    <mergeCell ref="AD136:AE136"/>
    <mergeCell ref="J134:L134"/>
    <mergeCell ref="D139:E139"/>
    <mergeCell ref="F139:G139"/>
    <mergeCell ref="H139:I139"/>
    <mergeCell ref="V139:AC139"/>
    <mergeCell ref="B132:C132"/>
    <mergeCell ref="D132:E132"/>
    <mergeCell ref="B131:C131"/>
    <mergeCell ref="D131:E131"/>
    <mergeCell ref="J130:L130"/>
    <mergeCell ref="J131:L131"/>
    <mergeCell ref="B129:C129"/>
    <mergeCell ref="D129:E129"/>
    <mergeCell ref="F129:G129"/>
    <mergeCell ref="H129:I129"/>
    <mergeCell ref="V129:AC129"/>
    <mergeCell ref="AD129:AE129"/>
    <mergeCell ref="B128:C128"/>
    <mergeCell ref="D128:E128"/>
    <mergeCell ref="F128:G128"/>
    <mergeCell ref="H128:I128"/>
    <mergeCell ref="V128:AC128"/>
    <mergeCell ref="AD130:AE130"/>
    <mergeCell ref="D130:E130"/>
    <mergeCell ref="F132:G132"/>
    <mergeCell ref="H132:I132"/>
    <mergeCell ref="V132:AC132"/>
    <mergeCell ref="J132:L132"/>
    <mergeCell ref="AD132:AE132"/>
    <mergeCell ref="AD131:AE131"/>
    <mergeCell ref="F130:G130"/>
    <mergeCell ref="H130:I130"/>
    <mergeCell ref="V130:AC130"/>
    <mergeCell ref="AD128:AE128"/>
    <mergeCell ref="B130:C130"/>
    <mergeCell ref="B133:C133"/>
    <mergeCell ref="D133:E133"/>
    <mergeCell ref="F133:G133"/>
    <mergeCell ref="H133:I133"/>
    <mergeCell ref="V133:AC133"/>
    <mergeCell ref="J124:L124"/>
    <mergeCell ref="J125:L125"/>
    <mergeCell ref="B127:C127"/>
    <mergeCell ref="D127:E127"/>
    <mergeCell ref="F127:G127"/>
    <mergeCell ref="H127:I127"/>
    <mergeCell ref="V127:AC127"/>
    <mergeCell ref="AD127:AE127"/>
    <mergeCell ref="B126:C126"/>
    <mergeCell ref="D126:E126"/>
    <mergeCell ref="F126:G126"/>
    <mergeCell ref="H126:I126"/>
    <mergeCell ref="V126:AC126"/>
    <mergeCell ref="J126:L126"/>
    <mergeCell ref="J127:L127"/>
    <mergeCell ref="J128:L128"/>
    <mergeCell ref="J129:L129"/>
    <mergeCell ref="B125:C125"/>
    <mergeCell ref="D125:E125"/>
    <mergeCell ref="F125:G125"/>
    <mergeCell ref="H125:I125"/>
    <mergeCell ref="V125:AC125"/>
    <mergeCell ref="AD125:AE125"/>
    <mergeCell ref="B124:C124"/>
    <mergeCell ref="D124:E124"/>
    <mergeCell ref="F124:G124"/>
    <mergeCell ref="H124:I124"/>
    <mergeCell ref="B122:C122"/>
    <mergeCell ref="D122:E122"/>
    <mergeCell ref="F122:G122"/>
    <mergeCell ref="H122:I122"/>
    <mergeCell ref="V122:AC122"/>
    <mergeCell ref="J122:L122"/>
    <mergeCell ref="J123:L123"/>
    <mergeCell ref="T115:Y115"/>
    <mergeCell ref="AD113:AE113"/>
    <mergeCell ref="B114:C114"/>
    <mergeCell ref="D114:E114"/>
    <mergeCell ref="F114:G114"/>
    <mergeCell ref="H114:I114"/>
    <mergeCell ref="T114:Y114"/>
    <mergeCell ref="Z114:AA114"/>
    <mergeCell ref="AB114:AC114"/>
    <mergeCell ref="AD114:AE114"/>
    <mergeCell ref="J113:L113"/>
    <mergeCell ref="M113:S113"/>
    <mergeCell ref="J114:L114"/>
    <mergeCell ref="M114:S114"/>
    <mergeCell ref="J115:L115"/>
    <mergeCell ref="M115:S115"/>
    <mergeCell ref="B121:C121"/>
    <mergeCell ref="D121:E121"/>
    <mergeCell ref="F121:G121"/>
    <mergeCell ref="H121:I121"/>
    <mergeCell ref="V121:AC121"/>
    <mergeCell ref="AD121:AE121"/>
    <mergeCell ref="B120:C120"/>
    <mergeCell ref="D120:E120"/>
    <mergeCell ref="AD117:AE117"/>
    <mergeCell ref="B119:C119"/>
    <mergeCell ref="D119:E119"/>
    <mergeCell ref="J116:L116"/>
    <mergeCell ref="M116:S116"/>
    <mergeCell ref="T116:Y116"/>
    <mergeCell ref="AB112:AC112"/>
    <mergeCell ref="AD112:AE112"/>
    <mergeCell ref="B113:C113"/>
    <mergeCell ref="D113:E113"/>
    <mergeCell ref="F113:G113"/>
    <mergeCell ref="H113:I113"/>
    <mergeCell ref="T113:Y113"/>
    <mergeCell ref="Z113:AA113"/>
    <mergeCell ref="AB113:AC113"/>
    <mergeCell ref="Z111:AA111"/>
    <mergeCell ref="AB111:AC111"/>
    <mergeCell ref="AD111:AE111"/>
    <mergeCell ref="B112:C112"/>
    <mergeCell ref="D112:E112"/>
    <mergeCell ref="F112:G112"/>
    <mergeCell ref="H112:I112"/>
    <mergeCell ref="T112:Y112"/>
    <mergeCell ref="Z112:AA112"/>
    <mergeCell ref="B111:C111"/>
    <mergeCell ref="D111:E111"/>
    <mergeCell ref="F111:G111"/>
    <mergeCell ref="H111:I111"/>
    <mergeCell ref="T111:Y111"/>
    <mergeCell ref="J111:L111"/>
    <mergeCell ref="M111:S111"/>
    <mergeCell ref="J112:L112"/>
    <mergeCell ref="B110:C110"/>
    <mergeCell ref="D110:E110"/>
    <mergeCell ref="F110:G110"/>
    <mergeCell ref="H110:I110"/>
    <mergeCell ref="T110:Y110"/>
    <mergeCell ref="Z110:AA110"/>
    <mergeCell ref="AB110:AC110"/>
    <mergeCell ref="AD110:AE110"/>
    <mergeCell ref="AB108:AC108"/>
    <mergeCell ref="AD108:AE108"/>
    <mergeCell ref="B109:C109"/>
    <mergeCell ref="D109:E109"/>
    <mergeCell ref="F109:G109"/>
    <mergeCell ref="H109:I109"/>
    <mergeCell ref="T109:Y109"/>
    <mergeCell ref="Z109:AA109"/>
    <mergeCell ref="AB109:AC109"/>
    <mergeCell ref="J108:L108"/>
    <mergeCell ref="M108:S108"/>
    <mergeCell ref="J109:L109"/>
    <mergeCell ref="M109:S109"/>
    <mergeCell ref="J110:L110"/>
    <mergeCell ref="M110:S110"/>
    <mergeCell ref="B108:C108"/>
    <mergeCell ref="D108:E108"/>
    <mergeCell ref="F108:G108"/>
    <mergeCell ref="H108:I108"/>
    <mergeCell ref="T108:Y108"/>
    <mergeCell ref="Z108:AA108"/>
    <mergeCell ref="B107:C107"/>
    <mergeCell ref="D107:E107"/>
    <mergeCell ref="F107:G107"/>
    <mergeCell ref="H107:I107"/>
    <mergeCell ref="T107:Y107"/>
    <mergeCell ref="AD105:AE105"/>
    <mergeCell ref="B106:C106"/>
    <mergeCell ref="D106:E106"/>
    <mergeCell ref="F106:G106"/>
    <mergeCell ref="H106:I106"/>
    <mergeCell ref="T106:Y106"/>
    <mergeCell ref="Z106:AA106"/>
    <mergeCell ref="AB106:AC106"/>
    <mergeCell ref="AD106:AE106"/>
    <mergeCell ref="J105:L105"/>
    <mergeCell ref="M105:S105"/>
    <mergeCell ref="J106:L106"/>
    <mergeCell ref="M106:S106"/>
    <mergeCell ref="J107:L107"/>
    <mergeCell ref="M107:S107"/>
    <mergeCell ref="AD104:AE104"/>
    <mergeCell ref="B105:C105"/>
    <mergeCell ref="D105:E105"/>
    <mergeCell ref="F105:G105"/>
    <mergeCell ref="H105:I105"/>
    <mergeCell ref="T105:Y105"/>
    <mergeCell ref="Z105:AA105"/>
    <mergeCell ref="AB105:AC105"/>
    <mergeCell ref="Z103:AA103"/>
    <mergeCell ref="AB103:AC103"/>
    <mergeCell ref="AD103:AE103"/>
    <mergeCell ref="B104:C104"/>
    <mergeCell ref="D104:E104"/>
    <mergeCell ref="F104:G104"/>
    <mergeCell ref="H104:I104"/>
    <mergeCell ref="T104:Y104"/>
    <mergeCell ref="Z104:AA104"/>
    <mergeCell ref="B103:C103"/>
    <mergeCell ref="D103:E103"/>
    <mergeCell ref="F103:G103"/>
    <mergeCell ref="H103:I103"/>
    <mergeCell ref="T103:Y103"/>
    <mergeCell ref="J103:L103"/>
    <mergeCell ref="M103:S103"/>
    <mergeCell ref="J104:L104"/>
    <mergeCell ref="M104:S104"/>
    <mergeCell ref="AD101:AE101"/>
    <mergeCell ref="B102:C102"/>
    <mergeCell ref="D102:E102"/>
    <mergeCell ref="F102:G102"/>
    <mergeCell ref="H102:I102"/>
    <mergeCell ref="T102:Y102"/>
    <mergeCell ref="Z102:AA102"/>
    <mergeCell ref="AB102:AC102"/>
    <mergeCell ref="AD102:AE102"/>
    <mergeCell ref="AB100:AC100"/>
    <mergeCell ref="AD100:AE100"/>
    <mergeCell ref="B101:C101"/>
    <mergeCell ref="D101:E101"/>
    <mergeCell ref="F101:G101"/>
    <mergeCell ref="H101:I101"/>
    <mergeCell ref="T101:Y101"/>
    <mergeCell ref="Z101:AA101"/>
    <mergeCell ref="AB101:AC101"/>
    <mergeCell ref="J100:L100"/>
    <mergeCell ref="M100:S100"/>
    <mergeCell ref="J101:L101"/>
    <mergeCell ref="M101:S101"/>
    <mergeCell ref="J102:L102"/>
    <mergeCell ref="M102:S102"/>
    <mergeCell ref="AD99:AE99"/>
    <mergeCell ref="B100:C100"/>
    <mergeCell ref="D100:E100"/>
    <mergeCell ref="F100:G100"/>
    <mergeCell ref="H100:I100"/>
    <mergeCell ref="T100:Y100"/>
    <mergeCell ref="Z100:AA100"/>
    <mergeCell ref="B99:C99"/>
    <mergeCell ref="D99:E99"/>
    <mergeCell ref="F99:G99"/>
    <mergeCell ref="H99:I99"/>
    <mergeCell ref="T99:Y99"/>
    <mergeCell ref="AD97:AE97"/>
    <mergeCell ref="B98:C98"/>
    <mergeCell ref="D98:E98"/>
    <mergeCell ref="F98:G98"/>
    <mergeCell ref="H98:I98"/>
    <mergeCell ref="T98:Y98"/>
    <mergeCell ref="Z98:AA98"/>
    <mergeCell ref="AB98:AC98"/>
    <mergeCell ref="AD98:AE98"/>
    <mergeCell ref="J97:L97"/>
    <mergeCell ref="M97:S97"/>
    <mergeCell ref="J98:L98"/>
    <mergeCell ref="M98:S98"/>
    <mergeCell ref="J99:L99"/>
    <mergeCell ref="M99:S99"/>
    <mergeCell ref="AD96:AE96"/>
    <mergeCell ref="B97:C97"/>
    <mergeCell ref="D97:E97"/>
    <mergeCell ref="F97:G97"/>
    <mergeCell ref="H97:I97"/>
    <mergeCell ref="T97:Y97"/>
    <mergeCell ref="Z97:AA97"/>
    <mergeCell ref="AB97:AC97"/>
    <mergeCell ref="Z95:AA95"/>
    <mergeCell ref="AB95:AC95"/>
    <mergeCell ref="AD95:AE95"/>
    <mergeCell ref="B96:C96"/>
    <mergeCell ref="D96:E96"/>
    <mergeCell ref="F96:G96"/>
    <mergeCell ref="H96:I96"/>
    <mergeCell ref="T96:Y96"/>
    <mergeCell ref="Z96:AA96"/>
    <mergeCell ref="B95:C95"/>
    <mergeCell ref="D95:E95"/>
    <mergeCell ref="F95:G95"/>
    <mergeCell ref="H95:I95"/>
    <mergeCell ref="T95:Y95"/>
    <mergeCell ref="J95:L95"/>
    <mergeCell ref="M95:S95"/>
    <mergeCell ref="J96:L96"/>
    <mergeCell ref="M96:S96"/>
    <mergeCell ref="AD93:AE93"/>
    <mergeCell ref="B94:C94"/>
    <mergeCell ref="D94:E94"/>
    <mergeCell ref="F94:G94"/>
    <mergeCell ref="H94:I94"/>
    <mergeCell ref="T94:Y94"/>
    <mergeCell ref="Z94:AA94"/>
    <mergeCell ref="AB94:AC94"/>
    <mergeCell ref="AD94:AE94"/>
    <mergeCell ref="AB92:AC92"/>
    <mergeCell ref="AD92:AE92"/>
    <mergeCell ref="B93:C93"/>
    <mergeCell ref="D93:E93"/>
    <mergeCell ref="F93:G93"/>
    <mergeCell ref="H93:I93"/>
    <mergeCell ref="T93:Y93"/>
    <mergeCell ref="Z93:AA93"/>
    <mergeCell ref="AB93:AC93"/>
    <mergeCell ref="J92:L92"/>
    <mergeCell ref="M92:S92"/>
    <mergeCell ref="J93:L93"/>
    <mergeCell ref="M93:S93"/>
    <mergeCell ref="J94:L94"/>
    <mergeCell ref="M94:S94"/>
    <mergeCell ref="Z91:AA91"/>
    <mergeCell ref="AB91:AC91"/>
    <mergeCell ref="AD91:AE91"/>
    <mergeCell ref="B92:C92"/>
    <mergeCell ref="D92:E92"/>
    <mergeCell ref="F92:G92"/>
    <mergeCell ref="H92:I92"/>
    <mergeCell ref="T92:Y92"/>
    <mergeCell ref="Z92:AA92"/>
    <mergeCell ref="B91:C91"/>
    <mergeCell ref="D91:E91"/>
    <mergeCell ref="F91:G91"/>
    <mergeCell ref="H91:I91"/>
    <mergeCell ref="T91:Y91"/>
    <mergeCell ref="AD89:AE89"/>
    <mergeCell ref="B90:C90"/>
    <mergeCell ref="D90:E90"/>
    <mergeCell ref="F90:G90"/>
    <mergeCell ref="H90:I90"/>
    <mergeCell ref="T90:Y90"/>
    <mergeCell ref="Z90:AA90"/>
    <mergeCell ref="AB90:AC90"/>
    <mergeCell ref="AD90:AE90"/>
    <mergeCell ref="J89:L89"/>
    <mergeCell ref="M89:S89"/>
    <mergeCell ref="J90:L90"/>
    <mergeCell ref="M90:S90"/>
    <mergeCell ref="J91:L91"/>
    <mergeCell ref="M91:S91"/>
    <mergeCell ref="AB88:AC88"/>
    <mergeCell ref="AD88:AE88"/>
    <mergeCell ref="B89:C89"/>
    <mergeCell ref="D89:E89"/>
    <mergeCell ref="F89:G89"/>
    <mergeCell ref="H89:I89"/>
    <mergeCell ref="T89:Y89"/>
    <mergeCell ref="Z89:AA89"/>
    <mergeCell ref="AB89:AC89"/>
    <mergeCell ref="Z87:AA87"/>
    <mergeCell ref="AB87:AC87"/>
    <mergeCell ref="AD87:AE87"/>
    <mergeCell ref="B88:C88"/>
    <mergeCell ref="D88:E88"/>
    <mergeCell ref="F88:G88"/>
    <mergeCell ref="H88:I88"/>
    <mergeCell ref="T88:Y88"/>
    <mergeCell ref="Z88:AA88"/>
    <mergeCell ref="B87:C87"/>
    <mergeCell ref="D87:E87"/>
    <mergeCell ref="F87:G87"/>
    <mergeCell ref="H87:I87"/>
    <mergeCell ref="T87:Y87"/>
    <mergeCell ref="J87:L87"/>
    <mergeCell ref="M87:S87"/>
    <mergeCell ref="J88:L88"/>
    <mergeCell ref="M88:S88"/>
    <mergeCell ref="AD85:AE85"/>
    <mergeCell ref="B86:C86"/>
    <mergeCell ref="D86:E86"/>
    <mergeCell ref="F86:G86"/>
    <mergeCell ref="H86:I86"/>
    <mergeCell ref="T86:Y86"/>
    <mergeCell ref="Z86:AA86"/>
    <mergeCell ref="AB86:AC86"/>
    <mergeCell ref="AD86:AE86"/>
    <mergeCell ref="AD81:AE81"/>
    <mergeCell ref="B83:AE83"/>
    <mergeCell ref="B85:C85"/>
    <mergeCell ref="D85:E85"/>
    <mergeCell ref="F85:G85"/>
    <mergeCell ref="H85:I85"/>
    <mergeCell ref="T85:Y85"/>
    <mergeCell ref="Z85:AA85"/>
    <mergeCell ref="AB85:AC85"/>
    <mergeCell ref="R81:S81"/>
    <mergeCell ref="T81:U81"/>
    <mergeCell ref="V81:W81"/>
    <mergeCell ref="X81:Y81"/>
    <mergeCell ref="Z81:AA81"/>
    <mergeCell ref="AB81:AC81"/>
    <mergeCell ref="J85:L85"/>
    <mergeCell ref="M85:S85"/>
    <mergeCell ref="J86:L86"/>
    <mergeCell ref="M86:S86"/>
    <mergeCell ref="AB80:AC80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P80:Q80"/>
    <mergeCell ref="R80:S80"/>
    <mergeCell ref="T80:U80"/>
    <mergeCell ref="V80:W80"/>
    <mergeCell ref="X80:Y80"/>
    <mergeCell ref="Z80:AA80"/>
    <mergeCell ref="Z79:AA79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T78:U78"/>
    <mergeCell ref="V78:W78"/>
    <mergeCell ref="X78:Y78"/>
    <mergeCell ref="Z78:AA78"/>
    <mergeCell ref="AB78:AC78"/>
    <mergeCell ref="AD78:AE78"/>
    <mergeCell ref="AD77:AE77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R77:S77"/>
    <mergeCell ref="T77:U77"/>
    <mergeCell ref="V77:W77"/>
    <mergeCell ref="X77:Y77"/>
    <mergeCell ref="Z77:AA77"/>
    <mergeCell ref="AB77:AC77"/>
    <mergeCell ref="AB76:AC76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P76:Q76"/>
    <mergeCell ref="R76:S76"/>
    <mergeCell ref="T76:U76"/>
    <mergeCell ref="V76:W76"/>
    <mergeCell ref="X76:Y76"/>
    <mergeCell ref="Z76:AA76"/>
    <mergeCell ref="Z75:AA75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T74:U74"/>
    <mergeCell ref="V74:W74"/>
    <mergeCell ref="X74:Y74"/>
    <mergeCell ref="Z74:AA74"/>
    <mergeCell ref="AB74:AC74"/>
    <mergeCell ref="AD74:AE74"/>
    <mergeCell ref="AD73:AE73"/>
    <mergeCell ref="B74:C74"/>
    <mergeCell ref="D74:E74"/>
    <mergeCell ref="F74:G74"/>
    <mergeCell ref="H74:I74"/>
    <mergeCell ref="J74:K74"/>
    <mergeCell ref="L74:M74"/>
    <mergeCell ref="N74:O74"/>
    <mergeCell ref="P74:Q74"/>
    <mergeCell ref="R74:S74"/>
    <mergeCell ref="R73:S73"/>
    <mergeCell ref="T73:U73"/>
    <mergeCell ref="V73:W73"/>
    <mergeCell ref="X73:Y73"/>
    <mergeCell ref="Z73:AA73"/>
    <mergeCell ref="AB73:AC73"/>
    <mergeCell ref="AB72:AC72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P72:Q72"/>
    <mergeCell ref="R72:S72"/>
    <mergeCell ref="T72:U72"/>
    <mergeCell ref="V72:W72"/>
    <mergeCell ref="X72:Y72"/>
    <mergeCell ref="Z72:AA72"/>
    <mergeCell ref="Z71:AA71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T70:U70"/>
    <mergeCell ref="V70:W70"/>
    <mergeCell ref="X70:Y70"/>
    <mergeCell ref="Z70:AA70"/>
    <mergeCell ref="AB70:AC70"/>
    <mergeCell ref="AD70:AE70"/>
    <mergeCell ref="AD69:AE69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R69:S69"/>
    <mergeCell ref="T69:U69"/>
    <mergeCell ref="V69:W69"/>
    <mergeCell ref="X69:Y69"/>
    <mergeCell ref="Z69:AA69"/>
    <mergeCell ref="AB69:AC69"/>
    <mergeCell ref="AB68:AC68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P68:Q68"/>
    <mergeCell ref="R68:S68"/>
    <mergeCell ref="T68:U68"/>
    <mergeCell ref="V68:W68"/>
    <mergeCell ref="X68:Y68"/>
    <mergeCell ref="Z68:AA68"/>
    <mergeCell ref="Z67:AA67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T66:U66"/>
    <mergeCell ref="V66:W66"/>
    <mergeCell ref="X66:Y66"/>
    <mergeCell ref="Z66:AA66"/>
    <mergeCell ref="AB66:AC66"/>
    <mergeCell ref="AD66:AE66"/>
    <mergeCell ref="AD65:AE65"/>
    <mergeCell ref="B66:C66"/>
    <mergeCell ref="D66:E66"/>
    <mergeCell ref="F66:G66"/>
    <mergeCell ref="H66:I66"/>
    <mergeCell ref="J66:K66"/>
    <mergeCell ref="L66:M66"/>
    <mergeCell ref="N66:O66"/>
    <mergeCell ref="P66:Q66"/>
    <mergeCell ref="R66:S66"/>
    <mergeCell ref="R65:S65"/>
    <mergeCell ref="T65:U65"/>
    <mergeCell ref="V65:W65"/>
    <mergeCell ref="X65:Y65"/>
    <mergeCell ref="Z65:AA65"/>
    <mergeCell ref="AB65:AC65"/>
    <mergeCell ref="AB64:AC64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P64:Q64"/>
    <mergeCell ref="R64:S64"/>
    <mergeCell ref="T64:U64"/>
    <mergeCell ref="V64:W64"/>
    <mergeCell ref="X64:Y64"/>
    <mergeCell ref="Z64:AA64"/>
    <mergeCell ref="Z63:AA63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T62:U62"/>
    <mergeCell ref="V62:W62"/>
    <mergeCell ref="X62:Y62"/>
    <mergeCell ref="Z62:AA62"/>
    <mergeCell ref="AB62:AC62"/>
    <mergeCell ref="AD62:AE62"/>
    <mergeCell ref="AD61:AE61"/>
    <mergeCell ref="B62:C62"/>
    <mergeCell ref="D62:E62"/>
    <mergeCell ref="F62:G62"/>
    <mergeCell ref="H62:I62"/>
    <mergeCell ref="J62:K62"/>
    <mergeCell ref="L62:M62"/>
    <mergeCell ref="N62:O62"/>
    <mergeCell ref="P62:Q62"/>
    <mergeCell ref="R62:S62"/>
    <mergeCell ref="R61:S61"/>
    <mergeCell ref="T61:U61"/>
    <mergeCell ref="V61:W61"/>
    <mergeCell ref="X61:Y61"/>
    <mergeCell ref="Z61:AA61"/>
    <mergeCell ref="AB61:AC61"/>
    <mergeCell ref="AB60:AC60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P60:Q60"/>
    <mergeCell ref="R60:S60"/>
    <mergeCell ref="T60:U60"/>
    <mergeCell ref="V60:W60"/>
    <mergeCell ref="X60:Y60"/>
    <mergeCell ref="Z60:AA60"/>
    <mergeCell ref="Z59:AA59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N59:O59"/>
    <mergeCell ref="P59:Q59"/>
    <mergeCell ref="R59:S59"/>
    <mergeCell ref="T59:U59"/>
    <mergeCell ref="V59:W59"/>
    <mergeCell ref="X59:Y59"/>
    <mergeCell ref="R55:S55"/>
    <mergeCell ref="T55:U55"/>
    <mergeCell ref="V55:W55"/>
    <mergeCell ref="X55:Y55"/>
    <mergeCell ref="B59:C59"/>
    <mergeCell ref="D59:E59"/>
    <mergeCell ref="F59:G59"/>
    <mergeCell ref="H59:I59"/>
    <mergeCell ref="J59:K59"/>
    <mergeCell ref="L59:M59"/>
    <mergeCell ref="T58:U58"/>
    <mergeCell ref="V58:W58"/>
    <mergeCell ref="X58:Y58"/>
    <mergeCell ref="Z58:AA58"/>
    <mergeCell ref="AB58:AC58"/>
    <mergeCell ref="AD58:AE58"/>
    <mergeCell ref="AD57:AE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R57:S57"/>
    <mergeCell ref="T57:U57"/>
    <mergeCell ref="V57:W57"/>
    <mergeCell ref="X57:Y57"/>
    <mergeCell ref="Z57:AA57"/>
    <mergeCell ref="AB57:AC57"/>
    <mergeCell ref="T48:U48"/>
    <mergeCell ref="V48:W48"/>
    <mergeCell ref="X48:Y48"/>
    <mergeCell ref="R45:S45"/>
    <mergeCell ref="AB56:AC56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P56:Q56"/>
    <mergeCell ref="R56:S56"/>
    <mergeCell ref="T56:U56"/>
    <mergeCell ref="V56:W56"/>
    <mergeCell ref="X56:Y56"/>
    <mergeCell ref="Z56:AA56"/>
    <mergeCell ref="Z55:AA55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N55:O55"/>
    <mergeCell ref="P55:Q55"/>
    <mergeCell ref="R32:S32"/>
    <mergeCell ref="T32:U32"/>
    <mergeCell ref="V32:W32"/>
    <mergeCell ref="X32:Y32"/>
    <mergeCell ref="M47:Q47"/>
    <mergeCell ref="M48:Q48"/>
    <mergeCell ref="M45:Q45"/>
    <mergeCell ref="R51:S51"/>
    <mergeCell ref="T51:U51"/>
    <mergeCell ref="V51:W51"/>
    <mergeCell ref="X51:Y51"/>
    <mergeCell ref="B54:AE54"/>
    <mergeCell ref="D55:E55"/>
    <mergeCell ref="F55:G55"/>
    <mergeCell ref="H55:I55"/>
    <mergeCell ref="J55:K55"/>
    <mergeCell ref="L55:M55"/>
    <mergeCell ref="R49:S49"/>
    <mergeCell ref="T49:U49"/>
    <mergeCell ref="V49:W49"/>
    <mergeCell ref="X49:Y49"/>
    <mergeCell ref="R50:S50"/>
    <mergeCell ref="T50:U50"/>
    <mergeCell ref="V50:W50"/>
    <mergeCell ref="X50:Y50"/>
    <mergeCell ref="M49:Q49"/>
    <mergeCell ref="K47:L47"/>
    <mergeCell ref="R47:S47"/>
    <mergeCell ref="T47:U47"/>
    <mergeCell ref="V47:W47"/>
    <mergeCell ref="X47:Y47"/>
    <mergeCell ref="R48:S48"/>
    <mergeCell ref="T45:U45"/>
    <mergeCell ref="V45:W45"/>
    <mergeCell ref="X45:Y45"/>
    <mergeCell ref="R46:S46"/>
    <mergeCell ref="T46:U46"/>
    <mergeCell ref="V46:W46"/>
    <mergeCell ref="X46:Y46"/>
    <mergeCell ref="M46:Q46"/>
    <mergeCell ref="V44:W44"/>
    <mergeCell ref="X44:Y44"/>
    <mergeCell ref="R41:S41"/>
    <mergeCell ref="T41:U41"/>
    <mergeCell ref="V41:W41"/>
    <mergeCell ref="X41:Y41"/>
    <mergeCell ref="R42:S42"/>
    <mergeCell ref="T42:U42"/>
    <mergeCell ref="V42:W42"/>
    <mergeCell ref="X42:Y42"/>
    <mergeCell ref="M44:Q44"/>
    <mergeCell ref="AD25:AE25"/>
    <mergeCell ref="R37:S37"/>
    <mergeCell ref="R43:S43"/>
    <mergeCell ref="T43:U43"/>
    <mergeCell ref="V43:W43"/>
    <mergeCell ref="X43:Y43"/>
    <mergeCell ref="R44:S44"/>
    <mergeCell ref="T44:U44"/>
    <mergeCell ref="Q15:S15"/>
    <mergeCell ref="R39:S39"/>
    <mergeCell ref="T39:U39"/>
    <mergeCell ref="V39:W39"/>
    <mergeCell ref="X39:Y39"/>
    <mergeCell ref="R40:S40"/>
    <mergeCell ref="T40:U40"/>
    <mergeCell ref="V40:W40"/>
    <mergeCell ref="X40:Y40"/>
    <mergeCell ref="M34:Q34"/>
    <mergeCell ref="M33:Q33"/>
    <mergeCell ref="M32:Q32"/>
    <mergeCell ref="R38:S38"/>
    <mergeCell ref="T38:U38"/>
    <mergeCell ref="V38:W38"/>
    <mergeCell ref="X38:Y38"/>
    <mergeCell ref="T31:U31"/>
    <mergeCell ref="V31:W31"/>
    <mergeCell ref="Y15:AA15"/>
    <mergeCell ref="T35:U35"/>
    <mergeCell ref="V35:W35"/>
    <mergeCell ref="X35:Y35"/>
    <mergeCell ref="R36:S36"/>
    <mergeCell ref="X31:Y31"/>
    <mergeCell ref="X1:Y1"/>
    <mergeCell ref="Z1:AB1"/>
    <mergeCell ref="B150:D150"/>
    <mergeCell ref="B149:D149"/>
    <mergeCell ref="B148:D148"/>
    <mergeCell ref="E148:K148"/>
    <mergeCell ref="AB12:AC12"/>
    <mergeCell ref="Q11:R11"/>
    <mergeCell ref="S11:W11"/>
    <mergeCell ref="AB14:AC14"/>
    <mergeCell ref="AD14:AE14"/>
    <mergeCell ref="AB10:AC10"/>
    <mergeCell ref="AB11:AC11"/>
    <mergeCell ref="AB18:AC18"/>
    <mergeCell ref="AD18:AE18"/>
    <mergeCell ref="AB15:AC15"/>
    <mergeCell ref="AD15:AE15"/>
    <mergeCell ref="AD22:AE22"/>
    <mergeCell ref="N27:O27"/>
    <mergeCell ref="P27:R27"/>
    <mergeCell ref="AB23:AC23"/>
    <mergeCell ref="AD23:AE23"/>
    <mergeCell ref="N25:V25"/>
    <mergeCell ref="AB21:AC21"/>
    <mergeCell ref="AD21:AE21"/>
    <mergeCell ref="N26:O26"/>
    <mergeCell ref="P26:R26"/>
    <mergeCell ref="S26:T27"/>
    <mergeCell ref="U26:V27"/>
    <mergeCell ref="AB22:AC22"/>
    <mergeCell ref="AB19:AC19"/>
    <mergeCell ref="AD19:AE19"/>
    <mergeCell ref="V152:AE152"/>
    <mergeCell ref="L151:N151"/>
    <mergeCell ref="O151:Q151"/>
    <mergeCell ref="V148:X151"/>
    <mergeCell ref="V147:X147"/>
    <mergeCell ref="Y147:AE147"/>
    <mergeCell ref="Y148:AE151"/>
    <mergeCell ref="V146:AE146"/>
    <mergeCell ref="S153:T153"/>
    <mergeCell ref="S154:T154"/>
    <mergeCell ref="S155:T155"/>
    <mergeCell ref="B152:O152"/>
    <mergeCell ref="E147:K147"/>
    <mergeCell ref="E146:K146"/>
    <mergeCell ref="L146:N146"/>
    <mergeCell ref="O146:P146"/>
    <mergeCell ref="Q146:U146"/>
    <mergeCell ref="L147:N150"/>
    <mergeCell ref="O147:U150"/>
    <mergeCell ref="B147:D147"/>
    <mergeCell ref="E150:G150"/>
    <mergeCell ref="J150:K150"/>
    <mergeCell ref="H150:I150"/>
    <mergeCell ref="E149:K149"/>
    <mergeCell ref="V153:AE157"/>
    <mergeCell ref="B146:D146"/>
    <mergeCell ref="V158:AE158"/>
    <mergeCell ref="B160:C160"/>
    <mergeCell ref="B153:C153"/>
    <mergeCell ref="B155:C155"/>
    <mergeCell ref="B156:C156"/>
    <mergeCell ref="D156:E156"/>
    <mergeCell ref="B163:C163"/>
    <mergeCell ref="B164:C164"/>
    <mergeCell ref="B165:C165"/>
    <mergeCell ref="B166:C166"/>
    <mergeCell ref="B167:C167"/>
    <mergeCell ref="B168:C168"/>
    <mergeCell ref="B169:C169"/>
    <mergeCell ref="B170:C170"/>
    <mergeCell ref="B171:C171"/>
    <mergeCell ref="B172:C172"/>
    <mergeCell ref="B173:C173"/>
    <mergeCell ref="N156:O156"/>
    <mergeCell ref="D158:E158"/>
    <mergeCell ref="F158:G158"/>
    <mergeCell ref="H158:I158"/>
    <mergeCell ref="J158:K158"/>
    <mergeCell ref="L158:M158"/>
    <mergeCell ref="N158:O158"/>
    <mergeCell ref="D159:E159"/>
    <mergeCell ref="F159:G159"/>
    <mergeCell ref="H159:I159"/>
    <mergeCell ref="J159:K159"/>
    <mergeCell ref="L159:M159"/>
    <mergeCell ref="N159:O159"/>
    <mergeCell ref="B158:C158"/>
    <mergeCell ref="B159:C159"/>
    <mergeCell ref="B175:C175"/>
    <mergeCell ref="B176:C176"/>
    <mergeCell ref="B177:C177"/>
    <mergeCell ref="B178:C178"/>
    <mergeCell ref="F174:G174"/>
    <mergeCell ref="H174:I174"/>
    <mergeCell ref="J174:K174"/>
    <mergeCell ref="L174:M174"/>
    <mergeCell ref="D168:E168"/>
    <mergeCell ref="F168:G168"/>
    <mergeCell ref="H168:I168"/>
    <mergeCell ref="J168:K168"/>
    <mergeCell ref="L168:M168"/>
    <mergeCell ref="N168:O168"/>
    <mergeCell ref="D169:E169"/>
    <mergeCell ref="F169:G169"/>
    <mergeCell ref="H169:I169"/>
    <mergeCell ref="J169:K169"/>
    <mergeCell ref="L169:M169"/>
    <mergeCell ref="J176:K176"/>
    <mergeCell ref="L176:M176"/>
    <mergeCell ref="N176:O176"/>
    <mergeCell ref="B174:C174"/>
    <mergeCell ref="D172:E172"/>
    <mergeCell ref="F172:G172"/>
    <mergeCell ref="H172:I172"/>
    <mergeCell ref="J172:K172"/>
    <mergeCell ref="L172:M172"/>
    <mergeCell ref="N172:O172"/>
    <mergeCell ref="D173:E173"/>
    <mergeCell ref="F173:G173"/>
    <mergeCell ref="H173:I173"/>
    <mergeCell ref="B179:C179"/>
    <mergeCell ref="B180:C180"/>
    <mergeCell ref="B157:C157"/>
    <mergeCell ref="D157:E157"/>
    <mergeCell ref="F157:G157"/>
    <mergeCell ref="H157:I157"/>
    <mergeCell ref="J157:K157"/>
    <mergeCell ref="L157:M157"/>
    <mergeCell ref="N157:O157"/>
    <mergeCell ref="D153:E153"/>
    <mergeCell ref="D154:E154"/>
    <mergeCell ref="F153:G153"/>
    <mergeCell ref="F154:G154"/>
    <mergeCell ref="H153:I153"/>
    <mergeCell ref="H154:I154"/>
    <mergeCell ref="J153:K153"/>
    <mergeCell ref="J154:K154"/>
    <mergeCell ref="L153:M153"/>
    <mergeCell ref="L154:M154"/>
    <mergeCell ref="N153:O153"/>
    <mergeCell ref="N154:O154"/>
    <mergeCell ref="N155:O155"/>
    <mergeCell ref="L155:M155"/>
    <mergeCell ref="J155:K155"/>
    <mergeCell ref="H155:I155"/>
    <mergeCell ref="F155:G155"/>
    <mergeCell ref="D155:E155"/>
    <mergeCell ref="B154:C154"/>
    <mergeCell ref="F156:G156"/>
    <mergeCell ref="H156:I156"/>
    <mergeCell ref="J156:K156"/>
    <mergeCell ref="L156:M156"/>
    <mergeCell ref="D160:E160"/>
    <mergeCell ref="F160:G160"/>
    <mergeCell ref="H160:I160"/>
    <mergeCell ref="J160:K160"/>
    <mergeCell ref="L160:M160"/>
    <mergeCell ref="N160:O160"/>
    <mergeCell ref="D161:E161"/>
    <mergeCell ref="F161:G161"/>
    <mergeCell ref="H161:I161"/>
    <mergeCell ref="J161:K161"/>
    <mergeCell ref="L161:M161"/>
    <mergeCell ref="N161:O161"/>
    <mergeCell ref="D162:E162"/>
    <mergeCell ref="F162:G162"/>
    <mergeCell ref="H162:I162"/>
    <mergeCell ref="J162:K162"/>
    <mergeCell ref="L162:M162"/>
    <mergeCell ref="N162:O162"/>
    <mergeCell ref="B161:C161"/>
    <mergeCell ref="B162:C162"/>
    <mergeCell ref="D165:E165"/>
    <mergeCell ref="F165:G165"/>
    <mergeCell ref="H165:I165"/>
    <mergeCell ref="J165:K165"/>
    <mergeCell ref="L165:M165"/>
    <mergeCell ref="N165:O165"/>
    <mergeCell ref="D166:E166"/>
    <mergeCell ref="F166:G166"/>
    <mergeCell ref="H166:I166"/>
    <mergeCell ref="J166:K166"/>
    <mergeCell ref="L166:M166"/>
    <mergeCell ref="N166:O166"/>
    <mergeCell ref="D167:E167"/>
    <mergeCell ref="F167:G167"/>
    <mergeCell ref="H167:I167"/>
    <mergeCell ref="J167:K167"/>
    <mergeCell ref="L167:M167"/>
    <mergeCell ref="N167:O167"/>
    <mergeCell ref="D163:E163"/>
    <mergeCell ref="F163:G163"/>
    <mergeCell ref="H163:I163"/>
    <mergeCell ref="J163:K163"/>
    <mergeCell ref="L163:M163"/>
    <mergeCell ref="N163:O163"/>
    <mergeCell ref="D164:E164"/>
    <mergeCell ref="F164:G164"/>
    <mergeCell ref="H164:I164"/>
    <mergeCell ref="J164:K164"/>
    <mergeCell ref="L164:M164"/>
    <mergeCell ref="N164:O164"/>
    <mergeCell ref="J173:K173"/>
    <mergeCell ref="L173:M173"/>
    <mergeCell ref="N173:O173"/>
    <mergeCell ref="D174:E174"/>
    <mergeCell ref="H176:I176"/>
    <mergeCell ref="N174:O174"/>
    <mergeCell ref="N169:O169"/>
    <mergeCell ref="D170:E170"/>
    <mergeCell ref="F170:G170"/>
    <mergeCell ref="H170:I170"/>
    <mergeCell ref="J170:K170"/>
    <mergeCell ref="L170:M170"/>
    <mergeCell ref="N170:O170"/>
    <mergeCell ref="L175:M175"/>
    <mergeCell ref="N175:O175"/>
    <mergeCell ref="D176:E176"/>
    <mergeCell ref="F176:G176"/>
    <mergeCell ref="D171:E171"/>
    <mergeCell ref="F171:G171"/>
    <mergeCell ref="H171:I171"/>
    <mergeCell ref="J171:K171"/>
    <mergeCell ref="L171:M171"/>
    <mergeCell ref="N171:O171"/>
    <mergeCell ref="V159:AE180"/>
    <mergeCell ref="Q153:R153"/>
    <mergeCell ref="Q154:R154"/>
    <mergeCell ref="Q155:R155"/>
    <mergeCell ref="D178:E178"/>
    <mergeCell ref="F178:G178"/>
    <mergeCell ref="H178:I178"/>
    <mergeCell ref="J178:K178"/>
    <mergeCell ref="L178:M178"/>
    <mergeCell ref="N178:O178"/>
    <mergeCell ref="D179:E179"/>
    <mergeCell ref="F179:G179"/>
    <mergeCell ref="H179:I179"/>
    <mergeCell ref="J179:K179"/>
    <mergeCell ref="L179:M179"/>
    <mergeCell ref="N179:O179"/>
    <mergeCell ref="D180:E180"/>
    <mergeCell ref="F180:G180"/>
    <mergeCell ref="H180:I180"/>
    <mergeCell ref="J180:K180"/>
    <mergeCell ref="L180:M180"/>
    <mergeCell ref="N180:O180"/>
    <mergeCell ref="D175:E175"/>
    <mergeCell ref="F175:G175"/>
    <mergeCell ref="H175:I175"/>
    <mergeCell ref="J175:K175"/>
    <mergeCell ref="D177:E177"/>
    <mergeCell ref="F177:G177"/>
    <mergeCell ref="H177:I177"/>
    <mergeCell ref="J177:K177"/>
    <mergeCell ref="L177:M177"/>
    <mergeCell ref="N177:O177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098" r:id="rId4" name="cmd_Pintar">
          <controlPr defaultSize="0" autoLine="0" r:id="rId5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098" r:id="rId4" name="cmd_Pintar"/>
      </mc:Fallback>
    </mc:AlternateContent>
    <mc:AlternateContent xmlns:mc="http://schemas.openxmlformats.org/markup-compatibility/2006">
      <mc:Choice Requires="x14">
        <control shapeId="4097" r:id="rId6" name="cmd_Lock">
          <controlPr defaultSize="0" autoLine="0" r:id="rId7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097" r:id="rId6" name="cmd_Lo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_CONTRATOS">
    <tabColor rgb="FF7030A0"/>
  </sheetPr>
  <dimension ref="A1:O103"/>
  <sheetViews>
    <sheetView showGridLines="0" showRowColHeaders="0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0" defaultRowHeight="11.25" zeroHeight="1" x14ac:dyDescent="0.25"/>
  <cols>
    <col min="1" max="1" width="5.85546875" style="22" customWidth="1"/>
    <col min="2" max="2" width="37.140625" style="22" customWidth="1"/>
    <col min="3" max="3" width="10.140625" style="91" customWidth="1"/>
    <col min="4" max="5" width="15.140625" style="22" customWidth="1"/>
    <col min="6" max="6" width="13.42578125" style="22" customWidth="1"/>
    <col min="7" max="7" width="5.42578125" style="96" customWidth="1"/>
    <col min="8" max="8" width="9.7109375" style="95" customWidth="1"/>
    <col min="9" max="11" width="3.85546875" style="91" customWidth="1"/>
    <col min="12" max="12" width="3.85546875" style="107" customWidth="1"/>
    <col min="13" max="13" width="34.28515625" style="210" customWidth="1"/>
    <col min="14" max="14" width="1.5703125" style="22" customWidth="1"/>
    <col min="15" max="15" width="26.7109375" style="22" customWidth="1"/>
    <col min="16" max="16384" width="9.140625" style="22" hidden="1"/>
  </cols>
  <sheetData>
    <row r="1" spans="1:15" ht="27.75" customHeight="1" x14ac:dyDescent="0.2">
      <c r="A1" s="101">
        <v>68</v>
      </c>
      <c r="B1" s="93" t="s">
        <v>209</v>
      </c>
      <c r="C1" s="92" t="s">
        <v>54</v>
      </c>
      <c r="D1" s="93" t="s">
        <v>165</v>
      </c>
      <c r="E1" s="93" t="s">
        <v>824</v>
      </c>
      <c r="F1" s="93" t="s">
        <v>166</v>
      </c>
      <c r="G1" s="93" t="s">
        <v>167</v>
      </c>
      <c r="H1" s="94" t="s">
        <v>273</v>
      </c>
      <c r="I1" s="92" t="s">
        <v>674</v>
      </c>
      <c r="J1" s="92" t="s">
        <v>675</v>
      </c>
      <c r="K1" s="92" t="s">
        <v>676</v>
      </c>
      <c r="L1" s="104" t="s">
        <v>991</v>
      </c>
      <c r="M1" s="209" t="s">
        <v>61</v>
      </c>
      <c r="O1" s="212" t="s">
        <v>669</v>
      </c>
    </row>
    <row r="2" spans="1:15" x14ac:dyDescent="0.25">
      <c r="B2" s="17" t="s">
        <v>988</v>
      </c>
      <c r="C2" s="98" t="s">
        <v>60</v>
      </c>
      <c r="D2" s="17"/>
      <c r="E2" s="17"/>
      <c r="F2" s="17" t="s">
        <v>788</v>
      </c>
      <c r="G2" s="99"/>
      <c r="H2" s="100"/>
      <c r="I2" s="98"/>
      <c r="J2" s="98"/>
      <c r="K2" s="98"/>
      <c r="L2" s="106"/>
      <c r="M2" s="211"/>
      <c r="O2" s="102" t="s">
        <v>168</v>
      </c>
    </row>
    <row r="3" spans="1:15" x14ac:dyDescent="0.25">
      <c r="B3" s="17" t="s">
        <v>663</v>
      </c>
      <c r="C3" s="98">
        <v>4600045908</v>
      </c>
      <c r="D3" s="17"/>
      <c r="E3" s="17"/>
      <c r="F3" s="17" t="s">
        <v>663</v>
      </c>
      <c r="G3" s="99"/>
      <c r="H3" s="100">
        <v>43281</v>
      </c>
      <c r="I3" s="98">
        <v>30</v>
      </c>
      <c r="J3" s="98">
        <v>30</v>
      </c>
      <c r="K3" s="98">
        <v>40</v>
      </c>
      <c r="L3" s="106"/>
      <c r="M3" s="211"/>
      <c r="O3" s="103" t="s">
        <v>424</v>
      </c>
    </row>
    <row r="4" spans="1:15" x14ac:dyDescent="0.25">
      <c r="B4" s="17" t="s">
        <v>169</v>
      </c>
      <c r="C4" s="98">
        <v>4600046926</v>
      </c>
      <c r="D4" s="17"/>
      <c r="E4" s="17"/>
      <c r="F4" s="17" t="s">
        <v>169</v>
      </c>
      <c r="G4" s="99"/>
      <c r="H4" s="100">
        <v>43769</v>
      </c>
      <c r="I4" s="98">
        <v>30</v>
      </c>
      <c r="J4" s="98">
        <v>30</v>
      </c>
      <c r="K4" s="98">
        <v>40</v>
      </c>
      <c r="L4" s="106"/>
      <c r="M4" s="211"/>
      <c r="O4" s="213" t="s">
        <v>1037</v>
      </c>
    </row>
    <row r="5" spans="1:15" x14ac:dyDescent="0.25">
      <c r="B5" s="17" t="s">
        <v>274</v>
      </c>
      <c r="C5" s="98" t="s">
        <v>697</v>
      </c>
      <c r="D5" s="17" t="s">
        <v>36</v>
      </c>
      <c r="E5" s="17"/>
      <c r="F5" s="17" t="s">
        <v>170</v>
      </c>
      <c r="G5" s="99"/>
      <c r="H5" s="100">
        <v>44439</v>
      </c>
      <c r="I5" s="98"/>
      <c r="J5" s="98"/>
      <c r="K5" s="98"/>
      <c r="L5" s="106"/>
      <c r="M5" s="211"/>
      <c r="O5" s="97" t="s">
        <v>990</v>
      </c>
    </row>
    <row r="6" spans="1:15" x14ac:dyDescent="0.25">
      <c r="B6" s="17" t="s">
        <v>404</v>
      </c>
      <c r="C6" s="98" t="s">
        <v>698</v>
      </c>
      <c r="D6" s="17" t="s">
        <v>789</v>
      </c>
      <c r="E6" s="17"/>
      <c r="F6" s="17" t="s">
        <v>170</v>
      </c>
      <c r="G6" s="99" t="s">
        <v>172</v>
      </c>
      <c r="H6" s="100">
        <v>44439</v>
      </c>
      <c r="I6" s="98"/>
      <c r="J6" s="98"/>
      <c r="K6" s="98"/>
      <c r="L6" s="106"/>
      <c r="M6" s="211"/>
      <c r="O6" s="105" t="s">
        <v>423</v>
      </c>
    </row>
    <row r="7" spans="1:15" x14ac:dyDescent="0.25">
      <c r="B7" s="17" t="s">
        <v>1040</v>
      </c>
      <c r="C7" s="98">
        <v>4600043366</v>
      </c>
      <c r="D7" s="17"/>
      <c r="E7" s="17" t="s">
        <v>789</v>
      </c>
      <c r="F7" s="17" t="s">
        <v>170</v>
      </c>
      <c r="G7" s="99" t="s">
        <v>172</v>
      </c>
      <c r="H7" s="100">
        <v>44439</v>
      </c>
      <c r="I7" s="98"/>
      <c r="J7" s="98"/>
      <c r="K7" s="98"/>
      <c r="L7" s="106"/>
      <c r="M7" s="211" t="s">
        <v>1041</v>
      </c>
      <c r="O7" s="214" t="s">
        <v>993</v>
      </c>
    </row>
    <row r="8" spans="1:15" x14ac:dyDescent="0.25">
      <c r="B8" s="17" t="s">
        <v>837</v>
      </c>
      <c r="C8" s="98">
        <v>4600043369</v>
      </c>
      <c r="D8" s="17"/>
      <c r="E8" s="17" t="s">
        <v>36</v>
      </c>
      <c r="F8" s="17" t="s">
        <v>170</v>
      </c>
      <c r="G8" s="99"/>
      <c r="H8" s="100">
        <v>44439</v>
      </c>
      <c r="I8" s="98"/>
      <c r="J8" s="98"/>
      <c r="K8" s="98"/>
      <c r="L8" s="106"/>
      <c r="M8" s="211"/>
    </row>
    <row r="9" spans="1:15" x14ac:dyDescent="0.25">
      <c r="B9" s="17" t="s">
        <v>1009</v>
      </c>
      <c r="C9" s="98">
        <v>4600043366</v>
      </c>
      <c r="D9" s="17"/>
      <c r="E9" s="17"/>
      <c r="F9" s="17" t="s">
        <v>170</v>
      </c>
      <c r="G9" s="99"/>
      <c r="H9" s="100">
        <v>44439</v>
      </c>
      <c r="I9" s="98">
        <v>40</v>
      </c>
      <c r="J9" s="98">
        <v>40</v>
      </c>
      <c r="K9" s="98">
        <v>20</v>
      </c>
      <c r="L9" s="106" t="s">
        <v>992</v>
      </c>
      <c r="M9" s="211" t="s">
        <v>1033</v>
      </c>
    </row>
    <row r="10" spans="1:15" x14ac:dyDescent="0.25">
      <c r="B10" s="17" t="s">
        <v>981</v>
      </c>
      <c r="C10" s="98" t="s">
        <v>983</v>
      </c>
      <c r="D10" s="17" t="s">
        <v>981</v>
      </c>
      <c r="E10" s="17"/>
      <c r="F10" s="17" t="s">
        <v>982</v>
      </c>
      <c r="G10" s="99"/>
      <c r="H10" s="100">
        <v>43738</v>
      </c>
      <c r="I10" s="98"/>
      <c r="J10" s="98"/>
      <c r="K10" s="98"/>
      <c r="L10" s="106"/>
      <c r="M10" s="211"/>
    </row>
    <row r="11" spans="1:15" x14ac:dyDescent="0.25">
      <c r="B11" s="17" t="s">
        <v>984</v>
      </c>
      <c r="C11" s="98">
        <v>4600047951</v>
      </c>
      <c r="D11" s="17"/>
      <c r="E11" s="17" t="s">
        <v>981</v>
      </c>
      <c r="F11" s="17" t="s">
        <v>982</v>
      </c>
      <c r="G11" s="99"/>
      <c r="H11" s="100">
        <v>43738</v>
      </c>
      <c r="I11" s="98"/>
      <c r="J11" s="98"/>
      <c r="K11" s="98"/>
      <c r="L11" s="106"/>
      <c r="M11" s="211"/>
    </row>
    <row r="12" spans="1:15" x14ac:dyDescent="0.25">
      <c r="B12" s="17" t="s">
        <v>402</v>
      </c>
      <c r="C12" s="98">
        <v>4600038943</v>
      </c>
      <c r="D12" s="17"/>
      <c r="E12" s="17"/>
      <c r="F12" s="17" t="s">
        <v>173</v>
      </c>
      <c r="G12" s="99"/>
      <c r="H12" s="100">
        <v>43434</v>
      </c>
      <c r="I12" s="98">
        <v>30</v>
      </c>
      <c r="J12" s="98">
        <v>30</v>
      </c>
      <c r="K12" s="98">
        <v>40</v>
      </c>
      <c r="L12" s="106"/>
      <c r="M12" s="211"/>
    </row>
    <row r="13" spans="1:15" x14ac:dyDescent="0.25">
      <c r="B13" s="17" t="s">
        <v>649</v>
      </c>
      <c r="C13" s="98" t="s">
        <v>699</v>
      </c>
      <c r="D13" s="17" t="s">
        <v>661</v>
      </c>
      <c r="E13" s="17"/>
      <c r="F13" s="17" t="s">
        <v>452</v>
      </c>
      <c r="G13" s="99" t="s">
        <v>174</v>
      </c>
      <c r="H13" s="100">
        <v>43830</v>
      </c>
      <c r="I13" s="98"/>
      <c r="J13" s="98"/>
      <c r="K13" s="98"/>
      <c r="L13" s="106"/>
      <c r="M13" s="211"/>
    </row>
    <row r="14" spans="1:15" x14ac:dyDescent="0.25">
      <c r="B14" s="17" t="s">
        <v>670</v>
      </c>
      <c r="C14" s="98" t="s">
        <v>700</v>
      </c>
      <c r="D14" s="17" t="s">
        <v>673</v>
      </c>
      <c r="E14" s="17"/>
      <c r="F14" s="17" t="s">
        <v>452</v>
      </c>
      <c r="G14" s="99" t="s">
        <v>175</v>
      </c>
      <c r="H14" s="100">
        <v>43921</v>
      </c>
      <c r="I14" s="98"/>
      <c r="J14" s="98"/>
      <c r="K14" s="98"/>
      <c r="L14" s="106"/>
      <c r="M14" s="211"/>
    </row>
    <row r="15" spans="1:15" x14ac:dyDescent="0.25">
      <c r="B15" s="17" t="s">
        <v>838</v>
      </c>
      <c r="C15" s="98">
        <v>4600045294</v>
      </c>
      <c r="D15" s="17"/>
      <c r="E15" s="17" t="s">
        <v>661</v>
      </c>
      <c r="F15" s="17" t="s">
        <v>452</v>
      </c>
      <c r="G15" s="99" t="s">
        <v>174</v>
      </c>
      <c r="H15" s="100">
        <v>43830</v>
      </c>
      <c r="I15" s="98"/>
      <c r="J15" s="98"/>
      <c r="K15" s="98"/>
      <c r="L15" s="106"/>
      <c r="M15" s="211"/>
    </row>
    <row r="16" spans="1:15" x14ac:dyDescent="0.25">
      <c r="B16" s="17" t="s">
        <v>839</v>
      </c>
      <c r="C16" s="98">
        <v>4600045951</v>
      </c>
      <c r="D16" s="17"/>
      <c r="E16" s="17" t="s">
        <v>673</v>
      </c>
      <c r="F16" s="17" t="s">
        <v>452</v>
      </c>
      <c r="G16" s="99" t="s">
        <v>175</v>
      </c>
      <c r="H16" s="100">
        <v>43921</v>
      </c>
      <c r="I16" s="98"/>
      <c r="J16" s="98"/>
      <c r="K16" s="98"/>
      <c r="L16" s="106"/>
      <c r="M16" s="211"/>
    </row>
    <row r="17" spans="2:13" x14ac:dyDescent="0.25">
      <c r="B17" s="17" t="s">
        <v>176</v>
      </c>
      <c r="C17" s="98">
        <v>4600044127</v>
      </c>
      <c r="D17" s="17"/>
      <c r="E17" s="17"/>
      <c r="F17" s="17" t="s">
        <v>177</v>
      </c>
      <c r="G17" s="99"/>
      <c r="H17" s="100">
        <v>43100</v>
      </c>
      <c r="I17" s="98">
        <v>30</v>
      </c>
      <c r="J17" s="98">
        <v>30</v>
      </c>
      <c r="K17" s="98">
        <v>40</v>
      </c>
      <c r="L17" s="106"/>
      <c r="M17" s="211"/>
    </row>
    <row r="18" spans="2:13" x14ac:dyDescent="0.25">
      <c r="B18" s="17" t="s">
        <v>994</v>
      </c>
      <c r="C18" s="98" t="s">
        <v>701</v>
      </c>
      <c r="D18" s="17" t="s">
        <v>178</v>
      </c>
      <c r="E18" s="17"/>
      <c r="F18" s="17" t="s">
        <v>178</v>
      </c>
      <c r="G18" s="99"/>
      <c r="H18" s="100">
        <v>43312</v>
      </c>
      <c r="I18" s="98"/>
      <c r="J18" s="98"/>
      <c r="K18" s="98"/>
      <c r="L18" s="106"/>
      <c r="M18" s="211" t="s">
        <v>995</v>
      </c>
    </row>
    <row r="19" spans="2:13" x14ac:dyDescent="0.25">
      <c r="B19" s="17" t="s">
        <v>1042</v>
      </c>
      <c r="C19" s="98">
        <v>4600041956</v>
      </c>
      <c r="D19" s="17"/>
      <c r="E19" s="17" t="s">
        <v>178</v>
      </c>
      <c r="F19" s="17" t="s">
        <v>178</v>
      </c>
      <c r="G19" s="99"/>
      <c r="H19" s="100">
        <v>43312</v>
      </c>
      <c r="I19" s="98"/>
      <c r="J19" s="98"/>
      <c r="K19" s="98"/>
      <c r="L19" s="106"/>
      <c r="M19" s="211" t="s">
        <v>995</v>
      </c>
    </row>
    <row r="20" spans="2:13" x14ac:dyDescent="0.25">
      <c r="B20" s="17" t="s">
        <v>997</v>
      </c>
      <c r="C20" s="98">
        <v>4600041956</v>
      </c>
      <c r="D20" s="17"/>
      <c r="E20" s="17"/>
      <c r="F20" s="17" t="s">
        <v>178</v>
      </c>
      <c r="G20" s="99"/>
      <c r="H20" s="100">
        <v>43312</v>
      </c>
      <c r="I20" s="98">
        <v>30</v>
      </c>
      <c r="J20" s="98">
        <v>40</v>
      </c>
      <c r="K20" s="98">
        <v>30</v>
      </c>
      <c r="L20" s="106"/>
      <c r="M20" s="211" t="s">
        <v>996</v>
      </c>
    </row>
    <row r="21" spans="2:13" x14ac:dyDescent="0.25">
      <c r="B21" s="17" t="s">
        <v>407</v>
      </c>
      <c r="C21" s="98">
        <v>4600046877</v>
      </c>
      <c r="D21" s="17"/>
      <c r="E21" s="17"/>
      <c r="F21" s="17" t="s">
        <v>406</v>
      </c>
      <c r="G21" s="99"/>
      <c r="H21" s="100">
        <v>43420</v>
      </c>
      <c r="I21" s="98">
        <v>30</v>
      </c>
      <c r="J21" s="98">
        <v>30</v>
      </c>
      <c r="K21" s="98">
        <v>40</v>
      </c>
      <c r="L21" s="106"/>
      <c r="M21" s="211" t="s">
        <v>709</v>
      </c>
    </row>
    <row r="22" spans="2:13" x14ac:dyDescent="0.25">
      <c r="B22" s="17" t="s">
        <v>1038</v>
      </c>
      <c r="C22" s="98">
        <v>4600046998</v>
      </c>
      <c r="D22" s="17"/>
      <c r="E22" s="17"/>
      <c r="F22" s="17" t="s">
        <v>1038</v>
      </c>
      <c r="G22" s="99"/>
      <c r="H22" s="100">
        <v>42997</v>
      </c>
      <c r="I22" s="98"/>
      <c r="J22" s="98"/>
      <c r="K22" s="98">
        <v>100</v>
      </c>
      <c r="L22" s="106" t="s">
        <v>992</v>
      </c>
      <c r="M22" s="211"/>
    </row>
    <row r="23" spans="2:13" x14ac:dyDescent="0.25">
      <c r="B23" s="17" t="s">
        <v>790</v>
      </c>
      <c r="C23" s="98">
        <v>4600046802</v>
      </c>
      <c r="D23" s="17"/>
      <c r="E23" s="17"/>
      <c r="F23" s="17" t="s">
        <v>451</v>
      </c>
      <c r="G23" s="99"/>
      <c r="H23" s="100">
        <v>43555</v>
      </c>
      <c r="I23" s="98"/>
      <c r="J23" s="98"/>
      <c r="K23" s="98">
        <v>100</v>
      </c>
      <c r="L23" s="106" t="s">
        <v>992</v>
      </c>
      <c r="M23" s="211"/>
    </row>
    <row r="24" spans="2:13" x14ac:dyDescent="0.25">
      <c r="B24" s="17" t="s">
        <v>999</v>
      </c>
      <c r="C24" s="98">
        <v>4600042353</v>
      </c>
      <c r="D24" s="17"/>
      <c r="E24" s="17"/>
      <c r="F24" s="17" t="s">
        <v>179</v>
      </c>
      <c r="G24" s="99"/>
      <c r="H24" s="100">
        <v>43404</v>
      </c>
      <c r="I24" s="98">
        <v>30</v>
      </c>
      <c r="J24" s="98">
        <v>30</v>
      </c>
      <c r="K24" s="98">
        <v>40</v>
      </c>
      <c r="L24" s="106"/>
      <c r="M24" s="211"/>
    </row>
    <row r="25" spans="2:13" x14ac:dyDescent="0.25">
      <c r="B25" s="17" t="s">
        <v>786</v>
      </c>
      <c r="C25" s="98">
        <v>4600041840</v>
      </c>
      <c r="D25" s="17"/>
      <c r="E25" s="17"/>
      <c r="F25" s="17" t="s">
        <v>180</v>
      </c>
      <c r="G25" s="99"/>
      <c r="H25" s="100">
        <v>43251</v>
      </c>
      <c r="I25" s="98"/>
      <c r="J25" s="98"/>
      <c r="K25" s="98"/>
      <c r="L25" s="106"/>
      <c r="M25" s="211"/>
    </row>
    <row r="26" spans="2:13" x14ac:dyDescent="0.25">
      <c r="B26" s="17" t="s">
        <v>662</v>
      </c>
      <c r="C26" s="98">
        <v>4600046592</v>
      </c>
      <c r="D26" s="17"/>
      <c r="E26" s="17"/>
      <c r="F26" s="17" t="s">
        <v>180</v>
      </c>
      <c r="G26" s="99"/>
      <c r="H26" s="100">
        <v>43312</v>
      </c>
      <c r="I26" s="98">
        <v>30</v>
      </c>
      <c r="J26" s="98">
        <v>30</v>
      </c>
      <c r="K26" s="98">
        <v>40</v>
      </c>
      <c r="L26" s="106" t="s">
        <v>992</v>
      </c>
      <c r="M26" s="211"/>
    </row>
    <row r="27" spans="2:13" x14ac:dyDescent="0.25">
      <c r="B27" s="17" t="s">
        <v>181</v>
      </c>
      <c r="C27" s="98">
        <v>4600046066</v>
      </c>
      <c r="D27" s="17"/>
      <c r="E27" s="17"/>
      <c r="F27" s="17" t="s">
        <v>181</v>
      </c>
      <c r="G27" s="99"/>
      <c r="H27" s="100">
        <v>42825</v>
      </c>
      <c r="I27" s="98">
        <v>30</v>
      </c>
      <c r="J27" s="98">
        <v>30</v>
      </c>
      <c r="K27" s="98">
        <v>40</v>
      </c>
      <c r="L27" s="106"/>
      <c r="M27" s="211"/>
    </row>
    <row r="28" spans="2:13" x14ac:dyDescent="0.25">
      <c r="B28" s="17" t="s">
        <v>182</v>
      </c>
      <c r="C28" s="98" t="s">
        <v>702</v>
      </c>
      <c r="D28" s="17" t="s">
        <v>183</v>
      </c>
      <c r="E28" s="17"/>
      <c r="F28" s="17" t="s">
        <v>183</v>
      </c>
      <c r="G28" s="99" t="s">
        <v>184</v>
      </c>
      <c r="H28" s="100">
        <v>43373</v>
      </c>
      <c r="I28" s="98"/>
      <c r="J28" s="98"/>
      <c r="K28" s="98"/>
      <c r="L28" s="106"/>
      <c r="M28" s="211"/>
    </row>
    <row r="29" spans="2:13" x14ac:dyDescent="0.25">
      <c r="B29" s="17" t="s">
        <v>787</v>
      </c>
      <c r="C29" s="98" t="s">
        <v>928</v>
      </c>
      <c r="D29" s="17" t="s">
        <v>183</v>
      </c>
      <c r="E29" s="17"/>
      <c r="F29" s="17" t="s">
        <v>183</v>
      </c>
      <c r="G29" s="99" t="s">
        <v>171</v>
      </c>
      <c r="H29" s="100">
        <v>44053</v>
      </c>
      <c r="I29" s="98"/>
      <c r="J29" s="98"/>
      <c r="K29" s="98"/>
      <c r="L29" s="106"/>
      <c r="M29" s="211"/>
    </row>
    <row r="30" spans="2:13" x14ac:dyDescent="0.25">
      <c r="B30" s="17" t="s">
        <v>185</v>
      </c>
      <c r="C30" s="98" t="s">
        <v>703</v>
      </c>
      <c r="D30" s="17" t="s">
        <v>183</v>
      </c>
      <c r="E30" s="17"/>
      <c r="F30" s="17" t="s">
        <v>183</v>
      </c>
      <c r="G30" s="99" t="s">
        <v>186</v>
      </c>
      <c r="H30" s="100">
        <v>43373</v>
      </c>
      <c r="I30" s="98"/>
      <c r="J30" s="98"/>
      <c r="K30" s="98"/>
      <c r="L30" s="106"/>
      <c r="M30" s="211"/>
    </row>
    <row r="31" spans="2:13" x14ac:dyDescent="0.25">
      <c r="B31" s="17" t="s">
        <v>659</v>
      </c>
      <c r="C31" s="98" t="s">
        <v>704</v>
      </c>
      <c r="D31" s="17" t="s">
        <v>183</v>
      </c>
      <c r="E31" s="17"/>
      <c r="F31" s="17" t="s">
        <v>183</v>
      </c>
      <c r="G31" s="99" t="s">
        <v>186</v>
      </c>
      <c r="H31" s="100">
        <v>43373</v>
      </c>
      <c r="I31" s="98"/>
      <c r="J31" s="98"/>
      <c r="K31" s="98"/>
      <c r="L31" s="106"/>
      <c r="M31" s="211"/>
    </row>
    <row r="32" spans="2:13" x14ac:dyDescent="0.25">
      <c r="B32" s="17" t="s">
        <v>840</v>
      </c>
      <c r="C32" s="98">
        <v>4600042486</v>
      </c>
      <c r="D32" s="17"/>
      <c r="E32" s="17" t="s">
        <v>183</v>
      </c>
      <c r="F32" s="17" t="s">
        <v>183</v>
      </c>
      <c r="G32" s="99" t="s">
        <v>184</v>
      </c>
      <c r="H32" s="100">
        <v>43373</v>
      </c>
      <c r="I32" s="98"/>
      <c r="J32" s="98"/>
      <c r="K32" s="98"/>
      <c r="L32" s="106"/>
      <c r="M32" s="211"/>
    </row>
    <row r="33" spans="2:13" x14ac:dyDescent="0.25">
      <c r="B33" s="17" t="s">
        <v>854</v>
      </c>
      <c r="C33" s="98">
        <v>4600046584</v>
      </c>
      <c r="D33" s="17"/>
      <c r="E33" s="17" t="s">
        <v>183</v>
      </c>
      <c r="F33" s="17" t="s">
        <v>183</v>
      </c>
      <c r="G33" s="99" t="s">
        <v>171</v>
      </c>
      <c r="H33" s="100">
        <v>44053</v>
      </c>
      <c r="I33" s="98"/>
      <c r="J33" s="98"/>
      <c r="K33" s="98"/>
      <c r="L33" s="106"/>
      <c r="M33" s="211"/>
    </row>
    <row r="34" spans="2:13" x14ac:dyDescent="0.25">
      <c r="B34" s="17" t="s">
        <v>841</v>
      </c>
      <c r="C34" s="98">
        <v>4600042487</v>
      </c>
      <c r="D34" s="17"/>
      <c r="E34" s="17" t="s">
        <v>183</v>
      </c>
      <c r="F34" s="17" t="s">
        <v>183</v>
      </c>
      <c r="G34" s="99" t="s">
        <v>186</v>
      </c>
      <c r="H34" s="100">
        <v>43373</v>
      </c>
      <c r="I34" s="98"/>
      <c r="J34" s="98"/>
      <c r="K34" s="98"/>
      <c r="L34" s="106"/>
      <c r="M34" s="211"/>
    </row>
    <row r="35" spans="2:13" x14ac:dyDescent="0.25">
      <c r="B35" s="17" t="s">
        <v>842</v>
      </c>
      <c r="C35" s="98">
        <v>4600045832</v>
      </c>
      <c r="D35" s="17"/>
      <c r="E35" s="17" t="s">
        <v>183</v>
      </c>
      <c r="F35" s="17" t="s">
        <v>183</v>
      </c>
      <c r="G35" s="99" t="s">
        <v>186</v>
      </c>
      <c r="H35" s="100">
        <v>43373</v>
      </c>
      <c r="I35" s="98"/>
      <c r="J35" s="98"/>
      <c r="K35" s="98"/>
      <c r="L35" s="106"/>
      <c r="M35" s="211"/>
    </row>
    <row r="36" spans="2:13" x14ac:dyDescent="0.25">
      <c r="B36" s="17" t="s">
        <v>187</v>
      </c>
      <c r="C36" s="98">
        <v>4600041961</v>
      </c>
      <c r="D36" s="17"/>
      <c r="E36" s="17"/>
      <c r="F36" s="17" t="s">
        <v>187</v>
      </c>
      <c r="G36" s="99"/>
      <c r="H36" s="100">
        <v>43708</v>
      </c>
      <c r="I36" s="98">
        <v>30</v>
      </c>
      <c r="J36" s="98">
        <v>30</v>
      </c>
      <c r="K36" s="98">
        <v>40</v>
      </c>
      <c r="L36" s="106"/>
      <c r="M36" s="211"/>
    </row>
    <row r="37" spans="2:13" x14ac:dyDescent="0.25">
      <c r="B37" s="17" t="s">
        <v>188</v>
      </c>
      <c r="C37" s="98">
        <v>4600044324</v>
      </c>
      <c r="D37" s="17"/>
      <c r="E37" s="17"/>
      <c r="F37" s="17" t="s">
        <v>189</v>
      </c>
      <c r="G37" s="99"/>
      <c r="H37" s="100">
        <v>43299</v>
      </c>
      <c r="I37" s="98">
        <v>40</v>
      </c>
      <c r="J37" s="98">
        <v>40</v>
      </c>
      <c r="K37" s="98">
        <v>20</v>
      </c>
      <c r="L37" s="106"/>
      <c r="M37" s="211"/>
    </row>
    <row r="38" spans="2:13" x14ac:dyDescent="0.25">
      <c r="B38" s="17" t="s">
        <v>190</v>
      </c>
      <c r="C38" s="98">
        <v>4600044325</v>
      </c>
      <c r="D38" s="17"/>
      <c r="E38" s="17"/>
      <c r="F38" s="17" t="s">
        <v>989</v>
      </c>
      <c r="G38" s="99"/>
      <c r="H38" s="100">
        <v>43299</v>
      </c>
      <c r="I38" s="98">
        <v>30</v>
      </c>
      <c r="J38" s="98">
        <v>30</v>
      </c>
      <c r="K38" s="98">
        <v>40</v>
      </c>
      <c r="L38" s="106"/>
      <c r="M38" s="211"/>
    </row>
    <row r="39" spans="2:13" x14ac:dyDescent="0.25">
      <c r="B39" s="17" t="s">
        <v>192</v>
      </c>
      <c r="C39" s="98" t="s">
        <v>705</v>
      </c>
      <c r="D39" s="17" t="s">
        <v>440</v>
      </c>
      <c r="E39" s="17"/>
      <c r="F39" s="17" t="s">
        <v>191</v>
      </c>
      <c r="G39" s="99"/>
      <c r="H39" s="100">
        <v>43496</v>
      </c>
      <c r="I39" s="98"/>
      <c r="J39" s="98"/>
      <c r="K39" s="98"/>
      <c r="L39" s="106"/>
      <c r="M39" s="211"/>
    </row>
    <row r="40" spans="2:13" x14ac:dyDescent="0.25">
      <c r="B40" s="17" t="s">
        <v>843</v>
      </c>
      <c r="C40" s="98">
        <v>4600043151</v>
      </c>
      <c r="D40" s="17"/>
      <c r="E40" s="17" t="s">
        <v>440</v>
      </c>
      <c r="F40" s="17" t="s">
        <v>191</v>
      </c>
      <c r="G40" s="99"/>
      <c r="H40" s="100">
        <v>43496</v>
      </c>
      <c r="I40" s="98"/>
      <c r="J40" s="98"/>
      <c r="K40" s="98"/>
      <c r="L40" s="106"/>
      <c r="M40" s="211"/>
    </row>
    <row r="41" spans="2:13" x14ac:dyDescent="0.25">
      <c r="B41" s="17" t="s">
        <v>1031</v>
      </c>
      <c r="C41" s="98" t="s">
        <v>1032</v>
      </c>
      <c r="D41" s="17"/>
      <c r="E41" s="17"/>
      <c r="F41" s="17" t="s">
        <v>191</v>
      </c>
      <c r="G41" s="99"/>
      <c r="H41" s="100">
        <v>43496</v>
      </c>
      <c r="I41" s="98"/>
      <c r="J41" s="98"/>
      <c r="K41" s="98"/>
      <c r="L41" s="106"/>
      <c r="M41" s="211" t="s">
        <v>1034</v>
      </c>
    </row>
    <row r="42" spans="2:13" x14ac:dyDescent="0.25">
      <c r="B42" s="17" t="s">
        <v>193</v>
      </c>
      <c r="C42" s="98">
        <v>4600045703</v>
      </c>
      <c r="D42" s="17"/>
      <c r="E42" s="17"/>
      <c r="F42" s="17" t="s">
        <v>194</v>
      </c>
      <c r="G42" s="99"/>
      <c r="H42" s="100">
        <v>43190</v>
      </c>
      <c r="I42" s="98">
        <v>30</v>
      </c>
      <c r="J42" s="98">
        <v>30</v>
      </c>
      <c r="K42" s="98">
        <v>40</v>
      </c>
      <c r="L42" s="106"/>
      <c r="M42" s="211"/>
    </row>
    <row r="43" spans="2:13" x14ac:dyDescent="0.25">
      <c r="B43" s="17" t="s">
        <v>665</v>
      </c>
      <c r="C43" s="98">
        <v>4600045631</v>
      </c>
      <c r="D43" s="17"/>
      <c r="E43" s="17"/>
      <c r="F43" s="17" t="s">
        <v>665</v>
      </c>
      <c r="G43" s="99"/>
      <c r="H43" s="100">
        <v>43312</v>
      </c>
      <c r="I43" s="98">
        <v>30</v>
      </c>
      <c r="J43" s="98">
        <v>30</v>
      </c>
      <c r="K43" s="98">
        <v>40</v>
      </c>
      <c r="L43" s="106"/>
      <c r="M43" s="211"/>
    </row>
    <row r="44" spans="2:13" x14ac:dyDescent="0.25">
      <c r="B44" s="17" t="s">
        <v>1035</v>
      </c>
      <c r="C44" s="98">
        <v>4600049073</v>
      </c>
      <c r="D44" s="17"/>
      <c r="E44" s="17"/>
      <c r="F44" s="17" t="s">
        <v>958</v>
      </c>
      <c r="G44" s="99"/>
      <c r="H44" s="100">
        <v>43529</v>
      </c>
      <c r="I44" s="98"/>
      <c r="J44" s="98"/>
      <c r="K44" s="98"/>
      <c r="L44" s="106"/>
      <c r="M44" s="211" t="s">
        <v>1036</v>
      </c>
    </row>
    <row r="45" spans="2:13" x14ac:dyDescent="0.25">
      <c r="B45" s="17" t="s">
        <v>195</v>
      </c>
      <c r="C45" s="98">
        <v>4600049340</v>
      </c>
      <c r="D45" s="17"/>
      <c r="E45" s="17"/>
      <c r="F45" s="17" t="s">
        <v>196</v>
      </c>
      <c r="G45" s="99"/>
      <c r="H45" s="100">
        <v>43677</v>
      </c>
      <c r="I45" s="98">
        <v>30</v>
      </c>
      <c r="J45" s="98">
        <v>30</v>
      </c>
      <c r="K45" s="98">
        <v>40</v>
      </c>
      <c r="L45" s="106"/>
      <c r="M45" s="211"/>
    </row>
    <row r="46" spans="2:13" x14ac:dyDescent="0.25">
      <c r="B46" s="17" t="s">
        <v>1029</v>
      </c>
      <c r="C46" s="98">
        <v>4600048929</v>
      </c>
      <c r="D46" s="17" t="s">
        <v>1029</v>
      </c>
      <c r="E46" s="17"/>
      <c r="F46" s="17" t="s">
        <v>197</v>
      </c>
      <c r="G46" s="99"/>
      <c r="H46" s="100">
        <v>43178</v>
      </c>
      <c r="I46" s="98"/>
      <c r="J46" s="98"/>
      <c r="K46" s="98"/>
      <c r="L46" s="106"/>
      <c r="M46" s="211"/>
    </row>
    <row r="47" spans="2:13" x14ac:dyDescent="0.25">
      <c r="B47" s="17" t="s">
        <v>1030</v>
      </c>
      <c r="C47" s="98">
        <v>4600048929</v>
      </c>
      <c r="D47" s="17"/>
      <c r="E47" s="17" t="s">
        <v>1029</v>
      </c>
      <c r="F47" s="17" t="s">
        <v>197</v>
      </c>
      <c r="G47" s="99"/>
      <c r="H47" s="100">
        <v>43178</v>
      </c>
      <c r="I47" s="98"/>
      <c r="J47" s="98"/>
      <c r="K47" s="98"/>
      <c r="L47" s="106"/>
      <c r="M47" s="211"/>
    </row>
    <row r="48" spans="2:13" x14ac:dyDescent="0.25">
      <c r="B48" s="17" t="s">
        <v>660</v>
      </c>
      <c r="C48" s="98">
        <v>4600045848</v>
      </c>
      <c r="D48" s="17"/>
      <c r="E48" s="17"/>
      <c r="F48" s="17" t="s">
        <v>197</v>
      </c>
      <c r="G48" s="99"/>
      <c r="H48" s="100">
        <v>43889</v>
      </c>
      <c r="I48" s="98"/>
      <c r="J48" s="98"/>
      <c r="K48" s="98">
        <v>100</v>
      </c>
      <c r="L48" s="106" t="s">
        <v>992</v>
      </c>
      <c r="M48" s="211"/>
    </row>
    <row r="49" spans="2:13" x14ac:dyDescent="0.25">
      <c r="B49" s="17" t="s">
        <v>957</v>
      </c>
      <c r="C49" s="98">
        <v>4600047787</v>
      </c>
      <c r="D49" s="17"/>
      <c r="E49" s="17"/>
      <c r="F49" s="17" t="s">
        <v>197</v>
      </c>
      <c r="G49" s="99"/>
      <c r="H49" s="100">
        <v>43077</v>
      </c>
      <c r="I49" s="98"/>
      <c r="J49" s="98"/>
      <c r="K49" s="98">
        <v>100</v>
      </c>
      <c r="L49" s="106" t="s">
        <v>992</v>
      </c>
      <c r="M49" s="211"/>
    </row>
    <row r="50" spans="2:13" x14ac:dyDescent="0.25">
      <c r="B50" s="17" t="s">
        <v>198</v>
      </c>
      <c r="C50" s="98">
        <v>4600044910</v>
      </c>
      <c r="D50" s="17"/>
      <c r="E50" s="17"/>
      <c r="F50" s="17" t="s">
        <v>199</v>
      </c>
      <c r="G50" s="99"/>
      <c r="H50" s="100">
        <v>43373</v>
      </c>
      <c r="I50" s="98">
        <v>30</v>
      </c>
      <c r="J50" s="98">
        <v>30</v>
      </c>
      <c r="K50" s="98">
        <v>40</v>
      </c>
      <c r="L50" s="106"/>
      <c r="M50" s="211" t="s">
        <v>998</v>
      </c>
    </row>
    <row r="51" spans="2:13" x14ac:dyDescent="0.25">
      <c r="B51" s="17" t="s">
        <v>667</v>
      </c>
      <c r="C51" s="98">
        <v>4600045990</v>
      </c>
      <c r="D51" s="17"/>
      <c r="E51" s="17"/>
      <c r="F51" s="17" t="s">
        <v>200</v>
      </c>
      <c r="G51" s="99"/>
      <c r="H51" s="100">
        <v>43708</v>
      </c>
      <c r="I51" s="98">
        <v>30</v>
      </c>
      <c r="J51" s="98">
        <v>30</v>
      </c>
      <c r="K51" s="98">
        <v>40</v>
      </c>
      <c r="L51" s="106"/>
      <c r="M51" s="211"/>
    </row>
    <row r="52" spans="2:13" x14ac:dyDescent="0.25">
      <c r="B52" s="17" t="s">
        <v>1090</v>
      </c>
      <c r="C52" s="98" t="s">
        <v>932</v>
      </c>
      <c r="D52" s="17" t="s">
        <v>1090</v>
      </c>
      <c r="E52" s="17"/>
      <c r="F52" s="17" t="s">
        <v>1089</v>
      </c>
      <c r="G52" s="99"/>
      <c r="H52" s="100">
        <v>43100</v>
      </c>
      <c r="I52" s="98"/>
      <c r="J52" s="98"/>
      <c r="K52" s="98"/>
      <c r="L52" s="106"/>
      <c r="M52" s="211" t="s">
        <v>933</v>
      </c>
    </row>
    <row r="53" spans="2:13" x14ac:dyDescent="0.25">
      <c r="B53" s="17" t="s">
        <v>1091</v>
      </c>
      <c r="C53" s="98">
        <v>4600047456</v>
      </c>
      <c r="D53" s="17"/>
      <c r="E53" s="17" t="s">
        <v>1090</v>
      </c>
      <c r="F53" s="17" t="s">
        <v>1089</v>
      </c>
      <c r="G53" s="99"/>
      <c r="H53" s="100">
        <v>43100</v>
      </c>
      <c r="I53" s="98"/>
      <c r="J53" s="98"/>
      <c r="K53" s="98"/>
      <c r="L53" s="106"/>
      <c r="M53" s="211"/>
    </row>
    <row r="54" spans="2:13" x14ac:dyDescent="0.25">
      <c r="B54" s="17" t="s">
        <v>403</v>
      </c>
      <c r="C54" s="98">
        <v>4600045950</v>
      </c>
      <c r="D54" s="17"/>
      <c r="E54" s="17"/>
      <c r="F54" s="17" t="s">
        <v>403</v>
      </c>
      <c r="G54" s="99"/>
      <c r="H54" s="100">
        <v>43159</v>
      </c>
      <c r="I54" s="98">
        <v>30</v>
      </c>
      <c r="J54" s="98">
        <v>30</v>
      </c>
      <c r="K54" s="98">
        <v>40</v>
      </c>
      <c r="L54" s="106"/>
      <c r="M54" s="211"/>
    </row>
    <row r="55" spans="2:13" x14ac:dyDescent="0.25">
      <c r="B55" s="17" t="s">
        <v>1012</v>
      </c>
      <c r="C55" s="98">
        <v>4600048452</v>
      </c>
      <c r="D55" s="17"/>
      <c r="E55" s="17"/>
      <c r="F55" s="17" t="s">
        <v>1012</v>
      </c>
      <c r="G55" s="99"/>
      <c r="H55" s="100">
        <v>43790</v>
      </c>
      <c r="I55" s="98"/>
      <c r="J55" s="98"/>
      <c r="K55" s="98"/>
      <c r="L55" s="106"/>
      <c r="M55" s="211"/>
    </row>
    <row r="56" spans="2:13" x14ac:dyDescent="0.25">
      <c r="B56" s="17" t="s">
        <v>785</v>
      </c>
      <c r="C56" s="98" t="s">
        <v>852</v>
      </c>
      <c r="D56" s="17" t="s">
        <v>855</v>
      </c>
      <c r="E56" s="17"/>
      <c r="F56" s="17" t="s">
        <v>784</v>
      </c>
      <c r="G56" s="99" t="s">
        <v>171</v>
      </c>
      <c r="H56" s="100">
        <v>43322</v>
      </c>
      <c r="I56" s="98"/>
      <c r="J56" s="98"/>
      <c r="K56" s="98"/>
      <c r="L56" s="106"/>
      <c r="M56" s="211"/>
    </row>
    <row r="57" spans="2:13" x14ac:dyDescent="0.25">
      <c r="B57" s="17" t="s">
        <v>853</v>
      </c>
      <c r="C57" s="98">
        <v>4600046585</v>
      </c>
      <c r="D57" s="17"/>
      <c r="E57" s="17" t="s">
        <v>855</v>
      </c>
      <c r="F57" s="17" t="s">
        <v>784</v>
      </c>
      <c r="G57" s="99" t="s">
        <v>171</v>
      </c>
      <c r="H57" s="100">
        <v>43322</v>
      </c>
      <c r="I57" s="98"/>
      <c r="J57" s="98"/>
      <c r="K57" s="98"/>
      <c r="L57" s="106"/>
      <c r="M57" s="211"/>
    </row>
    <row r="58" spans="2:13" x14ac:dyDescent="0.25">
      <c r="B58" s="17" t="s">
        <v>666</v>
      </c>
      <c r="C58" s="98">
        <v>4600045875</v>
      </c>
      <c r="D58" s="17"/>
      <c r="E58" s="17"/>
      <c r="F58" s="17" t="s">
        <v>201</v>
      </c>
      <c r="G58" s="99"/>
      <c r="H58" s="100">
        <v>43496</v>
      </c>
      <c r="I58" s="98">
        <v>30</v>
      </c>
      <c r="J58" s="98">
        <v>30</v>
      </c>
      <c r="K58" s="98">
        <v>40</v>
      </c>
      <c r="L58" s="106"/>
      <c r="M58" s="211"/>
    </row>
    <row r="59" spans="2:13" x14ac:dyDescent="0.25">
      <c r="B59" s="17" t="s">
        <v>58</v>
      </c>
      <c r="C59" s="98">
        <v>4600046881</v>
      </c>
      <c r="D59" s="17"/>
      <c r="E59" s="17"/>
      <c r="F59" s="17" t="s">
        <v>58</v>
      </c>
      <c r="G59" s="99"/>
      <c r="H59" s="100">
        <v>43409</v>
      </c>
      <c r="I59" s="98"/>
      <c r="J59" s="98"/>
      <c r="K59" s="98">
        <v>100</v>
      </c>
      <c r="L59" s="106"/>
      <c r="M59" s="211"/>
    </row>
    <row r="60" spans="2:13" x14ac:dyDescent="0.25">
      <c r="B60" s="17" t="s">
        <v>1088</v>
      </c>
      <c r="C60" s="98">
        <v>4600049633</v>
      </c>
      <c r="D60" s="17"/>
      <c r="E60" s="17"/>
      <c r="F60" s="17" t="s">
        <v>1088</v>
      </c>
      <c r="G60" s="99"/>
      <c r="H60" s="100">
        <v>43746</v>
      </c>
      <c r="I60" s="98">
        <v>30</v>
      </c>
      <c r="J60" s="98">
        <v>30</v>
      </c>
      <c r="K60" s="98">
        <v>40</v>
      </c>
      <c r="L60" s="106"/>
      <c r="M60" s="211"/>
    </row>
    <row r="61" spans="2:13" x14ac:dyDescent="0.25">
      <c r="B61" s="17" t="s">
        <v>202</v>
      </c>
      <c r="C61" s="98">
        <v>4600047124</v>
      </c>
      <c r="D61" s="17"/>
      <c r="E61" s="17"/>
      <c r="F61" s="17" t="s">
        <v>202</v>
      </c>
      <c r="G61" s="99"/>
      <c r="H61" s="100">
        <v>43100</v>
      </c>
      <c r="I61" s="98"/>
      <c r="J61" s="98"/>
      <c r="K61" s="98">
        <v>100</v>
      </c>
      <c r="L61" s="106"/>
      <c r="M61" s="211"/>
    </row>
    <row r="62" spans="2:13" x14ac:dyDescent="0.25">
      <c r="B62" s="17" t="s">
        <v>203</v>
      </c>
      <c r="C62" s="98">
        <v>4600043248</v>
      </c>
      <c r="D62" s="17"/>
      <c r="E62" s="17"/>
      <c r="F62" s="17" t="s">
        <v>203</v>
      </c>
      <c r="G62" s="99"/>
      <c r="H62" s="100">
        <v>43465</v>
      </c>
      <c r="I62" s="98">
        <v>30</v>
      </c>
      <c r="J62" s="98">
        <v>50</v>
      </c>
      <c r="K62" s="98">
        <v>20</v>
      </c>
      <c r="L62" s="106"/>
      <c r="M62" s="211"/>
    </row>
    <row r="63" spans="2:13" x14ac:dyDescent="0.25">
      <c r="B63" s="17" t="s">
        <v>1008</v>
      </c>
      <c r="C63" s="98">
        <v>4600048273</v>
      </c>
      <c r="D63" s="17"/>
      <c r="E63" s="17"/>
      <c r="F63" s="17" t="s">
        <v>1008</v>
      </c>
      <c r="G63" s="99"/>
      <c r="H63" s="100">
        <v>43738</v>
      </c>
      <c r="I63" s="98"/>
      <c r="J63" s="98"/>
      <c r="K63" s="98"/>
      <c r="L63" s="106"/>
      <c r="M63" s="211"/>
    </row>
    <row r="64" spans="2:13" x14ac:dyDescent="0.25">
      <c r="B64" s="17" t="s">
        <v>409</v>
      </c>
      <c r="C64" s="98">
        <v>4600044013</v>
      </c>
      <c r="D64" s="17"/>
      <c r="E64" s="17"/>
      <c r="F64" s="17" t="s">
        <v>408</v>
      </c>
      <c r="G64" s="99"/>
      <c r="H64" s="100">
        <v>43228</v>
      </c>
      <c r="I64" s="98">
        <v>30</v>
      </c>
      <c r="J64" s="98">
        <v>30</v>
      </c>
      <c r="K64" s="98">
        <v>40</v>
      </c>
      <c r="L64" s="106"/>
      <c r="M64" s="211"/>
    </row>
    <row r="65" spans="2:13" x14ac:dyDescent="0.25">
      <c r="B65" s="17" t="s">
        <v>204</v>
      </c>
      <c r="C65" s="98">
        <v>4600043041</v>
      </c>
      <c r="D65" s="17"/>
      <c r="E65" s="17"/>
      <c r="F65" s="17" t="s">
        <v>205</v>
      </c>
      <c r="G65" s="99"/>
      <c r="H65" s="100">
        <v>43090</v>
      </c>
      <c r="I65" s="98">
        <v>30</v>
      </c>
      <c r="J65" s="98">
        <v>30</v>
      </c>
      <c r="K65" s="98">
        <v>40</v>
      </c>
      <c r="L65" s="106"/>
      <c r="M65" s="211" t="s">
        <v>931</v>
      </c>
    </row>
    <row r="66" spans="2:13" x14ac:dyDescent="0.25">
      <c r="B66" s="17"/>
      <c r="C66" s="98"/>
      <c r="D66" s="17"/>
      <c r="E66" s="17"/>
      <c r="F66" s="17"/>
      <c r="G66" s="99"/>
      <c r="H66" s="100"/>
      <c r="I66" s="98"/>
      <c r="J66" s="98"/>
      <c r="K66" s="98"/>
      <c r="L66" s="106"/>
      <c r="M66" s="211"/>
    </row>
    <row r="67" spans="2:13" x14ac:dyDescent="0.25">
      <c r="B67" s="17"/>
      <c r="C67" s="98"/>
      <c r="D67" s="17"/>
      <c r="E67" s="17"/>
      <c r="F67" s="17"/>
      <c r="G67" s="99"/>
      <c r="H67" s="100"/>
      <c r="I67" s="98"/>
      <c r="J67" s="98"/>
      <c r="K67" s="98"/>
      <c r="L67" s="106"/>
      <c r="M67" s="211"/>
    </row>
    <row r="68" spans="2:13" x14ac:dyDescent="0.25">
      <c r="B68" s="17"/>
      <c r="C68" s="98"/>
      <c r="D68" s="17"/>
      <c r="E68" s="17"/>
      <c r="F68" s="17"/>
      <c r="G68" s="99"/>
      <c r="H68" s="100"/>
      <c r="I68" s="98"/>
      <c r="J68" s="98"/>
      <c r="K68" s="98"/>
      <c r="L68" s="106"/>
      <c r="M68" s="211"/>
    </row>
    <row r="69" spans="2:13" x14ac:dyDescent="0.25">
      <c r="B69" s="17"/>
      <c r="C69" s="98"/>
      <c r="D69" s="17"/>
      <c r="E69" s="17"/>
      <c r="F69" s="17"/>
      <c r="G69" s="99"/>
      <c r="H69" s="100"/>
      <c r="I69" s="98"/>
      <c r="J69" s="98"/>
      <c r="K69" s="98"/>
      <c r="L69" s="106"/>
      <c r="M69" s="211"/>
    </row>
    <row r="70" spans="2:13" x14ac:dyDescent="0.25">
      <c r="B70" s="17"/>
      <c r="C70" s="98"/>
      <c r="D70" s="17"/>
      <c r="E70" s="17"/>
      <c r="F70" s="17"/>
      <c r="G70" s="99"/>
      <c r="H70" s="100"/>
      <c r="I70" s="98"/>
      <c r="J70" s="98"/>
      <c r="K70" s="98"/>
      <c r="L70" s="106"/>
      <c r="M70" s="211"/>
    </row>
    <row r="71" spans="2:13" x14ac:dyDescent="0.25">
      <c r="B71" s="17"/>
      <c r="C71" s="98"/>
      <c r="D71" s="17"/>
      <c r="E71" s="17"/>
      <c r="F71" s="17"/>
      <c r="G71" s="99"/>
      <c r="H71" s="100"/>
      <c r="I71" s="98"/>
      <c r="J71" s="98"/>
      <c r="K71" s="98"/>
      <c r="L71" s="106"/>
      <c r="M71" s="211"/>
    </row>
    <row r="72" spans="2:13" x14ac:dyDescent="0.25">
      <c r="B72" s="17"/>
      <c r="C72" s="98"/>
      <c r="D72" s="17"/>
      <c r="E72" s="17"/>
      <c r="F72" s="17"/>
      <c r="G72" s="99"/>
      <c r="H72" s="100"/>
      <c r="I72" s="98"/>
      <c r="J72" s="98"/>
      <c r="K72" s="98"/>
      <c r="L72" s="106"/>
      <c r="M72" s="211"/>
    </row>
    <row r="73" spans="2:13" x14ac:dyDescent="0.25">
      <c r="B73" s="17"/>
      <c r="C73" s="98"/>
      <c r="D73" s="17"/>
      <c r="E73" s="17"/>
      <c r="F73" s="17"/>
      <c r="G73" s="99"/>
      <c r="H73" s="100"/>
      <c r="I73" s="98"/>
      <c r="J73" s="98"/>
      <c r="K73" s="98"/>
      <c r="L73" s="106"/>
      <c r="M73" s="211"/>
    </row>
    <row r="74" spans="2:13" x14ac:dyDescent="0.25">
      <c r="B74" s="17"/>
      <c r="C74" s="98"/>
      <c r="D74" s="17"/>
      <c r="E74" s="17"/>
      <c r="F74" s="17"/>
      <c r="G74" s="99"/>
      <c r="H74" s="100"/>
      <c r="I74" s="98"/>
      <c r="J74" s="98"/>
      <c r="K74" s="98"/>
      <c r="L74" s="106"/>
      <c r="M74" s="211"/>
    </row>
    <row r="75" spans="2:13" x14ac:dyDescent="0.25">
      <c r="B75" s="17"/>
      <c r="C75" s="98"/>
      <c r="D75" s="17"/>
      <c r="E75" s="17"/>
      <c r="F75" s="17"/>
      <c r="G75" s="99"/>
      <c r="H75" s="100"/>
      <c r="I75" s="98"/>
      <c r="J75" s="98"/>
      <c r="K75" s="98"/>
      <c r="L75" s="106"/>
      <c r="M75" s="211"/>
    </row>
    <row r="76" spans="2:13" x14ac:dyDescent="0.25">
      <c r="B76" s="17"/>
      <c r="C76" s="98"/>
      <c r="D76" s="17"/>
      <c r="E76" s="17"/>
      <c r="F76" s="17"/>
      <c r="G76" s="99"/>
      <c r="H76" s="100"/>
      <c r="I76" s="98"/>
      <c r="J76" s="98"/>
      <c r="K76" s="98"/>
      <c r="L76" s="106"/>
      <c r="M76" s="211"/>
    </row>
    <row r="77" spans="2:13" x14ac:dyDescent="0.25">
      <c r="B77" s="17"/>
      <c r="C77" s="98"/>
      <c r="D77" s="17"/>
      <c r="E77" s="17"/>
      <c r="F77" s="17"/>
      <c r="G77" s="99"/>
      <c r="H77" s="100"/>
      <c r="I77" s="98"/>
      <c r="J77" s="98"/>
      <c r="K77" s="98"/>
      <c r="L77" s="106"/>
      <c r="M77" s="211"/>
    </row>
    <row r="78" spans="2:13" x14ac:dyDescent="0.25">
      <c r="B78" s="17"/>
      <c r="C78" s="98"/>
      <c r="D78" s="17"/>
      <c r="E78" s="17"/>
      <c r="F78" s="17"/>
      <c r="G78" s="99"/>
      <c r="H78" s="100"/>
      <c r="I78" s="98"/>
      <c r="J78" s="98"/>
      <c r="K78" s="98"/>
      <c r="L78" s="106"/>
      <c r="M78" s="211"/>
    </row>
    <row r="79" spans="2:13" x14ac:dyDescent="0.25">
      <c r="B79" s="17"/>
      <c r="C79" s="98"/>
      <c r="D79" s="17"/>
      <c r="E79" s="17"/>
      <c r="F79" s="17"/>
      <c r="G79" s="99"/>
      <c r="H79" s="100"/>
      <c r="I79" s="98"/>
      <c r="J79" s="98"/>
      <c r="K79" s="98"/>
      <c r="L79" s="106"/>
      <c r="M79" s="211"/>
    </row>
    <row r="80" spans="2:13" x14ac:dyDescent="0.25">
      <c r="B80" s="17"/>
      <c r="C80" s="98"/>
      <c r="D80" s="17"/>
      <c r="E80" s="17"/>
      <c r="F80" s="17"/>
      <c r="G80" s="99"/>
      <c r="H80" s="100"/>
      <c r="I80" s="98"/>
      <c r="J80" s="98"/>
      <c r="K80" s="98"/>
      <c r="L80" s="106"/>
      <c r="M80" s="211"/>
    </row>
    <row r="81" spans="2:13" x14ac:dyDescent="0.25">
      <c r="B81" s="17"/>
      <c r="C81" s="98"/>
      <c r="D81" s="17"/>
      <c r="E81" s="17"/>
      <c r="F81" s="17"/>
      <c r="G81" s="99"/>
      <c r="H81" s="100"/>
      <c r="I81" s="98"/>
      <c r="J81" s="98"/>
      <c r="K81" s="98"/>
      <c r="L81" s="106"/>
      <c r="M81" s="211"/>
    </row>
    <row r="82" spans="2:13" x14ac:dyDescent="0.25">
      <c r="B82" s="17"/>
      <c r="C82" s="98"/>
      <c r="D82" s="17"/>
      <c r="E82" s="17"/>
      <c r="F82" s="17"/>
      <c r="G82" s="99"/>
      <c r="H82" s="100"/>
      <c r="I82" s="98"/>
      <c r="J82" s="98"/>
      <c r="K82" s="98"/>
      <c r="L82" s="106"/>
      <c r="M82" s="211"/>
    </row>
    <row r="83" spans="2:13" x14ac:dyDescent="0.25">
      <c r="B83" s="17"/>
      <c r="C83" s="98"/>
      <c r="D83" s="17"/>
      <c r="E83" s="17"/>
      <c r="F83" s="17"/>
      <c r="G83" s="99"/>
      <c r="H83" s="100"/>
      <c r="I83" s="98"/>
      <c r="J83" s="98"/>
      <c r="K83" s="98"/>
      <c r="L83" s="106"/>
      <c r="M83" s="211"/>
    </row>
    <row r="84" spans="2:13" x14ac:dyDescent="0.25">
      <c r="B84" s="17"/>
      <c r="C84" s="98"/>
      <c r="D84" s="17"/>
      <c r="E84" s="17"/>
      <c r="F84" s="17"/>
      <c r="G84" s="99"/>
      <c r="H84" s="100"/>
      <c r="I84" s="98"/>
      <c r="J84" s="98"/>
      <c r="K84" s="98"/>
      <c r="L84" s="106"/>
      <c r="M84" s="211"/>
    </row>
    <row r="85" spans="2:13" x14ac:dyDescent="0.25">
      <c r="B85" s="17"/>
      <c r="C85" s="98"/>
      <c r="D85" s="17"/>
      <c r="E85" s="17"/>
      <c r="F85" s="17"/>
      <c r="G85" s="99"/>
      <c r="H85" s="100"/>
      <c r="I85" s="98"/>
      <c r="J85" s="98"/>
      <c r="K85" s="98"/>
      <c r="L85" s="106"/>
      <c r="M85" s="211"/>
    </row>
    <row r="86" spans="2:13" x14ac:dyDescent="0.25">
      <c r="B86" s="17"/>
      <c r="C86" s="98"/>
      <c r="D86" s="17"/>
      <c r="E86" s="17"/>
      <c r="F86" s="17"/>
      <c r="G86" s="99"/>
      <c r="H86" s="100"/>
      <c r="I86" s="98"/>
      <c r="J86" s="98"/>
      <c r="K86" s="98"/>
      <c r="L86" s="106"/>
      <c r="M86" s="211"/>
    </row>
    <row r="87" spans="2:13" x14ac:dyDescent="0.25">
      <c r="B87" s="17"/>
      <c r="C87" s="98"/>
      <c r="D87" s="17"/>
      <c r="E87" s="17"/>
      <c r="F87" s="17"/>
      <c r="G87" s="99"/>
      <c r="H87" s="100"/>
      <c r="I87" s="98"/>
      <c r="J87" s="98"/>
      <c r="K87" s="98"/>
      <c r="L87" s="106"/>
      <c r="M87" s="211"/>
    </row>
    <row r="88" spans="2:13" x14ac:dyDescent="0.25">
      <c r="B88" s="17"/>
      <c r="C88" s="98"/>
      <c r="D88" s="17"/>
      <c r="E88" s="17"/>
      <c r="F88" s="17"/>
      <c r="G88" s="99"/>
      <c r="H88" s="100"/>
      <c r="I88" s="98"/>
      <c r="J88" s="98"/>
      <c r="K88" s="98"/>
      <c r="L88" s="106"/>
      <c r="M88" s="211"/>
    </row>
    <row r="89" spans="2:13" x14ac:dyDescent="0.25">
      <c r="B89" s="17"/>
      <c r="C89" s="98"/>
      <c r="D89" s="17"/>
      <c r="E89" s="17"/>
      <c r="F89" s="17"/>
      <c r="G89" s="99"/>
      <c r="H89" s="100"/>
      <c r="I89" s="98"/>
      <c r="J89" s="98"/>
      <c r="K89" s="98"/>
      <c r="L89" s="106"/>
      <c r="M89" s="211"/>
    </row>
    <row r="90" spans="2:13" x14ac:dyDescent="0.25">
      <c r="B90" s="17"/>
      <c r="C90" s="98"/>
      <c r="D90" s="17"/>
      <c r="E90" s="17"/>
      <c r="F90" s="17"/>
      <c r="G90" s="99"/>
      <c r="H90" s="100"/>
      <c r="I90" s="98"/>
      <c r="J90" s="98"/>
      <c r="K90" s="98"/>
      <c r="L90" s="106"/>
      <c r="M90" s="211"/>
    </row>
    <row r="91" spans="2:13" x14ac:dyDescent="0.25">
      <c r="B91" s="17"/>
      <c r="C91" s="98"/>
      <c r="D91" s="17"/>
      <c r="E91" s="17"/>
      <c r="F91" s="17"/>
      <c r="G91" s="99"/>
      <c r="H91" s="100"/>
      <c r="I91" s="98"/>
      <c r="J91" s="98"/>
      <c r="K91" s="98"/>
      <c r="L91" s="106"/>
      <c r="M91" s="211"/>
    </row>
    <row r="92" spans="2:13" x14ac:dyDescent="0.25">
      <c r="B92" s="17"/>
      <c r="C92" s="98"/>
      <c r="D92" s="17"/>
      <c r="E92" s="17"/>
      <c r="F92" s="17"/>
      <c r="G92" s="99"/>
      <c r="H92" s="100"/>
      <c r="I92" s="98"/>
      <c r="J92" s="98"/>
      <c r="K92" s="98"/>
      <c r="L92" s="106"/>
      <c r="M92" s="211"/>
    </row>
    <row r="93" spans="2:13" x14ac:dyDescent="0.25">
      <c r="B93" s="17"/>
      <c r="C93" s="98"/>
      <c r="D93" s="17"/>
      <c r="E93" s="17"/>
      <c r="F93" s="17"/>
      <c r="G93" s="99"/>
      <c r="H93" s="100"/>
      <c r="I93" s="98"/>
      <c r="J93" s="98"/>
      <c r="K93" s="98"/>
      <c r="L93" s="106"/>
      <c r="M93" s="211"/>
    </row>
    <row r="94" spans="2:13" x14ac:dyDescent="0.25">
      <c r="B94" s="17"/>
      <c r="C94" s="98"/>
      <c r="D94" s="17"/>
      <c r="E94" s="17"/>
      <c r="F94" s="17"/>
      <c r="G94" s="99"/>
      <c r="H94" s="100"/>
      <c r="I94" s="98"/>
      <c r="J94" s="98"/>
      <c r="K94" s="98"/>
      <c r="L94" s="106"/>
      <c r="M94" s="211"/>
    </row>
    <row r="95" spans="2:13" x14ac:dyDescent="0.25">
      <c r="B95" s="17"/>
      <c r="C95" s="98"/>
      <c r="D95" s="17"/>
      <c r="E95" s="17"/>
      <c r="F95" s="17"/>
      <c r="G95" s="99"/>
      <c r="H95" s="100"/>
      <c r="I95" s="98"/>
      <c r="J95" s="98"/>
      <c r="K95" s="98"/>
      <c r="L95" s="106"/>
      <c r="M95" s="211"/>
    </row>
    <row r="96" spans="2:13" x14ac:dyDescent="0.25">
      <c r="B96" s="17"/>
      <c r="C96" s="98"/>
      <c r="D96" s="17"/>
      <c r="E96" s="17"/>
      <c r="F96" s="17"/>
      <c r="G96" s="99"/>
      <c r="H96" s="100"/>
      <c r="I96" s="98"/>
      <c r="J96" s="98"/>
      <c r="K96" s="98"/>
      <c r="L96" s="106"/>
      <c r="M96" s="211"/>
    </row>
    <row r="97" spans="2:13" x14ac:dyDescent="0.25">
      <c r="B97" s="17"/>
      <c r="C97" s="98"/>
      <c r="D97" s="17"/>
      <c r="E97" s="17"/>
      <c r="F97" s="17"/>
      <c r="G97" s="99"/>
      <c r="H97" s="100"/>
      <c r="I97" s="98"/>
      <c r="J97" s="98"/>
      <c r="K97" s="98"/>
      <c r="L97" s="106"/>
      <c r="M97" s="211"/>
    </row>
    <row r="98" spans="2:13" x14ac:dyDescent="0.25">
      <c r="B98" s="17"/>
      <c r="C98" s="98"/>
      <c r="D98" s="17"/>
      <c r="E98" s="17"/>
      <c r="F98" s="17"/>
      <c r="G98" s="99"/>
      <c r="H98" s="100"/>
      <c r="I98" s="98"/>
      <c r="J98" s="98"/>
      <c r="K98" s="98"/>
      <c r="L98" s="106"/>
      <c r="M98" s="211"/>
    </row>
    <row r="99" spans="2:13" x14ac:dyDescent="0.25">
      <c r="B99" s="17"/>
      <c r="C99" s="98"/>
      <c r="D99" s="17"/>
      <c r="E99" s="17"/>
      <c r="F99" s="17"/>
      <c r="G99" s="99"/>
      <c r="H99" s="100"/>
      <c r="I99" s="98"/>
      <c r="J99" s="98"/>
      <c r="K99" s="98"/>
      <c r="L99" s="106"/>
      <c r="M99" s="211"/>
    </row>
    <row r="100" spans="2:13" x14ac:dyDescent="0.25">
      <c r="B100" s="17"/>
      <c r="C100" s="98"/>
      <c r="D100" s="17"/>
      <c r="E100" s="17"/>
      <c r="F100" s="17"/>
      <c r="G100" s="99"/>
      <c r="H100" s="100"/>
      <c r="I100" s="98"/>
      <c r="J100" s="98"/>
      <c r="K100" s="98"/>
      <c r="L100" s="106"/>
      <c r="M100" s="211"/>
    </row>
    <row r="101" spans="2:13" x14ac:dyDescent="0.25">
      <c r="B101" s="17"/>
      <c r="C101" s="98"/>
      <c r="D101" s="17"/>
      <c r="E101" s="17"/>
      <c r="F101" s="17"/>
      <c r="G101" s="99"/>
      <c r="H101" s="100"/>
      <c r="I101" s="98"/>
      <c r="J101" s="98"/>
      <c r="K101" s="98"/>
      <c r="L101" s="106"/>
      <c r="M101" s="211"/>
    </row>
    <row r="102" spans="2:13" x14ac:dyDescent="0.25"/>
    <row r="103" spans="2:13" x14ac:dyDescent="0.25"/>
  </sheetData>
  <sheetProtection algorithmName="SHA-512" hashValue="ykKzAv6OcDPFMe+gPByyjEFomijSWMQ1VHmPu26a8J5JDBgvaPIOTPyOUH2ZXDBtOKU4Z/8+lzIWdsggkEUFTA==" saltValue="IRYyyp32HJK/oln5r/e4oA==" spinCount="100000" sheet="1" objects="1" scenarios="1" autoFilter="0"/>
  <autoFilter ref="B1:L69"/>
  <conditionalFormatting sqref="B1:M1048576">
    <cfRule type="expression" dxfId="74" priority="1">
      <formula>AND($H1&lt;&gt;"", $H1&lt;TODAY())</formula>
    </cfRule>
    <cfRule type="expression" dxfId="73" priority="2">
      <formula xml:space="preserve"> UPPER($L1) = "X"</formula>
    </cfRule>
    <cfRule type="expression" dxfId="72" priority="12">
      <formula>AND( $D1 &lt;&gt; "", $B1 &lt;&gt; "Fornecedor")</formula>
    </cfRule>
    <cfRule type="expression" dxfId="71" priority="13">
      <formula>AND( $E1 &lt;&gt; "", $B1 &lt;&gt; "Fornecedor")</formula>
    </cfRule>
    <cfRule type="expression" dxfId="70" priority="14">
      <formula xml:space="preserve"> LEFT( $B1,1) = "&lt;"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md_Lock">
          <controlPr defaultSize="0" autoLine="0" r:id="rId5">
            <anchor moveWithCells="1">
              <from>
                <xdr:col>14</xdr:col>
                <xdr:colOff>38100</xdr:colOff>
                <xdr:row>0</xdr:row>
                <xdr:rowOff>19050</xdr:rowOff>
              </from>
              <to>
                <xdr:col>14</xdr:col>
                <xdr:colOff>352425</xdr:colOff>
                <xdr:row>0</xdr:row>
                <xdr:rowOff>333375</xdr:rowOff>
              </to>
            </anchor>
          </controlPr>
        </control>
      </mc:Choice>
      <mc:Fallback>
        <control shapeId="20481" r:id="rId4" name="cmd_Lock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SISTEMA">
    <tabColor rgb="FF7030A0"/>
  </sheetPr>
  <dimension ref="A1:I540"/>
  <sheetViews>
    <sheetView workbookViewId="0">
      <pane ySplit="5" topLeftCell="A475" activePane="bottomLeft" state="frozen"/>
      <selection pane="bottomLeft" activeCell="B4" sqref="B4"/>
    </sheetView>
  </sheetViews>
  <sheetFormatPr defaultColWidth="0" defaultRowHeight="15" x14ac:dyDescent="0.25"/>
  <cols>
    <col min="1" max="1" width="9.140625" customWidth="1"/>
    <col min="2" max="2" width="51.5703125" bestFit="1" customWidth="1"/>
    <col min="3" max="3" width="3.42578125" customWidth="1"/>
    <col min="4" max="4" width="9.140625" customWidth="1"/>
    <col min="5" max="5" width="38" customWidth="1"/>
    <col min="6" max="9" width="0" hidden="1" customWidth="1"/>
    <col min="10" max="16384" width="9.140625" hidden="1"/>
  </cols>
  <sheetData>
    <row r="1" spans="1:5" ht="24" customHeight="1" x14ac:dyDescent="0.25">
      <c r="A1" s="59">
        <f>COUNTA(B:B)-1</f>
        <v>497</v>
      </c>
      <c r="B1" s="60" t="s">
        <v>52</v>
      </c>
    </row>
    <row r="2" spans="1:5" x14ac:dyDescent="0.25">
      <c r="B2" s="39" t="s">
        <v>457</v>
      </c>
      <c r="D2" s="3"/>
      <c r="E2" t="s">
        <v>79</v>
      </c>
    </row>
    <row r="3" spans="1:5" x14ac:dyDescent="0.25">
      <c r="B3" s="39" t="s">
        <v>78</v>
      </c>
      <c r="D3" s="40"/>
      <c r="E3" t="s">
        <v>458</v>
      </c>
    </row>
    <row r="4" spans="1:5" x14ac:dyDescent="0.25">
      <c r="B4" s="41" t="s">
        <v>934</v>
      </c>
      <c r="D4" s="41"/>
      <c r="E4" t="s">
        <v>459</v>
      </c>
    </row>
    <row r="5" spans="1:5" x14ac:dyDescent="0.25">
      <c r="B5" s="41" t="s">
        <v>978</v>
      </c>
    </row>
    <row r="6" spans="1:5" x14ac:dyDescent="0.25">
      <c r="B6" s="40" t="s">
        <v>460</v>
      </c>
    </row>
    <row r="7" spans="1:5" x14ac:dyDescent="0.25">
      <c r="B7" s="40" t="s">
        <v>461</v>
      </c>
    </row>
    <row r="8" spans="1:5" x14ac:dyDescent="0.25">
      <c r="B8" s="40" t="s">
        <v>745</v>
      </c>
    </row>
    <row r="9" spans="1:5" x14ac:dyDescent="0.25">
      <c r="B9" s="40" t="s">
        <v>746</v>
      </c>
    </row>
    <row r="10" spans="1:5" x14ac:dyDescent="0.25">
      <c r="B10" s="40" t="s">
        <v>747</v>
      </c>
    </row>
    <row r="11" spans="1:5" x14ac:dyDescent="0.25">
      <c r="B11" s="40" t="s">
        <v>748</v>
      </c>
    </row>
    <row r="12" spans="1:5" x14ac:dyDescent="0.25">
      <c r="B12" s="40" t="s">
        <v>80</v>
      </c>
    </row>
    <row r="13" spans="1:5" x14ac:dyDescent="0.25">
      <c r="B13" s="40" t="s">
        <v>353</v>
      </c>
    </row>
    <row r="14" spans="1:5" x14ac:dyDescent="0.25">
      <c r="B14" s="40" t="s">
        <v>347</v>
      </c>
    </row>
    <row r="15" spans="1:5" x14ac:dyDescent="0.25">
      <c r="B15" s="40" t="s">
        <v>320</v>
      </c>
    </row>
    <row r="16" spans="1:5" x14ac:dyDescent="0.25">
      <c r="B16" s="40" t="s">
        <v>462</v>
      </c>
    </row>
    <row r="17" spans="2:2" x14ac:dyDescent="0.25">
      <c r="B17" s="40" t="s">
        <v>340</v>
      </c>
    </row>
    <row r="18" spans="2:2" x14ac:dyDescent="0.25">
      <c r="B18" s="40" t="s">
        <v>348</v>
      </c>
    </row>
    <row r="19" spans="2:2" x14ac:dyDescent="0.25">
      <c r="B19" s="40" t="s">
        <v>463</v>
      </c>
    </row>
    <row r="20" spans="2:2" x14ac:dyDescent="0.25">
      <c r="B20" s="40" t="s">
        <v>464</v>
      </c>
    </row>
    <row r="21" spans="2:2" x14ac:dyDescent="0.25">
      <c r="B21" s="40" t="s">
        <v>465</v>
      </c>
    </row>
    <row r="22" spans="2:2" x14ac:dyDescent="0.25">
      <c r="B22" s="40" t="s">
        <v>466</v>
      </c>
    </row>
    <row r="23" spans="2:2" x14ac:dyDescent="0.25">
      <c r="B23" s="40" t="s">
        <v>749</v>
      </c>
    </row>
    <row r="24" spans="2:2" x14ac:dyDescent="0.25">
      <c r="B24" s="40" t="s">
        <v>294</v>
      </c>
    </row>
    <row r="25" spans="2:2" x14ac:dyDescent="0.25">
      <c r="B25" s="40" t="s">
        <v>467</v>
      </c>
    </row>
    <row r="26" spans="2:2" x14ac:dyDescent="0.25">
      <c r="B26" s="40" t="s">
        <v>468</v>
      </c>
    </row>
    <row r="27" spans="2:2" x14ac:dyDescent="0.25">
      <c r="B27" s="40" t="s">
        <v>81</v>
      </c>
    </row>
    <row r="28" spans="2:2" x14ac:dyDescent="0.25">
      <c r="B28" s="40" t="s">
        <v>469</v>
      </c>
    </row>
    <row r="29" spans="2:2" x14ac:dyDescent="0.25">
      <c r="B29" s="40" t="s">
        <v>470</v>
      </c>
    </row>
    <row r="30" spans="2:2" x14ac:dyDescent="0.25">
      <c r="B30" s="40" t="s">
        <v>471</v>
      </c>
    </row>
    <row r="31" spans="2:2" x14ac:dyDescent="0.25">
      <c r="B31" s="40" t="s">
        <v>472</v>
      </c>
    </row>
    <row r="32" spans="2:2" x14ac:dyDescent="0.25">
      <c r="B32" s="40" t="s">
        <v>321</v>
      </c>
    </row>
    <row r="33" spans="2:2" x14ac:dyDescent="0.25">
      <c r="B33" s="40" t="s">
        <v>473</v>
      </c>
    </row>
    <row r="34" spans="2:2" x14ac:dyDescent="0.25">
      <c r="B34" s="40" t="s">
        <v>322</v>
      </c>
    </row>
    <row r="35" spans="2:2" x14ac:dyDescent="0.25">
      <c r="B35" s="40" t="s">
        <v>474</v>
      </c>
    </row>
    <row r="36" spans="2:2" x14ac:dyDescent="0.25">
      <c r="B36" s="40" t="s">
        <v>323</v>
      </c>
    </row>
    <row r="37" spans="2:2" x14ac:dyDescent="0.25">
      <c r="B37" s="40" t="s">
        <v>475</v>
      </c>
    </row>
    <row r="38" spans="2:2" x14ac:dyDescent="0.25">
      <c r="B38" s="40" t="s">
        <v>476</v>
      </c>
    </row>
    <row r="39" spans="2:2" x14ac:dyDescent="0.25">
      <c r="B39" s="40" t="s">
        <v>477</v>
      </c>
    </row>
    <row r="40" spans="2:2" x14ac:dyDescent="0.25">
      <c r="B40" s="40" t="s">
        <v>750</v>
      </c>
    </row>
    <row r="41" spans="2:2" x14ac:dyDescent="0.25">
      <c r="B41" s="40" t="s">
        <v>478</v>
      </c>
    </row>
    <row r="42" spans="2:2" x14ac:dyDescent="0.25">
      <c r="B42" s="40" t="s">
        <v>82</v>
      </c>
    </row>
    <row r="43" spans="2:2" x14ac:dyDescent="0.25">
      <c r="B43" s="40" t="s">
        <v>479</v>
      </c>
    </row>
    <row r="44" spans="2:2" x14ac:dyDescent="0.25">
      <c r="B44" s="40" t="s">
        <v>751</v>
      </c>
    </row>
    <row r="45" spans="2:2" x14ac:dyDescent="0.25">
      <c r="B45" s="40" t="s">
        <v>480</v>
      </c>
    </row>
    <row r="46" spans="2:2" x14ac:dyDescent="0.25">
      <c r="B46" s="40" t="s">
        <v>83</v>
      </c>
    </row>
    <row r="47" spans="2:2" x14ac:dyDescent="0.25">
      <c r="B47" s="40" t="s">
        <v>481</v>
      </c>
    </row>
    <row r="48" spans="2:2" x14ac:dyDescent="0.25">
      <c r="B48" s="40" t="s">
        <v>324</v>
      </c>
    </row>
    <row r="49" spans="2:2" x14ac:dyDescent="0.25">
      <c r="B49" s="40" t="s">
        <v>482</v>
      </c>
    </row>
    <row r="50" spans="2:2" x14ac:dyDescent="0.25">
      <c r="B50" s="40" t="s">
        <v>84</v>
      </c>
    </row>
    <row r="51" spans="2:2" x14ac:dyDescent="0.25">
      <c r="B51" s="40" t="s">
        <v>483</v>
      </c>
    </row>
    <row r="52" spans="2:2" x14ac:dyDescent="0.25">
      <c r="B52" s="40" t="s">
        <v>484</v>
      </c>
    </row>
    <row r="53" spans="2:2" x14ac:dyDescent="0.25">
      <c r="B53" s="40" t="s">
        <v>485</v>
      </c>
    </row>
    <row r="54" spans="2:2" x14ac:dyDescent="0.25">
      <c r="B54" s="40" t="s">
        <v>486</v>
      </c>
    </row>
    <row r="55" spans="2:2" x14ac:dyDescent="0.25">
      <c r="B55" s="40" t="s">
        <v>325</v>
      </c>
    </row>
    <row r="56" spans="2:2" x14ac:dyDescent="0.25">
      <c r="B56" s="40" t="s">
        <v>326</v>
      </c>
    </row>
    <row r="57" spans="2:2" x14ac:dyDescent="0.25">
      <c r="B57" s="40" t="s">
        <v>487</v>
      </c>
    </row>
    <row r="58" spans="2:2" x14ac:dyDescent="0.25">
      <c r="B58" s="40" t="s">
        <v>488</v>
      </c>
    </row>
    <row r="59" spans="2:2" x14ac:dyDescent="0.25">
      <c r="B59" s="40" t="s">
        <v>489</v>
      </c>
    </row>
    <row r="60" spans="2:2" x14ac:dyDescent="0.25">
      <c r="B60" s="40" t="s">
        <v>350</v>
      </c>
    </row>
    <row r="61" spans="2:2" x14ac:dyDescent="0.25">
      <c r="B61" s="40" t="s">
        <v>327</v>
      </c>
    </row>
    <row r="62" spans="2:2" x14ac:dyDescent="0.25">
      <c r="B62" s="40" t="s">
        <v>328</v>
      </c>
    </row>
    <row r="63" spans="2:2" x14ac:dyDescent="0.25">
      <c r="B63" s="40" t="s">
        <v>752</v>
      </c>
    </row>
    <row r="64" spans="2:2" x14ac:dyDescent="0.25">
      <c r="B64" s="40" t="s">
        <v>354</v>
      </c>
    </row>
    <row r="65" spans="2:2" x14ac:dyDescent="0.25">
      <c r="B65" s="40" t="s">
        <v>329</v>
      </c>
    </row>
    <row r="66" spans="2:2" x14ac:dyDescent="0.25">
      <c r="B66" s="40" t="s">
        <v>490</v>
      </c>
    </row>
    <row r="67" spans="2:2" x14ac:dyDescent="0.25">
      <c r="B67" s="40" t="s">
        <v>346</v>
      </c>
    </row>
    <row r="68" spans="2:2" x14ac:dyDescent="0.25">
      <c r="B68" s="40" t="s">
        <v>491</v>
      </c>
    </row>
    <row r="69" spans="2:2" x14ac:dyDescent="0.25">
      <c r="B69" s="40" t="s">
        <v>85</v>
      </c>
    </row>
    <row r="70" spans="2:2" x14ac:dyDescent="0.25">
      <c r="B70" s="40" t="s">
        <v>349</v>
      </c>
    </row>
    <row r="71" spans="2:2" x14ac:dyDescent="0.25">
      <c r="B71" s="40" t="s">
        <v>492</v>
      </c>
    </row>
    <row r="72" spans="2:2" x14ac:dyDescent="0.25">
      <c r="B72" s="40" t="s">
        <v>493</v>
      </c>
    </row>
    <row r="73" spans="2:2" x14ac:dyDescent="0.25">
      <c r="B73" s="40" t="s">
        <v>494</v>
      </c>
    </row>
    <row r="74" spans="2:2" x14ac:dyDescent="0.25">
      <c r="B74" s="40" t="s">
        <v>753</v>
      </c>
    </row>
    <row r="75" spans="2:2" x14ac:dyDescent="0.25">
      <c r="B75" s="40" t="s">
        <v>86</v>
      </c>
    </row>
    <row r="76" spans="2:2" x14ac:dyDescent="0.25">
      <c r="B76" s="40" t="s">
        <v>495</v>
      </c>
    </row>
    <row r="77" spans="2:2" x14ac:dyDescent="0.25">
      <c r="B77" s="40" t="s">
        <v>332</v>
      </c>
    </row>
    <row r="78" spans="2:2" x14ac:dyDescent="0.25">
      <c r="B78" s="40" t="s">
        <v>333</v>
      </c>
    </row>
    <row r="79" spans="2:2" x14ac:dyDescent="0.25">
      <c r="B79" s="40" t="s">
        <v>496</v>
      </c>
    </row>
    <row r="80" spans="2:2" x14ac:dyDescent="0.25">
      <c r="B80" s="40" t="s">
        <v>497</v>
      </c>
    </row>
    <row r="81" spans="2:2" x14ac:dyDescent="0.25">
      <c r="B81" s="40" t="s">
        <v>315</v>
      </c>
    </row>
    <row r="82" spans="2:2" x14ac:dyDescent="0.25">
      <c r="B82" s="40" t="s">
        <v>334</v>
      </c>
    </row>
    <row r="83" spans="2:2" x14ac:dyDescent="0.25">
      <c r="B83" s="40" t="s">
        <v>87</v>
      </c>
    </row>
    <row r="84" spans="2:2" x14ac:dyDescent="0.25">
      <c r="B84" s="40" t="s">
        <v>343</v>
      </c>
    </row>
    <row r="85" spans="2:2" x14ac:dyDescent="0.25">
      <c r="B85" s="40" t="s">
        <v>498</v>
      </c>
    </row>
    <row r="86" spans="2:2" x14ac:dyDescent="0.25">
      <c r="B86" s="40" t="s">
        <v>499</v>
      </c>
    </row>
    <row r="87" spans="2:2" x14ac:dyDescent="0.25">
      <c r="B87" s="40" t="s">
        <v>500</v>
      </c>
    </row>
    <row r="88" spans="2:2" x14ac:dyDescent="0.25">
      <c r="B88" s="40" t="s">
        <v>962</v>
      </c>
    </row>
    <row r="89" spans="2:2" x14ac:dyDescent="0.25">
      <c r="B89" s="40" t="s">
        <v>335</v>
      </c>
    </row>
    <row r="90" spans="2:2" x14ac:dyDescent="0.25">
      <c r="B90" s="40" t="s">
        <v>336</v>
      </c>
    </row>
    <row r="91" spans="2:2" x14ac:dyDescent="0.25">
      <c r="B91" s="40" t="s">
        <v>88</v>
      </c>
    </row>
    <row r="92" spans="2:2" x14ac:dyDescent="0.25">
      <c r="B92" s="40" t="s">
        <v>351</v>
      </c>
    </row>
    <row r="93" spans="2:2" x14ac:dyDescent="0.25">
      <c r="B93" s="40" t="s">
        <v>501</v>
      </c>
    </row>
    <row r="94" spans="2:2" x14ac:dyDescent="0.25">
      <c r="B94" s="40" t="s">
        <v>337</v>
      </c>
    </row>
    <row r="95" spans="2:2" x14ac:dyDescent="0.25">
      <c r="B95" s="40" t="s">
        <v>338</v>
      </c>
    </row>
    <row r="96" spans="2:2" x14ac:dyDescent="0.25">
      <c r="B96" s="40" t="s">
        <v>357</v>
      </c>
    </row>
    <row r="97" spans="2:2" x14ac:dyDescent="0.25">
      <c r="B97" s="40" t="s">
        <v>89</v>
      </c>
    </row>
    <row r="98" spans="2:2" x14ac:dyDescent="0.25">
      <c r="B98" s="40" t="s">
        <v>502</v>
      </c>
    </row>
    <row r="99" spans="2:2" x14ac:dyDescent="0.25">
      <c r="B99" s="40" t="s">
        <v>339</v>
      </c>
    </row>
    <row r="100" spans="2:2" x14ac:dyDescent="0.25">
      <c r="B100" s="40" t="s">
        <v>503</v>
      </c>
    </row>
    <row r="101" spans="2:2" x14ac:dyDescent="0.25">
      <c r="B101" s="40" t="s">
        <v>504</v>
      </c>
    </row>
    <row r="102" spans="2:2" x14ac:dyDescent="0.25">
      <c r="B102" s="40" t="s">
        <v>505</v>
      </c>
    </row>
    <row r="103" spans="2:2" x14ac:dyDescent="0.25">
      <c r="B103" s="40" t="s">
        <v>90</v>
      </c>
    </row>
    <row r="104" spans="2:2" x14ac:dyDescent="0.25">
      <c r="B104" s="40" t="s">
        <v>506</v>
      </c>
    </row>
    <row r="105" spans="2:2" x14ac:dyDescent="0.25">
      <c r="B105" s="40" t="s">
        <v>507</v>
      </c>
    </row>
    <row r="106" spans="2:2" x14ac:dyDescent="0.25">
      <c r="B106" s="40" t="s">
        <v>378</v>
      </c>
    </row>
    <row r="107" spans="2:2" x14ac:dyDescent="0.25">
      <c r="B107" s="40" t="s">
        <v>389</v>
      </c>
    </row>
    <row r="108" spans="2:2" x14ac:dyDescent="0.25">
      <c r="B108" s="40" t="s">
        <v>91</v>
      </c>
    </row>
    <row r="109" spans="2:2" x14ac:dyDescent="0.25">
      <c r="B109" s="40" t="s">
        <v>706</v>
      </c>
    </row>
    <row r="110" spans="2:2" x14ac:dyDescent="0.25">
      <c r="B110" s="40" t="s">
        <v>92</v>
      </c>
    </row>
    <row r="111" spans="2:2" x14ac:dyDescent="0.25">
      <c r="B111" s="40" t="s">
        <v>93</v>
      </c>
    </row>
    <row r="112" spans="2:2" x14ac:dyDescent="0.25">
      <c r="B112" s="40" t="s">
        <v>963</v>
      </c>
    </row>
    <row r="113" spans="2:2" x14ac:dyDescent="0.25">
      <c r="B113" s="40" t="s">
        <v>508</v>
      </c>
    </row>
    <row r="114" spans="2:2" x14ac:dyDescent="0.25">
      <c r="B114" s="40" t="s">
        <v>509</v>
      </c>
    </row>
    <row r="115" spans="2:2" x14ac:dyDescent="0.25">
      <c r="B115" s="40" t="s">
        <v>510</v>
      </c>
    </row>
    <row r="116" spans="2:2" x14ac:dyDescent="0.25">
      <c r="B116" s="40" t="s">
        <v>511</v>
      </c>
    </row>
    <row r="117" spans="2:2" x14ac:dyDescent="0.25">
      <c r="B117" s="40" t="s">
        <v>512</v>
      </c>
    </row>
    <row r="118" spans="2:2" x14ac:dyDescent="0.25">
      <c r="B118" s="40" t="s">
        <v>964</v>
      </c>
    </row>
    <row r="119" spans="2:2" x14ac:dyDescent="0.25">
      <c r="B119" s="40" t="s">
        <v>513</v>
      </c>
    </row>
    <row r="120" spans="2:2" x14ac:dyDescent="0.25">
      <c r="B120" s="40" t="s">
        <v>668</v>
      </c>
    </row>
    <row r="121" spans="2:2" x14ac:dyDescent="0.25">
      <c r="B121" s="40" t="s">
        <v>94</v>
      </c>
    </row>
    <row r="122" spans="2:2" x14ac:dyDescent="0.25">
      <c r="B122" s="40" t="s">
        <v>965</v>
      </c>
    </row>
    <row r="123" spans="2:2" x14ac:dyDescent="0.25">
      <c r="B123" s="40" t="s">
        <v>514</v>
      </c>
    </row>
    <row r="124" spans="2:2" x14ac:dyDescent="0.25">
      <c r="B124" s="40" t="s">
        <v>95</v>
      </c>
    </row>
    <row r="125" spans="2:2" x14ac:dyDescent="0.25">
      <c r="B125" s="40" t="s">
        <v>515</v>
      </c>
    </row>
    <row r="126" spans="2:2" x14ac:dyDescent="0.25">
      <c r="B126" s="40" t="s">
        <v>96</v>
      </c>
    </row>
    <row r="127" spans="2:2" x14ac:dyDescent="0.25">
      <c r="B127" s="40" t="s">
        <v>516</v>
      </c>
    </row>
    <row r="128" spans="2:2" x14ac:dyDescent="0.25">
      <c r="B128" s="40" t="s">
        <v>517</v>
      </c>
    </row>
    <row r="129" spans="2:2" x14ac:dyDescent="0.25">
      <c r="B129" s="40" t="s">
        <v>387</v>
      </c>
    </row>
    <row r="130" spans="2:2" x14ac:dyDescent="0.25">
      <c r="B130" s="40" t="s">
        <v>518</v>
      </c>
    </row>
    <row r="131" spans="2:2" x14ac:dyDescent="0.25">
      <c r="B131" s="40" t="s">
        <v>519</v>
      </c>
    </row>
    <row r="132" spans="2:2" x14ac:dyDescent="0.25">
      <c r="B132" s="40" t="s">
        <v>520</v>
      </c>
    </row>
    <row r="133" spans="2:2" x14ac:dyDescent="0.25">
      <c r="B133" s="40" t="s">
        <v>386</v>
      </c>
    </row>
    <row r="134" spans="2:2" x14ac:dyDescent="0.25">
      <c r="B134" s="40" t="s">
        <v>521</v>
      </c>
    </row>
    <row r="135" spans="2:2" x14ac:dyDescent="0.25">
      <c r="B135" s="40" t="s">
        <v>966</v>
      </c>
    </row>
    <row r="136" spans="2:2" x14ac:dyDescent="0.25">
      <c r="B136" s="40" t="s">
        <v>522</v>
      </c>
    </row>
    <row r="137" spans="2:2" x14ac:dyDescent="0.25">
      <c r="B137" s="40" t="s">
        <v>359</v>
      </c>
    </row>
    <row r="138" spans="2:2" x14ac:dyDescent="0.25">
      <c r="B138" s="40" t="s">
        <v>523</v>
      </c>
    </row>
    <row r="139" spans="2:2" x14ac:dyDescent="0.25">
      <c r="B139" s="40" t="s">
        <v>358</v>
      </c>
    </row>
    <row r="140" spans="2:2" x14ac:dyDescent="0.25">
      <c r="B140" s="40" t="s">
        <v>524</v>
      </c>
    </row>
    <row r="141" spans="2:2" x14ac:dyDescent="0.25">
      <c r="B141" s="40" t="s">
        <v>525</v>
      </c>
    </row>
    <row r="142" spans="2:2" x14ac:dyDescent="0.25">
      <c r="B142" s="40" t="s">
        <v>526</v>
      </c>
    </row>
    <row r="143" spans="2:2" x14ac:dyDescent="0.25">
      <c r="B143" s="40" t="s">
        <v>833</v>
      </c>
    </row>
    <row r="144" spans="2:2" x14ac:dyDescent="0.25">
      <c r="B144" s="40" t="s">
        <v>352</v>
      </c>
    </row>
    <row r="145" spans="2:2" x14ac:dyDescent="0.25">
      <c r="B145" s="40" t="s">
        <v>312</v>
      </c>
    </row>
    <row r="146" spans="2:2" x14ac:dyDescent="0.25">
      <c r="B146" s="40" t="s">
        <v>97</v>
      </c>
    </row>
    <row r="147" spans="2:2" x14ac:dyDescent="0.25">
      <c r="B147" s="40" t="s">
        <v>98</v>
      </c>
    </row>
    <row r="148" spans="2:2" x14ac:dyDescent="0.25">
      <c r="B148" s="40" t="s">
        <v>527</v>
      </c>
    </row>
    <row r="149" spans="2:2" x14ac:dyDescent="0.25">
      <c r="B149" s="40" t="s">
        <v>528</v>
      </c>
    </row>
    <row r="150" spans="2:2" x14ac:dyDescent="0.25">
      <c r="B150" s="40" t="s">
        <v>529</v>
      </c>
    </row>
    <row r="151" spans="2:2" x14ac:dyDescent="0.25">
      <c r="B151" s="40" t="s">
        <v>99</v>
      </c>
    </row>
    <row r="152" spans="2:2" x14ac:dyDescent="0.25">
      <c r="B152" s="40" t="s">
        <v>530</v>
      </c>
    </row>
    <row r="153" spans="2:2" x14ac:dyDescent="0.25">
      <c r="B153" s="40" t="s">
        <v>100</v>
      </c>
    </row>
    <row r="154" spans="2:2" x14ac:dyDescent="0.25">
      <c r="B154" s="40" t="s">
        <v>707</v>
      </c>
    </row>
    <row r="155" spans="2:2" x14ac:dyDescent="0.25">
      <c r="B155" s="40" t="s">
        <v>708</v>
      </c>
    </row>
    <row r="156" spans="2:2" x14ac:dyDescent="0.25">
      <c r="B156" s="40" t="s">
        <v>709</v>
      </c>
    </row>
    <row r="157" spans="2:2" x14ac:dyDescent="0.25">
      <c r="B157" s="40" t="s">
        <v>710</v>
      </c>
    </row>
    <row r="158" spans="2:2" x14ac:dyDescent="0.25">
      <c r="B158" s="40" t="s">
        <v>711</v>
      </c>
    </row>
    <row r="159" spans="2:2" x14ac:dyDescent="0.25">
      <c r="B159" s="40" t="s">
        <v>101</v>
      </c>
    </row>
    <row r="160" spans="2:2" x14ac:dyDescent="0.25">
      <c r="B160" s="40" t="s">
        <v>102</v>
      </c>
    </row>
    <row r="161" spans="2:2" x14ac:dyDescent="0.25">
      <c r="B161" s="40" t="s">
        <v>531</v>
      </c>
    </row>
    <row r="162" spans="2:2" x14ac:dyDescent="0.25">
      <c r="B162" s="40" t="s">
        <v>967</v>
      </c>
    </row>
    <row r="163" spans="2:2" x14ac:dyDescent="0.25">
      <c r="B163" s="40" t="s">
        <v>532</v>
      </c>
    </row>
    <row r="164" spans="2:2" x14ac:dyDescent="0.25">
      <c r="B164" s="40" t="s">
        <v>360</v>
      </c>
    </row>
    <row r="165" spans="2:2" x14ac:dyDescent="0.25">
      <c r="B165" s="40" t="s">
        <v>278</v>
      </c>
    </row>
    <row r="166" spans="2:2" x14ac:dyDescent="0.25">
      <c r="B166" s="40" t="s">
        <v>285</v>
      </c>
    </row>
    <row r="167" spans="2:2" x14ac:dyDescent="0.25">
      <c r="B167" s="40" t="s">
        <v>103</v>
      </c>
    </row>
    <row r="168" spans="2:2" x14ac:dyDescent="0.25">
      <c r="B168" s="40" t="s">
        <v>104</v>
      </c>
    </row>
    <row r="169" spans="2:2" x14ac:dyDescent="0.25">
      <c r="B169" s="40" t="s">
        <v>105</v>
      </c>
    </row>
    <row r="170" spans="2:2" x14ac:dyDescent="0.25">
      <c r="B170" s="40" t="s">
        <v>712</v>
      </c>
    </row>
    <row r="171" spans="2:2" x14ac:dyDescent="0.25">
      <c r="B171" s="40" t="s">
        <v>282</v>
      </c>
    </row>
    <row r="172" spans="2:2" x14ac:dyDescent="0.25">
      <c r="B172" s="40" t="s">
        <v>283</v>
      </c>
    </row>
    <row r="173" spans="2:2" x14ac:dyDescent="0.25">
      <c r="B173" s="40" t="s">
        <v>284</v>
      </c>
    </row>
    <row r="174" spans="2:2" x14ac:dyDescent="0.25">
      <c r="B174" s="40" t="s">
        <v>533</v>
      </c>
    </row>
    <row r="175" spans="2:2" x14ac:dyDescent="0.25">
      <c r="B175" s="40" t="s">
        <v>286</v>
      </c>
    </row>
    <row r="176" spans="2:2" x14ac:dyDescent="0.25">
      <c r="B176" s="40" t="s">
        <v>534</v>
      </c>
    </row>
    <row r="177" spans="2:2" x14ac:dyDescent="0.25">
      <c r="B177" s="40" t="s">
        <v>713</v>
      </c>
    </row>
    <row r="178" spans="2:2" x14ac:dyDescent="0.25">
      <c r="B178" s="40" t="s">
        <v>535</v>
      </c>
    </row>
    <row r="179" spans="2:2" x14ac:dyDescent="0.25">
      <c r="B179" s="40" t="s">
        <v>714</v>
      </c>
    </row>
    <row r="180" spans="2:2" x14ac:dyDescent="0.25">
      <c r="B180" s="40" t="s">
        <v>293</v>
      </c>
    </row>
    <row r="181" spans="2:2" x14ac:dyDescent="0.25">
      <c r="B181" s="40" t="s">
        <v>536</v>
      </c>
    </row>
    <row r="182" spans="2:2" x14ac:dyDescent="0.25">
      <c r="B182" s="40" t="s">
        <v>968</v>
      </c>
    </row>
    <row r="183" spans="2:2" x14ac:dyDescent="0.25">
      <c r="B183" s="40" t="s">
        <v>310</v>
      </c>
    </row>
    <row r="184" spans="2:2" x14ac:dyDescent="0.25">
      <c r="B184" s="40" t="s">
        <v>299</v>
      </c>
    </row>
    <row r="185" spans="2:2" x14ac:dyDescent="0.25">
      <c r="B185" s="40" t="s">
        <v>106</v>
      </c>
    </row>
    <row r="186" spans="2:2" x14ac:dyDescent="0.25">
      <c r="B186" s="40" t="s">
        <v>107</v>
      </c>
    </row>
    <row r="187" spans="2:2" x14ac:dyDescent="0.25">
      <c r="B187" s="40" t="s">
        <v>715</v>
      </c>
    </row>
    <row r="188" spans="2:2" x14ac:dyDescent="0.25">
      <c r="B188" s="40" t="s">
        <v>716</v>
      </c>
    </row>
    <row r="189" spans="2:2" x14ac:dyDescent="0.25">
      <c r="B189" s="40" t="s">
        <v>537</v>
      </c>
    </row>
    <row r="190" spans="2:2" x14ac:dyDescent="0.25">
      <c r="B190" s="40" t="s">
        <v>538</v>
      </c>
    </row>
    <row r="191" spans="2:2" x14ac:dyDescent="0.25">
      <c r="B191" s="40" t="s">
        <v>539</v>
      </c>
    </row>
    <row r="192" spans="2:2" x14ac:dyDescent="0.25">
      <c r="B192" s="40" t="s">
        <v>108</v>
      </c>
    </row>
    <row r="193" spans="2:2" x14ac:dyDescent="0.25">
      <c r="B193" s="40" t="s">
        <v>717</v>
      </c>
    </row>
    <row r="194" spans="2:2" x14ac:dyDescent="0.25">
      <c r="B194" s="40" t="s">
        <v>540</v>
      </c>
    </row>
    <row r="195" spans="2:2" x14ac:dyDescent="0.25">
      <c r="B195" s="40" t="s">
        <v>718</v>
      </c>
    </row>
    <row r="196" spans="2:2" x14ac:dyDescent="0.25">
      <c r="B196" s="40" t="s">
        <v>541</v>
      </c>
    </row>
    <row r="197" spans="2:2" x14ac:dyDescent="0.25">
      <c r="B197" s="40" t="s">
        <v>719</v>
      </c>
    </row>
    <row r="198" spans="2:2" x14ac:dyDescent="0.25">
      <c r="B198" s="40" t="s">
        <v>542</v>
      </c>
    </row>
    <row r="199" spans="2:2" x14ac:dyDescent="0.25">
      <c r="B199" s="40" t="s">
        <v>543</v>
      </c>
    </row>
    <row r="200" spans="2:2" x14ac:dyDescent="0.25">
      <c r="B200" s="40" t="s">
        <v>544</v>
      </c>
    </row>
    <row r="201" spans="2:2" x14ac:dyDescent="0.25">
      <c r="B201" s="40" t="s">
        <v>545</v>
      </c>
    </row>
    <row r="202" spans="2:2" x14ac:dyDescent="0.25">
      <c r="B202" s="40" t="s">
        <v>313</v>
      </c>
    </row>
    <row r="203" spans="2:2" x14ac:dyDescent="0.25">
      <c r="B203" s="40" t="s">
        <v>374</v>
      </c>
    </row>
    <row r="204" spans="2:2" x14ac:dyDescent="0.25">
      <c r="B204" s="40" t="s">
        <v>381</v>
      </c>
    </row>
    <row r="205" spans="2:2" x14ac:dyDescent="0.25">
      <c r="B205" s="40" t="s">
        <v>382</v>
      </c>
    </row>
    <row r="206" spans="2:2" x14ac:dyDescent="0.25">
      <c r="B206" s="40" t="s">
        <v>546</v>
      </c>
    </row>
    <row r="207" spans="2:2" x14ac:dyDescent="0.25">
      <c r="B207" s="40" t="s">
        <v>288</v>
      </c>
    </row>
    <row r="208" spans="2:2" x14ac:dyDescent="0.25">
      <c r="B208" s="40" t="s">
        <v>109</v>
      </c>
    </row>
    <row r="209" spans="2:2" x14ac:dyDescent="0.25">
      <c r="B209" s="40" t="s">
        <v>110</v>
      </c>
    </row>
    <row r="210" spans="2:2" x14ac:dyDescent="0.25">
      <c r="B210" s="40" t="s">
        <v>111</v>
      </c>
    </row>
    <row r="211" spans="2:2" x14ac:dyDescent="0.25">
      <c r="B211" s="40" t="s">
        <v>305</v>
      </c>
    </row>
    <row r="212" spans="2:2" x14ac:dyDescent="0.25">
      <c r="B212" s="40" t="s">
        <v>363</v>
      </c>
    </row>
    <row r="213" spans="2:2" x14ac:dyDescent="0.25">
      <c r="B213" s="40" t="s">
        <v>720</v>
      </c>
    </row>
    <row r="214" spans="2:2" x14ac:dyDescent="0.25">
      <c r="B214" s="40" t="s">
        <v>112</v>
      </c>
    </row>
    <row r="215" spans="2:2" x14ac:dyDescent="0.25">
      <c r="B215" s="40" t="s">
        <v>547</v>
      </c>
    </row>
    <row r="216" spans="2:2" x14ac:dyDescent="0.25">
      <c r="B216" s="40" t="s">
        <v>721</v>
      </c>
    </row>
    <row r="217" spans="2:2" x14ac:dyDescent="0.25">
      <c r="B217" s="40" t="s">
        <v>113</v>
      </c>
    </row>
    <row r="218" spans="2:2" x14ac:dyDescent="0.25">
      <c r="B218" s="40" t="s">
        <v>722</v>
      </c>
    </row>
    <row r="219" spans="2:2" x14ac:dyDescent="0.25">
      <c r="B219" s="40" t="s">
        <v>548</v>
      </c>
    </row>
    <row r="220" spans="2:2" x14ac:dyDescent="0.25">
      <c r="B220" s="40" t="s">
        <v>723</v>
      </c>
    </row>
    <row r="221" spans="2:2" x14ac:dyDescent="0.25">
      <c r="B221" s="40" t="s">
        <v>724</v>
      </c>
    </row>
    <row r="222" spans="2:2" x14ac:dyDescent="0.25">
      <c r="B222" s="40" t="s">
        <v>345</v>
      </c>
    </row>
    <row r="223" spans="2:2" x14ac:dyDescent="0.25">
      <c r="B223" s="40" t="s">
        <v>318</v>
      </c>
    </row>
    <row r="224" spans="2:2" x14ac:dyDescent="0.25">
      <c r="B224" s="40" t="s">
        <v>314</v>
      </c>
    </row>
    <row r="225" spans="2:2" x14ac:dyDescent="0.25">
      <c r="B225" s="40" t="s">
        <v>304</v>
      </c>
    </row>
    <row r="226" spans="2:2" x14ac:dyDescent="0.25">
      <c r="B226" s="40" t="s">
        <v>342</v>
      </c>
    </row>
    <row r="227" spans="2:2" x14ac:dyDescent="0.25">
      <c r="B227" s="40" t="s">
        <v>549</v>
      </c>
    </row>
    <row r="228" spans="2:2" x14ac:dyDescent="0.25">
      <c r="B228" s="40" t="s">
        <v>550</v>
      </c>
    </row>
    <row r="229" spans="2:2" x14ac:dyDescent="0.25">
      <c r="B229" s="40" t="s">
        <v>341</v>
      </c>
    </row>
    <row r="230" spans="2:2" x14ac:dyDescent="0.25">
      <c r="B230" s="40" t="s">
        <v>551</v>
      </c>
    </row>
    <row r="231" spans="2:2" x14ac:dyDescent="0.25">
      <c r="B231" s="40" t="s">
        <v>114</v>
      </c>
    </row>
    <row r="232" spans="2:2" x14ac:dyDescent="0.25">
      <c r="B232" s="40" t="s">
        <v>115</v>
      </c>
    </row>
    <row r="233" spans="2:2" x14ac:dyDescent="0.25">
      <c r="B233" s="40" t="s">
        <v>552</v>
      </c>
    </row>
    <row r="234" spans="2:2" x14ac:dyDescent="0.25">
      <c r="B234" s="40" t="s">
        <v>116</v>
      </c>
    </row>
    <row r="235" spans="2:2" x14ac:dyDescent="0.25">
      <c r="B235" s="40" t="s">
        <v>117</v>
      </c>
    </row>
    <row r="236" spans="2:2" x14ac:dyDescent="0.25">
      <c r="B236" s="40" t="s">
        <v>725</v>
      </c>
    </row>
    <row r="237" spans="2:2" x14ac:dyDescent="0.25">
      <c r="B237" s="40" t="s">
        <v>726</v>
      </c>
    </row>
    <row r="238" spans="2:2" x14ac:dyDescent="0.25">
      <c r="B238" s="40" t="s">
        <v>553</v>
      </c>
    </row>
    <row r="239" spans="2:2" x14ac:dyDescent="0.25">
      <c r="B239" s="40" t="s">
        <v>554</v>
      </c>
    </row>
    <row r="240" spans="2:2" x14ac:dyDescent="0.25">
      <c r="B240" s="40" t="s">
        <v>555</v>
      </c>
    </row>
    <row r="241" spans="2:2" x14ac:dyDescent="0.25">
      <c r="B241" s="40" t="s">
        <v>371</v>
      </c>
    </row>
    <row r="242" spans="2:2" x14ac:dyDescent="0.25">
      <c r="B242" s="40" t="s">
        <v>372</v>
      </c>
    </row>
    <row r="243" spans="2:2" x14ac:dyDescent="0.25">
      <c r="B243" s="40" t="s">
        <v>118</v>
      </c>
    </row>
    <row r="244" spans="2:2" x14ac:dyDescent="0.25">
      <c r="B244" s="40" t="s">
        <v>1000</v>
      </c>
    </row>
    <row r="245" spans="2:2" x14ac:dyDescent="0.25">
      <c r="B245" s="40" t="s">
        <v>119</v>
      </c>
    </row>
    <row r="246" spans="2:2" x14ac:dyDescent="0.25">
      <c r="B246" s="40" t="s">
        <v>556</v>
      </c>
    </row>
    <row r="247" spans="2:2" x14ac:dyDescent="0.25">
      <c r="B247" s="40" t="s">
        <v>727</v>
      </c>
    </row>
    <row r="248" spans="2:2" x14ac:dyDescent="0.25">
      <c r="B248" s="40" t="s">
        <v>557</v>
      </c>
    </row>
    <row r="249" spans="2:2" x14ac:dyDescent="0.25">
      <c r="B249" s="40" t="s">
        <v>728</v>
      </c>
    </row>
    <row r="250" spans="2:2" x14ac:dyDescent="0.25">
      <c r="B250" s="40" t="s">
        <v>361</v>
      </c>
    </row>
    <row r="251" spans="2:2" x14ac:dyDescent="0.25">
      <c r="B251" s="40" t="s">
        <v>558</v>
      </c>
    </row>
    <row r="252" spans="2:2" x14ac:dyDescent="0.25">
      <c r="B252" s="40" t="s">
        <v>559</v>
      </c>
    </row>
    <row r="253" spans="2:2" x14ac:dyDescent="0.25">
      <c r="B253" s="40" t="s">
        <v>560</v>
      </c>
    </row>
    <row r="254" spans="2:2" x14ac:dyDescent="0.25">
      <c r="B254" s="40" t="s">
        <v>1039</v>
      </c>
    </row>
    <row r="255" spans="2:2" x14ac:dyDescent="0.25">
      <c r="B255" s="40" t="s">
        <v>729</v>
      </c>
    </row>
    <row r="256" spans="2:2" x14ac:dyDescent="0.25">
      <c r="B256" s="40" t="s">
        <v>120</v>
      </c>
    </row>
    <row r="257" spans="2:2" x14ac:dyDescent="0.25">
      <c r="B257" s="40" t="s">
        <v>561</v>
      </c>
    </row>
    <row r="258" spans="2:2" x14ac:dyDescent="0.25">
      <c r="B258" s="40" t="s">
        <v>986</v>
      </c>
    </row>
    <row r="259" spans="2:2" x14ac:dyDescent="0.25">
      <c r="B259" s="40" t="s">
        <v>562</v>
      </c>
    </row>
    <row r="260" spans="2:2" x14ac:dyDescent="0.25">
      <c r="B260" s="40" t="s">
        <v>563</v>
      </c>
    </row>
    <row r="261" spans="2:2" x14ac:dyDescent="0.25">
      <c r="B261" s="40" t="s">
        <v>730</v>
      </c>
    </row>
    <row r="262" spans="2:2" x14ac:dyDescent="0.25">
      <c r="B262" s="40" t="s">
        <v>969</v>
      </c>
    </row>
    <row r="263" spans="2:2" x14ac:dyDescent="0.25">
      <c r="B263" s="40" t="s">
        <v>564</v>
      </c>
    </row>
    <row r="264" spans="2:2" x14ac:dyDescent="0.25">
      <c r="B264" s="40" t="s">
        <v>1011</v>
      </c>
    </row>
    <row r="265" spans="2:2" x14ac:dyDescent="0.25">
      <c r="B265" s="40" t="s">
        <v>364</v>
      </c>
    </row>
    <row r="266" spans="2:2" x14ac:dyDescent="0.25">
      <c r="B266" s="40" t="s">
        <v>292</v>
      </c>
    </row>
    <row r="267" spans="2:2" x14ac:dyDescent="0.25">
      <c r="B267" s="40" t="s">
        <v>565</v>
      </c>
    </row>
    <row r="268" spans="2:2" x14ac:dyDescent="0.25">
      <c r="B268" s="40" t="s">
        <v>301</v>
      </c>
    </row>
    <row r="269" spans="2:2" x14ac:dyDescent="0.25">
      <c r="B269" s="40" t="s">
        <v>300</v>
      </c>
    </row>
    <row r="270" spans="2:2" x14ac:dyDescent="0.25">
      <c r="B270" s="40" t="s">
        <v>291</v>
      </c>
    </row>
    <row r="271" spans="2:2" x14ac:dyDescent="0.25">
      <c r="B271" s="40" t="s">
        <v>731</v>
      </c>
    </row>
    <row r="272" spans="2:2" x14ac:dyDescent="0.25">
      <c r="B272" s="40" t="s">
        <v>732</v>
      </c>
    </row>
    <row r="273" spans="2:2" x14ac:dyDescent="0.25">
      <c r="B273" s="40" t="s">
        <v>309</v>
      </c>
    </row>
    <row r="274" spans="2:2" x14ac:dyDescent="0.25">
      <c r="B274" s="40" t="s">
        <v>733</v>
      </c>
    </row>
    <row r="275" spans="2:2" x14ac:dyDescent="0.25">
      <c r="B275" s="40" t="s">
        <v>385</v>
      </c>
    </row>
    <row r="276" spans="2:2" x14ac:dyDescent="0.25">
      <c r="B276" s="40" t="s">
        <v>366</v>
      </c>
    </row>
    <row r="277" spans="2:2" x14ac:dyDescent="0.25">
      <c r="B277" s="40" t="s">
        <v>367</v>
      </c>
    </row>
    <row r="278" spans="2:2" x14ac:dyDescent="0.25">
      <c r="B278" s="40" t="s">
        <v>369</v>
      </c>
    </row>
    <row r="279" spans="2:2" x14ac:dyDescent="0.25">
      <c r="B279" s="40" t="s">
        <v>734</v>
      </c>
    </row>
    <row r="280" spans="2:2" x14ac:dyDescent="0.25">
      <c r="B280" s="40" t="s">
        <v>370</v>
      </c>
    </row>
    <row r="281" spans="2:2" x14ac:dyDescent="0.25">
      <c r="B281" s="40" t="s">
        <v>566</v>
      </c>
    </row>
    <row r="282" spans="2:2" x14ac:dyDescent="0.25">
      <c r="B282" s="40" t="s">
        <v>567</v>
      </c>
    </row>
    <row r="283" spans="2:2" x14ac:dyDescent="0.25">
      <c r="B283" s="40" t="s">
        <v>121</v>
      </c>
    </row>
    <row r="284" spans="2:2" x14ac:dyDescent="0.25">
      <c r="B284" s="40" t="s">
        <v>568</v>
      </c>
    </row>
    <row r="285" spans="2:2" x14ac:dyDescent="0.25">
      <c r="B285" s="40" t="s">
        <v>735</v>
      </c>
    </row>
    <row r="286" spans="2:2" x14ac:dyDescent="0.25">
      <c r="B286" s="40" t="s">
        <v>569</v>
      </c>
    </row>
    <row r="287" spans="2:2" x14ac:dyDescent="0.25">
      <c r="B287" s="40" t="s">
        <v>570</v>
      </c>
    </row>
    <row r="288" spans="2:2" x14ac:dyDescent="0.25">
      <c r="B288" s="40" t="s">
        <v>736</v>
      </c>
    </row>
    <row r="289" spans="2:2" x14ac:dyDescent="0.25">
      <c r="B289" s="40" t="s">
        <v>737</v>
      </c>
    </row>
    <row r="290" spans="2:2" x14ac:dyDescent="0.25">
      <c r="B290" s="40" t="s">
        <v>571</v>
      </c>
    </row>
    <row r="291" spans="2:2" x14ac:dyDescent="0.25">
      <c r="B291" s="40" t="s">
        <v>572</v>
      </c>
    </row>
    <row r="292" spans="2:2" x14ac:dyDescent="0.25">
      <c r="B292" s="40" t="s">
        <v>122</v>
      </c>
    </row>
    <row r="293" spans="2:2" x14ac:dyDescent="0.25">
      <c r="B293" s="40" t="s">
        <v>738</v>
      </c>
    </row>
    <row r="294" spans="2:2" x14ac:dyDescent="0.25">
      <c r="B294" s="40" t="s">
        <v>739</v>
      </c>
    </row>
    <row r="295" spans="2:2" x14ac:dyDescent="0.25">
      <c r="B295" s="40" t="s">
        <v>740</v>
      </c>
    </row>
    <row r="296" spans="2:2" x14ac:dyDescent="0.25">
      <c r="B296" s="40" t="s">
        <v>741</v>
      </c>
    </row>
    <row r="297" spans="2:2" x14ac:dyDescent="0.25">
      <c r="B297" s="40" t="s">
        <v>742</v>
      </c>
    </row>
    <row r="298" spans="2:2" x14ac:dyDescent="0.25">
      <c r="B298" s="40" t="s">
        <v>573</v>
      </c>
    </row>
    <row r="299" spans="2:2" x14ac:dyDescent="0.25">
      <c r="B299" s="40" t="s">
        <v>123</v>
      </c>
    </row>
    <row r="300" spans="2:2" x14ac:dyDescent="0.25">
      <c r="B300" s="40" t="s">
        <v>1007</v>
      </c>
    </row>
    <row r="301" spans="2:2" x14ac:dyDescent="0.25">
      <c r="B301" s="40" t="s">
        <v>743</v>
      </c>
    </row>
    <row r="302" spans="2:2" x14ac:dyDescent="0.25">
      <c r="B302" s="40" t="s">
        <v>574</v>
      </c>
    </row>
    <row r="303" spans="2:2" x14ac:dyDescent="0.25">
      <c r="B303" s="40" t="s">
        <v>970</v>
      </c>
    </row>
    <row r="304" spans="2:2" x14ac:dyDescent="0.25">
      <c r="B304" s="40" t="s">
        <v>124</v>
      </c>
    </row>
    <row r="305" spans="2:2" x14ac:dyDescent="0.25">
      <c r="B305" s="40" t="s">
        <v>961</v>
      </c>
    </row>
    <row r="306" spans="2:2" x14ac:dyDescent="0.25">
      <c r="B306" s="40" t="s">
        <v>575</v>
      </c>
    </row>
    <row r="307" spans="2:2" x14ac:dyDescent="0.25">
      <c r="B307" s="40" t="s">
        <v>362</v>
      </c>
    </row>
    <row r="308" spans="2:2" x14ac:dyDescent="0.25">
      <c r="B308" s="40" t="s">
        <v>744</v>
      </c>
    </row>
    <row r="309" spans="2:2" x14ac:dyDescent="0.25">
      <c r="B309" s="40" t="s">
        <v>576</v>
      </c>
    </row>
    <row r="310" spans="2:2" x14ac:dyDescent="0.25">
      <c r="B310" s="40" t="s">
        <v>577</v>
      </c>
    </row>
    <row r="311" spans="2:2" x14ac:dyDescent="0.25">
      <c r="B311" s="40" t="s">
        <v>578</v>
      </c>
    </row>
    <row r="312" spans="2:2" x14ac:dyDescent="0.25">
      <c r="B312" s="40" t="s">
        <v>579</v>
      </c>
    </row>
    <row r="313" spans="2:2" x14ac:dyDescent="0.25">
      <c r="B313" s="40" t="s">
        <v>971</v>
      </c>
    </row>
    <row r="314" spans="2:2" x14ac:dyDescent="0.25">
      <c r="B314" s="40" t="s">
        <v>754</v>
      </c>
    </row>
    <row r="315" spans="2:2" x14ac:dyDescent="0.25">
      <c r="B315" s="40" t="s">
        <v>125</v>
      </c>
    </row>
    <row r="316" spans="2:2" x14ac:dyDescent="0.25">
      <c r="B316" s="40" t="s">
        <v>126</v>
      </c>
    </row>
    <row r="317" spans="2:2" x14ac:dyDescent="0.25">
      <c r="B317" s="40" t="s">
        <v>127</v>
      </c>
    </row>
    <row r="318" spans="2:2" x14ac:dyDescent="0.25">
      <c r="B318" s="40" t="s">
        <v>580</v>
      </c>
    </row>
    <row r="319" spans="2:2" x14ac:dyDescent="0.25">
      <c r="B319" s="40" t="s">
        <v>755</v>
      </c>
    </row>
    <row r="320" spans="2:2" x14ac:dyDescent="0.25">
      <c r="B320" s="40" t="s">
        <v>581</v>
      </c>
    </row>
    <row r="321" spans="2:2" x14ac:dyDescent="0.25">
      <c r="B321" s="40" t="s">
        <v>756</v>
      </c>
    </row>
    <row r="322" spans="2:2" x14ac:dyDescent="0.25">
      <c r="B322" s="40" t="s">
        <v>582</v>
      </c>
    </row>
    <row r="323" spans="2:2" x14ac:dyDescent="0.25">
      <c r="B323" s="40" t="s">
        <v>583</v>
      </c>
    </row>
    <row r="324" spans="2:2" x14ac:dyDescent="0.25">
      <c r="B324" s="40" t="s">
        <v>365</v>
      </c>
    </row>
    <row r="325" spans="2:2" x14ac:dyDescent="0.25">
      <c r="B325" s="40" t="s">
        <v>128</v>
      </c>
    </row>
    <row r="326" spans="2:2" x14ac:dyDescent="0.25">
      <c r="B326" s="40" t="s">
        <v>584</v>
      </c>
    </row>
    <row r="327" spans="2:2" x14ac:dyDescent="0.25">
      <c r="B327" s="40" t="s">
        <v>129</v>
      </c>
    </row>
    <row r="328" spans="2:2" x14ac:dyDescent="0.25">
      <c r="B328" s="40" t="s">
        <v>972</v>
      </c>
    </row>
    <row r="329" spans="2:2" x14ac:dyDescent="0.25">
      <c r="B329" s="40" t="s">
        <v>585</v>
      </c>
    </row>
    <row r="330" spans="2:2" x14ac:dyDescent="0.25">
      <c r="B330" s="40" t="s">
        <v>586</v>
      </c>
    </row>
    <row r="331" spans="2:2" x14ac:dyDescent="0.25">
      <c r="B331" s="40" t="s">
        <v>373</v>
      </c>
    </row>
    <row r="332" spans="2:2" x14ac:dyDescent="0.25">
      <c r="B332" s="40" t="s">
        <v>287</v>
      </c>
    </row>
    <row r="333" spans="2:2" x14ac:dyDescent="0.25">
      <c r="B333" s="40" t="s">
        <v>319</v>
      </c>
    </row>
    <row r="334" spans="2:2" x14ac:dyDescent="0.25">
      <c r="B334" s="40" t="s">
        <v>973</v>
      </c>
    </row>
    <row r="335" spans="2:2" x14ac:dyDescent="0.25">
      <c r="B335" s="40" t="s">
        <v>757</v>
      </c>
    </row>
    <row r="336" spans="2:2" x14ac:dyDescent="0.25">
      <c r="B336" s="40" t="s">
        <v>307</v>
      </c>
    </row>
    <row r="337" spans="2:2" x14ac:dyDescent="0.25">
      <c r="B337" s="40" t="s">
        <v>587</v>
      </c>
    </row>
    <row r="338" spans="2:2" x14ac:dyDescent="0.25">
      <c r="B338" s="40" t="s">
        <v>588</v>
      </c>
    </row>
    <row r="339" spans="2:2" x14ac:dyDescent="0.25">
      <c r="B339" s="40" t="s">
        <v>589</v>
      </c>
    </row>
    <row r="340" spans="2:2" x14ac:dyDescent="0.25">
      <c r="B340" s="40" t="s">
        <v>590</v>
      </c>
    </row>
    <row r="341" spans="2:2" x14ac:dyDescent="0.25">
      <c r="B341" s="40" t="s">
        <v>591</v>
      </c>
    </row>
    <row r="342" spans="2:2" x14ac:dyDescent="0.25">
      <c r="B342" s="40" t="s">
        <v>317</v>
      </c>
    </row>
    <row r="343" spans="2:2" x14ac:dyDescent="0.25">
      <c r="B343" s="40" t="s">
        <v>592</v>
      </c>
    </row>
    <row r="344" spans="2:2" x14ac:dyDescent="0.25">
      <c r="B344" s="40" t="s">
        <v>379</v>
      </c>
    </row>
    <row r="345" spans="2:2" x14ac:dyDescent="0.25">
      <c r="B345" s="40" t="s">
        <v>130</v>
      </c>
    </row>
    <row r="346" spans="2:2" x14ac:dyDescent="0.25">
      <c r="B346" s="40" t="s">
        <v>593</v>
      </c>
    </row>
    <row r="347" spans="2:2" x14ac:dyDescent="0.25">
      <c r="B347" s="40" t="s">
        <v>594</v>
      </c>
    </row>
    <row r="348" spans="2:2" x14ac:dyDescent="0.25">
      <c r="B348" s="40" t="s">
        <v>595</v>
      </c>
    </row>
    <row r="349" spans="2:2" x14ac:dyDescent="0.25">
      <c r="B349" s="40" t="s">
        <v>596</v>
      </c>
    </row>
    <row r="350" spans="2:2" x14ac:dyDescent="0.25">
      <c r="B350" s="40" t="s">
        <v>758</v>
      </c>
    </row>
    <row r="351" spans="2:2" x14ac:dyDescent="0.25">
      <c r="B351" s="40" t="s">
        <v>380</v>
      </c>
    </row>
    <row r="352" spans="2:2" x14ac:dyDescent="0.25">
      <c r="B352" s="40" t="s">
        <v>597</v>
      </c>
    </row>
    <row r="353" spans="2:2" x14ac:dyDescent="0.25">
      <c r="B353" s="40" t="s">
        <v>759</v>
      </c>
    </row>
    <row r="354" spans="2:2" x14ac:dyDescent="0.25">
      <c r="B354" s="40" t="s">
        <v>598</v>
      </c>
    </row>
    <row r="355" spans="2:2" x14ac:dyDescent="0.25">
      <c r="B355" s="40" t="s">
        <v>599</v>
      </c>
    </row>
    <row r="356" spans="2:2" x14ac:dyDescent="0.25">
      <c r="B356" s="40" t="s">
        <v>974</v>
      </c>
    </row>
    <row r="357" spans="2:2" x14ac:dyDescent="0.25">
      <c r="B357" s="40" t="s">
        <v>760</v>
      </c>
    </row>
    <row r="358" spans="2:2" x14ac:dyDescent="0.25">
      <c r="B358" s="40" t="s">
        <v>600</v>
      </c>
    </row>
    <row r="359" spans="2:2" x14ac:dyDescent="0.25">
      <c r="B359" s="40" t="s">
        <v>280</v>
      </c>
    </row>
    <row r="360" spans="2:2" x14ac:dyDescent="0.25">
      <c r="B360" s="40" t="s">
        <v>279</v>
      </c>
    </row>
    <row r="361" spans="2:2" x14ac:dyDescent="0.25">
      <c r="B361" s="40" t="s">
        <v>281</v>
      </c>
    </row>
    <row r="362" spans="2:2" x14ac:dyDescent="0.25">
      <c r="B362" s="40" t="s">
        <v>601</v>
      </c>
    </row>
    <row r="363" spans="2:2" x14ac:dyDescent="0.25">
      <c r="B363" s="40" t="s">
        <v>391</v>
      </c>
    </row>
    <row r="364" spans="2:2" x14ac:dyDescent="0.25">
      <c r="B364" s="40" t="s">
        <v>330</v>
      </c>
    </row>
    <row r="365" spans="2:2" x14ac:dyDescent="0.25">
      <c r="B365" s="40" t="s">
        <v>390</v>
      </c>
    </row>
    <row r="366" spans="2:2" x14ac:dyDescent="0.25">
      <c r="B366" s="40" t="s">
        <v>131</v>
      </c>
    </row>
    <row r="367" spans="2:2" x14ac:dyDescent="0.25">
      <c r="B367" s="40" t="s">
        <v>761</v>
      </c>
    </row>
    <row r="368" spans="2:2" x14ac:dyDescent="0.25">
      <c r="B368" s="40" t="s">
        <v>297</v>
      </c>
    </row>
    <row r="369" spans="2:2" x14ac:dyDescent="0.25">
      <c r="B369" s="40" t="s">
        <v>602</v>
      </c>
    </row>
    <row r="370" spans="2:2" x14ac:dyDescent="0.25">
      <c r="B370" s="40" t="s">
        <v>392</v>
      </c>
    </row>
    <row r="371" spans="2:2" x14ac:dyDescent="0.25">
      <c r="B371" s="40" t="s">
        <v>762</v>
      </c>
    </row>
    <row r="372" spans="2:2" x14ac:dyDescent="0.25">
      <c r="B372" s="40" t="s">
        <v>763</v>
      </c>
    </row>
    <row r="373" spans="2:2" x14ac:dyDescent="0.25">
      <c r="B373" s="40" t="s">
        <v>132</v>
      </c>
    </row>
    <row r="374" spans="2:2" x14ac:dyDescent="0.25">
      <c r="B374" s="40" t="s">
        <v>603</v>
      </c>
    </row>
    <row r="375" spans="2:2" x14ac:dyDescent="0.25">
      <c r="B375" s="40" t="s">
        <v>296</v>
      </c>
    </row>
    <row r="376" spans="2:2" x14ac:dyDescent="0.25">
      <c r="B376" s="40" t="s">
        <v>604</v>
      </c>
    </row>
    <row r="377" spans="2:2" x14ac:dyDescent="0.25">
      <c r="B377" s="40" t="s">
        <v>605</v>
      </c>
    </row>
    <row r="378" spans="2:2" x14ac:dyDescent="0.25">
      <c r="B378" s="40" t="s">
        <v>133</v>
      </c>
    </row>
    <row r="379" spans="2:2" x14ac:dyDescent="0.25">
      <c r="B379" s="40" t="s">
        <v>764</v>
      </c>
    </row>
    <row r="380" spans="2:2" x14ac:dyDescent="0.25">
      <c r="B380" s="40" t="s">
        <v>606</v>
      </c>
    </row>
    <row r="381" spans="2:2" x14ac:dyDescent="0.25">
      <c r="B381" s="40" t="s">
        <v>355</v>
      </c>
    </row>
    <row r="382" spans="2:2" x14ac:dyDescent="0.25">
      <c r="B382" s="40" t="s">
        <v>607</v>
      </c>
    </row>
    <row r="383" spans="2:2" x14ac:dyDescent="0.25">
      <c r="B383" s="40" t="s">
        <v>608</v>
      </c>
    </row>
    <row r="384" spans="2:2" x14ac:dyDescent="0.25">
      <c r="B384" s="40" t="s">
        <v>609</v>
      </c>
    </row>
    <row r="385" spans="2:2" x14ac:dyDescent="0.25">
      <c r="B385" s="40" t="s">
        <v>356</v>
      </c>
    </row>
    <row r="386" spans="2:2" x14ac:dyDescent="0.25">
      <c r="B386" s="40" t="s">
        <v>388</v>
      </c>
    </row>
    <row r="387" spans="2:2" x14ac:dyDescent="0.25">
      <c r="B387" s="40" t="s">
        <v>975</v>
      </c>
    </row>
    <row r="388" spans="2:2" x14ac:dyDescent="0.25">
      <c r="B388" s="40" t="s">
        <v>295</v>
      </c>
    </row>
    <row r="389" spans="2:2" x14ac:dyDescent="0.25">
      <c r="B389" s="40" t="s">
        <v>610</v>
      </c>
    </row>
    <row r="390" spans="2:2" x14ac:dyDescent="0.25">
      <c r="B390" s="40" t="s">
        <v>611</v>
      </c>
    </row>
    <row r="391" spans="2:2" x14ac:dyDescent="0.25">
      <c r="B391" s="40" t="s">
        <v>306</v>
      </c>
    </row>
    <row r="392" spans="2:2" x14ac:dyDescent="0.25">
      <c r="B392" s="40" t="s">
        <v>612</v>
      </c>
    </row>
    <row r="393" spans="2:2" x14ac:dyDescent="0.25">
      <c r="B393" s="40" t="s">
        <v>331</v>
      </c>
    </row>
    <row r="394" spans="2:2" x14ac:dyDescent="0.25">
      <c r="B394" s="40" t="s">
        <v>613</v>
      </c>
    </row>
    <row r="395" spans="2:2" x14ac:dyDescent="0.25">
      <c r="B395" s="40" t="s">
        <v>384</v>
      </c>
    </row>
    <row r="396" spans="2:2" x14ac:dyDescent="0.25">
      <c r="B396" s="40" t="s">
        <v>134</v>
      </c>
    </row>
    <row r="397" spans="2:2" x14ac:dyDescent="0.25">
      <c r="B397" s="40" t="s">
        <v>303</v>
      </c>
    </row>
    <row r="398" spans="2:2" x14ac:dyDescent="0.25">
      <c r="B398" s="40" t="s">
        <v>765</v>
      </c>
    </row>
    <row r="399" spans="2:2" x14ac:dyDescent="0.25">
      <c r="B399" s="40" t="s">
        <v>135</v>
      </c>
    </row>
    <row r="400" spans="2:2" x14ac:dyDescent="0.25">
      <c r="B400" s="40" t="s">
        <v>136</v>
      </c>
    </row>
    <row r="401" spans="2:2" x14ac:dyDescent="0.25">
      <c r="B401" s="40" t="s">
        <v>137</v>
      </c>
    </row>
    <row r="402" spans="2:2" x14ac:dyDescent="0.25">
      <c r="B402" s="40" t="s">
        <v>766</v>
      </c>
    </row>
    <row r="403" spans="2:2" x14ac:dyDescent="0.25">
      <c r="B403" s="40" t="s">
        <v>138</v>
      </c>
    </row>
    <row r="404" spans="2:2" x14ac:dyDescent="0.25">
      <c r="B404" s="40" t="s">
        <v>976</v>
      </c>
    </row>
    <row r="405" spans="2:2" x14ac:dyDescent="0.25">
      <c r="B405" s="40" t="s">
        <v>139</v>
      </c>
    </row>
    <row r="406" spans="2:2" x14ac:dyDescent="0.25">
      <c r="B406" s="40" t="s">
        <v>767</v>
      </c>
    </row>
    <row r="407" spans="2:2" x14ac:dyDescent="0.25">
      <c r="B407" s="40" t="s">
        <v>368</v>
      </c>
    </row>
    <row r="408" spans="2:2" x14ac:dyDescent="0.25">
      <c r="B408" s="40" t="s">
        <v>140</v>
      </c>
    </row>
    <row r="409" spans="2:2" x14ac:dyDescent="0.25">
      <c r="B409" s="40" t="s">
        <v>791</v>
      </c>
    </row>
    <row r="410" spans="2:2" x14ac:dyDescent="0.25">
      <c r="B410" s="40" t="s">
        <v>768</v>
      </c>
    </row>
    <row r="411" spans="2:2" x14ac:dyDescent="0.25">
      <c r="B411" s="40" t="s">
        <v>141</v>
      </c>
    </row>
    <row r="412" spans="2:2" x14ac:dyDescent="0.25">
      <c r="B412" s="40" t="s">
        <v>614</v>
      </c>
    </row>
    <row r="413" spans="2:2" x14ac:dyDescent="0.25">
      <c r="B413" s="40" t="s">
        <v>142</v>
      </c>
    </row>
    <row r="414" spans="2:2" x14ac:dyDescent="0.25">
      <c r="B414" s="40" t="s">
        <v>143</v>
      </c>
    </row>
    <row r="415" spans="2:2" x14ac:dyDescent="0.25">
      <c r="B415" s="40" t="s">
        <v>316</v>
      </c>
    </row>
    <row r="416" spans="2:2" x14ac:dyDescent="0.25">
      <c r="B416" s="40" t="s">
        <v>615</v>
      </c>
    </row>
    <row r="417" spans="2:2" x14ac:dyDescent="0.25">
      <c r="B417" s="40" t="s">
        <v>616</v>
      </c>
    </row>
    <row r="418" spans="2:2" x14ac:dyDescent="0.25">
      <c r="B418" s="40" t="s">
        <v>617</v>
      </c>
    </row>
    <row r="419" spans="2:2" x14ac:dyDescent="0.25">
      <c r="B419" s="40" t="s">
        <v>987</v>
      </c>
    </row>
    <row r="420" spans="2:2" x14ac:dyDescent="0.25">
      <c r="B420" s="40" t="s">
        <v>144</v>
      </c>
    </row>
    <row r="421" spans="2:2" x14ac:dyDescent="0.25">
      <c r="B421" s="40" t="s">
        <v>145</v>
      </c>
    </row>
    <row r="422" spans="2:2" x14ac:dyDescent="0.25">
      <c r="B422" s="40" t="s">
        <v>376</v>
      </c>
    </row>
    <row r="423" spans="2:2" x14ac:dyDescent="0.25">
      <c r="B423" s="40" t="s">
        <v>618</v>
      </c>
    </row>
    <row r="424" spans="2:2" x14ac:dyDescent="0.25">
      <c r="B424" s="40" t="s">
        <v>619</v>
      </c>
    </row>
    <row r="425" spans="2:2" x14ac:dyDescent="0.25">
      <c r="B425" s="40" t="s">
        <v>620</v>
      </c>
    </row>
    <row r="426" spans="2:2" x14ac:dyDescent="0.25">
      <c r="B426" s="40" t="s">
        <v>383</v>
      </c>
    </row>
    <row r="427" spans="2:2" x14ac:dyDescent="0.25">
      <c r="B427" s="40" t="s">
        <v>146</v>
      </c>
    </row>
    <row r="428" spans="2:2" x14ac:dyDescent="0.25">
      <c r="B428" s="40" t="s">
        <v>147</v>
      </c>
    </row>
    <row r="429" spans="2:2" x14ac:dyDescent="0.25">
      <c r="B429" s="40" t="s">
        <v>769</v>
      </c>
    </row>
    <row r="430" spans="2:2" x14ac:dyDescent="0.25">
      <c r="B430" s="40" t="s">
        <v>621</v>
      </c>
    </row>
    <row r="431" spans="2:2" x14ac:dyDescent="0.25">
      <c r="B431" s="40" t="s">
        <v>770</v>
      </c>
    </row>
    <row r="432" spans="2:2" x14ac:dyDescent="0.25">
      <c r="B432" s="40" t="s">
        <v>148</v>
      </c>
    </row>
    <row r="433" spans="2:2" x14ac:dyDescent="0.25">
      <c r="B433" s="40" t="s">
        <v>622</v>
      </c>
    </row>
    <row r="434" spans="2:2" x14ac:dyDescent="0.25">
      <c r="B434" s="40" t="s">
        <v>290</v>
      </c>
    </row>
    <row r="435" spans="2:2" x14ac:dyDescent="0.25">
      <c r="B435" s="40" t="s">
        <v>375</v>
      </c>
    </row>
    <row r="436" spans="2:2" x14ac:dyDescent="0.25">
      <c r="B436" s="40" t="s">
        <v>771</v>
      </c>
    </row>
    <row r="437" spans="2:2" x14ac:dyDescent="0.25">
      <c r="B437" s="40" t="s">
        <v>772</v>
      </c>
    </row>
    <row r="438" spans="2:2" x14ac:dyDescent="0.25">
      <c r="B438" s="40" t="s">
        <v>623</v>
      </c>
    </row>
    <row r="439" spans="2:2" x14ac:dyDescent="0.25">
      <c r="B439" s="40" t="s">
        <v>624</v>
      </c>
    </row>
    <row r="440" spans="2:2" x14ac:dyDescent="0.25">
      <c r="B440" s="40" t="s">
        <v>625</v>
      </c>
    </row>
    <row r="441" spans="2:2" x14ac:dyDescent="0.25">
      <c r="B441" s="40" t="s">
        <v>773</v>
      </c>
    </row>
    <row r="442" spans="2:2" x14ac:dyDescent="0.25">
      <c r="B442" s="40" t="s">
        <v>626</v>
      </c>
    </row>
    <row r="443" spans="2:2" x14ac:dyDescent="0.25">
      <c r="B443" s="40" t="s">
        <v>774</v>
      </c>
    </row>
    <row r="444" spans="2:2" x14ac:dyDescent="0.25">
      <c r="B444" s="40" t="s">
        <v>775</v>
      </c>
    </row>
    <row r="445" spans="2:2" x14ac:dyDescent="0.25">
      <c r="B445" s="40" t="s">
        <v>627</v>
      </c>
    </row>
    <row r="446" spans="2:2" x14ac:dyDescent="0.25">
      <c r="B446" s="40" t="s">
        <v>628</v>
      </c>
    </row>
    <row r="447" spans="2:2" x14ac:dyDescent="0.25">
      <c r="B447" s="40" t="s">
        <v>629</v>
      </c>
    </row>
    <row r="448" spans="2:2" x14ac:dyDescent="0.25">
      <c r="B448" s="40" t="s">
        <v>776</v>
      </c>
    </row>
    <row r="449" spans="2:2" x14ac:dyDescent="0.25">
      <c r="B449" s="40" t="s">
        <v>630</v>
      </c>
    </row>
    <row r="450" spans="2:2" x14ac:dyDescent="0.25">
      <c r="B450" s="40" t="s">
        <v>149</v>
      </c>
    </row>
    <row r="451" spans="2:2" x14ac:dyDescent="0.25">
      <c r="B451" s="40" t="s">
        <v>631</v>
      </c>
    </row>
    <row r="452" spans="2:2" x14ac:dyDescent="0.25">
      <c r="B452" s="40" t="s">
        <v>632</v>
      </c>
    </row>
    <row r="453" spans="2:2" x14ac:dyDescent="0.25">
      <c r="B453" s="40" t="s">
        <v>633</v>
      </c>
    </row>
    <row r="454" spans="2:2" x14ac:dyDescent="0.25">
      <c r="B454" s="40" t="s">
        <v>777</v>
      </c>
    </row>
    <row r="455" spans="2:2" x14ac:dyDescent="0.25">
      <c r="B455" s="40" t="s">
        <v>778</v>
      </c>
    </row>
    <row r="456" spans="2:2" x14ac:dyDescent="0.25">
      <c r="B456" s="40" t="s">
        <v>634</v>
      </c>
    </row>
    <row r="457" spans="2:2" x14ac:dyDescent="0.25">
      <c r="B457" s="40" t="s">
        <v>150</v>
      </c>
    </row>
    <row r="458" spans="2:2" x14ac:dyDescent="0.25">
      <c r="B458" s="40" t="s">
        <v>779</v>
      </c>
    </row>
    <row r="459" spans="2:2" x14ac:dyDescent="0.25">
      <c r="B459" s="40" t="s">
        <v>151</v>
      </c>
    </row>
    <row r="460" spans="2:2" x14ac:dyDescent="0.25">
      <c r="B460" s="40" t="s">
        <v>780</v>
      </c>
    </row>
    <row r="461" spans="2:2" x14ac:dyDescent="0.25">
      <c r="B461" s="40" t="s">
        <v>635</v>
      </c>
    </row>
    <row r="462" spans="2:2" x14ac:dyDescent="0.25">
      <c r="B462" s="40" t="s">
        <v>311</v>
      </c>
    </row>
    <row r="463" spans="2:2" x14ac:dyDescent="0.25">
      <c r="B463" s="40" t="s">
        <v>781</v>
      </c>
    </row>
    <row r="464" spans="2:2" x14ac:dyDescent="0.25">
      <c r="B464" s="40" t="s">
        <v>636</v>
      </c>
    </row>
    <row r="465" spans="2:2" x14ac:dyDescent="0.25">
      <c r="B465" s="40" t="s">
        <v>298</v>
      </c>
    </row>
    <row r="466" spans="2:2" x14ac:dyDescent="0.25">
      <c r="B466" s="40" t="s">
        <v>152</v>
      </c>
    </row>
    <row r="467" spans="2:2" x14ac:dyDescent="0.25">
      <c r="B467" s="40" t="s">
        <v>637</v>
      </c>
    </row>
    <row r="468" spans="2:2" x14ac:dyDescent="0.25">
      <c r="B468" s="40" t="s">
        <v>638</v>
      </c>
    </row>
    <row r="469" spans="2:2" x14ac:dyDescent="0.25">
      <c r="B469" s="40" t="s">
        <v>639</v>
      </c>
    </row>
    <row r="470" spans="2:2" x14ac:dyDescent="0.25">
      <c r="B470" s="40" t="s">
        <v>153</v>
      </c>
    </row>
    <row r="471" spans="2:2" x14ac:dyDescent="0.25">
      <c r="B471" s="40" t="s">
        <v>154</v>
      </c>
    </row>
    <row r="472" spans="2:2" x14ac:dyDescent="0.25">
      <c r="B472" s="40" t="s">
        <v>308</v>
      </c>
    </row>
    <row r="473" spans="2:2" x14ac:dyDescent="0.25">
      <c r="B473" s="40" t="s">
        <v>782</v>
      </c>
    </row>
    <row r="474" spans="2:2" x14ac:dyDescent="0.25">
      <c r="B474" s="40" t="s">
        <v>640</v>
      </c>
    </row>
    <row r="475" spans="2:2" x14ac:dyDescent="0.25">
      <c r="B475" s="40" t="s">
        <v>641</v>
      </c>
    </row>
    <row r="476" spans="2:2" x14ac:dyDescent="0.25">
      <c r="B476" s="40" t="s">
        <v>289</v>
      </c>
    </row>
    <row r="477" spans="2:2" x14ac:dyDescent="0.25">
      <c r="B477" s="40" t="s">
        <v>155</v>
      </c>
    </row>
    <row r="478" spans="2:2" x14ac:dyDescent="0.25">
      <c r="B478" s="40" t="s">
        <v>783</v>
      </c>
    </row>
    <row r="479" spans="2:2" x14ac:dyDescent="0.25">
      <c r="B479" s="40" t="s">
        <v>302</v>
      </c>
    </row>
    <row r="480" spans="2:2" x14ac:dyDescent="0.25">
      <c r="B480" s="40" t="s">
        <v>377</v>
      </c>
    </row>
    <row r="481" spans="2:2" x14ac:dyDescent="0.25">
      <c r="B481" s="40" t="s">
        <v>344</v>
      </c>
    </row>
    <row r="482" spans="2:2" x14ac:dyDescent="0.25">
      <c r="B482" s="40" t="s">
        <v>642</v>
      </c>
    </row>
    <row r="483" spans="2:2" x14ac:dyDescent="0.25">
      <c r="B483" s="40" t="s">
        <v>156</v>
      </c>
    </row>
    <row r="484" spans="2:2" x14ac:dyDescent="0.25">
      <c r="B484" s="40" t="s">
        <v>157</v>
      </c>
    </row>
    <row r="485" spans="2:2" x14ac:dyDescent="0.25">
      <c r="B485" s="40" t="s">
        <v>158</v>
      </c>
    </row>
    <row r="486" spans="2:2" x14ac:dyDescent="0.25">
      <c r="B486" s="40" t="s">
        <v>159</v>
      </c>
    </row>
    <row r="487" spans="2:2" x14ac:dyDescent="0.25">
      <c r="B487" s="40" t="s">
        <v>160</v>
      </c>
    </row>
    <row r="488" spans="2:2" x14ac:dyDescent="0.25">
      <c r="B488" s="40" t="s">
        <v>643</v>
      </c>
    </row>
    <row r="489" spans="2:2" x14ac:dyDescent="0.25">
      <c r="B489" s="40" t="s">
        <v>161</v>
      </c>
    </row>
    <row r="490" spans="2:2" x14ac:dyDescent="0.25">
      <c r="B490" s="40" t="s">
        <v>162</v>
      </c>
    </row>
    <row r="491" spans="2:2" x14ac:dyDescent="0.25">
      <c r="B491" s="40" t="s">
        <v>644</v>
      </c>
    </row>
    <row r="492" spans="2:2" x14ac:dyDescent="0.25">
      <c r="B492" s="40" t="s">
        <v>645</v>
      </c>
    </row>
    <row r="493" spans="2:2" x14ac:dyDescent="0.25">
      <c r="B493" s="40" t="s">
        <v>163</v>
      </c>
    </row>
    <row r="494" spans="2:2" x14ac:dyDescent="0.25">
      <c r="B494" s="40" t="s">
        <v>646</v>
      </c>
    </row>
    <row r="495" spans="2:2" x14ac:dyDescent="0.25">
      <c r="B495" s="40" t="s">
        <v>647</v>
      </c>
    </row>
    <row r="496" spans="2:2" x14ac:dyDescent="0.25">
      <c r="B496" s="40" t="s">
        <v>956</v>
      </c>
    </row>
    <row r="497" spans="2:2" x14ac:dyDescent="0.25">
      <c r="B497" s="40" t="s">
        <v>977</v>
      </c>
    </row>
    <row r="498" spans="2:2" x14ac:dyDescent="0.25">
      <c r="B498" s="40" t="s">
        <v>1010</v>
      </c>
    </row>
    <row r="499" spans="2:2" x14ac:dyDescent="0.25">
      <c r="B499" s="40"/>
    </row>
    <row r="500" spans="2:2" x14ac:dyDescent="0.25">
      <c r="B500" s="40"/>
    </row>
    <row r="501" spans="2:2" x14ac:dyDescent="0.25">
      <c r="B501" s="40"/>
    </row>
    <row r="502" spans="2:2" x14ac:dyDescent="0.25">
      <c r="B502" s="40"/>
    </row>
    <row r="503" spans="2:2" x14ac:dyDescent="0.25">
      <c r="B503" s="40"/>
    </row>
    <row r="504" spans="2:2" x14ac:dyDescent="0.25">
      <c r="B504" s="40"/>
    </row>
    <row r="505" spans="2:2" x14ac:dyDescent="0.25">
      <c r="B505" s="40"/>
    </row>
    <row r="506" spans="2:2" x14ac:dyDescent="0.25">
      <c r="B506" s="40"/>
    </row>
    <row r="507" spans="2:2" x14ac:dyDescent="0.25">
      <c r="B507" s="40"/>
    </row>
    <row r="508" spans="2:2" x14ac:dyDescent="0.25">
      <c r="B508" s="40"/>
    </row>
    <row r="509" spans="2:2" x14ac:dyDescent="0.25">
      <c r="B509" s="40"/>
    </row>
    <row r="510" spans="2:2" x14ac:dyDescent="0.25">
      <c r="B510" s="40"/>
    </row>
    <row r="511" spans="2:2" x14ac:dyDescent="0.25">
      <c r="B511" s="40"/>
    </row>
    <row r="512" spans="2:2" x14ac:dyDescent="0.25">
      <c r="B512" s="40"/>
    </row>
    <row r="513" spans="2:2" x14ac:dyDescent="0.25">
      <c r="B513" s="40"/>
    </row>
    <row r="514" spans="2:2" x14ac:dyDescent="0.25">
      <c r="B514" s="40"/>
    </row>
    <row r="515" spans="2:2" x14ac:dyDescent="0.25">
      <c r="B515" s="40"/>
    </row>
    <row r="516" spans="2:2" x14ac:dyDescent="0.25">
      <c r="B516" s="40"/>
    </row>
    <row r="517" spans="2:2" x14ac:dyDescent="0.25">
      <c r="B517" s="40"/>
    </row>
    <row r="518" spans="2:2" x14ac:dyDescent="0.25">
      <c r="B518" s="40"/>
    </row>
    <row r="519" spans="2:2" x14ac:dyDescent="0.25">
      <c r="B519" s="40"/>
    </row>
    <row r="520" spans="2:2" x14ac:dyDescent="0.25">
      <c r="B520" s="40"/>
    </row>
    <row r="521" spans="2:2" x14ac:dyDescent="0.25">
      <c r="B521" s="40"/>
    </row>
    <row r="522" spans="2:2" x14ac:dyDescent="0.25">
      <c r="B522" s="40"/>
    </row>
    <row r="523" spans="2:2" x14ac:dyDescent="0.25">
      <c r="B523" s="40"/>
    </row>
    <row r="524" spans="2:2" x14ac:dyDescent="0.25">
      <c r="B524" s="40"/>
    </row>
    <row r="525" spans="2:2" x14ac:dyDescent="0.25">
      <c r="B525" s="40"/>
    </row>
    <row r="526" spans="2:2" x14ac:dyDescent="0.25">
      <c r="B526" s="40"/>
    </row>
    <row r="527" spans="2:2" x14ac:dyDescent="0.25">
      <c r="B527" s="40"/>
    </row>
    <row r="528" spans="2:2" x14ac:dyDescent="0.25">
      <c r="B528" s="40"/>
    </row>
    <row r="529" spans="2:2" x14ac:dyDescent="0.25">
      <c r="B529" s="40"/>
    </row>
    <row r="530" spans="2:2" x14ac:dyDescent="0.25">
      <c r="B530" s="40"/>
    </row>
    <row r="531" spans="2:2" x14ac:dyDescent="0.25">
      <c r="B531" s="40"/>
    </row>
    <row r="532" spans="2:2" x14ac:dyDescent="0.25">
      <c r="B532" s="40"/>
    </row>
    <row r="533" spans="2:2" x14ac:dyDescent="0.25">
      <c r="B533" s="40"/>
    </row>
    <row r="534" spans="2:2" x14ac:dyDescent="0.25">
      <c r="B534" s="40"/>
    </row>
    <row r="535" spans="2:2" x14ac:dyDescent="0.25">
      <c r="B535" s="40"/>
    </row>
    <row r="536" spans="2:2" x14ac:dyDescent="0.25">
      <c r="B536" s="40"/>
    </row>
    <row r="537" spans="2:2" x14ac:dyDescent="0.25">
      <c r="B537" s="40"/>
    </row>
    <row r="538" spans="2:2" x14ac:dyDescent="0.25">
      <c r="B538" s="40"/>
    </row>
    <row r="539" spans="2:2" x14ac:dyDescent="0.25">
      <c r="B539" s="40"/>
    </row>
    <row r="540" spans="2:2" x14ac:dyDescent="0.25">
      <c r="B540" s="40"/>
    </row>
  </sheetData>
  <sheetProtection algorithmName="SHA-512" hashValue="Q1SNHtfohghx2kF5uY2+8WkaL873+C/mHYsvdy2IWlNL/TdFELdVelgCIsGMsyxN7mZyl7gIg5j2mB2RmwBkIA==" saltValue="pTqCxNbvR7Xg+JNfUbHfOg==" spinCount="100000" sheet="1" objects="1" scenarios="1"/>
  <autoFilter ref="A1:B492"/>
  <sortState ref="B6:B494">
    <sortCondition ref="B494"/>
  </sortState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TABELAS">
    <tabColor rgb="FF7030A0"/>
  </sheetPr>
  <dimension ref="A1:AA28"/>
  <sheetViews>
    <sheetView workbookViewId="0">
      <selection activeCell="K1" sqref="K1"/>
    </sheetView>
  </sheetViews>
  <sheetFormatPr defaultColWidth="14.5703125" defaultRowHeight="11.25" x14ac:dyDescent="0.25"/>
  <cols>
    <col min="1" max="1" width="13.140625" style="22" bestFit="1" customWidth="1"/>
    <col min="2" max="2" width="1.28515625" style="22" customWidth="1"/>
    <col min="3" max="3" width="32.42578125" style="22" bestFit="1" customWidth="1"/>
    <col min="4" max="4" width="1.42578125" style="22" customWidth="1"/>
    <col min="5" max="5" width="22.5703125" style="22" customWidth="1"/>
    <col min="6" max="6" width="1.28515625" style="22" customWidth="1"/>
    <col min="7" max="7" width="21.85546875" style="22" bestFit="1" customWidth="1"/>
    <col min="8" max="8" width="1.42578125" style="22" customWidth="1"/>
    <col min="9" max="9" width="12.7109375" style="22" customWidth="1"/>
    <col min="10" max="10" width="1.140625" style="22" customWidth="1"/>
    <col min="11" max="11" width="15.42578125" style="22" bestFit="1" customWidth="1"/>
    <col min="12" max="12" width="1.140625" style="22" customWidth="1"/>
    <col min="13" max="13" width="32.5703125" style="22" bestFit="1" customWidth="1"/>
    <col min="14" max="14" width="24.42578125" style="22" bestFit="1" customWidth="1"/>
    <col min="15" max="15" width="12.140625" style="22" customWidth="1"/>
    <col min="16" max="16" width="1.28515625" style="22" customWidth="1"/>
    <col min="17" max="17" width="11.7109375" style="22" customWidth="1"/>
    <col min="18" max="18" width="10.28515625" style="22" customWidth="1"/>
    <col min="19" max="19" width="1.28515625" style="22" customWidth="1"/>
    <col min="20" max="20" width="16.28515625" style="22" customWidth="1"/>
    <col min="21" max="21" width="7.42578125" style="22" customWidth="1"/>
    <col min="22" max="22" width="9.42578125" style="22" customWidth="1"/>
    <col min="23" max="23" width="8" style="22" customWidth="1"/>
    <col min="24" max="24" width="1.5703125" style="22" customWidth="1"/>
    <col min="25" max="25" width="13.85546875" style="22" customWidth="1"/>
    <col min="26" max="26" width="1.7109375" style="22" customWidth="1"/>
    <col min="27" max="27" width="14.5703125" style="22"/>
    <col min="28" max="28" width="1.7109375" style="22" customWidth="1"/>
    <col min="29" max="16384" width="14.5703125" style="22"/>
  </cols>
  <sheetData>
    <row r="1" spans="1:27" ht="22.5" customHeight="1" x14ac:dyDescent="0.25">
      <c r="A1" s="16" t="s">
        <v>397</v>
      </c>
      <c r="C1" s="16" t="s">
        <v>960</v>
      </c>
      <c r="E1" s="16" t="s">
        <v>40</v>
      </c>
      <c r="G1" s="16" t="s">
        <v>1093</v>
      </c>
      <c r="I1" s="20" t="s">
        <v>37</v>
      </c>
      <c r="K1" s="16" t="s">
        <v>1094</v>
      </c>
      <c r="M1" s="16" t="s">
        <v>1020</v>
      </c>
      <c r="N1" s="16" t="s">
        <v>683</v>
      </c>
      <c r="O1" s="16" t="s">
        <v>810</v>
      </c>
      <c r="Q1" s="16" t="s">
        <v>55</v>
      </c>
      <c r="R1" s="23" t="s">
        <v>62</v>
      </c>
      <c r="T1" s="16" t="s">
        <v>63</v>
      </c>
      <c r="U1" s="16" t="s">
        <v>64</v>
      </c>
      <c r="V1" s="16" t="s">
        <v>65</v>
      </c>
      <c r="W1" s="16" t="s">
        <v>800</v>
      </c>
      <c r="Y1" s="16" t="s">
        <v>66</v>
      </c>
      <c r="AA1" s="16" t="s">
        <v>67</v>
      </c>
    </row>
    <row r="2" spans="1:27" x14ac:dyDescent="0.25">
      <c r="A2" s="17" t="s">
        <v>1045</v>
      </c>
      <c r="C2" s="21" t="s">
        <v>685</v>
      </c>
      <c r="E2" s="17" t="s">
        <v>410</v>
      </c>
      <c r="G2" s="17" t="s">
        <v>13</v>
      </c>
      <c r="I2" s="21" t="s">
        <v>414</v>
      </c>
      <c r="K2" s="21" t="s">
        <v>422</v>
      </c>
      <c r="M2" s="24" t="s">
        <v>979</v>
      </c>
      <c r="N2" s="26" t="s">
        <v>684</v>
      </c>
      <c r="O2" s="58" t="s">
        <v>812</v>
      </c>
      <c r="Q2" s="89" t="str">
        <f>"JAN/" &amp; $R$2</f>
        <v>JAN/2018</v>
      </c>
      <c r="R2" s="323">
        <v>2018</v>
      </c>
      <c r="T2" s="18" t="s">
        <v>251</v>
      </c>
      <c r="U2" s="18" t="s">
        <v>68</v>
      </c>
      <c r="V2" s="18" t="s">
        <v>793</v>
      </c>
      <c r="W2" s="56" t="s">
        <v>801</v>
      </c>
      <c r="Y2" s="89" t="str">
        <f>"DEZ/" &amp; $R$2</f>
        <v>DEZ/2018</v>
      </c>
      <c r="AA2" s="25" t="s">
        <v>69</v>
      </c>
    </row>
    <row r="3" spans="1:27" x14ac:dyDescent="0.25">
      <c r="A3" s="17" t="s">
        <v>1043</v>
      </c>
      <c r="C3" s="17" t="s">
        <v>686</v>
      </c>
      <c r="E3" s="17" t="s">
        <v>806</v>
      </c>
      <c r="G3" s="17" t="s">
        <v>412</v>
      </c>
      <c r="I3" s="17" t="s">
        <v>415</v>
      </c>
      <c r="K3" s="17" t="s">
        <v>13</v>
      </c>
      <c r="M3" s="26" t="s">
        <v>942</v>
      </c>
      <c r="N3" s="26" t="s">
        <v>1018</v>
      </c>
      <c r="O3" s="58" t="s">
        <v>1019</v>
      </c>
      <c r="Q3" s="89" t="str">
        <f>"FEV/" &amp; $R$2</f>
        <v>FEV/2018</v>
      </c>
      <c r="T3" s="19" t="s">
        <v>252</v>
      </c>
      <c r="U3" s="19" t="s">
        <v>266</v>
      </c>
      <c r="V3" s="19" t="s">
        <v>269</v>
      </c>
      <c r="W3" s="57" t="s">
        <v>804</v>
      </c>
      <c r="Y3" s="89" t="str">
        <f>"NOV/" &amp; $R$2</f>
        <v>NOV/2018</v>
      </c>
      <c r="AA3" s="25" t="s">
        <v>71</v>
      </c>
    </row>
    <row r="4" spans="1:27" x14ac:dyDescent="0.25">
      <c r="A4" s="17" t="s">
        <v>1044</v>
      </c>
      <c r="C4" s="17" t="s">
        <v>689</v>
      </c>
      <c r="E4" s="17" t="s">
        <v>936</v>
      </c>
      <c r="G4" s="17" t="s">
        <v>26</v>
      </c>
      <c r="I4" s="17" t="s">
        <v>416</v>
      </c>
      <c r="K4" s="17" t="s">
        <v>421</v>
      </c>
      <c r="M4" s="26" t="s">
        <v>1074</v>
      </c>
      <c r="N4" s="26" t="s">
        <v>792</v>
      </c>
      <c r="O4" s="58" t="s">
        <v>1028</v>
      </c>
      <c r="Q4" s="89" t="str">
        <f>"MAR/" &amp; $R$2</f>
        <v>MAR/2018</v>
      </c>
      <c r="T4" s="19" t="s">
        <v>253</v>
      </c>
      <c r="U4" s="19" t="s">
        <v>254</v>
      </c>
      <c r="V4" s="19" t="s">
        <v>794</v>
      </c>
      <c r="W4" s="57" t="s">
        <v>802</v>
      </c>
      <c r="Y4" s="89" t="str">
        <f>"OUT/" &amp; $R$2</f>
        <v>OUT/2018</v>
      </c>
      <c r="AA4" s="89" t="str">
        <f>"DEZ/" &amp; $R$2 +1</f>
        <v>DEZ/2019</v>
      </c>
    </row>
    <row r="5" spans="1:27" x14ac:dyDescent="0.25">
      <c r="A5" s="17" t="s">
        <v>1047</v>
      </c>
      <c r="C5" s="17" t="s">
        <v>691</v>
      </c>
      <c r="E5" s="17" t="s">
        <v>851</v>
      </c>
      <c r="G5" s="17" t="s">
        <v>27</v>
      </c>
      <c r="I5" s="17" t="s">
        <v>38</v>
      </c>
      <c r="K5" s="17" t="s">
        <v>420</v>
      </c>
      <c r="M5" s="26" t="s">
        <v>949</v>
      </c>
      <c r="N5" s="26" t="s">
        <v>792</v>
      </c>
      <c r="O5" s="58" t="s">
        <v>1028</v>
      </c>
      <c r="Q5" s="89" t="str">
        <f>"ABR/" &amp; $R$2</f>
        <v>ABR/2018</v>
      </c>
      <c r="T5" s="19" t="s">
        <v>72</v>
      </c>
      <c r="U5" s="19" t="s">
        <v>73</v>
      </c>
      <c r="V5" s="19" t="s">
        <v>794</v>
      </c>
      <c r="W5" s="57" t="s">
        <v>803</v>
      </c>
      <c r="Y5" s="89" t="str">
        <f>"SET/" &amp; $R$2</f>
        <v>SET/2018</v>
      </c>
      <c r="AA5" s="89" t="str">
        <f>"NOV/" &amp; $R$2 +1</f>
        <v>NOV/2019</v>
      </c>
    </row>
    <row r="6" spans="1:27" x14ac:dyDescent="0.25">
      <c r="A6" s="17"/>
      <c r="C6" s="17" t="s">
        <v>693</v>
      </c>
      <c r="E6" s="17" t="s">
        <v>937</v>
      </c>
      <c r="G6" s="17" t="s">
        <v>19</v>
      </c>
      <c r="I6" s="17" t="s">
        <v>417</v>
      </c>
      <c r="K6" s="17" t="s">
        <v>419</v>
      </c>
      <c r="M6" s="26" t="s">
        <v>943</v>
      </c>
      <c r="N6" s="26" t="s">
        <v>684</v>
      </c>
      <c r="O6" s="58" t="s">
        <v>812</v>
      </c>
      <c r="Q6" s="89" t="str">
        <f>"MAI/" &amp; $R$2</f>
        <v>MAI/2018</v>
      </c>
      <c r="T6" s="19" t="s">
        <v>255</v>
      </c>
      <c r="U6" s="19" t="s">
        <v>74</v>
      </c>
      <c r="V6" s="19" t="s">
        <v>75</v>
      </c>
      <c r="W6" s="57" t="s">
        <v>805</v>
      </c>
      <c r="Y6" s="89" t="str">
        <f>"AGO/" &amp; $R$2</f>
        <v>AGO/2018</v>
      </c>
      <c r="AA6" s="89" t="str">
        <f>"OUT/" &amp; $R$2 +1</f>
        <v>OUT/2019</v>
      </c>
    </row>
    <row r="7" spans="1:27" x14ac:dyDescent="0.25">
      <c r="A7" s="17"/>
      <c r="C7" s="17" t="s">
        <v>687</v>
      </c>
      <c r="E7" s="17" t="s">
        <v>411</v>
      </c>
      <c r="G7" s="17" t="s">
        <v>17</v>
      </c>
      <c r="I7" s="17" t="s">
        <v>418</v>
      </c>
      <c r="K7" s="17"/>
      <c r="M7" s="26" t="s">
        <v>944</v>
      </c>
      <c r="N7" s="26" t="s">
        <v>944</v>
      </c>
      <c r="O7" s="58" t="s">
        <v>811</v>
      </c>
      <c r="Q7" s="89" t="str">
        <f>"JUN/" &amp; $R$2</f>
        <v>JUN/2018</v>
      </c>
      <c r="T7" s="19" t="s">
        <v>275</v>
      </c>
      <c r="U7" s="19" t="s">
        <v>33</v>
      </c>
      <c r="V7" s="19" t="s">
        <v>914</v>
      </c>
      <c r="W7" s="57" t="s">
        <v>275</v>
      </c>
      <c r="Y7" s="89" t="str">
        <f>"JUL/" &amp; $R$2</f>
        <v>JUL/2018</v>
      </c>
      <c r="AA7" s="89" t="str">
        <f>"SET/" &amp; $R$2 +1</f>
        <v>SET/2019</v>
      </c>
    </row>
    <row r="8" spans="1:27" x14ac:dyDescent="0.25">
      <c r="A8" s="17"/>
      <c r="C8" s="17" t="s">
        <v>694</v>
      </c>
      <c r="E8" s="17" t="s">
        <v>807</v>
      </c>
      <c r="G8" s="17" t="s">
        <v>15</v>
      </c>
      <c r="I8" s="17"/>
      <c r="K8" s="17"/>
      <c r="M8" s="26" t="s">
        <v>945</v>
      </c>
      <c r="N8" s="26" t="s">
        <v>684</v>
      </c>
      <c r="O8" s="58" t="s">
        <v>812</v>
      </c>
      <c r="Q8" s="89" t="str">
        <f>"JUL/" &amp; $R$2</f>
        <v>JUL/2018</v>
      </c>
      <c r="T8" s="19"/>
      <c r="U8" s="19"/>
      <c r="V8" s="19"/>
      <c r="W8" s="57"/>
      <c r="Y8" s="89" t="str">
        <f>"JUN/" &amp; $R$2</f>
        <v>JUN/2018</v>
      </c>
      <c r="AA8" s="89" t="str">
        <f>"AGO/" &amp; $R$2 +1</f>
        <v>AGO/2019</v>
      </c>
    </row>
    <row r="9" spans="1:27" x14ac:dyDescent="0.25">
      <c r="A9" s="17"/>
      <c r="C9" s="17" t="s">
        <v>688</v>
      </c>
      <c r="E9" s="17" t="s">
        <v>808</v>
      </c>
      <c r="G9" s="17" t="s">
        <v>413</v>
      </c>
      <c r="I9" s="17"/>
      <c r="K9" s="17"/>
      <c r="M9" s="26" t="s">
        <v>950</v>
      </c>
      <c r="N9" s="26" t="s">
        <v>1005</v>
      </c>
      <c r="O9" s="58" t="s">
        <v>1015</v>
      </c>
      <c r="Q9" s="89" t="str">
        <f>"AGO/" &amp; $R$2</f>
        <v>AGO/2018</v>
      </c>
      <c r="T9" s="19"/>
      <c r="U9" s="19"/>
      <c r="V9" s="19"/>
      <c r="W9" s="57"/>
      <c r="Y9" s="89" t="str">
        <f>"MAI/" &amp; $R$2</f>
        <v>MAI/2018</v>
      </c>
      <c r="AA9" s="89" t="str">
        <f>"JUL/" &amp; $R$2 +1</f>
        <v>JUL/2019</v>
      </c>
    </row>
    <row r="10" spans="1:27" x14ac:dyDescent="0.25">
      <c r="A10" s="17"/>
      <c r="C10" s="17" t="s">
        <v>690</v>
      </c>
      <c r="E10" s="17" t="s">
        <v>809</v>
      </c>
      <c r="G10" s="17" t="s">
        <v>925</v>
      </c>
      <c r="I10" s="17"/>
      <c r="K10" s="17"/>
      <c r="M10" s="26" t="s">
        <v>1072</v>
      </c>
      <c r="N10" s="26" t="s">
        <v>944</v>
      </c>
      <c r="O10" s="58" t="s">
        <v>811</v>
      </c>
      <c r="Q10" s="89" t="str">
        <f>"SET/" &amp; $R$2</f>
        <v>SET/2018</v>
      </c>
      <c r="Y10" s="89" t="str">
        <f>"ABR/" &amp; $R$2</f>
        <v>ABR/2018</v>
      </c>
      <c r="AA10" s="89" t="str">
        <f>"JUN/" &amp; $R$2 +1</f>
        <v>JUN/2019</v>
      </c>
    </row>
    <row r="11" spans="1:27" x14ac:dyDescent="0.25">
      <c r="C11" s="17" t="s">
        <v>1014</v>
      </c>
      <c r="E11" s="17"/>
      <c r="G11" s="17" t="s">
        <v>926</v>
      </c>
      <c r="I11" s="17"/>
      <c r="M11" s="26" t="s">
        <v>946</v>
      </c>
      <c r="N11" s="26" t="s">
        <v>792</v>
      </c>
      <c r="O11" s="58" t="s">
        <v>1028</v>
      </c>
      <c r="Q11" s="89" t="str">
        <f>"OUT/" &amp; $R$2</f>
        <v>OUT/2018</v>
      </c>
      <c r="Y11" s="89" t="str">
        <f>"MAR/" &amp; $R$2</f>
        <v>MAR/2018</v>
      </c>
      <c r="AA11" s="89" t="str">
        <f>"MAI/" &amp; $R$2 +1</f>
        <v>MAI/2019</v>
      </c>
    </row>
    <row r="12" spans="1:27" x14ac:dyDescent="0.25">
      <c r="C12" s="17" t="s">
        <v>692</v>
      </c>
      <c r="E12" s="17"/>
      <c r="G12" s="17" t="s">
        <v>930</v>
      </c>
      <c r="I12" s="17"/>
      <c r="M12" s="26" t="s">
        <v>947</v>
      </c>
      <c r="N12" s="26" t="s">
        <v>792</v>
      </c>
      <c r="O12" s="58" t="s">
        <v>1028</v>
      </c>
      <c r="Q12" s="89" t="str">
        <f>"NOV/" &amp; $R$2</f>
        <v>NOV/2018</v>
      </c>
      <c r="Y12" s="89" t="str">
        <f>"FEV/" &amp; $R$2</f>
        <v>FEV/2018</v>
      </c>
      <c r="AA12" s="89" t="str">
        <f>"ABR/" &amp; $R$2 +1</f>
        <v>ABR/2019</v>
      </c>
    </row>
    <row r="13" spans="1:27" x14ac:dyDescent="0.25">
      <c r="C13" s="17" t="s">
        <v>695</v>
      </c>
      <c r="E13" s="17"/>
      <c r="G13" s="17" t="s">
        <v>21</v>
      </c>
      <c r="I13" s="17"/>
      <c r="M13" s="26" t="s">
        <v>1073</v>
      </c>
      <c r="N13" s="26" t="s">
        <v>1005</v>
      </c>
      <c r="O13" s="58" t="s">
        <v>1015</v>
      </c>
      <c r="Q13" s="89" t="str">
        <f>"DEZ/" &amp; $R$2</f>
        <v>DEZ/2018</v>
      </c>
      <c r="Y13" s="89" t="str">
        <f>"JAN/" &amp; $R$2</f>
        <v>JAN/2018</v>
      </c>
      <c r="AA13" s="89" t="str">
        <f>"MAR/" &amp; $R$2 +1</f>
        <v>MAR/2019</v>
      </c>
    </row>
    <row r="14" spans="1:27" x14ac:dyDescent="0.25">
      <c r="C14" s="17" t="s">
        <v>1013</v>
      </c>
      <c r="E14" s="17"/>
      <c r="G14" s="17"/>
      <c r="I14" s="17"/>
      <c r="M14" s="26" t="s">
        <v>948</v>
      </c>
      <c r="N14" s="26" t="s">
        <v>1005</v>
      </c>
      <c r="O14" s="58" t="s">
        <v>1015</v>
      </c>
      <c r="Q14" s="89">
        <f>$R$2 + 1</f>
        <v>2019</v>
      </c>
      <c r="Y14" s="89" t="str">
        <f>"DEZ/" &amp; $R$2 -1</f>
        <v>DEZ/2017</v>
      </c>
      <c r="AA14" s="89" t="str">
        <f>"FEV/" &amp; $R$2 +1</f>
        <v>FEV/2019</v>
      </c>
    </row>
    <row r="15" spans="1:27" x14ac:dyDescent="0.25">
      <c r="C15" s="17" t="s">
        <v>417</v>
      </c>
      <c r="E15" s="17"/>
      <c r="G15" s="17"/>
      <c r="I15" s="17"/>
      <c r="M15" s="26" t="s">
        <v>951</v>
      </c>
      <c r="N15" s="26" t="s">
        <v>1005</v>
      </c>
      <c r="O15" s="58" t="s">
        <v>1015</v>
      </c>
      <c r="Q15" s="90" t="s">
        <v>76</v>
      </c>
      <c r="Y15" s="89" t="str">
        <f>"NOV/" &amp; $R$2-1</f>
        <v>NOV/2017</v>
      </c>
      <c r="AA15" s="89" t="str">
        <f>"JAN/" &amp; $R$2 +1</f>
        <v>JAN/2019</v>
      </c>
    </row>
    <row r="16" spans="1:27" x14ac:dyDescent="0.25">
      <c r="C16" s="17"/>
      <c r="E16" s="17"/>
      <c r="G16" s="17"/>
      <c r="I16" s="17"/>
      <c r="M16" s="26" t="s">
        <v>1006</v>
      </c>
      <c r="N16" s="26" t="s">
        <v>944</v>
      </c>
      <c r="O16" s="58" t="s">
        <v>811</v>
      </c>
      <c r="Q16" s="90"/>
      <c r="Y16" s="89" t="str">
        <f>"OUT/" &amp; $R$2-1</f>
        <v>OUT/2017</v>
      </c>
      <c r="AA16" s="89" t="str">
        <f>"DEZ/" &amp; $R$2</f>
        <v>DEZ/2018</v>
      </c>
    </row>
    <row r="17" spans="3:27" x14ac:dyDescent="0.25">
      <c r="C17" s="17"/>
      <c r="E17" s="17"/>
      <c r="G17" s="17"/>
      <c r="I17" s="17"/>
      <c r="M17" s="26" t="s">
        <v>1071</v>
      </c>
      <c r="N17" s="26" t="s">
        <v>684</v>
      </c>
      <c r="O17" s="58" t="s">
        <v>812</v>
      </c>
      <c r="Q17" s="90"/>
      <c r="Y17" s="89" t="str">
        <f>"SET/" &amp; $R$2-1</f>
        <v>SET/2017</v>
      </c>
      <c r="AA17" s="89" t="str">
        <f>"NOV/" &amp; $R$2</f>
        <v>NOV/2018</v>
      </c>
    </row>
    <row r="18" spans="3:27" x14ac:dyDescent="0.25">
      <c r="C18" s="17"/>
      <c r="E18" s="17"/>
      <c r="G18" s="17"/>
      <c r="I18" s="17"/>
      <c r="M18" s="26" t="s">
        <v>980</v>
      </c>
      <c r="N18" s="26" t="s">
        <v>792</v>
      </c>
      <c r="O18" s="58" t="s">
        <v>1028</v>
      </c>
      <c r="Y18" s="89" t="str">
        <f>"AGO/" &amp; $R$2-1</f>
        <v>AGO/2017</v>
      </c>
      <c r="AA18" s="89" t="str">
        <f>"OUT/" &amp; $R$2</f>
        <v>OUT/2018</v>
      </c>
    </row>
    <row r="19" spans="3:27" x14ac:dyDescent="0.25">
      <c r="C19" s="17"/>
      <c r="E19" s="17"/>
      <c r="G19" s="17"/>
      <c r="I19" s="17"/>
      <c r="M19" s="26" t="s">
        <v>952</v>
      </c>
      <c r="N19" s="26" t="s">
        <v>1005</v>
      </c>
      <c r="O19" s="58" t="s">
        <v>1015</v>
      </c>
      <c r="Q19" s="29" t="s">
        <v>446</v>
      </c>
      <c r="Y19" s="89" t="str">
        <f>"JUL/" &amp; $R$2-1</f>
        <v>JUL/2017</v>
      </c>
      <c r="AA19" s="89" t="str">
        <f>"SET/" &amp; $R$2</f>
        <v>SET/2018</v>
      </c>
    </row>
    <row r="20" spans="3:27" x14ac:dyDescent="0.25">
      <c r="C20" s="17"/>
      <c r="E20" s="17"/>
      <c r="G20" s="17"/>
      <c r="I20" s="17"/>
      <c r="M20" s="26" t="s">
        <v>953</v>
      </c>
      <c r="N20" s="26" t="s">
        <v>1016</v>
      </c>
      <c r="O20" s="58" t="s">
        <v>1017</v>
      </c>
      <c r="Q20" s="29" t="s">
        <v>445</v>
      </c>
      <c r="Y20" s="89" t="str">
        <f>"JUN/" &amp; $R$2-1</f>
        <v>JUN/2017</v>
      </c>
      <c r="AA20" s="89" t="str">
        <f>"AGO/" &amp; $R$2</f>
        <v>AGO/2018</v>
      </c>
    </row>
    <row r="21" spans="3:27" x14ac:dyDescent="0.25">
      <c r="C21" s="17"/>
      <c r="E21" s="17"/>
      <c r="G21" s="17"/>
      <c r="M21" s="26" t="s">
        <v>1078</v>
      </c>
      <c r="N21" s="26" t="s">
        <v>944</v>
      </c>
      <c r="O21" s="58" t="s">
        <v>811</v>
      </c>
      <c r="Q21" s="29" t="s">
        <v>447</v>
      </c>
      <c r="Y21" s="89" t="str">
        <f>"MAI/" &amp; $R$2-1</f>
        <v>MAI/2017</v>
      </c>
      <c r="AA21" s="89" t="str">
        <f>"JUL/" &amp; $R$2</f>
        <v>JUL/2018</v>
      </c>
    </row>
    <row r="22" spans="3:27" x14ac:dyDescent="0.25">
      <c r="C22" s="17"/>
      <c r="M22" s="26" t="s">
        <v>1004</v>
      </c>
      <c r="N22" s="26" t="s">
        <v>792</v>
      </c>
      <c r="O22" s="58" t="s">
        <v>1028</v>
      </c>
      <c r="Q22" s="29" t="s">
        <v>448</v>
      </c>
      <c r="Y22" s="89" t="str">
        <f>"ABR/" &amp; $R$2-1</f>
        <v>ABR/2017</v>
      </c>
      <c r="AA22" s="89" t="str">
        <f>"JUN/" &amp; $R$2</f>
        <v>JUN/2018</v>
      </c>
    </row>
    <row r="23" spans="3:27" x14ac:dyDescent="0.25">
      <c r="C23" s="17"/>
      <c r="M23" s="26" t="s">
        <v>1025</v>
      </c>
      <c r="N23" s="26" t="s">
        <v>944</v>
      </c>
      <c r="O23" s="58" t="s">
        <v>811</v>
      </c>
      <c r="Q23" s="29"/>
      <c r="Y23" s="89" t="str">
        <f>"MAR/" &amp; $R$2-1</f>
        <v>MAR/2017</v>
      </c>
      <c r="AA23" s="89" t="str">
        <f>"MAI/" &amp; $R$2</f>
        <v>MAI/2018</v>
      </c>
    </row>
    <row r="24" spans="3:27" x14ac:dyDescent="0.25">
      <c r="M24" s="26" t="s">
        <v>985</v>
      </c>
      <c r="N24" s="26" t="s">
        <v>792</v>
      </c>
      <c r="O24" s="58" t="s">
        <v>1028</v>
      </c>
      <c r="Q24" s="29" t="s">
        <v>77</v>
      </c>
      <c r="Y24" s="89" t="str">
        <f>"FEV/" &amp; $R$2-1</f>
        <v>FEV/2017</v>
      </c>
      <c r="AA24" s="89" t="str">
        <f>"ABR/" &amp; $R$2</f>
        <v>ABR/2018</v>
      </c>
    </row>
    <row r="25" spans="3:27" x14ac:dyDescent="0.25">
      <c r="M25" s="26"/>
      <c r="N25" s="26"/>
      <c r="O25" s="58"/>
      <c r="Y25" s="89" t="str">
        <f>"JAN/" &amp; $R$2-1</f>
        <v>JAN/2017</v>
      </c>
      <c r="AA25" s="89" t="str">
        <f>"MAR/" &amp; $R$2</f>
        <v>MAR/2018</v>
      </c>
    </row>
    <row r="26" spans="3:27" x14ac:dyDescent="0.25">
      <c r="M26" s="26"/>
      <c r="N26" s="26"/>
      <c r="O26" s="58"/>
      <c r="Y26" s="89" t="str">
        <f>"ANTERIOR A " &amp; $R$2-1</f>
        <v>ANTERIOR A 2017</v>
      </c>
      <c r="AA26" s="89" t="str">
        <f>"FEV/" &amp; $R$2</f>
        <v>FEV/2018</v>
      </c>
    </row>
    <row r="27" spans="3:27" x14ac:dyDescent="0.25">
      <c r="M27" s="26"/>
      <c r="N27" s="26"/>
      <c r="O27" s="58"/>
      <c r="Y27" s="25" t="s">
        <v>70</v>
      </c>
      <c r="AA27" s="89" t="str">
        <f>"JAN/" &amp; $R$2</f>
        <v>JAN/2018</v>
      </c>
    </row>
    <row r="28" spans="3:27" x14ac:dyDescent="0.25">
      <c r="Y28" s="25"/>
      <c r="AA28" s="25" t="s">
        <v>275</v>
      </c>
    </row>
  </sheetData>
  <sheetProtection algorithmName="SHA-512" hashValue="x03f2rVSfj7IPfw1Oj7JKHbQWFVQOn+X9+IbQ+0GX/AA0e9MoZGMKyVSpEBe4lZzYjlNW83p1FTT8eH13b05ow==" saltValue="TK3+gpWF8vlzoFIu9Ek59A==" spinCount="100000" sheet="1" objects="1" scenarios="1"/>
  <autoFilter ref="M1:O26"/>
  <sortState ref="M3:O25">
    <sortCondition ref="M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GO">
    <tabColor rgb="FFFFC000"/>
  </sheetPr>
  <dimension ref="A1:R11"/>
  <sheetViews>
    <sheetView zoomScale="78" zoomScaleNormal="78" workbookViewId="0">
      <pane ySplit="1" topLeftCell="A2" activePane="bottomLeft" state="frozen"/>
      <selection pane="bottomLeft" activeCell="R1" sqref="R1"/>
    </sheetView>
  </sheetViews>
  <sheetFormatPr defaultColWidth="0" defaultRowHeight="11.25" x14ac:dyDescent="0.25"/>
  <cols>
    <col min="1" max="1" width="4.5703125" style="202" customWidth="1"/>
    <col min="2" max="2" width="10" style="202" customWidth="1"/>
    <col min="3" max="3" width="15" style="202" customWidth="1"/>
    <col min="4" max="4" width="14.140625" style="202" customWidth="1"/>
    <col min="5" max="5" width="12.85546875" style="202" customWidth="1"/>
    <col min="6" max="6" width="7.140625" style="202" customWidth="1"/>
    <col min="7" max="7" width="11.140625" style="202" customWidth="1"/>
    <col min="8" max="8" width="11.42578125" style="202" customWidth="1"/>
    <col min="9" max="9" width="17.85546875" style="202" customWidth="1"/>
    <col min="10" max="10" width="15.28515625" style="202" customWidth="1"/>
    <col min="11" max="11" width="16.5703125" style="202" customWidth="1"/>
    <col min="12" max="12" width="12.5703125" style="72" customWidth="1"/>
    <col min="13" max="13" width="15" style="203" customWidth="1"/>
    <col min="14" max="14" width="9.7109375" style="204" customWidth="1"/>
    <col min="15" max="15" width="7.28515625" style="205" customWidth="1"/>
    <col min="16" max="16" width="12.85546875" style="206" customWidth="1"/>
    <col min="17" max="17" width="27.42578125" style="208" customWidth="1"/>
    <col min="18" max="18" width="3.140625" style="202" customWidth="1"/>
    <col min="19" max="16384" width="9.140625" style="202" hidden="1"/>
  </cols>
  <sheetData>
    <row r="1" spans="1:17" x14ac:dyDescent="0.25">
      <c r="A1" s="201">
        <f>COUNTA(C:C) -1</f>
        <v>1</v>
      </c>
      <c r="B1" s="73" t="s">
        <v>917</v>
      </c>
      <c r="C1" s="74" t="s">
        <v>233</v>
      </c>
      <c r="D1" s="74" t="s">
        <v>11</v>
      </c>
      <c r="E1" s="75" t="s">
        <v>696</v>
      </c>
      <c r="F1" s="74" t="s">
        <v>234</v>
      </c>
      <c r="G1" s="76" t="s">
        <v>825</v>
      </c>
      <c r="H1" s="74" t="s">
        <v>443</v>
      </c>
      <c r="I1" s="74" t="s">
        <v>235</v>
      </c>
      <c r="J1" s="74" t="s">
        <v>209</v>
      </c>
      <c r="K1" s="74" t="s">
        <v>52</v>
      </c>
      <c r="L1" s="74" t="s">
        <v>56</v>
      </c>
      <c r="M1" s="77" t="s">
        <v>210</v>
      </c>
      <c r="N1" s="78" t="s">
        <v>220</v>
      </c>
      <c r="O1" s="79" t="s">
        <v>856</v>
      </c>
      <c r="P1" s="71" t="s">
        <v>256</v>
      </c>
      <c r="Q1" s="71" t="s">
        <v>61</v>
      </c>
    </row>
    <row r="2" spans="1:17" ht="22.5" x14ac:dyDescent="0.25">
      <c r="B2" s="202" t="s">
        <v>1106</v>
      </c>
      <c r="C2" s="202" t="s">
        <v>1013</v>
      </c>
      <c r="D2" s="202" t="s">
        <v>15</v>
      </c>
      <c r="E2" s="202" t="s">
        <v>1102</v>
      </c>
      <c r="F2" s="202" t="s">
        <v>1044</v>
      </c>
      <c r="G2" s="202" t="s">
        <v>1097</v>
      </c>
      <c r="H2" s="202" t="s">
        <v>1096</v>
      </c>
      <c r="I2" s="202" t="s">
        <v>1098</v>
      </c>
      <c r="J2" s="202" t="s">
        <v>988</v>
      </c>
      <c r="K2" s="202" t="s">
        <v>457</v>
      </c>
      <c r="L2" s="72" t="s">
        <v>1107</v>
      </c>
      <c r="M2" s="203">
        <v>5000000</v>
      </c>
      <c r="N2" s="204">
        <v>0</v>
      </c>
      <c r="O2" s="205" t="s">
        <v>1028</v>
      </c>
      <c r="P2" s="206" t="s">
        <v>949</v>
      </c>
      <c r="Q2" s="207" t="s">
        <v>1114</v>
      </c>
    </row>
    <row r="5" spans="1:17" x14ac:dyDescent="0.25">
      <c r="Q5" s="207"/>
    </row>
    <row r="6" spans="1:17" x14ac:dyDescent="0.25">
      <c r="Q6" s="207"/>
    </row>
    <row r="7" spans="1:17" x14ac:dyDescent="0.25">
      <c r="Q7" s="207"/>
    </row>
    <row r="8" spans="1:17" x14ac:dyDescent="0.25">
      <c r="Q8" s="207"/>
    </row>
    <row r="9" spans="1:17" x14ac:dyDescent="0.25">
      <c r="Q9" s="207"/>
    </row>
    <row r="10" spans="1:17" x14ac:dyDescent="0.25">
      <c r="Q10" s="207"/>
    </row>
    <row r="11" spans="1:17" x14ac:dyDescent="0.25">
      <c r="Q11" s="20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RC">
    <tabColor rgb="FFFFC000"/>
  </sheetPr>
  <dimension ref="A1:W1"/>
  <sheetViews>
    <sheetView zoomScale="80" zoomScaleNormal="80" workbookViewId="0">
      <pane ySplit="1" topLeftCell="A2" activePane="bottomLeft" state="frozen"/>
      <selection pane="bottomLeft" activeCell="H25" sqref="H25"/>
    </sheetView>
  </sheetViews>
  <sheetFormatPr defaultColWidth="0" defaultRowHeight="11.25" x14ac:dyDescent="0.2"/>
  <cols>
    <col min="1" max="1" width="5.5703125" style="42" customWidth="1"/>
    <col min="2" max="2" width="12" style="43" customWidth="1"/>
    <col min="3" max="3" width="14.28515625" style="43" customWidth="1"/>
    <col min="4" max="4" width="11.28515625" style="43" bestFit="1" customWidth="1"/>
    <col min="5" max="5" width="11" style="43" bestFit="1" customWidth="1"/>
    <col min="6" max="6" width="15.7109375" style="43" bestFit="1" customWidth="1"/>
    <col min="7" max="7" width="11.7109375" style="43" customWidth="1"/>
    <col min="8" max="8" width="10.42578125" style="70" customWidth="1"/>
    <col min="9" max="9" width="13.42578125" style="43" customWidth="1"/>
    <col min="10" max="10" width="5.140625" style="43" bestFit="1" customWidth="1"/>
    <col min="11" max="11" width="7.28515625" style="43" customWidth="1"/>
    <col min="12" max="12" width="12.5703125" style="42" customWidth="1"/>
    <col min="13" max="13" width="16.85546875" style="42" customWidth="1"/>
    <col min="14" max="14" width="11.7109375" style="42" customWidth="1"/>
    <col min="15" max="15" width="9.140625" style="44" customWidth="1"/>
    <col min="16" max="17" width="9.140625" style="45" customWidth="1"/>
    <col min="18" max="18" width="9" style="42" customWidth="1"/>
    <col min="19" max="19" width="9.140625" style="45" customWidth="1"/>
    <col min="20" max="20" width="5" style="46" customWidth="1"/>
    <col min="21" max="21" width="10.42578125" style="42" customWidth="1"/>
    <col min="22" max="22" width="12.7109375" style="42" bestFit="1" customWidth="1"/>
    <col min="23" max="23" width="0" style="42" hidden="1" customWidth="1"/>
    <col min="24" max="16384" width="9.140625" style="42" hidden="1"/>
  </cols>
  <sheetData>
    <row r="1" spans="1:22" ht="22.5" x14ac:dyDescent="0.2">
      <c r="A1" s="47">
        <f>COUNTA(B:B) -1</f>
        <v>0</v>
      </c>
      <c r="B1" s="48" t="s">
        <v>235</v>
      </c>
      <c r="C1" s="48" t="s">
        <v>651</v>
      </c>
      <c r="D1" s="48" t="s">
        <v>236</v>
      </c>
      <c r="E1" s="49" t="s">
        <v>50</v>
      </c>
      <c r="F1" s="49" t="s">
        <v>56</v>
      </c>
      <c r="G1" s="49" t="s">
        <v>51</v>
      </c>
      <c r="H1" s="69" t="s">
        <v>54</v>
      </c>
      <c r="I1" s="50" t="s">
        <v>213</v>
      </c>
      <c r="J1" s="50" t="s">
        <v>237</v>
      </c>
      <c r="K1" s="50" t="s">
        <v>238</v>
      </c>
      <c r="L1" s="51" t="s">
        <v>209</v>
      </c>
      <c r="M1" s="51" t="s">
        <v>219</v>
      </c>
      <c r="N1" s="51" t="s">
        <v>844</v>
      </c>
      <c r="O1" s="52" t="s">
        <v>220</v>
      </c>
      <c r="P1" s="53" t="s">
        <v>221</v>
      </c>
      <c r="Q1" s="53" t="s">
        <v>210</v>
      </c>
      <c r="R1" s="51" t="s">
        <v>239</v>
      </c>
      <c r="S1" s="53" t="s">
        <v>240</v>
      </c>
      <c r="T1" s="54" t="s">
        <v>222</v>
      </c>
      <c r="U1" s="51" t="s">
        <v>164</v>
      </c>
      <c r="V1" s="51" t="s">
        <v>401</v>
      </c>
    </row>
  </sheetData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PROJETO">
    <tabColor rgb="FFFFC000"/>
  </sheetPr>
  <dimension ref="A1:XFC21"/>
  <sheetViews>
    <sheetView workbookViewId="0">
      <selection activeCell="B2" sqref="B2"/>
    </sheetView>
  </sheetViews>
  <sheetFormatPr defaultColWidth="0" defaultRowHeight="15" x14ac:dyDescent="0.25"/>
  <cols>
    <col min="1" max="1" width="4.85546875" customWidth="1"/>
    <col min="2" max="3" width="14.42578125" customWidth="1"/>
    <col min="6" max="16383" width="9.140625" hidden="1"/>
    <col min="16384" max="16384" width="1.7109375" hidden="1" customWidth="1"/>
  </cols>
  <sheetData>
    <row r="1" spans="1:3" ht="22.5" x14ac:dyDescent="0.25">
      <c r="A1" s="64">
        <f>Defesa!B30</f>
        <v>1</v>
      </c>
      <c r="B1" s="27" t="s">
        <v>902</v>
      </c>
      <c r="C1" s="28" t="s">
        <v>903</v>
      </c>
    </row>
    <row r="2" spans="1:3" x14ac:dyDescent="0.25">
      <c r="B2" s="32" t="str">
        <f>IF(Defesa!$C7 = "", "", Defesa!$C7)</f>
        <v>PRJ00027490</v>
      </c>
      <c r="C2" s="32" t="str">
        <f>IF(Defesa!$B7 = "", "", Defesa!$B7)</f>
        <v>PRJ00027489</v>
      </c>
    </row>
    <row r="3" spans="1:3" x14ac:dyDescent="0.25">
      <c r="B3" s="32" t="str">
        <f>IF(Defesa!$C8 = "", "", Defesa!$C8)</f>
        <v/>
      </c>
      <c r="C3" s="32" t="str">
        <f>IF(Defesa!$B8 = "", "", Defesa!$B8)</f>
        <v/>
      </c>
    </row>
    <row r="4" spans="1:3" x14ac:dyDescent="0.25">
      <c r="B4" s="32" t="str">
        <f>IF(Defesa!$C9 = "", "", Defesa!$C9)</f>
        <v/>
      </c>
      <c r="C4" s="32" t="str">
        <f>IF(Defesa!$B9 = "", "", Defesa!$B9)</f>
        <v/>
      </c>
    </row>
    <row r="5" spans="1:3" x14ac:dyDescent="0.25">
      <c r="B5" s="32" t="str">
        <f>IF(Defesa!$C10 = "", "", Defesa!$C10)</f>
        <v/>
      </c>
      <c r="C5" s="32" t="str">
        <f>IF(Defesa!$B10 = "", "", Defesa!$B10)</f>
        <v/>
      </c>
    </row>
    <row r="6" spans="1:3" x14ac:dyDescent="0.25">
      <c r="B6" s="32" t="str">
        <f>IF(Defesa!$C11 = "", "", Defesa!$C11)</f>
        <v/>
      </c>
      <c r="C6" s="32" t="str">
        <f>IF(Defesa!$B11 = "", "", Defesa!$B11)</f>
        <v/>
      </c>
    </row>
    <row r="7" spans="1:3" x14ac:dyDescent="0.25">
      <c r="B7" s="32" t="str">
        <f>IF(Defesa!$C12 = "", "", Defesa!$C12)</f>
        <v/>
      </c>
      <c r="C7" s="32" t="str">
        <f>IF(Defesa!$B12 = "", "", Defesa!$B12)</f>
        <v/>
      </c>
    </row>
    <row r="8" spans="1:3" x14ac:dyDescent="0.25">
      <c r="B8" s="32" t="str">
        <f>IF(Defesa!$C13 = "", "", Defesa!$C13)</f>
        <v/>
      </c>
      <c r="C8" s="32" t="str">
        <f>IF(Defesa!$B13 = "", "", Defesa!$B13)</f>
        <v/>
      </c>
    </row>
    <row r="9" spans="1:3" x14ac:dyDescent="0.25">
      <c r="B9" s="32" t="str">
        <f>IF(Defesa!$C14 = "", "", Defesa!$C14)</f>
        <v/>
      </c>
      <c r="C9" s="32" t="str">
        <f>IF(Defesa!$B14 = "", "", Defesa!$B14)</f>
        <v/>
      </c>
    </row>
    <row r="10" spans="1:3" x14ac:dyDescent="0.25">
      <c r="B10" s="32" t="str">
        <f>IF(Defesa!$C15 = "", "", Defesa!$C15)</f>
        <v/>
      </c>
      <c r="C10" s="32" t="str">
        <f>IF(Defesa!$B15 = "", "", Defesa!$B15)</f>
        <v/>
      </c>
    </row>
    <row r="11" spans="1:3" x14ac:dyDescent="0.25">
      <c r="B11" s="32" t="str">
        <f>IF(Defesa!$C16 = "", "", Defesa!$C16)</f>
        <v/>
      </c>
      <c r="C11" s="32" t="str">
        <f>IF(Defesa!$B16 = "", "", Defesa!$B16)</f>
        <v/>
      </c>
    </row>
    <row r="12" spans="1:3" x14ac:dyDescent="0.25">
      <c r="B12" s="32" t="str">
        <f>IF(Defesa!$C17 = "", "", Defesa!$C17)</f>
        <v/>
      </c>
      <c r="C12" s="32" t="str">
        <f>IF(Defesa!$B17 = "", "", Defesa!$B17)</f>
        <v/>
      </c>
    </row>
    <row r="13" spans="1:3" x14ac:dyDescent="0.25">
      <c r="B13" s="32" t="str">
        <f>IF(Defesa!$C18 = "", "", Defesa!$C18)</f>
        <v/>
      </c>
      <c r="C13" s="32" t="str">
        <f>IF(Defesa!$B18 = "", "", Defesa!$B18)</f>
        <v/>
      </c>
    </row>
    <row r="14" spans="1:3" x14ac:dyDescent="0.25">
      <c r="B14" s="32" t="str">
        <f>IF(Defesa!$C19 = "", "", Defesa!$C19)</f>
        <v/>
      </c>
      <c r="C14" s="32" t="str">
        <f>IF(Defesa!$B19 = "", "", Defesa!$B19)</f>
        <v/>
      </c>
    </row>
    <row r="15" spans="1:3" x14ac:dyDescent="0.25">
      <c r="B15" s="32" t="str">
        <f>IF(Defesa!$C20 = "", "", Defesa!$C20)</f>
        <v/>
      </c>
      <c r="C15" s="32" t="str">
        <f>IF(Defesa!$B20 = "", "", Defesa!$B20)</f>
        <v/>
      </c>
    </row>
    <row r="16" spans="1:3" x14ac:dyDescent="0.25">
      <c r="B16" s="32" t="str">
        <f>IF(Defesa!$C21 = "", "", Defesa!$C21)</f>
        <v/>
      </c>
      <c r="C16" s="32" t="str">
        <f>IF(Defesa!$B21 = "", "", Defesa!$B21)</f>
        <v/>
      </c>
    </row>
    <row r="17" spans="2:3" x14ac:dyDescent="0.25">
      <c r="B17" s="32" t="str">
        <f>IF(Defesa!$C22 = "", "", Defesa!$C22)</f>
        <v/>
      </c>
      <c r="C17" s="32" t="str">
        <f>IF(Defesa!$B22 = "", "", Defesa!$B22)</f>
        <v/>
      </c>
    </row>
    <row r="18" spans="2:3" x14ac:dyDescent="0.25">
      <c r="B18" s="32" t="str">
        <f>IF(Defesa!$C23 = "", "", Defesa!$C23)</f>
        <v/>
      </c>
      <c r="C18" s="32" t="str">
        <f>IF(Defesa!$B23 = "", "", Defesa!$B23)</f>
        <v/>
      </c>
    </row>
    <row r="19" spans="2:3" x14ac:dyDescent="0.25">
      <c r="B19" s="32" t="str">
        <f>IF(Defesa!$C24 = "", "", Defesa!$C24)</f>
        <v/>
      </c>
      <c r="C19" s="32" t="str">
        <f>IF(Defesa!$B24 = "", "", Defesa!$B24)</f>
        <v/>
      </c>
    </row>
    <row r="20" spans="2:3" x14ac:dyDescent="0.25">
      <c r="B20" s="32" t="str">
        <f>IF(Defesa!$C25 = "", "", Defesa!$C25)</f>
        <v/>
      </c>
      <c r="C20" s="32" t="str">
        <f>IF(Defesa!$B25 = "", "", Defesa!$B25)</f>
        <v/>
      </c>
    </row>
    <row r="21" spans="2:3" x14ac:dyDescent="0.25">
      <c r="B21" s="32" t="str">
        <f>IF(Defesa!$C26 = "", "", Defesa!$C26)</f>
        <v/>
      </c>
      <c r="C21" s="32" t="str">
        <f>IF(Defesa!$B26 = "", "", Defesa!$B26)</f>
        <v/>
      </c>
    </row>
  </sheetData>
  <sheetProtection algorithmName="SHA-512" hashValue="ceZ5Chk5AxjrGs+0+YSXoUzDLvLf5ubGTBMDa5pEng/7orvduXzZ2zqP3Zkph60lB/L/fWn8YN+V5XG2fWwqTg==" saltValue="weKEuQkcHl73xaWz8n3DfQ==" spinCount="100000" sheet="1" objects="1" scenarios="1"/>
  <conditionalFormatting sqref="B1:C1">
    <cfRule type="expression" dxfId="69" priority="3">
      <formula xml:space="preserve"> #REF!&lt;&gt; $A1048576</formula>
    </cfRule>
  </conditionalFormatting>
  <conditionalFormatting sqref="B2:C21">
    <cfRule type="expression" dxfId="68" priority="4">
      <formula xml:space="preserve"> $A2&lt;&gt; #REF!</formula>
    </cfRule>
  </conditionalFormatting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DEFESA">
    <tabColor theme="5" tint="-0.249977111117893"/>
  </sheetPr>
  <dimension ref="A1:AO2"/>
  <sheetViews>
    <sheetView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AL2" sqref="AL2"/>
    </sheetView>
  </sheetViews>
  <sheetFormatPr defaultRowHeight="15" zeroHeight="1" x14ac:dyDescent="0.25"/>
  <cols>
    <col min="1" max="1" width="4.28515625" customWidth="1"/>
    <col min="2" max="2" width="14.7109375" customWidth="1"/>
    <col min="3" max="3" width="10.140625" customWidth="1"/>
    <col min="4" max="4" width="11.85546875" customWidth="1"/>
    <col min="5" max="5" width="11.7109375" customWidth="1"/>
    <col min="6" max="6" width="12" customWidth="1"/>
    <col min="7" max="7" width="12.85546875" customWidth="1"/>
    <col min="8" max="8" width="12.7109375" customWidth="1"/>
    <col min="9" max="9" width="14.7109375" customWidth="1"/>
    <col min="10" max="10" width="24" customWidth="1"/>
    <col min="11" max="11" width="27.85546875" customWidth="1"/>
    <col min="12" max="12" width="20.5703125" customWidth="1"/>
    <col min="13" max="13" width="9.5703125" customWidth="1"/>
    <col min="15" max="15" width="12.42578125" customWidth="1"/>
    <col min="16" max="16" width="11.85546875" customWidth="1"/>
    <col min="17" max="17" width="13" customWidth="1"/>
    <col min="18" max="18" width="12.42578125" customWidth="1"/>
    <col min="19" max="19" width="14.7109375" customWidth="1"/>
    <col min="20" max="20" width="14.5703125" customWidth="1"/>
    <col min="21" max="21" width="14" customWidth="1"/>
    <col min="22" max="22" width="8" customWidth="1"/>
    <col min="23" max="23" width="8.28515625" customWidth="1"/>
    <col min="24" max="24" width="6.5703125" customWidth="1"/>
    <col min="25" max="25" width="13.140625" customWidth="1"/>
    <col min="26" max="26" width="9.5703125" customWidth="1"/>
    <col min="27" max="27" width="22.5703125" customWidth="1"/>
    <col min="28" max="31" width="13.42578125" customWidth="1"/>
    <col min="33" max="33" width="19.28515625" customWidth="1"/>
    <col min="34" max="34" width="21.140625" customWidth="1"/>
    <col min="35" max="35" width="24.42578125" customWidth="1"/>
    <col min="36" max="36" width="16.28515625" customWidth="1"/>
    <col min="37" max="37" width="16.7109375" customWidth="1"/>
  </cols>
  <sheetData>
    <row r="1" spans="1:41" ht="31.5" customHeight="1" x14ac:dyDescent="0.25">
      <c r="A1" s="5">
        <f>COUNTA(C:C) -1</f>
        <v>1</v>
      </c>
      <c r="B1" s="27" t="s">
        <v>428</v>
      </c>
      <c r="C1" s="28" t="s">
        <v>425</v>
      </c>
      <c r="D1" s="28" t="s">
        <v>429</v>
      </c>
      <c r="E1" s="28" t="s">
        <v>430</v>
      </c>
      <c r="F1" s="28" t="s">
        <v>227</v>
      </c>
      <c r="G1" s="28" t="s">
        <v>431</v>
      </c>
      <c r="H1" s="28" t="s">
        <v>432</v>
      </c>
      <c r="I1" s="28" t="s">
        <v>265</v>
      </c>
      <c r="J1" s="28" t="s">
        <v>35</v>
      </c>
      <c r="K1" s="28" t="s">
        <v>41</v>
      </c>
      <c r="L1" s="28" t="s">
        <v>45</v>
      </c>
      <c r="M1" s="28" t="s">
        <v>433</v>
      </c>
      <c r="N1" s="28" t="s">
        <v>264</v>
      </c>
      <c r="O1" s="28" t="s">
        <v>434</v>
      </c>
      <c r="P1" s="28" t="s">
        <v>37</v>
      </c>
      <c r="Q1" s="28" t="s">
        <v>11</v>
      </c>
      <c r="R1" s="28" t="s">
        <v>834</v>
      </c>
      <c r="S1" s="28" t="s">
        <v>277</v>
      </c>
      <c r="T1" s="28" t="s">
        <v>229</v>
      </c>
      <c r="U1" s="28" t="s">
        <v>435</v>
      </c>
      <c r="V1" s="28" t="s">
        <v>43</v>
      </c>
      <c r="W1" s="28" t="s">
        <v>436</v>
      </c>
      <c r="X1" s="28" t="s">
        <v>916</v>
      </c>
      <c r="Y1" s="28" t="s">
        <v>831</v>
      </c>
      <c r="Z1" s="28" t="s">
        <v>47</v>
      </c>
      <c r="AA1" s="28" t="s">
        <v>437</v>
      </c>
      <c r="AB1" s="28" t="s">
        <v>411</v>
      </c>
      <c r="AC1" s="28" t="s">
        <v>438</v>
      </c>
      <c r="AD1" s="28" t="s">
        <v>439</v>
      </c>
      <c r="AE1" s="28" t="s">
        <v>400</v>
      </c>
      <c r="AF1" s="28" t="s">
        <v>453</v>
      </c>
      <c r="AG1" s="28" t="s">
        <v>679</v>
      </c>
      <c r="AH1" s="28" t="s">
        <v>456</v>
      </c>
      <c r="AI1" s="28" t="s">
        <v>454</v>
      </c>
      <c r="AJ1" s="28" t="s">
        <v>455</v>
      </c>
      <c r="AK1" s="28" t="s">
        <v>1063</v>
      </c>
      <c r="AL1" s="28" t="s">
        <v>1055</v>
      </c>
      <c r="AM1" s="28" t="s">
        <v>1056</v>
      </c>
      <c r="AN1" s="28" t="s">
        <v>1057</v>
      </c>
      <c r="AO1" s="28" t="s">
        <v>1058</v>
      </c>
    </row>
    <row r="2" spans="1:41" ht="58.5" customHeight="1" x14ac:dyDescent="0.25">
      <c r="B2" s="63">
        <v>20171219184258</v>
      </c>
      <c r="C2" s="32" t="str">
        <f>IF(Defesa!$F$7 = "", "", Defesa!$F$7)</f>
        <v>COMITÊ</v>
      </c>
      <c r="D2" s="32" t="str">
        <f>IF(Defesa!$F$5 = "", "", Defesa!$F5)</f>
        <v>Automatização das Config do Faturamento</v>
      </c>
      <c r="E2" s="32" t="str">
        <f>IF(Defesa!$F$6 = "", "", Defesa!$F$6)</f>
        <v>VivianAparecida de Jesus</v>
      </c>
      <c r="F2" s="32" t="str">
        <f>IF(Defesa!$J$9 = "", "", Defesa!$J$9)</f>
        <v>CRIAR</v>
      </c>
      <c r="G2" s="32" t="str">
        <f>IF(Defesa!$J$10 = "", "", Defesa!$J$10)</f>
        <v>CRIAR</v>
      </c>
      <c r="H2" s="32" t="str">
        <f>IF(Defesa!$J$11 = "", "", Defesa!$J$11)</f>
        <v>N/A</v>
      </c>
      <c r="I2" s="32" t="str">
        <f>IF(Defesa!$J$14 = "", "", Defesa!$J$14)</f>
        <v>FOI de Sistemas</v>
      </c>
      <c r="J2" s="32" t="str">
        <f>IF(Defesa!$E$10 = "", "", Defesa!$E$10)</f>
        <v xml:space="preserve">Este projeto tem como objetivo automatizar configurações de faturamento  que estão no escopo da Fase 2 do GTA (SVA). 
</v>
      </c>
      <c r="K2" s="32" t="str">
        <f>IF(Defesa!$E$15 = "", "", Defesa!$E$15)</f>
        <v xml:space="preserve">Redução dos problemas de erro em cobrança de valores nas faturas de clientes, ou perda de receita, relacionadas a configuração de tarifas de usos de provedores (SVA).
Redução de perdas de receita na ordem de R$ 12 MM/ano.
Redução de custos de desenvolvimento de 7.2 MM/ano.
Melhoria do “Time to Market” das novas configurações (em média) de 6 meses para 2 dias.
Adequação aos padrões da SOX, com perfil de acesso e controle para as novas  funcionalidades.
</v>
      </c>
      <c r="L2" s="32" t="str">
        <f>IF(Defesa!$E$22 = "", "", Defesa!$E$22)</f>
        <v xml:space="preserve">Manutenção das perdas de receita na ordem de R$ 12 MM/ano e dos gastos com configurações na ordem de R$ 7,2 MM/ano.
</v>
      </c>
      <c r="M2" s="33" t="str">
        <f>IF(Defesa!$J$16 = "", "", Defesa!$J$16)</f>
        <v>DEZ/2017</v>
      </c>
      <c r="N2" s="34" t="str">
        <f>IF(Defesa!$J$17 = "", "", Defesa!$J$17)</f>
        <v>N/A</v>
      </c>
      <c r="O2" s="33" t="str">
        <f>IF(Defesa!$J$18 = "", "", Defesa!$J$18)</f>
        <v>DEZ/2018</v>
      </c>
      <c r="P2" s="32" t="str">
        <f>IF(Defesa!$J$20 = "", "", Defesa!$J$20)</f>
        <v>Não Alocável</v>
      </c>
      <c r="Q2" s="32" t="str">
        <f>IF(Defesa!$J$21 = "", "", Defesa!$J$21)</f>
        <v>Evolutivas</v>
      </c>
      <c r="R2" s="55" t="s">
        <v>411</v>
      </c>
      <c r="S2" s="32" t="str">
        <f>IF(Defesa!$J$5 = "", "", Defesa!$J$5)</f>
        <v>Sistemas</v>
      </c>
      <c r="T2" s="32" t="str">
        <f>IF(Defesa!$J$6 = "", "", Defesa!$J$6)</f>
        <v>Marcio Caroso</v>
      </c>
      <c r="U2" s="32" t="str">
        <f>IF(Defesa!$J$7 = "", "", Defesa!$J$7)</f>
        <v>FABIO LUIS GLASER</v>
      </c>
      <c r="V2" s="35" t="str">
        <f>IF(Defesa!$J$24 = "", "", Defesa!$J$24)</f>
        <v>NÃO</v>
      </c>
      <c r="W2" s="35" t="str">
        <f>IF(Defesa!$J$23 = "", "", Defesa!$J$23)</f>
        <v>NÃO</v>
      </c>
      <c r="X2" s="32" t="str">
        <f>IF(Defesa!$J$7="","",VLOOKUP(Defesa!$J$7,TABELAS!M:O,3,FALSE))</f>
        <v>GTDS</v>
      </c>
      <c r="Y2" s="61"/>
      <c r="Z2" s="32" t="str">
        <f>IF(Defesa!$J$27 = "", "", Defesa!$J$27)</f>
        <v>Reduz Custo</v>
      </c>
      <c r="AA2" s="32" t="str">
        <f>IF(Defesa!$J$28 = "", "", Defesa!$J$28)</f>
        <v>N/A</v>
      </c>
      <c r="AB2" s="36">
        <f>IF(Defesa!$M$11 = "", "", Defesa!$M$11)</f>
        <v>5000000</v>
      </c>
      <c r="AC2" s="36">
        <f>IF(Defesa!$M$12 = "", "", Defesa!$M$12)</f>
        <v>5000000</v>
      </c>
      <c r="AD2" s="36">
        <f>IF(Defesa!$M$13 = "", "", Defesa!$M$13)</f>
        <v>5000000</v>
      </c>
      <c r="AE2" s="36">
        <f>IF(Defesa!$M$5 = "", "", Defesa!$M$5)</f>
        <v>5000000</v>
      </c>
      <c r="AF2" s="37">
        <f>TABELAS!$R$2</f>
        <v>2018</v>
      </c>
      <c r="AG2" s="38" t="str">
        <f>IF(Defesa!C7="","",Defesa!C7)&amp;IF(Defesa!C8="","","; "&amp;Defesa!C8)&amp;IF(Defesa!C9="","","; "&amp;Defesa!C9)&amp;IF(Defesa!C10="","","; "&amp;Defesa!C10)&amp;IF(Defesa!C11="","","; "&amp;Defesa!C11)&amp;IF(Defesa!C12="","","; "&amp;Defesa!C12)&amp;IF(Defesa!C13="","","; "&amp;Defesa!C13)&amp;IF(Defesa!C14="","","; "&amp;Defesa!C14)&amp;IF(Defesa!C15="","","; "&amp;Defesa!C15)&amp;IF(Defesa!C16="","","; "&amp;Defesa!C16)&amp;IF(Defesa!C17="","","; "&amp;Defesa!C17)&amp;IF(Defesa!C18="","","; "&amp;Defesa!C18)&amp;IF(Defesa!C19="","","; "&amp;Defesa!C19)&amp;IF(Defesa!C20="","","; "&amp;Defesa!C20)&amp;IF(Defesa!C21="","","; "&amp;Defesa!C21)&amp;IF(Defesa!C22="","","; "&amp;Defesa!C22)&amp;IF(Defesa!C23="","","; "&amp;Defesa!C23)&amp;IF(Defesa!C24="","","; "&amp;Defesa!C24)&amp;IF(Defesa!C25="","","; "&amp;Defesa!C25)&amp;IF(Defesa!C26="","","; "&amp;Defesa!C26)&amp;IF(Defesa!C27="","","; "&amp;Defesa!C27)&amp;IF(Defesa!C28="","","; "&amp;Defesa!C28)&amp;IF(Defesa!C29="","","; "&amp;Defesa!C29)</f>
        <v>PRJ00027490</v>
      </c>
      <c r="AH2" s="55" t="s">
        <v>988</v>
      </c>
      <c r="AI2" s="55" t="s">
        <v>1115</v>
      </c>
      <c r="AJ2" s="38" t="str">
        <f>IF(Defesa!B7="","",Defesa!B7)&amp;IF(Defesa!B8="","","; "&amp;Defesa!B8)&amp;IF(Defesa!B9="","","; "&amp;Defesa!B9)&amp;IF(Defesa!B10="","","; "&amp;Defesa!B10)&amp;IF(Defesa!B11="","","; "&amp;Defesa!B11)&amp;IF(Defesa!B12="","","; "&amp;Defesa!B12)&amp;IF(Defesa!B13="","","; "&amp;Defesa!B13)&amp;IF(Defesa!B14="","","; "&amp;Defesa!B14)&amp;IF(Defesa!B15="","","; "&amp;Defesa!B15)&amp;IF(Defesa!B16="","","; "&amp;Defesa!B16)&amp;IF(Defesa!B17="","","; "&amp;Defesa!B17)&amp;IF(Defesa!B18="","","; "&amp;Defesa!B18)&amp;IF(Defesa!B19="","","; "&amp;Defesa!B19)&amp;IF(Defesa!B20="","","; "&amp;Defesa!B20)&amp;IF(Defesa!B21="","","; "&amp;Defesa!B21)&amp;IF(Defesa!B22="","","; "&amp;Defesa!B22)&amp;IF(Defesa!B23="","","; "&amp;Defesa!B23)&amp;IF(Defesa!B24="","","; "&amp;Defesa!B24)&amp;IF(Defesa!B25="","","; "&amp;Defesa!B25)&amp;IF(Defesa!B26="","","; "&amp;Defesa!B26)&amp;IF(Defesa!B27="","","; "&amp;Defesa!B27)&amp;IF(Defesa!B28="","","; "&amp;Defesa!B28)&amp;IF(Defesa!B29="","","; "&amp;Defesa!B29)</f>
        <v>PRJ00027489</v>
      </c>
      <c r="AK2" s="32" t="str">
        <f>IF(Defesa!$E$27 = "", "", Defesa!$E$27)</f>
        <v>N/A</v>
      </c>
      <c r="AL2" s="36">
        <f>IF(Defesa!$N$9 = "", "", Defesa!$N$9)</f>
        <v>0</v>
      </c>
      <c r="AM2" s="36">
        <f>IF(Defesa!$N$10 = "", "", Defesa!$N$10)</f>
        <v>0</v>
      </c>
      <c r="AN2" s="36">
        <f>IF(Defesa!$N$7 = "", "", Defesa!$N$7)</f>
        <v>5000000</v>
      </c>
      <c r="AO2" s="36">
        <f>IF(Defesa!$N$8 = "", "", Defesa!$N$8)</f>
        <v>0</v>
      </c>
    </row>
  </sheetData>
  <sheetProtection algorithmName="SHA-512" hashValue="lJC0m2HXeRJE26/LvmjaxVfCpGYCvzKC6QMYuYjUHdijVOAZZ8OMwn0sbT88o83/kSS5n/MeqyfVR6KnFN934Q==" saltValue="BZKbyECLM21RB+VK2zpLcQ==" spinCount="100000" sheet="1" objects="1" scenarios="1"/>
  <conditionalFormatting sqref="B1:Q1">
    <cfRule type="expression" dxfId="67" priority="66">
      <formula xml:space="preserve"> #REF!&lt;&gt; $A1048576</formula>
    </cfRule>
  </conditionalFormatting>
  <conditionalFormatting sqref="B2:C2">
    <cfRule type="expression" dxfId="66" priority="67">
      <formula xml:space="preserve"> $A2&lt;&gt; #REF!</formula>
    </cfRule>
  </conditionalFormatting>
  <conditionalFormatting sqref="D2">
    <cfRule type="expression" dxfId="65" priority="65">
      <formula xml:space="preserve"> $A2&lt;&gt; #REF!</formula>
    </cfRule>
  </conditionalFormatting>
  <conditionalFormatting sqref="E2">
    <cfRule type="expression" dxfId="64" priority="64">
      <formula xml:space="preserve"> $A2&lt;&gt; #REF!</formula>
    </cfRule>
  </conditionalFormatting>
  <conditionalFormatting sqref="F2">
    <cfRule type="expression" dxfId="63" priority="63">
      <formula xml:space="preserve"> $A2&lt;&gt; #REF!</formula>
    </cfRule>
  </conditionalFormatting>
  <conditionalFormatting sqref="G2">
    <cfRule type="expression" dxfId="62" priority="62">
      <formula xml:space="preserve"> $A2&lt;&gt; #REF!</formula>
    </cfRule>
  </conditionalFormatting>
  <conditionalFormatting sqref="H2">
    <cfRule type="expression" dxfId="61" priority="61">
      <formula xml:space="preserve"> $A2&lt;&gt; #REF!</formula>
    </cfRule>
  </conditionalFormatting>
  <conditionalFormatting sqref="I2">
    <cfRule type="expression" dxfId="60" priority="60">
      <formula xml:space="preserve"> $A2&lt;&gt; #REF!</formula>
    </cfRule>
  </conditionalFormatting>
  <conditionalFormatting sqref="J2">
    <cfRule type="expression" dxfId="59" priority="59">
      <formula xml:space="preserve"> $A2&lt;&gt; #REF!</formula>
    </cfRule>
  </conditionalFormatting>
  <conditionalFormatting sqref="K2">
    <cfRule type="expression" dxfId="58" priority="58">
      <formula xml:space="preserve"> $A2&lt;&gt; #REF!</formula>
    </cfRule>
  </conditionalFormatting>
  <conditionalFormatting sqref="L2">
    <cfRule type="expression" dxfId="57" priority="57">
      <formula xml:space="preserve"> $A2&lt;&gt; #REF!</formula>
    </cfRule>
  </conditionalFormatting>
  <conditionalFormatting sqref="M2">
    <cfRule type="expression" dxfId="56" priority="56">
      <formula xml:space="preserve"> $A2&lt;&gt; #REF!</formula>
    </cfRule>
  </conditionalFormatting>
  <conditionalFormatting sqref="N2">
    <cfRule type="expression" dxfId="55" priority="55">
      <formula xml:space="preserve"> $A2&lt;&gt; #REF!</formula>
    </cfRule>
  </conditionalFormatting>
  <conditionalFormatting sqref="O2">
    <cfRule type="expression" dxfId="54" priority="54">
      <formula xml:space="preserve"> $A2&lt;&gt; #REF!</formula>
    </cfRule>
  </conditionalFormatting>
  <conditionalFormatting sqref="P2">
    <cfRule type="expression" dxfId="53" priority="53">
      <formula xml:space="preserve"> $A2&lt;&gt; #REF!</formula>
    </cfRule>
  </conditionalFormatting>
  <conditionalFormatting sqref="Q2">
    <cfRule type="expression" dxfId="52" priority="52">
      <formula xml:space="preserve"> $A2&lt;&gt; #REF!</formula>
    </cfRule>
  </conditionalFormatting>
  <conditionalFormatting sqref="T2">
    <cfRule type="expression" dxfId="51" priority="49">
      <formula xml:space="preserve"> $A2&lt;&gt; #REF!</formula>
    </cfRule>
  </conditionalFormatting>
  <conditionalFormatting sqref="S2">
    <cfRule type="expression" dxfId="50" priority="50">
      <formula xml:space="preserve"> $A2&lt;&gt; #REF!</formula>
    </cfRule>
  </conditionalFormatting>
  <conditionalFormatting sqref="U2">
    <cfRule type="expression" dxfId="49" priority="48">
      <formula xml:space="preserve"> $A2&lt;&gt; #REF!</formula>
    </cfRule>
  </conditionalFormatting>
  <conditionalFormatting sqref="V2">
    <cfRule type="expression" dxfId="48" priority="47">
      <formula xml:space="preserve"> $A2&lt;&gt; #REF!</formula>
    </cfRule>
  </conditionalFormatting>
  <conditionalFormatting sqref="W2">
    <cfRule type="expression" dxfId="47" priority="46">
      <formula xml:space="preserve"> $A2&lt;&gt; #REF!</formula>
    </cfRule>
  </conditionalFormatting>
  <conditionalFormatting sqref="D1">
    <cfRule type="expression" dxfId="46" priority="43">
      <formula xml:space="preserve"> #REF!&lt;&gt; $A1048576</formula>
    </cfRule>
  </conditionalFormatting>
  <conditionalFormatting sqref="E1">
    <cfRule type="expression" dxfId="45" priority="42">
      <formula xml:space="preserve"> #REF!&lt;&gt; $A1048576</formula>
    </cfRule>
  </conditionalFormatting>
  <conditionalFormatting sqref="F1">
    <cfRule type="expression" dxfId="44" priority="41">
      <formula xml:space="preserve"> #REF!&lt;&gt; $A1048576</formula>
    </cfRule>
  </conditionalFormatting>
  <conditionalFormatting sqref="G1">
    <cfRule type="expression" dxfId="43" priority="40">
      <formula xml:space="preserve"> #REF!&lt;&gt; $A1048576</formula>
    </cfRule>
  </conditionalFormatting>
  <conditionalFormatting sqref="H1">
    <cfRule type="expression" dxfId="42" priority="39">
      <formula xml:space="preserve"> #REF!&lt;&gt; $A1048576</formula>
    </cfRule>
  </conditionalFormatting>
  <conditionalFormatting sqref="I1">
    <cfRule type="expression" dxfId="41" priority="38">
      <formula xml:space="preserve"> #REF!&lt;&gt; $A1048576</formula>
    </cfRule>
  </conditionalFormatting>
  <conditionalFormatting sqref="J1">
    <cfRule type="expression" dxfId="40" priority="37">
      <formula xml:space="preserve"> #REF!&lt;&gt; $A1048576</formula>
    </cfRule>
  </conditionalFormatting>
  <conditionalFormatting sqref="K1">
    <cfRule type="expression" dxfId="39" priority="36">
      <formula xml:space="preserve"> #REF!&lt;&gt; $A1048576</formula>
    </cfRule>
  </conditionalFormatting>
  <conditionalFormatting sqref="L1">
    <cfRule type="expression" dxfId="38" priority="35">
      <formula xml:space="preserve"> #REF!&lt;&gt; $A1048576</formula>
    </cfRule>
  </conditionalFormatting>
  <conditionalFormatting sqref="R1:X1">
    <cfRule type="expression" dxfId="37" priority="34">
      <formula xml:space="preserve"> #REF!&lt;&gt; $A1048576</formula>
    </cfRule>
  </conditionalFormatting>
  <conditionalFormatting sqref="Y2:AD2">
    <cfRule type="expression" dxfId="36" priority="33">
      <formula xml:space="preserve"> $A2&lt;&gt; #REF!</formula>
    </cfRule>
  </conditionalFormatting>
  <conditionalFormatting sqref="Y1:AC1">
    <cfRule type="expression" dxfId="35" priority="32">
      <formula xml:space="preserve"> #REF!&lt;&gt; $A1048576</formula>
    </cfRule>
  </conditionalFormatting>
  <conditionalFormatting sqref="AD2">
    <cfRule type="expression" dxfId="34" priority="31">
      <formula xml:space="preserve"> $A2&lt;&gt; #REF!</formula>
    </cfRule>
  </conditionalFormatting>
  <conditionalFormatting sqref="AD1">
    <cfRule type="expression" dxfId="33" priority="30">
      <formula xml:space="preserve"> #REF!&lt;&gt; $A1048576</formula>
    </cfRule>
  </conditionalFormatting>
  <conditionalFormatting sqref="AE1">
    <cfRule type="expression" dxfId="32" priority="29">
      <formula xml:space="preserve"> #REF!&lt;&gt; $A1048576</formula>
    </cfRule>
  </conditionalFormatting>
  <conditionalFormatting sqref="AE2">
    <cfRule type="expression" dxfId="31" priority="28">
      <formula xml:space="preserve"> $A2&lt;&gt; #REF!</formula>
    </cfRule>
  </conditionalFormatting>
  <conditionalFormatting sqref="AE2">
    <cfRule type="expression" dxfId="30" priority="27">
      <formula xml:space="preserve"> $A2&lt;&gt; #REF!</formula>
    </cfRule>
  </conditionalFormatting>
  <conditionalFormatting sqref="AF1">
    <cfRule type="expression" dxfId="29" priority="26">
      <formula xml:space="preserve"> #REF!&lt;&gt; $A1048576</formula>
    </cfRule>
  </conditionalFormatting>
  <conditionalFormatting sqref="AH1">
    <cfRule type="expression" dxfId="28" priority="24">
      <formula xml:space="preserve"> #REF!&lt;&gt; $A1048576</formula>
    </cfRule>
  </conditionalFormatting>
  <conditionalFormatting sqref="AF2">
    <cfRule type="expression" dxfId="27" priority="22">
      <formula xml:space="preserve"> $A2&lt;&gt; #REF!</formula>
    </cfRule>
  </conditionalFormatting>
  <conditionalFormatting sqref="AF2">
    <cfRule type="expression" dxfId="26" priority="21">
      <formula xml:space="preserve"> $A2&lt;&gt; #REF!</formula>
    </cfRule>
  </conditionalFormatting>
  <conditionalFormatting sqref="AG2">
    <cfRule type="expression" dxfId="25" priority="20">
      <formula xml:space="preserve"> $A2&lt;&gt; #REF!</formula>
    </cfRule>
  </conditionalFormatting>
  <conditionalFormatting sqref="AG2">
    <cfRule type="expression" dxfId="24" priority="19">
      <formula xml:space="preserve"> $A2&lt;&gt; #REF!</formula>
    </cfRule>
  </conditionalFormatting>
  <conditionalFormatting sqref="AH2">
    <cfRule type="expression" dxfId="23" priority="18">
      <formula xml:space="preserve"> $A2&lt;&gt; #REF!</formula>
    </cfRule>
  </conditionalFormatting>
  <conditionalFormatting sqref="AH2">
    <cfRule type="expression" dxfId="22" priority="17">
      <formula xml:space="preserve"> $A2&lt;&gt; #REF!</formula>
    </cfRule>
  </conditionalFormatting>
  <conditionalFormatting sqref="AI2">
    <cfRule type="expression" dxfId="21" priority="16">
      <formula xml:space="preserve"> $A2&lt;&gt; #REF!</formula>
    </cfRule>
  </conditionalFormatting>
  <conditionalFormatting sqref="AI2">
    <cfRule type="expression" dxfId="20" priority="15">
      <formula xml:space="preserve"> $A2&lt;&gt; #REF!</formula>
    </cfRule>
  </conditionalFormatting>
  <conditionalFormatting sqref="AI1">
    <cfRule type="expression" dxfId="19" priority="14">
      <formula xml:space="preserve"> #REF!&lt;&gt; $A1048576</formula>
    </cfRule>
  </conditionalFormatting>
  <conditionalFormatting sqref="AG1">
    <cfRule type="expression" dxfId="18" priority="13">
      <formula xml:space="preserve"> #REF!&lt;&gt; $A1048576</formula>
    </cfRule>
  </conditionalFormatting>
  <conditionalFormatting sqref="AJ2">
    <cfRule type="expression" dxfId="17" priority="12">
      <formula xml:space="preserve"> $A2&lt;&gt; #REF!</formula>
    </cfRule>
  </conditionalFormatting>
  <conditionalFormatting sqref="AJ2">
    <cfRule type="expression" dxfId="16" priority="11">
      <formula xml:space="preserve"> $A2&lt;&gt; #REF!</formula>
    </cfRule>
  </conditionalFormatting>
  <conditionalFormatting sqref="AJ1">
    <cfRule type="expression" dxfId="15" priority="10">
      <formula xml:space="preserve"> #REF!&lt;&gt; $A1048576</formula>
    </cfRule>
  </conditionalFormatting>
  <conditionalFormatting sqref="R2">
    <cfRule type="expression" dxfId="14" priority="9">
      <formula xml:space="preserve"> $A2&lt;&gt; #REF!</formula>
    </cfRule>
  </conditionalFormatting>
  <conditionalFormatting sqref="R2">
    <cfRule type="expression" dxfId="13" priority="8">
      <formula xml:space="preserve"> $A2&lt;&gt; #REF!</formula>
    </cfRule>
  </conditionalFormatting>
  <conditionalFormatting sqref="X2">
    <cfRule type="expression" dxfId="12" priority="6">
      <formula xml:space="preserve"> $A2&lt;&gt; #REF!</formula>
    </cfRule>
  </conditionalFormatting>
  <conditionalFormatting sqref="AK1">
    <cfRule type="expression" dxfId="11" priority="5">
      <formula xml:space="preserve"> #REF!&lt;&gt; $A1048576</formula>
    </cfRule>
  </conditionalFormatting>
  <conditionalFormatting sqref="AK2">
    <cfRule type="expression" dxfId="10" priority="4">
      <formula xml:space="preserve"> $A2&lt;&gt; #REF!</formula>
    </cfRule>
  </conditionalFormatting>
  <conditionalFormatting sqref="AL1:AO1">
    <cfRule type="expression" dxfId="9" priority="3">
      <formula xml:space="preserve"> #REF!&lt;&gt; $A1048576</formula>
    </cfRule>
  </conditionalFormatting>
  <conditionalFormatting sqref="AL2:AO2">
    <cfRule type="expression" dxfId="8" priority="2">
      <formula xml:space="preserve"> $A2&lt;&gt; #REF!</formula>
    </cfRule>
  </conditionalFormatting>
  <conditionalFormatting sqref="AL2:AO2">
    <cfRule type="expression" dxfId="7" priority="1">
      <formula xml:space="preserve"> $A2&lt;&gt; #REF!</formula>
    </cfRule>
  </conditionalFormatting>
  <dataValidations count="2">
    <dataValidation allowBlank="1" showInputMessage="1" showErrorMessage="1" prompt="Count do Número de Linhas preenchidos, desconsiderando linha de cabeçalho" sqref="A1"/>
    <dataValidation allowBlank="1" showInputMessage="1" showErrorMessage="1" prompt="Preenchido ao Clicar em Criar Ficha_x000a_" sqref="R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POSTA">
    <tabColor theme="5" tint="-0.249977111117893"/>
  </sheetPr>
  <dimension ref="A1:Z504"/>
  <sheetViews>
    <sheetView zoomScaleNormal="100" zoomScaleSheetLayoutView="90"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0" defaultRowHeight="11.25" zeroHeight="1" x14ac:dyDescent="0.2"/>
  <cols>
    <col min="1" max="1" width="11" style="1" customWidth="1"/>
    <col min="2" max="2" width="16.7109375" style="1" customWidth="1"/>
    <col min="3" max="3" width="8.140625" style="1" customWidth="1"/>
    <col min="4" max="4" width="6.140625" style="1" customWidth="1"/>
    <col min="5" max="5" width="6.5703125" style="1" customWidth="1"/>
    <col min="6" max="7" width="11.28515625" style="1" customWidth="1"/>
    <col min="8" max="8" width="6.140625" style="1" customWidth="1"/>
    <col min="9" max="9" width="9.140625" style="1" customWidth="1"/>
    <col min="10" max="11" width="11.7109375" style="1" bestFit="1" customWidth="1"/>
    <col min="12" max="12" width="7.140625" style="1" customWidth="1"/>
    <col min="13" max="13" width="9.140625" style="1" customWidth="1"/>
    <col min="14" max="14" width="9.5703125" style="1" customWidth="1"/>
    <col min="15" max="15" width="18.42578125" style="1" customWidth="1"/>
    <col min="16" max="16" width="17.140625" style="1" customWidth="1"/>
    <col min="17" max="17" width="14.85546875" style="1" customWidth="1"/>
    <col min="18" max="19" width="9.140625" style="1" customWidth="1"/>
    <col min="20" max="20" width="12.140625" style="1" customWidth="1"/>
    <col min="21" max="21" width="9.140625" style="1" customWidth="1"/>
    <col min="22" max="22" width="11.85546875" style="1" customWidth="1"/>
    <col min="23" max="23" width="9.140625" style="1" customWidth="1"/>
    <col min="24" max="24" width="9.5703125" style="1" customWidth="1"/>
    <col min="25" max="25" width="16" style="1" customWidth="1"/>
    <col min="26" max="26" width="13.7109375" style="1" customWidth="1"/>
    <col min="27" max="16384" width="9.140625" style="1" hidden="1"/>
  </cols>
  <sheetData>
    <row r="1" spans="1:26" ht="33.75" x14ac:dyDescent="0.2">
      <c r="A1" s="5">
        <f>COUNTA(B:B) -1</f>
        <v>1</v>
      </c>
      <c r="B1" s="9" t="s">
        <v>49</v>
      </c>
      <c r="C1" s="28" t="s">
        <v>894</v>
      </c>
      <c r="D1" s="7" t="s">
        <v>215</v>
      </c>
      <c r="E1" s="7" t="s">
        <v>216</v>
      </c>
      <c r="F1" s="7" t="s">
        <v>658</v>
      </c>
      <c r="G1" s="7" t="s">
        <v>207</v>
      </c>
      <c r="H1" s="7" t="s">
        <v>217</v>
      </c>
      <c r="I1" s="7" t="s">
        <v>51</v>
      </c>
      <c r="J1" s="7" t="s">
        <v>209</v>
      </c>
      <c r="K1" s="8" t="s">
        <v>54</v>
      </c>
      <c r="L1" s="7" t="s">
        <v>896</v>
      </c>
      <c r="M1" s="7" t="s">
        <v>165</v>
      </c>
      <c r="N1" s="7" t="s">
        <v>897</v>
      </c>
      <c r="O1" s="7" t="s">
        <v>219</v>
      </c>
      <c r="P1" s="7" t="s">
        <v>844</v>
      </c>
      <c r="Q1" s="7" t="s">
        <v>63</v>
      </c>
      <c r="R1" s="7" t="s">
        <v>908</v>
      </c>
      <c r="S1" s="7" t="s">
        <v>909</v>
      </c>
      <c r="T1" s="7" t="s">
        <v>208</v>
      </c>
      <c r="U1" s="7" t="s">
        <v>1054</v>
      </c>
      <c r="V1" s="7" t="s">
        <v>398</v>
      </c>
      <c r="W1" s="7" t="s">
        <v>399</v>
      </c>
      <c r="X1" s="7" t="s">
        <v>898</v>
      </c>
      <c r="Y1" s="7" t="s">
        <v>40</v>
      </c>
      <c r="Z1" s="7" t="s">
        <v>901</v>
      </c>
    </row>
    <row r="2" spans="1:26" x14ac:dyDescent="0.2">
      <c r="A2" s="30" t="s">
        <v>449</v>
      </c>
      <c r="B2" s="2" t="s">
        <v>1113</v>
      </c>
      <c r="C2" s="4" t="str">
        <f>IF($B2="","",  VLOOKUP($B2, Propostas!$B:$BE, 33, FALSE) )</f>
        <v>NÃO</v>
      </c>
      <c r="D2" s="4" t="str">
        <f>IF($B2="","",  VLOOKUP($B2, Propostas!$B:$BE, 34, FALSE) )</f>
        <v>ESTIMATIVA</v>
      </c>
      <c r="E2" s="4" t="str">
        <f>IF($B2="","",  VLOOKUP($B2, Propostas!$B:$BE, 35, FALSE) )</f>
        <v>NÃO</v>
      </c>
      <c r="F2" s="4" t="str">
        <f>IF($B2="","",  VLOOKUP($B2, Propostas!$B:$BE, 2, FALSE) )</f>
        <v>PRJ00027490</v>
      </c>
      <c r="G2" s="4" t="str">
        <f>IF($B2="","",  VLOOKUP($B2, Propostas!$B:$BE, 3, FALSE) )</f>
        <v>ME-17494747</v>
      </c>
      <c r="H2" s="4">
        <f>IF($B2="","",  VLOOKUP($B2, Propostas!$B:$BE, 4, FALSE) )</f>
        <v>1</v>
      </c>
      <c r="I2" s="4" t="str">
        <f>IF($B2="","",  VLOOKUP($B2, Propostas!$B:$BE, 38, FALSE) )</f>
        <v>SERVIÇOS</v>
      </c>
      <c r="J2" s="13" t="str">
        <f>IF($B2="","",IF($C2="SIM", "&lt; INFRRAESTRUTURA &gt;", VLOOKUP($B2,Propostas!$B:$BE,41,FALSE)))</f>
        <v>&lt; A CONTRATAR &gt;</v>
      </c>
      <c r="K2" s="10" t="str">
        <f>IF($B2="","",  VLOOKUP($B2, Propostas!$B:$BE, 40, FALSE) )</f>
        <v>&lt; DEFINIR &gt;</v>
      </c>
      <c r="L2" s="10" t="str">
        <f>IF($B2="","",IF(VLOOKUP($B2,Propostas!$B:$BE,21,FALSE)=1,"B",IF(VLOOKUP($B2,Propostas!$B:$BE,21,FALSE)=2,"E","N")))</f>
        <v>N</v>
      </c>
      <c r="M2" s="31" t="str">
        <f>IF($B2 = "", "",  VLOOKUP($B2, Propostas!$B:$BE, 46, FALSE) )</f>
        <v/>
      </c>
      <c r="N2" s="31" t="str">
        <f>IF($B2 = "", "",  VLOOKUP($B2, Propostas!$B:$BE, 47, FALSE) )</f>
        <v/>
      </c>
      <c r="O2" s="13" t="str">
        <f>IF($B2="","",IF($C2="SIM", "INFRAESTRUTURA", VLOOKUP($B2, Propostas!$B:$BE,42,FALSE)))</f>
        <v>&lt;Não se Aplica&gt;</v>
      </c>
      <c r="P2" s="31" t="str">
        <f>IF($B2 = "", "",  VLOOKUP($B2, Propostas!$B:$BE, 49, FALSE) )</f>
        <v/>
      </c>
      <c r="Q2" s="13" t="str">
        <f>IF($B2="","",  VLOOKUP($B2, Propostas!$B:$BE, 39, FALSE) )</f>
        <v>Oi Móvel S.A.</v>
      </c>
      <c r="R2" s="62">
        <f>IF($B2="","",  VLOOKUP($B2, Propostas!$B:$BE, 43, FALSE) )</f>
        <v>0</v>
      </c>
      <c r="S2" s="62">
        <f>IF($B2="","",  VLOOKUP($B2, Propostas!$B:$BE, 44, FALSE) )</f>
        <v>0</v>
      </c>
      <c r="T2" s="62">
        <f>IF($B2="","",  VLOOKUP($B2, Propostas!$B:$BE, 45, FALSE) )</f>
        <v>5000000</v>
      </c>
      <c r="U2" s="31"/>
      <c r="V2" s="13" t="str">
        <f>IF($B2="","",  VLOOKUP($B2, Propostas!$B:$BE, 50, FALSE) )</f>
        <v/>
      </c>
      <c r="W2" s="13" t="str">
        <f>IF($B2="","",  VLOOKUP($B2, Propostas!$B:$BE, 51, FALSE) )</f>
        <v/>
      </c>
      <c r="X2" s="13" t="str">
        <f>IF($B2="","",  VLOOKUP($B2, Propostas!$B:$BE, 52, FALSE) )</f>
        <v/>
      </c>
      <c r="Y2" s="13" t="str">
        <f>IF($B2="","",  VLOOKUP($B2, Propostas!$B:$BE, 36, FALSE) )</f>
        <v>Macroestimativa</v>
      </c>
      <c r="Z2" s="13" t="str">
        <f>IF($B2="","",  VLOOKUP($F2, VW_PROJETO!B:C, 2, FALSE) )</f>
        <v>PRJ00027489</v>
      </c>
    </row>
    <row r="3" spans="1:26" x14ac:dyDescent="0.2">
      <c r="A3" s="65">
        <f>COUNTIFS(C:C, "NÃO")</f>
        <v>1</v>
      </c>
      <c r="B3" s="2"/>
      <c r="C3" s="4" t="str">
        <f>IF($B3="","",  VLOOKUP($B3, Propostas!$B:$BE, 33, FALSE) )</f>
        <v/>
      </c>
      <c r="D3" s="4" t="str">
        <f>IF($B3="","",  VLOOKUP($B3, Propostas!$B:$BE, 34, FALSE) )</f>
        <v/>
      </c>
      <c r="E3" s="4" t="str">
        <f>IF($B3="","",  VLOOKUP($B3, Propostas!$B:$BE, 35, FALSE) )</f>
        <v/>
      </c>
      <c r="F3" s="4" t="str">
        <f>IF($B3="","",  VLOOKUP($B3, Propostas!$B:$BE, 2, FALSE) )</f>
        <v/>
      </c>
      <c r="G3" s="4" t="str">
        <f>IF($B3="","",  VLOOKUP($B3, Propostas!$B:$BE, 3, FALSE) )</f>
        <v/>
      </c>
      <c r="H3" s="4" t="str">
        <f>IF($B3="","",  VLOOKUP($B3, Propostas!$B:$BE, 4, FALSE) )</f>
        <v/>
      </c>
      <c r="I3" s="4" t="str">
        <f>IF($B3="","",  VLOOKUP($B3, Propostas!$B:$BE, 38, FALSE) )</f>
        <v/>
      </c>
      <c r="J3" s="13" t="str">
        <f>IF($B3="","",IF($C3="SIM", "&lt; INFRRAESTRUTURA &gt;", VLOOKUP($B3,Propostas!$B:$BE,41,FALSE)))</f>
        <v/>
      </c>
      <c r="K3" s="10" t="str">
        <f>IF($B3="","",  VLOOKUP($B3, Propostas!$B:$BE, 40, FALSE) )</f>
        <v/>
      </c>
      <c r="L3" s="10" t="str">
        <f>IF($B3="","",IF(VLOOKUP($B3,Propostas!$B:$BE,21,FALSE)=1,"B",IF(VLOOKUP($B3,Propostas!$B:$BE,21,FALSE)=2,"E","N")))</f>
        <v/>
      </c>
      <c r="M3" s="31" t="str">
        <f>IF($B3 = "", "",  VLOOKUP($B3, Propostas!$B:$BE, 46, FALSE) )</f>
        <v/>
      </c>
      <c r="N3" s="31" t="str">
        <f>IF($B3 = "", "",  VLOOKUP($B3, Propostas!$B:$BE, 47, FALSE) )</f>
        <v/>
      </c>
      <c r="O3" s="13" t="str">
        <f>IF($B3="","",IF($C3="SIM", "INFRAESTRUTURA", VLOOKUP($B3, Propostas!$B:$BE,42,FALSE)))</f>
        <v/>
      </c>
      <c r="P3" s="31" t="str">
        <f>IF($B3 = "", "",  VLOOKUP($B3, Propostas!$B:$BE, 49, FALSE) )</f>
        <v/>
      </c>
      <c r="Q3" s="13" t="str">
        <f>IF($B3="","",  VLOOKUP($B3, Propostas!$B:$BE, 39, FALSE) )</f>
        <v/>
      </c>
      <c r="R3" s="62" t="str">
        <f>IF($B3="","",  VLOOKUP($B3, Propostas!$B:$BE, 43, FALSE) )</f>
        <v/>
      </c>
      <c r="S3" s="62" t="str">
        <f>IF($B3="","",  VLOOKUP($B3, Propostas!$B:$BE, 44, FALSE) )</f>
        <v/>
      </c>
      <c r="T3" s="62" t="str">
        <f>IF($B3="","",  VLOOKUP($B3, Propostas!$B:$BE, 45, FALSE) )</f>
        <v/>
      </c>
      <c r="U3" s="31"/>
      <c r="V3" s="13" t="str">
        <f>IF($B3="","",  VLOOKUP($B3, Propostas!$B:$BE, 50, FALSE) )</f>
        <v/>
      </c>
      <c r="W3" s="13" t="str">
        <f>IF($B3="","",  VLOOKUP($B3, Propostas!$B:$BE, 51, FALSE) )</f>
        <v/>
      </c>
      <c r="X3" s="13" t="str">
        <f>IF($B3="","",  VLOOKUP($B3, Propostas!$B:$BE, 52, FALSE) )</f>
        <v/>
      </c>
      <c r="Y3" s="13" t="str">
        <f>IF($B3="","",  VLOOKUP($B3, Propostas!$B:$BE, 36, FALSE) )</f>
        <v/>
      </c>
      <c r="Z3" s="13" t="str">
        <f>IF($B3="","",  VLOOKUP($F3, VW_PROJETO!B:C, 2, FALSE) )</f>
        <v/>
      </c>
    </row>
    <row r="4" spans="1:26" x14ac:dyDescent="0.2">
      <c r="A4" s="30" t="s">
        <v>441</v>
      </c>
      <c r="B4" s="2"/>
      <c r="C4" s="4" t="str">
        <f>IF($B4="","",  VLOOKUP($B4, Propostas!$B:$BE, 33, FALSE) )</f>
        <v/>
      </c>
      <c r="D4" s="4" t="str">
        <f>IF($B4="","",  VLOOKUP($B4, Propostas!$B:$BE, 34, FALSE) )</f>
        <v/>
      </c>
      <c r="E4" s="4" t="str">
        <f>IF($B4="","",  VLOOKUP($B4, Propostas!$B:$BE, 35, FALSE) )</f>
        <v/>
      </c>
      <c r="F4" s="4" t="str">
        <f>IF($B4="","",  VLOOKUP($B4, Propostas!$B:$BE, 2, FALSE) )</f>
        <v/>
      </c>
      <c r="G4" s="4" t="str">
        <f>IF($B4="","",  VLOOKUP($B4, Propostas!$B:$BE, 3, FALSE) )</f>
        <v/>
      </c>
      <c r="H4" s="4" t="str">
        <f>IF($B4="","",  VLOOKUP($B4, Propostas!$B:$BE, 4, FALSE) )</f>
        <v/>
      </c>
      <c r="I4" s="4" t="str">
        <f>IF($B4="","",  VLOOKUP($B4, Propostas!$B:$BE, 38, FALSE) )</f>
        <v/>
      </c>
      <c r="J4" s="13" t="str">
        <f>IF($B4="","",IF($C4="SIM", "&lt; INFRRAESTRUTURA &gt;", VLOOKUP($B4,Propostas!$B:$BE,41,FALSE)))</f>
        <v/>
      </c>
      <c r="K4" s="10" t="str">
        <f>IF($B4="","",  VLOOKUP($B4, Propostas!$B:$BE, 40, FALSE) )</f>
        <v/>
      </c>
      <c r="L4" s="10" t="str">
        <f>IF($B4="","",IF(VLOOKUP($B4,Propostas!$B:$BE,21,FALSE)=1,"B",IF(VLOOKUP($B4,Propostas!$B:$BE,21,FALSE)=2,"E","N")))</f>
        <v/>
      </c>
      <c r="M4" s="31" t="str">
        <f>IF($B4 = "", "",  VLOOKUP($B4, Propostas!$B:$BE, 46, FALSE) )</f>
        <v/>
      </c>
      <c r="N4" s="31" t="str">
        <f>IF($B4 = "", "",  VLOOKUP($B4, Propostas!$B:$BE, 47, FALSE) )</f>
        <v/>
      </c>
      <c r="O4" s="13" t="str">
        <f>IF($B4="","",IF($C4="SIM", "INFRAESTRUTURA", VLOOKUP($B4, Propostas!$B:$BE,42,FALSE)))</f>
        <v/>
      </c>
      <c r="P4" s="31" t="str">
        <f>IF($B4 = "", "",  VLOOKUP($B4, Propostas!$B:$BE, 49, FALSE) )</f>
        <v/>
      </c>
      <c r="Q4" s="13" t="str">
        <f>IF($B4="","",  VLOOKUP($B4, Propostas!$B:$BE, 39, FALSE) )</f>
        <v/>
      </c>
      <c r="R4" s="62" t="str">
        <f>IF($B4="","",  VLOOKUP($B4, Propostas!$B:$BE, 43, FALSE) )</f>
        <v/>
      </c>
      <c r="S4" s="62" t="str">
        <f>IF($B4="","",  VLOOKUP($B4, Propostas!$B:$BE, 44, FALSE) )</f>
        <v/>
      </c>
      <c r="T4" s="62" t="str">
        <f>IF($B4="","",  VLOOKUP($B4, Propostas!$B:$BE, 45, FALSE) )</f>
        <v/>
      </c>
      <c r="U4" s="31"/>
      <c r="V4" s="13" t="str">
        <f>IF($B4="","",  VLOOKUP($B4, Propostas!$B:$BE, 50, FALSE) )</f>
        <v/>
      </c>
      <c r="W4" s="13" t="str">
        <f>IF($B4="","",  VLOOKUP($B4, Propostas!$B:$BE, 51, FALSE) )</f>
        <v/>
      </c>
      <c r="X4" s="13" t="str">
        <f>IF($B4="","",  VLOOKUP($B4, Propostas!$B:$BE, 52, FALSE) )</f>
        <v/>
      </c>
      <c r="Y4" s="13" t="str">
        <f>IF($B4="","",  VLOOKUP($B4, Propostas!$B:$BE, 36, FALSE) )</f>
        <v/>
      </c>
      <c r="Z4" s="13" t="str">
        <f>IF($B4="","",  VLOOKUP($F4, VW_PROJETO!B:C, 2, FALSE) )</f>
        <v/>
      </c>
    </row>
    <row r="5" spans="1:26" x14ac:dyDescent="0.2">
      <c r="A5" s="65">
        <f>COUNTIFS(C:C, "SIM")</f>
        <v>0</v>
      </c>
      <c r="B5" s="2"/>
      <c r="C5" s="4" t="str">
        <f>IF($B5="","",  VLOOKUP($B5, Propostas!$B:$BE, 33, FALSE) )</f>
        <v/>
      </c>
      <c r="D5" s="4" t="str">
        <f>IF($B5="","",  VLOOKUP($B5, Propostas!$B:$BE, 34, FALSE) )</f>
        <v/>
      </c>
      <c r="E5" s="4" t="str">
        <f>IF($B5="","",  VLOOKUP($B5, Propostas!$B:$BE, 35, FALSE) )</f>
        <v/>
      </c>
      <c r="F5" s="4" t="str">
        <f>IF($B5="","",  VLOOKUP($B5, Propostas!$B:$BE, 2, FALSE) )</f>
        <v/>
      </c>
      <c r="G5" s="4" t="str">
        <f>IF($B5="","",  VLOOKUP($B5, Propostas!$B:$BE, 3, FALSE) )</f>
        <v/>
      </c>
      <c r="H5" s="4" t="str">
        <f>IF($B5="","",  VLOOKUP($B5, Propostas!$B:$BE, 4, FALSE) )</f>
        <v/>
      </c>
      <c r="I5" s="4" t="str">
        <f>IF($B5="","",  VLOOKUP($B5, Propostas!$B:$BE, 38, FALSE) )</f>
        <v/>
      </c>
      <c r="J5" s="13" t="str">
        <f>IF($B5="","",IF($C5="SIM", "&lt; INFRRAESTRUTURA &gt;", VLOOKUP($B5,Propostas!$B:$BE,41,FALSE)))</f>
        <v/>
      </c>
      <c r="K5" s="10" t="str">
        <f>IF($B5="","",  VLOOKUP($B5, Propostas!$B:$BE, 40, FALSE) )</f>
        <v/>
      </c>
      <c r="L5" s="10" t="str">
        <f>IF($B5="","",IF(VLOOKUP($B5,Propostas!$B:$BE,21,FALSE)=1,"B",IF(VLOOKUP($B5,Propostas!$B:$BE,21,FALSE)=2,"E","N")))</f>
        <v/>
      </c>
      <c r="M5" s="31" t="str">
        <f>IF($B5 = "", "",  VLOOKUP($B5, Propostas!$B:$BE, 46, FALSE) )</f>
        <v/>
      </c>
      <c r="N5" s="31" t="str">
        <f>IF($B5 = "", "",  VLOOKUP($B5, Propostas!$B:$BE, 47, FALSE) )</f>
        <v/>
      </c>
      <c r="O5" s="13" t="str">
        <f>IF($B5="","",IF($C5="SIM", "INFRAESTRUTURA", VLOOKUP($B5, Propostas!$B:$BE,42,FALSE)))</f>
        <v/>
      </c>
      <c r="P5" s="31" t="str">
        <f>IF($B5 = "", "",  VLOOKUP($B5, Propostas!$B:$BE, 49, FALSE) )</f>
        <v/>
      </c>
      <c r="Q5" s="13" t="str">
        <f>IF($B5="","",  VLOOKUP($B5, Propostas!$B:$BE, 39, FALSE) )</f>
        <v/>
      </c>
      <c r="R5" s="62" t="str">
        <f>IF($B5="","",  VLOOKUP($B5, Propostas!$B:$BE, 43, FALSE) )</f>
        <v/>
      </c>
      <c r="S5" s="62" t="str">
        <f>IF($B5="","",  VLOOKUP($B5, Propostas!$B:$BE, 44, FALSE) )</f>
        <v/>
      </c>
      <c r="T5" s="62" t="str">
        <f>IF($B5="","",  VLOOKUP($B5, Propostas!$B:$BE, 45, FALSE) )</f>
        <v/>
      </c>
      <c r="U5" s="31"/>
      <c r="V5" s="13" t="str">
        <f>IF($B5="","",  VLOOKUP($B5, Propostas!$B:$BE, 50, FALSE) )</f>
        <v/>
      </c>
      <c r="W5" s="13" t="str">
        <f>IF($B5="","",  VLOOKUP($B5, Propostas!$B:$BE, 51, FALSE) )</f>
        <v/>
      </c>
      <c r="X5" s="13" t="str">
        <f>IF($B5="","",  VLOOKUP($B5, Propostas!$B:$BE, 52, FALSE) )</f>
        <v/>
      </c>
      <c r="Y5" s="13" t="str">
        <f>IF($B5="","",  VLOOKUP($B5, Propostas!$B:$BE, 36, FALSE) )</f>
        <v/>
      </c>
      <c r="Z5" s="13" t="str">
        <f>IF($B5="","",  VLOOKUP($F5, VW_PROJETO!B:C, 2, FALSE) )</f>
        <v/>
      </c>
    </row>
    <row r="6" spans="1:26" x14ac:dyDescent="0.2">
      <c r="A6" s="30" t="s">
        <v>50</v>
      </c>
      <c r="B6" s="2"/>
      <c r="C6" s="4" t="str">
        <f>IF($B6="","",  VLOOKUP($B6, Propostas!$B:$BE, 33, FALSE) )</f>
        <v/>
      </c>
      <c r="D6" s="4" t="str">
        <f>IF($B6="","",  VLOOKUP($B6, Propostas!$B:$BE, 34, FALSE) )</f>
        <v/>
      </c>
      <c r="E6" s="4" t="str">
        <f>IF($B6="","",  VLOOKUP($B6, Propostas!$B:$BE, 35, FALSE) )</f>
        <v/>
      </c>
      <c r="F6" s="4" t="str">
        <f>IF($B6="","",  VLOOKUP($B6, Propostas!$B:$BE, 2, FALSE) )</f>
        <v/>
      </c>
      <c r="G6" s="4" t="str">
        <f>IF($B6="","",  VLOOKUP($B6, Propostas!$B:$BE, 3, FALSE) )</f>
        <v/>
      </c>
      <c r="H6" s="4" t="str">
        <f>IF($B6="","",  VLOOKUP($B6, Propostas!$B:$BE, 4, FALSE) )</f>
        <v/>
      </c>
      <c r="I6" s="4" t="str">
        <f>IF($B6="","",  VLOOKUP($B6, Propostas!$B:$BE, 38, FALSE) )</f>
        <v/>
      </c>
      <c r="J6" s="13" t="str">
        <f>IF($B6="","",IF($C6="SIM", "&lt; INFRRAESTRUTURA &gt;", VLOOKUP($B6,Propostas!$B:$BE,41,FALSE)))</f>
        <v/>
      </c>
      <c r="K6" s="10" t="str">
        <f>IF($B6="","",  VLOOKUP($B6, Propostas!$B:$BE, 40, FALSE) )</f>
        <v/>
      </c>
      <c r="L6" s="10" t="str">
        <f>IF($B6="","",IF(VLOOKUP($B6,Propostas!$B:$BE,21,FALSE)=1,"B",IF(VLOOKUP($B6,Propostas!$B:$BE,21,FALSE)=2,"E","N")))</f>
        <v/>
      </c>
      <c r="M6" s="31" t="str">
        <f>IF($B6 = "", "",  VLOOKUP($B6, Propostas!$B:$BE, 46, FALSE) )</f>
        <v/>
      </c>
      <c r="N6" s="31" t="str">
        <f>IF($B6 = "", "",  VLOOKUP($B6, Propostas!$B:$BE, 47, FALSE) )</f>
        <v/>
      </c>
      <c r="O6" s="13" t="str">
        <f>IF($B6="","",IF($C6="SIM", "INFRAESTRUTURA", VLOOKUP($B6, Propostas!$B:$BE,42,FALSE)))</f>
        <v/>
      </c>
      <c r="P6" s="31" t="str">
        <f>IF($B6 = "", "",  VLOOKUP($B6, Propostas!$B:$BE, 49, FALSE) )</f>
        <v/>
      </c>
      <c r="Q6" s="13" t="str">
        <f>IF($B6="","",  VLOOKUP($B6, Propostas!$B:$BE, 39, FALSE) )</f>
        <v/>
      </c>
      <c r="R6" s="62" t="str">
        <f>IF($B6="","",  VLOOKUP($B6, Propostas!$B:$BE, 43, FALSE) )</f>
        <v/>
      </c>
      <c r="S6" s="62" t="str">
        <f>IF($B6="","",  VLOOKUP($B6, Propostas!$B:$BE, 44, FALSE) )</f>
        <v/>
      </c>
      <c r="T6" s="62" t="str">
        <f>IF($B6="","",  VLOOKUP($B6, Propostas!$B:$BE, 45, FALSE) )</f>
        <v/>
      </c>
      <c r="U6" s="31"/>
      <c r="V6" s="13" t="str">
        <f>IF($B6="","",  VLOOKUP($B6, Propostas!$B:$BE, 50, FALSE) )</f>
        <v/>
      </c>
      <c r="W6" s="13" t="str">
        <f>IF($B6="","",  VLOOKUP($B6, Propostas!$B:$BE, 51, FALSE) )</f>
        <v/>
      </c>
      <c r="X6" s="13" t="str">
        <f>IF($B6="","",  VLOOKUP($B6, Propostas!$B:$BE, 52, FALSE) )</f>
        <v/>
      </c>
      <c r="Y6" s="13" t="str">
        <f>IF($B6="","",  VLOOKUP($B6, Propostas!$B:$BE, 36, FALSE) )</f>
        <v/>
      </c>
      <c r="Z6" s="13" t="str">
        <f>IF($B6="","",  VLOOKUP($F6, VW_PROJETO!B:C, 2, FALSE) )</f>
        <v/>
      </c>
    </row>
    <row r="7" spans="1:26" ht="11.25" customHeight="1" x14ac:dyDescent="0.2">
      <c r="A7" s="65">
        <f>COUNTA(Defesa!$C$7:$C$29)</f>
        <v>1</v>
      </c>
      <c r="B7" s="2"/>
      <c r="C7" s="4" t="str">
        <f>IF($B7="","",  VLOOKUP($B7, Propostas!$B:$BE, 33, FALSE) )</f>
        <v/>
      </c>
      <c r="D7" s="4" t="str">
        <f>IF($B7="","",  VLOOKUP($B7, Propostas!$B:$BE, 34, FALSE) )</f>
        <v/>
      </c>
      <c r="E7" s="4" t="str">
        <f>IF($B7="","",  VLOOKUP($B7, Propostas!$B:$BE, 35, FALSE) )</f>
        <v/>
      </c>
      <c r="F7" s="4" t="str">
        <f>IF($B7="","",  VLOOKUP($B7, Propostas!$B:$BE, 2, FALSE) )</f>
        <v/>
      </c>
      <c r="G7" s="4" t="str">
        <f>IF($B7="","",  VLOOKUP($B7, Propostas!$B:$BE, 3, FALSE) )</f>
        <v/>
      </c>
      <c r="H7" s="4" t="str">
        <f>IF($B7="","",  VLOOKUP($B7, Propostas!$B:$BE, 4, FALSE) )</f>
        <v/>
      </c>
      <c r="I7" s="4" t="str">
        <f>IF($B7="","",  VLOOKUP($B7, Propostas!$B:$BE, 38, FALSE) )</f>
        <v/>
      </c>
      <c r="J7" s="13" t="str">
        <f>IF($B7="","",IF($C7="SIM", "&lt; INFRRAESTRUTURA &gt;", VLOOKUP($B7,Propostas!$B:$BE,41,FALSE)))</f>
        <v/>
      </c>
      <c r="K7" s="10" t="str">
        <f>IF($B7="","",  VLOOKUP($B7, Propostas!$B:$BE, 40, FALSE) )</f>
        <v/>
      </c>
      <c r="L7" s="10" t="str">
        <f>IF($B7="","",IF(VLOOKUP($B7,Propostas!$B:$BE,21,FALSE)=1,"B",IF(VLOOKUP($B7,Propostas!$B:$BE,21,FALSE)=2,"E","N")))</f>
        <v/>
      </c>
      <c r="M7" s="31" t="str">
        <f>IF($B7 = "", "",  VLOOKUP($B7, Propostas!$B:$BE, 46, FALSE) )</f>
        <v/>
      </c>
      <c r="N7" s="31" t="str">
        <f>IF($B7 = "", "",  VLOOKUP($B7, Propostas!$B:$BE, 47, FALSE) )</f>
        <v/>
      </c>
      <c r="O7" s="13" t="str">
        <f>IF($B7="","",IF($C7="SIM", "INFRAESTRUTURA", VLOOKUP($B7, Propostas!$B:$BE,42,FALSE)))</f>
        <v/>
      </c>
      <c r="P7" s="31" t="str">
        <f>IF($B7 = "", "",  VLOOKUP($B7, Propostas!$B:$BE, 49, FALSE) )</f>
        <v/>
      </c>
      <c r="Q7" s="13" t="str">
        <f>IF($B7="","",  VLOOKUP($B7, Propostas!$B:$BE, 39, FALSE) )</f>
        <v/>
      </c>
      <c r="R7" s="62" t="str">
        <f>IF($B7="","",  VLOOKUP($B7, Propostas!$B:$BE, 43, FALSE) )</f>
        <v/>
      </c>
      <c r="S7" s="62" t="str">
        <f>IF($B7="","",  VLOOKUP($B7, Propostas!$B:$BE, 44, FALSE) )</f>
        <v/>
      </c>
      <c r="T7" s="62" t="str">
        <f>IF($B7="","",  VLOOKUP($B7, Propostas!$B:$BE, 45, FALSE) )</f>
        <v/>
      </c>
      <c r="U7" s="31"/>
      <c r="V7" s="13" t="str">
        <f>IF($B7="","",  VLOOKUP($B7, Propostas!$B:$BE, 50, FALSE) )</f>
        <v/>
      </c>
      <c r="W7" s="13" t="str">
        <f>IF($B7="","",  VLOOKUP($B7, Propostas!$B:$BE, 51, FALSE) )</f>
        <v/>
      </c>
      <c r="X7" s="13" t="str">
        <f>IF($B7="","",  VLOOKUP($B7, Propostas!$B:$BE, 52, FALSE) )</f>
        <v/>
      </c>
      <c r="Y7" s="13" t="str">
        <f>IF($B7="","",  VLOOKUP($B7, Propostas!$B:$BE, 36, FALSE) )</f>
        <v/>
      </c>
      <c r="Z7" s="13" t="str">
        <f>IF($B7="","",  VLOOKUP($F7, VW_PROJETO!B:C, 2, FALSE) )</f>
        <v/>
      </c>
    </row>
    <row r="8" spans="1:26" x14ac:dyDescent="0.2">
      <c r="A8" s="30" t="s">
        <v>904</v>
      </c>
      <c r="B8" s="2"/>
      <c r="C8" s="4" t="str">
        <f>IF($B8="","",  VLOOKUP($B8, Propostas!$B:$BE, 33, FALSE) )</f>
        <v/>
      </c>
      <c r="D8" s="4" t="str">
        <f>IF($B8="","",  VLOOKUP($B8, Propostas!$B:$BE, 34, FALSE) )</f>
        <v/>
      </c>
      <c r="E8" s="4" t="str">
        <f>IF($B8="","",  VLOOKUP($B8, Propostas!$B:$BE, 35, FALSE) )</f>
        <v/>
      </c>
      <c r="F8" s="4" t="str">
        <f>IF($B8="","",  VLOOKUP($B8, Propostas!$B:$BE, 2, FALSE) )</f>
        <v/>
      </c>
      <c r="G8" s="4" t="str">
        <f>IF($B8="","",  VLOOKUP($B8, Propostas!$B:$BE, 3, FALSE) )</f>
        <v/>
      </c>
      <c r="H8" s="4" t="str">
        <f>IF($B8="","",  VLOOKUP($B8, Propostas!$B:$BE, 4, FALSE) )</f>
        <v/>
      </c>
      <c r="I8" s="4" t="str">
        <f>IF($B8="","",  VLOOKUP($B8, Propostas!$B:$BE, 38, FALSE) )</f>
        <v/>
      </c>
      <c r="J8" s="13" t="str">
        <f>IF($B8="","",IF($C8="SIM", "&lt; INFRRAESTRUTURA &gt;", VLOOKUP($B8,Propostas!$B:$BE,41,FALSE)))</f>
        <v/>
      </c>
      <c r="K8" s="10" t="str">
        <f>IF($B8="","",  VLOOKUP($B8, Propostas!$B:$BE, 40, FALSE) )</f>
        <v/>
      </c>
      <c r="L8" s="10" t="str">
        <f>IF($B8="","",IF(VLOOKUP($B8,Propostas!$B:$BE,21,FALSE)=1,"B",IF(VLOOKUP($B8,Propostas!$B:$BE,21,FALSE)=2,"E","N")))</f>
        <v/>
      </c>
      <c r="M8" s="31" t="str">
        <f>IF($B8 = "", "",  VLOOKUP($B8, Propostas!$B:$BE, 46, FALSE) )</f>
        <v/>
      </c>
      <c r="N8" s="31" t="str">
        <f>IF($B8 = "", "",  VLOOKUP($B8, Propostas!$B:$BE, 47, FALSE) )</f>
        <v/>
      </c>
      <c r="O8" s="13" t="str">
        <f>IF($B8="","",IF($C8="SIM", "INFRAESTRUTURA", VLOOKUP($B8, Propostas!$B:$BE,42,FALSE)))</f>
        <v/>
      </c>
      <c r="P8" s="31" t="str">
        <f>IF($B8 = "", "",  VLOOKUP($B8, Propostas!$B:$BE, 49, FALSE) )</f>
        <v/>
      </c>
      <c r="Q8" s="13" t="str">
        <f>IF($B8="","",  VLOOKUP($B8, Propostas!$B:$BE, 39, FALSE) )</f>
        <v/>
      </c>
      <c r="R8" s="62" t="str">
        <f>IF($B8="","",  VLOOKUP($B8, Propostas!$B:$BE, 43, FALSE) )</f>
        <v/>
      </c>
      <c r="S8" s="62" t="str">
        <f>IF($B8="","",  VLOOKUP($B8, Propostas!$B:$BE, 44, FALSE) )</f>
        <v/>
      </c>
      <c r="T8" s="62" t="str">
        <f>IF($B8="","",  VLOOKUP($B8, Propostas!$B:$BE, 45, FALSE) )</f>
        <v/>
      </c>
      <c r="U8" s="31"/>
      <c r="V8" s="13" t="str">
        <f>IF($B8="","",  VLOOKUP($B8, Propostas!$B:$BE, 50, FALSE) )</f>
        <v/>
      </c>
      <c r="W8" s="13" t="str">
        <f>IF($B8="","",  VLOOKUP($B8, Propostas!$B:$BE, 51, FALSE) )</f>
        <v/>
      </c>
      <c r="X8" s="13" t="str">
        <f>IF($B8="","",  VLOOKUP($B8, Propostas!$B:$BE, 52, FALSE) )</f>
        <v/>
      </c>
      <c r="Y8" s="13" t="str">
        <f>IF($B8="","",  VLOOKUP($B8, Propostas!$B:$BE, 36, FALSE) )</f>
        <v/>
      </c>
      <c r="Z8" s="13" t="str">
        <f>IF($B8="","",  VLOOKUP($F8, VW_PROJETO!B:C, 2, FALSE) )</f>
        <v/>
      </c>
    </row>
    <row r="9" spans="1:26" x14ac:dyDescent="0.2">
      <c r="A9" s="66">
        <f>SUMIFS(T:T,C:C, "NÃO")</f>
        <v>5000000</v>
      </c>
      <c r="B9" s="2"/>
      <c r="C9" s="4" t="str">
        <f>IF($B9="","",  VLOOKUP($B9, Propostas!$B:$BE, 33, FALSE) )</f>
        <v/>
      </c>
      <c r="D9" s="4" t="str">
        <f>IF($B9="","",  VLOOKUP($B9, Propostas!$B:$BE, 34, FALSE) )</f>
        <v/>
      </c>
      <c r="E9" s="4" t="str">
        <f>IF($B9="","",  VLOOKUP($B9, Propostas!$B:$BE, 35, FALSE) )</f>
        <v/>
      </c>
      <c r="F9" s="4" t="str">
        <f>IF($B9="","",  VLOOKUP($B9, Propostas!$B:$BE, 2, FALSE) )</f>
        <v/>
      </c>
      <c r="G9" s="4" t="str">
        <f>IF($B9="","",  VLOOKUP($B9, Propostas!$B:$BE, 3, FALSE) )</f>
        <v/>
      </c>
      <c r="H9" s="4" t="str">
        <f>IF($B9="","",  VLOOKUP($B9, Propostas!$B:$BE, 4, FALSE) )</f>
        <v/>
      </c>
      <c r="I9" s="4" t="str">
        <f>IF($B9="","",  VLOOKUP($B9, Propostas!$B:$BE, 38, FALSE) )</f>
        <v/>
      </c>
      <c r="J9" s="13" t="str">
        <f>IF($B9="","",IF($C9="SIM", "&lt; INFRRAESTRUTURA &gt;", VLOOKUP($B9,Propostas!$B:$BE,41,FALSE)))</f>
        <v/>
      </c>
      <c r="K9" s="10" t="str">
        <f>IF($B9="","",  VLOOKUP($B9, Propostas!$B:$BE, 40, FALSE) )</f>
        <v/>
      </c>
      <c r="L9" s="10" t="str">
        <f>IF($B9="","",IF(VLOOKUP($B9,Propostas!$B:$BE,21,FALSE)=1,"B",IF(VLOOKUP($B9,Propostas!$B:$BE,21,FALSE)=2,"E","N")))</f>
        <v/>
      </c>
      <c r="M9" s="31" t="str">
        <f>IF($B9 = "", "",  VLOOKUP($B9, Propostas!$B:$BE, 46, FALSE) )</f>
        <v/>
      </c>
      <c r="N9" s="31" t="str">
        <f>IF($B9 = "", "",  VLOOKUP($B9, Propostas!$B:$BE, 47, FALSE) )</f>
        <v/>
      </c>
      <c r="O9" s="13" t="str">
        <f>IF($B9="","",IF($C9="SIM", "INFRAESTRUTURA", VLOOKUP($B9, Propostas!$B:$BE,42,FALSE)))</f>
        <v/>
      </c>
      <c r="P9" s="31" t="str">
        <f>IF($B9 = "", "",  VLOOKUP($B9, Propostas!$B:$BE, 49, FALSE) )</f>
        <v/>
      </c>
      <c r="Q9" s="13" t="str">
        <f>IF($B9="","",  VLOOKUP($B9, Propostas!$B:$BE, 39, FALSE) )</f>
        <v/>
      </c>
      <c r="R9" s="62" t="str">
        <f>IF($B9="","",  VLOOKUP($B9, Propostas!$B:$BE, 43, FALSE) )</f>
        <v/>
      </c>
      <c r="S9" s="62" t="str">
        <f>IF($B9="","",  VLOOKUP($B9, Propostas!$B:$BE, 44, FALSE) )</f>
        <v/>
      </c>
      <c r="T9" s="62" t="str">
        <f>IF($B9="","",  VLOOKUP($B9, Propostas!$B:$BE, 45, FALSE) )</f>
        <v/>
      </c>
      <c r="U9" s="31"/>
      <c r="V9" s="13" t="str">
        <f>IF($B9="","",  VLOOKUP($B9, Propostas!$B:$BE, 50, FALSE) )</f>
        <v/>
      </c>
      <c r="W9" s="13" t="str">
        <f>IF($B9="","",  VLOOKUP($B9, Propostas!$B:$BE, 51, FALSE) )</f>
        <v/>
      </c>
      <c r="X9" s="13" t="str">
        <f>IF($B9="","",  VLOOKUP($B9, Propostas!$B:$BE, 52, FALSE) )</f>
        <v/>
      </c>
      <c r="Y9" s="13" t="str">
        <f>IF($B9="","",  VLOOKUP($B9, Propostas!$B:$BE, 36, FALSE) )</f>
        <v/>
      </c>
      <c r="Z9" s="13" t="str">
        <f>IF($B9="","",  VLOOKUP($F9, VW_PROJETO!B:C, 2, FALSE) )</f>
        <v/>
      </c>
    </row>
    <row r="10" spans="1:26" x14ac:dyDescent="0.2">
      <c r="A10" s="30" t="s">
        <v>905</v>
      </c>
      <c r="B10" s="2"/>
      <c r="C10" s="4" t="str">
        <f>IF($B10="","",  VLOOKUP($B10, Propostas!$B:$BE, 33, FALSE) )</f>
        <v/>
      </c>
      <c r="D10" s="4" t="str">
        <f>IF($B10="","",  VLOOKUP($B10, Propostas!$B:$BE, 34, FALSE) )</f>
        <v/>
      </c>
      <c r="E10" s="4" t="str">
        <f>IF($B10="","",  VLOOKUP($B10, Propostas!$B:$BE, 35, FALSE) )</f>
        <v/>
      </c>
      <c r="F10" s="4" t="str">
        <f>IF($B10="","",  VLOOKUP($B10, Propostas!$B:$BE, 2, FALSE) )</f>
        <v/>
      </c>
      <c r="G10" s="4" t="str">
        <f>IF($B10="","",  VLOOKUP($B10, Propostas!$B:$BE, 3, FALSE) )</f>
        <v/>
      </c>
      <c r="H10" s="4" t="str">
        <f>IF($B10="","",  VLOOKUP($B10, Propostas!$B:$BE, 4, FALSE) )</f>
        <v/>
      </c>
      <c r="I10" s="4" t="str">
        <f>IF($B10="","",  VLOOKUP($B10, Propostas!$B:$BE, 38, FALSE) )</f>
        <v/>
      </c>
      <c r="J10" s="13" t="str">
        <f>IF($B10="","",IF($C10="SIM", "&lt; INFRRAESTRUTURA &gt;", VLOOKUP($B10,Propostas!$B:$BE,41,FALSE)))</f>
        <v/>
      </c>
      <c r="K10" s="10" t="str">
        <f>IF($B10="","",  VLOOKUP($B10, Propostas!$B:$BE, 40, FALSE) )</f>
        <v/>
      </c>
      <c r="L10" s="10" t="str">
        <f>IF($B10="","",IF(VLOOKUP($B10,Propostas!$B:$BE,21,FALSE)=1,"B",IF(VLOOKUP($B10,Propostas!$B:$BE,21,FALSE)=2,"E","N")))</f>
        <v/>
      </c>
      <c r="M10" s="31" t="str">
        <f>IF($B10 = "", "",  VLOOKUP($B10, Propostas!$B:$BE, 46, FALSE) )</f>
        <v/>
      </c>
      <c r="N10" s="31" t="str">
        <f>IF($B10 = "", "",  VLOOKUP($B10, Propostas!$B:$BE, 47, FALSE) )</f>
        <v/>
      </c>
      <c r="O10" s="13" t="str">
        <f>IF($B10="","",IF($C10="SIM", "INFRAESTRUTURA", VLOOKUP($B10, Propostas!$B:$BE,42,FALSE)))</f>
        <v/>
      </c>
      <c r="P10" s="31" t="str">
        <f>IF($B10 = "", "",  VLOOKUP($B10, Propostas!$B:$BE, 49, FALSE) )</f>
        <v/>
      </c>
      <c r="Q10" s="13" t="str">
        <f>IF($B10="","",  VLOOKUP($B10, Propostas!$B:$BE, 39, FALSE) )</f>
        <v/>
      </c>
      <c r="R10" s="62" t="str">
        <f>IF($B10="","",  VLOOKUP($B10, Propostas!$B:$BE, 43, FALSE) )</f>
        <v/>
      </c>
      <c r="S10" s="62" t="str">
        <f>IF($B10="","",  VLOOKUP($B10, Propostas!$B:$BE, 44, FALSE) )</f>
        <v/>
      </c>
      <c r="T10" s="62" t="str">
        <f>IF($B10="","",  VLOOKUP($B10, Propostas!$B:$BE, 45, FALSE) )</f>
        <v/>
      </c>
      <c r="U10" s="31"/>
      <c r="V10" s="13" t="str">
        <f>IF($B10="","",  VLOOKUP($B10, Propostas!$B:$BE, 50, FALSE) )</f>
        <v/>
      </c>
      <c r="W10" s="13" t="str">
        <f>IF($B10="","",  VLOOKUP($B10, Propostas!$B:$BE, 51, FALSE) )</f>
        <v/>
      </c>
      <c r="X10" s="13" t="str">
        <f>IF($B10="","",  VLOOKUP($B10, Propostas!$B:$BE, 52, FALSE) )</f>
        <v/>
      </c>
      <c r="Y10" s="13" t="str">
        <f>IF($B10="","",  VLOOKUP($B10, Propostas!$B:$BE, 36, FALSE) )</f>
        <v/>
      </c>
      <c r="Z10" s="13" t="str">
        <f>IF($B10="","",  VLOOKUP($F10, VW_PROJETO!B:C, 2, FALSE) )</f>
        <v/>
      </c>
    </row>
    <row r="11" spans="1:26" x14ac:dyDescent="0.2">
      <c r="A11" s="66">
        <f>SUMIFS(T:T,C:C, "SIM")</f>
        <v>0</v>
      </c>
      <c r="B11" s="2"/>
      <c r="C11" s="4" t="str">
        <f>IF($B11="","",  VLOOKUP($B11, Propostas!$B:$BE, 33, FALSE) )</f>
        <v/>
      </c>
      <c r="D11" s="4" t="str">
        <f>IF($B11="","",  VLOOKUP($B11, Propostas!$B:$BE, 34, FALSE) )</f>
        <v/>
      </c>
      <c r="E11" s="4" t="str">
        <f>IF($B11="","",  VLOOKUP($B11, Propostas!$B:$BE, 35, FALSE) )</f>
        <v/>
      </c>
      <c r="F11" s="4" t="str">
        <f>IF($B11="","",  VLOOKUP($B11, Propostas!$B:$BE, 2, FALSE) )</f>
        <v/>
      </c>
      <c r="G11" s="4" t="str">
        <f>IF($B11="","",  VLOOKUP($B11, Propostas!$B:$BE, 3, FALSE) )</f>
        <v/>
      </c>
      <c r="H11" s="4" t="str">
        <f>IF($B11="","",  VLOOKUP($B11, Propostas!$B:$BE, 4, FALSE) )</f>
        <v/>
      </c>
      <c r="I11" s="4" t="str">
        <f>IF($B11="","",  VLOOKUP($B11, Propostas!$B:$BE, 38, FALSE) )</f>
        <v/>
      </c>
      <c r="J11" s="13" t="str">
        <f>IF($B11="","",IF($C11="SIM", "&lt; INFRRAESTRUTURA &gt;", VLOOKUP($B11,Propostas!$B:$BE,41,FALSE)))</f>
        <v/>
      </c>
      <c r="K11" s="10" t="str">
        <f>IF($B11="","",  VLOOKUP($B11, Propostas!$B:$BE, 40, FALSE) )</f>
        <v/>
      </c>
      <c r="L11" s="10" t="str">
        <f>IF($B11="","",IF(VLOOKUP($B11,Propostas!$B:$BE,21,FALSE)=1,"B",IF(VLOOKUP($B11,Propostas!$B:$BE,21,FALSE)=2,"E","N")))</f>
        <v/>
      </c>
      <c r="M11" s="31" t="str">
        <f>IF($B11 = "", "",  VLOOKUP($B11, Propostas!$B:$BE, 46, FALSE) )</f>
        <v/>
      </c>
      <c r="N11" s="31" t="str">
        <f>IF($B11 = "", "",  VLOOKUP($B11, Propostas!$B:$BE, 47, FALSE) )</f>
        <v/>
      </c>
      <c r="O11" s="13" t="str">
        <f>IF($B11="","",IF($C11="SIM", "INFRAESTRUTURA", VLOOKUP($B11, Propostas!$B:$BE,42,FALSE)))</f>
        <v/>
      </c>
      <c r="P11" s="31" t="str">
        <f>IF($B11 = "", "",  VLOOKUP($B11, Propostas!$B:$BE, 49, FALSE) )</f>
        <v/>
      </c>
      <c r="Q11" s="13" t="str">
        <f>IF($B11="","",  VLOOKUP($B11, Propostas!$B:$BE, 39, FALSE) )</f>
        <v/>
      </c>
      <c r="R11" s="62" t="str">
        <f>IF($B11="","",  VLOOKUP($B11, Propostas!$B:$BE, 43, FALSE) )</f>
        <v/>
      </c>
      <c r="S11" s="62" t="str">
        <f>IF($B11="","",  VLOOKUP($B11, Propostas!$B:$BE, 44, FALSE) )</f>
        <v/>
      </c>
      <c r="T11" s="62" t="str">
        <f>IF($B11="","",  VLOOKUP($B11, Propostas!$B:$BE, 45, FALSE) )</f>
        <v/>
      </c>
      <c r="U11" s="31"/>
      <c r="V11" s="13" t="str">
        <f>IF($B11="","",  VLOOKUP($B11, Propostas!$B:$BE, 50, FALSE) )</f>
        <v/>
      </c>
      <c r="W11" s="13" t="str">
        <f>IF($B11="","",  VLOOKUP($B11, Propostas!$B:$BE, 51, FALSE) )</f>
        <v/>
      </c>
      <c r="X11" s="13" t="str">
        <f>IF($B11="","",  VLOOKUP($B11, Propostas!$B:$BE, 52, FALSE) )</f>
        <v/>
      </c>
      <c r="Y11" s="13" t="str">
        <f>IF($B11="","",  VLOOKUP($B11, Propostas!$B:$BE, 36, FALSE) )</f>
        <v/>
      </c>
      <c r="Z11" s="13" t="str">
        <f>IF($B11="","",  VLOOKUP($F11, VW_PROJETO!B:C, 2, FALSE) )</f>
        <v/>
      </c>
    </row>
    <row r="12" spans="1:26" x14ac:dyDescent="0.2">
      <c r="A12" s="30" t="s">
        <v>907</v>
      </c>
      <c r="B12" s="2"/>
      <c r="C12" s="4" t="str">
        <f>IF($B12="","",  VLOOKUP($B12, Propostas!$B:$BE, 33, FALSE) )</f>
        <v/>
      </c>
      <c r="D12" s="4" t="str">
        <f>IF($B12="","",  VLOOKUP($B12, Propostas!$B:$BE, 34, FALSE) )</f>
        <v/>
      </c>
      <c r="E12" s="4" t="str">
        <f>IF($B12="","",  VLOOKUP($B12, Propostas!$B:$BE, 35, FALSE) )</f>
        <v/>
      </c>
      <c r="F12" s="4" t="str">
        <f>IF($B12="","",  VLOOKUP($B12, Propostas!$B:$BE, 2, FALSE) )</f>
        <v/>
      </c>
      <c r="G12" s="4" t="str">
        <f>IF($B12="","",  VLOOKUP($B12, Propostas!$B:$BE, 3, FALSE) )</f>
        <v/>
      </c>
      <c r="H12" s="4" t="str">
        <f>IF($B12="","",  VLOOKUP($B12, Propostas!$B:$BE, 4, FALSE) )</f>
        <v/>
      </c>
      <c r="I12" s="4" t="str">
        <f>IF($B12="","",  VLOOKUP($B12, Propostas!$B:$BE, 38, FALSE) )</f>
        <v/>
      </c>
      <c r="J12" s="13" t="str">
        <f>IF($B12="","",IF($C12="SIM", "&lt; INFRRAESTRUTURA &gt;", VLOOKUP($B12,Propostas!$B:$BE,41,FALSE)))</f>
        <v/>
      </c>
      <c r="K12" s="10" t="str">
        <f>IF($B12="","",  VLOOKUP($B12, Propostas!$B:$BE, 40, FALSE) )</f>
        <v/>
      </c>
      <c r="L12" s="10" t="str">
        <f>IF($B12="","",IF(VLOOKUP($B12,Propostas!$B:$BE,21,FALSE)=1,"B",IF(VLOOKUP($B12,Propostas!$B:$BE,21,FALSE)=2,"E","N")))</f>
        <v/>
      </c>
      <c r="M12" s="31" t="str">
        <f>IF($B12 = "", "",  VLOOKUP($B12, Propostas!$B:$BE, 46, FALSE) )</f>
        <v/>
      </c>
      <c r="N12" s="31" t="str">
        <f>IF($B12 = "", "",  VLOOKUP($B12, Propostas!$B:$BE, 47, FALSE) )</f>
        <v/>
      </c>
      <c r="O12" s="13" t="str">
        <f>IF($B12="","",IF($C12="SIM", "INFRAESTRUTURA", VLOOKUP($B12, Propostas!$B:$BE,42,FALSE)))</f>
        <v/>
      </c>
      <c r="P12" s="31" t="str">
        <f>IF($B12 = "", "",  VLOOKUP($B12, Propostas!$B:$BE, 49, FALSE) )</f>
        <v/>
      </c>
      <c r="Q12" s="13" t="str">
        <f>IF($B12="","",  VLOOKUP($B12, Propostas!$B:$BE, 39, FALSE) )</f>
        <v/>
      </c>
      <c r="R12" s="62" t="str">
        <f>IF($B12="","",  VLOOKUP($B12, Propostas!$B:$BE, 43, FALSE) )</f>
        <v/>
      </c>
      <c r="S12" s="62" t="str">
        <f>IF($B12="","",  VLOOKUP($B12, Propostas!$B:$BE, 44, FALSE) )</f>
        <v/>
      </c>
      <c r="T12" s="62" t="str">
        <f>IF($B12="","",  VLOOKUP($B12, Propostas!$B:$BE, 45, FALSE) )</f>
        <v/>
      </c>
      <c r="U12" s="31"/>
      <c r="V12" s="13" t="str">
        <f>IF($B12="","",  VLOOKUP($B12, Propostas!$B:$BE, 50, FALSE) )</f>
        <v/>
      </c>
      <c r="W12" s="13" t="str">
        <f>IF($B12="","",  VLOOKUP($B12, Propostas!$B:$BE, 51, FALSE) )</f>
        <v/>
      </c>
      <c r="X12" s="13" t="str">
        <f>IF($B12="","",  VLOOKUP($B12, Propostas!$B:$BE, 52, FALSE) )</f>
        <v/>
      </c>
      <c r="Y12" s="13" t="str">
        <f>IF($B12="","",  VLOOKUP($B12, Propostas!$B:$BE, 36, FALSE) )</f>
        <v/>
      </c>
      <c r="Z12" s="13" t="str">
        <f>IF($B12="","",  VLOOKUP($F12, VW_PROJETO!B:C, 2, FALSE) )</f>
        <v/>
      </c>
    </row>
    <row r="13" spans="1:26" x14ac:dyDescent="0.2">
      <c r="A13" s="66">
        <f>SUMIFS(R:R,C:C, "Não")</f>
        <v>0</v>
      </c>
      <c r="B13" s="2"/>
      <c r="C13" s="4" t="str">
        <f>IF($B13="","",  VLOOKUP($B13, Propostas!$B:$BE, 33, FALSE) )</f>
        <v/>
      </c>
      <c r="D13" s="4" t="str">
        <f>IF($B13="","",  VLOOKUP($B13, Propostas!$B:$BE, 34, FALSE) )</f>
        <v/>
      </c>
      <c r="E13" s="4" t="str">
        <f>IF($B13="","",  VLOOKUP($B13, Propostas!$B:$BE, 35, FALSE) )</f>
        <v/>
      </c>
      <c r="F13" s="4" t="str">
        <f>IF($B13="","",  VLOOKUP($B13, Propostas!$B:$BE, 2, FALSE) )</f>
        <v/>
      </c>
      <c r="G13" s="4" t="str">
        <f>IF($B13="","",  VLOOKUP($B13, Propostas!$B:$BE, 3, FALSE) )</f>
        <v/>
      </c>
      <c r="H13" s="4" t="str">
        <f>IF($B13="","",  VLOOKUP($B13, Propostas!$B:$BE, 4, FALSE) )</f>
        <v/>
      </c>
      <c r="I13" s="4" t="str">
        <f>IF($B13="","",  VLOOKUP($B13, Propostas!$B:$BE, 38, FALSE) )</f>
        <v/>
      </c>
      <c r="J13" s="13" t="str">
        <f>IF($B13="","",IF($C13="SIM", "&lt; INFRRAESTRUTURA &gt;", VLOOKUP($B13,Propostas!$B:$BE,41,FALSE)))</f>
        <v/>
      </c>
      <c r="K13" s="10" t="str">
        <f>IF($B13="","",  VLOOKUP($B13, Propostas!$B:$BE, 40, FALSE) )</f>
        <v/>
      </c>
      <c r="L13" s="10" t="str">
        <f>IF($B13="","",IF(VLOOKUP($B13,Propostas!$B:$BE,21,FALSE)=1,"B",IF(VLOOKUP($B13,Propostas!$B:$BE,21,FALSE)=2,"E","N")))</f>
        <v/>
      </c>
      <c r="M13" s="31" t="str">
        <f>IF($B13 = "", "",  VLOOKUP($B13, Propostas!$B:$BE, 46, FALSE) )</f>
        <v/>
      </c>
      <c r="N13" s="31" t="str">
        <f>IF($B13 = "", "",  VLOOKUP($B13, Propostas!$B:$BE, 47, FALSE) )</f>
        <v/>
      </c>
      <c r="O13" s="13" t="str">
        <f>IF($B13="","",IF($C13="SIM", "INFRAESTRUTURA", VLOOKUP($B13, Propostas!$B:$BE,42,FALSE)))</f>
        <v/>
      </c>
      <c r="P13" s="31" t="str">
        <f>IF($B13 = "", "",  VLOOKUP($B13, Propostas!$B:$BE, 49, FALSE) )</f>
        <v/>
      </c>
      <c r="Q13" s="13" t="str">
        <f>IF($B13="","",  VLOOKUP($B13, Propostas!$B:$BE, 39, FALSE) )</f>
        <v/>
      </c>
      <c r="R13" s="62" t="str">
        <f>IF($B13="","",  VLOOKUP($B13, Propostas!$B:$BE, 43, FALSE) )</f>
        <v/>
      </c>
      <c r="S13" s="62" t="str">
        <f>IF($B13="","",  VLOOKUP($B13, Propostas!$B:$BE, 44, FALSE) )</f>
        <v/>
      </c>
      <c r="T13" s="62" t="str">
        <f>IF($B13="","",  VLOOKUP($B13, Propostas!$B:$BE, 45, FALSE) )</f>
        <v/>
      </c>
      <c r="U13" s="31"/>
      <c r="V13" s="13" t="str">
        <f>IF($B13="","",  VLOOKUP($B13, Propostas!$B:$BE, 50, FALSE) )</f>
        <v/>
      </c>
      <c r="W13" s="13" t="str">
        <f>IF($B13="","",  VLOOKUP($B13, Propostas!$B:$BE, 51, FALSE) )</f>
        <v/>
      </c>
      <c r="X13" s="13" t="str">
        <f>IF($B13="","",  VLOOKUP($B13, Propostas!$B:$BE, 52, FALSE) )</f>
        <v/>
      </c>
      <c r="Y13" s="13" t="str">
        <f>IF($B13="","",  VLOOKUP($B13, Propostas!$B:$BE, 36, FALSE) )</f>
        <v/>
      </c>
      <c r="Z13" s="13" t="str">
        <f>IF($B13="","",  VLOOKUP($F13, VW_PROJETO!B:C, 2, FALSE) )</f>
        <v/>
      </c>
    </row>
    <row r="14" spans="1:26" x14ac:dyDescent="0.2">
      <c r="A14" s="30" t="s">
        <v>912</v>
      </c>
      <c r="B14" s="2"/>
      <c r="C14" s="4" t="str">
        <f>IF($B14="","",  VLOOKUP($B14, Propostas!$B:$BE, 33, FALSE) )</f>
        <v/>
      </c>
      <c r="D14" s="4" t="str">
        <f>IF($B14="","",  VLOOKUP($B14, Propostas!$B:$BE, 34, FALSE) )</f>
        <v/>
      </c>
      <c r="E14" s="4" t="str">
        <f>IF($B14="","",  VLOOKUP($B14, Propostas!$B:$BE, 35, FALSE) )</f>
        <v/>
      </c>
      <c r="F14" s="4" t="str">
        <f>IF($B14="","",  VLOOKUP($B14, Propostas!$B:$BE, 2, FALSE) )</f>
        <v/>
      </c>
      <c r="G14" s="4" t="str">
        <f>IF($B14="","",  VLOOKUP($B14, Propostas!$B:$BE, 3, FALSE) )</f>
        <v/>
      </c>
      <c r="H14" s="4" t="str">
        <f>IF($B14="","",  VLOOKUP($B14, Propostas!$B:$BE, 4, FALSE) )</f>
        <v/>
      </c>
      <c r="I14" s="4" t="str">
        <f>IF($B14="","",  VLOOKUP($B14, Propostas!$B:$BE, 38, FALSE) )</f>
        <v/>
      </c>
      <c r="J14" s="13" t="str">
        <f>IF($B14="","",IF($C14="SIM", "&lt; INFRRAESTRUTURA &gt;", VLOOKUP($B14,Propostas!$B:$BE,41,FALSE)))</f>
        <v/>
      </c>
      <c r="K14" s="10" t="str">
        <f>IF($B14="","",  VLOOKUP($B14, Propostas!$B:$BE, 40, FALSE) )</f>
        <v/>
      </c>
      <c r="L14" s="10" t="str">
        <f>IF($B14="","",IF(VLOOKUP($B14,Propostas!$B:$BE,21,FALSE)=1,"B",IF(VLOOKUP($B14,Propostas!$B:$BE,21,FALSE)=2,"E","N")))</f>
        <v/>
      </c>
      <c r="M14" s="31" t="str">
        <f>IF($B14 = "", "",  VLOOKUP($B14, Propostas!$B:$BE, 46, FALSE) )</f>
        <v/>
      </c>
      <c r="N14" s="31" t="str">
        <f>IF($B14 = "", "",  VLOOKUP($B14, Propostas!$B:$BE, 47, FALSE) )</f>
        <v/>
      </c>
      <c r="O14" s="13" t="str">
        <f>IF($B14="","",IF($C14="SIM", "INFRAESTRUTURA", VLOOKUP($B14, Propostas!$B:$BE,42,FALSE)))</f>
        <v/>
      </c>
      <c r="P14" s="31" t="str">
        <f>IF($B14 = "", "",  VLOOKUP($B14, Propostas!$B:$BE, 49, FALSE) )</f>
        <v/>
      </c>
      <c r="Q14" s="13" t="str">
        <f>IF($B14="","",  VLOOKUP($B14, Propostas!$B:$BE, 39, FALSE) )</f>
        <v/>
      </c>
      <c r="R14" s="62" t="str">
        <f>IF($B14="","",  VLOOKUP($B14, Propostas!$B:$BE, 43, FALSE) )</f>
        <v/>
      </c>
      <c r="S14" s="62" t="str">
        <f>IF($B14="","",  VLOOKUP($B14, Propostas!$B:$BE, 44, FALSE) )</f>
        <v/>
      </c>
      <c r="T14" s="62" t="str">
        <f>IF($B14="","",  VLOOKUP($B14, Propostas!$B:$BE, 45, FALSE) )</f>
        <v/>
      </c>
      <c r="U14" s="31"/>
      <c r="V14" s="13" t="str">
        <f>IF($B14="","",  VLOOKUP($B14, Propostas!$B:$BE, 50, FALSE) )</f>
        <v/>
      </c>
      <c r="W14" s="13" t="str">
        <f>IF($B14="","",  VLOOKUP($B14, Propostas!$B:$BE, 51, FALSE) )</f>
        <v/>
      </c>
      <c r="X14" s="13" t="str">
        <f>IF($B14="","",  VLOOKUP($B14, Propostas!$B:$BE, 52, FALSE) )</f>
        <v/>
      </c>
      <c r="Y14" s="13" t="str">
        <f>IF($B14="","",  VLOOKUP($B14, Propostas!$B:$BE, 36, FALSE) )</f>
        <v/>
      </c>
      <c r="Z14" s="13" t="str">
        <f>IF($B14="","",  VLOOKUP($F14, VW_PROJETO!B:C, 2, FALSE) )</f>
        <v/>
      </c>
    </row>
    <row r="15" spans="1:26" x14ac:dyDescent="0.2">
      <c r="A15" s="66">
        <f>SUMIFS(T:T,C:C, "NÃO",L:L, "B")</f>
        <v>0</v>
      </c>
      <c r="B15" s="2"/>
      <c r="C15" s="4" t="str">
        <f>IF($B15="","",  VLOOKUP($B15, Propostas!$B:$BE, 33, FALSE) )</f>
        <v/>
      </c>
      <c r="D15" s="4" t="str">
        <f>IF($B15="","",  VLOOKUP($B15, Propostas!$B:$BE, 34, FALSE) )</f>
        <v/>
      </c>
      <c r="E15" s="4" t="str">
        <f>IF($B15="","",  VLOOKUP($B15, Propostas!$B:$BE, 35, FALSE) )</f>
        <v/>
      </c>
      <c r="F15" s="4" t="str">
        <f>IF($B15="","",  VLOOKUP($B15, Propostas!$B:$BE, 2, FALSE) )</f>
        <v/>
      </c>
      <c r="G15" s="4" t="str">
        <f>IF($B15="","",  VLOOKUP($B15, Propostas!$B:$BE, 3, FALSE) )</f>
        <v/>
      </c>
      <c r="H15" s="4" t="str">
        <f>IF($B15="","",  VLOOKUP($B15, Propostas!$B:$BE, 4, FALSE) )</f>
        <v/>
      </c>
      <c r="I15" s="4" t="str">
        <f>IF($B15="","",  VLOOKUP($B15, Propostas!$B:$BE, 38, FALSE) )</f>
        <v/>
      </c>
      <c r="J15" s="13" t="str">
        <f>IF($B15="","",IF($C15="SIM", "&lt; INFRRAESTRUTURA &gt;", VLOOKUP($B15,Propostas!$B:$BE,41,FALSE)))</f>
        <v/>
      </c>
      <c r="K15" s="10" t="str">
        <f>IF($B15="","",  VLOOKUP($B15, Propostas!$B:$BE, 40, FALSE) )</f>
        <v/>
      </c>
      <c r="L15" s="10" t="str">
        <f>IF($B15="","",IF(VLOOKUP($B15,Propostas!$B:$BE,21,FALSE)=1,"B",IF(VLOOKUP($B15,Propostas!$B:$BE,21,FALSE)=2,"E","N")))</f>
        <v/>
      </c>
      <c r="M15" s="31" t="str">
        <f>IF($B15 = "", "",  VLOOKUP($B15, Propostas!$B:$BE, 46, FALSE) )</f>
        <v/>
      </c>
      <c r="N15" s="31" t="str">
        <f>IF($B15 = "", "",  VLOOKUP($B15, Propostas!$B:$BE, 47, FALSE) )</f>
        <v/>
      </c>
      <c r="O15" s="13" t="str">
        <f>IF($B15="","",IF($C15="SIM", "INFRAESTRUTURA", VLOOKUP($B15, Propostas!$B:$BE,42,FALSE)))</f>
        <v/>
      </c>
      <c r="P15" s="31" t="str">
        <f>IF($B15 = "", "",  VLOOKUP($B15, Propostas!$B:$BE, 49, FALSE) )</f>
        <v/>
      </c>
      <c r="Q15" s="13" t="str">
        <f>IF($B15="","",  VLOOKUP($B15, Propostas!$B:$BE, 39, FALSE) )</f>
        <v/>
      </c>
      <c r="R15" s="62" t="str">
        <f>IF($B15="","",  VLOOKUP($B15, Propostas!$B:$BE, 43, FALSE) )</f>
        <v/>
      </c>
      <c r="S15" s="62" t="str">
        <f>IF($B15="","",  VLOOKUP($B15, Propostas!$B:$BE, 44, FALSE) )</f>
        <v/>
      </c>
      <c r="T15" s="62" t="str">
        <f>IF($B15="","",  VLOOKUP($B15, Propostas!$B:$BE, 45, FALSE) )</f>
        <v/>
      </c>
      <c r="U15" s="31"/>
      <c r="V15" s="13" t="str">
        <f>IF($B15="","",  VLOOKUP($B15, Propostas!$B:$BE, 50, FALSE) )</f>
        <v/>
      </c>
      <c r="W15" s="13" t="str">
        <f>IF($B15="","",  VLOOKUP($B15, Propostas!$B:$BE, 51, FALSE) )</f>
        <v/>
      </c>
      <c r="X15" s="13" t="str">
        <f>IF($B15="","",  VLOOKUP($B15, Propostas!$B:$BE, 52, FALSE) )</f>
        <v/>
      </c>
      <c r="Y15" s="13" t="str">
        <f>IF($B15="","",  VLOOKUP($B15, Propostas!$B:$BE, 36, FALSE) )</f>
        <v/>
      </c>
      <c r="Z15" s="13" t="str">
        <f>IF($B15="","",  VLOOKUP($F15, VW_PROJETO!B:C, 2, FALSE) )</f>
        <v/>
      </c>
    </row>
    <row r="16" spans="1:26" x14ac:dyDescent="0.2">
      <c r="B16" s="2"/>
      <c r="C16" s="4" t="str">
        <f>IF($B16="","",  VLOOKUP($B16, Propostas!$B:$BE, 33, FALSE) )</f>
        <v/>
      </c>
      <c r="D16" s="4" t="str">
        <f>IF($B16="","",  VLOOKUP($B16, Propostas!$B:$BE, 34, FALSE) )</f>
        <v/>
      </c>
      <c r="E16" s="4" t="str">
        <f>IF($B16="","",  VLOOKUP($B16, Propostas!$B:$BE, 35, FALSE) )</f>
        <v/>
      </c>
      <c r="F16" s="4" t="str">
        <f>IF($B16="","",  VLOOKUP($B16, Propostas!$B:$BE, 2, FALSE) )</f>
        <v/>
      </c>
      <c r="G16" s="4" t="str">
        <f>IF($B16="","",  VLOOKUP($B16, Propostas!$B:$BE, 3, FALSE) )</f>
        <v/>
      </c>
      <c r="H16" s="4" t="str">
        <f>IF($B16="","",  VLOOKUP($B16, Propostas!$B:$BE, 4, FALSE) )</f>
        <v/>
      </c>
      <c r="I16" s="4" t="str">
        <f>IF($B16="","",  VLOOKUP($B16, Propostas!$B:$BE, 38, FALSE) )</f>
        <v/>
      </c>
      <c r="J16" s="13" t="str">
        <f>IF($B16="","",IF($C16="SIM", "&lt; INFRRAESTRUTURA &gt;", VLOOKUP($B16,Propostas!$B:$BE,41,FALSE)))</f>
        <v/>
      </c>
      <c r="K16" s="10" t="str">
        <f>IF($B16="","",  VLOOKUP($B16, Propostas!$B:$BE, 40, FALSE) )</f>
        <v/>
      </c>
      <c r="L16" s="10" t="str">
        <f>IF($B16="","",IF(VLOOKUP($B16,Propostas!$B:$BE,21,FALSE)=1,"B",IF(VLOOKUP($B16,Propostas!$B:$BE,21,FALSE)=2,"E","N")))</f>
        <v/>
      </c>
      <c r="M16" s="31" t="str">
        <f>IF($B16 = "", "",  VLOOKUP($B16, Propostas!$B:$BE, 46, FALSE) )</f>
        <v/>
      </c>
      <c r="N16" s="31" t="str">
        <f>IF($B16 = "", "",  VLOOKUP($B16, Propostas!$B:$BE, 47, FALSE) )</f>
        <v/>
      </c>
      <c r="O16" s="13" t="str">
        <f>IF($B16="","",IF($C16="SIM", "INFRAESTRUTURA", VLOOKUP($B16, Propostas!$B:$BE,42,FALSE)))</f>
        <v/>
      </c>
      <c r="P16" s="31" t="str">
        <f>IF($B16 = "", "",  VLOOKUP($B16, Propostas!$B:$BE, 49, FALSE) )</f>
        <v/>
      </c>
      <c r="Q16" s="13" t="str">
        <f>IF($B16="","",  VLOOKUP($B16, Propostas!$B:$BE, 39, FALSE) )</f>
        <v/>
      </c>
      <c r="R16" s="62" t="str">
        <f>IF($B16="","",  VLOOKUP($B16, Propostas!$B:$BE, 43, FALSE) )</f>
        <v/>
      </c>
      <c r="S16" s="62" t="str">
        <f>IF($B16="","",  VLOOKUP($B16, Propostas!$B:$BE, 44, FALSE) )</f>
        <v/>
      </c>
      <c r="T16" s="62" t="str">
        <f>IF($B16="","",  VLOOKUP($B16, Propostas!$B:$BE, 45, FALSE) )</f>
        <v/>
      </c>
      <c r="U16" s="31"/>
      <c r="V16" s="13" t="str">
        <f>IF($B16="","",  VLOOKUP($B16, Propostas!$B:$BE, 50, FALSE) )</f>
        <v/>
      </c>
      <c r="W16" s="13" t="str">
        <f>IF($B16="","",  VLOOKUP($B16, Propostas!$B:$BE, 51, FALSE) )</f>
        <v/>
      </c>
      <c r="X16" s="13" t="str">
        <f>IF($B16="","",  VLOOKUP($B16, Propostas!$B:$BE, 52, FALSE) )</f>
        <v/>
      </c>
      <c r="Y16" s="13" t="str">
        <f>IF($B16="","",  VLOOKUP($B16, Propostas!$B:$BE, 36, FALSE) )</f>
        <v/>
      </c>
      <c r="Z16" s="13" t="str">
        <f>IF($B16="","",  VLOOKUP($F16, VW_PROJETO!B:C, 2, FALSE) )</f>
        <v/>
      </c>
    </row>
    <row r="17" spans="2:26" x14ac:dyDescent="0.2">
      <c r="B17" s="2"/>
      <c r="C17" s="4" t="str">
        <f>IF($B17="","",  VLOOKUP($B17, Propostas!$B:$BE, 33, FALSE) )</f>
        <v/>
      </c>
      <c r="D17" s="4" t="str">
        <f>IF($B17="","",  VLOOKUP($B17, Propostas!$B:$BE, 34, FALSE) )</f>
        <v/>
      </c>
      <c r="E17" s="4" t="str">
        <f>IF($B17="","",  VLOOKUP($B17, Propostas!$B:$BE, 35, FALSE) )</f>
        <v/>
      </c>
      <c r="F17" s="4" t="str">
        <f>IF($B17="","",  VLOOKUP($B17, Propostas!$B:$BE, 2, FALSE) )</f>
        <v/>
      </c>
      <c r="G17" s="4" t="str">
        <f>IF($B17="","",  VLOOKUP($B17, Propostas!$B:$BE, 3, FALSE) )</f>
        <v/>
      </c>
      <c r="H17" s="4" t="str">
        <f>IF($B17="","",  VLOOKUP($B17, Propostas!$B:$BE, 4, FALSE) )</f>
        <v/>
      </c>
      <c r="I17" s="4" t="str">
        <f>IF($B17="","",  VLOOKUP($B17, Propostas!$B:$BE, 38, FALSE) )</f>
        <v/>
      </c>
      <c r="J17" s="13" t="str">
        <f>IF($B17="","",IF($C17="SIM", "&lt; INFRRAESTRUTURA &gt;", VLOOKUP($B17,Propostas!$B:$BE,41,FALSE)))</f>
        <v/>
      </c>
      <c r="K17" s="10" t="str">
        <f>IF($B17="","",  VLOOKUP($B17, Propostas!$B:$BE, 40, FALSE) )</f>
        <v/>
      </c>
      <c r="L17" s="10" t="str">
        <f>IF($B17="","",IF(VLOOKUP($B17,Propostas!$B:$BE,21,FALSE)=1,"B",IF(VLOOKUP($B17,Propostas!$B:$BE,21,FALSE)=2,"E","N")))</f>
        <v/>
      </c>
      <c r="M17" s="31" t="str">
        <f>IF($B17 = "", "",  VLOOKUP($B17, Propostas!$B:$BE, 46, FALSE) )</f>
        <v/>
      </c>
      <c r="N17" s="31" t="str">
        <f>IF($B17 = "", "",  VLOOKUP($B17, Propostas!$B:$BE, 47, FALSE) )</f>
        <v/>
      </c>
      <c r="O17" s="13" t="str">
        <f>IF($B17="","",IF($C17="SIM", "INFRAESTRUTURA", VLOOKUP($B17, Propostas!$B:$BE,42,FALSE)))</f>
        <v/>
      </c>
      <c r="P17" s="31" t="str">
        <f>IF($B17 = "", "",  VLOOKUP($B17, Propostas!$B:$BE, 49, FALSE) )</f>
        <v/>
      </c>
      <c r="Q17" s="13" t="str">
        <f>IF($B17="","",  VLOOKUP($B17, Propostas!$B:$BE, 39, FALSE) )</f>
        <v/>
      </c>
      <c r="R17" s="62" t="str">
        <f>IF($B17="","",  VLOOKUP($B17, Propostas!$B:$BE, 43, FALSE) )</f>
        <v/>
      </c>
      <c r="S17" s="62" t="str">
        <f>IF($B17="","",  VLOOKUP($B17, Propostas!$B:$BE, 44, FALSE) )</f>
        <v/>
      </c>
      <c r="T17" s="62" t="str">
        <f>IF($B17="","",  VLOOKUP($B17, Propostas!$B:$BE, 45, FALSE) )</f>
        <v/>
      </c>
      <c r="U17" s="31"/>
      <c r="V17" s="13" t="str">
        <f>IF($B17="","",  VLOOKUP($B17, Propostas!$B:$BE, 50, FALSE) )</f>
        <v/>
      </c>
      <c r="W17" s="13" t="str">
        <f>IF($B17="","",  VLOOKUP($B17, Propostas!$B:$BE, 51, FALSE) )</f>
        <v/>
      </c>
      <c r="X17" s="13" t="str">
        <f>IF($B17="","",  VLOOKUP($B17, Propostas!$B:$BE, 52, FALSE) )</f>
        <v/>
      </c>
      <c r="Y17" s="13" t="str">
        <f>IF($B17="","",  VLOOKUP($B17, Propostas!$B:$BE, 36, FALSE) )</f>
        <v/>
      </c>
      <c r="Z17" s="13" t="str">
        <f>IF($B17="","",  VLOOKUP($F17, VW_PROJETO!B:C, 2, FALSE) )</f>
        <v/>
      </c>
    </row>
    <row r="18" spans="2:26" x14ac:dyDescent="0.2">
      <c r="B18" s="2"/>
      <c r="C18" s="4" t="str">
        <f>IF($B18="","",  VLOOKUP($B18, Propostas!$B:$BE, 33, FALSE) )</f>
        <v/>
      </c>
      <c r="D18" s="4" t="str">
        <f>IF($B18="","",  VLOOKUP($B18, Propostas!$B:$BE, 34, FALSE) )</f>
        <v/>
      </c>
      <c r="E18" s="4" t="str">
        <f>IF($B18="","",  VLOOKUP($B18, Propostas!$B:$BE, 35, FALSE) )</f>
        <v/>
      </c>
      <c r="F18" s="4" t="str">
        <f>IF($B18="","",  VLOOKUP($B18, Propostas!$B:$BE, 2, FALSE) )</f>
        <v/>
      </c>
      <c r="G18" s="4" t="str">
        <f>IF($B18="","",  VLOOKUP($B18, Propostas!$B:$BE, 3, FALSE) )</f>
        <v/>
      </c>
      <c r="H18" s="4" t="str">
        <f>IF($B18="","",  VLOOKUP($B18, Propostas!$B:$BE, 4, FALSE) )</f>
        <v/>
      </c>
      <c r="I18" s="4" t="str">
        <f>IF($B18="","",  VLOOKUP($B18, Propostas!$B:$BE, 38, FALSE) )</f>
        <v/>
      </c>
      <c r="J18" s="13" t="str">
        <f>IF($B18="","",IF($C18="SIM", "&lt; INFRRAESTRUTURA &gt;", VLOOKUP($B18,Propostas!$B:$BE,41,FALSE)))</f>
        <v/>
      </c>
      <c r="K18" s="10" t="str">
        <f>IF($B18="","",  VLOOKUP($B18, Propostas!$B:$BE, 40, FALSE) )</f>
        <v/>
      </c>
      <c r="L18" s="10" t="str">
        <f>IF($B18="","",IF(VLOOKUP($B18,Propostas!$B:$BE,21,FALSE)=1,"B",IF(VLOOKUP($B18,Propostas!$B:$BE,21,FALSE)=2,"E","N")))</f>
        <v/>
      </c>
      <c r="M18" s="31" t="str">
        <f>IF($B18 = "", "",  VLOOKUP($B18, Propostas!$B:$BE, 46, FALSE) )</f>
        <v/>
      </c>
      <c r="N18" s="31" t="str">
        <f>IF($B18 = "", "",  VLOOKUP($B18, Propostas!$B:$BE, 47, FALSE) )</f>
        <v/>
      </c>
      <c r="O18" s="13" t="str">
        <f>IF($B18="","",IF($C18="SIM", "INFRAESTRUTURA", VLOOKUP($B18, Propostas!$B:$BE,42,FALSE)))</f>
        <v/>
      </c>
      <c r="P18" s="31" t="str">
        <f>IF($B18 = "", "",  VLOOKUP($B18, Propostas!$B:$BE, 49, FALSE) )</f>
        <v/>
      </c>
      <c r="Q18" s="13" t="str">
        <f>IF($B18="","",  VLOOKUP($B18, Propostas!$B:$BE, 39, FALSE) )</f>
        <v/>
      </c>
      <c r="R18" s="62" t="str">
        <f>IF($B18="","",  VLOOKUP($B18, Propostas!$B:$BE, 43, FALSE) )</f>
        <v/>
      </c>
      <c r="S18" s="62" t="str">
        <f>IF($B18="","",  VLOOKUP($B18, Propostas!$B:$BE, 44, FALSE) )</f>
        <v/>
      </c>
      <c r="T18" s="62" t="str">
        <f>IF($B18="","",  VLOOKUP($B18, Propostas!$B:$BE, 45, FALSE) )</f>
        <v/>
      </c>
      <c r="U18" s="31"/>
      <c r="V18" s="13" t="str">
        <f>IF($B18="","",  VLOOKUP($B18, Propostas!$B:$BE, 50, FALSE) )</f>
        <v/>
      </c>
      <c r="W18" s="13" t="str">
        <f>IF($B18="","",  VLOOKUP($B18, Propostas!$B:$BE, 51, FALSE) )</f>
        <v/>
      </c>
      <c r="X18" s="13" t="str">
        <f>IF($B18="","",  VLOOKUP($B18, Propostas!$B:$BE, 52, FALSE) )</f>
        <v/>
      </c>
      <c r="Y18" s="13" t="str">
        <f>IF($B18="","",  VLOOKUP($B18, Propostas!$B:$BE, 36, FALSE) )</f>
        <v/>
      </c>
      <c r="Z18" s="13" t="str">
        <f>IF($B18="","",  VLOOKUP($F18, VW_PROJETO!B:C, 2, FALSE) )</f>
        <v/>
      </c>
    </row>
    <row r="19" spans="2:26" x14ac:dyDescent="0.2">
      <c r="B19" s="2"/>
      <c r="C19" s="4" t="str">
        <f>IF($B19="","",  VLOOKUP($B19, Propostas!$B:$BE, 33, FALSE) )</f>
        <v/>
      </c>
      <c r="D19" s="4" t="str">
        <f>IF($B19="","",  VLOOKUP($B19, Propostas!$B:$BE, 34, FALSE) )</f>
        <v/>
      </c>
      <c r="E19" s="4" t="str">
        <f>IF($B19="","",  VLOOKUP($B19, Propostas!$B:$BE, 35, FALSE) )</f>
        <v/>
      </c>
      <c r="F19" s="4" t="str">
        <f>IF($B19="","",  VLOOKUP($B19, Propostas!$B:$BE, 2, FALSE) )</f>
        <v/>
      </c>
      <c r="G19" s="4" t="str">
        <f>IF($B19="","",  VLOOKUP($B19, Propostas!$B:$BE, 3, FALSE) )</f>
        <v/>
      </c>
      <c r="H19" s="4" t="str">
        <f>IF($B19="","",  VLOOKUP($B19, Propostas!$B:$BE, 4, FALSE) )</f>
        <v/>
      </c>
      <c r="I19" s="4" t="str">
        <f>IF($B19="","",  VLOOKUP($B19, Propostas!$B:$BE, 38, FALSE) )</f>
        <v/>
      </c>
      <c r="J19" s="13" t="str">
        <f>IF($B19="","",IF($C19="SIM", "&lt; INFRRAESTRUTURA &gt;", VLOOKUP($B19,Propostas!$B:$BE,41,FALSE)))</f>
        <v/>
      </c>
      <c r="K19" s="10" t="str">
        <f>IF($B19="","",  VLOOKUP($B19, Propostas!$B:$BE, 40, FALSE) )</f>
        <v/>
      </c>
      <c r="L19" s="10" t="str">
        <f>IF($B19="","",IF(VLOOKUP($B19,Propostas!$B:$BE,21,FALSE)=1,"B",IF(VLOOKUP($B19,Propostas!$B:$BE,21,FALSE)=2,"E","N")))</f>
        <v/>
      </c>
      <c r="M19" s="31" t="str">
        <f>IF($B19 = "", "",  VLOOKUP($B19, Propostas!$B:$BE, 46, FALSE) )</f>
        <v/>
      </c>
      <c r="N19" s="31" t="str">
        <f>IF($B19 = "", "",  VLOOKUP($B19, Propostas!$B:$BE, 47, FALSE) )</f>
        <v/>
      </c>
      <c r="O19" s="13" t="str">
        <f>IF($B19="","",IF($C19="SIM", "INFRAESTRUTURA", VLOOKUP($B19, Propostas!$B:$BE,42,FALSE)))</f>
        <v/>
      </c>
      <c r="P19" s="31" t="str">
        <f>IF($B19 = "", "",  VLOOKUP($B19, Propostas!$B:$BE, 49, FALSE) )</f>
        <v/>
      </c>
      <c r="Q19" s="13" t="str">
        <f>IF($B19="","",  VLOOKUP($B19, Propostas!$B:$BE, 39, FALSE) )</f>
        <v/>
      </c>
      <c r="R19" s="62" t="str">
        <f>IF($B19="","",  VLOOKUP($B19, Propostas!$B:$BE, 43, FALSE) )</f>
        <v/>
      </c>
      <c r="S19" s="62" t="str">
        <f>IF($B19="","",  VLOOKUP($B19, Propostas!$B:$BE, 44, FALSE) )</f>
        <v/>
      </c>
      <c r="T19" s="62" t="str">
        <f>IF($B19="","",  VLOOKUP($B19, Propostas!$B:$BE, 45, FALSE) )</f>
        <v/>
      </c>
      <c r="U19" s="31"/>
      <c r="V19" s="13" t="str">
        <f>IF($B19="","",  VLOOKUP($B19, Propostas!$B:$BE, 50, FALSE) )</f>
        <v/>
      </c>
      <c r="W19" s="13" t="str">
        <f>IF($B19="","",  VLOOKUP($B19, Propostas!$B:$BE, 51, FALSE) )</f>
        <v/>
      </c>
      <c r="X19" s="13" t="str">
        <f>IF($B19="","",  VLOOKUP($B19, Propostas!$B:$BE, 52, FALSE) )</f>
        <v/>
      </c>
      <c r="Y19" s="13" t="str">
        <f>IF($B19="","",  VLOOKUP($B19, Propostas!$B:$BE, 36, FALSE) )</f>
        <v/>
      </c>
      <c r="Z19" s="13" t="str">
        <f>IF($B19="","",  VLOOKUP($F19, VW_PROJETO!B:C, 2, FALSE) )</f>
        <v/>
      </c>
    </row>
    <row r="20" spans="2:26" x14ac:dyDescent="0.2">
      <c r="B20" s="2"/>
      <c r="C20" s="4" t="str">
        <f>IF($B20="","",  VLOOKUP($B20, Propostas!$B:$BE, 33, FALSE) )</f>
        <v/>
      </c>
      <c r="D20" s="4" t="str">
        <f>IF($B20="","",  VLOOKUP($B20, Propostas!$B:$BE, 34, FALSE) )</f>
        <v/>
      </c>
      <c r="E20" s="4" t="str">
        <f>IF($B20="","",  VLOOKUP($B20, Propostas!$B:$BE, 35, FALSE) )</f>
        <v/>
      </c>
      <c r="F20" s="4" t="str">
        <f>IF($B20="","",  VLOOKUP($B20, Propostas!$B:$BE, 2, FALSE) )</f>
        <v/>
      </c>
      <c r="G20" s="4" t="str">
        <f>IF($B20="","",  VLOOKUP($B20, Propostas!$B:$BE, 3, FALSE) )</f>
        <v/>
      </c>
      <c r="H20" s="4" t="str">
        <f>IF($B20="","",  VLOOKUP($B20, Propostas!$B:$BE, 4, FALSE) )</f>
        <v/>
      </c>
      <c r="I20" s="4" t="str">
        <f>IF($B20="","",  VLOOKUP($B20, Propostas!$B:$BE, 38, FALSE) )</f>
        <v/>
      </c>
      <c r="J20" s="13" t="str">
        <f>IF($B20="","",IF($C20="SIM", "&lt; INFRRAESTRUTURA &gt;", VLOOKUP($B20,Propostas!$B:$BE,41,FALSE)))</f>
        <v/>
      </c>
      <c r="K20" s="10" t="str">
        <f>IF($B20="","",  VLOOKUP($B20, Propostas!$B:$BE, 40, FALSE) )</f>
        <v/>
      </c>
      <c r="L20" s="10" t="str">
        <f>IF($B20="","",IF(VLOOKUP($B20,Propostas!$B:$BE,21,FALSE)=1,"B",IF(VLOOKUP($B20,Propostas!$B:$BE,21,FALSE)=2,"E","N")))</f>
        <v/>
      </c>
      <c r="M20" s="31" t="str">
        <f>IF($B20 = "", "",  VLOOKUP($B20, Propostas!$B:$BE, 46, FALSE) )</f>
        <v/>
      </c>
      <c r="N20" s="31" t="str">
        <f>IF($B20 = "", "",  VLOOKUP($B20, Propostas!$B:$BE, 47, FALSE) )</f>
        <v/>
      </c>
      <c r="O20" s="13" t="str">
        <f>IF($B20="","",IF($C20="SIM", "INFRAESTRUTURA", VLOOKUP($B20, Propostas!$B:$BE,42,FALSE)))</f>
        <v/>
      </c>
      <c r="P20" s="31" t="str">
        <f>IF($B20 = "", "",  VLOOKUP($B20, Propostas!$B:$BE, 49, FALSE) )</f>
        <v/>
      </c>
      <c r="Q20" s="13" t="str">
        <f>IF($B20="","",  VLOOKUP($B20, Propostas!$B:$BE, 39, FALSE) )</f>
        <v/>
      </c>
      <c r="R20" s="62" t="str">
        <f>IF($B20="","",  VLOOKUP($B20, Propostas!$B:$BE, 43, FALSE) )</f>
        <v/>
      </c>
      <c r="S20" s="62" t="str">
        <f>IF($B20="","",  VLOOKUP($B20, Propostas!$B:$BE, 44, FALSE) )</f>
        <v/>
      </c>
      <c r="T20" s="62" t="str">
        <f>IF($B20="","",  VLOOKUP($B20, Propostas!$B:$BE, 45, FALSE) )</f>
        <v/>
      </c>
      <c r="U20" s="31"/>
      <c r="V20" s="13" t="str">
        <f>IF($B20="","",  VLOOKUP($B20, Propostas!$B:$BE, 50, FALSE) )</f>
        <v/>
      </c>
      <c r="W20" s="13" t="str">
        <f>IF($B20="","",  VLOOKUP($B20, Propostas!$B:$BE, 51, FALSE) )</f>
        <v/>
      </c>
      <c r="X20" s="13" t="str">
        <f>IF($B20="","",  VLOOKUP($B20, Propostas!$B:$BE, 52, FALSE) )</f>
        <v/>
      </c>
      <c r="Y20" s="13" t="str">
        <f>IF($B20="","",  VLOOKUP($B20, Propostas!$B:$BE, 36, FALSE) )</f>
        <v/>
      </c>
      <c r="Z20" s="13" t="str">
        <f>IF($B20="","",  VLOOKUP($F20, VW_PROJETO!B:C, 2, FALSE) )</f>
        <v/>
      </c>
    </row>
    <row r="21" spans="2:26" x14ac:dyDescent="0.2">
      <c r="B21" s="2"/>
      <c r="C21" s="4" t="str">
        <f>IF($B21="","",  VLOOKUP($B21, Propostas!$B:$BE, 33, FALSE) )</f>
        <v/>
      </c>
      <c r="D21" s="4" t="str">
        <f>IF($B21="","",  VLOOKUP($B21, Propostas!$B:$BE, 34, FALSE) )</f>
        <v/>
      </c>
      <c r="E21" s="4" t="str">
        <f>IF($B21="","",  VLOOKUP($B21, Propostas!$B:$BE, 35, FALSE) )</f>
        <v/>
      </c>
      <c r="F21" s="4" t="str">
        <f>IF($B21="","",  VLOOKUP($B21, Propostas!$B:$BE, 2, FALSE) )</f>
        <v/>
      </c>
      <c r="G21" s="4" t="str">
        <f>IF($B21="","",  VLOOKUP($B21, Propostas!$B:$BE, 3, FALSE) )</f>
        <v/>
      </c>
      <c r="H21" s="4" t="str">
        <f>IF($B21="","",  VLOOKUP($B21, Propostas!$B:$BE, 4, FALSE) )</f>
        <v/>
      </c>
      <c r="I21" s="4" t="str">
        <f>IF($B21="","",  VLOOKUP($B21, Propostas!$B:$BE, 38, FALSE) )</f>
        <v/>
      </c>
      <c r="J21" s="13" t="str">
        <f>IF($B21="","",IF($C21="SIM", "&lt; INFRRAESTRUTURA &gt;", VLOOKUP($B21,Propostas!$B:$BE,41,FALSE)))</f>
        <v/>
      </c>
      <c r="K21" s="10" t="str">
        <f>IF($B21="","",  VLOOKUP($B21, Propostas!$B:$BE, 40, FALSE) )</f>
        <v/>
      </c>
      <c r="L21" s="10" t="str">
        <f>IF($B21="","",IF(VLOOKUP($B21,Propostas!$B:$BE,21,FALSE)=1,"B",IF(VLOOKUP($B21,Propostas!$B:$BE,21,FALSE)=2,"E","N")))</f>
        <v/>
      </c>
      <c r="M21" s="31" t="str">
        <f>IF($B21 = "", "",  VLOOKUP($B21, Propostas!$B:$BE, 46, FALSE) )</f>
        <v/>
      </c>
      <c r="N21" s="31" t="str">
        <f>IF($B21 = "", "",  VLOOKUP($B21, Propostas!$B:$BE, 47, FALSE) )</f>
        <v/>
      </c>
      <c r="O21" s="13" t="str">
        <f>IF($B21="","",IF($C21="SIM", "INFRAESTRUTURA", VLOOKUP($B21, Propostas!$B:$BE,42,FALSE)))</f>
        <v/>
      </c>
      <c r="P21" s="31" t="str">
        <f>IF($B21 = "", "",  VLOOKUP($B21, Propostas!$B:$BE, 49, FALSE) )</f>
        <v/>
      </c>
      <c r="Q21" s="13" t="str">
        <f>IF($B21="","",  VLOOKUP($B21, Propostas!$B:$BE, 39, FALSE) )</f>
        <v/>
      </c>
      <c r="R21" s="62" t="str">
        <f>IF($B21="","",  VLOOKUP($B21, Propostas!$B:$BE, 43, FALSE) )</f>
        <v/>
      </c>
      <c r="S21" s="62" t="str">
        <f>IF($B21="","",  VLOOKUP($B21, Propostas!$B:$BE, 44, FALSE) )</f>
        <v/>
      </c>
      <c r="T21" s="62" t="str">
        <f>IF($B21="","",  VLOOKUP($B21, Propostas!$B:$BE, 45, FALSE) )</f>
        <v/>
      </c>
      <c r="U21" s="31"/>
      <c r="V21" s="13" t="str">
        <f>IF($B21="","",  VLOOKUP($B21, Propostas!$B:$BE, 50, FALSE) )</f>
        <v/>
      </c>
      <c r="W21" s="13" t="str">
        <f>IF($B21="","",  VLOOKUP($B21, Propostas!$B:$BE, 51, FALSE) )</f>
        <v/>
      </c>
      <c r="X21" s="13" t="str">
        <f>IF($B21="","",  VLOOKUP($B21, Propostas!$B:$BE, 52, FALSE) )</f>
        <v/>
      </c>
      <c r="Y21" s="13" t="str">
        <f>IF($B21="","",  VLOOKUP($B21, Propostas!$B:$BE, 36, FALSE) )</f>
        <v/>
      </c>
      <c r="Z21" s="13" t="str">
        <f>IF($B21="","",  VLOOKUP($F21, VW_PROJETO!B:C, 2, FALSE) )</f>
        <v/>
      </c>
    </row>
    <row r="22" spans="2:26" x14ac:dyDescent="0.2">
      <c r="B22" s="2"/>
      <c r="C22" s="4" t="str">
        <f>IF($B22="","",  VLOOKUP($B22, Propostas!$B:$BE, 33, FALSE) )</f>
        <v/>
      </c>
      <c r="D22" s="4" t="str">
        <f>IF($B22="","",  VLOOKUP($B22, Propostas!$B:$BE, 34, FALSE) )</f>
        <v/>
      </c>
      <c r="E22" s="4" t="str">
        <f>IF($B22="","",  VLOOKUP($B22, Propostas!$B:$BE, 35, FALSE) )</f>
        <v/>
      </c>
      <c r="F22" s="4" t="str">
        <f>IF($B22="","",  VLOOKUP($B22, Propostas!$B:$BE, 2, FALSE) )</f>
        <v/>
      </c>
      <c r="G22" s="4" t="str">
        <f>IF($B22="","",  VLOOKUP($B22, Propostas!$B:$BE, 3, FALSE) )</f>
        <v/>
      </c>
      <c r="H22" s="4" t="str">
        <f>IF($B22="","",  VLOOKUP($B22, Propostas!$B:$BE, 4, FALSE) )</f>
        <v/>
      </c>
      <c r="I22" s="4" t="str">
        <f>IF($B22="","",  VLOOKUP($B22, Propostas!$B:$BE, 38, FALSE) )</f>
        <v/>
      </c>
      <c r="J22" s="13" t="str">
        <f>IF($B22="","",IF($C22="SIM", "&lt; INFRRAESTRUTURA &gt;", VLOOKUP($B22,Propostas!$B:$BE,41,FALSE)))</f>
        <v/>
      </c>
      <c r="K22" s="10" t="str">
        <f>IF($B22="","",  VLOOKUP($B22, Propostas!$B:$BE, 40, FALSE) )</f>
        <v/>
      </c>
      <c r="L22" s="10" t="str">
        <f>IF($B22="","",IF(VLOOKUP($B22,Propostas!$B:$BE,21,FALSE)=1,"B",IF(VLOOKUP($B22,Propostas!$B:$BE,21,FALSE)=2,"E","N")))</f>
        <v/>
      </c>
      <c r="M22" s="31" t="str">
        <f>IF($B22 = "", "",  VLOOKUP($B22, Propostas!$B:$BE, 46, FALSE) )</f>
        <v/>
      </c>
      <c r="N22" s="31" t="str">
        <f>IF($B22 = "", "",  VLOOKUP($B22, Propostas!$B:$BE, 47, FALSE) )</f>
        <v/>
      </c>
      <c r="O22" s="13" t="str">
        <f>IF($B22="","",IF($C22="SIM", "INFRAESTRUTURA", VLOOKUP($B22, Propostas!$B:$BE,42,FALSE)))</f>
        <v/>
      </c>
      <c r="P22" s="31" t="str">
        <f>IF($B22 = "", "",  VLOOKUP($B22, Propostas!$B:$BE, 49, FALSE) )</f>
        <v/>
      </c>
      <c r="Q22" s="13" t="str">
        <f>IF($B22="","",  VLOOKUP($B22, Propostas!$B:$BE, 39, FALSE) )</f>
        <v/>
      </c>
      <c r="R22" s="62" t="str">
        <f>IF($B22="","",  VLOOKUP($B22, Propostas!$B:$BE, 43, FALSE) )</f>
        <v/>
      </c>
      <c r="S22" s="62" t="str">
        <f>IF($B22="","",  VLOOKUP($B22, Propostas!$B:$BE, 44, FALSE) )</f>
        <v/>
      </c>
      <c r="T22" s="62" t="str">
        <f>IF($B22="","",  VLOOKUP($B22, Propostas!$B:$BE, 45, FALSE) )</f>
        <v/>
      </c>
      <c r="U22" s="31"/>
      <c r="V22" s="13" t="str">
        <f>IF($B22="","",  VLOOKUP($B22, Propostas!$B:$BE, 50, FALSE) )</f>
        <v/>
      </c>
      <c r="W22" s="13" t="str">
        <f>IF($B22="","",  VLOOKUP($B22, Propostas!$B:$BE, 51, FALSE) )</f>
        <v/>
      </c>
      <c r="X22" s="13" t="str">
        <f>IF($B22="","",  VLOOKUP($B22, Propostas!$B:$BE, 52, FALSE) )</f>
        <v/>
      </c>
      <c r="Y22" s="13" t="str">
        <f>IF($B22="","",  VLOOKUP($B22, Propostas!$B:$BE, 36, FALSE) )</f>
        <v/>
      </c>
      <c r="Z22" s="13" t="str">
        <f>IF($B22="","",  VLOOKUP($F22, VW_PROJETO!B:C, 2, FALSE) )</f>
        <v/>
      </c>
    </row>
    <row r="23" spans="2:26" x14ac:dyDescent="0.2">
      <c r="B23" s="2"/>
      <c r="C23" s="4" t="str">
        <f>IF($B23="","",  VLOOKUP($B23, Propostas!$B:$BE, 33, FALSE) )</f>
        <v/>
      </c>
      <c r="D23" s="4" t="str">
        <f>IF($B23="","",  VLOOKUP($B23, Propostas!$B:$BE, 34, FALSE) )</f>
        <v/>
      </c>
      <c r="E23" s="4" t="str">
        <f>IF($B23="","",  VLOOKUP($B23, Propostas!$B:$BE, 35, FALSE) )</f>
        <v/>
      </c>
      <c r="F23" s="4" t="str">
        <f>IF($B23="","",  VLOOKUP($B23, Propostas!$B:$BE, 2, FALSE) )</f>
        <v/>
      </c>
      <c r="G23" s="4" t="str">
        <f>IF($B23="","",  VLOOKUP($B23, Propostas!$B:$BE, 3, FALSE) )</f>
        <v/>
      </c>
      <c r="H23" s="4" t="str">
        <f>IF($B23="","",  VLOOKUP($B23, Propostas!$B:$BE, 4, FALSE) )</f>
        <v/>
      </c>
      <c r="I23" s="4" t="str">
        <f>IF($B23="","",  VLOOKUP($B23, Propostas!$B:$BE, 38, FALSE) )</f>
        <v/>
      </c>
      <c r="J23" s="13" t="str">
        <f>IF($B23="","",IF($C23="SIM", "&lt; INFRRAESTRUTURA &gt;", VLOOKUP($B23,Propostas!$B:$BE,41,FALSE)))</f>
        <v/>
      </c>
      <c r="K23" s="10" t="str">
        <f>IF($B23="","",  VLOOKUP($B23, Propostas!$B:$BE, 40, FALSE) )</f>
        <v/>
      </c>
      <c r="L23" s="10" t="str">
        <f>IF($B23="","",IF(VLOOKUP($B23,Propostas!$B:$BE,21,FALSE)=1,"B",IF(VLOOKUP($B23,Propostas!$B:$BE,21,FALSE)=2,"E","N")))</f>
        <v/>
      </c>
      <c r="M23" s="31" t="str">
        <f>IF($B23 = "", "",  VLOOKUP($B23, Propostas!$B:$BE, 46, FALSE) )</f>
        <v/>
      </c>
      <c r="N23" s="31" t="str">
        <f>IF($B23 = "", "",  VLOOKUP($B23, Propostas!$B:$BE, 47, FALSE) )</f>
        <v/>
      </c>
      <c r="O23" s="13" t="str">
        <f>IF($B23="","",IF($C23="SIM", "INFRAESTRUTURA", VLOOKUP($B23, Propostas!$B:$BE,42,FALSE)))</f>
        <v/>
      </c>
      <c r="P23" s="31" t="str">
        <f>IF($B23 = "", "",  VLOOKUP($B23, Propostas!$B:$BE, 49, FALSE) )</f>
        <v/>
      </c>
      <c r="Q23" s="13" t="str">
        <f>IF($B23="","",  VLOOKUP($B23, Propostas!$B:$BE, 39, FALSE) )</f>
        <v/>
      </c>
      <c r="R23" s="62" t="str">
        <f>IF($B23="","",  VLOOKUP($B23, Propostas!$B:$BE, 43, FALSE) )</f>
        <v/>
      </c>
      <c r="S23" s="62" t="str">
        <f>IF($B23="","",  VLOOKUP($B23, Propostas!$B:$BE, 44, FALSE) )</f>
        <v/>
      </c>
      <c r="T23" s="62" t="str">
        <f>IF($B23="","",  VLOOKUP($B23, Propostas!$B:$BE, 45, FALSE) )</f>
        <v/>
      </c>
      <c r="U23" s="31"/>
      <c r="V23" s="13" t="str">
        <f>IF($B23="","",  VLOOKUP($B23, Propostas!$B:$BE, 50, FALSE) )</f>
        <v/>
      </c>
      <c r="W23" s="13" t="str">
        <f>IF($B23="","",  VLOOKUP($B23, Propostas!$B:$BE, 51, FALSE) )</f>
        <v/>
      </c>
      <c r="X23" s="13" t="str">
        <f>IF($B23="","",  VLOOKUP($B23, Propostas!$B:$BE, 52, FALSE) )</f>
        <v/>
      </c>
      <c r="Y23" s="13" t="str">
        <f>IF($B23="","",  VLOOKUP($B23, Propostas!$B:$BE, 36, FALSE) )</f>
        <v/>
      </c>
      <c r="Z23" s="13" t="str">
        <f>IF($B23="","",  VLOOKUP($F23, VW_PROJETO!B:C, 2, FALSE) )</f>
        <v/>
      </c>
    </row>
    <row r="24" spans="2:26" x14ac:dyDescent="0.2">
      <c r="B24" s="2"/>
      <c r="C24" s="4" t="str">
        <f>IF($B24="","",  VLOOKUP($B24, Propostas!$B:$BE, 33, FALSE) )</f>
        <v/>
      </c>
      <c r="D24" s="4" t="str">
        <f>IF($B24="","",  VLOOKUP($B24, Propostas!$B:$BE, 34, FALSE) )</f>
        <v/>
      </c>
      <c r="E24" s="4" t="str">
        <f>IF($B24="","",  VLOOKUP($B24, Propostas!$B:$BE, 35, FALSE) )</f>
        <v/>
      </c>
      <c r="F24" s="4" t="str">
        <f>IF($B24="","",  VLOOKUP($B24, Propostas!$B:$BE, 2, FALSE) )</f>
        <v/>
      </c>
      <c r="G24" s="4" t="str">
        <f>IF($B24="","",  VLOOKUP($B24, Propostas!$B:$BE, 3, FALSE) )</f>
        <v/>
      </c>
      <c r="H24" s="4" t="str">
        <f>IF($B24="","",  VLOOKUP($B24, Propostas!$B:$BE, 4, FALSE) )</f>
        <v/>
      </c>
      <c r="I24" s="4" t="str">
        <f>IF($B24="","",  VLOOKUP($B24, Propostas!$B:$BE, 38, FALSE) )</f>
        <v/>
      </c>
      <c r="J24" s="13" t="str">
        <f>IF($B24="","",IF($C24="SIM", "&lt; INFRRAESTRUTURA &gt;", VLOOKUP($B24,Propostas!$B:$BE,41,FALSE)))</f>
        <v/>
      </c>
      <c r="K24" s="10" t="str">
        <f>IF($B24="","",  VLOOKUP($B24, Propostas!$B:$BE, 40, FALSE) )</f>
        <v/>
      </c>
      <c r="L24" s="10" t="str">
        <f>IF($B24="","",IF(VLOOKUP($B24,Propostas!$B:$BE,21,FALSE)=1,"B",IF(VLOOKUP($B24,Propostas!$B:$BE,21,FALSE)=2,"E","N")))</f>
        <v/>
      </c>
      <c r="M24" s="31" t="str">
        <f>IF($B24 = "", "",  VLOOKUP($B24, Propostas!$B:$BE, 46, FALSE) )</f>
        <v/>
      </c>
      <c r="N24" s="31" t="str">
        <f>IF($B24 = "", "",  VLOOKUP($B24, Propostas!$B:$BE, 47, FALSE) )</f>
        <v/>
      </c>
      <c r="O24" s="13" t="str">
        <f>IF($B24="","",IF($C24="SIM", "INFRAESTRUTURA", VLOOKUP($B24, Propostas!$B:$BE,42,FALSE)))</f>
        <v/>
      </c>
      <c r="P24" s="31" t="str">
        <f>IF($B24 = "", "",  VLOOKUP($B24, Propostas!$B:$BE, 49, FALSE) )</f>
        <v/>
      </c>
      <c r="Q24" s="13" t="str">
        <f>IF($B24="","",  VLOOKUP($B24, Propostas!$B:$BE, 39, FALSE) )</f>
        <v/>
      </c>
      <c r="R24" s="62" t="str">
        <f>IF($B24="","",  VLOOKUP($B24, Propostas!$B:$BE, 43, FALSE) )</f>
        <v/>
      </c>
      <c r="S24" s="62" t="str">
        <f>IF($B24="","",  VLOOKUP($B24, Propostas!$B:$BE, 44, FALSE) )</f>
        <v/>
      </c>
      <c r="T24" s="62" t="str">
        <f>IF($B24="","",  VLOOKUP($B24, Propostas!$B:$BE, 45, FALSE) )</f>
        <v/>
      </c>
      <c r="U24" s="31"/>
      <c r="V24" s="13" t="str">
        <f>IF($B24="","",  VLOOKUP($B24, Propostas!$B:$BE, 50, FALSE) )</f>
        <v/>
      </c>
      <c r="W24" s="13" t="str">
        <f>IF($B24="","",  VLOOKUP($B24, Propostas!$B:$BE, 51, FALSE) )</f>
        <v/>
      </c>
      <c r="X24" s="13" t="str">
        <f>IF($B24="","",  VLOOKUP($B24, Propostas!$B:$BE, 52, FALSE) )</f>
        <v/>
      </c>
      <c r="Y24" s="13" t="str">
        <f>IF($B24="","",  VLOOKUP($B24, Propostas!$B:$BE, 36, FALSE) )</f>
        <v/>
      </c>
      <c r="Z24" s="13" t="str">
        <f>IF($B24="","",  VLOOKUP($F24, VW_PROJETO!B:C, 2, FALSE) )</f>
        <v/>
      </c>
    </row>
    <row r="25" spans="2:26" x14ac:dyDescent="0.2">
      <c r="B25" s="2"/>
      <c r="C25" s="4" t="str">
        <f>IF($B25="","",  VLOOKUP($B25, Propostas!$B:$BE, 33, FALSE) )</f>
        <v/>
      </c>
      <c r="D25" s="4" t="str">
        <f>IF($B25="","",  VLOOKUP($B25, Propostas!$B:$BE, 34, FALSE) )</f>
        <v/>
      </c>
      <c r="E25" s="4" t="str">
        <f>IF($B25="","",  VLOOKUP($B25, Propostas!$B:$BE, 35, FALSE) )</f>
        <v/>
      </c>
      <c r="F25" s="4" t="str">
        <f>IF($B25="","",  VLOOKUP($B25, Propostas!$B:$BE, 2, FALSE) )</f>
        <v/>
      </c>
      <c r="G25" s="4" t="str">
        <f>IF($B25="","",  VLOOKUP($B25, Propostas!$B:$BE, 3, FALSE) )</f>
        <v/>
      </c>
      <c r="H25" s="4" t="str">
        <f>IF($B25="","",  VLOOKUP($B25, Propostas!$B:$BE, 4, FALSE) )</f>
        <v/>
      </c>
      <c r="I25" s="4" t="str">
        <f>IF($B25="","",  VLOOKUP($B25, Propostas!$B:$BE, 38, FALSE) )</f>
        <v/>
      </c>
      <c r="J25" s="13" t="str">
        <f>IF($B25="","",IF($C25="SIM", "&lt; INFRRAESTRUTURA &gt;", VLOOKUP($B25,Propostas!$B:$BE,41,FALSE)))</f>
        <v/>
      </c>
      <c r="K25" s="10" t="str">
        <f>IF($B25="","",  VLOOKUP($B25, Propostas!$B:$BE, 40, FALSE) )</f>
        <v/>
      </c>
      <c r="L25" s="10" t="str">
        <f>IF($B25="","",IF(VLOOKUP($B25,Propostas!$B:$BE,21,FALSE)=1,"B",IF(VLOOKUP($B25,Propostas!$B:$BE,21,FALSE)=2,"E","N")))</f>
        <v/>
      </c>
      <c r="M25" s="31" t="str">
        <f>IF($B25 = "", "",  VLOOKUP($B25, Propostas!$B:$BE, 46, FALSE) )</f>
        <v/>
      </c>
      <c r="N25" s="31" t="str">
        <f>IF($B25 = "", "",  VLOOKUP($B25, Propostas!$B:$BE, 47, FALSE) )</f>
        <v/>
      </c>
      <c r="O25" s="13" t="str">
        <f>IF($B25="","",IF($C25="SIM", "INFRAESTRUTURA", VLOOKUP($B25, Propostas!$B:$BE,42,FALSE)))</f>
        <v/>
      </c>
      <c r="P25" s="31" t="str">
        <f>IF($B25 = "", "",  VLOOKUP($B25, Propostas!$B:$BE, 49, FALSE) )</f>
        <v/>
      </c>
      <c r="Q25" s="13" t="str">
        <f>IF($B25="","",  VLOOKUP($B25, Propostas!$B:$BE, 39, FALSE) )</f>
        <v/>
      </c>
      <c r="R25" s="62" t="str">
        <f>IF($B25="","",  VLOOKUP($B25, Propostas!$B:$BE, 43, FALSE) )</f>
        <v/>
      </c>
      <c r="S25" s="62" t="str">
        <f>IF($B25="","",  VLOOKUP($B25, Propostas!$B:$BE, 44, FALSE) )</f>
        <v/>
      </c>
      <c r="T25" s="62" t="str">
        <f>IF($B25="","",  VLOOKUP($B25, Propostas!$B:$BE, 45, FALSE) )</f>
        <v/>
      </c>
      <c r="U25" s="31"/>
      <c r="V25" s="13" t="str">
        <f>IF($B25="","",  VLOOKUP($B25, Propostas!$B:$BE, 50, FALSE) )</f>
        <v/>
      </c>
      <c r="W25" s="13" t="str">
        <f>IF($B25="","",  VLOOKUP($B25, Propostas!$B:$BE, 51, FALSE) )</f>
        <v/>
      </c>
      <c r="X25" s="13" t="str">
        <f>IF($B25="","",  VLOOKUP($B25, Propostas!$B:$BE, 52, FALSE) )</f>
        <v/>
      </c>
      <c r="Y25" s="13" t="str">
        <f>IF($B25="","",  VLOOKUP($B25, Propostas!$B:$BE, 36, FALSE) )</f>
        <v/>
      </c>
      <c r="Z25" s="13" t="str">
        <f>IF($B25="","",  VLOOKUP($F25, VW_PROJETO!B:C, 2, FALSE) )</f>
        <v/>
      </c>
    </row>
    <row r="26" spans="2:26" x14ac:dyDescent="0.2">
      <c r="B26" s="2"/>
      <c r="C26" s="4" t="str">
        <f>IF($B26="","",  VLOOKUP($B26, Propostas!$B:$BE, 33, FALSE) )</f>
        <v/>
      </c>
      <c r="D26" s="4" t="str">
        <f>IF($B26="","",  VLOOKUP($B26, Propostas!$B:$BE, 34, FALSE) )</f>
        <v/>
      </c>
      <c r="E26" s="4" t="str">
        <f>IF($B26="","",  VLOOKUP($B26, Propostas!$B:$BE, 35, FALSE) )</f>
        <v/>
      </c>
      <c r="F26" s="4" t="str">
        <f>IF($B26="","",  VLOOKUP($B26, Propostas!$B:$BE, 2, FALSE) )</f>
        <v/>
      </c>
      <c r="G26" s="4" t="str">
        <f>IF($B26="","",  VLOOKUP($B26, Propostas!$B:$BE, 3, FALSE) )</f>
        <v/>
      </c>
      <c r="H26" s="4" t="str">
        <f>IF($B26="","",  VLOOKUP($B26, Propostas!$B:$BE, 4, FALSE) )</f>
        <v/>
      </c>
      <c r="I26" s="4" t="str">
        <f>IF($B26="","",  VLOOKUP($B26, Propostas!$B:$BE, 38, FALSE) )</f>
        <v/>
      </c>
      <c r="J26" s="13" t="str">
        <f>IF($B26="","",IF($C26="SIM", "&lt; INFRRAESTRUTURA &gt;", VLOOKUP($B26,Propostas!$B:$BE,41,FALSE)))</f>
        <v/>
      </c>
      <c r="K26" s="10" t="str">
        <f>IF($B26="","",  VLOOKUP($B26, Propostas!$B:$BE, 40, FALSE) )</f>
        <v/>
      </c>
      <c r="L26" s="10" t="str">
        <f>IF($B26="","",IF(VLOOKUP($B26,Propostas!$B:$BE,21,FALSE)=1,"B",IF(VLOOKUP($B26,Propostas!$B:$BE,21,FALSE)=2,"E","N")))</f>
        <v/>
      </c>
      <c r="M26" s="31" t="str">
        <f>IF($B26 = "", "",  VLOOKUP($B26, Propostas!$B:$BE, 46, FALSE) )</f>
        <v/>
      </c>
      <c r="N26" s="31" t="str">
        <f>IF($B26 = "", "",  VLOOKUP($B26, Propostas!$B:$BE, 47, FALSE) )</f>
        <v/>
      </c>
      <c r="O26" s="13" t="str">
        <f>IF($B26="","",IF($C26="SIM", "INFRAESTRUTURA", VLOOKUP($B26, Propostas!$B:$BE,42,FALSE)))</f>
        <v/>
      </c>
      <c r="P26" s="31" t="str">
        <f>IF($B26 = "", "",  VLOOKUP($B26, Propostas!$B:$BE, 49, FALSE) )</f>
        <v/>
      </c>
      <c r="Q26" s="13" t="str">
        <f>IF($B26="","",  VLOOKUP($B26, Propostas!$B:$BE, 39, FALSE) )</f>
        <v/>
      </c>
      <c r="R26" s="62" t="str">
        <f>IF($B26="","",  VLOOKUP($B26, Propostas!$B:$BE, 43, FALSE) )</f>
        <v/>
      </c>
      <c r="S26" s="62" t="str">
        <f>IF($B26="","",  VLOOKUP($B26, Propostas!$B:$BE, 44, FALSE) )</f>
        <v/>
      </c>
      <c r="T26" s="62" t="str">
        <f>IF($B26="","",  VLOOKUP($B26, Propostas!$B:$BE, 45, FALSE) )</f>
        <v/>
      </c>
      <c r="U26" s="31"/>
      <c r="V26" s="13" t="str">
        <f>IF($B26="","",  VLOOKUP($B26, Propostas!$B:$BE, 50, FALSE) )</f>
        <v/>
      </c>
      <c r="W26" s="13" t="str">
        <f>IF($B26="","",  VLOOKUP($B26, Propostas!$B:$BE, 51, FALSE) )</f>
        <v/>
      </c>
      <c r="X26" s="13" t="str">
        <f>IF($B26="","",  VLOOKUP($B26, Propostas!$B:$BE, 52, FALSE) )</f>
        <v/>
      </c>
      <c r="Y26" s="13" t="str">
        <f>IF($B26="","",  VLOOKUP($B26, Propostas!$B:$BE, 36, FALSE) )</f>
        <v/>
      </c>
      <c r="Z26" s="13" t="str">
        <f>IF($B26="","",  VLOOKUP($F26, VW_PROJETO!B:C, 2, FALSE) )</f>
        <v/>
      </c>
    </row>
    <row r="27" spans="2:26" x14ac:dyDescent="0.2">
      <c r="B27" s="2"/>
      <c r="C27" s="4" t="str">
        <f>IF($B27="","",  VLOOKUP($B27, Propostas!$B:$BE, 33, FALSE) )</f>
        <v/>
      </c>
      <c r="D27" s="4" t="str">
        <f>IF($B27="","",  VLOOKUP($B27, Propostas!$B:$BE, 34, FALSE) )</f>
        <v/>
      </c>
      <c r="E27" s="4" t="str">
        <f>IF($B27="","",  VLOOKUP($B27, Propostas!$B:$BE, 35, FALSE) )</f>
        <v/>
      </c>
      <c r="F27" s="4" t="str">
        <f>IF($B27="","",  VLOOKUP($B27, Propostas!$B:$BE, 2, FALSE) )</f>
        <v/>
      </c>
      <c r="G27" s="4" t="str">
        <f>IF($B27="","",  VLOOKUP($B27, Propostas!$B:$BE, 3, FALSE) )</f>
        <v/>
      </c>
      <c r="H27" s="4" t="str">
        <f>IF($B27="","",  VLOOKUP($B27, Propostas!$B:$BE, 4, FALSE) )</f>
        <v/>
      </c>
      <c r="I27" s="4" t="str">
        <f>IF($B27="","",  VLOOKUP($B27, Propostas!$B:$BE, 38, FALSE) )</f>
        <v/>
      </c>
      <c r="J27" s="13" t="str">
        <f>IF($B27="","",IF($C27="SIM", "&lt; INFRRAESTRUTURA &gt;", VLOOKUP($B27,Propostas!$B:$BE,41,FALSE)))</f>
        <v/>
      </c>
      <c r="K27" s="10" t="str">
        <f>IF($B27="","",  VLOOKUP($B27, Propostas!$B:$BE, 40, FALSE) )</f>
        <v/>
      </c>
      <c r="L27" s="10" t="str">
        <f>IF($B27="","",IF(VLOOKUP($B27,Propostas!$B:$BE,21,FALSE)=1,"B",IF(VLOOKUP($B27,Propostas!$B:$BE,21,FALSE)=2,"E","N")))</f>
        <v/>
      </c>
      <c r="M27" s="31" t="str">
        <f>IF($B27 = "", "",  VLOOKUP($B27, Propostas!$B:$BE, 46, FALSE) )</f>
        <v/>
      </c>
      <c r="N27" s="31" t="str">
        <f>IF($B27 = "", "",  VLOOKUP($B27, Propostas!$B:$BE, 47, FALSE) )</f>
        <v/>
      </c>
      <c r="O27" s="13" t="str">
        <f>IF($B27="","",IF($C27="SIM", "INFRAESTRUTURA", VLOOKUP($B27, Propostas!$B:$BE,42,FALSE)))</f>
        <v/>
      </c>
      <c r="P27" s="31" t="str">
        <f>IF($B27 = "", "",  VLOOKUP($B27, Propostas!$B:$BE, 49, FALSE) )</f>
        <v/>
      </c>
      <c r="Q27" s="13" t="str">
        <f>IF($B27="","",  VLOOKUP($B27, Propostas!$B:$BE, 39, FALSE) )</f>
        <v/>
      </c>
      <c r="R27" s="62" t="str">
        <f>IF($B27="","",  VLOOKUP($B27, Propostas!$B:$BE, 43, FALSE) )</f>
        <v/>
      </c>
      <c r="S27" s="62" t="str">
        <f>IF($B27="","",  VLOOKUP($B27, Propostas!$B:$BE, 44, FALSE) )</f>
        <v/>
      </c>
      <c r="T27" s="62" t="str">
        <f>IF($B27="","",  VLOOKUP($B27, Propostas!$B:$BE, 45, FALSE) )</f>
        <v/>
      </c>
      <c r="U27" s="31"/>
      <c r="V27" s="13" t="str">
        <f>IF($B27="","",  VLOOKUP($B27, Propostas!$B:$BE, 50, FALSE) )</f>
        <v/>
      </c>
      <c r="W27" s="13" t="str">
        <f>IF($B27="","",  VLOOKUP($B27, Propostas!$B:$BE, 51, FALSE) )</f>
        <v/>
      </c>
      <c r="X27" s="13" t="str">
        <f>IF($B27="","",  VLOOKUP($B27, Propostas!$B:$BE, 52, FALSE) )</f>
        <v/>
      </c>
      <c r="Y27" s="13" t="str">
        <f>IF($B27="","",  VLOOKUP($B27, Propostas!$B:$BE, 36, FALSE) )</f>
        <v/>
      </c>
      <c r="Z27" s="13" t="str">
        <f>IF($B27="","",  VLOOKUP($F27, VW_PROJETO!B:C, 2, FALSE) )</f>
        <v/>
      </c>
    </row>
    <row r="28" spans="2:26" x14ac:dyDescent="0.2">
      <c r="B28" s="2"/>
      <c r="C28" s="4" t="str">
        <f>IF($B28="","",  VLOOKUP($B28, Propostas!$B:$BE, 33, FALSE) )</f>
        <v/>
      </c>
      <c r="D28" s="4" t="str">
        <f>IF($B28="","",  VLOOKUP($B28, Propostas!$B:$BE, 34, FALSE) )</f>
        <v/>
      </c>
      <c r="E28" s="4" t="str">
        <f>IF($B28="","",  VLOOKUP($B28, Propostas!$B:$BE, 35, FALSE) )</f>
        <v/>
      </c>
      <c r="F28" s="4" t="str">
        <f>IF($B28="","",  VLOOKUP($B28, Propostas!$B:$BE, 2, FALSE) )</f>
        <v/>
      </c>
      <c r="G28" s="4" t="str">
        <f>IF($B28="","",  VLOOKUP($B28, Propostas!$B:$BE, 3, FALSE) )</f>
        <v/>
      </c>
      <c r="H28" s="4" t="str">
        <f>IF($B28="","",  VLOOKUP($B28, Propostas!$B:$BE, 4, FALSE) )</f>
        <v/>
      </c>
      <c r="I28" s="4" t="str">
        <f>IF($B28="","",  VLOOKUP($B28, Propostas!$B:$BE, 38, FALSE) )</f>
        <v/>
      </c>
      <c r="J28" s="13" t="str">
        <f>IF($B28="","",IF($C28="SIM", "&lt; INFRRAESTRUTURA &gt;", VLOOKUP($B28,Propostas!$B:$BE,41,FALSE)))</f>
        <v/>
      </c>
      <c r="K28" s="10" t="str">
        <f>IF($B28="","",  VLOOKUP($B28, Propostas!$B:$BE, 40, FALSE) )</f>
        <v/>
      </c>
      <c r="L28" s="10" t="str">
        <f>IF($B28="","",IF(VLOOKUP($B28,Propostas!$B:$BE,21,FALSE)=1,"B",IF(VLOOKUP($B28,Propostas!$B:$BE,21,FALSE)=2,"E","N")))</f>
        <v/>
      </c>
      <c r="M28" s="31" t="str">
        <f>IF($B28 = "", "",  VLOOKUP($B28, Propostas!$B:$BE, 46, FALSE) )</f>
        <v/>
      </c>
      <c r="N28" s="31" t="str">
        <f>IF($B28 = "", "",  VLOOKUP($B28, Propostas!$B:$BE, 47, FALSE) )</f>
        <v/>
      </c>
      <c r="O28" s="13" t="str">
        <f>IF($B28="","",IF($C28="SIM", "INFRAESTRUTURA", VLOOKUP($B28, Propostas!$B:$BE,42,FALSE)))</f>
        <v/>
      </c>
      <c r="P28" s="31" t="str">
        <f>IF($B28 = "", "",  VLOOKUP($B28, Propostas!$B:$BE, 49, FALSE) )</f>
        <v/>
      </c>
      <c r="Q28" s="13" t="str">
        <f>IF($B28="","",  VLOOKUP($B28, Propostas!$B:$BE, 39, FALSE) )</f>
        <v/>
      </c>
      <c r="R28" s="62" t="str">
        <f>IF($B28="","",  VLOOKUP($B28, Propostas!$B:$BE, 43, FALSE) )</f>
        <v/>
      </c>
      <c r="S28" s="62" t="str">
        <f>IF($B28="","",  VLOOKUP($B28, Propostas!$B:$BE, 44, FALSE) )</f>
        <v/>
      </c>
      <c r="T28" s="62" t="str">
        <f>IF($B28="","",  VLOOKUP($B28, Propostas!$B:$BE, 45, FALSE) )</f>
        <v/>
      </c>
      <c r="U28" s="31"/>
      <c r="V28" s="13" t="str">
        <f>IF($B28="","",  VLOOKUP($B28, Propostas!$B:$BE, 50, FALSE) )</f>
        <v/>
      </c>
      <c r="W28" s="13" t="str">
        <f>IF($B28="","",  VLOOKUP($B28, Propostas!$B:$BE, 51, FALSE) )</f>
        <v/>
      </c>
      <c r="X28" s="13" t="str">
        <f>IF($B28="","",  VLOOKUP($B28, Propostas!$B:$BE, 52, FALSE) )</f>
        <v/>
      </c>
      <c r="Y28" s="13" t="str">
        <f>IF($B28="","",  VLOOKUP($B28, Propostas!$B:$BE, 36, FALSE) )</f>
        <v/>
      </c>
      <c r="Z28" s="13" t="str">
        <f>IF($B28="","",  VLOOKUP($F28, VW_PROJETO!B:C, 2, FALSE) )</f>
        <v/>
      </c>
    </row>
    <row r="29" spans="2:26" x14ac:dyDescent="0.2">
      <c r="B29" s="2"/>
      <c r="C29" s="4" t="str">
        <f>IF($B29="","",  VLOOKUP($B29, Propostas!$B:$BE, 33, FALSE) )</f>
        <v/>
      </c>
      <c r="D29" s="4" t="str">
        <f>IF($B29="","",  VLOOKUP($B29, Propostas!$B:$BE, 34, FALSE) )</f>
        <v/>
      </c>
      <c r="E29" s="4" t="str">
        <f>IF($B29="","",  VLOOKUP($B29, Propostas!$B:$BE, 35, FALSE) )</f>
        <v/>
      </c>
      <c r="F29" s="4" t="str">
        <f>IF($B29="","",  VLOOKUP($B29, Propostas!$B:$BE, 2, FALSE) )</f>
        <v/>
      </c>
      <c r="G29" s="4" t="str">
        <f>IF($B29="","",  VLOOKUP($B29, Propostas!$B:$BE, 3, FALSE) )</f>
        <v/>
      </c>
      <c r="H29" s="4" t="str">
        <f>IF($B29="","",  VLOOKUP($B29, Propostas!$B:$BE, 4, FALSE) )</f>
        <v/>
      </c>
      <c r="I29" s="4" t="str">
        <f>IF($B29="","",  VLOOKUP($B29, Propostas!$B:$BE, 38, FALSE) )</f>
        <v/>
      </c>
      <c r="J29" s="13" t="str">
        <f>IF($B29="","",IF($C29="SIM", "&lt; INFRRAESTRUTURA &gt;", VLOOKUP($B29,Propostas!$B:$BE,41,FALSE)))</f>
        <v/>
      </c>
      <c r="K29" s="10" t="str">
        <f>IF($B29="","",  VLOOKUP($B29, Propostas!$B:$BE, 40, FALSE) )</f>
        <v/>
      </c>
      <c r="L29" s="10" t="str">
        <f>IF($B29="","",IF(VLOOKUP($B29,Propostas!$B:$BE,21,FALSE)=1,"B",IF(VLOOKUP($B29,Propostas!$B:$BE,21,FALSE)=2,"E","N")))</f>
        <v/>
      </c>
      <c r="M29" s="31" t="str">
        <f>IF($B29 = "", "",  VLOOKUP($B29, Propostas!$B:$BE, 46, FALSE) )</f>
        <v/>
      </c>
      <c r="N29" s="31" t="str">
        <f>IF($B29 = "", "",  VLOOKUP($B29, Propostas!$B:$BE, 47, FALSE) )</f>
        <v/>
      </c>
      <c r="O29" s="13" t="str">
        <f>IF($B29="","",IF($C29="SIM", "INFRAESTRUTURA", VLOOKUP($B29, Propostas!$B:$BE,42,FALSE)))</f>
        <v/>
      </c>
      <c r="P29" s="31" t="str">
        <f>IF($B29 = "", "",  VLOOKUP($B29, Propostas!$B:$BE, 49, FALSE) )</f>
        <v/>
      </c>
      <c r="Q29" s="13" t="str">
        <f>IF($B29="","",  VLOOKUP($B29, Propostas!$B:$BE, 39, FALSE) )</f>
        <v/>
      </c>
      <c r="R29" s="62" t="str">
        <f>IF($B29="","",  VLOOKUP($B29, Propostas!$B:$BE, 43, FALSE) )</f>
        <v/>
      </c>
      <c r="S29" s="62" t="str">
        <f>IF($B29="","",  VLOOKUP($B29, Propostas!$B:$BE, 44, FALSE) )</f>
        <v/>
      </c>
      <c r="T29" s="62" t="str">
        <f>IF($B29="","",  VLOOKUP($B29, Propostas!$B:$BE, 45, FALSE) )</f>
        <v/>
      </c>
      <c r="U29" s="31"/>
      <c r="V29" s="13" t="str">
        <f>IF($B29="","",  VLOOKUP($B29, Propostas!$B:$BE, 50, FALSE) )</f>
        <v/>
      </c>
      <c r="W29" s="13" t="str">
        <f>IF($B29="","",  VLOOKUP($B29, Propostas!$B:$BE, 51, FALSE) )</f>
        <v/>
      </c>
      <c r="X29" s="13" t="str">
        <f>IF($B29="","",  VLOOKUP($B29, Propostas!$B:$BE, 52, FALSE) )</f>
        <v/>
      </c>
      <c r="Y29" s="13" t="str">
        <f>IF($B29="","",  VLOOKUP($B29, Propostas!$B:$BE, 36, FALSE) )</f>
        <v/>
      </c>
      <c r="Z29" s="13" t="str">
        <f>IF($B29="","",  VLOOKUP($F29, VW_PROJETO!B:C, 2, FALSE) )</f>
        <v/>
      </c>
    </row>
    <row r="30" spans="2:26" x14ac:dyDescent="0.2">
      <c r="B30" s="2"/>
      <c r="C30" s="4" t="str">
        <f>IF($B30="","",  VLOOKUP($B30, Propostas!$B:$BE, 33, FALSE) )</f>
        <v/>
      </c>
      <c r="D30" s="4" t="str">
        <f>IF($B30="","",  VLOOKUP($B30, Propostas!$B:$BE, 34, FALSE) )</f>
        <v/>
      </c>
      <c r="E30" s="4" t="str">
        <f>IF($B30="","",  VLOOKUP($B30, Propostas!$B:$BE, 35, FALSE) )</f>
        <v/>
      </c>
      <c r="F30" s="4" t="str">
        <f>IF($B30="","",  VLOOKUP($B30, Propostas!$B:$BE, 2, FALSE) )</f>
        <v/>
      </c>
      <c r="G30" s="4" t="str">
        <f>IF($B30="","",  VLOOKUP($B30, Propostas!$B:$BE, 3, FALSE) )</f>
        <v/>
      </c>
      <c r="H30" s="4" t="str">
        <f>IF($B30="","",  VLOOKUP($B30, Propostas!$B:$BE, 4, FALSE) )</f>
        <v/>
      </c>
      <c r="I30" s="4" t="str">
        <f>IF($B30="","",  VLOOKUP($B30, Propostas!$B:$BE, 38, FALSE) )</f>
        <v/>
      </c>
      <c r="J30" s="13" t="str">
        <f>IF($B30="","",IF($C30="SIM", "&lt; INFRRAESTRUTURA &gt;", VLOOKUP($B30,Propostas!$B:$BE,41,FALSE)))</f>
        <v/>
      </c>
      <c r="K30" s="10" t="str">
        <f>IF($B30="","",  VLOOKUP($B30, Propostas!$B:$BE, 40, FALSE) )</f>
        <v/>
      </c>
      <c r="L30" s="10" t="str">
        <f>IF($B30="","",IF(VLOOKUP($B30,Propostas!$B:$BE,21,FALSE)=1,"B",IF(VLOOKUP($B30,Propostas!$B:$BE,21,FALSE)=2,"E","N")))</f>
        <v/>
      </c>
      <c r="M30" s="31" t="str">
        <f>IF($B30 = "", "",  VLOOKUP($B30, Propostas!$B:$BE, 46, FALSE) )</f>
        <v/>
      </c>
      <c r="N30" s="31" t="str">
        <f>IF($B30 = "", "",  VLOOKUP($B30, Propostas!$B:$BE, 47, FALSE) )</f>
        <v/>
      </c>
      <c r="O30" s="13" t="str">
        <f>IF($B30="","",IF($C30="SIM", "INFRAESTRUTURA", VLOOKUP($B30, Propostas!$B:$BE,42,FALSE)))</f>
        <v/>
      </c>
      <c r="P30" s="31" t="str">
        <f>IF($B30 = "", "",  VLOOKUP($B30, Propostas!$B:$BE, 49, FALSE) )</f>
        <v/>
      </c>
      <c r="Q30" s="13" t="str">
        <f>IF($B30="","",  VLOOKUP($B30, Propostas!$B:$BE, 39, FALSE) )</f>
        <v/>
      </c>
      <c r="R30" s="62" t="str">
        <f>IF($B30="","",  VLOOKUP($B30, Propostas!$B:$BE, 43, FALSE) )</f>
        <v/>
      </c>
      <c r="S30" s="62" t="str">
        <f>IF($B30="","",  VLOOKUP($B30, Propostas!$B:$BE, 44, FALSE) )</f>
        <v/>
      </c>
      <c r="T30" s="62" t="str">
        <f>IF($B30="","",  VLOOKUP($B30, Propostas!$B:$BE, 45, FALSE) )</f>
        <v/>
      </c>
      <c r="U30" s="31"/>
      <c r="V30" s="13" t="str">
        <f>IF($B30="","",  VLOOKUP($B30, Propostas!$B:$BE, 50, FALSE) )</f>
        <v/>
      </c>
      <c r="W30" s="13" t="str">
        <f>IF($B30="","",  VLOOKUP($B30, Propostas!$B:$BE, 51, FALSE) )</f>
        <v/>
      </c>
      <c r="X30" s="13" t="str">
        <f>IF($B30="","",  VLOOKUP($B30, Propostas!$B:$BE, 52, FALSE) )</f>
        <v/>
      </c>
      <c r="Y30" s="13" t="str">
        <f>IF($B30="","",  VLOOKUP($B30, Propostas!$B:$BE, 36, FALSE) )</f>
        <v/>
      </c>
      <c r="Z30" s="13" t="str">
        <f>IF($B30="","",  VLOOKUP($F30, VW_PROJETO!B:C, 2, FALSE) )</f>
        <v/>
      </c>
    </row>
    <row r="31" spans="2:26" x14ac:dyDescent="0.2">
      <c r="B31" s="2"/>
      <c r="C31" s="4" t="str">
        <f>IF($B31="","",  VLOOKUP($B31, Propostas!$B:$BE, 33, FALSE) )</f>
        <v/>
      </c>
      <c r="D31" s="4" t="str">
        <f>IF($B31="","",  VLOOKUP($B31, Propostas!$B:$BE, 34, FALSE) )</f>
        <v/>
      </c>
      <c r="E31" s="4" t="str">
        <f>IF($B31="","",  VLOOKUP($B31, Propostas!$B:$BE, 35, FALSE) )</f>
        <v/>
      </c>
      <c r="F31" s="4" t="str">
        <f>IF($B31="","",  VLOOKUP($B31, Propostas!$B:$BE, 2, FALSE) )</f>
        <v/>
      </c>
      <c r="G31" s="4" t="str">
        <f>IF($B31="","",  VLOOKUP($B31, Propostas!$B:$BE, 3, FALSE) )</f>
        <v/>
      </c>
      <c r="H31" s="4" t="str">
        <f>IF($B31="","",  VLOOKUP($B31, Propostas!$B:$BE, 4, FALSE) )</f>
        <v/>
      </c>
      <c r="I31" s="4" t="str">
        <f>IF($B31="","",  VLOOKUP($B31, Propostas!$B:$BE, 38, FALSE) )</f>
        <v/>
      </c>
      <c r="J31" s="13" t="str">
        <f>IF($B31="","",IF($C31="SIM", "&lt; INFRRAESTRUTURA &gt;", VLOOKUP($B31,Propostas!$B:$BE,41,FALSE)))</f>
        <v/>
      </c>
      <c r="K31" s="10" t="str">
        <f>IF($B31="","",  VLOOKUP($B31, Propostas!$B:$BE, 40, FALSE) )</f>
        <v/>
      </c>
      <c r="L31" s="10" t="str">
        <f>IF($B31="","",IF(VLOOKUP($B31,Propostas!$B:$BE,21,FALSE)=1,"B",IF(VLOOKUP($B31,Propostas!$B:$BE,21,FALSE)=2,"E","N")))</f>
        <v/>
      </c>
      <c r="M31" s="31" t="str">
        <f>IF($B31 = "", "",  VLOOKUP($B31, Propostas!$B:$BE, 46, FALSE) )</f>
        <v/>
      </c>
      <c r="N31" s="31" t="str">
        <f>IF($B31 = "", "",  VLOOKUP($B31, Propostas!$B:$BE, 47, FALSE) )</f>
        <v/>
      </c>
      <c r="O31" s="13" t="str">
        <f>IF($B31="","",IF($C31="SIM", "INFRAESTRUTURA", VLOOKUP($B31, Propostas!$B:$BE,42,FALSE)))</f>
        <v/>
      </c>
      <c r="P31" s="31" t="str">
        <f>IF($B31 = "", "",  VLOOKUP($B31, Propostas!$B:$BE, 49, FALSE) )</f>
        <v/>
      </c>
      <c r="Q31" s="13" t="str">
        <f>IF($B31="","",  VLOOKUP($B31, Propostas!$B:$BE, 39, FALSE) )</f>
        <v/>
      </c>
      <c r="R31" s="62" t="str">
        <f>IF($B31="","",  VLOOKUP($B31, Propostas!$B:$BE, 43, FALSE) )</f>
        <v/>
      </c>
      <c r="S31" s="62" t="str">
        <f>IF($B31="","",  VLOOKUP($B31, Propostas!$B:$BE, 44, FALSE) )</f>
        <v/>
      </c>
      <c r="T31" s="62" t="str">
        <f>IF($B31="","",  VLOOKUP($B31, Propostas!$B:$BE, 45, FALSE) )</f>
        <v/>
      </c>
      <c r="U31" s="31"/>
      <c r="V31" s="13" t="str">
        <f>IF($B31="","",  VLOOKUP($B31, Propostas!$B:$BE, 50, FALSE) )</f>
        <v/>
      </c>
      <c r="W31" s="13" t="str">
        <f>IF($B31="","",  VLOOKUP($B31, Propostas!$B:$BE, 51, FALSE) )</f>
        <v/>
      </c>
      <c r="X31" s="13" t="str">
        <f>IF($B31="","",  VLOOKUP($B31, Propostas!$B:$BE, 52, FALSE) )</f>
        <v/>
      </c>
      <c r="Y31" s="13" t="str">
        <f>IF($B31="","",  VLOOKUP($B31, Propostas!$B:$BE, 36, FALSE) )</f>
        <v/>
      </c>
      <c r="Z31" s="13" t="str">
        <f>IF($B31="","",  VLOOKUP($F31, VW_PROJETO!B:C, 2, FALSE) )</f>
        <v/>
      </c>
    </row>
    <row r="32" spans="2:26" x14ac:dyDescent="0.2">
      <c r="B32" s="2"/>
      <c r="C32" s="4" t="str">
        <f>IF($B32="","",  VLOOKUP($B32, Propostas!$B:$BE, 33, FALSE) )</f>
        <v/>
      </c>
      <c r="D32" s="4" t="str">
        <f>IF($B32="","",  VLOOKUP($B32, Propostas!$B:$BE, 34, FALSE) )</f>
        <v/>
      </c>
      <c r="E32" s="4" t="str">
        <f>IF($B32="","",  VLOOKUP($B32, Propostas!$B:$BE, 35, FALSE) )</f>
        <v/>
      </c>
      <c r="F32" s="4" t="str">
        <f>IF($B32="","",  VLOOKUP($B32, Propostas!$B:$BE, 2, FALSE) )</f>
        <v/>
      </c>
      <c r="G32" s="4" t="str">
        <f>IF($B32="","",  VLOOKUP($B32, Propostas!$B:$BE, 3, FALSE) )</f>
        <v/>
      </c>
      <c r="H32" s="4" t="str">
        <f>IF($B32="","",  VLOOKUP($B32, Propostas!$B:$BE, 4, FALSE) )</f>
        <v/>
      </c>
      <c r="I32" s="4" t="str">
        <f>IF($B32="","",  VLOOKUP($B32, Propostas!$B:$BE, 38, FALSE) )</f>
        <v/>
      </c>
      <c r="J32" s="13" t="str">
        <f>IF($B32="","",IF($C32="SIM", "&lt; INFRRAESTRUTURA &gt;", VLOOKUP($B32,Propostas!$B:$BE,41,FALSE)))</f>
        <v/>
      </c>
      <c r="K32" s="10" t="str">
        <f>IF($B32="","",  VLOOKUP($B32, Propostas!$B:$BE, 40, FALSE) )</f>
        <v/>
      </c>
      <c r="L32" s="10" t="str">
        <f>IF($B32="","",IF(VLOOKUP($B32,Propostas!$B:$BE,21,FALSE)=1,"B",IF(VLOOKUP($B32,Propostas!$B:$BE,21,FALSE)=2,"E","N")))</f>
        <v/>
      </c>
      <c r="M32" s="31" t="str">
        <f>IF($B32 = "", "",  VLOOKUP($B32, Propostas!$B:$BE, 46, FALSE) )</f>
        <v/>
      </c>
      <c r="N32" s="31" t="str">
        <f>IF($B32 = "", "",  VLOOKUP($B32, Propostas!$B:$BE, 47, FALSE) )</f>
        <v/>
      </c>
      <c r="O32" s="13" t="str">
        <f>IF($B32="","",IF($C32="SIM", "INFRAESTRUTURA", VLOOKUP($B32, Propostas!$B:$BE,42,FALSE)))</f>
        <v/>
      </c>
      <c r="P32" s="31" t="str">
        <f>IF($B32 = "", "",  VLOOKUP($B32, Propostas!$B:$BE, 49, FALSE) )</f>
        <v/>
      </c>
      <c r="Q32" s="13" t="str">
        <f>IF($B32="","",  VLOOKUP($B32, Propostas!$B:$BE, 39, FALSE) )</f>
        <v/>
      </c>
      <c r="R32" s="62" t="str">
        <f>IF($B32="","",  VLOOKUP($B32, Propostas!$B:$BE, 43, FALSE) )</f>
        <v/>
      </c>
      <c r="S32" s="62" t="str">
        <f>IF($B32="","",  VLOOKUP($B32, Propostas!$B:$BE, 44, FALSE) )</f>
        <v/>
      </c>
      <c r="T32" s="62" t="str">
        <f>IF($B32="","",  VLOOKUP($B32, Propostas!$B:$BE, 45, FALSE) )</f>
        <v/>
      </c>
      <c r="U32" s="31"/>
      <c r="V32" s="13" t="str">
        <f>IF($B32="","",  VLOOKUP($B32, Propostas!$B:$BE, 50, FALSE) )</f>
        <v/>
      </c>
      <c r="W32" s="13" t="str">
        <f>IF($B32="","",  VLOOKUP($B32, Propostas!$B:$BE, 51, FALSE) )</f>
        <v/>
      </c>
      <c r="X32" s="13" t="str">
        <f>IF($B32="","",  VLOOKUP($B32, Propostas!$B:$BE, 52, FALSE) )</f>
        <v/>
      </c>
      <c r="Y32" s="13" t="str">
        <f>IF($B32="","",  VLOOKUP($B32, Propostas!$B:$BE, 36, FALSE) )</f>
        <v/>
      </c>
      <c r="Z32" s="13" t="str">
        <f>IF($B32="","",  VLOOKUP($F32, VW_PROJETO!B:C, 2, FALSE) )</f>
        <v/>
      </c>
    </row>
    <row r="33" spans="1:26" x14ac:dyDescent="0.2">
      <c r="B33" s="2"/>
      <c r="C33" s="4" t="str">
        <f>IF($B33="","",  VLOOKUP($B33, Propostas!$B:$BE, 33, FALSE) )</f>
        <v/>
      </c>
      <c r="D33" s="4" t="str">
        <f>IF($B33="","",  VLOOKUP($B33, Propostas!$B:$BE, 34, FALSE) )</f>
        <v/>
      </c>
      <c r="E33" s="4" t="str">
        <f>IF($B33="","",  VLOOKUP($B33, Propostas!$B:$BE, 35, FALSE) )</f>
        <v/>
      </c>
      <c r="F33" s="4" t="str">
        <f>IF($B33="","",  VLOOKUP($B33, Propostas!$B:$BE, 2, FALSE) )</f>
        <v/>
      </c>
      <c r="G33" s="4" t="str">
        <f>IF($B33="","",  VLOOKUP($B33, Propostas!$B:$BE, 3, FALSE) )</f>
        <v/>
      </c>
      <c r="H33" s="4" t="str">
        <f>IF($B33="","",  VLOOKUP($B33, Propostas!$B:$BE, 4, FALSE) )</f>
        <v/>
      </c>
      <c r="I33" s="4" t="str">
        <f>IF($B33="","",  VLOOKUP($B33, Propostas!$B:$BE, 38, FALSE) )</f>
        <v/>
      </c>
      <c r="J33" s="13" t="str">
        <f>IF($B33="","",IF($C33="SIM", "&lt; INFRRAESTRUTURA &gt;", VLOOKUP($B33,Propostas!$B:$BE,41,FALSE)))</f>
        <v/>
      </c>
      <c r="K33" s="10" t="str">
        <f>IF($B33="","",  VLOOKUP($B33, Propostas!$B:$BE, 40, FALSE) )</f>
        <v/>
      </c>
      <c r="L33" s="10" t="str">
        <f>IF($B33="","",IF(VLOOKUP($B33,Propostas!$B:$BE,21,FALSE)=1,"B",IF(VLOOKUP($B33,Propostas!$B:$BE,21,FALSE)=2,"E","N")))</f>
        <v/>
      </c>
      <c r="M33" s="31" t="str">
        <f>IF($B33 = "", "",  VLOOKUP($B33, Propostas!$B:$BE, 46, FALSE) )</f>
        <v/>
      </c>
      <c r="N33" s="31" t="str">
        <f>IF($B33 = "", "",  VLOOKUP($B33, Propostas!$B:$BE, 47, FALSE) )</f>
        <v/>
      </c>
      <c r="O33" s="13" t="str">
        <f>IF($B33="","",IF($C33="SIM", "INFRAESTRUTURA", VLOOKUP($B33, Propostas!$B:$BE,42,FALSE)))</f>
        <v/>
      </c>
      <c r="P33" s="31" t="str">
        <f>IF($B33 = "", "",  VLOOKUP($B33, Propostas!$B:$BE, 49, FALSE) )</f>
        <v/>
      </c>
      <c r="Q33" s="13" t="str">
        <f>IF($B33="","",  VLOOKUP($B33, Propostas!$B:$BE, 39, FALSE) )</f>
        <v/>
      </c>
      <c r="R33" s="62" t="str">
        <f>IF($B33="","",  VLOOKUP($B33, Propostas!$B:$BE, 43, FALSE) )</f>
        <v/>
      </c>
      <c r="S33" s="62" t="str">
        <f>IF($B33="","",  VLOOKUP($B33, Propostas!$B:$BE, 44, FALSE) )</f>
        <v/>
      </c>
      <c r="T33" s="62" t="str">
        <f>IF($B33="","",  VLOOKUP($B33, Propostas!$B:$BE, 45, FALSE) )</f>
        <v/>
      </c>
      <c r="U33" s="31"/>
      <c r="V33" s="13" t="str">
        <f>IF($B33="","",  VLOOKUP($B33, Propostas!$B:$BE, 50, FALSE) )</f>
        <v/>
      </c>
      <c r="W33" s="13" t="str">
        <f>IF($B33="","",  VLOOKUP($B33, Propostas!$B:$BE, 51, FALSE) )</f>
        <v/>
      </c>
      <c r="X33" s="13" t="str">
        <f>IF($B33="","",  VLOOKUP($B33, Propostas!$B:$BE, 52, FALSE) )</f>
        <v/>
      </c>
      <c r="Y33" s="13" t="str">
        <f>IF($B33="","",  VLOOKUP($B33, Propostas!$B:$BE, 36, FALSE) )</f>
        <v/>
      </c>
      <c r="Z33" s="13" t="str">
        <f>IF($B33="","",  VLOOKUP($F33, VW_PROJETO!B:C, 2, FALSE) )</f>
        <v/>
      </c>
    </row>
    <row r="34" spans="1:26" x14ac:dyDescent="0.2">
      <c r="B34" s="2"/>
      <c r="C34" s="4" t="str">
        <f>IF($B34="","",  VLOOKUP($B34, Propostas!$B:$BE, 33, FALSE) )</f>
        <v/>
      </c>
      <c r="D34" s="4" t="str">
        <f>IF($B34="","",  VLOOKUP($B34, Propostas!$B:$BE, 34, FALSE) )</f>
        <v/>
      </c>
      <c r="E34" s="4" t="str">
        <f>IF($B34="","",  VLOOKUP($B34, Propostas!$B:$BE, 35, FALSE) )</f>
        <v/>
      </c>
      <c r="F34" s="4" t="str">
        <f>IF($B34="","",  VLOOKUP($B34, Propostas!$B:$BE, 2, FALSE) )</f>
        <v/>
      </c>
      <c r="G34" s="4" t="str">
        <f>IF($B34="","",  VLOOKUP($B34, Propostas!$B:$BE, 3, FALSE) )</f>
        <v/>
      </c>
      <c r="H34" s="4" t="str">
        <f>IF($B34="","",  VLOOKUP($B34, Propostas!$B:$BE, 4, FALSE) )</f>
        <v/>
      </c>
      <c r="I34" s="4" t="str">
        <f>IF($B34="","",  VLOOKUP($B34, Propostas!$B:$BE, 38, FALSE) )</f>
        <v/>
      </c>
      <c r="J34" s="13" t="str">
        <f>IF($B34="","",IF($C34="SIM", "&lt; INFRRAESTRUTURA &gt;", VLOOKUP($B34,Propostas!$B:$BE,41,FALSE)))</f>
        <v/>
      </c>
      <c r="K34" s="10" t="str">
        <f>IF($B34="","",  VLOOKUP($B34, Propostas!$B:$BE, 40, FALSE) )</f>
        <v/>
      </c>
      <c r="L34" s="10" t="str">
        <f>IF($B34="","",IF(VLOOKUP($B34,Propostas!$B:$BE,21,FALSE)=1,"B",IF(VLOOKUP($B34,Propostas!$B:$BE,21,FALSE)=2,"E","N")))</f>
        <v/>
      </c>
      <c r="M34" s="31" t="str">
        <f>IF($B34 = "", "",  VLOOKUP($B34, Propostas!$B:$BE, 46, FALSE) )</f>
        <v/>
      </c>
      <c r="N34" s="31" t="str">
        <f>IF($B34 = "", "",  VLOOKUP($B34, Propostas!$B:$BE, 47, FALSE) )</f>
        <v/>
      </c>
      <c r="O34" s="13" t="str">
        <f>IF($B34="","",IF($C34="SIM", "INFRAESTRUTURA", VLOOKUP($B34, Propostas!$B:$BE,42,FALSE)))</f>
        <v/>
      </c>
      <c r="P34" s="31" t="str">
        <f>IF($B34 = "", "",  VLOOKUP($B34, Propostas!$B:$BE, 49, FALSE) )</f>
        <v/>
      </c>
      <c r="Q34" s="13" t="str">
        <f>IF($B34="","",  VLOOKUP($B34, Propostas!$B:$BE, 39, FALSE) )</f>
        <v/>
      </c>
      <c r="R34" s="62" t="str">
        <f>IF($B34="","",  VLOOKUP($B34, Propostas!$B:$BE, 43, FALSE) )</f>
        <v/>
      </c>
      <c r="S34" s="62" t="str">
        <f>IF($B34="","",  VLOOKUP($B34, Propostas!$B:$BE, 44, FALSE) )</f>
        <v/>
      </c>
      <c r="T34" s="62" t="str">
        <f>IF($B34="","",  VLOOKUP($B34, Propostas!$B:$BE, 45, FALSE) )</f>
        <v/>
      </c>
      <c r="U34" s="31"/>
      <c r="V34" s="13" t="str">
        <f>IF($B34="","",  VLOOKUP($B34, Propostas!$B:$BE, 50, FALSE) )</f>
        <v/>
      </c>
      <c r="W34" s="13" t="str">
        <f>IF($B34="","",  VLOOKUP($B34, Propostas!$B:$BE, 51, FALSE) )</f>
        <v/>
      </c>
      <c r="X34" s="13" t="str">
        <f>IF($B34="","",  VLOOKUP($B34, Propostas!$B:$BE, 52, FALSE) )</f>
        <v/>
      </c>
      <c r="Y34" s="13" t="str">
        <f>IF($B34="","",  VLOOKUP($B34, Propostas!$B:$BE, 36, FALSE) )</f>
        <v/>
      </c>
      <c r="Z34" s="13" t="str">
        <f>IF($B34="","",  VLOOKUP($F34, VW_PROJETO!B:C, 2, FALSE) )</f>
        <v/>
      </c>
    </row>
    <row r="35" spans="1:26" x14ac:dyDescent="0.2">
      <c r="B35" s="2"/>
      <c r="C35" s="4" t="str">
        <f>IF($B35="","",  VLOOKUP($B35, Propostas!$B:$BE, 33, FALSE) )</f>
        <v/>
      </c>
      <c r="D35" s="4" t="str">
        <f>IF($B35="","",  VLOOKUP($B35, Propostas!$B:$BE, 34, FALSE) )</f>
        <v/>
      </c>
      <c r="E35" s="4" t="str">
        <f>IF($B35="","",  VLOOKUP($B35, Propostas!$B:$BE, 35, FALSE) )</f>
        <v/>
      </c>
      <c r="F35" s="4" t="str">
        <f>IF($B35="","",  VLOOKUP($B35, Propostas!$B:$BE, 2, FALSE) )</f>
        <v/>
      </c>
      <c r="G35" s="4" t="str">
        <f>IF($B35="","",  VLOOKUP($B35, Propostas!$B:$BE, 3, FALSE) )</f>
        <v/>
      </c>
      <c r="H35" s="4" t="str">
        <f>IF($B35="","",  VLOOKUP($B35, Propostas!$B:$BE, 4, FALSE) )</f>
        <v/>
      </c>
      <c r="I35" s="4" t="str">
        <f>IF($B35="","",  VLOOKUP($B35, Propostas!$B:$BE, 38, FALSE) )</f>
        <v/>
      </c>
      <c r="J35" s="13" t="str">
        <f>IF($B35="","",IF($C35="SIM", "&lt; INFRRAESTRUTURA &gt;", VLOOKUP($B35,Propostas!$B:$BE,41,FALSE)))</f>
        <v/>
      </c>
      <c r="K35" s="10" t="str">
        <f>IF($B35="","",  VLOOKUP($B35, Propostas!$B:$BE, 40, FALSE) )</f>
        <v/>
      </c>
      <c r="L35" s="10" t="str">
        <f>IF($B35="","",IF(VLOOKUP($B35,Propostas!$B:$BE,21,FALSE)=1,"B",IF(VLOOKUP($B35,Propostas!$B:$BE,21,FALSE)=2,"E","N")))</f>
        <v/>
      </c>
      <c r="M35" s="31" t="str">
        <f>IF($B35 = "", "",  VLOOKUP($B35, Propostas!$B:$BE, 46, FALSE) )</f>
        <v/>
      </c>
      <c r="N35" s="31" t="str">
        <f>IF($B35 = "", "",  VLOOKUP($B35, Propostas!$B:$BE, 47, FALSE) )</f>
        <v/>
      </c>
      <c r="O35" s="13" t="str">
        <f>IF($B35="","",IF($C35="SIM", "INFRAESTRUTURA", VLOOKUP($B35, Propostas!$B:$BE,42,FALSE)))</f>
        <v/>
      </c>
      <c r="P35" s="31" t="str">
        <f>IF($B35 = "", "",  VLOOKUP($B35, Propostas!$B:$BE, 49, FALSE) )</f>
        <v/>
      </c>
      <c r="Q35" s="13" t="str">
        <f>IF($B35="","",  VLOOKUP($B35, Propostas!$B:$BE, 39, FALSE) )</f>
        <v/>
      </c>
      <c r="R35" s="62" t="str">
        <f>IF($B35="","",  VLOOKUP($B35, Propostas!$B:$BE, 43, FALSE) )</f>
        <v/>
      </c>
      <c r="S35" s="62" t="str">
        <f>IF($B35="","",  VLOOKUP($B35, Propostas!$B:$BE, 44, FALSE) )</f>
        <v/>
      </c>
      <c r="T35" s="62" t="str">
        <f>IF($B35="","",  VLOOKUP($B35, Propostas!$B:$BE, 45, FALSE) )</f>
        <v/>
      </c>
      <c r="U35" s="31"/>
      <c r="V35" s="13" t="str">
        <f>IF($B35="","",  VLOOKUP($B35, Propostas!$B:$BE, 50, FALSE) )</f>
        <v/>
      </c>
      <c r="W35" s="13" t="str">
        <f>IF($B35="","",  VLOOKUP($B35, Propostas!$B:$BE, 51, FALSE) )</f>
        <v/>
      </c>
      <c r="X35" s="13" t="str">
        <f>IF($B35="","",  VLOOKUP($B35, Propostas!$B:$BE, 52, FALSE) )</f>
        <v/>
      </c>
      <c r="Y35" s="13" t="str">
        <f>IF($B35="","",  VLOOKUP($B35, Propostas!$B:$BE, 36, FALSE) )</f>
        <v/>
      </c>
      <c r="Z35" s="13" t="str">
        <f>IF($B35="","",  VLOOKUP($F35, VW_PROJETO!B:C, 2, FALSE) )</f>
        <v/>
      </c>
    </row>
    <row r="36" spans="1:26" x14ac:dyDescent="0.2">
      <c r="B36" s="2"/>
      <c r="C36" s="4" t="str">
        <f>IF($B36="","",  VLOOKUP($B36, Propostas!$B:$BE, 33, FALSE) )</f>
        <v/>
      </c>
      <c r="D36" s="4" t="str">
        <f>IF($B36="","",  VLOOKUP($B36, Propostas!$B:$BE, 34, FALSE) )</f>
        <v/>
      </c>
      <c r="E36" s="4" t="str">
        <f>IF($B36="","",  VLOOKUP($B36, Propostas!$B:$BE, 35, FALSE) )</f>
        <v/>
      </c>
      <c r="F36" s="4" t="str">
        <f>IF($B36="","",  VLOOKUP($B36, Propostas!$B:$BE, 2, FALSE) )</f>
        <v/>
      </c>
      <c r="G36" s="4" t="str">
        <f>IF($B36="","",  VLOOKUP($B36, Propostas!$B:$BE, 3, FALSE) )</f>
        <v/>
      </c>
      <c r="H36" s="4" t="str">
        <f>IF($B36="","",  VLOOKUP($B36, Propostas!$B:$BE, 4, FALSE) )</f>
        <v/>
      </c>
      <c r="I36" s="4" t="str">
        <f>IF($B36="","",  VLOOKUP($B36, Propostas!$B:$BE, 38, FALSE) )</f>
        <v/>
      </c>
      <c r="J36" s="13" t="str">
        <f>IF($B36="","",IF($C36="SIM", "&lt; INFRRAESTRUTURA &gt;", VLOOKUP($B36,Propostas!$B:$BE,41,FALSE)))</f>
        <v/>
      </c>
      <c r="K36" s="10" t="str">
        <f>IF($B36="","",  VLOOKUP($B36, Propostas!$B:$BE, 40, FALSE) )</f>
        <v/>
      </c>
      <c r="L36" s="10" t="str">
        <f>IF($B36="","",IF(VLOOKUP($B36,Propostas!$B:$BE,21,FALSE)=1,"B",IF(VLOOKUP($B36,Propostas!$B:$BE,21,FALSE)=2,"E","N")))</f>
        <v/>
      </c>
      <c r="M36" s="31" t="str">
        <f>IF($B36 = "", "",  VLOOKUP($B36, Propostas!$B:$BE, 46, FALSE) )</f>
        <v/>
      </c>
      <c r="N36" s="31" t="str">
        <f>IF($B36 = "", "",  VLOOKUP($B36, Propostas!$B:$BE, 47, FALSE) )</f>
        <v/>
      </c>
      <c r="O36" s="13" t="str">
        <f>IF($B36="","",IF($C36="SIM", "INFRAESTRUTURA", VLOOKUP($B36, Propostas!$B:$BE,42,FALSE)))</f>
        <v/>
      </c>
      <c r="P36" s="31" t="str">
        <f>IF($B36 = "", "",  VLOOKUP($B36, Propostas!$B:$BE, 49, FALSE) )</f>
        <v/>
      </c>
      <c r="Q36" s="13" t="str">
        <f>IF($B36="","",  VLOOKUP($B36, Propostas!$B:$BE, 39, FALSE) )</f>
        <v/>
      </c>
      <c r="R36" s="62" t="str">
        <f>IF($B36="","",  VLOOKUP($B36, Propostas!$B:$BE, 43, FALSE) )</f>
        <v/>
      </c>
      <c r="S36" s="62" t="str">
        <f>IF($B36="","",  VLOOKUP($B36, Propostas!$B:$BE, 44, FALSE) )</f>
        <v/>
      </c>
      <c r="T36" s="62" t="str">
        <f>IF($B36="","",  VLOOKUP($B36, Propostas!$B:$BE, 45, FALSE) )</f>
        <v/>
      </c>
      <c r="U36" s="31"/>
      <c r="V36" s="13" t="str">
        <f>IF($B36="","",  VLOOKUP($B36, Propostas!$B:$BE, 50, FALSE) )</f>
        <v/>
      </c>
      <c r="W36" s="13" t="str">
        <f>IF($B36="","",  VLOOKUP($B36, Propostas!$B:$BE, 51, FALSE) )</f>
        <v/>
      </c>
      <c r="X36" s="13" t="str">
        <f>IF($B36="","",  VLOOKUP($B36, Propostas!$B:$BE, 52, FALSE) )</f>
        <v/>
      </c>
      <c r="Y36" s="13" t="str">
        <f>IF($B36="","",  VLOOKUP($B36, Propostas!$B:$BE, 36, FALSE) )</f>
        <v/>
      </c>
      <c r="Z36" s="13" t="str">
        <f>IF($B36="","",  VLOOKUP($F36, VW_PROJETO!B:C, 2, FALSE) )</f>
        <v/>
      </c>
    </row>
    <row r="37" spans="1:26" x14ac:dyDescent="0.2">
      <c r="B37" s="2"/>
      <c r="C37" s="4" t="str">
        <f>IF($B37="","",  VLOOKUP($B37, Propostas!$B:$BE, 33, FALSE) )</f>
        <v/>
      </c>
      <c r="D37" s="4" t="str">
        <f>IF($B37="","",  VLOOKUP($B37, Propostas!$B:$BE, 34, FALSE) )</f>
        <v/>
      </c>
      <c r="E37" s="4" t="str">
        <f>IF($B37="","",  VLOOKUP($B37, Propostas!$B:$BE, 35, FALSE) )</f>
        <v/>
      </c>
      <c r="F37" s="4" t="str">
        <f>IF($B37="","",  VLOOKUP($B37, Propostas!$B:$BE, 2, FALSE) )</f>
        <v/>
      </c>
      <c r="G37" s="4" t="str">
        <f>IF($B37="","",  VLOOKUP($B37, Propostas!$B:$BE, 3, FALSE) )</f>
        <v/>
      </c>
      <c r="H37" s="4" t="str">
        <f>IF($B37="","",  VLOOKUP($B37, Propostas!$B:$BE, 4, FALSE) )</f>
        <v/>
      </c>
      <c r="I37" s="4" t="str">
        <f>IF($B37="","",  VLOOKUP($B37, Propostas!$B:$BE, 38, FALSE) )</f>
        <v/>
      </c>
      <c r="J37" s="13" t="str">
        <f>IF($B37="","",IF($C37="SIM", "&lt; INFRRAESTRUTURA &gt;", VLOOKUP($B37,Propostas!$B:$BE,41,FALSE)))</f>
        <v/>
      </c>
      <c r="K37" s="10" t="str">
        <f>IF($B37="","",  VLOOKUP($B37, Propostas!$B:$BE, 40, FALSE) )</f>
        <v/>
      </c>
      <c r="L37" s="10" t="str">
        <f>IF($B37="","",IF(VLOOKUP($B37,Propostas!$B:$BE,21,FALSE)=1,"B",IF(VLOOKUP($B37,Propostas!$B:$BE,21,FALSE)=2,"E","N")))</f>
        <v/>
      </c>
      <c r="M37" s="31" t="str">
        <f>IF($B37 = "", "",  VLOOKUP($B37, Propostas!$B:$BE, 46, FALSE) )</f>
        <v/>
      </c>
      <c r="N37" s="31" t="str">
        <f>IF($B37 = "", "",  VLOOKUP($B37, Propostas!$B:$BE, 47, FALSE) )</f>
        <v/>
      </c>
      <c r="O37" s="13" t="str">
        <f>IF($B37="","",IF($C37="SIM", "INFRAESTRUTURA", VLOOKUP($B37, Propostas!$B:$BE,42,FALSE)))</f>
        <v/>
      </c>
      <c r="P37" s="31" t="str">
        <f>IF($B37 = "", "",  VLOOKUP($B37, Propostas!$B:$BE, 49, FALSE) )</f>
        <v/>
      </c>
      <c r="Q37" s="13" t="str">
        <f>IF($B37="","",  VLOOKUP($B37, Propostas!$B:$BE, 39, FALSE) )</f>
        <v/>
      </c>
      <c r="R37" s="62" t="str">
        <f>IF($B37="","",  VLOOKUP($B37, Propostas!$B:$BE, 43, FALSE) )</f>
        <v/>
      </c>
      <c r="S37" s="62" t="str">
        <f>IF($B37="","",  VLOOKUP($B37, Propostas!$B:$BE, 44, FALSE) )</f>
        <v/>
      </c>
      <c r="T37" s="62" t="str">
        <f>IF($B37="","",  VLOOKUP($B37, Propostas!$B:$BE, 45, FALSE) )</f>
        <v/>
      </c>
      <c r="U37" s="31"/>
      <c r="V37" s="13" t="str">
        <f>IF($B37="","",  VLOOKUP($B37, Propostas!$B:$BE, 50, FALSE) )</f>
        <v/>
      </c>
      <c r="W37" s="13" t="str">
        <f>IF($B37="","",  VLOOKUP($B37, Propostas!$B:$BE, 51, FALSE) )</f>
        <v/>
      </c>
      <c r="X37" s="13" t="str">
        <f>IF($B37="","",  VLOOKUP($B37, Propostas!$B:$BE, 52, FALSE) )</f>
        <v/>
      </c>
      <c r="Y37" s="13" t="str">
        <f>IF($B37="","",  VLOOKUP($B37, Propostas!$B:$BE, 36, FALSE) )</f>
        <v/>
      </c>
      <c r="Z37" s="13" t="str">
        <f>IF($B37="","",  VLOOKUP($F37, VW_PROJETO!B:C, 2, FALSE) )</f>
        <v/>
      </c>
    </row>
    <row r="38" spans="1:26" x14ac:dyDescent="0.2">
      <c r="B38" s="2"/>
      <c r="C38" s="4" t="str">
        <f>IF($B38="","",  VLOOKUP($B38, Propostas!$B:$BE, 33, FALSE) )</f>
        <v/>
      </c>
      <c r="D38" s="4" t="str">
        <f>IF($B38="","",  VLOOKUP($B38, Propostas!$B:$BE, 34, FALSE) )</f>
        <v/>
      </c>
      <c r="E38" s="4" t="str">
        <f>IF($B38="","",  VLOOKUP($B38, Propostas!$B:$BE, 35, FALSE) )</f>
        <v/>
      </c>
      <c r="F38" s="4" t="str">
        <f>IF($B38="","",  VLOOKUP($B38, Propostas!$B:$BE, 2, FALSE) )</f>
        <v/>
      </c>
      <c r="G38" s="4" t="str">
        <f>IF($B38="","",  VLOOKUP($B38, Propostas!$B:$BE, 3, FALSE) )</f>
        <v/>
      </c>
      <c r="H38" s="4" t="str">
        <f>IF($B38="","",  VLOOKUP($B38, Propostas!$B:$BE, 4, FALSE) )</f>
        <v/>
      </c>
      <c r="I38" s="4" t="str">
        <f>IF($B38="","",  VLOOKUP($B38, Propostas!$B:$BE, 38, FALSE) )</f>
        <v/>
      </c>
      <c r="J38" s="13" t="str">
        <f>IF($B38="","",IF($C38="SIM", "&lt; INFRRAESTRUTURA &gt;", VLOOKUP($B38,Propostas!$B:$BE,41,FALSE)))</f>
        <v/>
      </c>
      <c r="K38" s="10" t="str">
        <f>IF($B38="","",  VLOOKUP($B38, Propostas!$B:$BE, 40, FALSE) )</f>
        <v/>
      </c>
      <c r="L38" s="10" t="str">
        <f>IF($B38="","",IF(VLOOKUP($B38,Propostas!$B:$BE,21,FALSE)=1,"B",IF(VLOOKUP($B38,Propostas!$B:$BE,21,FALSE)=2,"E","N")))</f>
        <v/>
      </c>
      <c r="M38" s="31" t="str">
        <f>IF($B38 = "", "",  VLOOKUP($B38, Propostas!$B:$BE, 46, FALSE) )</f>
        <v/>
      </c>
      <c r="N38" s="31" t="str">
        <f>IF($B38 = "", "",  VLOOKUP($B38, Propostas!$B:$BE, 47, FALSE) )</f>
        <v/>
      </c>
      <c r="O38" s="13" t="str">
        <f>IF($B38="","",IF($C38="SIM", "INFRAESTRUTURA", VLOOKUP($B38, Propostas!$B:$BE,42,FALSE)))</f>
        <v/>
      </c>
      <c r="P38" s="31" t="str">
        <f>IF($B38 = "", "",  VLOOKUP($B38, Propostas!$B:$BE, 49, FALSE) )</f>
        <v/>
      </c>
      <c r="Q38" s="13" t="str">
        <f>IF($B38="","",  VLOOKUP($B38, Propostas!$B:$BE, 39, FALSE) )</f>
        <v/>
      </c>
      <c r="R38" s="62" t="str">
        <f>IF($B38="","",  VLOOKUP($B38, Propostas!$B:$BE, 43, FALSE) )</f>
        <v/>
      </c>
      <c r="S38" s="62" t="str">
        <f>IF($B38="","",  VLOOKUP($B38, Propostas!$B:$BE, 44, FALSE) )</f>
        <v/>
      </c>
      <c r="T38" s="62" t="str">
        <f>IF($B38="","",  VLOOKUP($B38, Propostas!$B:$BE, 45, FALSE) )</f>
        <v/>
      </c>
      <c r="U38" s="31"/>
      <c r="V38" s="13" t="str">
        <f>IF($B38="","",  VLOOKUP($B38, Propostas!$B:$BE, 50, FALSE) )</f>
        <v/>
      </c>
      <c r="W38" s="13" t="str">
        <f>IF($B38="","",  VLOOKUP($B38, Propostas!$B:$BE, 51, FALSE) )</f>
        <v/>
      </c>
      <c r="X38" s="13" t="str">
        <f>IF($B38="","",  VLOOKUP($B38, Propostas!$B:$BE, 52, FALSE) )</f>
        <v/>
      </c>
      <c r="Y38" s="13" t="str">
        <f>IF($B38="","",  VLOOKUP($B38, Propostas!$B:$BE, 36, FALSE) )</f>
        <v/>
      </c>
      <c r="Z38" s="13" t="str">
        <f>IF($B38="","",  VLOOKUP($F38, VW_PROJETO!B:C, 2, FALSE) )</f>
        <v/>
      </c>
    </row>
    <row r="39" spans="1:26" x14ac:dyDescent="0.2">
      <c r="B39" s="2"/>
      <c r="C39" s="4" t="str">
        <f>IF($B39="","",  VLOOKUP($B39, Propostas!$B:$BE, 33, FALSE) )</f>
        <v/>
      </c>
      <c r="D39" s="4" t="str">
        <f>IF($B39="","",  VLOOKUP($B39, Propostas!$B:$BE, 34, FALSE) )</f>
        <v/>
      </c>
      <c r="E39" s="4" t="str">
        <f>IF($B39="","",  VLOOKUP($B39, Propostas!$B:$BE, 35, FALSE) )</f>
        <v/>
      </c>
      <c r="F39" s="4" t="str">
        <f>IF($B39="","",  VLOOKUP($B39, Propostas!$B:$BE, 2, FALSE) )</f>
        <v/>
      </c>
      <c r="G39" s="4" t="str">
        <f>IF($B39="","",  VLOOKUP($B39, Propostas!$B:$BE, 3, FALSE) )</f>
        <v/>
      </c>
      <c r="H39" s="4" t="str">
        <f>IF($B39="","",  VLOOKUP($B39, Propostas!$B:$BE, 4, FALSE) )</f>
        <v/>
      </c>
      <c r="I39" s="4" t="str">
        <f>IF($B39="","",  VLOOKUP($B39, Propostas!$B:$BE, 38, FALSE) )</f>
        <v/>
      </c>
      <c r="J39" s="13" t="str">
        <f>IF($B39="","",IF($C39="SIM", "&lt; INFRRAESTRUTURA &gt;", VLOOKUP($B39,Propostas!$B:$BE,41,FALSE)))</f>
        <v/>
      </c>
      <c r="K39" s="10" t="str">
        <f>IF($B39="","",  VLOOKUP($B39, Propostas!$B:$BE, 40, FALSE) )</f>
        <v/>
      </c>
      <c r="L39" s="10" t="str">
        <f>IF($B39="","",IF(VLOOKUP($B39,Propostas!$B:$BE,21,FALSE)=1,"B",IF(VLOOKUP($B39,Propostas!$B:$BE,21,FALSE)=2,"E","N")))</f>
        <v/>
      </c>
      <c r="M39" s="31" t="str">
        <f>IF($B39 = "", "",  VLOOKUP($B39, Propostas!$B:$BE, 46, FALSE) )</f>
        <v/>
      </c>
      <c r="N39" s="31" t="str">
        <f>IF($B39 = "", "",  VLOOKUP($B39, Propostas!$B:$BE, 47, FALSE) )</f>
        <v/>
      </c>
      <c r="O39" s="13" t="str">
        <f>IF($B39="","",IF($C39="SIM", "INFRAESTRUTURA", VLOOKUP($B39, Propostas!$B:$BE,42,FALSE)))</f>
        <v/>
      </c>
      <c r="P39" s="31" t="str">
        <f>IF($B39 = "", "",  VLOOKUP($B39, Propostas!$B:$BE, 49, FALSE) )</f>
        <v/>
      </c>
      <c r="Q39" s="13" t="str">
        <f>IF($B39="","",  VLOOKUP($B39, Propostas!$B:$BE, 39, FALSE) )</f>
        <v/>
      </c>
      <c r="R39" s="62" t="str">
        <f>IF($B39="","",  VLOOKUP($B39, Propostas!$B:$BE, 43, FALSE) )</f>
        <v/>
      </c>
      <c r="S39" s="62" t="str">
        <f>IF($B39="","",  VLOOKUP($B39, Propostas!$B:$BE, 44, FALSE) )</f>
        <v/>
      </c>
      <c r="T39" s="62" t="str">
        <f>IF($B39="","",  VLOOKUP($B39, Propostas!$B:$BE, 45, FALSE) )</f>
        <v/>
      </c>
      <c r="U39" s="31"/>
      <c r="V39" s="13" t="str">
        <f>IF($B39="","",  VLOOKUP($B39, Propostas!$B:$BE, 50, FALSE) )</f>
        <v/>
      </c>
      <c r="W39" s="13" t="str">
        <f>IF($B39="","",  VLOOKUP($B39, Propostas!$B:$BE, 51, FALSE) )</f>
        <v/>
      </c>
      <c r="X39" s="13" t="str">
        <f>IF($B39="","",  VLOOKUP($B39, Propostas!$B:$BE, 52, FALSE) )</f>
        <v/>
      </c>
      <c r="Y39" s="13" t="str">
        <f>IF($B39="","",  VLOOKUP($B39, Propostas!$B:$BE, 36, FALSE) )</f>
        <v/>
      </c>
      <c r="Z39" s="13" t="str">
        <f>IF($B39="","",  VLOOKUP($F39, VW_PROJETO!B:C, 2, FALSE) )</f>
        <v/>
      </c>
    </row>
    <row r="40" spans="1:26" x14ac:dyDescent="0.2">
      <c r="B40" s="2"/>
      <c r="C40" s="4" t="str">
        <f>IF($B40="","",  VLOOKUP($B40, Propostas!$B:$BE, 33, FALSE) )</f>
        <v/>
      </c>
      <c r="D40" s="4" t="str">
        <f>IF($B40="","",  VLOOKUP($B40, Propostas!$B:$BE, 34, FALSE) )</f>
        <v/>
      </c>
      <c r="E40" s="4" t="str">
        <f>IF($B40="","",  VLOOKUP($B40, Propostas!$B:$BE, 35, FALSE) )</f>
        <v/>
      </c>
      <c r="F40" s="4" t="str">
        <f>IF($B40="","",  VLOOKUP($B40, Propostas!$B:$BE, 2, FALSE) )</f>
        <v/>
      </c>
      <c r="G40" s="4" t="str">
        <f>IF($B40="","",  VLOOKUP($B40, Propostas!$B:$BE, 3, FALSE) )</f>
        <v/>
      </c>
      <c r="H40" s="4" t="str">
        <f>IF($B40="","",  VLOOKUP($B40, Propostas!$B:$BE, 4, FALSE) )</f>
        <v/>
      </c>
      <c r="I40" s="4" t="str">
        <f>IF($B40="","",  VLOOKUP($B40, Propostas!$B:$BE, 38, FALSE) )</f>
        <v/>
      </c>
      <c r="J40" s="13" t="str">
        <f>IF($B40="","",IF($C40="SIM", "&lt; INFRRAESTRUTURA &gt;", VLOOKUP($B40,Propostas!$B:$BE,41,FALSE)))</f>
        <v/>
      </c>
      <c r="K40" s="10" t="str">
        <f>IF($B40="","",  VLOOKUP($B40, Propostas!$B:$BE, 40, FALSE) )</f>
        <v/>
      </c>
      <c r="L40" s="10" t="str">
        <f>IF($B40="","",IF(VLOOKUP($B40,Propostas!$B:$BE,21,FALSE)=1,"B",IF(VLOOKUP($B40,Propostas!$B:$BE,21,FALSE)=2,"E","N")))</f>
        <v/>
      </c>
      <c r="M40" s="31" t="str">
        <f>IF($B40 = "", "",  VLOOKUP($B40, Propostas!$B:$BE, 46, FALSE) )</f>
        <v/>
      </c>
      <c r="N40" s="31" t="str">
        <f>IF($B40 = "", "",  VLOOKUP($B40, Propostas!$B:$BE, 47, FALSE) )</f>
        <v/>
      </c>
      <c r="O40" s="13" t="str">
        <f>IF($B40="","",IF($C40="SIM", "INFRAESTRUTURA", VLOOKUP($B40, Propostas!$B:$BE,42,FALSE)))</f>
        <v/>
      </c>
      <c r="P40" s="31" t="str">
        <f>IF($B40 = "", "",  VLOOKUP($B40, Propostas!$B:$BE, 49, FALSE) )</f>
        <v/>
      </c>
      <c r="Q40" s="13" t="str">
        <f>IF($B40="","",  VLOOKUP($B40, Propostas!$B:$BE, 39, FALSE) )</f>
        <v/>
      </c>
      <c r="R40" s="62" t="str">
        <f>IF($B40="","",  VLOOKUP($B40, Propostas!$B:$BE, 43, FALSE) )</f>
        <v/>
      </c>
      <c r="S40" s="62" t="str">
        <f>IF($B40="","",  VLOOKUP($B40, Propostas!$B:$BE, 44, FALSE) )</f>
        <v/>
      </c>
      <c r="T40" s="62" t="str">
        <f>IF($B40="","",  VLOOKUP($B40, Propostas!$B:$BE, 45, FALSE) )</f>
        <v/>
      </c>
      <c r="U40" s="31"/>
      <c r="V40" s="13" t="str">
        <f>IF($B40="","",  VLOOKUP($B40, Propostas!$B:$BE, 50, FALSE) )</f>
        <v/>
      </c>
      <c r="W40" s="13" t="str">
        <f>IF($B40="","",  VLOOKUP($B40, Propostas!$B:$BE, 51, FALSE) )</f>
        <v/>
      </c>
      <c r="X40" s="13" t="str">
        <f>IF($B40="","",  VLOOKUP($B40, Propostas!$B:$BE, 52, FALSE) )</f>
        <v/>
      </c>
      <c r="Y40" s="13" t="str">
        <f>IF($B40="","",  VLOOKUP($B40, Propostas!$B:$BE, 36, FALSE) )</f>
        <v/>
      </c>
      <c r="Z40" s="13" t="str">
        <f>IF($B40="","",  VLOOKUP($F40, VW_PROJETO!B:C, 2, FALSE) )</f>
        <v/>
      </c>
    </row>
    <row r="41" spans="1:26" x14ac:dyDescent="0.2">
      <c r="B41" s="2"/>
      <c r="C41" s="4" t="str">
        <f>IF($B41="","",  VLOOKUP($B41, Propostas!$B:$BE, 33, FALSE) )</f>
        <v/>
      </c>
      <c r="D41" s="4" t="str">
        <f>IF($B41="","",  VLOOKUP($B41, Propostas!$B:$BE, 34, FALSE) )</f>
        <v/>
      </c>
      <c r="E41" s="4" t="str">
        <f>IF($B41="","",  VLOOKUP($B41, Propostas!$B:$BE, 35, FALSE) )</f>
        <v/>
      </c>
      <c r="F41" s="4" t="str">
        <f>IF($B41="","",  VLOOKUP($B41, Propostas!$B:$BE, 2, FALSE) )</f>
        <v/>
      </c>
      <c r="G41" s="4" t="str">
        <f>IF($B41="","",  VLOOKUP($B41, Propostas!$B:$BE, 3, FALSE) )</f>
        <v/>
      </c>
      <c r="H41" s="4" t="str">
        <f>IF($B41="","",  VLOOKUP($B41, Propostas!$B:$BE, 4, FALSE) )</f>
        <v/>
      </c>
      <c r="I41" s="4" t="str">
        <f>IF($B41="","",  VLOOKUP($B41, Propostas!$B:$BE, 38, FALSE) )</f>
        <v/>
      </c>
      <c r="J41" s="13" t="str">
        <f>IF($B41="","",IF($C41="SIM", "&lt; INFRRAESTRUTURA &gt;", VLOOKUP($B41,Propostas!$B:$BE,41,FALSE)))</f>
        <v/>
      </c>
      <c r="K41" s="10" t="str">
        <f>IF($B41="","",  VLOOKUP($B41, Propostas!$B:$BE, 40, FALSE) )</f>
        <v/>
      </c>
      <c r="L41" s="10" t="str">
        <f>IF($B41="","",IF(VLOOKUP($B41,Propostas!$B:$BE,21,FALSE)=1,"B",IF(VLOOKUP($B41,Propostas!$B:$BE,21,FALSE)=2,"E","N")))</f>
        <v/>
      </c>
      <c r="M41" s="31" t="str">
        <f>IF($B41 = "", "",  VLOOKUP($B41, Propostas!$B:$BE, 46, FALSE) )</f>
        <v/>
      </c>
      <c r="N41" s="31" t="str">
        <f>IF($B41 = "", "",  VLOOKUP($B41, Propostas!$B:$BE, 47, FALSE) )</f>
        <v/>
      </c>
      <c r="O41" s="13" t="str">
        <f>IF($B41="","",IF($C41="SIM", "INFRAESTRUTURA", VLOOKUP($B41, Propostas!$B:$BE,42,FALSE)))</f>
        <v/>
      </c>
      <c r="P41" s="31" t="str">
        <f>IF($B41 = "", "",  VLOOKUP($B41, Propostas!$B:$BE, 49, FALSE) )</f>
        <v/>
      </c>
      <c r="Q41" s="13" t="str">
        <f>IF($B41="","",  VLOOKUP($B41, Propostas!$B:$BE, 39, FALSE) )</f>
        <v/>
      </c>
      <c r="R41" s="62" t="str">
        <f>IF($B41="","",  VLOOKUP($B41, Propostas!$B:$BE, 43, FALSE) )</f>
        <v/>
      </c>
      <c r="S41" s="62" t="str">
        <f>IF($B41="","",  VLOOKUP($B41, Propostas!$B:$BE, 44, FALSE) )</f>
        <v/>
      </c>
      <c r="T41" s="62" t="str">
        <f>IF($B41="","",  VLOOKUP($B41, Propostas!$B:$BE, 45, FALSE) )</f>
        <v/>
      </c>
      <c r="U41" s="31"/>
      <c r="V41" s="13" t="str">
        <f>IF($B41="","",  VLOOKUP($B41, Propostas!$B:$BE, 50, FALSE) )</f>
        <v/>
      </c>
      <c r="W41" s="13" t="str">
        <f>IF($B41="","",  VLOOKUP($B41, Propostas!$B:$BE, 51, FALSE) )</f>
        <v/>
      </c>
      <c r="X41" s="13" t="str">
        <f>IF($B41="","",  VLOOKUP($B41, Propostas!$B:$BE, 52, FALSE) )</f>
        <v/>
      </c>
      <c r="Y41" s="13" t="str">
        <f>IF($B41="","",  VLOOKUP($B41, Propostas!$B:$BE, 36, FALSE) )</f>
        <v/>
      </c>
      <c r="Z41" s="13" t="str">
        <f>IF($B41="","",  VLOOKUP($F41, VW_PROJETO!B:C, 2, FALSE) )</f>
        <v/>
      </c>
    </row>
    <row r="42" spans="1:26" x14ac:dyDescent="0.2">
      <c r="A42" s="1" t="s">
        <v>263</v>
      </c>
      <c r="B42" s="2"/>
      <c r="C42" s="4" t="str">
        <f>IF($B42="","",  VLOOKUP($B42, Propostas!$B:$BE, 33, FALSE) )</f>
        <v/>
      </c>
      <c r="D42" s="4" t="str">
        <f>IF($B42="","",  VLOOKUP($B42, Propostas!$B:$BE, 34, FALSE) )</f>
        <v/>
      </c>
      <c r="E42" s="4" t="str">
        <f>IF($B42="","",  VLOOKUP($B42, Propostas!$B:$BE, 35, FALSE) )</f>
        <v/>
      </c>
      <c r="F42" s="4" t="str">
        <f>IF($B42="","",  VLOOKUP($B42, Propostas!$B:$BE, 2, FALSE) )</f>
        <v/>
      </c>
      <c r="G42" s="4" t="str">
        <f>IF($B42="","",  VLOOKUP($B42, Propostas!$B:$BE, 3, FALSE) )</f>
        <v/>
      </c>
      <c r="H42" s="4" t="str">
        <f>IF($B42="","",  VLOOKUP($B42, Propostas!$B:$BE, 4, FALSE) )</f>
        <v/>
      </c>
      <c r="I42" s="4" t="str">
        <f>IF($B42="","",  VLOOKUP($B42, Propostas!$B:$BE, 38, FALSE) )</f>
        <v/>
      </c>
      <c r="J42" s="13" t="str">
        <f>IF($B42="","",IF($C42="SIM", "&lt; INFRRAESTRUTURA &gt;", VLOOKUP($B42,Propostas!$B:$BE,41,FALSE)))</f>
        <v/>
      </c>
      <c r="K42" s="10" t="str">
        <f>IF($B42="","",  VLOOKUP($B42, Propostas!$B:$BE, 40, FALSE) )</f>
        <v/>
      </c>
      <c r="L42" s="10" t="str">
        <f>IF($B42="","",IF(VLOOKUP($B42,Propostas!$B:$BE,21,FALSE)=1,"B",IF(VLOOKUP($B42,Propostas!$B:$BE,21,FALSE)=2,"E","N")))</f>
        <v/>
      </c>
      <c r="M42" s="31" t="str">
        <f>IF($B42 = "", "",  VLOOKUP($B42, Propostas!$B:$BE, 46, FALSE) )</f>
        <v/>
      </c>
      <c r="N42" s="31" t="str">
        <f>IF($B42 = "", "",  VLOOKUP($B42, Propostas!$B:$BE, 47, FALSE) )</f>
        <v/>
      </c>
      <c r="O42" s="13" t="str">
        <f>IF($B42="","",IF($C42="SIM", "INFRAESTRUTURA", VLOOKUP($B42, Propostas!$B:$BE,42,FALSE)))</f>
        <v/>
      </c>
      <c r="P42" s="31" t="str">
        <f>IF($B42 = "", "",  VLOOKUP($B42, Propostas!$B:$BE, 49, FALSE) )</f>
        <v/>
      </c>
      <c r="Q42" s="13" t="str">
        <f>IF($B42="","",  VLOOKUP($B42, Propostas!$B:$BE, 39, FALSE) )</f>
        <v/>
      </c>
      <c r="R42" s="62" t="str">
        <f>IF($B42="","",  VLOOKUP($B42, Propostas!$B:$BE, 43, FALSE) )</f>
        <v/>
      </c>
      <c r="S42" s="62" t="str">
        <f>IF($B42="","",  VLOOKUP($B42, Propostas!$B:$BE, 44, FALSE) )</f>
        <v/>
      </c>
      <c r="T42" s="62" t="str">
        <f>IF($B42="","",  VLOOKUP($B42, Propostas!$B:$BE, 45, FALSE) )</f>
        <v/>
      </c>
      <c r="U42" s="31"/>
      <c r="V42" s="13" t="str">
        <f>IF($B42="","",  VLOOKUP($B42, Propostas!$B:$BE, 50, FALSE) )</f>
        <v/>
      </c>
      <c r="W42" s="13" t="str">
        <f>IF($B42="","",  VLOOKUP($B42, Propostas!$B:$BE, 51, FALSE) )</f>
        <v/>
      </c>
      <c r="X42" s="13" t="str">
        <f>IF($B42="","",  VLOOKUP($B42, Propostas!$B:$BE, 52, FALSE) )</f>
        <v/>
      </c>
      <c r="Y42" s="13" t="str">
        <f>IF($B42="","",  VLOOKUP($B42, Propostas!$B:$BE, 36, FALSE) )</f>
        <v/>
      </c>
      <c r="Z42" s="13" t="str">
        <f>IF($B42="","",  VLOOKUP($F42, VW_PROJETO!B:C, 2, FALSE) )</f>
        <v/>
      </c>
    </row>
    <row r="43" spans="1:26" x14ac:dyDescent="0.2">
      <c r="B43" s="2"/>
      <c r="C43" s="4" t="str">
        <f>IF($B43="","",  VLOOKUP($B43, Propostas!$B:$BE, 33, FALSE) )</f>
        <v/>
      </c>
      <c r="D43" s="4" t="str">
        <f>IF($B43="","",  VLOOKUP($B43, Propostas!$B:$BE, 34, FALSE) )</f>
        <v/>
      </c>
      <c r="E43" s="4" t="str">
        <f>IF($B43="","",  VLOOKUP($B43, Propostas!$B:$BE, 35, FALSE) )</f>
        <v/>
      </c>
      <c r="F43" s="4" t="str">
        <f>IF($B43="","",  VLOOKUP($B43, Propostas!$B:$BE, 2, FALSE) )</f>
        <v/>
      </c>
      <c r="G43" s="4" t="str">
        <f>IF($B43="","",  VLOOKUP($B43, Propostas!$B:$BE, 3, FALSE) )</f>
        <v/>
      </c>
      <c r="H43" s="4" t="str">
        <f>IF($B43="","",  VLOOKUP($B43, Propostas!$B:$BE, 4, FALSE) )</f>
        <v/>
      </c>
      <c r="I43" s="4" t="str">
        <f>IF($B43="","",  VLOOKUP($B43, Propostas!$B:$BE, 38, FALSE) )</f>
        <v/>
      </c>
      <c r="J43" s="13" t="str">
        <f>IF($B43="","",IF($C43="SIM", "&lt; INFRRAESTRUTURA &gt;", VLOOKUP($B43,Propostas!$B:$BE,41,FALSE)))</f>
        <v/>
      </c>
      <c r="K43" s="10" t="str">
        <f>IF($B43="","",  VLOOKUP($B43, Propostas!$B:$BE, 40, FALSE) )</f>
        <v/>
      </c>
      <c r="L43" s="10" t="str">
        <f>IF($B43="","",IF(VLOOKUP($B43,Propostas!$B:$BE,21,FALSE)=1,"B",IF(VLOOKUP($B43,Propostas!$B:$BE,21,FALSE)=2,"E","N")))</f>
        <v/>
      </c>
      <c r="M43" s="31" t="str">
        <f>IF($B43 = "", "",  VLOOKUP($B43, Propostas!$B:$BE, 46, FALSE) )</f>
        <v/>
      </c>
      <c r="N43" s="31" t="str">
        <f>IF($B43 = "", "",  VLOOKUP($B43, Propostas!$B:$BE, 47, FALSE) )</f>
        <v/>
      </c>
      <c r="O43" s="13" t="str">
        <f>IF($B43="","",IF($C43="SIM", "INFRAESTRUTURA", VLOOKUP($B43, Propostas!$B:$BE,42,FALSE)))</f>
        <v/>
      </c>
      <c r="P43" s="31" t="str">
        <f>IF($B43 = "", "",  VLOOKUP($B43, Propostas!$B:$BE, 49, FALSE) )</f>
        <v/>
      </c>
      <c r="Q43" s="13" t="str">
        <f>IF($B43="","",  VLOOKUP($B43, Propostas!$B:$BE, 39, FALSE) )</f>
        <v/>
      </c>
      <c r="R43" s="62" t="str">
        <f>IF($B43="","",  VLOOKUP($B43, Propostas!$B:$BE, 43, FALSE) )</f>
        <v/>
      </c>
      <c r="S43" s="62" t="str">
        <f>IF($B43="","",  VLOOKUP($B43, Propostas!$B:$BE, 44, FALSE) )</f>
        <v/>
      </c>
      <c r="T43" s="62" t="str">
        <f>IF($B43="","",  VLOOKUP($B43, Propostas!$B:$BE, 45, FALSE) )</f>
        <v/>
      </c>
      <c r="U43" s="31"/>
      <c r="V43" s="13" t="str">
        <f>IF($B43="","",  VLOOKUP($B43, Propostas!$B:$BE, 50, FALSE) )</f>
        <v/>
      </c>
      <c r="W43" s="13" t="str">
        <f>IF($B43="","",  VLOOKUP($B43, Propostas!$B:$BE, 51, FALSE) )</f>
        <v/>
      </c>
      <c r="X43" s="13" t="str">
        <f>IF($B43="","",  VLOOKUP($B43, Propostas!$B:$BE, 52, FALSE) )</f>
        <v/>
      </c>
      <c r="Y43" s="13" t="str">
        <f>IF($B43="","",  VLOOKUP($B43, Propostas!$B:$BE, 36, FALSE) )</f>
        <v/>
      </c>
      <c r="Z43" s="13" t="str">
        <f>IF($B43="","",  VLOOKUP($F43, VW_PROJETO!B:C, 2, FALSE) )</f>
        <v/>
      </c>
    </row>
    <row r="44" spans="1:26" x14ac:dyDescent="0.2">
      <c r="B44" s="2"/>
      <c r="C44" s="4" t="str">
        <f>IF($B44="","",  VLOOKUP($B44, Propostas!$B:$BE, 33, FALSE) )</f>
        <v/>
      </c>
      <c r="D44" s="4" t="str">
        <f>IF($B44="","",  VLOOKUP($B44, Propostas!$B:$BE, 34, FALSE) )</f>
        <v/>
      </c>
      <c r="E44" s="4" t="str">
        <f>IF($B44="","",  VLOOKUP($B44, Propostas!$B:$BE, 35, FALSE) )</f>
        <v/>
      </c>
      <c r="F44" s="4" t="str">
        <f>IF($B44="","",  VLOOKUP($B44, Propostas!$B:$BE, 2, FALSE) )</f>
        <v/>
      </c>
      <c r="G44" s="4" t="str">
        <f>IF($B44="","",  VLOOKUP($B44, Propostas!$B:$BE, 3, FALSE) )</f>
        <v/>
      </c>
      <c r="H44" s="4" t="str">
        <f>IF($B44="","",  VLOOKUP($B44, Propostas!$B:$BE, 4, FALSE) )</f>
        <v/>
      </c>
      <c r="I44" s="4" t="str">
        <f>IF($B44="","",  VLOOKUP($B44, Propostas!$B:$BE, 38, FALSE) )</f>
        <v/>
      </c>
      <c r="J44" s="13" t="str">
        <f>IF($B44="","",IF($C44="SIM", "&lt; INFRRAESTRUTURA &gt;", VLOOKUP($B44,Propostas!$B:$BE,41,FALSE)))</f>
        <v/>
      </c>
      <c r="K44" s="10" t="str">
        <f>IF($B44="","",  VLOOKUP($B44, Propostas!$B:$BE, 40, FALSE) )</f>
        <v/>
      </c>
      <c r="L44" s="10" t="str">
        <f>IF($B44="","",IF(VLOOKUP($B44,Propostas!$B:$BE,21,FALSE)=1,"B",IF(VLOOKUP($B44,Propostas!$B:$BE,21,FALSE)=2,"E","N")))</f>
        <v/>
      </c>
      <c r="M44" s="31" t="str">
        <f>IF($B44 = "", "",  VLOOKUP($B44, Propostas!$B:$BE, 46, FALSE) )</f>
        <v/>
      </c>
      <c r="N44" s="31" t="str">
        <f>IF($B44 = "", "",  VLOOKUP($B44, Propostas!$B:$BE, 47, FALSE) )</f>
        <v/>
      </c>
      <c r="O44" s="13" t="str">
        <f>IF($B44="","",IF($C44="SIM", "INFRAESTRUTURA", VLOOKUP($B44, Propostas!$B:$BE,42,FALSE)))</f>
        <v/>
      </c>
      <c r="P44" s="31" t="str">
        <f>IF($B44 = "", "",  VLOOKUP($B44, Propostas!$B:$BE, 49, FALSE) )</f>
        <v/>
      </c>
      <c r="Q44" s="13" t="str">
        <f>IF($B44="","",  VLOOKUP($B44, Propostas!$B:$BE, 39, FALSE) )</f>
        <v/>
      </c>
      <c r="R44" s="62" t="str">
        <f>IF($B44="","",  VLOOKUP($B44, Propostas!$B:$BE, 43, FALSE) )</f>
        <v/>
      </c>
      <c r="S44" s="62" t="str">
        <f>IF($B44="","",  VLOOKUP($B44, Propostas!$B:$BE, 44, FALSE) )</f>
        <v/>
      </c>
      <c r="T44" s="62" t="str">
        <f>IF($B44="","",  VLOOKUP($B44, Propostas!$B:$BE, 45, FALSE) )</f>
        <v/>
      </c>
      <c r="U44" s="31"/>
      <c r="V44" s="13" t="str">
        <f>IF($B44="","",  VLOOKUP($B44, Propostas!$B:$BE, 50, FALSE) )</f>
        <v/>
      </c>
      <c r="W44" s="13" t="str">
        <f>IF($B44="","",  VLOOKUP($B44, Propostas!$B:$BE, 51, FALSE) )</f>
        <v/>
      </c>
      <c r="X44" s="13" t="str">
        <f>IF($B44="","",  VLOOKUP($B44, Propostas!$B:$BE, 52, FALSE) )</f>
        <v/>
      </c>
      <c r="Y44" s="13" t="str">
        <f>IF($B44="","",  VLOOKUP($B44, Propostas!$B:$BE, 36, FALSE) )</f>
        <v/>
      </c>
      <c r="Z44" s="13" t="str">
        <f>IF($B44="","",  VLOOKUP($F44, VW_PROJETO!B:C, 2, FALSE) )</f>
        <v/>
      </c>
    </row>
    <row r="45" spans="1:26" x14ac:dyDescent="0.2">
      <c r="B45" s="2"/>
      <c r="C45" s="4" t="str">
        <f>IF($B45="","",  VLOOKUP($B45, Propostas!$B:$BE, 33, FALSE) )</f>
        <v/>
      </c>
      <c r="D45" s="4" t="str">
        <f>IF($B45="","",  VLOOKUP($B45, Propostas!$B:$BE, 34, FALSE) )</f>
        <v/>
      </c>
      <c r="E45" s="4" t="str">
        <f>IF($B45="","",  VLOOKUP($B45, Propostas!$B:$BE, 35, FALSE) )</f>
        <v/>
      </c>
      <c r="F45" s="4" t="str">
        <f>IF($B45="","",  VLOOKUP($B45, Propostas!$B:$BE, 2, FALSE) )</f>
        <v/>
      </c>
      <c r="G45" s="4" t="str">
        <f>IF($B45="","",  VLOOKUP($B45, Propostas!$B:$BE, 3, FALSE) )</f>
        <v/>
      </c>
      <c r="H45" s="4" t="str">
        <f>IF($B45="","",  VLOOKUP($B45, Propostas!$B:$BE, 4, FALSE) )</f>
        <v/>
      </c>
      <c r="I45" s="4" t="str">
        <f>IF($B45="","",  VLOOKUP($B45, Propostas!$B:$BE, 38, FALSE) )</f>
        <v/>
      </c>
      <c r="J45" s="13" t="str">
        <f>IF($B45="","",IF($C45="SIM", "&lt; INFRRAESTRUTURA &gt;", VLOOKUP($B45,Propostas!$B:$BE,41,FALSE)))</f>
        <v/>
      </c>
      <c r="K45" s="10" t="str">
        <f>IF($B45="","",  VLOOKUP($B45, Propostas!$B:$BE, 40, FALSE) )</f>
        <v/>
      </c>
      <c r="L45" s="10" t="str">
        <f>IF($B45="","",IF(VLOOKUP($B45,Propostas!$B:$BE,21,FALSE)=1,"B",IF(VLOOKUP($B45,Propostas!$B:$BE,21,FALSE)=2,"E","N")))</f>
        <v/>
      </c>
      <c r="M45" s="31" t="str">
        <f>IF($B45 = "", "",  VLOOKUP($B45, Propostas!$B:$BE, 46, FALSE) )</f>
        <v/>
      </c>
      <c r="N45" s="31" t="str">
        <f>IF($B45 = "", "",  VLOOKUP($B45, Propostas!$B:$BE, 47, FALSE) )</f>
        <v/>
      </c>
      <c r="O45" s="13" t="str">
        <f>IF($B45="","",IF($C45="SIM", "INFRAESTRUTURA", VLOOKUP($B45, Propostas!$B:$BE,42,FALSE)))</f>
        <v/>
      </c>
      <c r="P45" s="31" t="str">
        <f>IF($B45 = "", "",  VLOOKUP($B45, Propostas!$B:$BE, 49, FALSE) )</f>
        <v/>
      </c>
      <c r="Q45" s="13" t="str">
        <f>IF($B45="","",  VLOOKUP($B45, Propostas!$B:$BE, 39, FALSE) )</f>
        <v/>
      </c>
      <c r="R45" s="62" t="str">
        <f>IF($B45="","",  VLOOKUP($B45, Propostas!$B:$BE, 43, FALSE) )</f>
        <v/>
      </c>
      <c r="S45" s="62" t="str">
        <f>IF($B45="","",  VLOOKUP($B45, Propostas!$B:$BE, 44, FALSE) )</f>
        <v/>
      </c>
      <c r="T45" s="62" t="str">
        <f>IF($B45="","",  VLOOKUP($B45, Propostas!$B:$BE, 45, FALSE) )</f>
        <v/>
      </c>
      <c r="U45" s="31"/>
      <c r="V45" s="13" t="str">
        <f>IF($B45="","",  VLOOKUP($B45, Propostas!$B:$BE, 50, FALSE) )</f>
        <v/>
      </c>
      <c r="W45" s="13" t="str">
        <f>IF($B45="","",  VLOOKUP($B45, Propostas!$B:$BE, 51, FALSE) )</f>
        <v/>
      </c>
      <c r="X45" s="13" t="str">
        <f>IF($B45="","",  VLOOKUP($B45, Propostas!$B:$BE, 52, FALSE) )</f>
        <v/>
      </c>
      <c r="Y45" s="13" t="str">
        <f>IF($B45="","",  VLOOKUP($B45, Propostas!$B:$BE, 36, FALSE) )</f>
        <v/>
      </c>
      <c r="Z45" s="13" t="str">
        <f>IF($B45="","",  VLOOKUP($F45, VW_PROJETO!B:C, 2, FALSE) )</f>
        <v/>
      </c>
    </row>
    <row r="46" spans="1:26" x14ac:dyDescent="0.2">
      <c r="B46" s="2"/>
      <c r="C46" s="4" t="str">
        <f>IF($B46="","",  VLOOKUP($B46, Propostas!$B:$BE, 33, FALSE) )</f>
        <v/>
      </c>
      <c r="D46" s="4" t="str">
        <f>IF($B46="","",  VLOOKUP($B46, Propostas!$B:$BE, 34, FALSE) )</f>
        <v/>
      </c>
      <c r="E46" s="4" t="str">
        <f>IF($B46="","",  VLOOKUP($B46, Propostas!$B:$BE, 35, FALSE) )</f>
        <v/>
      </c>
      <c r="F46" s="4" t="str">
        <f>IF($B46="","",  VLOOKUP($B46, Propostas!$B:$BE, 2, FALSE) )</f>
        <v/>
      </c>
      <c r="G46" s="4" t="str">
        <f>IF($B46="","",  VLOOKUP($B46, Propostas!$B:$BE, 3, FALSE) )</f>
        <v/>
      </c>
      <c r="H46" s="4" t="str">
        <f>IF($B46="","",  VLOOKUP($B46, Propostas!$B:$BE, 4, FALSE) )</f>
        <v/>
      </c>
      <c r="I46" s="4" t="str">
        <f>IF($B46="","",  VLOOKUP($B46, Propostas!$B:$BE, 38, FALSE) )</f>
        <v/>
      </c>
      <c r="J46" s="13" t="str">
        <f>IF($B46="","",IF($C46="SIM", "&lt; INFRRAESTRUTURA &gt;", VLOOKUP($B46,Propostas!$B:$BE,41,FALSE)))</f>
        <v/>
      </c>
      <c r="K46" s="10" t="str">
        <f>IF($B46="","",  VLOOKUP($B46, Propostas!$B:$BE, 40, FALSE) )</f>
        <v/>
      </c>
      <c r="L46" s="10" t="str">
        <f>IF($B46="","",IF(VLOOKUP($B46,Propostas!$B:$BE,21,FALSE)=1,"B",IF(VLOOKUP($B46,Propostas!$B:$BE,21,FALSE)=2,"E","N")))</f>
        <v/>
      </c>
      <c r="M46" s="31" t="str">
        <f>IF($B46 = "", "",  VLOOKUP($B46, Propostas!$B:$BE, 46, FALSE) )</f>
        <v/>
      </c>
      <c r="N46" s="31" t="str">
        <f>IF($B46 = "", "",  VLOOKUP($B46, Propostas!$B:$BE, 47, FALSE) )</f>
        <v/>
      </c>
      <c r="O46" s="13" t="str">
        <f>IF($B46="","",IF($C46="SIM", "INFRAESTRUTURA", VLOOKUP($B46, Propostas!$B:$BE,42,FALSE)))</f>
        <v/>
      </c>
      <c r="P46" s="31" t="str">
        <f>IF($B46 = "", "",  VLOOKUP($B46, Propostas!$B:$BE, 49, FALSE) )</f>
        <v/>
      </c>
      <c r="Q46" s="13" t="str">
        <f>IF($B46="","",  VLOOKUP($B46, Propostas!$B:$BE, 39, FALSE) )</f>
        <v/>
      </c>
      <c r="R46" s="62" t="str">
        <f>IF($B46="","",  VLOOKUP($B46, Propostas!$B:$BE, 43, FALSE) )</f>
        <v/>
      </c>
      <c r="S46" s="62" t="str">
        <f>IF($B46="","",  VLOOKUP($B46, Propostas!$B:$BE, 44, FALSE) )</f>
        <v/>
      </c>
      <c r="T46" s="62" t="str">
        <f>IF($B46="","",  VLOOKUP($B46, Propostas!$B:$BE, 45, FALSE) )</f>
        <v/>
      </c>
      <c r="U46" s="31"/>
      <c r="V46" s="13" t="str">
        <f>IF($B46="","",  VLOOKUP($B46, Propostas!$B:$BE, 50, FALSE) )</f>
        <v/>
      </c>
      <c r="W46" s="13" t="str">
        <f>IF($B46="","",  VLOOKUP($B46, Propostas!$B:$BE, 51, FALSE) )</f>
        <v/>
      </c>
      <c r="X46" s="13" t="str">
        <f>IF($B46="","",  VLOOKUP($B46, Propostas!$B:$BE, 52, FALSE) )</f>
        <v/>
      </c>
      <c r="Y46" s="13" t="str">
        <f>IF($B46="","",  VLOOKUP($B46, Propostas!$B:$BE, 36, FALSE) )</f>
        <v/>
      </c>
      <c r="Z46" s="13" t="str">
        <f>IF($B46="","",  VLOOKUP($F46, VW_PROJETO!B:C, 2, FALSE) )</f>
        <v/>
      </c>
    </row>
    <row r="47" spans="1:26" x14ac:dyDescent="0.2">
      <c r="B47" s="2"/>
      <c r="C47" s="4" t="str">
        <f>IF($B47="","",  VLOOKUP($B47, Propostas!$B:$BE, 33, FALSE) )</f>
        <v/>
      </c>
      <c r="D47" s="4" t="str">
        <f>IF($B47="","",  VLOOKUP($B47, Propostas!$B:$BE, 34, FALSE) )</f>
        <v/>
      </c>
      <c r="E47" s="4" t="str">
        <f>IF($B47="","",  VLOOKUP($B47, Propostas!$B:$BE, 35, FALSE) )</f>
        <v/>
      </c>
      <c r="F47" s="4" t="str">
        <f>IF($B47="","",  VLOOKUP($B47, Propostas!$B:$BE, 2, FALSE) )</f>
        <v/>
      </c>
      <c r="G47" s="4" t="str">
        <f>IF($B47="","",  VLOOKUP($B47, Propostas!$B:$BE, 3, FALSE) )</f>
        <v/>
      </c>
      <c r="H47" s="4" t="str">
        <f>IF($B47="","",  VLOOKUP($B47, Propostas!$B:$BE, 4, FALSE) )</f>
        <v/>
      </c>
      <c r="I47" s="4" t="str">
        <f>IF($B47="","",  VLOOKUP($B47, Propostas!$B:$BE, 38, FALSE) )</f>
        <v/>
      </c>
      <c r="J47" s="13" t="str">
        <f>IF($B47="","",IF($C47="SIM", "&lt; INFRRAESTRUTURA &gt;", VLOOKUP($B47,Propostas!$B:$BE,41,FALSE)))</f>
        <v/>
      </c>
      <c r="K47" s="10" t="str">
        <f>IF($B47="","",  VLOOKUP($B47, Propostas!$B:$BE, 40, FALSE) )</f>
        <v/>
      </c>
      <c r="L47" s="10" t="str">
        <f>IF($B47="","",IF(VLOOKUP($B47,Propostas!$B:$BE,21,FALSE)=1,"B",IF(VLOOKUP($B47,Propostas!$B:$BE,21,FALSE)=2,"E","N")))</f>
        <v/>
      </c>
      <c r="M47" s="31" t="str">
        <f>IF($B47 = "", "",  VLOOKUP($B47, Propostas!$B:$BE, 46, FALSE) )</f>
        <v/>
      </c>
      <c r="N47" s="31" t="str">
        <f>IF($B47 = "", "",  VLOOKUP($B47, Propostas!$B:$BE, 47, FALSE) )</f>
        <v/>
      </c>
      <c r="O47" s="13" t="str">
        <f>IF($B47="","",IF($C47="SIM", "INFRAESTRUTURA", VLOOKUP($B47, Propostas!$B:$BE,42,FALSE)))</f>
        <v/>
      </c>
      <c r="P47" s="31" t="str">
        <f>IF($B47 = "", "",  VLOOKUP($B47, Propostas!$B:$BE, 49, FALSE) )</f>
        <v/>
      </c>
      <c r="Q47" s="13" t="str">
        <f>IF($B47="","",  VLOOKUP($B47, Propostas!$B:$BE, 39, FALSE) )</f>
        <v/>
      </c>
      <c r="R47" s="62" t="str">
        <f>IF($B47="","",  VLOOKUP($B47, Propostas!$B:$BE, 43, FALSE) )</f>
        <v/>
      </c>
      <c r="S47" s="62" t="str">
        <f>IF($B47="","",  VLOOKUP($B47, Propostas!$B:$BE, 44, FALSE) )</f>
        <v/>
      </c>
      <c r="T47" s="62" t="str">
        <f>IF($B47="","",  VLOOKUP($B47, Propostas!$B:$BE, 45, FALSE) )</f>
        <v/>
      </c>
      <c r="U47" s="31"/>
      <c r="V47" s="13" t="str">
        <f>IF($B47="","",  VLOOKUP($B47, Propostas!$B:$BE, 50, FALSE) )</f>
        <v/>
      </c>
      <c r="W47" s="13" t="str">
        <f>IF($B47="","",  VLOOKUP($B47, Propostas!$B:$BE, 51, FALSE) )</f>
        <v/>
      </c>
      <c r="X47" s="13" t="str">
        <f>IF($B47="","",  VLOOKUP($B47, Propostas!$B:$BE, 52, FALSE) )</f>
        <v/>
      </c>
      <c r="Y47" s="13" t="str">
        <f>IF($B47="","",  VLOOKUP($B47, Propostas!$B:$BE, 36, FALSE) )</f>
        <v/>
      </c>
      <c r="Z47" s="13" t="str">
        <f>IF($B47="","",  VLOOKUP($F47, VW_PROJETO!B:C, 2, FALSE) )</f>
        <v/>
      </c>
    </row>
    <row r="48" spans="1:26" x14ac:dyDescent="0.2">
      <c r="B48" s="2"/>
      <c r="C48" s="4" t="str">
        <f>IF($B48="","",  VLOOKUP($B48, Propostas!$B:$BE, 33, FALSE) )</f>
        <v/>
      </c>
      <c r="D48" s="4" t="str">
        <f>IF($B48="","",  VLOOKUP($B48, Propostas!$B:$BE, 34, FALSE) )</f>
        <v/>
      </c>
      <c r="E48" s="4" t="str">
        <f>IF($B48="","",  VLOOKUP($B48, Propostas!$B:$BE, 35, FALSE) )</f>
        <v/>
      </c>
      <c r="F48" s="4" t="str">
        <f>IF($B48="","",  VLOOKUP($B48, Propostas!$B:$BE, 2, FALSE) )</f>
        <v/>
      </c>
      <c r="G48" s="4" t="str">
        <f>IF($B48="","",  VLOOKUP($B48, Propostas!$B:$BE, 3, FALSE) )</f>
        <v/>
      </c>
      <c r="H48" s="4" t="str">
        <f>IF($B48="","",  VLOOKUP($B48, Propostas!$B:$BE, 4, FALSE) )</f>
        <v/>
      </c>
      <c r="I48" s="4" t="str">
        <f>IF($B48="","",  VLOOKUP($B48, Propostas!$B:$BE, 38, FALSE) )</f>
        <v/>
      </c>
      <c r="J48" s="13" t="str">
        <f>IF($B48="","",IF($C48="SIM", "&lt; INFRRAESTRUTURA &gt;", VLOOKUP($B48,Propostas!$B:$BE,41,FALSE)))</f>
        <v/>
      </c>
      <c r="K48" s="10" t="str">
        <f>IF($B48="","",  VLOOKUP($B48, Propostas!$B:$BE, 40, FALSE) )</f>
        <v/>
      </c>
      <c r="L48" s="10" t="str">
        <f>IF($B48="","",IF(VLOOKUP($B48,Propostas!$B:$BE,21,FALSE)=1,"B",IF(VLOOKUP($B48,Propostas!$B:$BE,21,FALSE)=2,"E","N")))</f>
        <v/>
      </c>
      <c r="M48" s="31" t="str">
        <f>IF($B48 = "", "",  VLOOKUP($B48, Propostas!$B:$BE, 46, FALSE) )</f>
        <v/>
      </c>
      <c r="N48" s="31" t="str">
        <f>IF($B48 = "", "",  VLOOKUP($B48, Propostas!$B:$BE, 47, FALSE) )</f>
        <v/>
      </c>
      <c r="O48" s="13" t="str">
        <f>IF($B48="","",IF($C48="SIM", "INFRAESTRUTURA", VLOOKUP($B48, Propostas!$B:$BE,42,FALSE)))</f>
        <v/>
      </c>
      <c r="P48" s="31" t="str">
        <f>IF($B48 = "", "",  VLOOKUP($B48, Propostas!$B:$BE, 49, FALSE) )</f>
        <v/>
      </c>
      <c r="Q48" s="13" t="str">
        <f>IF($B48="","",  VLOOKUP($B48, Propostas!$B:$BE, 39, FALSE) )</f>
        <v/>
      </c>
      <c r="R48" s="62" t="str">
        <f>IF($B48="","",  VLOOKUP($B48, Propostas!$B:$BE, 43, FALSE) )</f>
        <v/>
      </c>
      <c r="S48" s="62" t="str">
        <f>IF($B48="","",  VLOOKUP($B48, Propostas!$B:$BE, 44, FALSE) )</f>
        <v/>
      </c>
      <c r="T48" s="62" t="str">
        <f>IF($B48="","",  VLOOKUP($B48, Propostas!$B:$BE, 45, FALSE) )</f>
        <v/>
      </c>
      <c r="U48" s="31"/>
      <c r="V48" s="13" t="str">
        <f>IF($B48="","",  VLOOKUP($B48, Propostas!$B:$BE, 50, FALSE) )</f>
        <v/>
      </c>
      <c r="W48" s="13" t="str">
        <f>IF($B48="","",  VLOOKUP($B48, Propostas!$B:$BE, 51, FALSE) )</f>
        <v/>
      </c>
      <c r="X48" s="13" t="str">
        <f>IF($B48="","",  VLOOKUP($B48, Propostas!$B:$BE, 52, FALSE) )</f>
        <v/>
      </c>
      <c r="Y48" s="13" t="str">
        <f>IF($B48="","",  VLOOKUP($B48, Propostas!$B:$BE, 36, FALSE) )</f>
        <v/>
      </c>
      <c r="Z48" s="13" t="str">
        <f>IF($B48="","",  VLOOKUP($F48, VW_PROJETO!B:C, 2, FALSE) )</f>
        <v/>
      </c>
    </row>
    <row r="49" spans="2:26" x14ac:dyDescent="0.2">
      <c r="B49" s="2"/>
      <c r="C49" s="4" t="str">
        <f>IF($B49="","",  VLOOKUP($B49, Propostas!$B:$BE, 33, FALSE) )</f>
        <v/>
      </c>
      <c r="D49" s="4" t="str">
        <f>IF($B49="","",  VLOOKUP($B49, Propostas!$B:$BE, 34, FALSE) )</f>
        <v/>
      </c>
      <c r="E49" s="4" t="str">
        <f>IF($B49="","",  VLOOKUP($B49, Propostas!$B:$BE, 35, FALSE) )</f>
        <v/>
      </c>
      <c r="F49" s="4" t="str">
        <f>IF($B49="","",  VLOOKUP($B49, Propostas!$B:$BE, 2, FALSE) )</f>
        <v/>
      </c>
      <c r="G49" s="4" t="str">
        <f>IF($B49="","",  VLOOKUP($B49, Propostas!$B:$BE, 3, FALSE) )</f>
        <v/>
      </c>
      <c r="H49" s="4" t="str">
        <f>IF($B49="","",  VLOOKUP($B49, Propostas!$B:$BE, 4, FALSE) )</f>
        <v/>
      </c>
      <c r="I49" s="4" t="str">
        <f>IF($B49="","",  VLOOKUP($B49, Propostas!$B:$BE, 38, FALSE) )</f>
        <v/>
      </c>
      <c r="J49" s="13" t="str">
        <f>IF($B49="","",IF($C49="SIM", "&lt; INFRRAESTRUTURA &gt;", VLOOKUP($B49,Propostas!$B:$BE,41,FALSE)))</f>
        <v/>
      </c>
      <c r="K49" s="10" t="str">
        <f>IF($B49="","",  VLOOKUP($B49, Propostas!$B:$BE, 40, FALSE) )</f>
        <v/>
      </c>
      <c r="L49" s="10" t="str">
        <f>IF($B49="","",IF(VLOOKUP($B49,Propostas!$B:$BE,21,FALSE)=1,"B",IF(VLOOKUP($B49,Propostas!$B:$BE,21,FALSE)=2,"E","N")))</f>
        <v/>
      </c>
      <c r="M49" s="31" t="str">
        <f>IF($B49 = "", "",  VLOOKUP($B49, Propostas!$B:$BE, 46, FALSE) )</f>
        <v/>
      </c>
      <c r="N49" s="31" t="str">
        <f>IF($B49 = "", "",  VLOOKUP($B49, Propostas!$B:$BE, 47, FALSE) )</f>
        <v/>
      </c>
      <c r="O49" s="13" t="str">
        <f>IF($B49="","",IF($C49="SIM", "INFRAESTRUTURA", VLOOKUP($B49, Propostas!$B:$BE,42,FALSE)))</f>
        <v/>
      </c>
      <c r="P49" s="31" t="str">
        <f>IF($B49 = "", "",  VLOOKUP($B49, Propostas!$B:$BE, 49, FALSE) )</f>
        <v/>
      </c>
      <c r="Q49" s="13" t="str">
        <f>IF($B49="","",  VLOOKUP($B49, Propostas!$B:$BE, 39, FALSE) )</f>
        <v/>
      </c>
      <c r="R49" s="62" t="str">
        <f>IF($B49="","",  VLOOKUP($B49, Propostas!$B:$BE, 43, FALSE) )</f>
        <v/>
      </c>
      <c r="S49" s="62" t="str">
        <f>IF($B49="","",  VLOOKUP($B49, Propostas!$B:$BE, 44, FALSE) )</f>
        <v/>
      </c>
      <c r="T49" s="62" t="str">
        <f>IF($B49="","",  VLOOKUP($B49, Propostas!$B:$BE, 45, FALSE) )</f>
        <v/>
      </c>
      <c r="U49" s="31"/>
      <c r="V49" s="13" t="str">
        <f>IF($B49="","",  VLOOKUP($B49, Propostas!$B:$BE, 50, FALSE) )</f>
        <v/>
      </c>
      <c r="W49" s="13" t="str">
        <f>IF($B49="","",  VLOOKUP($B49, Propostas!$B:$BE, 51, FALSE) )</f>
        <v/>
      </c>
      <c r="X49" s="13" t="str">
        <f>IF($B49="","",  VLOOKUP($B49, Propostas!$B:$BE, 52, FALSE) )</f>
        <v/>
      </c>
      <c r="Y49" s="13" t="str">
        <f>IF($B49="","",  VLOOKUP($B49, Propostas!$B:$BE, 36, FALSE) )</f>
        <v/>
      </c>
      <c r="Z49" s="13" t="str">
        <f>IF($B49="","",  VLOOKUP($F49, VW_PROJETO!B:C, 2, FALSE) )</f>
        <v/>
      </c>
    </row>
    <row r="50" spans="2:26" x14ac:dyDescent="0.2">
      <c r="B50" s="2"/>
      <c r="C50" s="4" t="str">
        <f>IF($B50="","",  VLOOKUP($B50, Propostas!$B:$BE, 33, FALSE) )</f>
        <v/>
      </c>
      <c r="D50" s="4" t="str">
        <f>IF($B50="","",  VLOOKUP($B50, Propostas!$B:$BE, 34, FALSE) )</f>
        <v/>
      </c>
      <c r="E50" s="4" t="str">
        <f>IF($B50="","",  VLOOKUP($B50, Propostas!$B:$BE, 35, FALSE) )</f>
        <v/>
      </c>
      <c r="F50" s="4" t="str">
        <f>IF($B50="","",  VLOOKUP($B50, Propostas!$B:$BE, 2, FALSE) )</f>
        <v/>
      </c>
      <c r="G50" s="4" t="str">
        <f>IF($B50="","",  VLOOKUP($B50, Propostas!$B:$BE, 3, FALSE) )</f>
        <v/>
      </c>
      <c r="H50" s="4" t="str">
        <f>IF($B50="","",  VLOOKUP($B50, Propostas!$B:$BE, 4, FALSE) )</f>
        <v/>
      </c>
      <c r="I50" s="4" t="str">
        <f>IF($B50="","",  VLOOKUP($B50, Propostas!$B:$BE, 38, FALSE) )</f>
        <v/>
      </c>
      <c r="J50" s="13" t="str">
        <f>IF($B50="","",IF($C50="SIM", "&lt; INFRRAESTRUTURA &gt;", VLOOKUP($B50,Propostas!$B:$BE,41,FALSE)))</f>
        <v/>
      </c>
      <c r="K50" s="10" t="str">
        <f>IF($B50="","",  VLOOKUP($B50, Propostas!$B:$BE, 40, FALSE) )</f>
        <v/>
      </c>
      <c r="L50" s="10" t="str">
        <f>IF($B50="","",IF(VLOOKUP($B50,Propostas!$B:$BE,21,FALSE)=1,"B",IF(VLOOKUP($B50,Propostas!$B:$BE,21,FALSE)=2,"E","N")))</f>
        <v/>
      </c>
      <c r="M50" s="31" t="str">
        <f>IF($B50 = "", "",  VLOOKUP($B50, Propostas!$B:$BE, 46, FALSE) )</f>
        <v/>
      </c>
      <c r="N50" s="31" t="str">
        <f>IF($B50 = "", "",  VLOOKUP($B50, Propostas!$B:$BE, 47, FALSE) )</f>
        <v/>
      </c>
      <c r="O50" s="13" t="str">
        <f>IF($B50="","",IF($C50="SIM", "INFRAESTRUTURA", VLOOKUP($B50, Propostas!$B:$BE,42,FALSE)))</f>
        <v/>
      </c>
      <c r="P50" s="31" t="str">
        <f>IF($B50 = "", "",  VLOOKUP($B50, Propostas!$B:$BE, 49, FALSE) )</f>
        <v/>
      </c>
      <c r="Q50" s="13" t="str">
        <f>IF($B50="","",  VLOOKUP($B50, Propostas!$B:$BE, 39, FALSE) )</f>
        <v/>
      </c>
      <c r="R50" s="62" t="str">
        <f>IF($B50="","",  VLOOKUP($B50, Propostas!$B:$BE, 43, FALSE) )</f>
        <v/>
      </c>
      <c r="S50" s="62" t="str">
        <f>IF($B50="","",  VLOOKUP($B50, Propostas!$B:$BE, 44, FALSE) )</f>
        <v/>
      </c>
      <c r="T50" s="62" t="str">
        <f>IF($B50="","",  VLOOKUP($B50, Propostas!$B:$BE, 45, FALSE) )</f>
        <v/>
      </c>
      <c r="U50" s="31"/>
      <c r="V50" s="13" t="str">
        <f>IF($B50="","",  VLOOKUP($B50, Propostas!$B:$BE, 50, FALSE) )</f>
        <v/>
      </c>
      <c r="W50" s="13" t="str">
        <f>IF($B50="","",  VLOOKUP($B50, Propostas!$B:$BE, 51, FALSE) )</f>
        <v/>
      </c>
      <c r="X50" s="13" t="str">
        <f>IF($B50="","",  VLOOKUP($B50, Propostas!$B:$BE, 52, FALSE) )</f>
        <v/>
      </c>
      <c r="Y50" s="13" t="str">
        <f>IF($B50="","",  VLOOKUP($B50, Propostas!$B:$BE, 36, FALSE) )</f>
        <v/>
      </c>
      <c r="Z50" s="13" t="str">
        <f>IF($B50="","",  VLOOKUP($F50, VW_PROJETO!B:C, 2, FALSE) )</f>
        <v/>
      </c>
    </row>
    <row r="51" spans="2:26" x14ac:dyDescent="0.2">
      <c r="B51" s="2"/>
      <c r="C51" s="4" t="str">
        <f>IF($B51="","",  VLOOKUP($B51, Propostas!$B:$BE, 33, FALSE) )</f>
        <v/>
      </c>
      <c r="D51" s="4" t="str">
        <f>IF($B51="","",  VLOOKUP($B51, Propostas!$B:$BE, 34, FALSE) )</f>
        <v/>
      </c>
      <c r="E51" s="4" t="str">
        <f>IF($B51="","",  VLOOKUP($B51, Propostas!$B:$BE, 35, FALSE) )</f>
        <v/>
      </c>
      <c r="F51" s="4" t="str">
        <f>IF($B51="","",  VLOOKUP($B51, Propostas!$B:$BE, 2, FALSE) )</f>
        <v/>
      </c>
      <c r="G51" s="4" t="str">
        <f>IF($B51="","",  VLOOKUP($B51, Propostas!$B:$BE, 3, FALSE) )</f>
        <v/>
      </c>
      <c r="H51" s="4" t="str">
        <f>IF($B51="","",  VLOOKUP($B51, Propostas!$B:$BE, 4, FALSE) )</f>
        <v/>
      </c>
      <c r="I51" s="4" t="str">
        <f>IF($B51="","",  VLOOKUP($B51, Propostas!$B:$BE, 38, FALSE) )</f>
        <v/>
      </c>
      <c r="J51" s="13" t="str">
        <f>IF($B51="","",IF($C51="SIM", "&lt; INFRRAESTRUTURA &gt;", VLOOKUP($B51,Propostas!$B:$BE,41,FALSE)))</f>
        <v/>
      </c>
      <c r="K51" s="10" t="str">
        <f>IF($B51="","",  VLOOKUP($B51, Propostas!$B:$BE, 40, FALSE) )</f>
        <v/>
      </c>
      <c r="L51" s="10" t="str">
        <f>IF($B51="","",IF(VLOOKUP($B51,Propostas!$B:$BE,21,FALSE)=1,"B",IF(VLOOKUP($B51,Propostas!$B:$BE,21,FALSE)=2,"E","N")))</f>
        <v/>
      </c>
      <c r="M51" s="31" t="str">
        <f>IF($B51 = "", "",  VLOOKUP($B51, Propostas!$B:$BE, 46, FALSE) )</f>
        <v/>
      </c>
      <c r="N51" s="31" t="str">
        <f>IF($B51 = "", "",  VLOOKUP($B51, Propostas!$B:$BE, 47, FALSE) )</f>
        <v/>
      </c>
      <c r="O51" s="13" t="str">
        <f>IF($B51="","",IF($C51="SIM", "INFRAESTRUTURA", VLOOKUP($B51, Propostas!$B:$BE,42,FALSE)))</f>
        <v/>
      </c>
      <c r="P51" s="31" t="str">
        <f>IF($B51 = "", "",  VLOOKUP($B51, Propostas!$B:$BE, 49, FALSE) )</f>
        <v/>
      </c>
      <c r="Q51" s="13" t="str">
        <f>IF($B51="","",  VLOOKUP($B51, Propostas!$B:$BE, 39, FALSE) )</f>
        <v/>
      </c>
      <c r="R51" s="62" t="str">
        <f>IF($B51="","",  VLOOKUP($B51, Propostas!$B:$BE, 43, FALSE) )</f>
        <v/>
      </c>
      <c r="S51" s="62" t="str">
        <f>IF($B51="","",  VLOOKUP($B51, Propostas!$B:$BE, 44, FALSE) )</f>
        <v/>
      </c>
      <c r="T51" s="62" t="str">
        <f>IF($B51="","",  VLOOKUP($B51, Propostas!$B:$BE, 45, FALSE) )</f>
        <v/>
      </c>
      <c r="U51" s="31"/>
      <c r="V51" s="13" t="str">
        <f>IF($B51="","",  VLOOKUP($B51, Propostas!$B:$BE, 50, FALSE) )</f>
        <v/>
      </c>
      <c r="W51" s="13" t="str">
        <f>IF($B51="","",  VLOOKUP($B51, Propostas!$B:$BE, 51, FALSE) )</f>
        <v/>
      </c>
      <c r="X51" s="13" t="str">
        <f>IF($B51="","",  VLOOKUP($B51, Propostas!$B:$BE, 52, FALSE) )</f>
        <v/>
      </c>
      <c r="Y51" s="13" t="str">
        <f>IF($B51="","",  VLOOKUP($B51, Propostas!$B:$BE, 36, FALSE) )</f>
        <v/>
      </c>
      <c r="Z51" s="13" t="str">
        <f>IF($B51="","",  VLOOKUP($F51, VW_PROJETO!B:C, 2, FALSE) )</f>
        <v/>
      </c>
    </row>
    <row r="52" spans="2:26" x14ac:dyDescent="0.2">
      <c r="B52" s="2"/>
      <c r="C52" s="4" t="str">
        <f>IF($B52="","",  VLOOKUP($B52, Propostas!$B:$BE, 33, FALSE) )</f>
        <v/>
      </c>
      <c r="D52" s="4" t="str">
        <f>IF($B52="","",  VLOOKUP($B52, Propostas!$B:$BE, 34, FALSE) )</f>
        <v/>
      </c>
      <c r="E52" s="4" t="str">
        <f>IF($B52="","",  VLOOKUP($B52, Propostas!$B:$BE, 35, FALSE) )</f>
        <v/>
      </c>
      <c r="F52" s="4" t="str">
        <f>IF($B52="","",  VLOOKUP($B52, Propostas!$B:$BE, 2, FALSE) )</f>
        <v/>
      </c>
      <c r="G52" s="4" t="str">
        <f>IF($B52="","",  VLOOKUP($B52, Propostas!$B:$BE, 3, FALSE) )</f>
        <v/>
      </c>
      <c r="H52" s="4" t="str">
        <f>IF($B52="","",  VLOOKUP($B52, Propostas!$B:$BE, 4, FALSE) )</f>
        <v/>
      </c>
      <c r="I52" s="4" t="str">
        <f>IF($B52="","",  VLOOKUP($B52, Propostas!$B:$BE, 38, FALSE) )</f>
        <v/>
      </c>
      <c r="J52" s="13" t="str">
        <f>IF($B52="","",IF($C52="SIM", "&lt; INFRRAESTRUTURA &gt;", VLOOKUP($B52,Propostas!$B:$BE,41,FALSE)))</f>
        <v/>
      </c>
      <c r="K52" s="10" t="str">
        <f>IF($B52="","",  VLOOKUP($B52, Propostas!$B:$BE, 40, FALSE) )</f>
        <v/>
      </c>
      <c r="L52" s="10" t="str">
        <f>IF($B52="","",IF(VLOOKUP($B52,Propostas!$B:$BE,21,FALSE)=1,"B",IF(VLOOKUP($B52,Propostas!$B:$BE,21,FALSE)=2,"E","N")))</f>
        <v/>
      </c>
      <c r="M52" s="31" t="str">
        <f>IF($B52 = "", "",  VLOOKUP($B52, Propostas!$B:$BE, 46, FALSE) )</f>
        <v/>
      </c>
      <c r="N52" s="31" t="str">
        <f>IF($B52 = "", "",  VLOOKUP($B52, Propostas!$B:$BE, 47, FALSE) )</f>
        <v/>
      </c>
      <c r="O52" s="13" t="str">
        <f>IF($B52="","",IF($C52="SIM", "INFRAESTRUTURA", VLOOKUP($B52, Propostas!$B:$BE,42,FALSE)))</f>
        <v/>
      </c>
      <c r="P52" s="31" t="str">
        <f>IF($B52 = "", "",  VLOOKUP($B52, Propostas!$B:$BE, 49, FALSE) )</f>
        <v/>
      </c>
      <c r="Q52" s="13" t="str">
        <f>IF($B52="","",  VLOOKUP($B52, Propostas!$B:$BE, 39, FALSE) )</f>
        <v/>
      </c>
      <c r="R52" s="62" t="str">
        <f>IF($B52="","",  VLOOKUP($B52, Propostas!$B:$BE, 43, FALSE) )</f>
        <v/>
      </c>
      <c r="S52" s="62" t="str">
        <f>IF($B52="","",  VLOOKUP($B52, Propostas!$B:$BE, 44, FALSE) )</f>
        <v/>
      </c>
      <c r="T52" s="62" t="str">
        <f>IF($B52="","",  VLOOKUP($B52, Propostas!$B:$BE, 45, FALSE) )</f>
        <v/>
      </c>
      <c r="U52" s="31"/>
      <c r="V52" s="13" t="str">
        <f>IF($B52="","",  VLOOKUP($B52, Propostas!$B:$BE, 50, FALSE) )</f>
        <v/>
      </c>
      <c r="W52" s="13" t="str">
        <f>IF($B52="","",  VLOOKUP($B52, Propostas!$B:$BE, 51, FALSE) )</f>
        <v/>
      </c>
      <c r="X52" s="13" t="str">
        <f>IF($B52="","",  VLOOKUP($B52, Propostas!$B:$BE, 52, FALSE) )</f>
        <v/>
      </c>
      <c r="Y52" s="13" t="str">
        <f>IF($B52="","",  VLOOKUP($B52, Propostas!$B:$BE, 36, FALSE) )</f>
        <v/>
      </c>
      <c r="Z52" s="13" t="str">
        <f>IF($B52="","",  VLOOKUP($F52, VW_PROJETO!B:C, 2, FALSE) )</f>
        <v/>
      </c>
    </row>
    <row r="53" spans="2:26" x14ac:dyDescent="0.2">
      <c r="B53" s="2"/>
      <c r="C53" s="4" t="str">
        <f>IF($B53="","",  VLOOKUP($B53, Propostas!$B:$BE, 33, FALSE) )</f>
        <v/>
      </c>
      <c r="D53" s="4" t="str">
        <f>IF($B53="","",  VLOOKUP($B53, Propostas!$B:$BE, 34, FALSE) )</f>
        <v/>
      </c>
      <c r="E53" s="4" t="str">
        <f>IF($B53="","",  VLOOKUP($B53, Propostas!$B:$BE, 35, FALSE) )</f>
        <v/>
      </c>
      <c r="F53" s="4" t="str">
        <f>IF($B53="","",  VLOOKUP($B53, Propostas!$B:$BE, 2, FALSE) )</f>
        <v/>
      </c>
      <c r="G53" s="4" t="str">
        <f>IF($B53="","",  VLOOKUP($B53, Propostas!$B:$BE, 3, FALSE) )</f>
        <v/>
      </c>
      <c r="H53" s="4" t="str">
        <f>IF($B53="","",  VLOOKUP($B53, Propostas!$B:$BE, 4, FALSE) )</f>
        <v/>
      </c>
      <c r="I53" s="4" t="str">
        <f>IF($B53="","",  VLOOKUP($B53, Propostas!$B:$BE, 38, FALSE) )</f>
        <v/>
      </c>
      <c r="J53" s="13" t="str">
        <f>IF($B53="","",IF($C53="SIM", "&lt; INFRRAESTRUTURA &gt;", VLOOKUP($B53,Propostas!$B:$BE,41,FALSE)))</f>
        <v/>
      </c>
      <c r="K53" s="10" t="str">
        <f>IF($B53="","",  VLOOKUP($B53, Propostas!$B:$BE, 40, FALSE) )</f>
        <v/>
      </c>
      <c r="L53" s="10" t="str">
        <f>IF($B53="","",IF(VLOOKUP($B53,Propostas!$B:$BE,21,FALSE)=1,"B",IF(VLOOKUP($B53,Propostas!$B:$BE,21,FALSE)=2,"E","N")))</f>
        <v/>
      </c>
      <c r="M53" s="31" t="str">
        <f>IF($B53 = "", "",  VLOOKUP($B53, Propostas!$B:$BE, 46, FALSE) )</f>
        <v/>
      </c>
      <c r="N53" s="31" t="str">
        <f>IF($B53 = "", "",  VLOOKUP($B53, Propostas!$B:$BE, 47, FALSE) )</f>
        <v/>
      </c>
      <c r="O53" s="13" t="str">
        <f>IF($B53="","",IF($C53="SIM", "INFRAESTRUTURA", VLOOKUP($B53, Propostas!$B:$BE,42,FALSE)))</f>
        <v/>
      </c>
      <c r="P53" s="31" t="str">
        <f>IF($B53 = "", "",  VLOOKUP($B53, Propostas!$B:$BE, 49, FALSE) )</f>
        <v/>
      </c>
      <c r="Q53" s="13" t="str">
        <f>IF($B53="","",  VLOOKUP($B53, Propostas!$B:$BE, 39, FALSE) )</f>
        <v/>
      </c>
      <c r="R53" s="62" t="str">
        <f>IF($B53="","",  VLOOKUP($B53, Propostas!$B:$BE, 43, FALSE) )</f>
        <v/>
      </c>
      <c r="S53" s="62" t="str">
        <f>IF($B53="","",  VLOOKUP($B53, Propostas!$B:$BE, 44, FALSE) )</f>
        <v/>
      </c>
      <c r="T53" s="62" t="str">
        <f>IF($B53="","",  VLOOKUP($B53, Propostas!$B:$BE, 45, FALSE) )</f>
        <v/>
      </c>
      <c r="U53" s="31"/>
      <c r="V53" s="13" t="str">
        <f>IF($B53="","",  VLOOKUP($B53, Propostas!$B:$BE, 50, FALSE) )</f>
        <v/>
      </c>
      <c r="W53" s="13" t="str">
        <f>IF($B53="","",  VLOOKUP($B53, Propostas!$B:$BE, 51, FALSE) )</f>
        <v/>
      </c>
      <c r="X53" s="13" t="str">
        <f>IF($B53="","",  VLOOKUP($B53, Propostas!$B:$BE, 52, FALSE) )</f>
        <v/>
      </c>
      <c r="Y53" s="13" t="str">
        <f>IF($B53="","",  VLOOKUP($B53, Propostas!$B:$BE, 36, FALSE) )</f>
        <v/>
      </c>
      <c r="Z53" s="13" t="str">
        <f>IF($B53="","",  VLOOKUP($F53, VW_PROJETO!B:C, 2, FALSE) )</f>
        <v/>
      </c>
    </row>
    <row r="54" spans="2:26" x14ac:dyDescent="0.2">
      <c r="B54" s="2"/>
      <c r="C54" s="4" t="str">
        <f>IF($B54="","",  VLOOKUP($B54, Propostas!$B:$BE, 33, FALSE) )</f>
        <v/>
      </c>
      <c r="D54" s="4" t="str">
        <f>IF($B54="","",  VLOOKUP($B54, Propostas!$B:$BE, 34, FALSE) )</f>
        <v/>
      </c>
      <c r="E54" s="4" t="str">
        <f>IF($B54="","",  VLOOKUP($B54, Propostas!$B:$BE, 35, FALSE) )</f>
        <v/>
      </c>
      <c r="F54" s="4" t="str">
        <f>IF($B54="","",  VLOOKUP($B54, Propostas!$B:$BE, 2, FALSE) )</f>
        <v/>
      </c>
      <c r="G54" s="4" t="str">
        <f>IF($B54="","",  VLOOKUP($B54, Propostas!$B:$BE, 3, FALSE) )</f>
        <v/>
      </c>
      <c r="H54" s="4" t="str">
        <f>IF($B54="","",  VLOOKUP($B54, Propostas!$B:$BE, 4, FALSE) )</f>
        <v/>
      </c>
      <c r="I54" s="4" t="str">
        <f>IF($B54="","",  VLOOKUP($B54, Propostas!$B:$BE, 38, FALSE) )</f>
        <v/>
      </c>
      <c r="J54" s="13" t="str">
        <f>IF($B54="","",IF($C54="SIM", "&lt; INFRRAESTRUTURA &gt;", VLOOKUP($B54,Propostas!$B:$BE,41,FALSE)))</f>
        <v/>
      </c>
      <c r="K54" s="10" t="str">
        <f>IF($B54="","",  VLOOKUP($B54, Propostas!$B:$BE, 40, FALSE) )</f>
        <v/>
      </c>
      <c r="L54" s="10" t="str">
        <f>IF($B54="","",IF(VLOOKUP($B54,Propostas!$B:$BE,21,FALSE)=1,"B",IF(VLOOKUP($B54,Propostas!$B:$BE,21,FALSE)=2,"E","N")))</f>
        <v/>
      </c>
      <c r="M54" s="31" t="str">
        <f>IF($B54 = "", "",  VLOOKUP($B54, Propostas!$B:$BE, 46, FALSE) )</f>
        <v/>
      </c>
      <c r="N54" s="31" t="str">
        <f>IF($B54 = "", "",  VLOOKUP($B54, Propostas!$B:$BE, 47, FALSE) )</f>
        <v/>
      </c>
      <c r="O54" s="13" t="str">
        <f>IF($B54="","",IF($C54="SIM", "INFRAESTRUTURA", VLOOKUP($B54, Propostas!$B:$BE,42,FALSE)))</f>
        <v/>
      </c>
      <c r="P54" s="31" t="str">
        <f>IF($B54 = "", "",  VLOOKUP($B54, Propostas!$B:$BE, 49, FALSE) )</f>
        <v/>
      </c>
      <c r="Q54" s="13" t="str">
        <f>IF($B54="","",  VLOOKUP($B54, Propostas!$B:$BE, 39, FALSE) )</f>
        <v/>
      </c>
      <c r="R54" s="62" t="str">
        <f>IF($B54="","",  VLOOKUP($B54, Propostas!$B:$BE, 43, FALSE) )</f>
        <v/>
      </c>
      <c r="S54" s="62" t="str">
        <f>IF($B54="","",  VLOOKUP($B54, Propostas!$B:$BE, 44, FALSE) )</f>
        <v/>
      </c>
      <c r="T54" s="62" t="str">
        <f>IF($B54="","",  VLOOKUP($B54, Propostas!$B:$BE, 45, FALSE) )</f>
        <v/>
      </c>
      <c r="U54" s="31"/>
      <c r="V54" s="13" t="str">
        <f>IF($B54="","",  VLOOKUP($B54, Propostas!$B:$BE, 50, FALSE) )</f>
        <v/>
      </c>
      <c r="W54" s="13" t="str">
        <f>IF($B54="","",  VLOOKUP($B54, Propostas!$B:$BE, 51, FALSE) )</f>
        <v/>
      </c>
      <c r="X54" s="13" t="str">
        <f>IF($B54="","",  VLOOKUP($B54, Propostas!$B:$BE, 52, FALSE) )</f>
        <v/>
      </c>
      <c r="Y54" s="13" t="str">
        <f>IF($B54="","",  VLOOKUP($B54, Propostas!$B:$BE, 36, FALSE) )</f>
        <v/>
      </c>
      <c r="Z54" s="13" t="str">
        <f>IF($B54="","",  VLOOKUP($F54, VW_PROJETO!B:C, 2, FALSE) )</f>
        <v/>
      </c>
    </row>
    <row r="55" spans="2:26" x14ac:dyDescent="0.2">
      <c r="B55" s="2"/>
      <c r="C55" s="4" t="str">
        <f>IF($B55="","",  VLOOKUP($B55, Propostas!$B:$BE, 33, FALSE) )</f>
        <v/>
      </c>
      <c r="D55" s="4" t="str">
        <f>IF($B55="","",  VLOOKUP($B55, Propostas!$B:$BE, 34, FALSE) )</f>
        <v/>
      </c>
      <c r="E55" s="4" t="str">
        <f>IF($B55="","",  VLOOKUP($B55, Propostas!$B:$BE, 35, FALSE) )</f>
        <v/>
      </c>
      <c r="F55" s="4" t="str">
        <f>IF($B55="","",  VLOOKUP($B55, Propostas!$B:$BE, 2, FALSE) )</f>
        <v/>
      </c>
      <c r="G55" s="4" t="str">
        <f>IF($B55="","",  VLOOKUP($B55, Propostas!$B:$BE, 3, FALSE) )</f>
        <v/>
      </c>
      <c r="H55" s="4" t="str">
        <f>IF($B55="","",  VLOOKUP($B55, Propostas!$B:$BE, 4, FALSE) )</f>
        <v/>
      </c>
      <c r="I55" s="4" t="str">
        <f>IF($B55="","",  VLOOKUP($B55, Propostas!$B:$BE, 38, FALSE) )</f>
        <v/>
      </c>
      <c r="J55" s="13" t="str">
        <f>IF($B55="","",IF($C55="SIM", "&lt; INFRRAESTRUTURA &gt;", VLOOKUP($B55,Propostas!$B:$BE,41,FALSE)))</f>
        <v/>
      </c>
      <c r="K55" s="10" t="str">
        <f>IF($B55="","",  VLOOKUP($B55, Propostas!$B:$BE, 40, FALSE) )</f>
        <v/>
      </c>
      <c r="L55" s="10" t="str">
        <f>IF($B55="","",IF(VLOOKUP($B55,Propostas!$B:$BE,21,FALSE)=1,"B",IF(VLOOKUP($B55,Propostas!$B:$BE,21,FALSE)=2,"E","N")))</f>
        <v/>
      </c>
      <c r="M55" s="31" t="str">
        <f>IF($B55 = "", "",  VLOOKUP($B55, Propostas!$B:$BE, 46, FALSE) )</f>
        <v/>
      </c>
      <c r="N55" s="31" t="str">
        <f>IF($B55 = "", "",  VLOOKUP($B55, Propostas!$B:$BE, 47, FALSE) )</f>
        <v/>
      </c>
      <c r="O55" s="13" t="str">
        <f>IF($B55="","",IF($C55="SIM", "INFRAESTRUTURA", VLOOKUP($B55, Propostas!$B:$BE,42,FALSE)))</f>
        <v/>
      </c>
      <c r="P55" s="31" t="str">
        <f>IF($B55 = "", "",  VLOOKUP($B55, Propostas!$B:$BE, 49, FALSE) )</f>
        <v/>
      </c>
      <c r="Q55" s="13" t="str">
        <f>IF($B55="","",  VLOOKUP($B55, Propostas!$B:$BE, 39, FALSE) )</f>
        <v/>
      </c>
      <c r="R55" s="62" t="str">
        <f>IF($B55="","",  VLOOKUP($B55, Propostas!$B:$BE, 43, FALSE) )</f>
        <v/>
      </c>
      <c r="S55" s="62" t="str">
        <f>IF($B55="","",  VLOOKUP($B55, Propostas!$B:$BE, 44, FALSE) )</f>
        <v/>
      </c>
      <c r="T55" s="62" t="str">
        <f>IF($B55="","",  VLOOKUP($B55, Propostas!$B:$BE, 45, FALSE) )</f>
        <v/>
      </c>
      <c r="U55" s="31"/>
      <c r="V55" s="13" t="str">
        <f>IF($B55="","",  VLOOKUP($B55, Propostas!$B:$BE, 50, FALSE) )</f>
        <v/>
      </c>
      <c r="W55" s="13" t="str">
        <f>IF($B55="","",  VLOOKUP($B55, Propostas!$B:$BE, 51, FALSE) )</f>
        <v/>
      </c>
      <c r="X55" s="13" t="str">
        <f>IF($B55="","",  VLOOKUP($B55, Propostas!$B:$BE, 52, FALSE) )</f>
        <v/>
      </c>
      <c r="Y55" s="13" t="str">
        <f>IF($B55="","",  VLOOKUP($B55, Propostas!$B:$BE, 36, FALSE) )</f>
        <v/>
      </c>
      <c r="Z55" s="13" t="str">
        <f>IF($B55="","",  VLOOKUP($F55, VW_PROJETO!B:C, 2, FALSE) )</f>
        <v/>
      </c>
    </row>
    <row r="56" spans="2:26" x14ac:dyDescent="0.2">
      <c r="B56" s="2"/>
      <c r="C56" s="4" t="str">
        <f>IF($B56="","",  VLOOKUP($B56, Propostas!$B:$BE, 33, FALSE) )</f>
        <v/>
      </c>
      <c r="D56" s="4" t="str">
        <f>IF($B56="","",  VLOOKUP($B56, Propostas!$B:$BE, 34, FALSE) )</f>
        <v/>
      </c>
      <c r="E56" s="4" t="str">
        <f>IF($B56="","",  VLOOKUP($B56, Propostas!$B:$BE, 35, FALSE) )</f>
        <v/>
      </c>
      <c r="F56" s="4" t="str">
        <f>IF($B56="","",  VLOOKUP($B56, Propostas!$B:$BE, 2, FALSE) )</f>
        <v/>
      </c>
      <c r="G56" s="4" t="str">
        <f>IF($B56="","",  VLOOKUP($B56, Propostas!$B:$BE, 3, FALSE) )</f>
        <v/>
      </c>
      <c r="H56" s="4" t="str">
        <f>IF($B56="","",  VLOOKUP($B56, Propostas!$B:$BE, 4, FALSE) )</f>
        <v/>
      </c>
      <c r="I56" s="4" t="str">
        <f>IF($B56="","",  VLOOKUP($B56, Propostas!$B:$BE, 38, FALSE) )</f>
        <v/>
      </c>
      <c r="J56" s="13" t="str">
        <f>IF($B56="","",IF($C56="SIM", "&lt; INFRRAESTRUTURA &gt;", VLOOKUP($B56,Propostas!$B:$BE,41,FALSE)))</f>
        <v/>
      </c>
      <c r="K56" s="10" t="str">
        <f>IF($B56="","",  VLOOKUP($B56, Propostas!$B:$BE, 40, FALSE) )</f>
        <v/>
      </c>
      <c r="L56" s="10" t="str">
        <f>IF($B56="","",IF(VLOOKUP($B56,Propostas!$B:$BE,21,FALSE)=1,"B",IF(VLOOKUP($B56,Propostas!$B:$BE,21,FALSE)=2,"E","N")))</f>
        <v/>
      </c>
      <c r="M56" s="31" t="str">
        <f>IF($B56 = "", "",  VLOOKUP($B56, Propostas!$B:$BE, 46, FALSE) )</f>
        <v/>
      </c>
      <c r="N56" s="31" t="str">
        <f>IF($B56 = "", "",  VLOOKUP($B56, Propostas!$B:$BE, 47, FALSE) )</f>
        <v/>
      </c>
      <c r="O56" s="13" t="str">
        <f>IF($B56="","",IF($C56="SIM", "INFRAESTRUTURA", VLOOKUP($B56, Propostas!$B:$BE,42,FALSE)))</f>
        <v/>
      </c>
      <c r="P56" s="31" t="str">
        <f>IF($B56 = "", "",  VLOOKUP($B56, Propostas!$B:$BE, 49, FALSE) )</f>
        <v/>
      </c>
      <c r="Q56" s="13" t="str">
        <f>IF($B56="","",  VLOOKUP($B56, Propostas!$B:$BE, 39, FALSE) )</f>
        <v/>
      </c>
      <c r="R56" s="62" t="str">
        <f>IF($B56="","",  VLOOKUP($B56, Propostas!$B:$BE, 43, FALSE) )</f>
        <v/>
      </c>
      <c r="S56" s="62" t="str">
        <f>IF($B56="","",  VLOOKUP($B56, Propostas!$B:$BE, 44, FALSE) )</f>
        <v/>
      </c>
      <c r="T56" s="62" t="str">
        <f>IF($B56="","",  VLOOKUP($B56, Propostas!$B:$BE, 45, FALSE) )</f>
        <v/>
      </c>
      <c r="U56" s="31"/>
      <c r="V56" s="13" t="str">
        <f>IF($B56="","",  VLOOKUP($B56, Propostas!$B:$BE, 50, FALSE) )</f>
        <v/>
      </c>
      <c r="W56" s="13" t="str">
        <f>IF($B56="","",  VLOOKUP($B56, Propostas!$B:$BE, 51, FALSE) )</f>
        <v/>
      </c>
      <c r="X56" s="13" t="str">
        <f>IF($B56="","",  VLOOKUP($B56, Propostas!$B:$BE, 52, FALSE) )</f>
        <v/>
      </c>
      <c r="Y56" s="13" t="str">
        <f>IF($B56="","",  VLOOKUP($B56, Propostas!$B:$BE, 36, FALSE) )</f>
        <v/>
      </c>
      <c r="Z56" s="13" t="str">
        <f>IF($B56="","",  VLOOKUP($F56, VW_PROJETO!B:C, 2, FALSE) )</f>
        <v/>
      </c>
    </row>
    <row r="57" spans="2:26" x14ac:dyDescent="0.2">
      <c r="B57" s="2"/>
      <c r="C57" s="4" t="str">
        <f>IF($B57="","",  VLOOKUP($B57, Propostas!$B:$BE, 33, FALSE) )</f>
        <v/>
      </c>
      <c r="D57" s="4" t="str">
        <f>IF($B57="","",  VLOOKUP($B57, Propostas!$B:$BE, 34, FALSE) )</f>
        <v/>
      </c>
      <c r="E57" s="4" t="str">
        <f>IF($B57="","",  VLOOKUP($B57, Propostas!$B:$BE, 35, FALSE) )</f>
        <v/>
      </c>
      <c r="F57" s="4" t="str">
        <f>IF($B57="","",  VLOOKUP($B57, Propostas!$B:$BE, 2, FALSE) )</f>
        <v/>
      </c>
      <c r="G57" s="4" t="str">
        <f>IF($B57="","",  VLOOKUP($B57, Propostas!$B:$BE, 3, FALSE) )</f>
        <v/>
      </c>
      <c r="H57" s="4" t="str">
        <f>IF($B57="","",  VLOOKUP($B57, Propostas!$B:$BE, 4, FALSE) )</f>
        <v/>
      </c>
      <c r="I57" s="4" t="str">
        <f>IF($B57="","",  VLOOKUP($B57, Propostas!$B:$BE, 38, FALSE) )</f>
        <v/>
      </c>
      <c r="J57" s="13" t="str">
        <f>IF($B57="","",IF($C57="SIM", "&lt; INFRRAESTRUTURA &gt;", VLOOKUP($B57,Propostas!$B:$BE,41,FALSE)))</f>
        <v/>
      </c>
      <c r="K57" s="10" t="str">
        <f>IF($B57="","",  VLOOKUP($B57, Propostas!$B:$BE, 40, FALSE) )</f>
        <v/>
      </c>
      <c r="L57" s="10" t="str">
        <f>IF($B57="","",IF(VLOOKUP($B57,Propostas!$B:$BE,21,FALSE)=1,"B",IF(VLOOKUP($B57,Propostas!$B:$BE,21,FALSE)=2,"E","N")))</f>
        <v/>
      </c>
      <c r="M57" s="31" t="str">
        <f>IF($B57 = "", "",  VLOOKUP($B57, Propostas!$B:$BE, 46, FALSE) )</f>
        <v/>
      </c>
      <c r="N57" s="31" t="str">
        <f>IF($B57 = "", "",  VLOOKUP($B57, Propostas!$B:$BE, 47, FALSE) )</f>
        <v/>
      </c>
      <c r="O57" s="13" t="str">
        <f>IF($B57="","",IF($C57="SIM", "INFRAESTRUTURA", VLOOKUP($B57, Propostas!$B:$BE,42,FALSE)))</f>
        <v/>
      </c>
      <c r="P57" s="31" t="str">
        <f>IF($B57 = "", "",  VLOOKUP($B57, Propostas!$B:$BE, 49, FALSE) )</f>
        <v/>
      </c>
      <c r="Q57" s="13" t="str">
        <f>IF($B57="","",  VLOOKUP($B57, Propostas!$B:$BE, 39, FALSE) )</f>
        <v/>
      </c>
      <c r="R57" s="62" t="str">
        <f>IF($B57="","",  VLOOKUP($B57, Propostas!$B:$BE, 43, FALSE) )</f>
        <v/>
      </c>
      <c r="S57" s="62" t="str">
        <f>IF($B57="","",  VLOOKUP($B57, Propostas!$B:$BE, 44, FALSE) )</f>
        <v/>
      </c>
      <c r="T57" s="62" t="str">
        <f>IF($B57="","",  VLOOKUP($B57, Propostas!$B:$BE, 45, FALSE) )</f>
        <v/>
      </c>
      <c r="U57" s="31"/>
      <c r="V57" s="13" t="str">
        <f>IF($B57="","",  VLOOKUP($B57, Propostas!$B:$BE, 50, FALSE) )</f>
        <v/>
      </c>
      <c r="W57" s="13" t="str">
        <f>IF($B57="","",  VLOOKUP($B57, Propostas!$B:$BE, 51, FALSE) )</f>
        <v/>
      </c>
      <c r="X57" s="13" t="str">
        <f>IF($B57="","",  VLOOKUP($B57, Propostas!$B:$BE, 52, FALSE) )</f>
        <v/>
      </c>
      <c r="Y57" s="13" t="str">
        <f>IF($B57="","",  VLOOKUP($B57, Propostas!$B:$BE, 36, FALSE) )</f>
        <v/>
      </c>
      <c r="Z57" s="13" t="str">
        <f>IF($B57="","",  VLOOKUP($F57, VW_PROJETO!B:C, 2, FALSE) )</f>
        <v/>
      </c>
    </row>
    <row r="58" spans="2:26" x14ac:dyDescent="0.2">
      <c r="B58" s="2"/>
      <c r="C58" s="4" t="str">
        <f>IF($B58="","",  VLOOKUP($B58, Propostas!$B:$BE, 33, FALSE) )</f>
        <v/>
      </c>
      <c r="D58" s="4" t="str">
        <f>IF($B58="","",  VLOOKUP($B58, Propostas!$B:$BE, 34, FALSE) )</f>
        <v/>
      </c>
      <c r="E58" s="4" t="str">
        <f>IF($B58="","",  VLOOKUP($B58, Propostas!$B:$BE, 35, FALSE) )</f>
        <v/>
      </c>
      <c r="F58" s="4" t="str">
        <f>IF($B58="","",  VLOOKUP($B58, Propostas!$B:$BE, 2, FALSE) )</f>
        <v/>
      </c>
      <c r="G58" s="4" t="str">
        <f>IF($B58="","",  VLOOKUP($B58, Propostas!$B:$BE, 3, FALSE) )</f>
        <v/>
      </c>
      <c r="H58" s="4" t="str">
        <f>IF($B58="","",  VLOOKUP($B58, Propostas!$B:$BE, 4, FALSE) )</f>
        <v/>
      </c>
      <c r="I58" s="4" t="str">
        <f>IF($B58="","",  VLOOKUP($B58, Propostas!$B:$BE, 38, FALSE) )</f>
        <v/>
      </c>
      <c r="J58" s="13" t="str">
        <f>IF($B58="","",IF($C58="SIM", "&lt; INFRRAESTRUTURA &gt;", VLOOKUP($B58,Propostas!$B:$BE,41,FALSE)))</f>
        <v/>
      </c>
      <c r="K58" s="10" t="str">
        <f>IF($B58="","",  VLOOKUP($B58, Propostas!$B:$BE, 40, FALSE) )</f>
        <v/>
      </c>
      <c r="L58" s="10" t="str">
        <f>IF($B58="","",IF(VLOOKUP($B58,Propostas!$B:$BE,21,FALSE)=1,"B",IF(VLOOKUP($B58,Propostas!$B:$BE,21,FALSE)=2,"E","N")))</f>
        <v/>
      </c>
      <c r="M58" s="31" t="str">
        <f>IF($B58 = "", "",  VLOOKUP($B58, Propostas!$B:$BE, 46, FALSE) )</f>
        <v/>
      </c>
      <c r="N58" s="31" t="str">
        <f>IF($B58 = "", "",  VLOOKUP($B58, Propostas!$B:$BE, 47, FALSE) )</f>
        <v/>
      </c>
      <c r="O58" s="13" t="str">
        <f>IF($B58="","",IF($C58="SIM", "INFRAESTRUTURA", VLOOKUP($B58, Propostas!$B:$BE,42,FALSE)))</f>
        <v/>
      </c>
      <c r="P58" s="31" t="str">
        <f>IF($B58 = "", "",  VLOOKUP($B58, Propostas!$B:$BE, 49, FALSE) )</f>
        <v/>
      </c>
      <c r="Q58" s="13" t="str">
        <f>IF($B58="","",  VLOOKUP($B58, Propostas!$B:$BE, 39, FALSE) )</f>
        <v/>
      </c>
      <c r="R58" s="62" t="str">
        <f>IF($B58="","",  VLOOKUP($B58, Propostas!$B:$BE, 43, FALSE) )</f>
        <v/>
      </c>
      <c r="S58" s="62" t="str">
        <f>IF($B58="","",  VLOOKUP($B58, Propostas!$B:$BE, 44, FALSE) )</f>
        <v/>
      </c>
      <c r="T58" s="62" t="str">
        <f>IF($B58="","",  VLOOKUP($B58, Propostas!$B:$BE, 45, FALSE) )</f>
        <v/>
      </c>
      <c r="U58" s="31"/>
      <c r="V58" s="13" t="str">
        <f>IF($B58="","",  VLOOKUP($B58, Propostas!$B:$BE, 50, FALSE) )</f>
        <v/>
      </c>
      <c r="W58" s="13" t="str">
        <f>IF($B58="","",  VLOOKUP($B58, Propostas!$B:$BE, 51, FALSE) )</f>
        <v/>
      </c>
      <c r="X58" s="13" t="str">
        <f>IF($B58="","",  VLOOKUP($B58, Propostas!$B:$BE, 52, FALSE) )</f>
        <v/>
      </c>
      <c r="Y58" s="13" t="str">
        <f>IF($B58="","",  VLOOKUP($B58, Propostas!$B:$BE, 36, FALSE) )</f>
        <v/>
      </c>
      <c r="Z58" s="13" t="str">
        <f>IF($B58="","",  VLOOKUP($F58, VW_PROJETO!B:C, 2, FALSE) )</f>
        <v/>
      </c>
    </row>
    <row r="59" spans="2:26" x14ac:dyDescent="0.2">
      <c r="B59" s="2"/>
      <c r="C59" s="4" t="str">
        <f>IF($B59="","",  VLOOKUP($B59, Propostas!$B:$BE, 33, FALSE) )</f>
        <v/>
      </c>
      <c r="D59" s="4" t="str">
        <f>IF($B59="","",  VLOOKUP($B59, Propostas!$B:$BE, 34, FALSE) )</f>
        <v/>
      </c>
      <c r="E59" s="4" t="str">
        <f>IF($B59="","",  VLOOKUP($B59, Propostas!$B:$BE, 35, FALSE) )</f>
        <v/>
      </c>
      <c r="F59" s="4" t="str">
        <f>IF($B59="","",  VLOOKUP($B59, Propostas!$B:$BE, 2, FALSE) )</f>
        <v/>
      </c>
      <c r="G59" s="4" t="str">
        <f>IF($B59="","",  VLOOKUP($B59, Propostas!$B:$BE, 3, FALSE) )</f>
        <v/>
      </c>
      <c r="H59" s="4" t="str">
        <f>IF($B59="","",  VLOOKUP($B59, Propostas!$B:$BE, 4, FALSE) )</f>
        <v/>
      </c>
      <c r="I59" s="4" t="str">
        <f>IF($B59="","",  VLOOKUP($B59, Propostas!$B:$BE, 38, FALSE) )</f>
        <v/>
      </c>
      <c r="J59" s="13" t="str">
        <f>IF($B59="","",IF($C59="SIM", "&lt; INFRRAESTRUTURA &gt;", VLOOKUP($B59,Propostas!$B:$BE,41,FALSE)))</f>
        <v/>
      </c>
      <c r="K59" s="10" t="str">
        <f>IF($B59="","",  VLOOKUP($B59, Propostas!$B:$BE, 40, FALSE) )</f>
        <v/>
      </c>
      <c r="L59" s="10" t="str">
        <f>IF($B59="","",IF(VLOOKUP($B59,Propostas!$B:$BE,21,FALSE)=1,"B",IF(VLOOKUP($B59,Propostas!$B:$BE,21,FALSE)=2,"E","N")))</f>
        <v/>
      </c>
      <c r="M59" s="31" t="str">
        <f>IF($B59 = "", "",  VLOOKUP($B59, Propostas!$B:$BE, 46, FALSE) )</f>
        <v/>
      </c>
      <c r="N59" s="31" t="str">
        <f>IF($B59 = "", "",  VLOOKUP($B59, Propostas!$B:$BE, 47, FALSE) )</f>
        <v/>
      </c>
      <c r="O59" s="13" t="str">
        <f>IF($B59="","",IF($C59="SIM", "INFRAESTRUTURA", VLOOKUP($B59, Propostas!$B:$BE,42,FALSE)))</f>
        <v/>
      </c>
      <c r="P59" s="31" t="str">
        <f>IF($B59 = "", "",  VLOOKUP($B59, Propostas!$B:$BE, 49, FALSE) )</f>
        <v/>
      </c>
      <c r="Q59" s="13" t="str">
        <f>IF($B59="","",  VLOOKUP($B59, Propostas!$B:$BE, 39, FALSE) )</f>
        <v/>
      </c>
      <c r="R59" s="62" t="str">
        <f>IF($B59="","",  VLOOKUP($B59, Propostas!$B:$BE, 43, FALSE) )</f>
        <v/>
      </c>
      <c r="S59" s="62" t="str">
        <f>IF($B59="","",  VLOOKUP($B59, Propostas!$B:$BE, 44, FALSE) )</f>
        <v/>
      </c>
      <c r="T59" s="62" t="str">
        <f>IF($B59="","",  VLOOKUP($B59, Propostas!$B:$BE, 45, FALSE) )</f>
        <v/>
      </c>
      <c r="U59" s="31"/>
      <c r="V59" s="13" t="str">
        <f>IF($B59="","",  VLOOKUP($B59, Propostas!$B:$BE, 50, FALSE) )</f>
        <v/>
      </c>
      <c r="W59" s="13" t="str">
        <f>IF($B59="","",  VLOOKUP($B59, Propostas!$B:$BE, 51, FALSE) )</f>
        <v/>
      </c>
      <c r="X59" s="13" t="str">
        <f>IF($B59="","",  VLOOKUP($B59, Propostas!$B:$BE, 52, FALSE) )</f>
        <v/>
      </c>
      <c r="Y59" s="13" t="str">
        <f>IF($B59="","",  VLOOKUP($B59, Propostas!$B:$BE, 36, FALSE) )</f>
        <v/>
      </c>
      <c r="Z59" s="13" t="str">
        <f>IF($B59="","",  VLOOKUP($F59, VW_PROJETO!B:C, 2, FALSE) )</f>
        <v/>
      </c>
    </row>
    <row r="60" spans="2:26" x14ac:dyDescent="0.2">
      <c r="B60" s="2"/>
      <c r="C60" s="4" t="str">
        <f>IF($B60="","",  VLOOKUP($B60, Propostas!$B:$BE, 33, FALSE) )</f>
        <v/>
      </c>
      <c r="D60" s="4" t="str">
        <f>IF($B60="","",  VLOOKUP($B60, Propostas!$B:$BE, 34, FALSE) )</f>
        <v/>
      </c>
      <c r="E60" s="4" t="str">
        <f>IF($B60="","",  VLOOKUP($B60, Propostas!$B:$BE, 35, FALSE) )</f>
        <v/>
      </c>
      <c r="F60" s="4" t="str">
        <f>IF($B60="","",  VLOOKUP($B60, Propostas!$B:$BE, 2, FALSE) )</f>
        <v/>
      </c>
      <c r="G60" s="4" t="str">
        <f>IF($B60="","",  VLOOKUP($B60, Propostas!$B:$BE, 3, FALSE) )</f>
        <v/>
      </c>
      <c r="H60" s="4" t="str">
        <f>IF($B60="","",  VLOOKUP($B60, Propostas!$B:$BE, 4, FALSE) )</f>
        <v/>
      </c>
      <c r="I60" s="4" t="str">
        <f>IF($B60="","",  VLOOKUP($B60, Propostas!$B:$BE, 38, FALSE) )</f>
        <v/>
      </c>
      <c r="J60" s="13" t="str">
        <f>IF($B60="","",IF($C60="SIM", "&lt; INFRRAESTRUTURA &gt;", VLOOKUP($B60,Propostas!$B:$BE,41,FALSE)))</f>
        <v/>
      </c>
      <c r="K60" s="10" t="str">
        <f>IF($B60="","",  VLOOKUP($B60, Propostas!$B:$BE, 40, FALSE) )</f>
        <v/>
      </c>
      <c r="L60" s="10" t="str">
        <f>IF($B60="","",IF(VLOOKUP($B60,Propostas!$B:$BE,21,FALSE)=1,"B",IF(VLOOKUP($B60,Propostas!$B:$BE,21,FALSE)=2,"E","N")))</f>
        <v/>
      </c>
      <c r="M60" s="31" t="str">
        <f>IF($B60 = "", "",  VLOOKUP($B60, Propostas!$B:$BE, 46, FALSE) )</f>
        <v/>
      </c>
      <c r="N60" s="31" t="str">
        <f>IF($B60 = "", "",  VLOOKUP($B60, Propostas!$B:$BE, 47, FALSE) )</f>
        <v/>
      </c>
      <c r="O60" s="13" t="str">
        <f>IF($B60="","",IF($C60="SIM", "INFRAESTRUTURA", VLOOKUP($B60, Propostas!$B:$BE,42,FALSE)))</f>
        <v/>
      </c>
      <c r="P60" s="31" t="str">
        <f>IF($B60 = "", "",  VLOOKUP($B60, Propostas!$B:$BE, 49, FALSE) )</f>
        <v/>
      </c>
      <c r="Q60" s="13" t="str">
        <f>IF($B60="","",  VLOOKUP($B60, Propostas!$B:$BE, 39, FALSE) )</f>
        <v/>
      </c>
      <c r="R60" s="62" t="str">
        <f>IF($B60="","",  VLOOKUP($B60, Propostas!$B:$BE, 43, FALSE) )</f>
        <v/>
      </c>
      <c r="S60" s="62" t="str">
        <f>IF($B60="","",  VLOOKUP($B60, Propostas!$B:$BE, 44, FALSE) )</f>
        <v/>
      </c>
      <c r="T60" s="62" t="str">
        <f>IF($B60="","",  VLOOKUP($B60, Propostas!$B:$BE, 45, FALSE) )</f>
        <v/>
      </c>
      <c r="U60" s="31"/>
      <c r="V60" s="13" t="str">
        <f>IF($B60="","",  VLOOKUP($B60, Propostas!$B:$BE, 50, FALSE) )</f>
        <v/>
      </c>
      <c r="W60" s="13" t="str">
        <f>IF($B60="","",  VLOOKUP($B60, Propostas!$B:$BE, 51, FALSE) )</f>
        <v/>
      </c>
      <c r="X60" s="13" t="str">
        <f>IF($B60="","",  VLOOKUP($B60, Propostas!$B:$BE, 52, FALSE) )</f>
        <v/>
      </c>
      <c r="Y60" s="13" t="str">
        <f>IF($B60="","",  VLOOKUP($B60, Propostas!$B:$BE, 36, FALSE) )</f>
        <v/>
      </c>
      <c r="Z60" s="13" t="str">
        <f>IF($B60="","",  VLOOKUP($F60, VW_PROJETO!B:C, 2, FALSE) )</f>
        <v/>
      </c>
    </row>
    <row r="61" spans="2:26" x14ac:dyDescent="0.2">
      <c r="B61" s="2"/>
      <c r="C61" s="4" t="str">
        <f>IF($B61="","",  VLOOKUP($B61, Propostas!$B:$BE, 33, FALSE) )</f>
        <v/>
      </c>
      <c r="D61" s="4" t="str">
        <f>IF($B61="","",  VLOOKUP($B61, Propostas!$B:$BE, 34, FALSE) )</f>
        <v/>
      </c>
      <c r="E61" s="4" t="str">
        <f>IF($B61="","",  VLOOKUP($B61, Propostas!$B:$BE, 35, FALSE) )</f>
        <v/>
      </c>
      <c r="F61" s="4" t="str">
        <f>IF($B61="","",  VLOOKUP($B61, Propostas!$B:$BE, 2, FALSE) )</f>
        <v/>
      </c>
      <c r="G61" s="4" t="str">
        <f>IF($B61="","",  VLOOKUP($B61, Propostas!$B:$BE, 3, FALSE) )</f>
        <v/>
      </c>
      <c r="H61" s="4" t="str">
        <f>IF($B61="","",  VLOOKUP($B61, Propostas!$B:$BE, 4, FALSE) )</f>
        <v/>
      </c>
      <c r="I61" s="4" t="str">
        <f>IF($B61="","",  VLOOKUP($B61, Propostas!$B:$BE, 38, FALSE) )</f>
        <v/>
      </c>
      <c r="J61" s="13" t="str">
        <f>IF($B61="","",IF($C61="SIM", "&lt; INFRRAESTRUTURA &gt;", VLOOKUP($B61,Propostas!$B:$BE,41,FALSE)))</f>
        <v/>
      </c>
      <c r="K61" s="10" t="str">
        <f>IF($B61="","",  VLOOKUP($B61, Propostas!$B:$BE, 40, FALSE) )</f>
        <v/>
      </c>
      <c r="L61" s="10" t="str">
        <f>IF($B61="","",IF(VLOOKUP($B61,Propostas!$B:$BE,21,FALSE)=1,"B",IF(VLOOKUP($B61,Propostas!$B:$BE,21,FALSE)=2,"E","N")))</f>
        <v/>
      </c>
      <c r="M61" s="31" t="str">
        <f>IF($B61 = "", "",  VLOOKUP($B61, Propostas!$B:$BE, 46, FALSE) )</f>
        <v/>
      </c>
      <c r="N61" s="31" t="str">
        <f>IF($B61 = "", "",  VLOOKUP($B61, Propostas!$B:$BE, 47, FALSE) )</f>
        <v/>
      </c>
      <c r="O61" s="13" t="str">
        <f>IF($B61="","",IF($C61="SIM", "INFRAESTRUTURA", VLOOKUP($B61, Propostas!$B:$BE,42,FALSE)))</f>
        <v/>
      </c>
      <c r="P61" s="31" t="str">
        <f>IF($B61 = "", "",  VLOOKUP($B61, Propostas!$B:$BE, 49, FALSE) )</f>
        <v/>
      </c>
      <c r="Q61" s="13" t="str">
        <f>IF($B61="","",  VLOOKUP($B61, Propostas!$B:$BE, 39, FALSE) )</f>
        <v/>
      </c>
      <c r="R61" s="62" t="str">
        <f>IF($B61="","",  VLOOKUP($B61, Propostas!$B:$BE, 43, FALSE) )</f>
        <v/>
      </c>
      <c r="S61" s="62" t="str">
        <f>IF($B61="","",  VLOOKUP($B61, Propostas!$B:$BE, 44, FALSE) )</f>
        <v/>
      </c>
      <c r="T61" s="62" t="str">
        <f>IF($B61="","",  VLOOKUP($B61, Propostas!$B:$BE, 45, FALSE) )</f>
        <v/>
      </c>
      <c r="U61" s="31"/>
      <c r="V61" s="13" t="str">
        <f>IF($B61="","",  VLOOKUP($B61, Propostas!$B:$BE, 50, FALSE) )</f>
        <v/>
      </c>
      <c r="W61" s="13" t="str">
        <f>IF($B61="","",  VLOOKUP($B61, Propostas!$B:$BE, 51, FALSE) )</f>
        <v/>
      </c>
      <c r="X61" s="13" t="str">
        <f>IF($B61="","",  VLOOKUP($B61, Propostas!$B:$BE, 52, FALSE) )</f>
        <v/>
      </c>
      <c r="Y61" s="13" t="str">
        <f>IF($B61="","",  VLOOKUP($B61, Propostas!$B:$BE, 36, FALSE) )</f>
        <v/>
      </c>
      <c r="Z61" s="13" t="str">
        <f>IF($B61="","",  VLOOKUP($F61, VW_PROJETO!B:C, 2, FALSE) )</f>
        <v/>
      </c>
    </row>
    <row r="62" spans="2:26" x14ac:dyDescent="0.2">
      <c r="B62" s="2"/>
      <c r="C62" s="4" t="str">
        <f>IF($B62="","",  VLOOKUP($B62, Propostas!$B:$BE, 33, FALSE) )</f>
        <v/>
      </c>
      <c r="D62" s="4" t="str">
        <f>IF($B62="","",  VLOOKUP($B62, Propostas!$B:$BE, 34, FALSE) )</f>
        <v/>
      </c>
      <c r="E62" s="4" t="str">
        <f>IF($B62="","",  VLOOKUP($B62, Propostas!$B:$BE, 35, FALSE) )</f>
        <v/>
      </c>
      <c r="F62" s="4" t="str">
        <f>IF($B62="","",  VLOOKUP($B62, Propostas!$B:$BE, 2, FALSE) )</f>
        <v/>
      </c>
      <c r="G62" s="4" t="str">
        <f>IF($B62="","",  VLOOKUP($B62, Propostas!$B:$BE, 3, FALSE) )</f>
        <v/>
      </c>
      <c r="H62" s="4" t="str">
        <f>IF($B62="","",  VLOOKUP($B62, Propostas!$B:$BE, 4, FALSE) )</f>
        <v/>
      </c>
      <c r="I62" s="4" t="str">
        <f>IF($B62="","",  VLOOKUP($B62, Propostas!$B:$BE, 38, FALSE) )</f>
        <v/>
      </c>
      <c r="J62" s="13" t="str">
        <f>IF($B62="","",IF($C62="SIM", "&lt; INFRRAESTRUTURA &gt;", VLOOKUP($B62,Propostas!$B:$BE,41,FALSE)))</f>
        <v/>
      </c>
      <c r="K62" s="10" t="str">
        <f>IF($B62="","",  VLOOKUP($B62, Propostas!$B:$BE, 40, FALSE) )</f>
        <v/>
      </c>
      <c r="L62" s="10" t="str">
        <f>IF($B62="","",IF(VLOOKUP($B62,Propostas!$B:$BE,21,FALSE)=1,"B",IF(VLOOKUP($B62,Propostas!$B:$BE,21,FALSE)=2,"E","N")))</f>
        <v/>
      </c>
      <c r="M62" s="31" t="str">
        <f>IF($B62 = "", "",  VLOOKUP($B62, Propostas!$B:$BE, 46, FALSE) )</f>
        <v/>
      </c>
      <c r="N62" s="31" t="str">
        <f>IF($B62 = "", "",  VLOOKUP($B62, Propostas!$B:$BE, 47, FALSE) )</f>
        <v/>
      </c>
      <c r="O62" s="13" t="str">
        <f>IF($B62="","",IF($C62="SIM", "INFRAESTRUTURA", VLOOKUP($B62, Propostas!$B:$BE,42,FALSE)))</f>
        <v/>
      </c>
      <c r="P62" s="31" t="str">
        <f>IF($B62 = "", "",  VLOOKUP($B62, Propostas!$B:$BE, 49, FALSE) )</f>
        <v/>
      </c>
      <c r="Q62" s="13" t="str">
        <f>IF($B62="","",  VLOOKUP($B62, Propostas!$B:$BE, 39, FALSE) )</f>
        <v/>
      </c>
      <c r="R62" s="62" t="str">
        <f>IF($B62="","",  VLOOKUP($B62, Propostas!$B:$BE, 43, FALSE) )</f>
        <v/>
      </c>
      <c r="S62" s="62" t="str">
        <f>IF($B62="","",  VLOOKUP($B62, Propostas!$B:$BE, 44, FALSE) )</f>
        <v/>
      </c>
      <c r="T62" s="62" t="str">
        <f>IF($B62="","",  VLOOKUP($B62, Propostas!$B:$BE, 45, FALSE) )</f>
        <v/>
      </c>
      <c r="U62" s="31"/>
      <c r="V62" s="13" t="str">
        <f>IF($B62="","",  VLOOKUP($B62, Propostas!$B:$BE, 50, FALSE) )</f>
        <v/>
      </c>
      <c r="W62" s="13" t="str">
        <f>IF($B62="","",  VLOOKUP($B62, Propostas!$B:$BE, 51, FALSE) )</f>
        <v/>
      </c>
      <c r="X62" s="13" t="str">
        <f>IF($B62="","",  VLOOKUP($B62, Propostas!$B:$BE, 52, FALSE) )</f>
        <v/>
      </c>
      <c r="Y62" s="13" t="str">
        <f>IF($B62="","",  VLOOKUP($B62, Propostas!$B:$BE, 36, FALSE) )</f>
        <v/>
      </c>
      <c r="Z62" s="13" t="str">
        <f>IF($B62="","",  VLOOKUP($F62, VW_PROJETO!B:C, 2, FALSE) )</f>
        <v/>
      </c>
    </row>
    <row r="63" spans="2:26" x14ac:dyDescent="0.2">
      <c r="B63" s="2"/>
      <c r="C63" s="4" t="str">
        <f>IF($B63="","",  VLOOKUP($B63, Propostas!$B:$BE, 33, FALSE) )</f>
        <v/>
      </c>
      <c r="D63" s="4" t="str">
        <f>IF($B63="","",  VLOOKUP($B63, Propostas!$B:$BE, 34, FALSE) )</f>
        <v/>
      </c>
      <c r="E63" s="4" t="str">
        <f>IF($B63="","",  VLOOKUP($B63, Propostas!$B:$BE, 35, FALSE) )</f>
        <v/>
      </c>
      <c r="F63" s="4" t="str">
        <f>IF($B63="","",  VLOOKUP($B63, Propostas!$B:$BE, 2, FALSE) )</f>
        <v/>
      </c>
      <c r="G63" s="4" t="str">
        <f>IF($B63="","",  VLOOKUP($B63, Propostas!$B:$BE, 3, FALSE) )</f>
        <v/>
      </c>
      <c r="H63" s="4" t="str">
        <f>IF($B63="","",  VLOOKUP($B63, Propostas!$B:$BE, 4, FALSE) )</f>
        <v/>
      </c>
      <c r="I63" s="4" t="str">
        <f>IF($B63="","",  VLOOKUP($B63, Propostas!$B:$BE, 38, FALSE) )</f>
        <v/>
      </c>
      <c r="J63" s="13" t="str">
        <f>IF($B63="","",IF($C63="SIM", "&lt; INFRRAESTRUTURA &gt;", VLOOKUP($B63,Propostas!$B:$BE,41,FALSE)))</f>
        <v/>
      </c>
      <c r="K63" s="10" t="str">
        <f>IF($B63="","",  VLOOKUP($B63, Propostas!$B:$BE, 40, FALSE) )</f>
        <v/>
      </c>
      <c r="L63" s="10" t="str">
        <f>IF($B63="","",IF(VLOOKUP($B63,Propostas!$B:$BE,21,FALSE)=1,"B",IF(VLOOKUP($B63,Propostas!$B:$BE,21,FALSE)=2,"E","N")))</f>
        <v/>
      </c>
      <c r="M63" s="31" t="str">
        <f>IF($B63 = "", "",  VLOOKUP($B63, Propostas!$B:$BE, 46, FALSE) )</f>
        <v/>
      </c>
      <c r="N63" s="31" t="str">
        <f>IF($B63 = "", "",  VLOOKUP($B63, Propostas!$B:$BE, 47, FALSE) )</f>
        <v/>
      </c>
      <c r="O63" s="13" t="str">
        <f>IF($B63="","",IF($C63="SIM", "INFRAESTRUTURA", VLOOKUP($B63, Propostas!$B:$BE,42,FALSE)))</f>
        <v/>
      </c>
      <c r="P63" s="31" t="str">
        <f>IF($B63 = "", "",  VLOOKUP($B63, Propostas!$B:$BE, 49, FALSE) )</f>
        <v/>
      </c>
      <c r="Q63" s="13" t="str">
        <f>IF($B63="","",  VLOOKUP($B63, Propostas!$B:$BE, 39, FALSE) )</f>
        <v/>
      </c>
      <c r="R63" s="62" t="str">
        <f>IF($B63="","",  VLOOKUP($B63, Propostas!$B:$BE, 43, FALSE) )</f>
        <v/>
      </c>
      <c r="S63" s="62" t="str">
        <f>IF($B63="","",  VLOOKUP($B63, Propostas!$B:$BE, 44, FALSE) )</f>
        <v/>
      </c>
      <c r="T63" s="62" t="str">
        <f>IF($B63="","",  VLOOKUP($B63, Propostas!$B:$BE, 45, FALSE) )</f>
        <v/>
      </c>
      <c r="U63" s="31"/>
      <c r="V63" s="13" t="str">
        <f>IF($B63="","",  VLOOKUP($B63, Propostas!$B:$BE, 50, FALSE) )</f>
        <v/>
      </c>
      <c r="W63" s="13" t="str">
        <f>IF($B63="","",  VLOOKUP($B63, Propostas!$B:$BE, 51, FALSE) )</f>
        <v/>
      </c>
      <c r="X63" s="13" t="str">
        <f>IF($B63="","",  VLOOKUP($B63, Propostas!$B:$BE, 52, FALSE) )</f>
        <v/>
      </c>
      <c r="Y63" s="13" t="str">
        <f>IF($B63="","",  VLOOKUP($B63, Propostas!$B:$BE, 36, FALSE) )</f>
        <v/>
      </c>
      <c r="Z63" s="13" t="str">
        <f>IF($B63="","",  VLOOKUP($F63, VW_PROJETO!B:C, 2, FALSE) )</f>
        <v/>
      </c>
    </row>
    <row r="64" spans="2:26" x14ac:dyDescent="0.2">
      <c r="B64" s="2"/>
      <c r="C64" s="4" t="str">
        <f>IF($B64="","",  VLOOKUP($B64, Propostas!$B:$BE, 33, FALSE) )</f>
        <v/>
      </c>
      <c r="D64" s="4" t="str">
        <f>IF($B64="","",  VLOOKUP($B64, Propostas!$B:$BE, 34, FALSE) )</f>
        <v/>
      </c>
      <c r="E64" s="4" t="str">
        <f>IF($B64="","",  VLOOKUP($B64, Propostas!$B:$BE, 35, FALSE) )</f>
        <v/>
      </c>
      <c r="F64" s="4" t="str">
        <f>IF($B64="","",  VLOOKUP($B64, Propostas!$B:$BE, 2, FALSE) )</f>
        <v/>
      </c>
      <c r="G64" s="4" t="str">
        <f>IF($B64="","",  VLOOKUP($B64, Propostas!$B:$BE, 3, FALSE) )</f>
        <v/>
      </c>
      <c r="H64" s="4" t="str">
        <f>IF($B64="","",  VLOOKUP($B64, Propostas!$B:$BE, 4, FALSE) )</f>
        <v/>
      </c>
      <c r="I64" s="4" t="str">
        <f>IF($B64="","",  VLOOKUP($B64, Propostas!$B:$BE, 38, FALSE) )</f>
        <v/>
      </c>
      <c r="J64" s="13" t="str">
        <f>IF($B64="","",IF($C64="SIM", "&lt; INFRRAESTRUTURA &gt;", VLOOKUP($B64,Propostas!$B:$BE,41,FALSE)))</f>
        <v/>
      </c>
      <c r="K64" s="10" t="str">
        <f>IF($B64="","",  VLOOKUP($B64, Propostas!$B:$BE, 40, FALSE) )</f>
        <v/>
      </c>
      <c r="L64" s="10" t="str">
        <f>IF($B64="","",IF(VLOOKUP($B64,Propostas!$B:$BE,21,FALSE)=1,"B",IF(VLOOKUP($B64,Propostas!$B:$BE,21,FALSE)=2,"E","N")))</f>
        <v/>
      </c>
      <c r="M64" s="31" t="str">
        <f>IF($B64 = "", "",  VLOOKUP($B64, Propostas!$B:$BE, 46, FALSE) )</f>
        <v/>
      </c>
      <c r="N64" s="31" t="str">
        <f>IF($B64 = "", "",  VLOOKUP($B64, Propostas!$B:$BE, 47, FALSE) )</f>
        <v/>
      </c>
      <c r="O64" s="13" t="str">
        <f>IF($B64="","",IF($C64="SIM", "INFRAESTRUTURA", VLOOKUP($B64, Propostas!$B:$BE,42,FALSE)))</f>
        <v/>
      </c>
      <c r="P64" s="31" t="str">
        <f>IF($B64 = "", "",  VLOOKUP($B64, Propostas!$B:$BE, 49, FALSE) )</f>
        <v/>
      </c>
      <c r="Q64" s="13" t="str">
        <f>IF($B64="","",  VLOOKUP($B64, Propostas!$B:$BE, 39, FALSE) )</f>
        <v/>
      </c>
      <c r="R64" s="62" t="str">
        <f>IF($B64="","",  VLOOKUP($B64, Propostas!$B:$BE, 43, FALSE) )</f>
        <v/>
      </c>
      <c r="S64" s="62" t="str">
        <f>IF($B64="","",  VLOOKUP($B64, Propostas!$B:$BE, 44, FALSE) )</f>
        <v/>
      </c>
      <c r="T64" s="62" t="str">
        <f>IF($B64="","",  VLOOKUP($B64, Propostas!$B:$BE, 45, FALSE) )</f>
        <v/>
      </c>
      <c r="U64" s="31"/>
      <c r="V64" s="13" t="str">
        <f>IF($B64="","",  VLOOKUP($B64, Propostas!$B:$BE, 50, FALSE) )</f>
        <v/>
      </c>
      <c r="W64" s="13" t="str">
        <f>IF($B64="","",  VLOOKUP($B64, Propostas!$B:$BE, 51, FALSE) )</f>
        <v/>
      </c>
      <c r="X64" s="13" t="str">
        <f>IF($B64="","",  VLOOKUP($B64, Propostas!$B:$BE, 52, FALSE) )</f>
        <v/>
      </c>
      <c r="Y64" s="13" t="str">
        <f>IF($B64="","",  VLOOKUP($B64, Propostas!$B:$BE, 36, FALSE) )</f>
        <v/>
      </c>
      <c r="Z64" s="13" t="str">
        <f>IF($B64="","",  VLOOKUP($F64, VW_PROJETO!B:C, 2, FALSE) )</f>
        <v/>
      </c>
    </row>
    <row r="65" spans="2:26" x14ac:dyDescent="0.2">
      <c r="B65" s="2"/>
      <c r="C65" s="4" t="str">
        <f>IF($B65="","",  VLOOKUP($B65, Propostas!$B:$BE, 33, FALSE) )</f>
        <v/>
      </c>
      <c r="D65" s="4" t="str">
        <f>IF($B65="","",  VLOOKUP($B65, Propostas!$B:$BE, 34, FALSE) )</f>
        <v/>
      </c>
      <c r="E65" s="4" t="str">
        <f>IF($B65="","",  VLOOKUP($B65, Propostas!$B:$BE, 35, FALSE) )</f>
        <v/>
      </c>
      <c r="F65" s="4" t="str">
        <f>IF($B65="","",  VLOOKUP($B65, Propostas!$B:$BE, 2, FALSE) )</f>
        <v/>
      </c>
      <c r="G65" s="4" t="str">
        <f>IF($B65="","",  VLOOKUP($B65, Propostas!$B:$BE, 3, FALSE) )</f>
        <v/>
      </c>
      <c r="H65" s="4" t="str">
        <f>IF($B65="","",  VLOOKUP($B65, Propostas!$B:$BE, 4, FALSE) )</f>
        <v/>
      </c>
      <c r="I65" s="4" t="str">
        <f>IF($B65="","",  VLOOKUP($B65, Propostas!$B:$BE, 38, FALSE) )</f>
        <v/>
      </c>
      <c r="J65" s="13" t="str">
        <f>IF($B65="","",IF($C65="SIM", "&lt; INFRRAESTRUTURA &gt;", VLOOKUP($B65,Propostas!$B:$BE,41,FALSE)))</f>
        <v/>
      </c>
      <c r="K65" s="10" t="str">
        <f>IF($B65="","",  VLOOKUP($B65, Propostas!$B:$BE, 40, FALSE) )</f>
        <v/>
      </c>
      <c r="L65" s="10" t="str">
        <f>IF($B65="","",IF(VLOOKUP($B65,Propostas!$B:$BE,21,FALSE)=1,"B",IF(VLOOKUP($B65,Propostas!$B:$BE,21,FALSE)=2,"E","N")))</f>
        <v/>
      </c>
      <c r="M65" s="31" t="str">
        <f>IF($B65 = "", "",  VLOOKUP($B65, Propostas!$B:$BE, 46, FALSE) )</f>
        <v/>
      </c>
      <c r="N65" s="31" t="str">
        <f>IF($B65 = "", "",  VLOOKUP($B65, Propostas!$B:$BE, 47, FALSE) )</f>
        <v/>
      </c>
      <c r="O65" s="13" t="str">
        <f>IF($B65="","",IF($C65="SIM", "INFRAESTRUTURA", VLOOKUP($B65, Propostas!$B:$BE,42,FALSE)))</f>
        <v/>
      </c>
      <c r="P65" s="31" t="str">
        <f>IF($B65 = "", "",  VLOOKUP($B65, Propostas!$B:$BE, 49, FALSE) )</f>
        <v/>
      </c>
      <c r="Q65" s="13" t="str">
        <f>IF($B65="","",  VLOOKUP($B65, Propostas!$B:$BE, 39, FALSE) )</f>
        <v/>
      </c>
      <c r="R65" s="62" t="str">
        <f>IF($B65="","",  VLOOKUP($B65, Propostas!$B:$BE, 43, FALSE) )</f>
        <v/>
      </c>
      <c r="S65" s="62" t="str">
        <f>IF($B65="","",  VLOOKUP($B65, Propostas!$B:$BE, 44, FALSE) )</f>
        <v/>
      </c>
      <c r="T65" s="62" t="str">
        <f>IF($B65="","",  VLOOKUP($B65, Propostas!$B:$BE, 45, FALSE) )</f>
        <v/>
      </c>
      <c r="U65" s="31"/>
      <c r="V65" s="13" t="str">
        <f>IF($B65="","",  VLOOKUP($B65, Propostas!$B:$BE, 50, FALSE) )</f>
        <v/>
      </c>
      <c r="W65" s="13" t="str">
        <f>IF($B65="","",  VLOOKUP($B65, Propostas!$B:$BE, 51, FALSE) )</f>
        <v/>
      </c>
      <c r="X65" s="13" t="str">
        <f>IF($B65="","",  VLOOKUP($B65, Propostas!$B:$BE, 52, FALSE) )</f>
        <v/>
      </c>
      <c r="Y65" s="13" t="str">
        <f>IF($B65="","",  VLOOKUP($B65, Propostas!$B:$BE, 36, FALSE) )</f>
        <v/>
      </c>
      <c r="Z65" s="13" t="str">
        <f>IF($B65="","",  VLOOKUP($F65, VW_PROJETO!B:C, 2, FALSE) )</f>
        <v/>
      </c>
    </row>
    <row r="66" spans="2:26" x14ac:dyDescent="0.2">
      <c r="B66" s="2"/>
      <c r="C66" s="4" t="str">
        <f>IF($B66="","",  VLOOKUP($B66, Propostas!$B:$BE, 33, FALSE) )</f>
        <v/>
      </c>
      <c r="D66" s="4" t="str">
        <f>IF($B66="","",  VLOOKUP($B66, Propostas!$B:$BE, 34, FALSE) )</f>
        <v/>
      </c>
      <c r="E66" s="4" t="str">
        <f>IF($B66="","",  VLOOKUP($B66, Propostas!$B:$BE, 35, FALSE) )</f>
        <v/>
      </c>
      <c r="F66" s="4" t="str">
        <f>IF($B66="","",  VLOOKUP($B66, Propostas!$B:$BE, 2, FALSE) )</f>
        <v/>
      </c>
      <c r="G66" s="4" t="str">
        <f>IF($B66="","",  VLOOKUP($B66, Propostas!$B:$BE, 3, FALSE) )</f>
        <v/>
      </c>
      <c r="H66" s="4" t="str">
        <f>IF($B66="","",  VLOOKUP($B66, Propostas!$B:$BE, 4, FALSE) )</f>
        <v/>
      </c>
      <c r="I66" s="4" t="str">
        <f>IF($B66="","",  VLOOKUP($B66, Propostas!$B:$BE, 38, FALSE) )</f>
        <v/>
      </c>
      <c r="J66" s="13" t="str">
        <f>IF($B66="","",IF($C66="SIM", "&lt; INFRRAESTRUTURA &gt;", VLOOKUP($B66,Propostas!$B:$BE,41,FALSE)))</f>
        <v/>
      </c>
      <c r="K66" s="10" t="str">
        <f>IF($B66="","",  VLOOKUP($B66, Propostas!$B:$BE, 40, FALSE) )</f>
        <v/>
      </c>
      <c r="L66" s="10" t="str">
        <f>IF($B66="","",IF(VLOOKUP($B66,Propostas!$B:$BE,21,FALSE)=1,"B",IF(VLOOKUP($B66,Propostas!$B:$BE,21,FALSE)=2,"E","N")))</f>
        <v/>
      </c>
      <c r="M66" s="31" t="str">
        <f>IF($B66 = "", "",  VLOOKUP($B66, Propostas!$B:$BE, 46, FALSE) )</f>
        <v/>
      </c>
      <c r="N66" s="31" t="str">
        <f>IF($B66 = "", "",  VLOOKUP($B66, Propostas!$B:$BE, 47, FALSE) )</f>
        <v/>
      </c>
      <c r="O66" s="13" t="str">
        <f>IF($B66="","",IF($C66="SIM", "INFRAESTRUTURA", VLOOKUP($B66, Propostas!$B:$BE,42,FALSE)))</f>
        <v/>
      </c>
      <c r="P66" s="31" t="str">
        <f>IF($B66 = "", "",  VLOOKUP($B66, Propostas!$B:$BE, 49, FALSE) )</f>
        <v/>
      </c>
      <c r="Q66" s="13" t="str">
        <f>IF($B66="","",  VLOOKUP($B66, Propostas!$B:$BE, 39, FALSE) )</f>
        <v/>
      </c>
      <c r="R66" s="62" t="str">
        <f>IF($B66="","",  VLOOKUP($B66, Propostas!$B:$BE, 43, FALSE) )</f>
        <v/>
      </c>
      <c r="S66" s="62" t="str">
        <f>IF($B66="","",  VLOOKUP($B66, Propostas!$B:$BE, 44, FALSE) )</f>
        <v/>
      </c>
      <c r="T66" s="62" t="str">
        <f>IF($B66="","",  VLOOKUP($B66, Propostas!$B:$BE, 45, FALSE) )</f>
        <v/>
      </c>
      <c r="U66" s="31"/>
      <c r="V66" s="13" t="str">
        <f>IF($B66="","",  VLOOKUP($B66, Propostas!$B:$BE, 50, FALSE) )</f>
        <v/>
      </c>
      <c r="W66" s="13" t="str">
        <f>IF($B66="","",  VLOOKUP($B66, Propostas!$B:$BE, 51, FALSE) )</f>
        <v/>
      </c>
      <c r="X66" s="13" t="str">
        <f>IF($B66="","",  VLOOKUP($B66, Propostas!$B:$BE, 52, FALSE) )</f>
        <v/>
      </c>
      <c r="Y66" s="13" t="str">
        <f>IF($B66="","",  VLOOKUP($B66, Propostas!$B:$BE, 36, FALSE) )</f>
        <v/>
      </c>
      <c r="Z66" s="13" t="str">
        <f>IF($B66="","",  VLOOKUP($F66, VW_PROJETO!B:C, 2, FALSE) )</f>
        <v/>
      </c>
    </row>
    <row r="67" spans="2:26" x14ac:dyDescent="0.2">
      <c r="B67" s="2"/>
      <c r="C67" s="4" t="str">
        <f>IF($B67="","",  VLOOKUP($B67, Propostas!$B:$BE, 33, FALSE) )</f>
        <v/>
      </c>
      <c r="D67" s="4" t="str">
        <f>IF($B67="","",  VLOOKUP($B67, Propostas!$B:$BE, 34, FALSE) )</f>
        <v/>
      </c>
      <c r="E67" s="4" t="str">
        <f>IF($B67="","",  VLOOKUP($B67, Propostas!$B:$BE, 35, FALSE) )</f>
        <v/>
      </c>
      <c r="F67" s="4" t="str">
        <f>IF($B67="","",  VLOOKUP($B67, Propostas!$B:$BE, 2, FALSE) )</f>
        <v/>
      </c>
      <c r="G67" s="4" t="str">
        <f>IF($B67="","",  VLOOKUP($B67, Propostas!$B:$BE, 3, FALSE) )</f>
        <v/>
      </c>
      <c r="H67" s="4" t="str">
        <f>IF($B67="","",  VLOOKUP($B67, Propostas!$B:$BE, 4, FALSE) )</f>
        <v/>
      </c>
      <c r="I67" s="4" t="str">
        <f>IF($B67="","",  VLOOKUP($B67, Propostas!$B:$BE, 38, FALSE) )</f>
        <v/>
      </c>
      <c r="J67" s="13" t="str">
        <f>IF($B67="","",IF($C67="SIM", "&lt; INFRRAESTRUTURA &gt;", VLOOKUP($B67,Propostas!$B:$BE,41,FALSE)))</f>
        <v/>
      </c>
      <c r="K67" s="10" t="str">
        <f>IF($B67="","",  VLOOKUP($B67, Propostas!$B:$BE, 40, FALSE) )</f>
        <v/>
      </c>
      <c r="L67" s="10" t="str">
        <f>IF($B67="","",IF(VLOOKUP($B67,Propostas!$B:$BE,21,FALSE)=1,"B",IF(VLOOKUP($B67,Propostas!$B:$BE,21,FALSE)=2,"E","N")))</f>
        <v/>
      </c>
      <c r="M67" s="31" t="str">
        <f>IF($B67 = "", "",  VLOOKUP($B67, Propostas!$B:$BE, 46, FALSE) )</f>
        <v/>
      </c>
      <c r="N67" s="31" t="str">
        <f>IF($B67 = "", "",  VLOOKUP($B67, Propostas!$B:$BE, 47, FALSE) )</f>
        <v/>
      </c>
      <c r="O67" s="13" t="str">
        <f>IF($B67="","",IF($C67="SIM", "INFRAESTRUTURA", VLOOKUP($B67, Propostas!$B:$BE,42,FALSE)))</f>
        <v/>
      </c>
      <c r="P67" s="31" t="str">
        <f>IF($B67 = "", "",  VLOOKUP($B67, Propostas!$B:$BE, 49, FALSE) )</f>
        <v/>
      </c>
      <c r="Q67" s="13" t="str">
        <f>IF($B67="","",  VLOOKUP($B67, Propostas!$B:$BE, 39, FALSE) )</f>
        <v/>
      </c>
      <c r="R67" s="62" t="str">
        <f>IF($B67="","",  VLOOKUP($B67, Propostas!$B:$BE, 43, FALSE) )</f>
        <v/>
      </c>
      <c r="S67" s="62" t="str">
        <f>IF($B67="","",  VLOOKUP($B67, Propostas!$B:$BE, 44, FALSE) )</f>
        <v/>
      </c>
      <c r="T67" s="62" t="str">
        <f>IF($B67="","",  VLOOKUP($B67, Propostas!$B:$BE, 45, FALSE) )</f>
        <v/>
      </c>
      <c r="U67" s="31"/>
      <c r="V67" s="13" t="str">
        <f>IF($B67="","",  VLOOKUP($B67, Propostas!$B:$BE, 50, FALSE) )</f>
        <v/>
      </c>
      <c r="W67" s="13" t="str">
        <f>IF($B67="","",  VLOOKUP($B67, Propostas!$B:$BE, 51, FALSE) )</f>
        <v/>
      </c>
      <c r="X67" s="13" t="str">
        <f>IF($B67="","",  VLOOKUP($B67, Propostas!$B:$BE, 52, FALSE) )</f>
        <v/>
      </c>
      <c r="Y67" s="13" t="str">
        <f>IF($B67="","",  VLOOKUP($B67, Propostas!$B:$BE, 36, FALSE) )</f>
        <v/>
      </c>
      <c r="Z67" s="13" t="str">
        <f>IF($B67="","",  VLOOKUP($F67, VW_PROJETO!B:C, 2, FALSE) )</f>
        <v/>
      </c>
    </row>
    <row r="68" spans="2:26" x14ac:dyDescent="0.2">
      <c r="B68" s="2"/>
      <c r="C68" s="4" t="str">
        <f>IF($B68="","",  VLOOKUP($B68, Propostas!$B:$BE, 33, FALSE) )</f>
        <v/>
      </c>
      <c r="D68" s="4" t="str">
        <f>IF($B68="","",  VLOOKUP($B68, Propostas!$B:$BE, 34, FALSE) )</f>
        <v/>
      </c>
      <c r="E68" s="4" t="str">
        <f>IF($B68="","",  VLOOKUP($B68, Propostas!$B:$BE, 35, FALSE) )</f>
        <v/>
      </c>
      <c r="F68" s="4" t="str">
        <f>IF($B68="","",  VLOOKUP($B68, Propostas!$B:$BE, 2, FALSE) )</f>
        <v/>
      </c>
      <c r="G68" s="4" t="str">
        <f>IF($B68="","",  VLOOKUP($B68, Propostas!$B:$BE, 3, FALSE) )</f>
        <v/>
      </c>
      <c r="H68" s="4" t="str">
        <f>IF($B68="","",  VLOOKUP($B68, Propostas!$B:$BE, 4, FALSE) )</f>
        <v/>
      </c>
      <c r="I68" s="4" t="str">
        <f>IF($B68="","",  VLOOKUP($B68, Propostas!$B:$BE, 38, FALSE) )</f>
        <v/>
      </c>
      <c r="J68" s="13" t="str">
        <f>IF($B68="","",IF($C68="SIM", "&lt; INFRRAESTRUTURA &gt;", VLOOKUP($B68,Propostas!$B:$BE,41,FALSE)))</f>
        <v/>
      </c>
      <c r="K68" s="10" t="str">
        <f>IF($B68="","",  VLOOKUP($B68, Propostas!$B:$BE, 40, FALSE) )</f>
        <v/>
      </c>
      <c r="L68" s="10" t="str">
        <f>IF($B68="","",IF(VLOOKUP($B68,Propostas!$B:$BE,21,FALSE)=1,"B",IF(VLOOKUP($B68,Propostas!$B:$BE,21,FALSE)=2,"E","N")))</f>
        <v/>
      </c>
      <c r="M68" s="31" t="str">
        <f>IF($B68 = "", "",  VLOOKUP($B68, Propostas!$B:$BE, 46, FALSE) )</f>
        <v/>
      </c>
      <c r="N68" s="31" t="str">
        <f>IF($B68 = "", "",  VLOOKUP($B68, Propostas!$B:$BE, 47, FALSE) )</f>
        <v/>
      </c>
      <c r="O68" s="13" t="str">
        <f>IF($B68="","",IF($C68="SIM", "INFRAESTRUTURA", VLOOKUP($B68, Propostas!$B:$BE,42,FALSE)))</f>
        <v/>
      </c>
      <c r="P68" s="31" t="str">
        <f>IF($B68 = "", "",  VLOOKUP($B68, Propostas!$B:$BE, 49, FALSE) )</f>
        <v/>
      </c>
      <c r="Q68" s="13" t="str">
        <f>IF($B68="","",  VLOOKUP($B68, Propostas!$B:$BE, 39, FALSE) )</f>
        <v/>
      </c>
      <c r="R68" s="62" t="str">
        <f>IF($B68="","",  VLOOKUP($B68, Propostas!$B:$BE, 43, FALSE) )</f>
        <v/>
      </c>
      <c r="S68" s="62" t="str">
        <f>IF($B68="","",  VLOOKUP($B68, Propostas!$B:$BE, 44, FALSE) )</f>
        <v/>
      </c>
      <c r="T68" s="62" t="str">
        <f>IF($B68="","",  VLOOKUP($B68, Propostas!$B:$BE, 45, FALSE) )</f>
        <v/>
      </c>
      <c r="U68" s="31"/>
      <c r="V68" s="13" t="str">
        <f>IF($B68="","",  VLOOKUP($B68, Propostas!$B:$BE, 50, FALSE) )</f>
        <v/>
      </c>
      <c r="W68" s="13" t="str">
        <f>IF($B68="","",  VLOOKUP($B68, Propostas!$B:$BE, 51, FALSE) )</f>
        <v/>
      </c>
      <c r="X68" s="13" t="str">
        <f>IF($B68="","",  VLOOKUP($B68, Propostas!$B:$BE, 52, FALSE) )</f>
        <v/>
      </c>
      <c r="Y68" s="13" t="str">
        <f>IF($B68="","",  VLOOKUP($B68, Propostas!$B:$BE, 36, FALSE) )</f>
        <v/>
      </c>
      <c r="Z68" s="13" t="str">
        <f>IF($B68="","",  VLOOKUP($F68, VW_PROJETO!B:C, 2, FALSE) )</f>
        <v/>
      </c>
    </row>
    <row r="69" spans="2:26" x14ac:dyDescent="0.2">
      <c r="B69" s="2"/>
      <c r="C69" s="4" t="str">
        <f>IF($B69="","",  VLOOKUP($B69, Propostas!$B:$BE, 33, FALSE) )</f>
        <v/>
      </c>
      <c r="D69" s="4" t="str">
        <f>IF($B69="","",  VLOOKUP($B69, Propostas!$B:$BE, 34, FALSE) )</f>
        <v/>
      </c>
      <c r="E69" s="4" t="str">
        <f>IF($B69="","",  VLOOKUP($B69, Propostas!$B:$BE, 35, FALSE) )</f>
        <v/>
      </c>
      <c r="F69" s="4" t="str">
        <f>IF($B69="","",  VLOOKUP($B69, Propostas!$B:$BE, 2, FALSE) )</f>
        <v/>
      </c>
      <c r="G69" s="4" t="str">
        <f>IF($B69="","",  VLOOKUP($B69, Propostas!$B:$BE, 3, FALSE) )</f>
        <v/>
      </c>
      <c r="H69" s="4" t="str">
        <f>IF($B69="","",  VLOOKUP($B69, Propostas!$B:$BE, 4, FALSE) )</f>
        <v/>
      </c>
      <c r="I69" s="4" t="str">
        <f>IF($B69="","",  VLOOKUP($B69, Propostas!$B:$BE, 38, FALSE) )</f>
        <v/>
      </c>
      <c r="J69" s="13" t="str">
        <f>IF($B69="","",IF($C69="SIM", "&lt; INFRRAESTRUTURA &gt;", VLOOKUP($B69,Propostas!$B:$BE,41,FALSE)))</f>
        <v/>
      </c>
      <c r="K69" s="10" t="str">
        <f>IF($B69="","",  VLOOKUP($B69, Propostas!$B:$BE, 40, FALSE) )</f>
        <v/>
      </c>
      <c r="L69" s="10" t="str">
        <f>IF($B69="","",IF(VLOOKUP($B69,Propostas!$B:$BE,21,FALSE)=1,"B",IF(VLOOKUP($B69,Propostas!$B:$BE,21,FALSE)=2,"E","N")))</f>
        <v/>
      </c>
      <c r="M69" s="31" t="str">
        <f>IF($B69 = "", "",  VLOOKUP($B69, Propostas!$B:$BE, 46, FALSE) )</f>
        <v/>
      </c>
      <c r="N69" s="31" t="str">
        <f>IF($B69 = "", "",  VLOOKUP($B69, Propostas!$B:$BE, 47, FALSE) )</f>
        <v/>
      </c>
      <c r="O69" s="13" t="str">
        <f>IF($B69="","",IF($C69="SIM", "INFRAESTRUTURA", VLOOKUP($B69, Propostas!$B:$BE,42,FALSE)))</f>
        <v/>
      </c>
      <c r="P69" s="31" t="str">
        <f>IF($B69 = "", "",  VLOOKUP($B69, Propostas!$B:$BE, 49, FALSE) )</f>
        <v/>
      </c>
      <c r="Q69" s="13" t="str">
        <f>IF($B69="","",  VLOOKUP($B69, Propostas!$B:$BE, 39, FALSE) )</f>
        <v/>
      </c>
      <c r="R69" s="62" t="str">
        <f>IF($B69="","",  VLOOKUP($B69, Propostas!$B:$BE, 43, FALSE) )</f>
        <v/>
      </c>
      <c r="S69" s="62" t="str">
        <f>IF($B69="","",  VLOOKUP($B69, Propostas!$B:$BE, 44, FALSE) )</f>
        <v/>
      </c>
      <c r="T69" s="62" t="str">
        <f>IF($B69="","",  VLOOKUP($B69, Propostas!$B:$BE, 45, FALSE) )</f>
        <v/>
      </c>
      <c r="U69" s="31"/>
      <c r="V69" s="13" t="str">
        <f>IF($B69="","",  VLOOKUP($B69, Propostas!$B:$BE, 50, FALSE) )</f>
        <v/>
      </c>
      <c r="W69" s="13" t="str">
        <f>IF($B69="","",  VLOOKUP($B69, Propostas!$B:$BE, 51, FALSE) )</f>
        <v/>
      </c>
      <c r="X69" s="13" t="str">
        <f>IF($B69="","",  VLOOKUP($B69, Propostas!$B:$BE, 52, FALSE) )</f>
        <v/>
      </c>
      <c r="Y69" s="13" t="str">
        <f>IF($B69="","",  VLOOKUP($B69, Propostas!$B:$BE, 36, FALSE) )</f>
        <v/>
      </c>
      <c r="Z69" s="13" t="str">
        <f>IF($B69="","",  VLOOKUP($F69, VW_PROJETO!B:C, 2, FALSE) )</f>
        <v/>
      </c>
    </row>
    <row r="70" spans="2:26" x14ac:dyDescent="0.2">
      <c r="B70" s="2"/>
      <c r="C70" s="4" t="str">
        <f>IF($B70="","",  VLOOKUP($B70, Propostas!$B:$BE, 33, FALSE) )</f>
        <v/>
      </c>
      <c r="D70" s="4" t="str">
        <f>IF($B70="","",  VLOOKUP($B70, Propostas!$B:$BE, 34, FALSE) )</f>
        <v/>
      </c>
      <c r="E70" s="4" t="str">
        <f>IF($B70="","",  VLOOKUP($B70, Propostas!$B:$BE, 35, FALSE) )</f>
        <v/>
      </c>
      <c r="F70" s="4" t="str">
        <f>IF($B70="","",  VLOOKUP($B70, Propostas!$B:$BE, 2, FALSE) )</f>
        <v/>
      </c>
      <c r="G70" s="4" t="str">
        <f>IF($B70="","",  VLOOKUP($B70, Propostas!$B:$BE, 3, FALSE) )</f>
        <v/>
      </c>
      <c r="H70" s="4" t="str">
        <f>IF($B70="","",  VLOOKUP($B70, Propostas!$B:$BE, 4, FALSE) )</f>
        <v/>
      </c>
      <c r="I70" s="4" t="str">
        <f>IF($B70="","",  VLOOKUP($B70, Propostas!$B:$BE, 38, FALSE) )</f>
        <v/>
      </c>
      <c r="J70" s="13" t="str">
        <f>IF($B70="","",IF($C70="SIM", "&lt; INFRRAESTRUTURA &gt;", VLOOKUP($B70,Propostas!$B:$BE,41,FALSE)))</f>
        <v/>
      </c>
      <c r="K70" s="10" t="str">
        <f>IF($B70="","",  VLOOKUP($B70, Propostas!$B:$BE, 40, FALSE) )</f>
        <v/>
      </c>
      <c r="L70" s="10" t="str">
        <f>IF($B70="","",IF(VLOOKUP($B70,Propostas!$B:$BE,21,FALSE)=1,"B",IF(VLOOKUP($B70,Propostas!$B:$BE,21,FALSE)=2,"E","N")))</f>
        <v/>
      </c>
      <c r="M70" s="31" t="str">
        <f>IF($B70 = "", "",  VLOOKUP($B70, Propostas!$B:$BE, 46, FALSE) )</f>
        <v/>
      </c>
      <c r="N70" s="31" t="str">
        <f>IF($B70 = "", "",  VLOOKUP($B70, Propostas!$B:$BE, 47, FALSE) )</f>
        <v/>
      </c>
      <c r="O70" s="13" t="str">
        <f>IF($B70="","",IF($C70="SIM", "INFRAESTRUTURA", VLOOKUP($B70, Propostas!$B:$BE,42,FALSE)))</f>
        <v/>
      </c>
      <c r="P70" s="31" t="str">
        <f>IF($B70 = "", "",  VLOOKUP($B70, Propostas!$B:$BE, 49, FALSE) )</f>
        <v/>
      </c>
      <c r="Q70" s="13" t="str">
        <f>IF($B70="","",  VLOOKUP($B70, Propostas!$B:$BE, 39, FALSE) )</f>
        <v/>
      </c>
      <c r="R70" s="62" t="str">
        <f>IF($B70="","",  VLOOKUP($B70, Propostas!$B:$BE, 43, FALSE) )</f>
        <v/>
      </c>
      <c r="S70" s="62" t="str">
        <f>IF($B70="","",  VLOOKUP($B70, Propostas!$B:$BE, 44, FALSE) )</f>
        <v/>
      </c>
      <c r="T70" s="62" t="str">
        <f>IF($B70="","",  VLOOKUP($B70, Propostas!$B:$BE, 45, FALSE) )</f>
        <v/>
      </c>
      <c r="U70" s="31"/>
      <c r="V70" s="13" t="str">
        <f>IF($B70="","",  VLOOKUP($B70, Propostas!$B:$BE, 50, FALSE) )</f>
        <v/>
      </c>
      <c r="W70" s="13" t="str">
        <f>IF($B70="","",  VLOOKUP($B70, Propostas!$B:$BE, 51, FALSE) )</f>
        <v/>
      </c>
      <c r="X70" s="13" t="str">
        <f>IF($B70="","",  VLOOKUP($B70, Propostas!$B:$BE, 52, FALSE) )</f>
        <v/>
      </c>
      <c r="Y70" s="13" t="str">
        <f>IF($B70="","",  VLOOKUP($B70, Propostas!$B:$BE, 36, FALSE) )</f>
        <v/>
      </c>
      <c r="Z70" s="13" t="str">
        <f>IF($B70="","",  VLOOKUP($F70, VW_PROJETO!B:C, 2, FALSE) )</f>
        <v/>
      </c>
    </row>
    <row r="71" spans="2:26" x14ac:dyDescent="0.2">
      <c r="B71" s="2"/>
      <c r="C71" s="4" t="str">
        <f>IF($B71="","",  VLOOKUP($B71, Propostas!$B:$BE, 33, FALSE) )</f>
        <v/>
      </c>
      <c r="D71" s="4" t="str">
        <f>IF($B71="","",  VLOOKUP($B71, Propostas!$B:$BE, 34, FALSE) )</f>
        <v/>
      </c>
      <c r="E71" s="4" t="str">
        <f>IF($B71="","",  VLOOKUP($B71, Propostas!$B:$BE, 35, FALSE) )</f>
        <v/>
      </c>
      <c r="F71" s="4" t="str">
        <f>IF($B71="","",  VLOOKUP($B71, Propostas!$B:$BE, 2, FALSE) )</f>
        <v/>
      </c>
      <c r="G71" s="4" t="str">
        <f>IF($B71="","",  VLOOKUP($B71, Propostas!$B:$BE, 3, FALSE) )</f>
        <v/>
      </c>
      <c r="H71" s="4" t="str">
        <f>IF($B71="","",  VLOOKUP($B71, Propostas!$B:$BE, 4, FALSE) )</f>
        <v/>
      </c>
      <c r="I71" s="4" t="str">
        <f>IF($B71="","",  VLOOKUP($B71, Propostas!$B:$BE, 38, FALSE) )</f>
        <v/>
      </c>
      <c r="J71" s="13" t="str">
        <f>IF($B71="","",IF($C71="SIM", "&lt; INFRRAESTRUTURA &gt;", VLOOKUP($B71,Propostas!$B:$BE,41,FALSE)))</f>
        <v/>
      </c>
      <c r="K71" s="10" t="str">
        <f>IF($B71="","",  VLOOKUP($B71, Propostas!$B:$BE, 40, FALSE) )</f>
        <v/>
      </c>
      <c r="L71" s="10" t="str">
        <f>IF($B71="","",IF(VLOOKUP($B71,Propostas!$B:$BE,21,FALSE)=1,"B",IF(VLOOKUP($B71,Propostas!$B:$BE,21,FALSE)=2,"E","N")))</f>
        <v/>
      </c>
      <c r="M71" s="31" t="str">
        <f>IF($B71 = "", "",  VLOOKUP($B71, Propostas!$B:$BE, 46, FALSE) )</f>
        <v/>
      </c>
      <c r="N71" s="31" t="str">
        <f>IF($B71 = "", "",  VLOOKUP($B71, Propostas!$B:$BE, 47, FALSE) )</f>
        <v/>
      </c>
      <c r="O71" s="13" t="str">
        <f>IF($B71="","",IF($C71="SIM", "INFRAESTRUTURA", VLOOKUP($B71, Propostas!$B:$BE,42,FALSE)))</f>
        <v/>
      </c>
      <c r="P71" s="31" t="str">
        <f>IF($B71 = "", "",  VLOOKUP($B71, Propostas!$B:$BE, 49, FALSE) )</f>
        <v/>
      </c>
      <c r="Q71" s="13" t="str">
        <f>IF($B71="","",  VLOOKUP($B71, Propostas!$B:$BE, 39, FALSE) )</f>
        <v/>
      </c>
      <c r="R71" s="62" t="str">
        <f>IF($B71="","",  VLOOKUP($B71, Propostas!$B:$BE, 43, FALSE) )</f>
        <v/>
      </c>
      <c r="S71" s="62" t="str">
        <f>IF($B71="","",  VLOOKUP($B71, Propostas!$B:$BE, 44, FALSE) )</f>
        <v/>
      </c>
      <c r="T71" s="62" t="str">
        <f>IF($B71="","",  VLOOKUP($B71, Propostas!$B:$BE, 45, FALSE) )</f>
        <v/>
      </c>
      <c r="U71" s="31"/>
      <c r="V71" s="13" t="str">
        <f>IF($B71="","",  VLOOKUP($B71, Propostas!$B:$BE, 50, FALSE) )</f>
        <v/>
      </c>
      <c r="W71" s="13" t="str">
        <f>IF($B71="","",  VLOOKUP($B71, Propostas!$B:$BE, 51, FALSE) )</f>
        <v/>
      </c>
      <c r="X71" s="13" t="str">
        <f>IF($B71="","",  VLOOKUP($B71, Propostas!$B:$BE, 52, FALSE) )</f>
        <v/>
      </c>
      <c r="Y71" s="13" t="str">
        <f>IF($B71="","",  VLOOKUP($B71, Propostas!$B:$BE, 36, FALSE) )</f>
        <v/>
      </c>
      <c r="Z71" s="13" t="str">
        <f>IF($B71="","",  VLOOKUP($F71, VW_PROJETO!B:C, 2, FALSE) )</f>
        <v/>
      </c>
    </row>
    <row r="72" spans="2:26" x14ac:dyDescent="0.2">
      <c r="B72" s="2"/>
      <c r="C72" s="4" t="str">
        <f>IF($B72="","",  VLOOKUP($B72, Propostas!$B:$BE, 33, FALSE) )</f>
        <v/>
      </c>
      <c r="D72" s="4" t="str">
        <f>IF($B72="","",  VLOOKUP($B72, Propostas!$B:$BE, 34, FALSE) )</f>
        <v/>
      </c>
      <c r="E72" s="4" t="str">
        <f>IF($B72="","",  VLOOKUP($B72, Propostas!$B:$BE, 35, FALSE) )</f>
        <v/>
      </c>
      <c r="F72" s="4" t="str">
        <f>IF($B72="","",  VLOOKUP($B72, Propostas!$B:$BE, 2, FALSE) )</f>
        <v/>
      </c>
      <c r="G72" s="4" t="str">
        <f>IF($B72="","",  VLOOKUP($B72, Propostas!$B:$BE, 3, FALSE) )</f>
        <v/>
      </c>
      <c r="H72" s="4" t="str">
        <f>IF($B72="","",  VLOOKUP($B72, Propostas!$B:$BE, 4, FALSE) )</f>
        <v/>
      </c>
      <c r="I72" s="4" t="str">
        <f>IF($B72="","",  VLOOKUP($B72, Propostas!$B:$BE, 38, FALSE) )</f>
        <v/>
      </c>
      <c r="J72" s="13" t="str">
        <f>IF($B72="","",IF($C72="SIM", "&lt; INFRRAESTRUTURA &gt;", VLOOKUP($B72,Propostas!$B:$BE,41,FALSE)))</f>
        <v/>
      </c>
      <c r="K72" s="10" t="str">
        <f>IF($B72="","",  VLOOKUP($B72, Propostas!$B:$BE, 40, FALSE) )</f>
        <v/>
      </c>
      <c r="L72" s="10" t="str">
        <f>IF($B72="","",IF(VLOOKUP($B72,Propostas!$B:$BE,21,FALSE)=1,"B",IF(VLOOKUP($B72,Propostas!$B:$BE,21,FALSE)=2,"E","N")))</f>
        <v/>
      </c>
      <c r="M72" s="31" t="str">
        <f>IF($B72 = "", "",  VLOOKUP($B72, Propostas!$B:$BE, 46, FALSE) )</f>
        <v/>
      </c>
      <c r="N72" s="31" t="str">
        <f>IF($B72 = "", "",  VLOOKUP($B72, Propostas!$B:$BE, 47, FALSE) )</f>
        <v/>
      </c>
      <c r="O72" s="13" t="str">
        <f>IF($B72="","",IF($C72="SIM", "INFRAESTRUTURA", VLOOKUP($B72, Propostas!$B:$BE,42,FALSE)))</f>
        <v/>
      </c>
      <c r="P72" s="31" t="str">
        <f>IF($B72 = "", "",  VLOOKUP($B72, Propostas!$B:$BE, 49, FALSE) )</f>
        <v/>
      </c>
      <c r="Q72" s="13" t="str">
        <f>IF($B72="","",  VLOOKUP($B72, Propostas!$B:$BE, 39, FALSE) )</f>
        <v/>
      </c>
      <c r="R72" s="62" t="str">
        <f>IF($B72="","",  VLOOKUP($B72, Propostas!$B:$BE, 43, FALSE) )</f>
        <v/>
      </c>
      <c r="S72" s="62" t="str">
        <f>IF($B72="","",  VLOOKUP($B72, Propostas!$B:$BE, 44, FALSE) )</f>
        <v/>
      </c>
      <c r="T72" s="62" t="str">
        <f>IF($B72="","",  VLOOKUP($B72, Propostas!$B:$BE, 45, FALSE) )</f>
        <v/>
      </c>
      <c r="U72" s="31"/>
      <c r="V72" s="13" t="str">
        <f>IF($B72="","",  VLOOKUP($B72, Propostas!$B:$BE, 50, FALSE) )</f>
        <v/>
      </c>
      <c r="W72" s="13" t="str">
        <f>IF($B72="","",  VLOOKUP($B72, Propostas!$B:$BE, 51, FALSE) )</f>
        <v/>
      </c>
      <c r="X72" s="13" t="str">
        <f>IF($B72="","",  VLOOKUP($B72, Propostas!$B:$BE, 52, FALSE) )</f>
        <v/>
      </c>
      <c r="Y72" s="13" t="str">
        <f>IF($B72="","",  VLOOKUP($B72, Propostas!$B:$BE, 36, FALSE) )</f>
        <v/>
      </c>
      <c r="Z72" s="13" t="str">
        <f>IF($B72="","",  VLOOKUP($F72, VW_PROJETO!B:C, 2, FALSE) )</f>
        <v/>
      </c>
    </row>
    <row r="73" spans="2:26" x14ac:dyDescent="0.2">
      <c r="B73" s="2"/>
      <c r="C73" s="4" t="str">
        <f>IF($B73="","",  VLOOKUP($B73, Propostas!$B:$BE, 33, FALSE) )</f>
        <v/>
      </c>
      <c r="D73" s="4" t="str">
        <f>IF($B73="","",  VLOOKUP($B73, Propostas!$B:$BE, 34, FALSE) )</f>
        <v/>
      </c>
      <c r="E73" s="4" t="str">
        <f>IF($B73="","",  VLOOKUP($B73, Propostas!$B:$BE, 35, FALSE) )</f>
        <v/>
      </c>
      <c r="F73" s="4" t="str">
        <f>IF($B73="","",  VLOOKUP($B73, Propostas!$B:$BE, 2, FALSE) )</f>
        <v/>
      </c>
      <c r="G73" s="4" t="str">
        <f>IF($B73="","",  VLOOKUP($B73, Propostas!$B:$BE, 3, FALSE) )</f>
        <v/>
      </c>
      <c r="H73" s="4" t="str">
        <f>IF($B73="","",  VLOOKUP($B73, Propostas!$B:$BE, 4, FALSE) )</f>
        <v/>
      </c>
      <c r="I73" s="4" t="str">
        <f>IF($B73="","",  VLOOKUP($B73, Propostas!$B:$BE, 38, FALSE) )</f>
        <v/>
      </c>
      <c r="J73" s="13" t="str">
        <f>IF($B73="","",IF($C73="SIM", "&lt; INFRRAESTRUTURA &gt;", VLOOKUP($B73,Propostas!$B:$BE,41,FALSE)))</f>
        <v/>
      </c>
      <c r="K73" s="10" t="str">
        <f>IF($B73="","",  VLOOKUP($B73, Propostas!$B:$BE, 40, FALSE) )</f>
        <v/>
      </c>
      <c r="L73" s="10" t="str">
        <f>IF($B73="","",IF(VLOOKUP($B73,Propostas!$B:$BE,21,FALSE)=1,"B",IF(VLOOKUP($B73,Propostas!$B:$BE,21,FALSE)=2,"E","N")))</f>
        <v/>
      </c>
      <c r="M73" s="31" t="str">
        <f>IF($B73 = "", "",  VLOOKUP($B73, Propostas!$B:$BE, 46, FALSE) )</f>
        <v/>
      </c>
      <c r="N73" s="31" t="str">
        <f>IF($B73 = "", "",  VLOOKUP($B73, Propostas!$B:$BE, 47, FALSE) )</f>
        <v/>
      </c>
      <c r="O73" s="13" t="str">
        <f>IF($B73="","",IF($C73="SIM", "INFRAESTRUTURA", VLOOKUP($B73, Propostas!$B:$BE,42,FALSE)))</f>
        <v/>
      </c>
      <c r="P73" s="31" t="str">
        <f>IF($B73 = "", "",  VLOOKUP($B73, Propostas!$B:$BE, 49, FALSE) )</f>
        <v/>
      </c>
      <c r="Q73" s="13" t="str">
        <f>IF($B73="","",  VLOOKUP($B73, Propostas!$B:$BE, 39, FALSE) )</f>
        <v/>
      </c>
      <c r="R73" s="62" t="str">
        <f>IF($B73="","",  VLOOKUP($B73, Propostas!$B:$BE, 43, FALSE) )</f>
        <v/>
      </c>
      <c r="S73" s="62" t="str">
        <f>IF($B73="","",  VLOOKUP($B73, Propostas!$B:$BE, 44, FALSE) )</f>
        <v/>
      </c>
      <c r="T73" s="62" t="str">
        <f>IF($B73="","",  VLOOKUP($B73, Propostas!$B:$BE, 45, FALSE) )</f>
        <v/>
      </c>
      <c r="U73" s="31"/>
      <c r="V73" s="13" t="str">
        <f>IF($B73="","",  VLOOKUP($B73, Propostas!$B:$BE, 50, FALSE) )</f>
        <v/>
      </c>
      <c r="W73" s="13" t="str">
        <f>IF($B73="","",  VLOOKUP($B73, Propostas!$B:$BE, 51, FALSE) )</f>
        <v/>
      </c>
      <c r="X73" s="13" t="str">
        <f>IF($B73="","",  VLOOKUP($B73, Propostas!$B:$BE, 52, FALSE) )</f>
        <v/>
      </c>
      <c r="Y73" s="13" t="str">
        <f>IF($B73="","",  VLOOKUP($B73, Propostas!$B:$BE, 36, FALSE) )</f>
        <v/>
      </c>
      <c r="Z73" s="13" t="str">
        <f>IF($B73="","",  VLOOKUP($F73, VW_PROJETO!B:C, 2, FALSE) )</f>
        <v/>
      </c>
    </row>
    <row r="74" spans="2:26" x14ac:dyDescent="0.2">
      <c r="B74" s="2"/>
      <c r="C74" s="4" t="str">
        <f>IF($B74="","",  VLOOKUP($B74, Propostas!$B:$BE, 33, FALSE) )</f>
        <v/>
      </c>
      <c r="D74" s="4" t="str">
        <f>IF($B74="","",  VLOOKUP($B74, Propostas!$B:$BE, 34, FALSE) )</f>
        <v/>
      </c>
      <c r="E74" s="4" t="str">
        <f>IF($B74="","",  VLOOKUP($B74, Propostas!$B:$BE, 35, FALSE) )</f>
        <v/>
      </c>
      <c r="F74" s="4" t="str">
        <f>IF($B74="","",  VLOOKUP($B74, Propostas!$B:$BE, 2, FALSE) )</f>
        <v/>
      </c>
      <c r="G74" s="4" t="str">
        <f>IF($B74="","",  VLOOKUP($B74, Propostas!$B:$BE, 3, FALSE) )</f>
        <v/>
      </c>
      <c r="H74" s="4" t="str">
        <f>IF($B74="","",  VLOOKUP($B74, Propostas!$B:$BE, 4, FALSE) )</f>
        <v/>
      </c>
      <c r="I74" s="4" t="str">
        <f>IF($B74="","",  VLOOKUP($B74, Propostas!$B:$BE, 38, FALSE) )</f>
        <v/>
      </c>
      <c r="J74" s="13" t="str">
        <f>IF($B74="","",IF($C74="SIM", "&lt; INFRRAESTRUTURA &gt;", VLOOKUP($B74,Propostas!$B:$BE,41,FALSE)))</f>
        <v/>
      </c>
      <c r="K74" s="10" t="str">
        <f>IF($B74="","",  VLOOKUP($B74, Propostas!$B:$BE, 40, FALSE) )</f>
        <v/>
      </c>
      <c r="L74" s="10" t="str">
        <f>IF($B74="","",IF(VLOOKUP($B74,Propostas!$B:$BE,21,FALSE)=1,"B",IF(VLOOKUP($B74,Propostas!$B:$BE,21,FALSE)=2,"E","N")))</f>
        <v/>
      </c>
      <c r="M74" s="31" t="str">
        <f>IF($B74 = "", "",  VLOOKUP($B74, Propostas!$B:$BE, 46, FALSE) )</f>
        <v/>
      </c>
      <c r="N74" s="31" t="str">
        <f>IF($B74 = "", "",  VLOOKUP($B74, Propostas!$B:$BE, 47, FALSE) )</f>
        <v/>
      </c>
      <c r="O74" s="13" t="str">
        <f>IF($B74="","",IF($C74="SIM", "INFRAESTRUTURA", VLOOKUP($B74, Propostas!$B:$BE,42,FALSE)))</f>
        <v/>
      </c>
      <c r="P74" s="31" t="str">
        <f>IF($B74 = "", "",  VLOOKUP($B74, Propostas!$B:$BE, 49, FALSE) )</f>
        <v/>
      </c>
      <c r="Q74" s="13" t="str">
        <f>IF($B74="","",  VLOOKUP($B74, Propostas!$B:$BE, 39, FALSE) )</f>
        <v/>
      </c>
      <c r="R74" s="62" t="str">
        <f>IF($B74="","",  VLOOKUP($B74, Propostas!$B:$BE, 43, FALSE) )</f>
        <v/>
      </c>
      <c r="S74" s="62" t="str">
        <f>IF($B74="","",  VLOOKUP($B74, Propostas!$B:$BE, 44, FALSE) )</f>
        <v/>
      </c>
      <c r="T74" s="62" t="str">
        <f>IF($B74="","",  VLOOKUP($B74, Propostas!$B:$BE, 45, FALSE) )</f>
        <v/>
      </c>
      <c r="U74" s="31"/>
      <c r="V74" s="13" t="str">
        <f>IF($B74="","",  VLOOKUP($B74, Propostas!$B:$BE, 50, FALSE) )</f>
        <v/>
      </c>
      <c r="W74" s="13" t="str">
        <f>IF($B74="","",  VLOOKUP($B74, Propostas!$B:$BE, 51, FALSE) )</f>
        <v/>
      </c>
      <c r="X74" s="13" t="str">
        <f>IF($B74="","",  VLOOKUP($B74, Propostas!$B:$BE, 52, FALSE) )</f>
        <v/>
      </c>
      <c r="Y74" s="13" t="str">
        <f>IF($B74="","",  VLOOKUP($B74, Propostas!$B:$BE, 36, FALSE) )</f>
        <v/>
      </c>
      <c r="Z74" s="13" t="str">
        <f>IF($B74="","",  VLOOKUP($F74, VW_PROJETO!B:C, 2, FALSE) )</f>
        <v/>
      </c>
    </row>
    <row r="75" spans="2:26" x14ac:dyDescent="0.2">
      <c r="B75" s="2"/>
      <c r="C75" s="4" t="str">
        <f>IF($B75="","",  VLOOKUP($B75, Propostas!$B:$BE, 33, FALSE) )</f>
        <v/>
      </c>
      <c r="D75" s="4" t="str">
        <f>IF($B75="","",  VLOOKUP($B75, Propostas!$B:$BE, 34, FALSE) )</f>
        <v/>
      </c>
      <c r="E75" s="4" t="str">
        <f>IF($B75="","",  VLOOKUP($B75, Propostas!$B:$BE, 35, FALSE) )</f>
        <v/>
      </c>
      <c r="F75" s="4" t="str">
        <f>IF($B75="","",  VLOOKUP($B75, Propostas!$B:$BE, 2, FALSE) )</f>
        <v/>
      </c>
      <c r="G75" s="4" t="str">
        <f>IF($B75="","",  VLOOKUP($B75, Propostas!$B:$BE, 3, FALSE) )</f>
        <v/>
      </c>
      <c r="H75" s="4" t="str">
        <f>IF($B75="","",  VLOOKUP($B75, Propostas!$B:$BE, 4, FALSE) )</f>
        <v/>
      </c>
      <c r="I75" s="4" t="str">
        <f>IF($B75="","",  VLOOKUP($B75, Propostas!$B:$BE, 38, FALSE) )</f>
        <v/>
      </c>
      <c r="J75" s="13" t="str">
        <f>IF($B75="","",IF($C75="SIM", "&lt; INFRRAESTRUTURA &gt;", VLOOKUP($B75,Propostas!$B:$BE,41,FALSE)))</f>
        <v/>
      </c>
      <c r="K75" s="10" t="str">
        <f>IF($B75="","",  VLOOKUP($B75, Propostas!$B:$BE, 40, FALSE) )</f>
        <v/>
      </c>
      <c r="L75" s="10" t="str">
        <f>IF($B75="","",IF(VLOOKUP($B75,Propostas!$B:$BE,21,FALSE)=1,"B",IF(VLOOKUP($B75,Propostas!$B:$BE,21,FALSE)=2,"E","N")))</f>
        <v/>
      </c>
      <c r="M75" s="31" t="str">
        <f>IF($B75 = "", "",  VLOOKUP($B75, Propostas!$B:$BE, 46, FALSE) )</f>
        <v/>
      </c>
      <c r="N75" s="31" t="str">
        <f>IF($B75 = "", "",  VLOOKUP($B75, Propostas!$B:$BE, 47, FALSE) )</f>
        <v/>
      </c>
      <c r="O75" s="13" t="str">
        <f>IF($B75="","",IF($C75="SIM", "INFRAESTRUTURA", VLOOKUP($B75, Propostas!$B:$BE,42,FALSE)))</f>
        <v/>
      </c>
      <c r="P75" s="31" t="str">
        <f>IF($B75 = "", "",  VLOOKUP($B75, Propostas!$B:$BE, 49, FALSE) )</f>
        <v/>
      </c>
      <c r="Q75" s="13" t="str">
        <f>IF($B75="","",  VLOOKUP($B75, Propostas!$B:$BE, 39, FALSE) )</f>
        <v/>
      </c>
      <c r="R75" s="62" t="str">
        <f>IF($B75="","",  VLOOKUP($B75, Propostas!$B:$BE, 43, FALSE) )</f>
        <v/>
      </c>
      <c r="S75" s="62" t="str">
        <f>IF($B75="","",  VLOOKUP($B75, Propostas!$B:$BE, 44, FALSE) )</f>
        <v/>
      </c>
      <c r="T75" s="62" t="str">
        <f>IF($B75="","",  VLOOKUP($B75, Propostas!$B:$BE, 45, FALSE) )</f>
        <v/>
      </c>
      <c r="U75" s="31"/>
      <c r="V75" s="13" t="str">
        <f>IF($B75="","",  VLOOKUP($B75, Propostas!$B:$BE, 50, FALSE) )</f>
        <v/>
      </c>
      <c r="W75" s="13" t="str">
        <f>IF($B75="","",  VLOOKUP($B75, Propostas!$B:$BE, 51, FALSE) )</f>
        <v/>
      </c>
      <c r="X75" s="13" t="str">
        <f>IF($B75="","",  VLOOKUP($B75, Propostas!$B:$BE, 52, FALSE) )</f>
        <v/>
      </c>
      <c r="Y75" s="13" t="str">
        <f>IF($B75="","",  VLOOKUP($B75, Propostas!$B:$BE, 36, FALSE) )</f>
        <v/>
      </c>
      <c r="Z75" s="13" t="str">
        <f>IF($B75="","",  VLOOKUP($F75, VW_PROJETO!B:C, 2, FALSE) )</f>
        <v/>
      </c>
    </row>
    <row r="76" spans="2:26" x14ac:dyDescent="0.2">
      <c r="B76" s="2"/>
      <c r="C76" s="4" t="str">
        <f>IF($B76="","",  VLOOKUP($B76, Propostas!$B:$BE, 33, FALSE) )</f>
        <v/>
      </c>
      <c r="D76" s="4" t="str">
        <f>IF($B76="","",  VLOOKUP($B76, Propostas!$B:$BE, 34, FALSE) )</f>
        <v/>
      </c>
      <c r="E76" s="4" t="str">
        <f>IF($B76="","",  VLOOKUP($B76, Propostas!$B:$BE, 35, FALSE) )</f>
        <v/>
      </c>
      <c r="F76" s="4" t="str">
        <f>IF($B76="","",  VLOOKUP($B76, Propostas!$B:$BE, 2, FALSE) )</f>
        <v/>
      </c>
      <c r="G76" s="4" t="str">
        <f>IF($B76="","",  VLOOKUP($B76, Propostas!$B:$BE, 3, FALSE) )</f>
        <v/>
      </c>
      <c r="H76" s="4" t="str">
        <f>IF($B76="","",  VLOOKUP($B76, Propostas!$B:$BE, 4, FALSE) )</f>
        <v/>
      </c>
      <c r="I76" s="4" t="str">
        <f>IF($B76="","",  VLOOKUP($B76, Propostas!$B:$BE, 38, FALSE) )</f>
        <v/>
      </c>
      <c r="J76" s="13" t="str">
        <f>IF($B76="","",IF($C76="SIM", "&lt; INFRRAESTRUTURA &gt;", VLOOKUP($B76,Propostas!$B:$BE,41,FALSE)))</f>
        <v/>
      </c>
      <c r="K76" s="10" t="str">
        <f>IF($B76="","",  VLOOKUP($B76, Propostas!$B:$BE, 40, FALSE) )</f>
        <v/>
      </c>
      <c r="L76" s="10" t="str">
        <f>IF($B76="","",IF(VLOOKUP($B76,Propostas!$B:$BE,21,FALSE)=1,"B",IF(VLOOKUP($B76,Propostas!$B:$BE,21,FALSE)=2,"E","N")))</f>
        <v/>
      </c>
      <c r="M76" s="31" t="str">
        <f>IF($B76 = "", "",  VLOOKUP($B76, Propostas!$B:$BE, 46, FALSE) )</f>
        <v/>
      </c>
      <c r="N76" s="31" t="str">
        <f>IF($B76 = "", "",  VLOOKUP($B76, Propostas!$B:$BE, 47, FALSE) )</f>
        <v/>
      </c>
      <c r="O76" s="13" t="str">
        <f>IF($B76="","",IF($C76="SIM", "INFRAESTRUTURA", VLOOKUP($B76, Propostas!$B:$BE,42,FALSE)))</f>
        <v/>
      </c>
      <c r="P76" s="31" t="str">
        <f>IF($B76 = "", "",  VLOOKUP($B76, Propostas!$B:$BE, 49, FALSE) )</f>
        <v/>
      </c>
      <c r="Q76" s="13" t="str">
        <f>IF($B76="","",  VLOOKUP($B76, Propostas!$B:$BE, 39, FALSE) )</f>
        <v/>
      </c>
      <c r="R76" s="62" t="str">
        <f>IF($B76="","",  VLOOKUP($B76, Propostas!$B:$BE, 43, FALSE) )</f>
        <v/>
      </c>
      <c r="S76" s="62" t="str">
        <f>IF($B76="","",  VLOOKUP($B76, Propostas!$B:$BE, 44, FALSE) )</f>
        <v/>
      </c>
      <c r="T76" s="62" t="str">
        <f>IF($B76="","",  VLOOKUP($B76, Propostas!$B:$BE, 45, FALSE) )</f>
        <v/>
      </c>
      <c r="U76" s="31"/>
      <c r="V76" s="13" t="str">
        <f>IF($B76="","",  VLOOKUP($B76, Propostas!$B:$BE, 50, FALSE) )</f>
        <v/>
      </c>
      <c r="W76" s="13" t="str">
        <f>IF($B76="","",  VLOOKUP($B76, Propostas!$B:$BE, 51, FALSE) )</f>
        <v/>
      </c>
      <c r="X76" s="13" t="str">
        <f>IF($B76="","",  VLOOKUP($B76, Propostas!$B:$BE, 52, FALSE) )</f>
        <v/>
      </c>
      <c r="Y76" s="13" t="str">
        <f>IF($B76="","",  VLOOKUP($B76, Propostas!$B:$BE, 36, FALSE) )</f>
        <v/>
      </c>
      <c r="Z76" s="13" t="str">
        <f>IF($B76="","",  VLOOKUP($F76, VW_PROJETO!B:C, 2, FALSE) )</f>
        <v/>
      </c>
    </row>
    <row r="77" spans="2:26" x14ac:dyDescent="0.2">
      <c r="B77" s="2"/>
      <c r="C77" s="4" t="str">
        <f>IF($B77="","",  VLOOKUP($B77, Propostas!$B:$BE, 33, FALSE) )</f>
        <v/>
      </c>
      <c r="D77" s="4" t="str">
        <f>IF($B77="","",  VLOOKUP($B77, Propostas!$B:$BE, 34, FALSE) )</f>
        <v/>
      </c>
      <c r="E77" s="4" t="str">
        <f>IF($B77="","",  VLOOKUP($B77, Propostas!$B:$BE, 35, FALSE) )</f>
        <v/>
      </c>
      <c r="F77" s="4" t="str">
        <f>IF($B77="","",  VLOOKUP($B77, Propostas!$B:$BE, 2, FALSE) )</f>
        <v/>
      </c>
      <c r="G77" s="4" t="str">
        <f>IF($B77="","",  VLOOKUP($B77, Propostas!$B:$BE, 3, FALSE) )</f>
        <v/>
      </c>
      <c r="H77" s="4" t="str">
        <f>IF($B77="","",  VLOOKUP($B77, Propostas!$B:$BE, 4, FALSE) )</f>
        <v/>
      </c>
      <c r="I77" s="4" t="str">
        <f>IF($B77="","",  VLOOKUP($B77, Propostas!$B:$BE, 38, FALSE) )</f>
        <v/>
      </c>
      <c r="J77" s="13" t="str">
        <f>IF($B77="","",IF($C77="SIM", "&lt; INFRRAESTRUTURA &gt;", VLOOKUP($B77,Propostas!$B:$BE,41,FALSE)))</f>
        <v/>
      </c>
      <c r="K77" s="10" t="str">
        <f>IF($B77="","",  VLOOKUP($B77, Propostas!$B:$BE, 40, FALSE) )</f>
        <v/>
      </c>
      <c r="L77" s="10" t="str">
        <f>IF($B77="","",IF(VLOOKUP($B77,Propostas!$B:$BE,21,FALSE)=1,"B",IF(VLOOKUP($B77,Propostas!$B:$BE,21,FALSE)=2,"E","N")))</f>
        <v/>
      </c>
      <c r="M77" s="31" t="str">
        <f>IF($B77 = "", "",  VLOOKUP($B77, Propostas!$B:$BE, 46, FALSE) )</f>
        <v/>
      </c>
      <c r="N77" s="31" t="str">
        <f>IF($B77 = "", "",  VLOOKUP($B77, Propostas!$B:$BE, 47, FALSE) )</f>
        <v/>
      </c>
      <c r="O77" s="13" t="str">
        <f>IF($B77="","",IF($C77="SIM", "INFRAESTRUTURA", VLOOKUP($B77, Propostas!$B:$BE,42,FALSE)))</f>
        <v/>
      </c>
      <c r="P77" s="31" t="str">
        <f>IF($B77 = "", "",  VLOOKUP($B77, Propostas!$B:$BE, 49, FALSE) )</f>
        <v/>
      </c>
      <c r="Q77" s="13" t="str">
        <f>IF($B77="","",  VLOOKUP($B77, Propostas!$B:$BE, 39, FALSE) )</f>
        <v/>
      </c>
      <c r="R77" s="62" t="str">
        <f>IF($B77="","",  VLOOKUP($B77, Propostas!$B:$BE, 43, FALSE) )</f>
        <v/>
      </c>
      <c r="S77" s="62" t="str">
        <f>IF($B77="","",  VLOOKUP($B77, Propostas!$B:$BE, 44, FALSE) )</f>
        <v/>
      </c>
      <c r="T77" s="62" t="str">
        <f>IF($B77="","",  VLOOKUP($B77, Propostas!$B:$BE, 45, FALSE) )</f>
        <v/>
      </c>
      <c r="U77" s="31"/>
      <c r="V77" s="13" t="str">
        <f>IF($B77="","",  VLOOKUP($B77, Propostas!$B:$BE, 50, FALSE) )</f>
        <v/>
      </c>
      <c r="W77" s="13" t="str">
        <f>IF($B77="","",  VLOOKUP($B77, Propostas!$B:$BE, 51, FALSE) )</f>
        <v/>
      </c>
      <c r="X77" s="13" t="str">
        <f>IF($B77="","",  VLOOKUP($B77, Propostas!$B:$BE, 52, FALSE) )</f>
        <v/>
      </c>
      <c r="Y77" s="13" t="str">
        <f>IF($B77="","",  VLOOKUP($B77, Propostas!$B:$BE, 36, FALSE) )</f>
        <v/>
      </c>
      <c r="Z77" s="13" t="str">
        <f>IF($B77="","",  VLOOKUP($F77, VW_PROJETO!B:C, 2, FALSE) )</f>
        <v/>
      </c>
    </row>
    <row r="78" spans="2:26" x14ac:dyDescent="0.2">
      <c r="B78" s="2"/>
      <c r="C78" s="4" t="str">
        <f>IF($B78="","",  VLOOKUP($B78, Propostas!$B:$BE, 33, FALSE) )</f>
        <v/>
      </c>
      <c r="D78" s="4" t="str">
        <f>IF($B78="","",  VLOOKUP($B78, Propostas!$B:$BE, 34, FALSE) )</f>
        <v/>
      </c>
      <c r="E78" s="4" t="str">
        <f>IF($B78="","",  VLOOKUP($B78, Propostas!$B:$BE, 35, FALSE) )</f>
        <v/>
      </c>
      <c r="F78" s="4" t="str">
        <f>IF($B78="","",  VLOOKUP($B78, Propostas!$B:$BE, 2, FALSE) )</f>
        <v/>
      </c>
      <c r="G78" s="4" t="str">
        <f>IF($B78="","",  VLOOKUP($B78, Propostas!$B:$BE, 3, FALSE) )</f>
        <v/>
      </c>
      <c r="H78" s="4" t="str">
        <f>IF($B78="","",  VLOOKUP($B78, Propostas!$B:$BE, 4, FALSE) )</f>
        <v/>
      </c>
      <c r="I78" s="4" t="str">
        <f>IF($B78="","",  VLOOKUP($B78, Propostas!$B:$BE, 38, FALSE) )</f>
        <v/>
      </c>
      <c r="J78" s="13" t="str">
        <f>IF($B78="","",IF($C78="SIM", "&lt; INFRRAESTRUTURA &gt;", VLOOKUP($B78,Propostas!$B:$BE,41,FALSE)))</f>
        <v/>
      </c>
      <c r="K78" s="10" t="str">
        <f>IF($B78="","",  VLOOKUP($B78, Propostas!$B:$BE, 40, FALSE) )</f>
        <v/>
      </c>
      <c r="L78" s="10" t="str">
        <f>IF($B78="","",IF(VLOOKUP($B78,Propostas!$B:$BE,21,FALSE)=1,"B",IF(VLOOKUP($B78,Propostas!$B:$BE,21,FALSE)=2,"E","N")))</f>
        <v/>
      </c>
      <c r="M78" s="31" t="str">
        <f>IF($B78 = "", "",  VLOOKUP($B78, Propostas!$B:$BE, 46, FALSE) )</f>
        <v/>
      </c>
      <c r="N78" s="31" t="str">
        <f>IF($B78 = "", "",  VLOOKUP($B78, Propostas!$B:$BE, 47, FALSE) )</f>
        <v/>
      </c>
      <c r="O78" s="13" t="str">
        <f>IF($B78="","",IF($C78="SIM", "INFRAESTRUTURA", VLOOKUP($B78, Propostas!$B:$BE,42,FALSE)))</f>
        <v/>
      </c>
      <c r="P78" s="31" t="str">
        <f>IF($B78 = "", "",  VLOOKUP($B78, Propostas!$B:$BE, 49, FALSE) )</f>
        <v/>
      </c>
      <c r="Q78" s="13" t="str">
        <f>IF($B78="","",  VLOOKUP($B78, Propostas!$B:$BE, 39, FALSE) )</f>
        <v/>
      </c>
      <c r="R78" s="62" t="str">
        <f>IF($B78="","",  VLOOKUP($B78, Propostas!$B:$BE, 43, FALSE) )</f>
        <v/>
      </c>
      <c r="S78" s="62" t="str">
        <f>IF($B78="","",  VLOOKUP($B78, Propostas!$B:$BE, 44, FALSE) )</f>
        <v/>
      </c>
      <c r="T78" s="62" t="str">
        <f>IF($B78="","",  VLOOKUP($B78, Propostas!$B:$BE, 45, FALSE) )</f>
        <v/>
      </c>
      <c r="U78" s="31"/>
      <c r="V78" s="13" t="str">
        <f>IF($B78="","",  VLOOKUP($B78, Propostas!$B:$BE, 50, FALSE) )</f>
        <v/>
      </c>
      <c r="W78" s="13" t="str">
        <f>IF($B78="","",  VLOOKUP($B78, Propostas!$B:$BE, 51, FALSE) )</f>
        <v/>
      </c>
      <c r="X78" s="13" t="str">
        <f>IF($B78="","",  VLOOKUP($B78, Propostas!$B:$BE, 52, FALSE) )</f>
        <v/>
      </c>
      <c r="Y78" s="13" t="str">
        <f>IF($B78="","",  VLOOKUP($B78, Propostas!$B:$BE, 36, FALSE) )</f>
        <v/>
      </c>
      <c r="Z78" s="13" t="str">
        <f>IF($B78="","",  VLOOKUP($F78, VW_PROJETO!B:C, 2, FALSE) )</f>
        <v/>
      </c>
    </row>
    <row r="79" spans="2:26" x14ac:dyDescent="0.2">
      <c r="B79" s="2"/>
      <c r="C79" s="4" t="str">
        <f>IF($B79="","",  VLOOKUP($B79, Propostas!$B:$BE, 33, FALSE) )</f>
        <v/>
      </c>
      <c r="D79" s="4" t="str">
        <f>IF($B79="","",  VLOOKUP($B79, Propostas!$B:$BE, 34, FALSE) )</f>
        <v/>
      </c>
      <c r="E79" s="4" t="str">
        <f>IF($B79="","",  VLOOKUP($B79, Propostas!$B:$BE, 35, FALSE) )</f>
        <v/>
      </c>
      <c r="F79" s="4" t="str">
        <f>IF($B79="","",  VLOOKUP($B79, Propostas!$B:$BE, 2, FALSE) )</f>
        <v/>
      </c>
      <c r="G79" s="4" t="str">
        <f>IF($B79="","",  VLOOKUP($B79, Propostas!$B:$BE, 3, FALSE) )</f>
        <v/>
      </c>
      <c r="H79" s="4" t="str">
        <f>IF($B79="","",  VLOOKUP($B79, Propostas!$B:$BE, 4, FALSE) )</f>
        <v/>
      </c>
      <c r="I79" s="4" t="str">
        <f>IF($B79="","",  VLOOKUP($B79, Propostas!$B:$BE, 38, FALSE) )</f>
        <v/>
      </c>
      <c r="J79" s="13" t="str">
        <f>IF($B79="","",IF($C79="SIM", "&lt; INFRRAESTRUTURA &gt;", VLOOKUP($B79,Propostas!$B:$BE,41,FALSE)))</f>
        <v/>
      </c>
      <c r="K79" s="10" t="str">
        <f>IF($B79="","",  VLOOKUP($B79, Propostas!$B:$BE, 40, FALSE) )</f>
        <v/>
      </c>
      <c r="L79" s="10" t="str">
        <f>IF($B79="","",IF(VLOOKUP($B79,Propostas!$B:$BE,21,FALSE)=1,"B",IF(VLOOKUP($B79,Propostas!$B:$BE,21,FALSE)=2,"E","N")))</f>
        <v/>
      </c>
      <c r="M79" s="31" t="str">
        <f>IF($B79 = "", "",  VLOOKUP($B79, Propostas!$B:$BE, 46, FALSE) )</f>
        <v/>
      </c>
      <c r="N79" s="31" t="str">
        <f>IF($B79 = "", "",  VLOOKUP($B79, Propostas!$B:$BE, 47, FALSE) )</f>
        <v/>
      </c>
      <c r="O79" s="13" t="str">
        <f>IF($B79="","",IF($C79="SIM", "INFRAESTRUTURA", VLOOKUP($B79, Propostas!$B:$BE,42,FALSE)))</f>
        <v/>
      </c>
      <c r="P79" s="31" t="str">
        <f>IF($B79 = "", "",  VLOOKUP($B79, Propostas!$B:$BE, 49, FALSE) )</f>
        <v/>
      </c>
      <c r="Q79" s="13" t="str">
        <f>IF($B79="","",  VLOOKUP($B79, Propostas!$B:$BE, 39, FALSE) )</f>
        <v/>
      </c>
      <c r="R79" s="62" t="str">
        <f>IF($B79="","",  VLOOKUP($B79, Propostas!$B:$BE, 43, FALSE) )</f>
        <v/>
      </c>
      <c r="S79" s="62" t="str">
        <f>IF($B79="","",  VLOOKUP($B79, Propostas!$B:$BE, 44, FALSE) )</f>
        <v/>
      </c>
      <c r="T79" s="62" t="str">
        <f>IF($B79="","",  VLOOKUP($B79, Propostas!$B:$BE, 45, FALSE) )</f>
        <v/>
      </c>
      <c r="U79" s="31"/>
      <c r="V79" s="13" t="str">
        <f>IF($B79="","",  VLOOKUP($B79, Propostas!$B:$BE, 50, FALSE) )</f>
        <v/>
      </c>
      <c r="W79" s="13" t="str">
        <f>IF($B79="","",  VLOOKUP($B79, Propostas!$B:$BE, 51, FALSE) )</f>
        <v/>
      </c>
      <c r="X79" s="13" t="str">
        <f>IF($B79="","",  VLOOKUP($B79, Propostas!$B:$BE, 52, FALSE) )</f>
        <v/>
      </c>
      <c r="Y79" s="13" t="str">
        <f>IF($B79="","",  VLOOKUP($B79, Propostas!$B:$BE, 36, FALSE) )</f>
        <v/>
      </c>
      <c r="Z79" s="13" t="str">
        <f>IF($B79="","",  VLOOKUP($F79, VW_PROJETO!B:C, 2, FALSE) )</f>
        <v/>
      </c>
    </row>
    <row r="80" spans="2:26" x14ac:dyDescent="0.2">
      <c r="B80" s="2"/>
      <c r="C80" s="4" t="str">
        <f>IF($B80="","",  VLOOKUP($B80, Propostas!$B:$BE, 33, FALSE) )</f>
        <v/>
      </c>
      <c r="D80" s="4" t="str">
        <f>IF($B80="","",  VLOOKUP($B80, Propostas!$B:$BE, 34, FALSE) )</f>
        <v/>
      </c>
      <c r="E80" s="4" t="str">
        <f>IF($B80="","",  VLOOKUP($B80, Propostas!$B:$BE, 35, FALSE) )</f>
        <v/>
      </c>
      <c r="F80" s="4" t="str">
        <f>IF($B80="","",  VLOOKUP($B80, Propostas!$B:$BE, 2, FALSE) )</f>
        <v/>
      </c>
      <c r="G80" s="4" t="str">
        <f>IF($B80="","",  VLOOKUP($B80, Propostas!$B:$BE, 3, FALSE) )</f>
        <v/>
      </c>
      <c r="H80" s="4" t="str">
        <f>IF($B80="","",  VLOOKUP($B80, Propostas!$B:$BE, 4, FALSE) )</f>
        <v/>
      </c>
      <c r="I80" s="4" t="str">
        <f>IF($B80="","",  VLOOKUP($B80, Propostas!$B:$BE, 38, FALSE) )</f>
        <v/>
      </c>
      <c r="J80" s="13" t="str">
        <f>IF($B80="","",IF($C80="SIM", "&lt; INFRRAESTRUTURA &gt;", VLOOKUP($B80,Propostas!$B:$BE,41,FALSE)))</f>
        <v/>
      </c>
      <c r="K80" s="10" t="str">
        <f>IF($B80="","",  VLOOKUP($B80, Propostas!$B:$BE, 40, FALSE) )</f>
        <v/>
      </c>
      <c r="L80" s="10" t="str">
        <f>IF($B80="","",IF(VLOOKUP($B80,Propostas!$B:$BE,21,FALSE)=1,"B",IF(VLOOKUP($B80,Propostas!$B:$BE,21,FALSE)=2,"E","N")))</f>
        <v/>
      </c>
      <c r="M80" s="31" t="str">
        <f>IF($B80 = "", "",  VLOOKUP($B80, Propostas!$B:$BE, 46, FALSE) )</f>
        <v/>
      </c>
      <c r="N80" s="31" t="str">
        <f>IF($B80 = "", "",  VLOOKUP($B80, Propostas!$B:$BE, 47, FALSE) )</f>
        <v/>
      </c>
      <c r="O80" s="13" t="str">
        <f>IF($B80="","",IF($C80="SIM", "INFRAESTRUTURA", VLOOKUP($B80, Propostas!$B:$BE,42,FALSE)))</f>
        <v/>
      </c>
      <c r="P80" s="31" t="str">
        <f>IF($B80 = "", "",  VLOOKUP($B80, Propostas!$B:$BE, 49, FALSE) )</f>
        <v/>
      </c>
      <c r="Q80" s="13" t="str">
        <f>IF($B80="","",  VLOOKUP($B80, Propostas!$B:$BE, 39, FALSE) )</f>
        <v/>
      </c>
      <c r="R80" s="62" t="str">
        <f>IF($B80="","",  VLOOKUP($B80, Propostas!$B:$BE, 43, FALSE) )</f>
        <v/>
      </c>
      <c r="S80" s="62" t="str">
        <f>IF($B80="","",  VLOOKUP($B80, Propostas!$B:$BE, 44, FALSE) )</f>
        <v/>
      </c>
      <c r="T80" s="62" t="str">
        <f>IF($B80="","",  VLOOKUP($B80, Propostas!$B:$BE, 45, FALSE) )</f>
        <v/>
      </c>
      <c r="U80" s="31"/>
      <c r="V80" s="13" t="str">
        <f>IF($B80="","",  VLOOKUP($B80, Propostas!$B:$BE, 50, FALSE) )</f>
        <v/>
      </c>
      <c r="W80" s="13" t="str">
        <f>IF($B80="","",  VLOOKUP($B80, Propostas!$B:$BE, 51, FALSE) )</f>
        <v/>
      </c>
      <c r="X80" s="13" t="str">
        <f>IF($B80="","",  VLOOKUP($B80, Propostas!$B:$BE, 52, FALSE) )</f>
        <v/>
      </c>
      <c r="Y80" s="13" t="str">
        <f>IF($B80="","",  VLOOKUP($B80, Propostas!$B:$BE, 36, FALSE) )</f>
        <v/>
      </c>
      <c r="Z80" s="13" t="str">
        <f>IF($B80="","",  VLOOKUP($F80, VW_PROJETO!B:C, 2, FALSE) )</f>
        <v/>
      </c>
    </row>
    <row r="81" spans="2:26" x14ac:dyDescent="0.2">
      <c r="B81" s="2"/>
      <c r="C81" s="4" t="str">
        <f>IF($B81="","",  VLOOKUP($B81, Propostas!$B:$BE, 33, FALSE) )</f>
        <v/>
      </c>
      <c r="D81" s="4" t="str">
        <f>IF($B81="","",  VLOOKUP($B81, Propostas!$B:$BE, 34, FALSE) )</f>
        <v/>
      </c>
      <c r="E81" s="4" t="str">
        <f>IF($B81="","",  VLOOKUP($B81, Propostas!$B:$BE, 35, FALSE) )</f>
        <v/>
      </c>
      <c r="F81" s="4" t="str">
        <f>IF($B81="","",  VLOOKUP($B81, Propostas!$B:$BE, 2, FALSE) )</f>
        <v/>
      </c>
      <c r="G81" s="4" t="str">
        <f>IF($B81="","",  VLOOKUP($B81, Propostas!$B:$BE, 3, FALSE) )</f>
        <v/>
      </c>
      <c r="H81" s="4" t="str">
        <f>IF($B81="","",  VLOOKUP($B81, Propostas!$B:$BE, 4, FALSE) )</f>
        <v/>
      </c>
      <c r="I81" s="4" t="str">
        <f>IF($B81="","",  VLOOKUP($B81, Propostas!$B:$BE, 38, FALSE) )</f>
        <v/>
      </c>
      <c r="J81" s="13" t="str">
        <f>IF($B81="","",IF($C81="SIM", "&lt; INFRRAESTRUTURA &gt;", VLOOKUP($B81,Propostas!$B:$BE,41,FALSE)))</f>
        <v/>
      </c>
      <c r="K81" s="10" t="str">
        <f>IF($B81="","",  VLOOKUP($B81, Propostas!$B:$BE, 40, FALSE) )</f>
        <v/>
      </c>
      <c r="L81" s="10" t="str">
        <f>IF($B81="","",IF(VLOOKUP($B81,Propostas!$B:$BE,21,FALSE)=1,"B",IF(VLOOKUP($B81,Propostas!$B:$BE,21,FALSE)=2,"E","N")))</f>
        <v/>
      </c>
      <c r="M81" s="31" t="str">
        <f>IF($B81 = "", "",  VLOOKUP($B81, Propostas!$B:$BE, 46, FALSE) )</f>
        <v/>
      </c>
      <c r="N81" s="31" t="str">
        <f>IF($B81 = "", "",  VLOOKUP($B81, Propostas!$B:$BE, 47, FALSE) )</f>
        <v/>
      </c>
      <c r="O81" s="13" t="str">
        <f>IF($B81="","",IF($C81="SIM", "INFRAESTRUTURA", VLOOKUP($B81, Propostas!$B:$BE,42,FALSE)))</f>
        <v/>
      </c>
      <c r="P81" s="31" t="str">
        <f>IF($B81 = "", "",  VLOOKUP($B81, Propostas!$B:$BE, 49, FALSE) )</f>
        <v/>
      </c>
      <c r="Q81" s="13" t="str">
        <f>IF($B81="","",  VLOOKUP($B81, Propostas!$B:$BE, 39, FALSE) )</f>
        <v/>
      </c>
      <c r="R81" s="62" t="str">
        <f>IF($B81="","",  VLOOKUP($B81, Propostas!$B:$BE, 43, FALSE) )</f>
        <v/>
      </c>
      <c r="S81" s="62" t="str">
        <f>IF($B81="","",  VLOOKUP($B81, Propostas!$B:$BE, 44, FALSE) )</f>
        <v/>
      </c>
      <c r="T81" s="62" t="str">
        <f>IF($B81="","",  VLOOKUP($B81, Propostas!$B:$BE, 45, FALSE) )</f>
        <v/>
      </c>
      <c r="U81" s="31"/>
      <c r="V81" s="13" t="str">
        <f>IF($B81="","",  VLOOKUP($B81, Propostas!$B:$BE, 50, FALSE) )</f>
        <v/>
      </c>
      <c r="W81" s="13" t="str">
        <f>IF($B81="","",  VLOOKUP($B81, Propostas!$B:$BE, 51, FALSE) )</f>
        <v/>
      </c>
      <c r="X81" s="13" t="str">
        <f>IF($B81="","",  VLOOKUP($B81, Propostas!$B:$BE, 52, FALSE) )</f>
        <v/>
      </c>
      <c r="Y81" s="13" t="str">
        <f>IF($B81="","",  VLOOKUP($B81, Propostas!$B:$BE, 36, FALSE) )</f>
        <v/>
      </c>
      <c r="Z81" s="13" t="str">
        <f>IF($B81="","",  VLOOKUP($F81, VW_PROJETO!B:C, 2, FALSE) )</f>
        <v/>
      </c>
    </row>
    <row r="82" spans="2:26" x14ac:dyDescent="0.2">
      <c r="B82" s="2"/>
      <c r="C82" s="4" t="str">
        <f>IF($B82="","",  VLOOKUP($B82, Propostas!$B:$BE, 33, FALSE) )</f>
        <v/>
      </c>
      <c r="D82" s="4" t="str">
        <f>IF($B82="","",  VLOOKUP($B82, Propostas!$B:$BE, 34, FALSE) )</f>
        <v/>
      </c>
      <c r="E82" s="4" t="str">
        <f>IF($B82="","",  VLOOKUP($B82, Propostas!$B:$BE, 35, FALSE) )</f>
        <v/>
      </c>
      <c r="F82" s="4" t="str">
        <f>IF($B82="","",  VLOOKUP($B82, Propostas!$B:$BE, 2, FALSE) )</f>
        <v/>
      </c>
      <c r="G82" s="4" t="str">
        <f>IF($B82="","",  VLOOKUP($B82, Propostas!$B:$BE, 3, FALSE) )</f>
        <v/>
      </c>
      <c r="H82" s="4" t="str">
        <f>IF($B82="","",  VLOOKUP($B82, Propostas!$B:$BE, 4, FALSE) )</f>
        <v/>
      </c>
      <c r="I82" s="4" t="str">
        <f>IF($B82="","",  VLOOKUP($B82, Propostas!$B:$BE, 38, FALSE) )</f>
        <v/>
      </c>
      <c r="J82" s="13" t="str">
        <f>IF($B82="","",IF($C82="SIM", "&lt; INFRRAESTRUTURA &gt;", VLOOKUP($B82,Propostas!$B:$BE,41,FALSE)))</f>
        <v/>
      </c>
      <c r="K82" s="10" t="str">
        <f>IF($B82="","",  VLOOKUP($B82, Propostas!$B:$BE, 40, FALSE) )</f>
        <v/>
      </c>
      <c r="L82" s="10" t="str">
        <f>IF($B82="","",IF(VLOOKUP($B82,Propostas!$B:$BE,21,FALSE)=1,"B",IF(VLOOKUP($B82,Propostas!$B:$BE,21,FALSE)=2,"E","N")))</f>
        <v/>
      </c>
      <c r="M82" s="31" t="str">
        <f>IF($B82 = "", "",  VLOOKUP($B82, Propostas!$B:$BE, 46, FALSE) )</f>
        <v/>
      </c>
      <c r="N82" s="31" t="str">
        <f>IF($B82 = "", "",  VLOOKUP($B82, Propostas!$B:$BE, 47, FALSE) )</f>
        <v/>
      </c>
      <c r="O82" s="13" t="str">
        <f>IF($B82="","",IF($C82="SIM", "INFRAESTRUTURA", VLOOKUP($B82, Propostas!$B:$BE,42,FALSE)))</f>
        <v/>
      </c>
      <c r="P82" s="31" t="str">
        <f>IF($B82 = "", "",  VLOOKUP($B82, Propostas!$B:$BE, 49, FALSE) )</f>
        <v/>
      </c>
      <c r="Q82" s="13" t="str">
        <f>IF($B82="","",  VLOOKUP($B82, Propostas!$B:$BE, 39, FALSE) )</f>
        <v/>
      </c>
      <c r="R82" s="62" t="str">
        <f>IF($B82="","",  VLOOKUP($B82, Propostas!$B:$BE, 43, FALSE) )</f>
        <v/>
      </c>
      <c r="S82" s="62" t="str">
        <f>IF($B82="","",  VLOOKUP($B82, Propostas!$B:$BE, 44, FALSE) )</f>
        <v/>
      </c>
      <c r="T82" s="62" t="str">
        <f>IF($B82="","",  VLOOKUP($B82, Propostas!$B:$BE, 45, FALSE) )</f>
        <v/>
      </c>
      <c r="U82" s="31"/>
      <c r="V82" s="13" t="str">
        <f>IF($B82="","",  VLOOKUP($B82, Propostas!$B:$BE, 50, FALSE) )</f>
        <v/>
      </c>
      <c r="W82" s="13" t="str">
        <f>IF($B82="","",  VLOOKUP($B82, Propostas!$B:$BE, 51, FALSE) )</f>
        <v/>
      </c>
      <c r="X82" s="13" t="str">
        <f>IF($B82="","",  VLOOKUP($B82, Propostas!$B:$BE, 52, FALSE) )</f>
        <v/>
      </c>
      <c r="Y82" s="13" t="str">
        <f>IF($B82="","",  VLOOKUP($B82, Propostas!$B:$BE, 36, FALSE) )</f>
        <v/>
      </c>
      <c r="Z82" s="13" t="str">
        <f>IF($B82="","",  VLOOKUP($F82, VW_PROJETO!B:C, 2, FALSE) )</f>
        <v/>
      </c>
    </row>
    <row r="83" spans="2:26" x14ac:dyDescent="0.2">
      <c r="B83" s="2"/>
      <c r="C83" s="4" t="str">
        <f>IF($B83="","",  VLOOKUP($B83, Propostas!$B:$BE, 33, FALSE) )</f>
        <v/>
      </c>
      <c r="D83" s="4" t="str">
        <f>IF($B83="","",  VLOOKUP($B83, Propostas!$B:$BE, 34, FALSE) )</f>
        <v/>
      </c>
      <c r="E83" s="4" t="str">
        <f>IF($B83="","",  VLOOKUP($B83, Propostas!$B:$BE, 35, FALSE) )</f>
        <v/>
      </c>
      <c r="F83" s="4" t="str">
        <f>IF($B83="","",  VLOOKUP($B83, Propostas!$B:$BE, 2, FALSE) )</f>
        <v/>
      </c>
      <c r="G83" s="4" t="str">
        <f>IF($B83="","",  VLOOKUP($B83, Propostas!$B:$BE, 3, FALSE) )</f>
        <v/>
      </c>
      <c r="H83" s="4" t="str">
        <f>IF($B83="","",  VLOOKUP($B83, Propostas!$B:$BE, 4, FALSE) )</f>
        <v/>
      </c>
      <c r="I83" s="4" t="str">
        <f>IF($B83="","",  VLOOKUP($B83, Propostas!$B:$BE, 38, FALSE) )</f>
        <v/>
      </c>
      <c r="J83" s="13" t="str">
        <f>IF($B83="","",IF($C83="SIM", "&lt; INFRRAESTRUTURA &gt;", VLOOKUP($B83,Propostas!$B:$BE,41,FALSE)))</f>
        <v/>
      </c>
      <c r="K83" s="10" t="str">
        <f>IF($B83="","",  VLOOKUP($B83, Propostas!$B:$BE, 40, FALSE) )</f>
        <v/>
      </c>
      <c r="L83" s="10" t="str">
        <f>IF($B83="","",IF(VLOOKUP($B83,Propostas!$B:$BE,21,FALSE)=1,"B",IF(VLOOKUP($B83,Propostas!$B:$BE,21,FALSE)=2,"E","N")))</f>
        <v/>
      </c>
      <c r="M83" s="31" t="str">
        <f>IF($B83 = "", "",  VLOOKUP($B83, Propostas!$B:$BE, 46, FALSE) )</f>
        <v/>
      </c>
      <c r="N83" s="31" t="str">
        <f>IF($B83 = "", "",  VLOOKUP($B83, Propostas!$B:$BE, 47, FALSE) )</f>
        <v/>
      </c>
      <c r="O83" s="13" t="str">
        <f>IF($B83="","",IF($C83="SIM", "INFRAESTRUTURA", VLOOKUP($B83, Propostas!$B:$BE,42,FALSE)))</f>
        <v/>
      </c>
      <c r="P83" s="31" t="str">
        <f>IF($B83 = "", "",  VLOOKUP($B83, Propostas!$B:$BE, 49, FALSE) )</f>
        <v/>
      </c>
      <c r="Q83" s="13" t="str">
        <f>IF($B83="","",  VLOOKUP($B83, Propostas!$B:$BE, 39, FALSE) )</f>
        <v/>
      </c>
      <c r="R83" s="62" t="str">
        <f>IF($B83="","",  VLOOKUP($B83, Propostas!$B:$BE, 43, FALSE) )</f>
        <v/>
      </c>
      <c r="S83" s="62" t="str">
        <f>IF($B83="","",  VLOOKUP($B83, Propostas!$B:$BE, 44, FALSE) )</f>
        <v/>
      </c>
      <c r="T83" s="62" t="str">
        <f>IF($B83="","",  VLOOKUP($B83, Propostas!$B:$BE, 45, FALSE) )</f>
        <v/>
      </c>
      <c r="U83" s="31"/>
      <c r="V83" s="13" t="str">
        <f>IF($B83="","",  VLOOKUP($B83, Propostas!$B:$BE, 50, FALSE) )</f>
        <v/>
      </c>
      <c r="W83" s="13" t="str">
        <f>IF($B83="","",  VLOOKUP($B83, Propostas!$B:$BE, 51, FALSE) )</f>
        <v/>
      </c>
      <c r="X83" s="13" t="str">
        <f>IF($B83="","",  VLOOKUP($B83, Propostas!$B:$BE, 52, FALSE) )</f>
        <v/>
      </c>
      <c r="Y83" s="13" t="str">
        <f>IF($B83="","",  VLOOKUP($B83, Propostas!$B:$BE, 36, FALSE) )</f>
        <v/>
      </c>
      <c r="Z83" s="13" t="str">
        <f>IF($B83="","",  VLOOKUP($F83, VW_PROJETO!B:C, 2, FALSE) )</f>
        <v/>
      </c>
    </row>
    <row r="84" spans="2:26" x14ac:dyDescent="0.2">
      <c r="B84" s="2"/>
      <c r="C84" s="4" t="str">
        <f>IF($B84="","",  VLOOKUP($B84, Propostas!$B:$BE, 33, FALSE) )</f>
        <v/>
      </c>
      <c r="D84" s="4" t="str">
        <f>IF($B84="","",  VLOOKUP($B84, Propostas!$B:$BE, 34, FALSE) )</f>
        <v/>
      </c>
      <c r="E84" s="4" t="str">
        <f>IF($B84="","",  VLOOKUP($B84, Propostas!$B:$BE, 35, FALSE) )</f>
        <v/>
      </c>
      <c r="F84" s="4" t="str">
        <f>IF($B84="","",  VLOOKUP($B84, Propostas!$B:$BE, 2, FALSE) )</f>
        <v/>
      </c>
      <c r="G84" s="4" t="str">
        <f>IF($B84="","",  VLOOKUP($B84, Propostas!$B:$BE, 3, FALSE) )</f>
        <v/>
      </c>
      <c r="H84" s="4" t="str">
        <f>IF($B84="","",  VLOOKUP($B84, Propostas!$B:$BE, 4, FALSE) )</f>
        <v/>
      </c>
      <c r="I84" s="4" t="str">
        <f>IF($B84="","",  VLOOKUP($B84, Propostas!$B:$BE, 38, FALSE) )</f>
        <v/>
      </c>
      <c r="J84" s="13" t="str">
        <f>IF($B84="","",IF($C84="SIM", "&lt; INFRRAESTRUTURA &gt;", VLOOKUP($B84,Propostas!$B:$BE,41,FALSE)))</f>
        <v/>
      </c>
      <c r="K84" s="10" t="str">
        <f>IF($B84="","",  VLOOKUP($B84, Propostas!$B:$BE, 40, FALSE) )</f>
        <v/>
      </c>
      <c r="L84" s="10" t="str">
        <f>IF($B84="","",IF(VLOOKUP($B84,Propostas!$B:$BE,21,FALSE)=1,"B",IF(VLOOKUP($B84,Propostas!$B:$BE,21,FALSE)=2,"E","N")))</f>
        <v/>
      </c>
      <c r="M84" s="31" t="str">
        <f>IF($B84 = "", "",  VLOOKUP($B84, Propostas!$B:$BE, 46, FALSE) )</f>
        <v/>
      </c>
      <c r="N84" s="31" t="str">
        <f>IF($B84 = "", "",  VLOOKUP($B84, Propostas!$B:$BE, 47, FALSE) )</f>
        <v/>
      </c>
      <c r="O84" s="13" t="str">
        <f>IF($B84="","",IF($C84="SIM", "INFRAESTRUTURA", VLOOKUP($B84, Propostas!$B:$BE,42,FALSE)))</f>
        <v/>
      </c>
      <c r="P84" s="31" t="str">
        <f>IF($B84 = "", "",  VLOOKUP($B84, Propostas!$B:$BE, 49, FALSE) )</f>
        <v/>
      </c>
      <c r="Q84" s="13" t="str">
        <f>IF($B84="","",  VLOOKUP($B84, Propostas!$B:$BE, 39, FALSE) )</f>
        <v/>
      </c>
      <c r="R84" s="62" t="str">
        <f>IF($B84="","",  VLOOKUP($B84, Propostas!$B:$BE, 43, FALSE) )</f>
        <v/>
      </c>
      <c r="S84" s="62" t="str">
        <f>IF($B84="","",  VLOOKUP($B84, Propostas!$B:$BE, 44, FALSE) )</f>
        <v/>
      </c>
      <c r="T84" s="62" t="str">
        <f>IF($B84="","",  VLOOKUP($B84, Propostas!$B:$BE, 45, FALSE) )</f>
        <v/>
      </c>
      <c r="U84" s="31"/>
      <c r="V84" s="13" t="str">
        <f>IF($B84="","",  VLOOKUP($B84, Propostas!$B:$BE, 50, FALSE) )</f>
        <v/>
      </c>
      <c r="W84" s="13" t="str">
        <f>IF($B84="","",  VLOOKUP($B84, Propostas!$B:$BE, 51, FALSE) )</f>
        <v/>
      </c>
      <c r="X84" s="13" t="str">
        <f>IF($B84="","",  VLOOKUP($B84, Propostas!$B:$BE, 52, FALSE) )</f>
        <v/>
      </c>
      <c r="Y84" s="13" t="str">
        <f>IF($B84="","",  VLOOKUP($B84, Propostas!$B:$BE, 36, FALSE) )</f>
        <v/>
      </c>
      <c r="Z84" s="13" t="str">
        <f>IF($B84="","",  VLOOKUP($F84, VW_PROJETO!B:C, 2, FALSE) )</f>
        <v/>
      </c>
    </row>
    <row r="85" spans="2:26" x14ac:dyDescent="0.2">
      <c r="B85" s="2"/>
      <c r="C85" s="4" t="str">
        <f>IF($B85="","",  VLOOKUP($B85, Propostas!$B:$BE, 33, FALSE) )</f>
        <v/>
      </c>
      <c r="D85" s="4" t="str">
        <f>IF($B85="","",  VLOOKUP($B85, Propostas!$B:$BE, 34, FALSE) )</f>
        <v/>
      </c>
      <c r="E85" s="4" t="str">
        <f>IF($B85="","",  VLOOKUP($B85, Propostas!$B:$BE, 35, FALSE) )</f>
        <v/>
      </c>
      <c r="F85" s="4" t="str">
        <f>IF($B85="","",  VLOOKUP($B85, Propostas!$B:$BE, 2, FALSE) )</f>
        <v/>
      </c>
      <c r="G85" s="4" t="str">
        <f>IF($B85="","",  VLOOKUP($B85, Propostas!$B:$BE, 3, FALSE) )</f>
        <v/>
      </c>
      <c r="H85" s="4" t="str">
        <f>IF($B85="","",  VLOOKUP($B85, Propostas!$B:$BE, 4, FALSE) )</f>
        <v/>
      </c>
      <c r="I85" s="4" t="str">
        <f>IF($B85="","",  VLOOKUP($B85, Propostas!$B:$BE, 38, FALSE) )</f>
        <v/>
      </c>
      <c r="J85" s="13" t="str">
        <f>IF($B85="","",IF($C85="SIM", "&lt; INFRRAESTRUTURA &gt;", VLOOKUP($B85,Propostas!$B:$BE,41,FALSE)))</f>
        <v/>
      </c>
      <c r="K85" s="10" t="str">
        <f>IF($B85="","",  VLOOKUP($B85, Propostas!$B:$BE, 40, FALSE) )</f>
        <v/>
      </c>
      <c r="L85" s="10" t="str">
        <f>IF($B85="","",IF(VLOOKUP($B85,Propostas!$B:$BE,21,FALSE)=1,"B",IF(VLOOKUP($B85,Propostas!$B:$BE,21,FALSE)=2,"E","N")))</f>
        <v/>
      </c>
      <c r="M85" s="31" t="str">
        <f>IF($B85 = "", "",  VLOOKUP($B85, Propostas!$B:$BE, 46, FALSE) )</f>
        <v/>
      </c>
      <c r="N85" s="31" t="str">
        <f>IF($B85 = "", "",  VLOOKUP($B85, Propostas!$B:$BE, 47, FALSE) )</f>
        <v/>
      </c>
      <c r="O85" s="13" t="str">
        <f>IF($B85="","",IF($C85="SIM", "INFRAESTRUTURA", VLOOKUP($B85, Propostas!$B:$BE,42,FALSE)))</f>
        <v/>
      </c>
      <c r="P85" s="31" t="str">
        <f>IF($B85 = "", "",  VLOOKUP($B85, Propostas!$B:$BE, 49, FALSE) )</f>
        <v/>
      </c>
      <c r="Q85" s="13" t="str">
        <f>IF($B85="","",  VLOOKUP($B85, Propostas!$B:$BE, 39, FALSE) )</f>
        <v/>
      </c>
      <c r="R85" s="62" t="str">
        <f>IF($B85="","",  VLOOKUP($B85, Propostas!$B:$BE, 43, FALSE) )</f>
        <v/>
      </c>
      <c r="S85" s="62" t="str">
        <f>IF($B85="","",  VLOOKUP($B85, Propostas!$B:$BE, 44, FALSE) )</f>
        <v/>
      </c>
      <c r="T85" s="62" t="str">
        <f>IF($B85="","",  VLOOKUP($B85, Propostas!$B:$BE, 45, FALSE) )</f>
        <v/>
      </c>
      <c r="U85" s="31"/>
      <c r="V85" s="13" t="str">
        <f>IF($B85="","",  VLOOKUP($B85, Propostas!$B:$BE, 50, FALSE) )</f>
        <v/>
      </c>
      <c r="W85" s="13" t="str">
        <f>IF($B85="","",  VLOOKUP($B85, Propostas!$B:$BE, 51, FALSE) )</f>
        <v/>
      </c>
      <c r="X85" s="13" t="str">
        <f>IF($B85="","",  VLOOKUP($B85, Propostas!$B:$BE, 52, FALSE) )</f>
        <v/>
      </c>
      <c r="Y85" s="13" t="str">
        <f>IF($B85="","",  VLOOKUP($B85, Propostas!$B:$BE, 36, FALSE) )</f>
        <v/>
      </c>
      <c r="Z85" s="13" t="str">
        <f>IF($B85="","",  VLOOKUP($F85, VW_PROJETO!B:C, 2, FALSE) )</f>
        <v/>
      </c>
    </row>
    <row r="86" spans="2:26" x14ac:dyDescent="0.2">
      <c r="B86" s="2"/>
      <c r="C86" s="4" t="str">
        <f>IF($B86="","",  VLOOKUP($B86, Propostas!$B:$BE, 33, FALSE) )</f>
        <v/>
      </c>
      <c r="D86" s="4" t="str">
        <f>IF($B86="","",  VLOOKUP($B86, Propostas!$B:$BE, 34, FALSE) )</f>
        <v/>
      </c>
      <c r="E86" s="4" t="str">
        <f>IF($B86="","",  VLOOKUP($B86, Propostas!$B:$BE, 35, FALSE) )</f>
        <v/>
      </c>
      <c r="F86" s="4" t="str">
        <f>IF($B86="","",  VLOOKUP($B86, Propostas!$B:$BE, 2, FALSE) )</f>
        <v/>
      </c>
      <c r="G86" s="4" t="str">
        <f>IF($B86="","",  VLOOKUP($B86, Propostas!$B:$BE, 3, FALSE) )</f>
        <v/>
      </c>
      <c r="H86" s="4" t="str">
        <f>IF($B86="","",  VLOOKUP($B86, Propostas!$B:$BE, 4, FALSE) )</f>
        <v/>
      </c>
      <c r="I86" s="4" t="str">
        <f>IF($B86="","",  VLOOKUP($B86, Propostas!$B:$BE, 38, FALSE) )</f>
        <v/>
      </c>
      <c r="J86" s="13" t="str">
        <f>IF($B86="","",IF($C86="SIM", "&lt; INFRRAESTRUTURA &gt;", VLOOKUP($B86,Propostas!$B:$BE,41,FALSE)))</f>
        <v/>
      </c>
      <c r="K86" s="10" t="str">
        <f>IF($B86="","",  VLOOKUP($B86, Propostas!$B:$BE, 40, FALSE) )</f>
        <v/>
      </c>
      <c r="L86" s="10" t="str">
        <f>IF($B86="","",IF(VLOOKUP($B86,Propostas!$B:$BE,21,FALSE)=1,"B",IF(VLOOKUP($B86,Propostas!$B:$BE,21,FALSE)=2,"E","N")))</f>
        <v/>
      </c>
      <c r="M86" s="31" t="str">
        <f>IF($B86 = "", "",  VLOOKUP($B86, Propostas!$B:$BE, 46, FALSE) )</f>
        <v/>
      </c>
      <c r="N86" s="31" t="str">
        <f>IF($B86 = "", "",  VLOOKUP($B86, Propostas!$B:$BE, 47, FALSE) )</f>
        <v/>
      </c>
      <c r="O86" s="13" t="str">
        <f>IF($B86="","",IF($C86="SIM", "INFRAESTRUTURA", VLOOKUP($B86, Propostas!$B:$BE,42,FALSE)))</f>
        <v/>
      </c>
      <c r="P86" s="31" t="str">
        <f>IF($B86 = "", "",  VLOOKUP($B86, Propostas!$B:$BE, 49, FALSE) )</f>
        <v/>
      </c>
      <c r="Q86" s="13" t="str">
        <f>IF($B86="","",  VLOOKUP($B86, Propostas!$B:$BE, 39, FALSE) )</f>
        <v/>
      </c>
      <c r="R86" s="62" t="str">
        <f>IF($B86="","",  VLOOKUP($B86, Propostas!$B:$BE, 43, FALSE) )</f>
        <v/>
      </c>
      <c r="S86" s="62" t="str">
        <f>IF($B86="","",  VLOOKUP($B86, Propostas!$B:$BE, 44, FALSE) )</f>
        <v/>
      </c>
      <c r="T86" s="62" t="str">
        <f>IF($B86="","",  VLOOKUP($B86, Propostas!$B:$BE, 45, FALSE) )</f>
        <v/>
      </c>
      <c r="U86" s="31"/>
      <c r="V86" s="13" t="str">
        <f>IF($B86="","",  VLOOKUP($B86, Propostas!$B:$BE, 50, FALSE) )</f>
        <v/>
      </c>
      <c r="W86" s="13" t="str">
        <f>IF($B86="","",  VLOOKUP($B86, Propostas!$B:$BE, 51, FALSE) )</f>
        <v/>
      </c>
      <c r="X86" s="13" t="str">
        <f>IF($B86="","",  VLOOKUP($B86, Propostas!$B:$BE, 52, FALSE) )</f>
        <v/>
      </c>
      <c r="Y86" s="13" t="str">
        <f>IF($B86="","",  VLOOKUP($B86, Propostas!$B:$BE, 36, FALSE) )</f>
        <v/>
      </c>
      <c r="Z86" s="13" t="str">
        <f>IF($B86="","",  VLOOKUP($F86, VW_PROJETO!B:C, 2, FALSE) )</f>
        <v/>
      </c>
    </row>
    <row r="87" spans="2:26" x14ac:dyDescent="0.2">
      <c r="B87" s="2"/>
      <c r="C87" s="4" t="str">
        <f>IF($B87="","",  VLOOKUP($B87, Propostas!$B:$BE, 33, FALSE) )</f>
        <v/>
      </c>
      <c r="D87" s="4" t="str">
        <f>IF($B87="","",  VLOOKUP($B87, Propostas!$B:$BE, 34, FALSE) )</f>
        <v/>
      </c>
      <c r="E87" s="4" t="str">
        <f>IF($B87="","",  VLOOKUP($B87, Propostas!$B:$BE, 35, FALSE) )</f>
        <v/>
      </c>
      <c r="F87" s="4" t="str">
        <f>IF($B87="","",  VLOOKUP($B87, Propostas!$B:$BE, 2, FALSE) )</f>
        <v/>
      </c>
      <c r="G87" s="4" t="str">
        <f>IF($B87="","",  VLOOKUP($B87, Propostas!$B:$BE, 3, FALSE) )</f>
        <v/>
      </c>
      <c r="H87" s="4" t="str">
        <f>IF($B87="","",  VLOOKUP($B87, Propostas!$B:$BE, 4, FALSE) )</f>
        <v/>
      </c>
      <c r="I87" s="4" t="str">
        <f>IF($B87="","",  VLOOKUP($B87, Propostas!$B:$BE, 38, FALSE) )</f>
        <v/>
      </c>
      <c r="J87" s="13" t="str">
        <f>IF($B87="","",IF($C87="SIM", "&lt; INFRRAESTRUTURA &gt;", VLOOKUP($B87,Propostas!$B:$BE,41,FALSE)))</f>
        <v/>
      </c>
      <c r="K87" s="10" t="str">
        <f>IF($B87="","",  VLOOKUP($B87, Propostas!$B:$BE, 40, FALSE) )</f>
        <v/>
      </c>
      <c r="L87" s="10" t="str">
        <f>IF($B87="","",IF(VLOOKUP($B87,Propostas!$B:$BE,21,FALSE)=1,"B",IF(VLOOKUP($B87,Propostas!$B:$BE,21,FALSE)=2,"E","N")))</f>
        <v/>
      </c>
      <c r="M87" s="31" t="str">
        <f>IF($B87 = "", "",  VLOOKUP($B87, Propostas!$B:$BE, 46, FALSE) )</f>
        <v/>
      </c>
      <c r="N87" s="31" t="str">
        <f>IF($B87 = "", "",  VLOOKUP($B87, Propostas!$B:$BE, 47, FALSE) )</f>
        <v/>
      </c>
      <c r="O87" s="13" t="str">
        <f>IF($B87="","",IF($C87="SIM", "INFRAESTRUTURA", VLOOKUP($B87, Propostas!$B:$BE,42,FALSE)))</f>
        <v/>
      </c>
      <c r="P87" s="31" t="str">
        <f>IF($B87 = "", "",  VLOOKUP($B87, Propostas!$B:$BE, 49, FALSE) )</f>
        <v/>
      </c>
      <c r="Q87" s="13" t="str">
        <f>IF($B87="","",  VLOOKUP($B87, Propostas!$B:$BE, 39, FALSE) )</f>
        <v/>
      </c>
      <c r="R87" s="62" t="str">
        <f>IF($B87="","",  VLOOKUP($B87, Propostas!$B:$BE, 43, FALSE) )</f>
        <v/>
      </c>
      <c r="S87" s="62" t="str">
        <f>IF($B87="","",  VLOOKUP($B87, Propostas!$B:$BE, 44, FALSE) )</f>
        <v/>
      </c>
      <c r="T87" s="62" t="str">
        <f>IF($B87="","",  VLOOKUP($B87, Propostas!$B:$BE, 45, FALSE) )</f>
        <v/>
      </c>
      <c r="U87" s="31"/>
      <c r="V87" s="13" t="str">
        <f>IF($B87="","",  VLOOKUP($B87, Propostas!$B:$BE, 50, FALSE) )</f>
        <v/>
      </c>
      <c r="W87" s="13" t="str">
        <f>IF($B87="","",  VLOOKUP($B87, Propostas!$B:$BE, 51, FALSE) )</f>
        <v/>
      </c>
      <c r="X87" s="13" t="str">
        <f>IF($B87="","",  VLOOKUP($B87, Propostas!$B:$BE, 52, FALSE) )</f>
        <v/>
      </c>
      <c r="Y87" s="13" t="str">
        <f>IF($B87="","",  VLOOKUP($B87, Propostas!$B:$BE, 36, FALSE) )</f>
        <v/>
      </c>
      <c r="Z87" s="13" t="str">
        <f>IF($B87="","",  VLOOKUP($F87, VW_PROJETO!B:C, 2, FALSE) )</f>
        <v/>
      </c>
    </row>
    <row r="88" spans="2:26" x14ac:dyDescent="0.2">
      <c r="B88" s="2"/>
      <c r="C88" s="4" t="str">
        <f>IF($B88="","",  VLOOKUP($B88, Propostas!$B:$BE, 33, FALSE) )</f>
        <v/>
      </c>
      <c r="D88" s="4" t="str">
        <f>IF($B88="","",  VLOOKUP($B88, Propostas!$B:$BE, 34, FALSE) )</f>
        <v/>
      </c>
      <c r="E88" s="4" t="str">
        <f>IF($B88="","",  VLOOKUP($B88, Propostas!$B:$BE, 35, FALSE) )</f>
        <v/>
      </c>
      <c r="F88" s="4" t="str">
        <f>IF($B88="","",  VLOOKUP($B88, Propostas!$B:$BE, 2, FALSE) )</f>
        <v/>
      </c>
      <c r="G88" s="4" t="str">
        <f>IF($B88="","",  VLOOKUP($B88, Propostas!$B:$BE, 3, FALSE) )</f>
        <v/>
      </c>
      <c r="H88" s="4" t="str">
        <f>IF($B88="","",  VLOOKUP($B88, Propostas!$B:$BE, 4, FALSE) )</f>
        <v/>
      </c>
      <c r="I88" s="4" t="str">
        <f>IF($B88="","",  VLOOKUP($B88, Propostas!$B:$BE, 38, FALSE) )</f>
        <v/>
      </c>
      <c r="J88" s="13" t="str">
        <f>IF($B88="","",IF($C88="SIM", "&lt; INFRRAESTRUTURA &gt;", VLOOKUP($B88,Propostas!$B:$BE,41,FALSE)))</f>
        <v/>
      </c>
      <c r="K88" s="10" t="str">
        <f>IF($B88="","",  VLOOKUP($B88, Propostas!$B:$BE, 40, FALSE) )</f>
        <v/>
      </c>
      <c r="L88" s="10" t="str">
        <f>IF($B88="","",IF(VLOOKUP($B88,Propostas!$B:$BE,21,FALSE)=1,"B",IF(VLOOKUP($B88,Propostas!$B:$BE,21,FALSE)=2,"E","N")))</f>
        <v/>
      </c>
      <c r="M88" s="31" t="str">
        <f>IF($B88 = "", "",  VLOOKUP($B88, Propostas!$B:$BE, 46, FALSE) )</f>
        <v/>
      </c>
      <c r="N88" s="31" t="str">
        <f>IF($B88 = "", "",  VLOOKUP($B88, Propostas!$B:$BE, 47, FALSE) )</f>
        <v/>
      </c>
      <c r="O88" s="13" t="str">
        <f>IF($B88="","",IF($C88="SIM", "INFRAESTRUTURA", VLOOKUP($B88, Propostas!$B:$BE,42,FALSE)))</f>
        <v/>
      </c>
      <c r="P88" s="31" t="str">
        <f>IF($B88 = "", "",  VLOOKUP($B88, Propostas!$B:$BE, 49, FALSE) )</f>
        <v/>
      </c>
      <c r="Q88" s="13" t="str">
        <f>IF($B88="","",  VLOOKUP($B88, Propostas!$B:$BE, 39, FALSE) )</f>
        <v/>
      </c>
      <c r="R88" s="62" t="str">
        <f>IF($B88="","",  VLOOKUP($B88, Propostas!$B:$BE, 43, FALSE) )</f>
        <v/>
      </c>
      <c r="S88" s="62" t="str">
        <f>IF($B88="","",  VLOOKUP($B88, Propostas!$B:$BE, 44, FALSE) )</f>
        <v/>
      </c>
      <c r="T88" s="62" t="str">
        <f>IF($B88="","",  VLOOKUP($B88, Propostas!$B:$BE, 45, FALSE) )</f>
        <v/>
      </c>
      <c r="U88" s="31"/>
      <c r="V88" s="13" t="str">
        <f>IF($B88="","",  VLOOKUP($B88, Propostas!$B:$BE, 50, FALSE) )</f>
        <v/>
      </c>
      <c r="W88" s="13" t="str">
        <f>IF($B88="","",  VLOOKUP($B88, Propostas!$B:$BE, 51, FALSE) )</f>
        <v/>
      </c>
      <c r="X88" s="13" t="str">
        <f>IF($B88="","",  VLOOKUP($B88, Propostas!$B:$BE, 52, FALSE) )</f>
        <v/>
      </c>
      <c r="Y88" s="13" t="str">
        <f>IF($B88="","",  VLOOKUP($B88, Propostas!$B:$BE, 36, FALSE) )</f>
        <v/>
      </c>
      <c r="Z88" s="13" t="str">
        <f>IF($B88="","",  VLOOKUP($F88, VW_PROJETO!B:C, 2, FALSE) )</f>
        <v/>
      </c>
    </row>
    <row r="89" spans="2:26" x14ac:dyDescent="0.2">
      <c r="B89" s="2"/>
      <c r="C89" s="4" t="str">
        <f>IF($B89="","",  VLOOKUP($B89, Propostas!$B:$BE, 33, FALSE) )</f>
        <v/>
      </c>
      <c r="D89" s="4" t="str">
        <f>IF($B89="","",  VLOOKUP($B89, Propostas!$B:$BE, 34, FALSE) )</f>
        <v/>
      </c>
      <c r="E89" s="4" t="str">
        <f>IF($B89="","",  VLOOKUP($B89, Propostas!$B:$BE, 35, FALSE) )</f>
        <v/>
      </c>
      <c r="F89" s="4" t="str">
        <f>IF($B89="","",  VLOOKUP($B89, Propostas!$B:$BE, 2, FALSE) )</f>
        <v/>
      </c>
      <c r="G89" s="4" t="str">
        <f>IF($B89="","",  VLOOKUP($B89, Propostas!$B:$BE, 3, FALSE) )</f>
        <v/>
      </c>
      <c r="H89" s="4" t="str">
        <f>IF($B89="","",  VLOOKUP($B89, Propostas!$B:$BE, 4, FALSE) )</f>
        <v/>
      </c>
      <c r="I89" s="4" t="str">
        <f>IF($B89="","",  VLOOKUP($B89, Propostas!$B:$BE, 38, FALSE) )</f>
        <v/>
      </c>
      <c r="J89" s="13" t="str">
        <f>IF($B89="","",IF($C89="SIM", "&lt; INFRRAESTRUTURA &gt;", VLOOKUP($B89,Propostas!$B:$BE,41,FALSE)))</f>
        <v/>
      </c>
      <c r="K89" s="10" t="str">
        <f>IF($B89="","",  VLOOKUP($B89, Propostas!$B:$BE, 40, FALSE) )</f>
        <v/>
      </c>
      <c r="L89" s="10" t="str">
        <f>IF($B89="","",IF(VLOOKUP($B89,Propostas!$B:$BE,21,FALSE)=1,"B",IF(VLOOKUP($B89,Propostas!$B:$BE,21,FALSE)=2,"E","N")))</f>
        <v/>
      </c>
      <c r="M89" s="31" t="str">
        <f>IF($B89 = "", "",  VLOOKUP($B89, Propostas!$B:$BE, 46, FALSE) )</f>
        <v/>
      </c>
      <c r="N89" s="31" t="str">
        <f>IF($B89 = "", "",  VLOOKUP($B89, Propostas!$B:$BE, 47, FALSE) )</f>
        <v/>
      </c>
      <c r="O89" s="13" t="str">
        <f>IF($B89="","",IF($C89="SIM", "INFRAESTRUTURA", VLOOKUP($B89, Propostas!$B:$BE,42,FALSE)))</f>
        <v/>
      </c>
      <c r="P89" s="31" t="str">
        <f>IF($B89 = "", "",  VLOOKUP($B89, Propostas!$B:$BE, 49, FALSE) )</f>
        <v/>
      </c>
      <c r="Q89" s="13" t="str">
        <f>IF($B89="","",  VLOOKUP($B89, Propostas!$B:$BE, 39, FALSE) )</f>
        <v/>
      </c>
      <c r="R89" s="62" t="str">
        <f>IF($B89="","",  VLOOKUP($B89, Propostas!$B:$BE, 43, FALSE) )</f>
        <v/>
      </c>
      <c r="S89" s="62" t="str">
        <f>IF($B89="","",  VLOOKUP($B89, Propostas!$B:$BE, 44, FALSE) )</f>
        <v/>
      </c>
      <c r="T89" s="62" t="str">
        <f>IF($B89="","",  VLOOKUP($B89, Propostas!$B:$BE, 45, FALSE) )</f>
        <v/>
      </c>
      <c r="U89" s="31"/>
      <c r="V89" s="13" t="str">
        <f>IF($B89="","",  VLOOKUP($B89, Propostas!$B:$BE, 50, FALSE) )</f>
        <v/>
      </c>
      <c r="W89" s="13" t="str">
        <f>IF($B89="","",  VLOOKUP($B89, Propostas!$B:$BE, 51, FALSE) )</f>
        <v/>
      </c>
      <c r="X89" s="13" t="str">
        <f>IF($B89="","",  VLOOKUP($B89, Propostas!$B:$BE, 52, FALSE) )</f>
        <v/>
      </c>
      <c r="Y89" s="13" t="str">
        <f>IF($B89="","",  VLOOKUP($B89, Propostas!$B:$BE, 36, FALSE) )</f>
        <v/>
      </c>
      <c r="Z89" s="13" t="str">
        <f>IF($B89="","",  VLOOKUP($F89, VW_PROJETO!B:C, 2, FALSE) )</f>
        <v/>
      </c>
    </row>
    <row r="90" spans="2:26" x14ac:dyDescent="0.2">
      <c r="B90" s="2"/>
      <c r="C90" s="4" t="str">
        <f>IF($B90="","",  VLOOKUP($B90, Propostas!$B:$BE, 33, FALSE) )</f>
        <v/>
      </c>
      <c r="D90" s="4" t="str">
        <f>IF($B90="","",  VLOOKUP($B90, Propostas!$B:$BE, 34, FALSE) )</f>
        <v/>
      </c>
      <c r="E90" s="4" t="str">
        <f>IF($B90="","",  VLOOKUP($B90, Propostas!$B:$BE, 35, FALSE) )</f>
        <v/>
      </c>
      <c r="F90" s="4" t="str">
        <f>IF($B90="","",  VLOOKUP($B90, Propostas!$B:$BE, 2, FALSE) )</f>
        <v/>
      </c>
      <c r="G90" s="4" t="str">
        <f>IF($B90="","",  VLOOKUP($B90, Propostas!$B:$BE, 3, FALSE) )</f>
        <v/>
      </c>
      <c r="H90" s="4" t="str">
        <f>IF($B90="","",  VLOOKUP($B90, Propostas!$B:$BE, 4, FALSE) )</f>
        <v/>
      </c>
      <c r="I90" s="4" t="str">
        <f>IF($B90="","",  VLOOKUP($B90, Propostas!$B:$BE, 38, FALSE) )</f>
        <v/>
      </c>
      <c r="J90" s="13" t="str">
        <f>IF($B90="","",IF($C90="SIM", "&lt; INFRRAESTRUTURA &gt;", VLOOKUP($B90,Propostas!$B:$BE,41,FALSE)))</f>
        <v/>
      </c>
      <c r="K90" s="10" t="str">
        <f>IF($B90="","",  VLOOKUP($B90, Propostas!$B:$BE, 40, FALSE) )</f>
        <v/>
      </c>
      <c r="L90" s="10" t="str">
        <f>IF($B90="","",IF(VLOOKUP($B90,Propostas!$B:$BE,21,FALSE)=1,"B",IF(VLOOKUP($B90,Propostas!$B:$BE,21,FALSE)=2,"E","N")))</f>
        <v/>
      </c>
      <c r="M90" s="31" t="str">
        <f>IF($B90 = "", "",  VLOOKUP($B90, Propostas!$B:$BE, 46, FALSE) )</f>
        <v/>
      </c>
      <c r="N90" s="31" t="str">
        <f>IF($B90 = "", "",  VLOOKUP($B90, Propostas!$B:$BE, 47, FALSE) )</f>
        <v/>
      </c>
      <c r="O90" s="13" t="str">
        <f>IF($B90="","",IF($C90="SIM", "INFRAESTRUTURA", VLOOKUP($B90, Propostas!$B:$BE,42,FALSE)))</f>
        <v/>
      </c>
      <c r="P90" s="31" t="str">
        <f>IF($B90 = "", "",  VLOOKUP($B90, Propostas!$B:$BE, 49, FALSE) )</f>
        <v/>
      </c>
      <c r="Q90" s="13" t="str">
        <f>IF($B90="","",  VLOOKUP($B90, Propostas!$B:$BE, 39, FALSE) )</f>
        <v/>
      </c>
      <c r="R90" s="62" t="str">
        <f>IF($B90="","",  VLOOKUP($B90, Propostas!$B:$BE, 43, FALSE) )</f>
        <v/>
      </c>
      <c r="S90" s="62" t="str">
        <f>IF($B90="","",  VLOOKUP($B90, Propostas!$B:$BE, 44, FALSE) )</f>
        <v/>
      </c>
      <c r="T90" s="62" t="str">
        <f>IF($B90="","",  VLOOKUP($B90, Propostas!$B:$BE, 45, FALSE) )</f>
        <v/>
      </c>
      <c r="U90" s="31"/>
      <c r="V90" s="13" t="str">
        <f>IF($B90="","",  VLOOKUP($B90, Propostas!$B:$BE, 50, FALSE) )</f>
        <v/>
      </c>
      <c r="W90" s="13" t="str">
        <f>IF($B90="","",  VLOOKUP($B90, Propostas!$B:$BE, 51, FALSE) )</f>
        <v/>
      </c>
      <c r="X90" s="13" t="str">
        <f>IF($B90="","",  VLOOKUP($B90, Propostas!$B:$BE, 52, FALSE) )</f>
        <v/>
      </c>
      <c r="Y90" s="13" t="str">
        <f>IF($B90="","",  VLOOKUP($B90, Propostas!$B:$BE, 36, FALSE) )</f>
        <v/>
      </c>
      <c r="Z90" s="13" t="str">
        <f>IF($B90="","",  VLOOKUP($F90, VW_PROJETO!B:C, 2, FALSE) )</f>
        <v/>
      </c>
    </row>
    <row r="91" spans="2:26" x14ac:dyDescent="0.2">
      <c r="B91" s="2"/>
      <c r="C91" s="4" t="str">
        <f>IF($B91="","",  VLOOKUP($B91, Propostas!$B:$BE, 33, FALSE) )</f>
        <v/>
      </c>
      <c r="D91" s="4" t="str">
        <f>IF($B91="","",  VLOOKUP($B91, Propostas!$B:$BE, 34, FALSE) )</f>
        <v/>
      </c>
      <c r="E91" s="4" t="str">
        <f>IF($B91="","",  VLOOKUP($B91, Propostas!$B:$BE, 35, FALSE) )</f>
        <v/>
      </c>
      <c r="F91" s="4" t="str">
        <f>IF($B91="","",  VLOOKUP($B91, Propostas!$B:$BE, 2, FALSE) )</f>
        <v/>
      </c>
      <c r="G91" s="4" t="str">
        <f>IF($B91="","",  VLOOKUP($B91, Propostas!$B:$BE, 3, FALSE) )</f>
        <v/>
      </c>
      <c r="H91" s="4" t="str">
        <f>IF($B91="","",  VLOOKUP($B91, Propostas!$B:$BE, 4, FALSE) )</f>
        <v/>
      </c>
      <c r="I91" s="4" t="str">
        <f>IF($B91="","",  VLOOKUP($B91, Propostas!$B:$BE, 38, FALSE) )</f>
        <v/>
      </c>
      <c r="J91" s="13" t="str">
        <f>IF($B91="","",IF($C91="SIM", "&lt; INFRRAESTRUTURA &gt;", VLOOKUP($B91,Propostas!$B:$BE,41,FALSE)))</f>
        <v/>
      </c>
      <c r="K91" s="10" t="str">
        <f>IF($B91="","",  VLOOKUP($B91, Propostas!$B:$BE, 40, FALSE) )</f>
        <v/>
      </c>
      <c r="L91" s="10" t="str">
        <f>IF($B91="","",IF(VLOOKUP($B91,Propostas!$B:$BE,21,FALSE)=1,"B",IF(VLOOKUP($B91,Propostas!$B:$BE,21,FALSE)=2,"E","N")))</f>
        <v/>
      </c>
      <c r="M91" s="31" t="str">
        <f>IF($B91 = "", "",  VLOOKUP($B91, Propostas!$B:$BE, 46, FALSE) )</f>
        <v/>
      </c>
      <c r="N91" s="31" t="str">
        <f>IF($B91 = "", "",  VLOOKUP($B91, Propostas!$B:$BE, 47, FALSE) )</f>
        <v/>
      </c>
      <c r="O91" s="13" t="str">
        <f>IF($B91="","",IF($C91="SIM", "INFRAESTRUTURA", VLOOKUP($B91, Propostas!$B:$BE,42,FALSE)))</f>
        <v/>
      </c>
      <c r="P91" s="31" t="str">
        <f>IF($B91 = "", "",  VLOOKUP($B91, Propostas!$B:$BE, 49, FALSE) )</f>
        <v/>
      </c>
      <c r="Q91" s="13" t="str">
        <f>IF($B91="","",  VLOOKUP($B91, Propostas!$B:$BE, 39, FALSE) )</f>
        <v/>
      </c>
      <c r="R91" s="62" t="str">
        <f>IF($B91="","",  VLOOKUP($B91, Propostas!$B:$BE, 43, FALSE) )</f>
        <v/>
      </c>
      <c r="S91" s="62" t="str">
        <f>IF($B91="","",  VLOOKUP($B91, Propostas!$B:$BE, 44, FALSE) )</f>
        <v/>
      </c>
      <c r="T91" s="62" t="str">
        <f>IF($B91="","",  VLOOKUP($B91, Propostas!$B:$BE, 45, FALSE) )</f>
        <v/>
      </c>
      <c r="U91" s="31"/>
      <c r="V91" s="13" t="str">
        <f>IF($B91="","",  VLOOKUP($B91, Propostas!$B:$BE, 50, FALSE) )</f>
        <v/>
      </c>
      <c r="W91" s="13" t="str">
        <f>IF($B91="","",  VLOOKUP($B91, Propostas!$B:$BE, 51, FALSE) )</f>
        <v/>
      </c>
      <c r="X91" s="13" t="str">
        <f>IF($B91="","",  VLOOKUP($B91, Propostas!$B:$BE, 52, FALSE) )</f>
        <v/>
      </c>
      <c r="Y91" s="13" t="str">
        <f>IF($B91="","",  VLOOKUP($B91, Propostas!$B:$BE, 36, FALSE) )</f>
        <v/>
      </c>
      <c r="Z91" s="13" t="str">
        <f>IF($B91="","",  VLOOKUP($F91, VW_PROJETO!B:C, 2, FALSE) )</f>
        <v/>
      </c>
    </row>
    <row r="92" spans="2:26" x14ac:dyDescent="0.2">
      <c r="B92" s="2"/>
      <c r="C92" s="4" t="str">
        <f>IF($B92="","",  VLOOKUP($B92, Propostas!$B:$BE, 33, FALSE) )</f>
        <v/>
      </c>
      <c r="D92" s="4" t="str">
        <f>IF($B92="","",  VLOOKUP($B92, Propostas!$B:$BE, 34, FALSE) )</f>
        <v/>
      </c>
      <c r="E92" s="4" t="str">
        <f>IF($B92="","",  VLOOKUP($B92, Propostas!$B:$BE, 35, FALSE) )</f>
        <v/>
      </c>
      <c r="F92" s="4" t="str">
        <f>IF($B92="","",  VLOOKUP($B92, Propostas!$B:$BE, 2, FALSE) )</f>
        <v/>
      </c>
      <c r="G92" s="4" t="str">
        <f>IF($B92="","",  VLOOKUP($B92, Propostas!$B:$BE, 3, FALSE) )</f>
        <v/>
      </c>
      <c r="H92" s="4" t="str">
        <f>IF($B92="","",  VLOOKUP($B92, Propostas!$B:$BE, 4, FALSE) )</f>
        <v/>
      </c>
      <c r="I92" s="4" t="str">
        <f>IF($B92="","",  VLOOKUP($B92, Propostas!$B:$BE, 38, FALSE) )</f>
        <v/>
      </c>
      <c r="J92" s="13" t="str">
        <f>IF($B92="","",IF($C92="SIM", "&lt; INFRRAESTRUTURA &gt;", VLOOKUP($B92,Propostas!$B:$BE,41,FALSE)))</f>
        <v/>
      </c>
      <c r="K92" s="10" t="str">
        <f>IF($B92="","",  VLOOKUP($B92, Propostas!$B:$BE, 40, FALSE) )</f>
        <v/>
      </c>
      <c r="L92" s="10" t="str">
        <f>IF($B92="","",IF(VLOOKUP($B92,Propostas!$B:$BE,21,FALSE)=1,"B",IF(VLOOKUP($B92,Propostas!$B:$BE,21,FALSE)=2,"E","N")))</f>
        <v/>
      </c>
      <c r="M92" s="31" t="str">
        <f>IF($B92 = "", "",  VLOOKUP($B92, Propostas!$B:$BE, 46, FALSE) )</f>
        <v/>
      </c>
      <c r="N92" s="31" t="str">
        <f>IF($B92 = "", "",  VLOOKUP($B92, Propostas!$B:$BE, 47, FALSE) )</f>
        <v/>
      </c>
      <c r="O92" s="13" t="str">
        <f>IF($B92="","",IF($C92="SIM", "INFRAESTRUTURA", VLOOKUP($B92, Propostas!$B:$BE,42,FALSE)))</f>
        <v/>
      </c>
      <c r="P92" s="31" t="str">
        <f>IF($B92 = "", "",  VLOOKUP($B92, Propostas!$B:$BE, 49, FALSE) )</f>
        <v/>
      </c>
      <c r="Q92" s="13" t="str">
        <f>IF($B92="","",  VLOOKUP($B92, Propostas!$B:$BE, 39, FALSE) )</f>
        <v/>
      </c>
      <c r="R92" s="62" t="str">
        <f>IF($B92="","",  VLOOKUP($B92, Propostas!$B:$BE, 43, FALSE) )</f>
        <v/>
      </c>
      <c r="S92" s="62" t="str">
        <f>IF($B92="","",  VLOOKUP($B92, Propostas!$B:$BE, 44, FALSE) )</f>
        <v/>
      </c>
      <c r="T92" s="62" t="str">
        <f>IF($B92="","",  VLOOKUP($B92, Propostas!$B:$BE, 45, FALSE) )</f>
        <v/>
      </c>
      <c r="U92" s="31"/>
      <c r="V92" s="13" t="str">
        <f>IF($B92="","",  VLOOKUP($B92, Propostas!$B:$BE, 50, FALSE) )</f>
        <v/>
      </c>
      <c r="W92" s="13" t="str">
        <f>IF($B92="","",  VLOOKUP($B92, Propostas!$B:$BE, 51, FALSE) )</f>
        <v/>
      </c>
      <c r="X92" s="13" t="str">
        <f>IF($B92="","",  VLOOKUP($B92, Propostas!$B:$BE, 52, FALSE) )</f>
        <v/>
      </c>
      <c r="Y92" s="13" t="str">
        <f>IF($B92="","",  VLOOKUP($B92, Propostas!$B:$BE, 36, FALSE) )</f>
        <v/>
      </c>
      <c r="Z92" s="13" t="str">
        <f>IF($B92="","",  VLOOKUP($F92, VW_PROJETO!B:C, 2, FALSE) )</f>
        <v/>
      </c>
    </row>
    <row r="93" spans="2:26" x14ac:dyDescent="0.2">
      <c r="B93" s="2"/>
      <c r="C93" s="4" t="str">
        <f>IF($B93="","",  VLOOKUP($B93, Propostas!$B:$BE, 33, FALSE) )</f>
        <v/>
      </c>
      <c r="D93" s="4" t="str">
        <f>IF($B93="","",  VLOOKUP($B93, Propostas!$B:$BE, 34, FALSE) )</f>
        <v/>
      </c>
      <c r="E93" s="4" t="str">
        <f>IF($B93="","",  VLOOKUP($B93, Propostas!$B:$BE, 35, FALSE) )</f>
        <v/>
      </c>
      <c r="F93" s="4" t="str">
        <f>IF($B93="","",  VLOOKUP($B93, Propostas!$B:$BE, 2, FALSE) )</f>
        <v/>
      </c>
      <c r="G93" s="4" t="str">
        <f>IF($B93="","",  VLOOKUP($B93, Propostas!$B:$BE, 3, FALSE) )</f>
        <v/>
      </c>
      <c r="H93" s="4" t="str">
        <f>IF($B93="","",  VLOOKUP($B93, Propostas!$B:$BE, 4, FALSE) )</f>
        <v/>
      </c>
      <c r="I93" s="4" t="str">
        <f>IF($B93="","",  VLOOKUP($B93, Propostas!$B:$BE, 38, FALSE) )</f>
        <v/>
      </c>
      <c r="J93" s="13" t="str">
        <f>IF($B93="","",IF($C93="SIM", "&lt; INFRRAESTRUTURA &gt;", VLOOKUP($B93,Propostas!$B:$BE,41,FALSE)))</f>
        <v/>
      </c>
      <c r="K93" s="10" t="str">
        <f>IF($B93="","",  VLOOKUP($B93, Propostas!$B:$BE, 40, FALSE) )</f>
        <v/>
      </c>
      <c r="L93" s="10" t="str">
        <f>IF($B93="","",IF(VLOOKUP($B93,Propostas!$B:$BE,21,FALSE)=1,"B",IF(VLOOKUP($B93,Propostas!$B:$BE,21,FALSE)=2,"E","N")))</f>
        <v/>
      </c>
      <c r="M93" s="31" t="str">
        <f>IF($B93 = "", "",  VLOOKUP($B93, Propostas!$B:$BE, 46, FALSE) )</f>
        <v/>
      </c>
      <c r="N93" s="31" t="str">
        <f>IF($B93 = "", "",  VLOOKUP($B93, Propostas!$B:$BE, 47, FALSE) )</f>
        <v/>
      </c>
      <c r="O93" s="13" t="str">
        <f>IF($B93="","",IF($C93="SIM", "INFRAESTRUTURA", VLOOKUP($B93, Propostas!$B:$BE,42,FALSE)))</f>
        <v/>
      </c>
      <c r="P93" s="31" t="str">
        <f>IF($B93 = "", "",  VLOOKUP($B93, Propostas!$B:$BE, 49, FALSE) )</f>
        <v/>
      </c>
      <c r="Q93" s="13" t="str">
        <f>IF($B93="","",  VLOOKUP($B93, Propostas!$B:$BE, 39, FALSE) )</f>
        <v/>
      </c>
      <c r="R93" s="62" t="str">
        <f>IF($B93="","",  VLOOKUP($B93, Propostas!$B:$BE, 43, FALSE) )</f>
        <v/>
      </c>
      <c r="S93" s="62" t="str">
        <f>IF($B93="","",  VLOOKUP($B93, Propostas!$B:$BE, 44, FALSE) )</f>
        <v/>
      </c>
      <c r="T93" s="62" t="str">
        <f>IF($B93="","",  VLOOKUP($B93, Propostas!$B:$BE, 45, FALSE) )</f>
        <v/>
      </c>
      <c r="U93" s="31"/>
      <c r="V93" s="13" t="str">
        <f>IF($B93="","",  VLOOKUP($B93, Propostas!$B:$BE, 50, FALSE) )</f>
        <v/>
      </c>
      <c r="W93" s="13" t="str">
        <f>IF($B93="","",  VLOOKUP($B93, Propostas!$B:$BE, 51, FALSE) )</f>
        <v/>
      </c>
      <c r="X93" s="13" t="str">
        <f>IF($B93="","",  VLOOKUP($B93, Propostas!$B:$BE, 52, FALSE) )</f>
        <v/>
      </c>
      <c r="Y93" s="13" t="str">
        <f>IF($B93="","",  VLOOKUP($B93, Propostas!$B:$BE, 36, FALSE) )</f>
        <v/>
      </c>
      <c r="Z93" s="13" t="str">
        <f>IF($B93="","",  VLOOKUP($F93, VW_PROJETO!B:C, 2, FALSE) )</f>
        <v/>
      </c>
    </row>
    <row r="94" spans="2:26" x14ac:dyDescent="0.2">
      <c r="B94" s="2"/>
      <c r="C94" s="4" t="str">
        <f>IF($B94="","",  VLOOKUP($B94, Propostas!$B:$BE, 33, FALSE) )</f>
        <v/>
      </c>
      <c r="D94" s="4" t="str">
        <f>IF($B94="","",  VLOOKUP($B94, Propostas!$B:$BE, 34, FALSE) )</f>
        <v/>
      </c>
      <c r="E94" s="4" t="str">
        <f>IF($B94="","",  VLOOKUP($B94, Propostas!$B:$BE, 35, FALSE) )</f>
        <v/>
      </c>
      <c r="F94" s="4" t="str">
        <f>IF($B94="","",  VLOOKUP($B94, Propostas!$B:$BE, 2, FALSE) )</f>
        <v/>
      </c>
      <c r="G94" s="4" t="str">
        <f>IF($B94="","",  VLOOKUP($B94, Propostas!$B:$BE, 3, FALSE) )</f>
        <v/>
      </c>
      <c r="H94" s="4" t="str">
        <f>IF($B94="","",  VLOOKUP($B94, Propostas!$B:$BE, 4, FALSE) )</f>
        <v/>
      </c>
      <c r="I94" s="4" t="str">
        <f>IF($B94="","",  VLOOKUP($B94, Propostas!$B:$BE, 38, FALSE) )</f>
        <v/>
      </c>
      <c r="J94" s="13" t="str">
        <f>IF($B94="","",IF($C94="SIM", "&lt; INFRRAESTRUTURA &gt;", VLOOKUP($B94,Propostas!$B:$BE,41,FALSE)))</f>
        <v/>
      </c>
      <c r="K94" s="10" t="str">
        <f>IF($B94="","",  VLOOKUP($B94, Propostas!$B:$BE, 40, FALSE) )</f>
        <v/>
      </c>
      <c r="L94" s="10" t="str">
        <f>IF($B94="","",IF(VLOOKUP($B94,Propostas!$B:$BE,21,FALSE)=1,"B",IF(VLOOKUP($B94,Propostas!$B:$BE,21,FALSE)=2,"E","N")))</f>
        <v/>
      </c>
      <c r="M94" s="31" t="str">
        <f>IF($B94 = "", "",  VLOOKUP($B94, Propostas!$B:$BE, 46, FALSE) )</f>
        <v/>
      </c>
      <c r="N94" s="31" t="str">
        <f>IF($B94 = "", "",  VLOOKUP($B94, Propostas!$B:$BE, 47, FALSE) )</f>
        <v/>
      </c>
      <c r="O94" s="13" t="str">
        <f>IF($B94="","",IF($C94="SIM", "INFRAESTRUTURA", VLOOKUP($B94, Propostas!$B:$BE,42,FALSE)))</f>
        <v/>
      </c>
      <c r="P94" s="31" t="str">
        <f>IF($B94 = "", "",  VLOOKUP($B94, Propostas!$B:$BE, 49, FALSE) )</f>
        <v/>
      </c>
      <c r="Q94" s="13" t="str">
        <f>IF($B94="","",  VLOOKUP($B94, Propostas!$B:$BE, 39, FALSE) )</f>
        <v/>
      </c>
      <c r="R94" s="62" t="str">
        <f>IF($B94="","",  VLOOKUP($B94, Propostas!$B:$BE, 43, FALSE) )</f>
        <v/>
      </c>
      <c r="S94" s="62" t="str">
        <f>IF($B94="","",  VLOOKUP($B94, Propostas!$B:$BE, 44, FALSE) )</f>
        <v/>
      </c>
      <c r="T94" s="62" t="str">
        <f>IF($B94="","",  VLOOKUP($B94, Propostas!$B:$BE, 45, FALSE) )</f>
        <v/>
      </c>
      <c r="U94" s="31"/>
      <c r="V94" s="13" t="str">
        <f>IF($B94="","",  VLOOKUP($B94, Propostas!$B:$BE, 50, FALSE) )</f>
        <v/>
      </c>
      <c r="W94" s="13" t="str">
        <f>IF($B94="","",  VLOOKUP($B94, Propostas!$B:$BE, 51, FALSE) )</f>
        <v/>
      </c>
      <c r="X94" s="13" t="str">
        <f>IF($B94="","",  VLOOKUP($B94, Propostas!$B:$BE, 52, FALSE) )</f>
        <v/>
      </c>
      <c r="Y94" s="13" t="str">
        <f>IF($B94="","",  VLOOKUP($B94, Propostas!$B:$BE, 36, FALSE) )</f>
        <v/>
      </c>
      <c r="Z94" s="13" t="str">
        <f>IF($B94="","",  VLOOKUP($F94, VW_PROJETO!B:C, 2, FALSE) )</f>
        <v/>
      </c>
    </row>
    <row r="95" spans="2:26" x14ac:dyDescent="0.2">
      <c r="B95" s="2"/>
      <c r="C95" s="4" t="str">
        <f>IF($B95="","",  VLOOKUP($B95, Propostas!$B:$BE, 33, FALSE) )</f>
        <v/>
      </c>
      <c r="D95" s="4" t="str">
        <f>IF($B95="","",  VLOOKUP($B95, Propostas!$B:$BE, 34, FALSE) )</f>
        <v/>
      </c>
      <c r="E95" s="4" t="str">
        <f>IF($B95="","",  VLOOKUP($B95, Propostas!$B:$BE, 35, FALSE) )</f>
        <v/>
      </c>
      <c r="F95" s="4" t="str">
        <f>IF($B95="","",  VLOOKUP($B95, Propostas!$B:$BE, 2, FALSE) )</f>
        <v/>
      </c>
      <c r="G95" s="4" t="str">
        <f>IF($B95="","",  VLOOKUP($B95, Propostas!$B:$BE, 3, FALSE) )</f>
        <v/>
      </c>
      <c r="H95" s="4" t="str">
        <f>IF($B95="","",  VLOOKUP($B95, Propostas!$B:$BE, 4, FALSE) )</f>
        <v/>
      </c>
      <c r="I95" s="4" t="str">
        <f>IF($B95="","",  VLOOKUP($B95, Propostas!$B:$BE, 38, FALSE) )</f>
        <v/>
      </c>
      <c r="J95" s="13" t="str">
        <f>IF($B95="","",IF($C95="SIM", "&lt; INFRRAESTRUTURA &gt;", VLOOKUP($B95,Propostas!$B:$BE,41,FALSE)))</f>
        <v/>
      </c>
      <c r="K95" s="10" t="str">
        <f>IF($B95="","",  VLOOKUP($B95, Propostas!$B:$BE, 40, FALSE) )</f>
        <v/>
      </c>
      <c r="L95" s="10" t="str">
        <f>IF($B95="","",IF(VLOOKUP($B95,Propostas!$B:$BE,21,FALSE)=1,"B",IF(VLOOKUP($B95,Propostas!$B:$BE,21,FALSE)=2,"E","N")))</f>
        <v/>
      </c>
      <c r="M95" s="31" t="str">
        <f>IF($B95 = "", "",  VLOOKUP($B95, Propostas!$B:$BE, 46, FALSE) )</f>
        <v/>
      </c>
      <c r="N95" s="31" t="str">
        <f>IF($B95 = "", "",  VLOOKUP($B95, Propostas!$B:$BE, 47, FALSE) )</f>
        <v/>
      </c>
      <c r="O95" s="13" t="str">
        <f>IF($B95="","",IF($C95="SIM", "INFRAESTRUTURA", VLOOKUP($B95, Propostas!$B:$BE,42,FALSE)))</f>
        <v/>
      </c>
      <c r="P95" s="31" t="str">
        <f>IF($B95 = "", "",  VLOOKUP($B95, Propostas!$B:$BE, 49, FALSE) )</f>
        <v/>
      </c>
      <c r="Q95" s="13" t="str">
        <f>IF($B95="","",  VLOOKUP($B95, Propostas!$B:$BE, 39, FALSE) )</f>
        <v/>
      </c>
      <c r="R95" s="62" t="str">
        <f>IF($B95="","",  VLOOKUP($B95, Propostas!$B:$BE, 43, FALSE) )</f>
        <v/>
      </c>
      <c r="S95" s="62" t="str">
        <f>IF($B95="","",  VLOOKUP($B95, Propostas!$B:$BE, 44, FALSE) )</f>
        <v/>
      </c>
      <c r="T95" s="62" t="str">
        <f>IF($B95="","",  VLOOKUP($B95, Propostas!$B:$BE, 45, FALSE) )</f>
        <v/>
      </c>
      <c r="U95" s="31"/>
      <c r="V95" s="13" t="str">
        <f>IF($B95="","",  VLOOKUP($B95, Propostas!$B:$BE, 50, FALSE) )</f>
        <v/>
      </c>
      <c r="W95" s="13" t="str">
        <f>IF($B95="","",  VLOOKUP($B95, Propostas!$B:$BE, 51, FALSE) )</f>
        <v/>
      </c>
      <c r="X95" s="13" t="str">
        <f>IF($B95="","",  VLOOKUP($B95, Propostas!$B:$BE, 52, FALSE) )</f>
        <v/>
      </c>
      <c r="Y95" s="13" t="str">
        <f>IF($B95="","",  VLOOKUP($B95, Propostas!$B:$BE, 36, FALSE) )</f>
        <v/>
      </c>
      <c r="Z95" s="13" t="str">
        <f>IF($B95="","",  VLOOKUP($F95, VW_PROJETO!B:C, 2, FALSE) )</f>
        <v/>
      </c>
    </row>
    <row r="96" spans="2:26" x14ac:dyDescent="0.2">
      <c r="B96" s="2"/>
      <c r="C96" s="4" t="str">
        <f>IF($B96="","",  VLOOKUP($B96, Propostas!$B:$BE, 33, FALSE) )</f>
        <v/>
      </c>
      <c r="D96" s="4" t="str">
        <f>IF($B96="","",  VLOOKUP($B96, Propostas!$B:$BE, 34, FALSE) )</f>
        <v/>
      </c>
      <c r="E96" s="4" t="str">
        <f>IF($B96="","",  VLOOKUP($B96, Propostas!$B:$BE, 35, FALSE) )</f>
        <v/>
      </c>
      <c r="F96" s="4" t="str">
        <f>IF($B96="","",  VLOOKUP($B96, Propostas!$B:$BE, 2, FALSE) )</f>
        <v/>
      </c>
      <c r="G96" s="4" t="str">
        <f>IF($B96="","",  VLOOKUP($B96, Propostas!$B:$BE, 3, FALSE) )</f>
        <v/>
      </c>
      <c r="H96" s="4" t="str">
        <f>IF($B96="","",  VLOOKUP($B96, Propostas!$B:$BE, 4, FALSE) )</f>
        <v/>
      </c>
      <c r="I96" s="4" t="str">
        <f>IF($B96="","",  VLOOKUP($B96, Propostas!$B:$BE, 38, FALSE) )</f>
        <v/>
      </c>
      <c r="J96" s="13" t="str">
        <f>IF($B96="","",IF($C96="SIM", "&lt; INFRRAESTRUTURA &gt;", VLOOKUP($B96,Propostas!$B:$BE,41,FALSE)))</f>
        <v/>
      </c>
      <c r="K96" s="10" t="str">
        <f>IF($B96="","",  VLOOKUP($B96, Propostas!$B:$BE, 40, FALSE) )</f>
        <v/>
      </c>
      <c r="L96" s="10" t="str">
        <f>IF($B96="","",IF(VLOOKUP($B96,Propostas!$B:$BE,21,FALSE)=1,"B",IF(VLOOKUP($B96,Propostas!$B:$BE,21,FALSE)=2,"E","N")))</f>
        <v/>
      </c>
      <c r="M96" s="31" t="str">
        <f>IF($B96 = "", "",  VLOOKUP($B96, Propostas!$B:$BE, 46, FALSE) )</f>
        <v/>
      </c>
      <c r="N96" s="31" t="str">
        <f>IF($B96 = "", "",  VLOOKUP($B96, Propostas!$B:$BE, 47, FALSE) )</f>
        <v/>
      </c>
      <c r="O96" s="13" t="str">
        <f>IF($B96="","",IF($C96="SIM", "INFRAESTRUTURA", VLOOKUP($B96, Propostas!$B:$BE,42,FALSE)))</f>
        <v/>
      </c>
      <c r="P96" s="31" t="str">
        <f>IF($B96 = "", "",  VLOOKUP($B96, Propostas!$B:$BE, 49, FALSE) )</f>
        <v/>
      </c>
      <c r="Q96" s="13" t="str">
        <f>IF($B96="","",  VLOOKUP($B96, Propostas!$B:$BE, 39, FALSE) )</f>
        <v/>
      </c>
      <c r="R96" s="62" t="str">
        <f>IF($B96="","",  VLOOKUP($B96, Propostas!$B:$BE, 43, FALSE) )</f>
        <v/>
      </c>
      <c r="S96" s="62" t="str">
        <f>IF($B96="","",  VLOOKUP($B96, Propostas!$B:$BE, 44, FALSE) )</f>
        <v/>
      </c>
      <c r="T96" s="62" t="str">
        <f>IF($B96="","",  VLOOKUP($B96, Propostas!$B:$BE, 45, FALSE) )</f>
        <v/>
      </c>
      <c r="U96" s="31"/>
      <c r="V96" s="13" t="str">
        <f>IF($B96="","",  VLOOKUP($B96, Propostas!$B:$BE, 50, FALSE) )</f>
        <v/>
      </c>
      <c r="W96" s="13" t="str">
        <f>IF($B96="","",  VLOOKUP($B96, Propostas!$B:$BE, 51, FALSE) )</f>
        <v/>
      </c>
      <c r="X96" s="13" t="str">
        <f>IF($B96="","",  VLOOKUP($B96, Propostas!$B:$BE, 52, FALSE) )</f>
        <v/>
      </c>
      <c r="Y96" s="13" t="str">
        <f>IF($B96="","",  VLOOKUP($B96, Propostas!$B:$BE, 36, FALSE) )</f>
        <v/>
      </c>
      <c r="Z96" s="13" t="str">
        <f>IF($B96="","",  VLOOKUP($F96, VW_PROJETO!B:C, 2, FALSE) )</f>
        <v/>
      </c>
    </row>
    <row r="97" spans="2:26" x14ac:dyDescent="0.2">
      <c r="B97" s="2"/>
      <c r="C97" s="4" t="str">
        <f>IF($B97="","",  VLOOKUP($B97, Propostas!$B:$BE, 33, FALSE) )</f>
        <v/>
      </c>
      <c r="D97" s="4" t="str">
        <f>IF($B97="","",  VLOOKUP($B97, Propostas!$B:$BE, 34, FALSE) )</f>
        <v/>
      </c>
      <c r="E97" s="4" t="str">
        <f>IF($B97="","",  VLOOKUP($B97, Propostas!$B:$BE, 35, FALSE) )</f>
        <v/>
      </c>
      <c r="F97" s="4" t="str">
        <f>IF($B97="","",  VLOOKUP($B97, Propostas!$B:$BE, 2, FALSE) )</f>
        <v/>
      </c>
      <c r="G97" s="4" t="str">
        <f>IF($B97="","",  VLOOKUP($B97, Propostas!$B:$BE, 3, FALSE) )</f>
        <v/>
      </c>
      <c r="H97" s="4" t="str">
        <f>IF($B97="","",  VLOOKUP($B97, Propostas!$B:$BE, 4, FALSE) )</f>
        <v/>
      </c>
      <c r="I97" s="4" t="str">
        <f>IF($B97="","",  VLOOKUP($B97, Propostas!$B:$BE, 38, FALSE) )</f>
        <v/>
      </c>
      <c r="J97" s="13" t="str">
        <f>IF($B97="","",IF($C97="SIM", "&lt; INFRRAESTRUTURA &gt;", VLOOKUP($B97,Propostas!$B:$BE,41,FALSE)))</f>
        <v/>
      </c>
      <c r="K97" s="10" t="str">
        <f>IF($B97="","",  VLOOKUP($B97, Propostas!$B:$BE, 40, FALSE) )</f>
        <v/>
      </c>
      <c r="L97" s="10" t="str">
        <f>IF($B97="","",IF(VLOOKUP($B97,Propostas!$B:$BE,21,FALSE)=1,"B",IF(VLOOKUP($B97,Propostas!$B:$BE,21,FALSE)=2,"E","N")))</f>
        <v/>
      </c>
      <c r="M97" s="31" t="str">
        <f>IF($B97 = "", "",  VLOOKUP($B97, Propostas!$B:$BE, 46, FALSE) )</f>
        <v/>
      </c>
      <c r="N97" s="31" t="str">
        <f>IF($B97 = "", "",  VLOOKUP($B97, Propostas!$B:$BE, 47, FALSE) )</f>
        <v/>
      </c>
      <c r="O97" s="13" t="str">
        <f>IF($B97="","",IF($C97="SIM", "INFRAESTRUTURA", VLOOKUP($B97, Propostas!$B:$BE,42,FALSE)))</f>
        <v/>
      </c>
      <c r="P97" s="31" t="str">
        <f>IF($B97 = "", "",  VLOOKUP($B97, Propostas!$B:$BE, 49, FALSE) )</f>
        <v/>
      </c>
      <c r="Q97" s="13" t="str">
        <f>IF($B97="","",  VLOOKUP($B97, Propostas!$B:$BE, 39, FALSE) )</f>
        <v/>
      </c>
      <c r="R97" s="62" t="str">
        <f>IF($B97="","",  VLOOKUP($B97, Propostas!$B:$BE, 43, FALSE) )</f>
        <v/>
      </c>
      <c r="S97" s="62" t="str">
        <f>IF($B97="","",  VLOOKUP($B97, Propostas!$B:$BE, 44, FALSE) )</f>
        <v/>
      </c>
      <c r="T97" s="62" t="str">
        <f>IF($B97="","",  VLOOKUP($B97, Propostas!$B:$BE, 45, FALSE) )</f>
        <v/>
      </c>
      <c r="U97" s="31"/>
      <c r="V97" s="13" t="str">
        <f>IF($B97="","",  VLOOKUP($B97, Propostas!$B:$BE, 50, FALSE) )</f>
        <v/>
      </c>
      <c r="W97" s="13" t="str">
        <f>IF($B97="","",  VLOOKUP($B97, Propostas!$B:$BE, 51, FALSE) )</f>
        <v/>
      </c>
      <c r="X97" s="13" t="str">
        <f>IF($B97="","",  VLOOKUP($B97, Propostas!$B:$BE, 52, FALSE) )</f>
        <v/>
      </c>
      <c r="Y97" s="13" t="str">
        <f>IF($B97="","",  VLOOKUP($B97, Propostas!$B:$BE, 36, FALSE) )</f>
        <v/>
      </c>
      <c r="Z97" s="13" t="str">
        <f>IF($B97="","",  VLOOKUP($F97, VW_PROJETO!B:C, 2, FALSE) )</f>
        <v/>
      </c>
    </row>
    <row r="98" spans="2:26" x14ac:dyDescent="0.2">
      <c r="B98" s="2"/>
      <c r="C98" s="4" t="str">
        <f>IF($B98="","",  VLOOKUP($B98, Propostas!$B:$BE, 33, FALSE) )</f>
        <v/>
      </c>
      <c r="D98" s="4" t="str">
        <f>IF($B98="","",  VLOOKUP($B98, Propostas!$B:$BE, 34, FALSE) )</f>
        <v/>
      </c>
      <c r="E98" s="4" t="str">
        <f>IF($B98="","",  VLOOKUP($B98, Propostas!$B:$BE, 35, FALSE) )</f>
        <v/>
      </c>
      <c r="F98" s="4" t="str">
        <f>IF($B98="","",  VLOOKUP($B98, Propostas!$B:$BE, 2, FALSE) )</f>
        <v/>
      </c>
      <c r="G98" s="4" t="str">
        <f>IF($B98="","",  VLOOKUP($B98, Propostas!$B:$BE, 3, FALSE) )</f>
        <v/>
      </c>
      <c r="H98" s="4" t="str">
        <f>IF($B98="","",  VLOOKUP($B98, Propostas!$B:$BE, 4, FALSE) )</f>
        <v/>
      </c>
      <c r="I98" s="4" t="str">
        <f>IF($B98="","",  VLOOKUP($B98, Propostas!$B:$BE, 38, FALSE) )</f>
        <v/>
      </c>
      <c r="J98" s="13" t="str">
        <f>IF($B98="","",IF($C98="SIM", "&lt; INFRRAESTRUTURA &gt;", VLOOKUP($B98,Propostas!$B:$BE,41,FALSE)))</f>
        <v/>
      </c>
      <c r="K98" s="10" t="str">
        <f>IF($B98="","",  VLOOKUP($B98, Propostas!$B:$BE, 40, FALSE) )</f>
        <v/>
      </c>
      <c r="L98" s="10" t="str">
        <f>IF($B98="","",IF(VLOOKUP($B98,Propostas!$B:$BE,21,FALSE)=1,"B",IF(VLOOKUP($B98,Propostas!$B:$BE,21,FALSE)=2,"E","N")))</f>
        <v/>
      </c>
      <c r="M98" s="31" t="str">
        <f>IF($B98 = "", "",  VLOOKUP($B98, Propostas!$B:$BE, 46, FALSE) )</f>
        <v/>
      </c>
      <c r="N98" s="31" t="str">
        <f>IF($B98 = "", "",  VLOOKUP($B98, Propostas!$B:$BE, 47, FALSE) )</f>
        <v/>
      </c>
      <c r="O98" s="13" t="str">
        <f>IF($B98="","",IF($C98="SIM", "INFRAESTRUTURA", VLOOKUP($B98, Propostas!$B:$BE,42,FALSE)))</f>
        <v/>
      </c>
      <c r="P98" s="31" t="str">
        <f>IF($B98 = "", "",  VLOOKUP($B98, Propostas!$B:$BE, 49, FALSE) )</f>
        <v/>
      </c>
      <c r="Q98" s="13" t="str">
        <f>IF($B98="","",  VLOOKUP($B98, Propostas!$B:$BE, 39, FALSE) )</f>
        <v/>
      </c>
      <c r="R98" s="62" t="str">
        <f>IF($B98="","",  VLOOKUP($B98, Propostas!$B:$BE, 43, FALSE) )</f>
        <v/>
      </c>
      <c r="S98" s="62" t="str">
        <f>IF($B98="","",  VLOOKUP($B98, Propostas!$B:$BE, 44, FALSE) )</f>
        <v/>
      </c>
      <c r="T98" s="62" t="str">
        <f>IF($B98="","",  VLOOKUP($B98, Propostas!$B:$BE, 45, FALSE) )</f>
        <v/>
      </c>
      <c r="U98" s="31"/>
      <c r="V98" s="13" t="str">
        <f>IF($B98="","",  VLOOKUP($B98, Propostas!$B:$BE, 50, FALSE) )</f>
        <v/>
      </c>
      <c r="W98" s="13" t="str">
        <f>IF($B98="","",  VLOOKUP($B98, Propostas!$B:$BE, 51, FALSE) )</f>
        <v/>
      </c>
      <c r="X98" s="13" t="str">
        <f>IF($B98="","",  VLOOKUP($B98, Propostas!$B:$BE, 52, FALSE) )</f>
        <v/>
      </c>
      <c r="Y98" s="13" t="str">
        <f>IF($B98="","",  VLOOKUP($B98, Propostas!$B:$BE, 36, FALSE) )</f>
        <v/>
      </c>
      <c r="Z98" s="13" t="str">
        <f>IF($B98="","",  VLOOKUP($F98, VW_PROJETO!B:C, 2, FALSE) )</f>
        <v/>
      </c>
    </row>
    <row r="99" spans="2:26" x14ac:dyDescent="0.2">
      <c r="B99" s="2"/>
      <c r="C99" s="4" t="str">
        <f>IF($B99="","",  VLOOKUP($B99, Propostas!$B:$BE, 33, FALSE) )</f>
        <v/>
      </c>
      <c r="D99" s="4" t="str">
        <f>IF($B99="","",  VLOOKUP($B99, Propostas!$B:$BE, 34, FALSE) )</f>
        <v/>
      </c>
      <c r="E99" s="4" t="str">
        <f>IF($B99="","",  VLOOKUP($B99, Propostas!$B:$BE, 35, FALSE) )</f>
        <v/>
      </c>
      <c r="F99" s="4" t="str">
        <f>IF($B99="","",  VLOOKUP($B99, Propostas!$B:$BE, 2, FALSE) )</f>
        <v/>
      </c>
      <c r="G99" s="4" t="str">
        <f>IF($B99="","",  VLOOKUP($B99, Propostas!$B:$BE, 3, FALSE) )</f>
        <v/>
      </c>
      <c r="H99" s="4" t="str">
        <f>IF($B99="","",  VLOOKUP($B99, Propostas!$B:$BE, 4, FALSE) )</f>
        <v/>
      </c>
      <c r="I99" s="4" t="str">
        <f>IF($B99="","",  VLOOKUP($B99, Propostas!$B:$BE, 38, FALSE) )</f>
        <v/>
      </c>
      <c r="J99" s="13" t="str">
        <f>IF($B99="","",IF($C99="SIM", "&lt; INFRRAESTRUTURA &gt;", VLOOKUP($B99,Propostas!$B:$BE,41,FALSE)))</f>
        <v/>
      </c>
      <c r="K99" s="10" t="str">
        <f>IF($B99="","",  VLOOKUP($B99, Propostas!$B:$BE, 40, FALSE) )</f>
        <v/>
      </c>
      <c r="L99" s="10" t="str">
        <f>IF($B99="","",IF(VLOOKUP($B99,Propostas!$B:$BE,21,FALSE)=1,"B",IF(VLOOKUP($B99,Propostas!$B:$BE,21,FALSE)=2,"E","N")))</f>
        <v/>
      </c>
      <c r="M99" s="31" t="str">
        <f>IF($B99 = "", "",  VLOOKUP($B99, Propostas!$B:$BE, 46, FALSE) )</f>
        <v/>
      </c>
      <c r="N99" s="31" t="str">
        <f>IF($B99 = "", "",  VLOOKUP($B99, Propostas!$B:$BE, 47, FALSE) )</f>
        <v/>
      </c>
      <c r="O99" s="13" t="str">
        <f>IF($B99="","",IF($C99="SIM", "INFRAESTRUTURA", VLOOKUP($B99, Propostas!$B:$BE,42,FALSE)))</f>
        <v/>
      </c>
      <c r="P99" s="31" t="str">
        <f>IF($B99 = "", "",  VLOOKUP($B99, Propostas!$B:$BE, 49, FALSE) )</f>
        <v/>
      </c>
      <c r="Q99" s="13" t="str">
        <f>IF($B99="","",  VLOOKUP($B99, Propostas!$B:$BE, 39, FALSE) )</f>
        <v/>
      </c>
      <c r="R99" s="62" t="str">
        <f>IF($B99="","",  VLOOKUP($B99, Propostas!$B:$BE, 43, FALSE) )</f>
        <v/>
      </c>
      <c r="S99" s="62" t="str">
        <f>IF($B99="","",  VLOOKUP($B99, Propostas!$B:$BE, 44, FALSE) )</f>
        <v/>
      </c>
      <c r="T99" s="62" t="str">
        <f>IF($B99="","",  VLOOKUP($B99, Propostas!$B:$BE, 45, FALSE) )</f>
        <v/>
      </c>
      <c r="U99" s="31"/>
      <c r="V99" s="13" t="str">
        <f>IF($B99="","",  VLOOKUP($B99, Propostas!$B:$BE, 50, FALSE) )</f>
        <v/>
      </c>
      <c r="W99" s="13" t="str">
        <f>IF($B99="","",  VLOOKUP($B99, Propostas!$B:$BE, 51, FALSE) )</f>
        <v/>
      </c>
      <c r="X99" s="13" t="str">
        <f>IF($B99="","",  VLOOKUP($B99, Propostas!$B:$BE, 52, FALSE) )</f>
        <v/>
      </c>
      <c r="Y99" s="13" t="str">
        <f>IF($B99="","",  VLOOKUP($B99, Propostas!$B:$BE, 36, FALSE) )</f>
        <v/>
      </c>
      <c r="Z99" s="13" t="str">
        <f>IF($B99="","",  VLOOKUP($F99, VW_PROJETO!B:C, 2, FALSE) )</f>
        <v/>
      </c>
    </row>
    <row r="100" spans="2:26" x14ac:dyDescent="0.2">
      <c r="B100" s="2"/>
      <c r="C100" s="4" t="str">
        <f>IF($B100="","",  VLOOKUP($B100, Propostas!$B:$BE, 33, FALSE) )</f>
        <v/>
      </c>
      <c r="D100" s="4" t="str">
        <f>IF($B100="","",  VLOOKUP($B100, Propostas!$B:$BE, 34, FALSE) )</f>
        <v/>
      </c>
      <c r="E100" s="4" t="str">
        <f>IF($B100="","",  VLOOKUP($B100, Propostas!$B:$BE, 35, FALSE) )</f>
        <v/>
      </c>
      <c r="F100" s="4" t="str">
        <f>IF($B100="","",  VLOOKUP($B100, Propostas!$B:$BE, 2, FALSE) )</f>
        <v/>
      </c>
      <c r="G100" s="4" t="str">
        <f>IF($B100="","",  VLOOKUP($B100, Propostas!$B:$BE, 3, FALSE) )</f>
        <v/>
      </c>
      <c r="H100" s="4" t="str">
        <f>IF($B100="","",  VLOOKUP($B100, Propostas!$B:$BE, 4, FALSE) )</f>
        <v/>
      </c>
      <c r="I100" s="4" t="str">
        <f>IF($B100="","",  VLOOKUP($B100, Propostas!$B:$BE, 38, FALSE) )</f>
        <v/>
      </c>
      <c r="J100" s="13" t="str">
        <f>IF($B100="","",IF($C100="SIM", "&lt; INFRRAESTRUTURA &gt;", VLOOKUP($B100,Propostas!$B:$BE,41,FALSE)))</f>
        <v/>
      </c>
      <c r="K100" s="10" t="str">
        <f>IF($B100="","",  VLOOKUP($B100, Propostas!$B:$BE, 40, FALSE) )</f>
        <v/>
      </c>
      <c r="L100" s="10" t="str">
        <f>IF($B100="","",IF(VLOOKUP($B100,Propostas!$B:$BE,21,FALSE)=1,"B",IF(VLOOKUP($B100,Propostas!$B:$BE,21,FALSE)=2,"E","N")))</f>
        <v/>
      </c>
      <c r="M100" s="31" t="str">
        <f>IF($B100 = "", "",  VLOOKUP($B100, Propostas!$B:$BE, 46, FALSE) )</f>
        <v/>
      </c>
      <c r="N100" s="31" t="str">
        <f>IF($B100 = "", "",  VLOOKUP($B100, Propostas!$B:$BE, 47, FALSE) )</f>
        <v/>
      </c>
      <c r="O100" s="13" t="str">
        <f>IF($B100="","",IF($C100="SIM", "INFRAESTRUTURA", VLOOKUP($B100, Propostas!$B:$BE,42,FALSE)))</f>
        <v/>
      </c>
      <c r="P100" s="31" t="str">
        <f>IF($B100 = "", "",  VLOOKUP($B100, Propostas!$B:$BE, 49, FALSE) )</f>
        <v/>
      </c>
      <c r="Q100" s="13" t="str">
        <f>IF($B100="","",  VLOOKUP($B100, Propostas!$B:$BE, 39, FALSE) )</f>
        <v/>
      </c>
      <c r="R100" s="62" t="str">
        <f>IF($B100="","",  VLOOKUP($B100, Propostas!$B:$BE, 43, FALSE) )</f>
        <v/>
      </c>
      <c r="S100" s="62" t="str">
        <f>IF($B100="","",  VLOOKUP($B100, Propostas!$B:$BE, 44, FALSE) )</f>
        <v/>
      </c>
      <c r="T100" s="62" t="str">
        <f>IF($B100="","",  VLOOKUP($B100, Propostas!$B:$BE, 45, FALSE) )</f>
        <v/>
      </c>
      <c r="U100" s="31"/>
      <c r="V100" s="13" t="str">
        <f>IF($B100="","",  VLOOKUP($B100, Propostas!$B:$BE, 50, FALSE) )</f>
        <v/>
      </c>
      <c r="W100" s="13" t="str">
        <f>IF($B100="","",  VLOOKUP($B100, Propostas!$B:$BE, 51, FALSE) )</f>
        <v/>
      </c>
      <c r="X100" s="13" t="str">
        <f>IF($B100="","",  VLOOKUP($B100, Propostas!$B:$BE, 52, FALSE) )</f>
        <v/>
      </c>
      <c r="Y100" s="13" t="str">
        <f>IF($B100="","",  VLOOKUP($B100, Propostas!$B:$BE, 36, FALSE) )</f>
        <v/>
      </c>
      <c r="Z100" s="13" t="str">
        <f>IF($B100="","",  VLOOKUP($F100, VW_PROJETO!B:C, 2, FALSE) )</f>
        <v/>
      </c>
    </row>
    <row r="101" spans="2:26" x14ac:dyDescent="0.2">
      <c r="B101" s="2"/>
      <c r="C101" s="4" t="str">
        <f>IF($B101="","",  VLOOKUP($B101, Propostas!$B:$BE, 33, FALSE) )</f>
        <v/>
      </c>
      <c r="D101" s="4" t="str">
        <f>IF($B101="","",  VLOOKUP($B101, Propostas!$B:$BE, 34, FALSE) )</f>
        <v/>
      </c>
      <c r="E101" s="4" t="str">
        <f>IF($B101="","",  VLOOKUP($B101, Propostas!$B:$BE, 35, FALSE) )</f>
        <v/>
      </c>
      <c r="F101" s="4" t="str">
        <f>IF($B101="","",  VLOOKUP($B101, Propostas!$B:$BE, 2, FALSE) )</f>
        <v/>
      </c>
      <c r="G101" s="4" t="str">
        <f>IF($B101="","",  VLOOKUP($B101, Propostas!$B:$BE, 3, FALSE) )</f>
        <v/>
      </c>
      <c r="H101" s="4" t="str">
        <f>IF($B101="","",  VLOOKUP($B101, Propostas!$B:$BE, 4, FALSE) )</f>
        <v/>
      </c>
      <c r="I101" s="4" t="str">
        <f>IF($B101="","",  VLOOKUP($B101, Propostas!$B:$BE, 38, FALSE) )</f>
        <v/>
      </c>
      <c r="J101" s="13" t="str">
        <f>IF($B101="","",IF($C101="SIM", "&lt; INFRRAESTRUTURA &gt;", VLOOKUP($B101,Propostas!$B:$BE,41,FALSE)))</f>
        <v/>
      </c>
      <c r="K101" s="10" t="str">
        <f>IF($B101="","",  VLOOKUP($B101, Propostas!$B:$BE, 40, FALSE) )</f>
        <v/>
      </c>
      <c r="L101" s="10" t="str">
        <f>IF($B101="","",IF(VLOOKUP($B101,Propostas!$B:$BE,21,FALSE)=1,"B",IF(VLOOKUP($B101,Propostas!$B:$BE,21,FALSE)=2,"E","N")))</f>
        <v/>
      </c>
      <c r="M101" s="31" t="str">
        <f>IF($B101 = "", "",  VLOOKUP($B101, Propostas!$B:$BE, 46, FALSE) )</f>
        <v/>
      </c>
      <c r="N101" s="31" t="str">
        <f>IF($B101 = "", "",  VLOOKUP($B101, Propostas!$B:$BE, 47, FALSE) )</f>
        <v/>
      </c>
      <c r="O101" s="13" t="str">
        <f>IF($B101="","",IF($C101="SIM", "INFRAESTRUTURA", VLOOKUP($B101, Propostas!$B:$BE,42,FALSE)))</f>
        <v/>
      </c>
      <c r="P101" s="31" t="str">
        <f>IF($B101 = "", "",  VLOOKUP($B101, Propostas!$B:$BE, 49, FALSE) )</f>
        <v/>
      </c>
      <c r="Q101" s="13" t="str">
        <f>IF($B101="","",  VLOOKUP($B101, Propostas!$B:$BE, 39, FALSE) )</f>
        <v/>
      </c>
      <c r="R101" s="62" t="str">
        <f>IF($B101="","",  VLOOKUP($B101, Propostas!$B:$BE, 43, FALSE) )</f>
        <v/>
      </c>
      <c r="S101" s="62" t="str">
        <f>IF($B101="","",  VLOOKUP($B101, Propostas!$B:$BE, 44, FALSE) )</f>
        <v/>
      </c>
      <c r="T101" s="62" t="str">
        <f>IF($B101="","",  VLOOKUP($B101, Propostas!$B:$BE, 45, FALSE) )</f>
        <v/>
      </c>
      <c r="U101" s="31"/>
      <c r="V101" s="13" t="str">
        <f>IF($B101="","",  VLOOKUP($B101, Propostas!$B:$BE, 50, FALSE) )</f>
        <v/>
      </c>
      <c r="W101" s="13" t="str">
        <f>IF($B101="","",  VLOOKUP($B101, Propostas!$B:$BE, 51, FALSE) )</f>
        <v/>
      </c>
      <c r="X101" s="13" t="str">
        <f>IF($B101="","",  VLOOKUP($B101, Propostas!$B:$BE, 52, FALSE) )</f>
        <v/>
      </c>
      <c r="Y101" s="13" t="str">
        <f>IF($B101="","",  VLOOKUP($B101, Propostas!$B:$BE, 36, FALSE) )</f>
        <v/>
      </c>
      <c r="Z101" s="13" t="str">
        <f>IF($B101="","",  VLOOKUP($F101, VW_PROJETO!B:C, 2, FALSE) )</f>
        <v/>
      </c>
    </row>
    <row r="102" spans="2:26" x14ac:dyDescent="0.2">
      <c r="B102" s="2"/>
      <c r="C102" s="4" t="str">
        <f>IF($B102="","",  VLOOKUP($B102, Propostas!$B:$BE, 33, FALSE) )</f>
        <v/>
      </c>
      <c r="D102" s="4" t="str">
        <f>IF($B102="","",  VLOOKUP($B102, Propostas!$B:$BE, 34, FALSE) )</f>
        <v/>
      </c>
      <c r="E102" s="4" t="str">
        <f>IF($B102="","",  VLOOKUP($B102, Propostas!$B:$BE, 35, FALSE) )</f>
        <v/>
      </c>
      <c r="F102" s="4" t="str">
        <f>IF($B102="","",  VLOOKUP($B102, Propostas!$B:$BE, 2, FALSE) )</f>
        <v/>
      </c>
      <c r="G102" s="4" t="str">
        <f>IF($B102="","",  VLOOKUP($B102, Propostas!$B:$BE, 3, FALSE) )</f>
        <v/>
      </c>
      <c r="H102" s="4" t="str">
        <f>IF($B102="","",  VLOOKUP($B102, Propostas!$B:$BE, 4, FALSE) )</f>
        <v/>
      </c>
      <c r="I102" s="4" t="str">
        <f>IF($B102="","",  VLOOKUP($B102, Propostas!$B:$BE, 38, FALSE) )</f>
        <v/>
      </c>
      <c r="J102" s="13" t="str">
        <f>IF($B102="","",IF($C102="SIM", "&lt; INFRRAESTRUTURA &gt;", VLOOKUP($B102,Propostas!$B:$BE,41,FALSE)))</f>
        <v/>
      </c>
      <c r="K102" s="10" t="str">
        <f>IF($B102="","",  VLOOKUP($B102, Propostas!$B:$BE, 40, FALSE) )</f>
        <v/>
      </c>
      <c r="L102" s="10" t="str">
        <f>IF($B102="","",IF(VLOOKUP($B102,Propostas!$B:$BE,21,FALSE)=1,"B",IF(VLOOKUP($B102,Propostas!$B:$BE,21,FALSE)=2,"E","N")))</f>
        <v/>
      </c>
      <c r="M102" s="31" t="str">
        <f>IF($B102 = "", "",  VLOOKUP($B102, Propostas!$B:$BE, 46, FALSE) )</f>
        <v/>
      </c>
      <c r="N102" s="31" t="str">
        <f>IF($B102 = "", "",  VLOOKUP($B102, Propostas!$B:$BE, 47, FALSE) )</f>
        <v/>
      </c>
      <c r="O102" s="13" t="str">
        <f>IF($B102="","",IF($C102="SIM", "INFRAESTRUTURA", VLOOKUP($B102, Propostas!$B:$BE,42,FALSE)))</f>
        <v/>
      </c>
      <c r="P102" s="31" t="str">
        <f>IF($B102 = "", "",  VLOOKUP($B102, Propostas!$B:$BE, 49, FALSE) )</f>
        <v/>
      </c>
      <c r="Q102" s="13" t="str">
        <f>IF($B102="","",  VLOOKUP($B102, Propostas!$B:$BE, 39, FALSE) )</f>
        <v/>
      </c>
      <c r="R102" s="62" t="str">
        <f>IF($B102="","",  VLOOKUP($B102, Propostas!$B:$BE, 43, FALSE) )</f>
        <v/>
      </c>
      <c r="S102" s="62" t="str">
        <f>IF($B102="","",  VLOOKUP($B102, Propostas!$B:$BE, 44, FALSE) )</f>
        <v/>
      </c>
      <c r="T102" s="62" t="str">
        <f>IF($B102="","",  VLOOKUP($B102, Propostas!$B:$BE, 45, FALSE) )</f>
        <v/>
      </c>
      <c r="U102" s="31"/>
      <c r="V102" s="13" t="str">
        <f>IF($B102="","",  VLOOKUP($B102, Propostas!$B:$BE, 50, FALSE) )</f>
        <v/>
      </c>
      <c r="W102" s="13" t="str">
        <f>IF($B102="","",  VLOOKUP($B102, Propostas!$B:$BE, 51, FALSE) )</f>
        <v/>
      </c>
      <c r="X102" s="13" t="str">
        <f>IF($B102="","",  VLOOKUP($B102, Propostas!$B:$BE, 52, FALSE) )</f>
        <v/>
      </c>
      <c r="Y102" s="13" t="str">
        <f>IF($B102="","",  VLOOKUP($B102, Propostas!$B:$BE, 36, FALSE) )</f>
        <v/>
      </c>
      <c r="Z102" s="13" t="str">
        <f>IF($B102="","",  VLOOKUP($F102, VW_PROJETO!B:C, 2, FALSE) )</f>
        <v/>
      </c>
    </row>
    <row r="103" spans="2:26" x14ac:dyDescent="0.2">
      <c r="B103" s="2"/>
      <c r="C103" s="4" t="str">
        <f>IF($B103="","",  VLOOKUP($B103, Propostas!$B:$BE, 33, FALSE) )</f>
        <v/>
      </c>
      <c r="D103" s="4" t="str">
        <f>IF($B103="","",  VLOOKUP($B103, Propostas!$B:$BE, 34, FALSE) )</f>
        <v/>
      </c>
      <c r="E103" s="4" t="str">
        <f>IF($B103="","",  VLOOKUP($B103, Propostas!$B:$BE, 35, FALSE) )</f>
        <v/>
      </c>
      <c r="F103" s="4" t="str">
        <f>IF($B103="","",  VLOOKUP($B103, Propostas!$B:$BE, 2, FALSE) )</f>
        <v/>
      </c>
      <c r="G103" s="4" t="str">
        <f>IF($B103="","",  VLOOKUP($B103, Propostas!$B:$BE, 3, FALSE) )</f>
        <v/>
      </c>
      <c r="H103" s="4" t="str">
        <f>IF($B103="","",  VLOOKUP($B103, Propostas!$B:$BE, 4, FALSE) )</f>
        <v/>
      </c>
      <c r="I103" s="4" t="str">
        <f>IF($B103="","",  VLOOKUP($B103, Propostas!$B:$BE, 38, FALSE) )</f>
        <v/>
      </c>
      <c r="J103" s="13" t="str">
        <f>IF($B103="","",IF($C103="SIM", "&lt; INFRRAESTRUTURA &gt;", VLOOKUP($B103,Propostas!$B:$BE,41,FALSE)))</f>
        <v/>
      </c>
      <c r="K103" s="10" t="str">
        <f>IF($B103="","",  VLOOKUP($B103, Propostas!$B:$BE, 40, FALSE) )</f>
        <v/>
      </c>
      <c r="L103" s="10" t="str">
        <f>IF($B103="","",IF(VLOOKUP($B103,Propostas!$B:$BE,21,FALSE)=1,"B",IF(VLOOKUP($B103,Propostas!$B:$BE,21,FALSE)=2,"E","N")))</f>
        <v/>
      </c>
      <c r="M103" s="31" t="str">
        <f>IF($B103 = "", "",  VLOOKUP($B103, Propostas!$B:$BE, 46, FALSE) )</f>
        <v/>
      </c>
      <c r="N103" s="31" t="str">
        <f>IF($B103 = "", "",  VLOOKUP($B103, Propostas!$B:$BE, 47, FALSE) )</f>
        <v/>
      </c>
      <c r="O103" s="13" t="str">
        <f>IF($B103="","",IF($C103="SIM", "INFRAESTRUTURA", VLOOKUP($B103, Propostas!$B:$BE,42,FALSE)))</f>
        <v/>
      </c>
      <c r="P103" s="31" t="str">
        <f>IF($B103 = "", "",  VLOOKUP($B103, Propostas!$B:$BE, 49, FALSE) )</f>
        <v/>
      </c>
      <c r="Q103" s="13" t="str">
        <f>IF($B103="","",  VLOOKUP($B103, Propostas!$B:$BE, 39, FALSE) )</f>
        <v/>
      </c>
      <c r="R103" s="62" t="str">
        <f>IF($B103="","",  VLOOKUP($B103, Propostas!$B:$BE, 43, FALSE) )</f>
        <v/>
      </c>
      <c r="S103" s="62" t="str">
        <f>IF($B103="","",  VLOOKUP($B103, Propostas!$B:$BE, 44, FALSE) )</f>
        <v/>
      </c>
      <c r="T103" s="62" t="str">
        <f>IF($B103="","",  VLOOKUP($B103, Propostas!$B:$BE, 45, FALSE) )</f>
        <v/>
      </c>
      <c r="U103" s="31"/>
      <c r="V103" s="13" t="str">
        <f>IF($B103="","",  VLOOKUP($B103, Propostas!$B:$BE, 50, FALSE) )</f>
        <v/>
      </c>
      <c r="W103" s="13" t="str">
        <f>IF($B103="","",  VLOOKUP($B103, Propostas!$B:$BE, 51, FALSE) )</f>
        <v/>
      </c>
      <c r="X103" s="13" t="str">
        <f>IF($B103="","",  VLOOKUP($B103, Propostas!$B:$BE, 52, FALSE) )</f>
        <v/>
      </c>
      <c r="Y103" s="13" t="str">
        <f>IF($B103="","",  VLOOKUP($B103, Propostas!$B:$BE, 36, FALSE) )</f>
        <v/>
      </c>
      <c r="Z103" s="13" t="str">
        <f>IF($B103="","",  VLOOKUP($F103, VW_PROJETO!B:C, 2, FALSE) )</f>
        <v/>
      </c>
    </row>
    <row r="104" spans="2:26" x14ac:dyDescent="0.2">
      <c r="B104" s="2"/>
      <c r="C104" s="4" t="str">
        <f>IF($B104="","",  VLOOKUP($B104, Propostas!$B:$BE, 33, FALSE) )</f>
        <v/>
      </c>
      <c r="D104" s="4" t="str">
        <f>IF($B104="","",  VLOOKUP($B104, Propostas!$B:$BE, 34, FALSE) )</f>
        <v/>
      </c>
      <c r="E104" s="4" t="str">
        <f>IF($B104="","",  VLOOKUP($B104, Propostas!$B:$BE, 35, FALSE) )</f>
        <v/>
      </c>
      <c r="F104" s="4" t="str">
        <f>IF($B104="","",  VLOOKUP($B104, Propostas!$B:$BE, 2, FALSE) )</f>
        <v/>
      </c>
      <c r="G104" s="4" t="str">
        <f>IF($B104="","",  VLOOKUP($B104, Propostas!$B:$BE, 3, FALSE) )</f>
        <v/>
      </c>
      <c r="H104" s="4" t="str">
        <f>IF($B104="","",  VLOOKUP($B104, Propostas!$B:$BE, 4, FALSE) )</f>
        <v/>
      </c>
      <c r="I104" s="4" t="str">
        <f>IF($B104="","",  VLOOKUP($B104, Propostas!$B:$BE, 38, FALSE) )</f>
        <v/>
      </c>
      <c r="J104" s="13" t="str">
        <f>IF($B104="","",IF($C104="SIM", "&lt; INFRRAESTRUTURA &gt;", VLOOKUP($B104,Propostas!$B:$BE,41,FALSE)))</f>
        <v/>
      </c>
      <c r="K104" s="10" t="str">
        <f>IF($B104="","",  VLOOKUP($B104, Propostas!$B:$BE, 40, FALSE) )</f>
        <v/>
      </c>
      <c r="L104" s="10" t="str">
        <f>IF($B104="","",IF(VLOOKUP($B104,Propostas!$B:$BE,21,FALSE)=1,"B",IF(VLOOKUP($B104,Propostas!$B:$BE,21,FALSE)=2,"E","N")))</f>
        <v/>
      </c>
      <c r="M104" s="31" t="str">
        <f>IF($B104 = "", "",  VLOOKUP($B104, Propostas!$B:$BE, 46, FALSE) )</f>
        <v/>
      </c>
      <c r="N104" s="31" t="str">
        <f>IF($B104 = "", "",  VLOOKUP($B104, Propostas!$B:$BE, 47, FALSE) )</f>
        <v/>
      </c>
      <c r="O104" s="13" t="str">
        <f>IF($B104="","",IF($C104="SIM", "INFRAESTRUTURA", VLOOKUP($B104, Propostas!$B:$BE,42,FALSE)))</f>
        <v/>
      </c>
      <c r="P104" s="31" t="str">
        <f>IF($B104 = "", "",  VLOOKUP($B104, Propostas!$B:$BE, 49, FALSE) )</f>
        <v/>
      </c>
      <c r="Q104" s="13" t="str">
        <f>IF($B104="","",  VLOOKUP($B104, Propostas!$B:$BE, 39, FALSE) )</f>
        <v/>
      </c>
      <c r="R104" s="62" t="str">
        <f>IF($B104="","",  VLOOKUP($B104, Propostas!$B:$BE, 43, FALSE) )</f>
        <v/>
      </c>
      <c r="S104" s="62" t="str">
        <f>IF($B104="","",  VLOOKUP($B104, Propostas!$B:$BE, 44, FALSE) )</f>
        <v/>
      </c>
      <c r="T104" s="62" t="str">
        <f>IF($B104="","",  VLOOKUP($B104, Propostas!$B:$BE, 45, FALSE) )</f>
        <v/>
      </c>
      <c r="U104" s="31"/>
      <c r="V104" s="13" t="str">
        <f>IF($B104="","",  VLOOKUP($B104, Propostas!$B:$BE, 50, FALSE) )</f>
        <v/>
      </c>
      <c r="W104" s="13" t="str">
        <f>IF($B104="","",  VLOOKUP($B104, Propostas!$B:$BE, 51, FALSE) )</f>
        <v/>
      </c>
      <c r="X104" s="13" t="str">
        <f>IF($B104="","",  VLOOKUP($B104, Propostas!$B:$BE, 52, FALSE) )</f>
        <v/>
      </c>
      <c r="Y104" s="13" t="str">
        <f>IF($B104="","",  VLOOKUP($B104, Propostas!$B:$BE, 36, FALSE) )</f>
        <v/>
      </c>
      <c r="Z104" s="13" t="str">
        <f>IF($B104="","",  VLOOKUP($F104, VW_PROJETO!B:C, 2, FALSE) )</f>
        <v/>
      </c>
    </row>
    <row r="105" spans="2:26" x14ac:dyDescent="0.2">
      <c r="B105" s="2"/>
      <c r="C105" s="4" t="str">
        <f>IF($B105="","",  VLOOKUP($B105, Propostas!$B:$BE, 33, FALSE) )</f>
        <v/>
      </c>
      <c r="D105" s="4" t="str">
        <f>IF($B105="","",  VLOOKUP($B105, Propostas!$B:$BE, 34, FALSE) )</f>
        <v/>
      </c>
      <c r="E105" s="4" t="str">
        <f>IF($B105="","",  VLOOKUP($B105, Propostas!$B:$BE, 35, FALSE) )</f>
        <v/>
      </c>
      <c r="F105" s="4" t="str">
        <f>IF($B105="","",  VLOOKUP($B105, Propostas!$B:$BE, 2, FALSE) )</f>
        <v/>
      </c>
      <c r="G105" s="4" t="str">
        <f>IF($B105="","",  VLOOKUP($B105, Propostas!$B:$BE, 3, FALSE) )</f>
        <v/>
      </c>
      <c r="H105" s="4" t="str">
        <f>IF($B105="","",  VLOOKUP($B105, Propostas!$B:$BE, 4, FALSE) )</f>
        <v/>
      </c>
      <c r="I105" s="4" t="str">
        <f>IF($B105="","",  VLOOKUP($B105, Propostas!$B:$BE, 38, FALSE) )</f>
        <v/>
      </c>
      <c r="J105" s="13" t="str">
        <f>IF($B105="","",IF($C105="SIM", "&lt; INFRRAESTRUTURA &gt;", VLOOKUP($B105,Propostas!$B:$BE,41,FALSE)))</f>
        <v/>
      </c>
      <c r="K105" s="10" t="str">
        <f>IF($B105="","",  VLOOKUP($B105, Propostas!$B:$BE, 40, FALSE) )</f>
        <v/>
      </c>
      <c r="L105" s="10" t="str">
        <f>IF($B105="","",IF(VLOOKUP($B105,Propostas!$B:$BE,21,FALSE)=1,"B",IF(VLOOKUP($B105,Propostas!$B:$BE,21,FALSE)=2,"E","N")))</f>
        <v/>
      </c>
      <c r="M105" s="31" t="str">
        <f>IF($B105 = "", "",  VLOOKUP($B105, Propostas!$B:$BE, 46, FALSE) )</f>
        <v/>
      </c>
      <c r="N105" s="31" t="str">
        <f>IF($B105 = "", "",  VLOOKUP($B105, Propostas!$B:$BE, 47, FALSE) )</f>
        <v/>
      </c>
      <c r="O105" s="13" t="str">
        <f>IF($B105="","",IF($C105="SIM", "INFRAESTRUTURA", VLOOKUP($B105, Propostas!$B:$BE,42,FALSE)))</f>
        <v/>
      </c>
      <c r="P105" s="31" t="str">
        <f>IF($B105 = "", "",  VLOOKUP($B105, Propostas!$B:$BE, 49, FALSE) )</f>
        <v/>
      </c>
      <c r="Q105" s="13" t="str">
        <f>IF($B105="","",  VLOOKUP($B105, Propostas!$B:$BE, 39, FALSE) )</f>
        <v/>
      </c>
      <c r="R105" s="62" t="str">
        <f>IF($B105="","",  VLOOKUP($B105, Propostas!$B:$BE, 43, FALSE) )</f>
        <v/>
      </c>
      <c r="S105" s="62" t="str">
        <f>IF($B105="","",  VLOOKUP($B105, Propostas!$B:$BE, 44, FALSE) )</f>
        <v/>
      </c>
      <c r="T105" s="62" t="str">
        <f>IF($B105="","",  VLOOKUP($B105, Propostas!$B:$BE, 45, FALSE) )</f>
        <v/>
      </c>
      <c r="U105" s="31"/>
      <c r="V105" s="13" t="str">
        <f>IF($B105="","",  VLOOKUP($B105, Propostas!$B:$BE, 50, FALSE) )</f>
        <v/>
      </c>
      <c r="W105" s="13" t="str">
        <f>IF($B105="","",  VLOOKUP($B105, Propostas!$B:$BE, 51, FALSE) )</f>
        <v/>
      </c>
      <c r="X105" s="13" t="str">
        <f>IF($B105="","",  VLOOKUP($B105, Propostas!$B:$BE, 52, FALSE) )</f>
        <v/>
      </c>
      <c r="Y105" s="13" t="str">
        <f>IF($B105="","",  VLOOKUP($B105, Propostas!$B:$BE, 36, FALSE) )</f>
        <v/>
      </c>
      <c r="Z105" s="13" t="str">
        <f>IF($B105="","",  VLOOKUP($F105, VW_PROJETO!B:C, 2, FALSE) )</f>
        <v/>
      </c>
    </row>
    <row r="106" spans="2:26" x14ac:dyDescent="0.2">
      <c r="B106" s="2"/>
      <c r="C106" s="4" t="str">
        <f>IF($B106="","",  VLOOKUP($B106, Propostas!$B:$BE, 33, FALSE) )</f>
        <v/>
      </c>
      <c r="D106" s="4" t="str">
        <f>IF($B106="","",  VLOOKUP($B106, Propostas!$B:$BE, 34, FALSE) )</f>
        <v/>
      </c>
      <c r="E106" s="4" t="str">
        <f>IF($B106="","",  VLOOKUP($B106, Propostas!$B:$BE, 35, FALSE) )</f>
        <v/>
      </c>
      <c r="F106" s="4" t="str">
        <f>IF($B106="","",  VLOOKUP($B106, Propostas!$B:$BE, 2, FALSE) )</f>
        <v/>
      </c>
      <c r="G106" s="4" t="str">
        <f>IF($B106="","",  VLOOKUP($B106, Propostas!$B:$BE, 3, FALSE) )</f>
        <v/>
      </c>
      <c r="H106" s="4" t="str">
        <f>IF($B106="","",  VLOOKUP($B106, Propostas!$B:$BE, 4, FALSE) )</f>
        <v/>
      </c>
      <c r="I106" s="4" t="str">
        <f>IF($B106="","",  VLOOKUP($B106, Propostas!$B:$BE, 38, FALSE) )</f>
        <v/>
      </c>
      <c r="J106" s="13" t="str">
        <f>IF($B106="","",IF($C106="SIM", "&lt; INFRRAESTRUTURA &gt;", VLOOKUP($B106,Propostas!$B:$BE,41,FALSE)))</f>
        <v/>
      </c>
      <c r="K106" s="10" t="str">
        <f>IF($B106="","",  VLOOKUP($B106, Propostas!$B:$BE, 40, FALSE) )</f>
        <v/>
      </c>
      <c r="L106" s="10" t="str">
        <f>IF($B106="","",IF(VLOOKUP($B106,Propostas!$B:$BE,21,FALSE)=1,"B",IF(VLOOKUP($B106,Propostas!$B:$BE,21,FALSE)=2,"E","N")))</f>
        <v/>
      </c>
      <c r="M106" s="31" t="str">
        <f>IF($B106 = "", "",  VLOOKUP($B106, Propostas!$B:$BE, 46, FALSE) )</f>
        <v/>
      </c>
      <c r="N106" s="31" t="str">
        <f>IF($B106 = "", "",  VLOOKUP($B106, Propostas!$B:$BE, 47, FALSE) )</f>
        <v/>
      </c>
      <c r="O106" s="13" t="str">
        <f>IF($B106="","",IF($C106="SIM", "INFRAESTRUTURA", VLOOKUP($B106, Propostas!$B:$BE,42,FALSE)))</f>
        <v/>
      </c>
      <c r="P106" s="31" t="str">
        <f>IF($B106 = "", "",  VLOOKUP($B106, Propostas!$B:$BE, 49, FALSE) )</f>
        <v/>
      </c>
      <c r="Q106" s="13" t="str">
        <f>IF($B106="","",  VLOOKUP($B106, Propostas!$B:$BE, 39, FALSE) )</f>
        <v/>
      </c>
      <c r="R106" s="62" t="str">
        <f>IF($B106="","",  VLOOKUP($B106, Propostas!$B:$BE, 43, FALSE) )</f>
        <v/>
      </c>
      <c r="S106" s="62" t="str">
        <f>IF($B106="","",  VLOOKUP($B106, Propostas!$B:$BE, 44, FALSE) )</f>
        <v/>
      </c>
      <c r="T106" s="62" t="str">
        <f>IF($B106="","",  VLOOKUP($B106, Propostas!$B:$BE, 45, FALSE) )</f>
        <v/>
      </c>
      <c r="U106" s="31"/>
      <c r="V106" s="13" t="str">
        <f>IF($B106="","",  VLOOKUP($B106, Propostas!$B:$BE, 50, FALSE) )</f>
        <v/>
      </c>
      <c r="W106" s="13" t="str">
        <f>IF($B106="","",  VLOOKUP($B106, Propostas!$B:$BE, 51, FALSE) )</f>
        <v/>
      </c>
      <c r="X106" s="13" t="str">
        <f>IF($B106="","",  VLOOKUP($B106, Propostas!$B:$BE, 52, FALSE) )</f>
        <v/>
      </c>
      <c r="Y106" s="13" t="str">
        <f>IF($B106="","",  VLOOKUP($B106, Propostas!$B:$BE, 36, FALSE) )</f>
        <v/>
      </c>
      <c r="Z106" s="13" t="str">
        <f>IF($B106="","",  VLOOKUP($F106, VW_PROJETO!B:C, 2, FALSE) )</f>
        <v/>
      </c>
    </row>
    <row r="107" spans="2:26" x14ac:dyDescent="0.2">
      <c r="B107" s="2"/>
      <c r="C107" s="4" t="str">
        <f>IF($B107="","",  VLOOKUP($B107, Propostas!$B:$BE, 33, FALSE) )</f>
        <v/>
      </c>
      <c r="D107" s="4" t="str">
        <f>IF($B107="","",  VLOOKUP($B107, Propostas!$B:$BE, 34, FALSE) )</f>
        <v/>
      </c>
      <c r="E107" s="4" t="str">
        <f>IF($B107="","",  VLOOKUP($B107, Propostas!$B:$BE, 35, FALSE) )</f>
        <v/>
      </c>
      <c r="F107" s="4" t="str">
        <f>IF($B107="","",  VLOOKUP($B107, Propostas!$B:$BE, 2, FALSE) )</f>
        <v/>
      </c>
      <c r="G107" s="4" t="str">
        <f>IF($B107="","",  VLOOKUP($B107, Propostas!$B:$BE, 3, FALSE) )</f>
        <v/>
      </c>
      <c r="H107" s="4" t="str">
        <f>IF($B107="","",  VLOOKUP($B107, Propostas!$B:$BE, 4, FALSE) )</f>
        <v/>
      </c>
      <c r="I107" s="4" t="str">
        <f>IF($B107="","",  VLOOKUP($B107, Propostas!$B:$BE, 38, FALSE) )</f>
        <v/>
      </c>
      <c r="J107" s="13" t="str">
        <f>IF($B107="","",IF($C107="SIM", "&lt; INFRRAESTRUTURA &gt;", VLOOKUP($B107,Propostas!$B:$BE,41,FALSE)))</f>
        <v/>
      </c>
      <c r="K107" s="10" t="str">
        <f>IF($B107="","",  VLOOKUP($B107, Propostas!$B:$BE, 40, FALSE) )</f>
        <v/>
      </c>
      <c r="L107" s="10" t="str">
        <f>IF($B107="","",IF(VLOOKUP($B107,Propostas!$B:$BE,21,FALSE)=1,"B",IF(VLOOKUP($B107,Propostas!$B:$BE,21,FALSE)=2,"E","N")))</f>
        <v/>
      </c>
      <c r="M107" s="31" t="str">
        <f>IF($B107 = "", "",  VLOOKUP($B107, Propostas!$B:$BE, 46, FALSE) )</f>
        <v/>
      </c>
      <c r="N107" s="31" t="str">
        <f>IF($B107 = "", "",  VLOOKUP($B107, Propostas!$B:$BE, 47, FALSE) )</f>
        <v/>
      </c>
      <c r="O107" s="13" t="str">
        <f>IF($B107="","",IF($C107="SIM", "INFRAESTRUTURA", VLOOKUP($B107, Propostas!$B:$BE,42,FALSE)))</f>
        <v/>
      </c>
      <c r="P107" s="31" t="str">
        <f>IF($B107 = "", "",  VLOOKUP($B107, Propostas!$B:$BE, 49, FALSE) )</f>
        <v/>
      </c>
      <c r="Q107" s="13" t="str">
        <f>IF($B107="","",  VLOOKUP($B107, Propostas!$B:$BE, 39, FALSE) )</f>
        <v/>
      </c>
      <c r="R107" s="62" t="str">
        <f>IF($B107="","",  VLOOKUP($B107, Propostas!$B:$BE, 43, FALSE) )</f>
        <v/>
      </c>
      <c r="S107" s="62" t="str">
        <f>IF($B107="","",  VLOOKUP($B107, Propostas!$B:$BE, 44, FALSE) )</f>
        <v/>
      </c>
      <c r="T107" s="62" t="str">
        <f>IF($B107="","",  VLOOKUP($B107, Propostas!$B:$BE, 45, FALSE) )</f>
        <v/>
      </c>
      <c r="U107" s="31"/>
      <c r="V107" s="13" t="str">
        <f>IF($B107="","",  VLOOKUP($B107, Propostas!$B:$BE, 50, FALSE) )</f>
        <v/>
      </c>
      <c r="W107" s="13" t="str">
        <f>IF($B107="","",  VLOOKUP($B107, Propostas!$B:$BE, 51, FALSE) )</f>
        <v/>
      </c>
      <c r="X107" s="13" t="str">
        <f>IF($B107="","",  VLOOKUP($B107, Propostas!$B:$BE, 52, FALSE) )</f>
        <v/>
      </c>
      <c r="Y107" s="13" t="str">
        <f>IF($B107="","",  VLOOKUP($B107, Propostas!$B:$BE, 36, FALSE) )</f>
        <v/>
      </c>
      <c r="Z107" s="13" t="str">
        <f>IF($B107="","",  VLOOKUP($F107, VW_PROJETO!B:C, 2, FALSE) )</f>
        <v/>
      </c>
    </row>
    <row r="108" spans="2:26" x14ac:dyDescent="0.2">
      <c r="B108" s="2"/>
      <c r="C108" s="4" t="str">
        <f>IF($B108="","",  VLOOKUP($B108, Propostas!$B:$BE, 33, FALSE) )</f>
        <v/>
      </c>
      <c r="D108" s="4" t="str">
        <f>IF($B108="","",  VLOOKUP($B108, Propostas!$B:$BE, 34, FALSE) )</f>
        <v/>
      </c>
      <c r="E108" s="4" t="str">
        <f>IF($B108="","",  VLOOKUP($B108, Propostas!$B:$BE, 35, FALSE) )</f>
        <v/>
      </c>
      <c r="F108" s="4" t="str">
        <f>IF($B108="","",  VLOOKUP($B108, Propostas!$B:$BE, 2, FALSE) )</f>
        <v/>
      </c>
      <c r="G108" s="4" t="str">
        <f>IF($B108="","",  VLOOKUP($B108, Propostas!$B:$BE, 3, FALSE) )</f>
        <v/>
      </c>
      <c r="H108" s="4" t="str">
        <f>IF($B108="","",  VLOOKUP($B108, Propostas!$B:$BE, 4, FALSE) )</f>
        <v/>
      </c>
      <c r="I108" s="4" t="str">
        <f>IF($B108="","",  VLOOKUP($B108, Propostas!$B:$BE, 38, FALSE) )</f>
        <v/>
      </c>
      <c r="J108" s="13" t="str">
        <f>IF($B108="","",IF($C108="SIM", "&lt; INFRRAESTRUTURA &gt;", VLOOKUP($B108,Propostas!$B:$BE,41,FALSE)))</f>
        <v/>
      </c>
      <c r="K108" s="10" t="str">
        <f>IF($B108="","",  VLOOKUP($B108, Propostas!$B:$BE, 40, FALSE) )</f>
        <v/>
      </c>
      <c r="L108" s="10" t="str">
        <f>IF($B108="","",IF(VLOOKUP($B108,Propostas!$B:$BE,21,FALSE)=1,"B",IF(VLOOKUP($B108,Propostas!$B:$BE,21,FALSE)=2,"E","N")))</f>
        <v/>
      </c>
      <c r="M108" s="31" t="str">
        <f>IF($B108 = "", "",  VLOOKUP($B108, Propostas!$B:$BE, 46, FALSE) )</f>
        <v/>
      </c>
      <c r="N108" s="31" t="str">
        <f>IF($B108 = "", "",  VLOOKUP($B108, Propostas!$B:$BE, 47, FALSE) )</f>
        <v/>
      </c>
      <c r="O108" s="13" t="str">
        <f>IF($B108="","",IF($C108="SIM", "INFRAESTRUTURA", VLOOKUP($B108, Propostas!$B:$BE,42,FALSE)))</f>
        <v/>
      </c>
      <c r="P108" s="31" t="str">
        <f>IF($B108 = "", "",  VLOOKUP($B108, Propostas!$B:$BE, 49, FALSE) )</f>
        <v/>
      </c>
      <c r="Q108" s="13" t="str">
        <f>IF($B108="","",  VLOOKUP($B108, Propostas!$B:$BE, 39, FALSE) )</f>
        <v/>
      </c>
      <c r="R108" s="62" t="str">
        <f>IF($B108="","",  VLOOKUP($B108, Propostas!$B:$BE, 43, FALSE) )</f>
        <v/>
      </c>
      <c r="S108" s="62" t="str">
        <f>IF($B108="","",  VLOOKUP($B108, Propostas!$B:$BE, 44, FALSE) )</f>
        <v/>
      </c>
      <c r="T108" s="62" t="str">
        <f>IF($B108="","",  VLOOKUP($B108, Propostas!$B:$BE, 45, FALSE) )</f>
        <v/>
      </c>
      <c r="U108" s="31"/>
      <c r="V108" s="13" t="str">
        <f>IF($B108="","",  VLOOKUP($B108, Propostas!$B:$BE, 50, FALSE) )</f>
        <v/>
      </c>
      <c r="W108" s="13" t="str">
        <f>IF($B108="","",  VLOOKUP($B108, Propostas!$B:$BE, 51, FALSE) )</f>
        <v/>
      </c>
      <c r="X108" s="13" t="str">
        <f>IF($B108="","",  VLOOKUP($B108, Propostas!$B:$BE, 52, FALSE) )</f>
        <v/>
      </c>
      <c r="Y108" s="13" t="str">
        <f>IF($B108="","",  VLOOKUP($B108, Propostas!$B:$BE, 36, FALSE) )</f>
        <v/>
      </c>
      <c r="Z108" s="13" t="str">
        <f>IF($B108="","",  VLOOKUP($F108, VW_PROJETO!B:C, 2, FALSE) )</f>
        <v/>
      </c>
    </row>
    <row r="109" spans="2:26" x14ac:dyDescent="0.2">
      <c r="B109" s="2"/>
      <c r="C109" s="4" t="str">
        <f>IF($B109="","",  VLOOKUP($B109, Propostas!$B:$BE, 33, FALSE) )</f>
        <v/>
      </c>
      <c r="D109" s="4" t="str">
        <f>IF($B109="","",  VLOOKUP($B109, Propostas!$B:$BE, 34, FALSE) )</f>
        <v/>
      </c>
      <c r="E109" s="4" t="str">
        <f>IF($B109="","",  VLOOKUP($B109, Propostas!$B:$BE, 35, FALSE) )</f>
        <v/>
      </c>
      <c r="F109" s="4" t="str">
        <f>IF($B109="","",  VLOOKUP($B109, Propostas!$B:$BE, 2, FALSE) )</f>
        <v/>
      </c>
      <c r="G109" s="4" t="str">
        <f>IF($B109="","",  VLOOKUP($B109, Propostas!$B:$BE, 3, FALSE) )</f>
        <v/>
      </c>
      <c r="H109" s="4" t="str">
        <f>IF($B109="","",  VLOOKUP($B109, Propostas!$B:$BE, 4, FALSE) )</f>
        <v/>
      </c>
      <c r="I109" s="4" t="str">
        <f>IF($B109="","",  VLOOKUP($B109, Propostas!$B:$BE, 38, FALSE) )</f>
        <v/>
      </c>
      <c r="J109" s="13" t="str">
        <f>IF($B109="","",IF($C109="SIM", "&lt; INFRRAESTRUTURA &gt;", VLOOKUP($B109,Propostas!$B:$BE,41,FALSE)))</f>
        <v/>
      </c>
      <c r="K109" s="10" t="str">
        <f>IF($B109="","",  VLOOKUP($B109, Propostas!$B:$BE, 40, FALSE) )</f>
        <v/>
      </c>
      <c r="L109" s="10" t="str">
        <f>IF($B109="","",IF(VLOOKUP($B109,Propostas!$B:$BE,21,FALSE)=1,"B",IF(VLOOKUP($B109,Propostas!$B:$BE,21,FALSE)=2,"E","N")))</f>
        <v/>
      </c>
      <c r="M109" s="31" t="str">
        <f>IF($B109 = "", "",  VLOOKUP($B109, Propostas!$B:$BE, 46, FALSE) )</f>
        <v/>
      </c>
      <c r="N109" s="31" t="str">
        <f>IF($B109 = "", "",  VLOOKUP($B109, Propostas!$B:$BE, 47, FALSE) )</f>
        <v/>
      </c>
      <c r="O109" s="13" t="str">
        <f>IF($B109="","",IF($C109="SIM", "INFRAESTRUTURA", VLOOKUP($B109, Propostas!$B:$BE,42,FALSE)))</f>
        <v/>
      </c>
      <c r="P109" s="31" t="str">
        <f>IF($B109 = "", "",  VLOOKUP($B109, Propostas!$B:$BE, 49, FALSE) )</f>
        <v/>
      </c>
      <c r="Q109" s="13" t="str">
        <f>IF($B109="","",  VLOOKUP($B109, Propostas!$B:$BE, 39, FALSE) )</f>
        <v/>
      </c>
      <c r="R109" s="62" t="str">
        <f>IF($B109="","",  VLOOKUP($B109, Propostas!$B:$BE, 43, FALSE) )</f>
        <v/>
      </c>
      <c r="S109" s="62" t="str">
        <f>IF($B109="","",  VLOOKUP($B109, Propostas!$B:$BE, 44, FALSE) )</f>
        <v/>
      </c>
      <c r="T109" s="62" t="str">
        <f>IF($B109="","",  VLOOKUP($B109, Propostas!$B:$BE, 45, FALSE) )</f>
        <v/>
      </c>
      <c r="U109" s="31"/>
      <c r="V109" s="13" t="str">
        <f>IF($B109="","",  VLOOKUP($B109, Propostas!$B:$BE, 50, FALSE) )</f>
        <v/>
      </c>
      <c r="W109" s="13" t="str">
        <f>IF($B109="","",  VLOOKUP($B109, Propostas!$B:$BE, 51, FALSE) )</f>
        <v/>
      </c>
      <c r="X109" s="13" t="str">
        <f>IF($B109="","",  VLOOKUP($B109, Propostas!$B:$BE, 52, FALSE) )</f>
        <v/>
      </c>
      <c r="Y109" s="13" t="str">
        <f>IF($B109="","",  VLOOKUP($B109, Propostas!$B:$BE, 36, FALSE) )</f>
        <v/>
      </c>
      <c r="Z109" s="13" t="str">
        <f>IF($B109="","",  VLOOKUP($F109, VW_PROJETO!B:C, 2, FALSE) )</f>
        <v/>
      </c>
    </row>
    <row r="110" spans="2:26" x14ac:dyDescent="0.2">
      <c r="B110" s="2"/>
      <c r="C110" s="4" t="str">
        <f>IF($B110="","",  VLOOKUP($B110, Propostas!$B:$BE, 33, FALSE) )</f>
        <v/>
      </c>
      <c r="D110" s="4" t="str">
        <f>IF($B110="","",  VLOOKUP($B110, Propostas!$B:$BE, 34, FALSE) )</f>
        <v/>
      </c>
      <c r="E110" s="4" t="str">
        <f>IF($B110="","",  VLOOKUP($B110, Propostas!$B:$BE, 35, FALSE) )</f>
        <v/>
      </c>
      <c r="F110" s="4" t="str">
        <f>IF($B110="","",  VLOOKUP($B110, Propostas!$B:$BE, 2, FALSE) )</f>
        <v/>
      </c>
      <c r="G110" s="4" t="str">
        <f>IF($B110="","",  VLOOKUP($B110, Propostas!$B:$BE, 3, FALSE) )</f>
        <v/>
      </c>
      <c r="H110" s="4" t="str">
        <f>IF($B110="","",  VLOOKUP($B110, Propostas!$B:$BE, 4, FALSE) )</f>
        <v/>
      </c>
      <c r="I110" s="4" t="str">
        <f>IF($B110="","",  VLOOKUP($B110, Propostas!$B:$BE, 38, FALSE) )</f>
        <v/>
      </c>
      <c r="J110" s="13" t="str">
        <f>IF($B110="","",IF($C110="SIM", "&lt; INFRRAESTRUTURA &gt;", VLOOKUP($B110,Propostas!$B:$BE,41,FALSE)))</f>
        <v/>
      </c>
      <c r="K110" s="10" t="str">
        <f>IF($B110="","",  VLOOKUP($B110, Propostas!$B:$BE, 40, FALSE) )</f>
        <v/>
      </c>
      <c r="L110" s="10" t="str">
        <f>IF($B110="","",IF(VLOOKUP($B110,Propostas!$B:$BE,21,FALSE)=1,"B",IF(VLOOKUP($B110,Propostas!$B:$BE,21,FALSE)=2,"E","N")))</f>
        <v/>
      </c>
      <c r="M110" s="31" t="str">
        <f>IF($B110 = "", "",  VLOOKUP($B110, Propostas!$B:$BE, 46, FALSE) )</f>
        <v/>
      </c>
      <c r="N110" s="31" t="str">
        <f>IF($B110 = "", "",  VLOOKUP($B110, Propostas!$B:$BE, 47, FALSE) )</f>
        <v/>
      </c>
      <c r="O110" s="13" t="str">
        <f>IF($B110="","",IF($C110="SIM", "INFRAESTRUTURA", VLOOKUP($B110, Propostas!$B:$BE,42,FALSE)))</f>
        <v/>
      </c>
      <c r="P110" s="31" t="str">
        <f>IF($B110 = "", "",  VLOOKUP($B110, Propostas!$B:$BE, 49, FALSE) )</f>
        <v/>
      </c>
      <c r="Q110" s="13" t="str">
        <f>IF($B110="","",  VLOOKUP($B110, Propostas!$B:$BE, 39, FALSE) )</f>
        <v/>
      </c>
      <c r="R110" s="62" t="str">
        <f>IF($B110="","",  VLOOKUP($B110, Propostas!$B:$BE, 43, FALSE) )</f>
        <v/>
      </c>
      <c r="S110" s="62" t="str">
        <f>IF($B110="","",  VLOOKUP($B110, Propostas!$B:$BE, 44, FALSE) )</f>
        <v/>
      </c>
      <c r="T110" s="62" t="str">
        <f>IF($B110="","",  VLOOKUP($B110, Propostas!$B:$BE, 45, FALSE) )</f>
        <v/>
      </c>
      <c r="U110" s="31"/>
      <c r="V110" s="13" t="str">
        <f>IF($B110="","",  VLOOKUP($B110, Propostas!$B:$BE, 50, FALSE) )</f>
        <v/>
      </c>
      <c r="W110" s="13" t="str">
        <f>IF($B110="","",  VLOOKUP($B110, Propostas!$B:$BE, 51, FALSE) )</f>
        <v/>
      </c>
      <c r="X110" s="13" t="str">
        <f>IF($B110="","",  VLOOKUP($B110, Propostas!$B:$BE, 52, FALSE) )</f>
        <v/>
      </c>
      <c r="Y110" s="13" t="str">
        <f>IF($B110="","",  VLOOKUP($B110, Propostas!$B:$BE, 36, FALSE) )</f>
        <v/>
      </c>
      <c r="Z110" s="13" t="str">
        <f>IF($B110="","",  VLOOKUP($F110, VW_PROJETO!B:C, 2, FALSE) )</f>
        <v/>
      </c>
    </row>
    <row r="111" spans="2:26" x14ac:dyDescent="0.2">
      <c r="B111" s="2"/>
      <c r="C111" s="4" t="str">
        <f>IF($B111="","",  VLOOKUP($B111, Propostas!$B:$BE, 33, FALSE) )</f>
        <v/>
      </c>
      <c r="D111" s="4" t="str">
        <f>IF($B111="","",  VLOOKUP($B111, Propostas!$B:$BE, 34, FALSE) )</f>
        <v/>
      </c>
      <c r="E111" s="4" t="str">
        <f>IF($B111="","",  VLOOKUP($B111, Propostas!$B:$BE, 35, FALSE) )</f>
        <v/>
      </c>
      <c r="F111" s="4" t="str">
        <f>IF($B111="","",  VLOOKUP($B111, Propostas!$B:$BE, 2, FALSE) )</f>
        <v/>
      </c>
      <c r="G111" s="4" t="str">
        <f>IF($B111="","",  VLOOKUP($B111, Propostas!$B:$BE, 3, FALSE) )</f>
        <v/>
      </c>
      <c r="H111" s="4" t="str">
        <f>IF($B111="","",  VLOOKUP($B111, Propostas!$B:$BE, 4, FALSE) )</f>
        <v/>
      </c>
      <c r="I111" s="4" t="str">
        <f>IF($B111="","",  VLOOKUP($B111, Propostas!$B:$BE, 38, FALSE) )</f>
        <v/>
      </c>
      <c r="J111" s="13" t="str">
        <f>IF($B111="","",IF($C111="SIM", "&lt; INFRRAESTRUTURA &gt;", VLOOKUP($B111,Propostas!$B:$BE,41,FALSE)))</f>
        <v/>
      </c>
      <c r="K111" s="10" t="str">
        <f>IF($B111="","",  VLOOKUP($B111, Propostas!$B:$BE, 40, FALSE) )</f>
        <v/>
      </c>
      <c r="L111" s="10" t="str">
        <f>IF($B111="","",IF(VLOOKUP($B111,Propostas!$B:$BE,21,FALSE)=1,"B",IF(VLOOKUP($B111,Propostas!$B:$BE,21,FALSE)=2,"E","N")))</f>
        <v/>
      </c>
      <c r="M111" s="31" t="str">
        <f>IF($B111 = "", "",  VLOOKUP($B111, Propostas!$B:$BE, 46, FALSE) )</f>
        <v/>
      </c>
      <c r="N111" s="31" t="str">
        <f>IF($B111 = "", "",  VLOOKUP($B111, Propostas!$B:$BE, 47, FALSE) )</f>
        <v/>
      </c>
      <c r="O111" s="13" t="str">
        <f>IF($B111="","",IF($C111="SIM", "INFRAESTRUTURA", VLOOKUP($B111, Propostas!$B:$BE,42,FALSE)))</f>
        <v/>
      </c>
      <c r="P111" s="31" t="str">
        <f>IF($B111 = "", "",  VLOOKUP($B111, Propostas!$B:$BE, 49, FALSE) )</f>
        <v/>
      </c>
      <c r="Q111" s="13" t="str">
        <f>IF($B111="","",  VLOOKUP($B111, Propostas!$B:$BE, 39, FALSE) )</f>
        <v/>
      </c>
      <c r="R111" s="62" t="str">
        <f>IF($B111="","",  VLOOKUP($B111, Propostas!$B:$BE, 43, FALSE) )</f>
        <v/>
      </c>
      <c r="S111" s="62" t="str">
        <f>IF($B111="","",  VLOOKUP($B111, Propostas!$B:$BE, 44, FALSE) )</f>
        <v/>
      </c>
      <c r="T111" s="62" t="str">
        <f>IF($B111="","",  VLOOKUP($B111, Propostas!$B:$BE, 45, FALSE) )</f>
        <v/>
      </c>
      <c r="U111" s="31"/>
      <c r="V111" s="13" t="str">
        <f>IF($B111="","",  VLOOKUP($B111, Propostas!$B:$BE, 50, FALSE) )</f>
        <v/>
      </c>
      <c r="W111" s="13" t="str">
        <f>IF($B111="","",  VLOOKUP($B111, Propostas!$B:$BE, 51, FALSE) )</f>
        <v/>
      </c>
      <c r="X111" s="13" t="str">
        <f>IF($B111="","",  VLOOKUP($B111, Propostas!$B:$BE, 52, FALSE) )</f>
        <v/>
      </c>
      <c r="Y111" s="13" t="str">
        <f>IF($B111="","",  VLOOKUP($B111, Propostas!$B:$BE, 36, FALSE) )</f>
        <v/>
      </c>
      <c r="Z111" s="13" t="str">
        <f>IF($B111="","",  VLOOKUP($F111, VW_PROJETO!B:C, 2, FALSE) )</f>
        <v/>
      </c>
    </row>
    <row r="112" spans="2:26" x14ac:dyDescent="0.2">
      <c r="B112" s="2"/>
      <c r="C112" s="4" t="str">
        <f>IF($B112="","",  VLOOKUP($B112, Propostas!$B:$BE, 33, FALSE) )</f>
        <v/>
      </c>
      <c r="D112" s="4" t="str">
        <f>IF($B112="","",  VLOOKUP($B112, Propostas!$B:$BE, 34, FALSE) )</f>
        <v/>
      </c>
      <c r="E112" s="4" t="str">
        <f>IF($B112="","",  VLOOKUP($B112, Propostas!$B:$BE, 35, FALSE) )</f>
        <v/>
      </c>
      <c r="F112" s="4" t="str">
        <f>IF($B112="","",  VLOOKUP($B112, Propostas!$B:$BE, 2, FALSE) )</f>
        <v/>
      </c>
      <c r="G112" s="4" t="str">
        <f>IF($B112="","",  VLOOKUP($B112, Propostas!$B:$BE, 3, FALSE) )</f>
        <v/>
      </c>
      <c r="H112" s="4" t="str">
        <f>IF($B112="","",  VLOOKUP($B112, Propostas!$B:$BE, 4, FALSE) )</f>
        <v/>
      </c>
      <c r="I112" s="4" t="str">
        <f>IF($B112="","",  VLOOKUP($B112, Propostas!$B:$BE, 38, FALSE) )</f>
        <v/>
      </c>
      <c r="J112" s="13" t="str">
        <f>IF($B112="","",IF($C112="SIM", "&lt; INFRRAESTRUTURA &gt;", VLOOKUP($B112,Propostas!$B:$BE,41,FALSE)))</f>
        <v/>
      </c>
      <c r="K112" s="10" t="str">
        <f>IF($B112="","",  VLOOKUP($B112, Propostas!$B:$BE, 40, FALSE) )</f>
        <v/>
      </c>
      <c r="L112" s="10" t="str">
        <f>IF($B112="","",IF(VLOOKUP($B112,Propostas!$B:$BE,21,FALSE)=1,"B",IF(VLOOKUP($B112,Propostas!$B:$BE,21,FALSE)=2,"E","N")))</f>
        <v/>
      </c>
      <c r="M112" s="31" t="str">
        <f>IF($B112 = "", "",  VLOOKUP($B112, Propostas!$B:$BE, 46, FALSE) )</f>
        <v/>
      </c>
      <c r="N112" s="31" t="str">
        <f>IF($B112 = "", "",  VLOOKUP($B112, Propostas!$B:$BE, 47, FALSE) )</f>
        <v/>
      </c>
      <c r="O112" s="13" t="str">
        <f>IF($B112="","",IF($C112="SIM", "INFRAESTRUTURA", VLOOKUP($B112, Propostas!$B:$BE,42,FALSE)))</f>
        <v/>
      </c>
      <c r="P112" s="31" t="str">
        <f>IF($B112 = "", "",  VLOOKUP($B112, Propostas!$B:$BE, 49, FALSE) )</f>
        <v/>
      </c>
      <c r="Q112" s="13" t="str">
        <f>IF($B112="","",  VLOOKUP($B112, Propostas!$B:$BE, 39, FALSE) )</f>
        <v/>
      </c>
      <c r="R112" s="62" t="str">
        <f>IF($B112="","",  VLOOKUP($B112, Propostas!$B:$BE, 43, FALSE) )</f>
        <v/>
      </c>
      <c r="S112" s="62" t="str">
        <f>IF($B112="","",  VLOOKUP($B112, Propostas!$B:$BE, 44, FALSE) )</f>
        <v/>
      </c>
      <c r="T112" s="62" t="str">
        <f>IF($B112="","",  VLOOKUP($B112, Propostas!$B:$BE, 45, FALSE) )</f>
        <v/>
      </c>
      <c r="U112" s="31"/>
      <c r="V112" s="13" t="str">
        <f>IF($B112="","",  VLOOKUP($B112, Propostas!$B:$BE, 50, FALSE) )</f>
        <v/>
      </c>
      <c r="W112" s="13" t="str">
        <f>IF($B112="","",  VLOOKUP($B112, Propostas!$B:$BE, 51, FALSE) )</f>
        <v/>
      </c>
      <c r="X112" s="13" t="str">
        <f>IF($B112="","",  VLOOKUP($B112, Propostas!$B:$BE, 52, FALSE) )</f>
        <v/>
      </c>
      <c r="Y112" s="13" t="str">
        <f>IF($B112="","",  VLOOKUP($B112, Propostas!$B:$BE, 36, FALSE) )</f>
        <v/>
      </c>
      <c r="Z112" s="13" t="str">
        <f>IF($B112="","",  VLOOKUP($F112, VW_PROJETO!B:C, 2, FALSE) )</f>
        <v/>
      </c>
    </row>
    <row r="113" spans="2:26" x14ac:dyDescent="0.2">
      <c r="B113" s="2"/>
      <c r="C113" s="4" t="str">
        <f>IF($B113="","",  VLOOKUP($B113, Propostas!$B:$BE, 33, FALSE) )</f>
        <v/>
      </c>
      <c r="D113" s="4" t="str">
        <f>IF($B113="","",  VLOOKUP($B113, Propostas!$B:$BE, 34, FALSE) )</f>
        <v/>
      </c>
      <c r="E113" s="4" t="str">
        <f>IF($B113="","",  VLOOKUP($B113, Propostas!$B:$BE, 35, FALSE) )</f>
        <v/>
      </c>
      <c r="F113" s="4" t="str">
        <f>IF($B113="","",  VLOOKUP($B113, Propostas!$B:$BE, 2, FALSE) )</f>
        <v/>
      </c>
      <c r="G113" s="4" t="str">
        <f>IF($B113="","",  VLOOKUP($B113, Propostas!$B:$BE, 3, FALSE) )</f>
        <v/>
      </c>
      <c r="H113" s="4" t="str">
        <f>IF($B113="","",  VLOOKUP($B113, Propostas!$B:$BE, 4, FALSE) )</f>
        <v/>
      </c>
      <c r="I113" s="4" t="str">
        <f>IF($B113="","",  VLOOKUP($B113, Propostas!$B:$BE, 38, FALSE) )</f>
        <v/>
      </c>
      <c r="J113" s="13" t="str">
        <f>IF($B113="","",IF($C113="SIM", "&lt; INFRRAESTRUTURA &gt;", VLOOKUP($B113,Propostas!$B:$BE,41,FALSE)))</f>
        <v/>
      </c>
      <c r="K113" s="10" t="str">
        <f>IF($B113="","",  VLOOKUP($B113, Propostas!$B:$BE, 40, FALSE) )</f>
        <v/>
      </c>
      <c r="L113" s="10" t="str">
        <f>IF($B113="","",IF(VLOOKUP($B113,Propostas!$B:$BE,21,FALSE)=1,"B",IF(VLOOKUP($B113,Propostas!$B:$BE,21,FALSE)=2,"E","N")))</f>
        <v/>
      </c>
      <c r="M113" s="31" t="str">
        <f>IF($B113 = "", "",  VLOOKUP($B113, Propostas!$B:$BE, 46, FALSE) )</f>
        <v/>
      </c>
      <c r="N113" s="31" t="str">
        <f>IF($B113 = "", "",  VLOOKUP($B113, Propostas!$B:$BE, 47, FALSE) )</f>
        <v/>
      </c>
      <c r="O113" s="13" t="str">
        <f>IF($B113="","",IF($C113="SIM", "INFRAESTRUTURA", VLOOKUP($B113, Propostas!$B:$BE,42,FALSE)))</f>
        <v/>
      </c>
      <c r="P113" s="31" t="str">
        <f>IF($B113 = "", "",  VLOOKUP($B113, Propostas!$B:$BE, 49, FALSE) )</f>
        <v/>
      </c>
      <c r="Q113" s="13" t="str">
        <f>IF($B113="","",  VLOOKUP($B113, Propostas!$B:$BE, 39, FALSE) )</f>
        <v/>
      </c>
      <c r="R113" s="62" t="str">
        <f>IF($B113="","",  VLOOKUP($B113, Propostas!$B:$BE, 43, FALSE) )</f>
        <v/>
      </c>
      <c r="S113" s="62" t="str">
        <f>IF($B113="","",  VLOOKUP($B113, Propostas!$B:$BE, 44, FALSE) )</f>
        <v/>
      </c>
      <c r="T113" s="62" t="str">
        <f>IF($B113="","",  VLOOKUP($B113, Propostas!$B:$BE, 45, FALSE) )</f>
        <v/>
      </c>
      <c r="U113" s="31"/>
      <c r="V113" s="13" t="str">
        <f>IF($B113="","",  VLOOKUP($B113, Propostas!$B:$BE, 50, FALSE) )</f>
        <v/>
      </c>
      <c r="W113" s="13" t="str">
        <f>IF($B113="","",  VLOOKUP($B113, Propostas!$B:$BE, 51, FALSE) )</f>
        <v/>
      </c>
      <c r="X113" s="13" t="str">
        <f>IF($B113="","",  VLOOKUP($B113, Propostas!$B:$BE, 52, FALSE) )</f>
        <v/>
      </c>
      <c r="Y113" s="13" t="str">
        <f>IF($B113="","",  VLOOKUP($B113, Propostas!$B:$BE, 36, FALSE) )</f>
        <v/>
      </c>
      <c r="Z113" s="13" t="str">
        <f>IF($B113="","",  VLOOKUP($F113, VW_PROJETO!B:C, 2, FALSE) )</f>
        <v/>
      </c>
    </row>
    <row r="114" spans="2:26" x14ac:dyDescent="0.2">
      <c r="B114" s="2"/>
      <c r="C114" s="4" t="str">
        <f>IF($B114="","",  VLOOKUP($B114, Propostas!$B:$BE, 33, FALSE) )</f>
        <v/>
      </c>
      <c r="D114" s="4" t="str">
        <f>IF($B114="","",  VLOOKUP($B114, Propostas!$B:$BE, 34, FALSE) )</f>
        <v/>
      </c>
      <c r="E114" s="4" t="str">
        <f>IF($B114="","",  VLOOKUP($B114, Propostas!$B:$BE, 35, FALSE) )</f>
        <v/>
      </c>
      <c r="F114" s="4" t="str">
        <f>IF($B114="","",  VLOOKUP($B114, Propostas!$B:$BE, 2, FALSE) )</f>
        <v/>
      </c>
      <c r="G114" s="4" t="str">
        <f>IF($B114="","",  VLOOKUP($B114, Propostas!$B:$BE, 3, FALSE) )</f>
        <v/>
      </c>
      <c r="H114" s="4" t="str">
        <f>IF($B114="","",  VLOOKUP($B114, Propostas!$B:$BE, 4, FALSE) )</f>
        <v/>
      </c>
      <c r="I114" s="4" t="str">
        <f>IF($B114="","",  VLOOKUP($B114, Propostas!$B:$BE, 38, FALSE) )</f>
        <v/>
      </c>
      <c r="J114" s="13" t="str">
        <f>IF($B114="","",IF($C114="SIM", "&lt; INFRRAESTRUTURA &gt;", VLOOKUP($B114,Propostas!$B:$BE,41,FALSE)))</f>
        <v/>
      </c>
      <c r="K114" s="10" t="str">
        <f>IF($B114="","",  VLOOKUP($B114, Propostas!$B:$BE, 40, FALSE) )</f>
        <v/>
      </c>
      <c r="L114" s="10" t="str">
        <f>IF($B114="","",IF(VLOOKUP($B114,Propostas!$B:$BE,21,FALSE)=1,"B",IF(VLOOKUP($B114,Propostas!$B:$BE,21,FALSE)=2,"E","N")))</f>
        <v/>
      </c>
      <c r="M114" s="31" t="str">
        <f>IF($B114 = "", "",  VLOOKUP($B114, Propostas!$B:$BE, 46, FALSE) )</f>
        <v/>
      </c>
      <c r="N114" s="31" t="str">
        <f>IF($B114 = "", "",  VLOOKUP($B114, Propostas!$B:$BE, 47, FALSE) )</f>
        <v/>
      </c>
      <c r="O114" s="13" t="str">
        <f>IF($B114="","",IF($C114="SIM", "INFRAESTRUTURA", VLOOKUP($B114, Propostas!$B:$BE,42,FALSE)))</f>
        <v/>
      </c>
      <c r="P114" s="31" t="str">
        <f>IF($B114 = "", "",  VLOOKUP($B114, Propostas!$B:$BE, 49, FALSE) )</f>
        <v/>
      </c>
      <c r="Q114" s="13" t="str">
        <f>IF($B114="","",  VLOOKUP($B114, Propostas!$B:$BE, 39, FALSE) )</f>
        <v/>
      </c>
      <c r="R114" s="62" t="str">
        <f>IF($B114="","",  VLOOKUP($B114, Propostas!$B:$BE, 43, FALSE) )</f>
        <v/>
      </c>
      <c r="S114" s="62" t="str">
        <f>IF($B114="","",  VLOOKUP($B114, Propostas!$B:$BE, 44, FALSE) )</f>
        <v/>
      </c>
      <c r="T114" s="62" t="str">
        <f>IF($B114="","",  VLOOKUP($B114, Propostas!$B:$BE, 45, FALSE) )</f>
        <v/>
      </c>
      <c r="U114" s="31"/>
      <c r="V114" s="13" t="str">
        <f>IF($B114="","",  VLOOKUP($B114, Propostas!$B:$BE, 50, FALSE) )</f>
        <v/>
      </c>
      <c r="W114" s="13" t="str">
        <f>IF($B114="","",  VLOOKUP($B114, Propostas!$B:$BE, 51, FALSE) )</f>
        <v/>
      </c>
      <c r="X114" s="13" t="str">
        <f>IF($B114="","",  VLOOKUP($B114, Propostas!$B:$BE, 52, FALSE) )</f>
        <v/>
      </c>
      <c r="Y114" s="13" t="str">
        <f>IF($B114="","",  VLOOKUP($B114, Propostas!$B:$BE, 36, FALSE) )</f>
        <v/>
      </c>
      <c r="Z114" s="13" t="str">
        <f>IF($B114="","",  VLOOKUP($F114, VW_PROJETO!B:C, 2, FALSE) )</f>
        <v/>
      </c>
    </row>
    <row r="115" spans="2:26" x14ac:dyDescent="0.2">
      <c r="B115" s="2"/>
      <c r="C115" s="4" t="str">
        <f>IF($B115="","",  VLOOKUP($B115, Propostas!$B:$BE, 33, FALSE) )</f>
        <v/>
      </c>
      <c r="D115" s="4" t="str">
        <f>IF($B115="","",  VLOOKUP($B115, Propostas!$B:$BE, 34, FALSE) )</f>
        <v/>
      </c>
      <c r="E115" s="4" t="str">
        <f>IF($B115="","",  VLOOKUP($B115, Propostas!$B:$BE, 35, FALSE) )</f>
        <v/>
      </c>
      <c r="F115" s="4" t="str">
        <f>IF($B115="","",  VLOOKUP($B115, Propostas!$B:$BE, 2, FALSE) )</f>
        <v/>
      </c>
      <c r="G115" s="4" t="str">
        <f>IF($B115="","",  VLOOKUP($B115, Propostas!$B:$BE, 3, FALSE) )</f>
        <v/>
      </c>
      <c r="H115" s="4" t="str">
        <f>IF($B115="","",  VLOOKUP($B115, Propostas!$B:$BE, 4, FALSE) )</f>
        <v/>
      </c>
      <c r="I115" s="4" t="str">
        <f>IF($B115="","",  VLOOKUP($B115, Propostas!$B:$BE, 38, FALSE) )</f>
        <v/>
      </c>
      <c r="J115" s="13" t="str">
        <f>IF($B115="","",IF($C115="SIM", "&lt; INFRRAESTRUTURA &gt;", VLOOKUP($B115,Propostas!$B:$BE,41,FALSE)))</f>
        <v/>
      </c>
      <c r="K115" s="10" t="str">
        <f>IF($B115="","",  VLOOKUP($B115, Propostas!$B:$BE, 40, FALSE) )</f>
        <v/>
      </c>
      <c r="L115" s="10" t="str">
        <f>IF($B115="","",IF(VLOOKUP($B115,Propostas!$B:$BE,21,FALSE)=1,"B",IF(VLOOKUP($B115,Propostas!$B:$BE,21,FALSE)=2,"E","N")))</f>
        <v/>
      </c>
      <c r="M115" s="31" t="str">
        <f>IF($B115 = "", "",  VLOOKUP($B115, Propostas!$B:$BE, 46, FALSE) )</f>
        <v/>
      </c>
      <c r="N115" s="31" t="str">
        <f>IF($B115 = "", "",  VLOOKUP($B115, Propostas!$B:$BE, 47, FALSE) )</f>
        <v/>
      </c>
      <c r="O115" s="13" t="str">
        <f>IF($B115="","",IF($C115="SIM", "INFRAESTRUTURA", VLOOKUP($B115, Propostas!$B:$BE,42,FALSE)))</f>
        <v/>
      </c>
      <c r="P115" s="31" t="str">
        <f>IF($B115 = "", "",  VLOOKUP($B115, Propostas!$B:$BE, 49, FALSE) )</f>
        <v/>
      </c>
      <c r="Q115" s="13" t="str">
        <f>IF($B115="","",  VLOOKUP($B115, Propostas!$B:$BE, 39, FALSE) )</f>
        <v/>
      </c>
      <c r="R115" s="62" t="str">
        <f>IF($B115="","",  VLOOKUP($B115, Propostas!$B:$BE, 43, FALSE) )</f>
        <v/>
      </c>
      <c r="S115" s="62" t="str">
        <f>IF($B115="","",  VLOOKUP($B115, Propostas!$B:$BE, 44, FALSE) )</f>
        <v/>
      </c>
      <c r="T115" s="62" t="str">
        <f>IF($B115="","",  VLOOKUP($B115, Propostas!$B:$BE, 45, FALSE) )</f>
        <v/>
      </c>
      <c r="U115" s="31"/>
      <c r="V115" s="13" t="str">
        <f>IF($B115="","",  VLOOKUP($B115, Propostas!$B:$BE, 50, FALSE) )</f>
        <v/>
      </c>
      <c r="W115" s="13" t="str">
        <f>IF($B115="","",  VLOOKUP($B115, Propostas!$B:$BE, 51, FALSE) )</f>
        <v/>
      </c>
      <c r="X115" s="13" t="str">
        <f>IF($B115="","",  VLOOKUP($B115, Propostas!$B:$BE, 52, FALSE) )</f>
        <v/>
      </c>
      <c r="Y115" s="13" t="str">
        <f>IF($B115="","",  VLOOKUP($B115, Propostas!$B:$BE, 36, FALSE) )</f>
        <v/>
      </c>
      <c r="Z115" s="13" t="str">
        <f>IF($B115="","",  VLOOKUP($F115, VW_PROJETO!B:C, 2, FALSE) )</f>
        <v/>
      </c>
    </row>
    <row r="116" spans="2:26" x14ac:dyDescent="0.2">
      <c r="B116" s="2"/>
      <c r="C116" s="4" t="str">
        <f>IF($B116="","",  VLOOKUP($B116, Propostas!$B:$BE, 33, FALSE) )</f>
        <v/>
      </c>
      <c r="D116" s="4" t="str">
        <f>IF($B116="","",  VLOOKUP($B116, Propostas!$B:$BE, 34, FALSE) )</f>
        <v/>
      </c>
      <c r="E116" s="4" t="str">
        <f>IF($B116="","",  VLOOKUP($B116, Propostas!$B:$BE, 35, FALSE) )</f>
        <v/>
      </c>
      <c r="F116" s="4" t="str">
        <f>IF($B116="","",  VLOOKUP($B116, Propostas!$B:$BE, 2, FALSE) )</f>
        <v/>
      </c>
      <c r="G116" s="4" t="str">
        <f>IF($B116="","",  VLOOKUP($B116, Propostas!$B:$BE, 3, FALSE) )</f>
        <v/>
      </c>
      <c r="H116" s="4" t="str">
        <f>IF($B116="","",  VLOOKUP($B116, Propostas!$B:$BE, 4, FALSE) )</f>
        <v/>
      </c>
      <c r="I116" s="4" t="str">
        <f>IF($B116="","",  VLOOKUP($B116, Propostas!$B:$BE, 38, FALSE) )</f>
        <v/>
      </c>
      <c r="J116" s="13" t="str">
        <f>IF($B116="","",IF($C116="SIM", "&lt; INFRRAESTRUTURA &gt;", VLOOKUP($B116,Propostas!$B:$BE,41,FALSE)))</f>
        <v/>
      </c>
      <c r="K116" s="10" t="str">
        <f>IF($B116="","",  VLOOKUP($B116, Propostas!$B:$BE, 40, FALSE) )</f>
        <v/>
      </c>
      <c r="L116" s="10" t="str">
        <f>IF($B116="","",IF(VLOOKUP($B116,Propostas!$B:$BE,21,FALSE)=1,"B",IF(VLOOKUP($B116,Propostas!$B:$BE,21,FALSE)=2,"E","N")))</f>
        <v/>
      </c>
      <c r="M116" s="31" t="str">
        <f>IF($B116 = "", "",  VLOOKUP($B116, Propostas!$B:$BE, 46, FALSE) )</f>
        <v/>
      </c>
      <c r="N116" s="31" t="str">
        <f>IF($B116 = "", "",  VLOOKUP($B116, Propostas!$B:$BE, 47, FALSE) )</f>
        <v/>
      </c>
      <c r="O116" s="13" t="str">
        <f>IF($B116="","",IF($C116="SIM", "INFRAESTRUTURA", VLOOKUP($B116, Propostas!$B:$BE,42,FALSE)))</f>
        <v/>
      </c>
      <c r="P116" s="31" t="str">
        <f>IF($B116 = "", "",  VLOOKUP($B116, Propostas!$B:$BE, 49, FALSE) )</f>
        <v/>
      </c>
      <c r="Q116" s="13" t="str">
        <f>IF($B116="","",  VLOOKUP($B116, Propostas!$B:$BE, 39, FALSE) )</f>
        <v/>
      </c>
      <c r="R116" s="62" t="str">
        <f>IF($B116="","",  VLOOKUP($B116, Propostas!$B:$BE, 43, FALSE) )</f>
        <v/>
      </c>
      <c r="S116" s="62" t="str">
        <f>IF($B116="","",  VLOOKUP($B116, Propostas!$B:$BE, 44, FALSE) )</f>
        <v/>
      </c>
      <c r="T116" s="62" t="str">
        <f>IF($B116="","",  VLOOKUP($B116, Propostas!$B:$BE, 45, FALSE) )</f>
        <v/>
      </c>
      <c r="U116" s="31"/>
      <c r="V116" s="13" t="str">
        <f>IF($B116="","",  VLOOKUP($B116, Propostas!$B:$BE, 50, FALSE) )</f>
        <v/>
      </c>
      <c r="W116" s="13" t="str">
        <f>IF($B116="","",  VLOOKUP($B116, Propostas!$B:$BE, 51, FALSE) )</f>
        <v/>
      </c>
      <c r="X116" s="13" t="str">
        <f>IF($B116="","",  VLOOKUP($B116, Propostas!$B:$BE, 52, FALSE) )</f>
        <v/>
      </c>
      <c r="Y116" s="13" t="str">
        <f>IF($B116="","",  VLOOKUP($B116, Propostas!$B:$BE, 36, FALSE) )</f>
        <v/>
      </c>
      <c r="Z116" s="13" t="str">
        <f>IF($B116="","",  VLOOKUP($F116, VW_PROJETO!B:C, 2, FALSE) )</f>
        <v/>
      </c>
    </row>
    <row r="117" spans="2:26" x14ac:dyDescent="0.2">
      <c r="B117" s="2"/>
      <c r="C117" s="4" t="str">
        <f>IF($B117="","",  VLOOKUP($B117, Propostas!$B:$BE, 33, FALSE) )</f>
        <v/>
      </c>
      <c r="D117" s="4" t="str">
        <f>IF($B117="","",  VLOOKUP($B117, Propostas!$B:$BE, 34, FALSE) )</f>
        <v/>
      </c>
      <c r="E117" s="4" t="str">
        <f>IF($B117="","",  VLOOKUP($B117, Propostas!$B:$BE, 35, FALSE) )</f>
        <v/>
      </c>
      <c r="F117" s="4" t="str">
        <f>IF($B117="","",  VLOOKUP($B117, Propostas!$B:$BE, 2, FALSE) )</f>
        <v/>
      </c>
      <c r="G117" s="4" t="str">
        <f>IF($B117="","",  VLOOKUP($B117, Propostas!$B:$BE, 3, FALSE) )</f>
        <v/>
      </c>
      <c r="H117" s="4" t="str">
        <f>IF($B117="","",  VLOOKUP($B117, Propostas!$B:$BE, 4, FALSE) )</f>
        <v/>
      </c>
      <c r="I117" s="4" t="str">
        <f>IF($B117="","",  VLOOKUP($B117, Propostas!$B:$BE, 38, FALSE) )</f>
        <v/>
      </c>
      <c r="J117" s="13" t="str">
        <f>IF($B117="","",IF($C117="SIM", "&lt; INFRRAESTRUTURA &gt;", VLOOKUP($B117,Propostas!$B:$BE,41,FALSE)))</f>
        <v/>
      </c>
      <c r="K117" s="10" t="str">
        <f>IF($B117="","",  VLOOKUP($B117, Propostas!$B:$BE, 40, FALSE) )</f>
        <v/>
      </c>
      <c r="L117" s="10" t="str">
        <f>IF($B117="","",IF(VLOOKUP($B117,Propostas!$B:$BE,21,FALSE)=1,"B",IF(VLOOKUP($B117,Propostas!$B:$BE,21,FALSE)=2,"E","N")))</f>
        <v/>
      </c>
      <c r="M117" s="31" t="str">
        <f>IF($B117 = "", "",  VLOOKUP($B117, Propostas!$B:$BE, 46, FALSE) )</f>
        <v/>
      </c>
      <c r="N117" s="31" t="str">
        <f>IF($B117 = "", "",  VLOOKUP($B117, Propostas!$B:$BE, 47, FALSE) )</f>
        <v/>
      </c>
      <c r="O117" s="13" t="str">
        <f>IF($B117="","",IF($C117="SIM", "INFRAESTRUTURA", VLOOKUP($B117, Propostas!$B:$BE,42,FALSE)))</f>
        <v/>
      </c>
      <c r="P117" s="31" t="str">
        <f>IF($B117 = "", "",  VLOOKUP($B117, Propostas!$B:$BE, 49, FALSE) )</f>
        <v/>
      </c>
      <c r="Q117" s="13" t="str">
        <f>IF($B117="","",  VLOOKUP($B117, Propostas!$B:$BE, 39, FALSE) )</f>
        <v/>
      </c>
      <c r="R117" s="62" t="str">
        <f>IF($B117="","",  VLOOKUP($B117, Propostas!$B:$BE, 43, FALSE) )</f>
        <v/>
      </c>
      <c r="S117" s="62" t="str">
        <f>IF($B117="","",  VLOOKUP($B117, Propostas!$B:$BE, 44, FALSE) )</f>
        <v/>
      </c>
      <c r="T117" s="62" t="str">
        <f>IF($B117="","",  VLOOKUP($B117, Propostas!$B:$BE, 45, FALSE) )</f>
        <v/>
      </c>
      <c r="U117" s="31"/>
      <c r="V117" s="13" t="str">
        <f>IF($B117="","",  VLOOKUP($B117, Propostas!$B:$BE, 50, FALSE) )</f>
        <v/>
      </c>
      <c r="W117" s="13" t="str">
        <f>IF($B117="","",  VLOOKUP($B117, Propostas!$B:$BE, 51, FALSE) )</f>
        <v/>
      </c>
      <c r="X117" s="13" t="str">
        <f>IF($B117="","",  VLOOKUP($B117, Propostas!$B:$BE, 52, FALSE) )</f>
        <v/>
      </c>
      <c r="Y117" s="13" t="str">
        <f>IF($B117="","",  VLOOKUP($B117, Propostas!$B:$BE, 36, FALSE) )</f>
        <v/>
      </c>
      <c r="Z117" s="13" t="str">
        <f>IF($B117="","",  VLOOKUP($F117, VW_PROJETO!B:C, 2, FALSE) )</f>
        <v/>
      </c>
    </row>
    <row r="118" spans="2:26" x14ac:dyDescent="0.2">
      <c r="B118" s="2"/>
      <c r="C118" s="4" t="str">
        <f>IF($B118="","",  VLOOKUP($B118, Propostas!$B:$BE, 33, FALSE) )</f>
        <v/>
      </c>
      <c r="D118" s="4" t="str">
        <f>IF($B118="","",  VLOOKUP($B118, Propostas!$B:$BE, 34, FALSE) )</f>
        <v/>
      </c>
      <c r="E118" s="4" t="str">
        <f>IF($B118="","",  VLOOKUP($B118, Propostas!$B:$BE, 35, FALSE) )</f>
        <v/>
      </c>
      <c r="F118" s="4" t="str">
        <f>IF($B118="","",  VLOOKUP($B118, Propostas!$B:$BE, 2, FALSE) )</f>
        <v/>
      </c>
      <c r="G118" s="4" t="str">
        <f>IF($B118="","",  VLOOKUP($B118, Propostas!$B:$BE, 3, FALSE) )</f>
        <v/>
      </c>
      <c r="H118" s="4" t="str">
        <f>IF($B118="","",  VLOOKUP($B118, Propostas!$B:$BE, 4, FALSE) )</f>
        <v/>
      </c>
      <c r="I118" s="4" t="str">
        <f>IF($B118="","",  VLOOKUP($B118, Propostas!$B:$BE, 38, FALSE) )</f>
        <v/>
      </c>
      <c r="J118" s="13" t="str">
        <f>IF($B118="","",IF($C118="SIM", "&lt; INFRRAESTRUTURA &gt;", VLOOKUP($B118,Propostas!$B:$BE,41,FALSE)))</f>
        <v/>
      </c>
      <c r="K118" s="10" t="str">
        <f>IF($B118="","",  VLOOKUP($B118, Propostas!$B:$BE, 40, FALSE) )</f>
        <v/>
      </c>
      <c r="L118" s="10" t="str">
        <f>IF($B118="","",IF(VLOOKUP($B118,Propostas!$B:$BE,21,FALSE)=1,"B",IF(VLOOKUP($B118,Propostas!$B:$BE,21,FALSE)=2,"E","N")))</f>
        <v/>
      </c>
      <c r="M118" s="31" t="str">
        <f>IF($B118 = "", "",  VLOOKUP($B118, Propostas!$B:$BE, 46, FALSE) )</f>
        <v/>
      </c>
      <c r="N118" s="31" t="str">
        <f>IF($B118 = "", "",  VLOOKUP($B118, Propostas!$B:$BE, 47, FALSE) )</f>
        <v/>
      </c>
      <c r="O118" s="13" t="str">
        <f>IF($B118="","",IF($C118="SIM", "INFRAESTRUTURA", VLOOKUP($B118, Propostas!$B:$BE,42,FALSE)))</f>
        <v/>
      </c>
      <c r="P118" s="31" t="str">
        <f>IF($B118 = "", "",  VLOOKUP($B118, Propostas!$B:$BE, 49, FALSE) )</f>
        <v/>
      </c>
      <c r="Q118" s="13" t="str">
        <f>IF($B118="","",  VLOOKUP($B118, Propostas!$B:$BE, 39, FALSE) )</f>
        <v/>
      </c>
      <c r="R118" s="62" t="str">
        <f>IF($B118="","",  VLOOKUP($B118, Propostas!$B:$BE, 43, FALSE) )</f>
        <v/>
      </c>
      <c r="S118" s="62" t="str">
        <f>IF($B118="","",  VLOOKUP($B118, Propostas!$B:$BE, 44, FALSE) )</f>
        <v/>
      </c>
      <c r="T118" s="62" t="str">
        <f>IF($B118="","",  VLOOKUP($B118, Propostas!$B:$BE, 45, FALSE) )</f>
        <v/>
      </c>
      <c r="U118" s="31"/>
      <c r="V118" s="13" t="str">
        <f>IF($B118="","",  VLOOKUP($B118, Propostas!$B:$BE, 50, FALSE) )</f>
        <v/>
      </c>
      <c r="W118" s="13" t="str">
        <f>IF($B118="","",  VLOOKUP($B118, Propostas!$B:$BE, 51, FALSE) )</f>
        <v/>
      </c>
      <c r="X118" s="13" t="str">
        <f>IF($B118="","",  VLOOKUP($B118, Propostas!$B:$BE, 52, FALSE) )</f>
        <v/>
      </c>
      <c r="Y118" s="13" t="str">
        <f>IF($B118="","",  VLOOKUP($B118, Propostas!$B:$BE, 36, FALSE) )</f>
        <v/>
      </c>
      <c r="Z118" s="13" t="str">
        <f>IF($B118="","",  VLOOKUP($F118, VW_PROJETO!B:C, 2, FALSE) )</f>
        <v/>
      </c>
    </row>
    <row r="119" spans="2:26" x14ac:dyDescent="0.2">
      <c r="B119" s="2"/>
      <c r="C119" s="4" t="str">
        <f>IF($B119="","",  VLOOKUP($B119, Propostas!$B:$BE, 33, FALSE) )</f>
        <v/>
      </c>
      <c r="D119" s="4" t="str">
        <f>IF($B119="","",  VLOOKUP($B119, Propostas!$B:$BE, 34, FALSE) )</f>
        <v/>
      </c>
      <c r="E119" s="4" t="str">
        <f>IF($B119="","",  VLOOKUP($B119, Propostas!$B:$BE, 35, FALSE) )</f>
        <v/>
      </c>
      <c r="F119" s="4" t="str">
        <f>IF($B119="","",  VLOOKUP($B119, Propostas!$B:$BE, 2, FALSE) )</f>
        <v/>
      </c>
      <c r="G119" s="4" t="str">
        <f>IF($B119="","",  VLOOKUP($B119, Propostas!$B:$BE, 3, FALSE) )</f>
        <v/>
      </c>
      <c r="H119" s="4" t="str">
        <f>IF($B119="","",  VLOOKUP($B119, Propostas!$B:$BE, 4, FALSE) )</f>
        <v/>
      </c>
      <c r="I119" s="4" t="str">
        <f>IF($B119="","",  VLOOKUP($B119, Propostas!$B:$BE, 38, FALSE) )</f>
        <v/>
      </c>
      <c r="J119" s="13" t="str">
        <f>IF($B119="","",IF($C119="SIM", "&lt; INFRRAESTRUTURA &gt;", VLOOKUP($B119,Propostas!$B:$BE,41,FALSE)))</f>
        <v/>
      </c>
      <c r="K119" s="10" t="str">
        <f>IF($B119="","",  VLOOKUP($B119, Propostas!$B:$BE, 40, FALSE) )</f>
        <v/>
      </c>
      <c r="L119" s="10" t="str">
        <f>IF($B119="","",IF(VLOOKUP($B119,Propostas!$B:$BE,21,FALSE)=1,"B",IF(VLOOKUP($B119,Propostas!$B:$BE,21,FALSE)=2,"E","N")))</f>
        <v/>
      </c>
      <c r="M119" s="31" t="str">
        <f>IF($B119 = "", "",  VLOOKUP($B119, Propostas!$B:$BE, 46, FALSE) )</f>
        <v/>
      </c>
      <c r="N119" s="31" t="str">
        <f>IF($B119 = "", "",  VLOOKUP($B119, Propostas!$B:$BE, 47, FALSE) )</f>
        <v/>
      </c>
      <c r="O119" s="13" t="str">
        <f>IF($B119="","",IF($C119="SIM", "INFRAESTRUTURA", VLOOKUP($B119, Propostas!$B:$BE,42,FALSE)))</f>
        <v/>
      </c>
      <c r="P119" s="31" t="str">
        <f>IF($B119 = "", "",  VLOOKUP($B119, Propostas!$B:$BE, 49, FALSE) )</f>
        <v/>
      </c>
      <c r="Q119" s="13" t="str">
        <f>IF($B119="","",  VLOOKUP($B119, Propostas!$B:$BE, 39, FALSE) )</f>
        <v/>
      </c>
      <c r="R119" s="62" t="str">
        <f>IF($B119="","",  VLOOKUP($B119, Propostas!$B:$BE, 43, FALSE) )</f>
        <v/>
      </c>
      <c r="S119" s="62" t="str">
        <f>IF($B119="","",  VLOOKUP($B119, Propostas!$B:$BE, 44, FALSE) )</f>
        <v/>
      </c>
      <c r="T119" s="62" t="str">
        <f>IF($B119="","",  VLOOKUP($B119, Propostas!$B:$BE, 45, FALSE) )</f>
        <v/>
      </c>
      <c r="U119" s="31"/>
      <c r="V119" s="13" t="str">
        <f>IF($B119="","",  VLOOKUP($B119, Propostas!$B:$BE, 50, FALSE) )</f>
        <v/>
      </c>
      <c r="W119" s="13" t="str">
        <f>IF($B119="","",  VLOOKUP($B119, Propostas!$B:$BE, 51, FALSE) )</f>
        <v/>
      </c>
      <c r="X119" s="13" t="str">
        <f>IF($B119="","",  VLOOKUP($B119, Propostas!$B:$BE, 52, FALSE) )</f>
        <v/>
      </c>
      <c r="Y119" s="13" t="str">
        <f>IF($B119="","",  VLOOKUP($B119, Propostas!$B:$BE, 36, FALSE) )</f>
        <v/>
      </c>
      <c r="Z119" s="13" t="str">
        <f>IF($B119="","",  VLOOKUP($F119, VW_PROJETO!B:C, 2, FALSE) )</f>
        <v/>
      </c>
    </row>
    <row r="120" spans="2:26" x14ac:dyDescent="0.2">
      <c r="B120" s="2"/>
      <c r="C120" s="4" t="str">
        <f>IF($B120="","",  VLOOKUP($B120, Propostas!$B:$BE, 33, FALSE) )</f>
        <v/>
      </c>
      <c r="D120" s="4" t="str">
        <f>IF($B120="","",  VLOOKUP($B120, Propostas!$B:$BE, 34, FALSE) )</f>
        <v/>
      </c>
      <c r="E120" s="4" t="str">
        <f>IF($B120="","",  VLOOKUP($B120, Propostas!$B:$BE, 35, FALSE) )</f>
        <v/>
      </c>
      <c r="F120" s="4" t="str">
        <f>IF($B120="","",  VLOOKUP($B120, Propostas!$B:$BE, 2, FALSE) )</f>
        <v/>
      </c>
      <c r="G120" s="4" t="str">
        <f>IF($B120="","",  VLOOKUP($B120, Propostas!$B:$BE, 3, FALSE) )</f>
        <v/>
      </c>
      <c r="H120" s="4" t="str">
        <f>IF($B120="","",  VLOOKUP($B120, Propostas!$B:$BE, 4, FALSE) )</f>
        <v/>
      </c>
      <c r="I120" s="4" t="str">
        <f>IF($B120="","",  VLOOKUP($B120, Propostas!$B:$BE, 38, FALSE) )</f>
        <v/>
      </c>
      <c r="J120" s="13" t="str">
        <f>IF($B120="","",IF($C120="SIM", "&lt; INFRRAESTRUTURA &gt;", VLOOKUP($B120,Propostas!$B:$BE,41,FALSE)))</f>
        <v/>
      </c>
      <c r="K120" s="10" t="str">
        <f>IF($B120="","",  VLOOKUP($B120, Propostas!$B:$BE, 40, FALSE) )</f>
        <v/>
      </c>
      <c r="L120" s="10" t="str">
        <f>IF($B120="","",IF(VLOOKUP($B120,Propostas!$B:$BE,21,FALSE)=1,"B",IF(VLOOKUP($B120,Propostas!$B:$BE,21,FALSE)=2,"E","N")))</f>
        <v/>
      </c>
      <c r="M120" s="31" t="str">
        <f>IF($B120 = "", "",  VLOOKUP($B120, Propostas!$B:$BE, 46, FALSE) )</f>
        <v/>
      </c>
      <c r="N120" s="31" t="str">
        <f>IF($B120 = "", "",  VLOOKUP($B120, Propostas!$B:$BE, 47, FALSE) )</f>
        <v/>
      </c>
      <c r="O120" s="13" t="str">
        <f>IF($B120="","",IF($C120="SIM", "INFRAESTRUTURA", VLOOKUP($B120, Propostas!$B:$BE,42,FALSE)))</f>
        <v/>
      </c>
      <c r="P120" s="31" t="str">
        <f>IF($B120 = "", "",  VLOOKUP($B120, Propostas!$B:$BE, 49, FALSE) )</f>
        <v/>
      </c>
      <c r="Q120" s="13" t="str">
        <f>IF($B120="","",  VLOOKUP($B120, Propostas!$B:$BE, 39, FALSE) )</f>
        <v/>
      </c>
      <c r="R120" s="62" t="str">
        <f>IF($B120="","",  VLOOKUP($B120, Propostas!$B:$BE, 43, FALSE) )</f>
        <v/>
      </c>
      <c r="S120" s="62" t="str">
        <f>IF($B120="","",  VLOOKUP($B120, Propostas!$B:$BE, 44, FALSE) )</f>
        <v/>
      </c>
      <c r="T120" s="62" t="str">
        <f>IF($B120="","",  VLOOKUP($B120, Propostas!$B:$BE, 45, FALSE) )</f>
        <v/>
      </c>
      <c r="U120" s="31"/>
      <c r="V120" s="13" t="str">
        <f>IF($B120="","",  VLOOKUP($B120, Propostas!$B:$BE, 50, FALSE) )</f>
        <v/>
      </c>
      <c r="W120" s="13" t="str">
        <f>IF($B120="","",  VLOOKUP($B120, Propostas!$B:$BE, 51, FALSE) )</f>
        <v/>
      </c>
      <c r="X120" s="13" t="str">
        <f>IF($B120="","",  VLOOKUP($B120, Propostas!$B:$BE, 52, FALSE) )</f>
        <v/>
      </c>
      <c r="Y120" s="13" t="str">
        <f>IF($B120="","",  VLOOKUP($B120, Propostas!$B:$BE, 36, FALSE) )</f>
        <v/>
      </c>
      <c r="Z120" s="13" t="str">
        <f>IF($B120="","",  VLOOKUP($F120, VW_PROJETO!B:C, 2, FALSE) )</f>
        <v/>
      </c>
    </row>
    <row r="121" spans="2:26" x14ac:dyDescent="0.2">
      <c r="B121" s="2"/>
      <c r="C121" s="4" t="str">
        <f>IF($B121="","",  VLOOKUP($B121, Propostas!$B:$BE, 33, FALSE) )</f>
        <v/>
      </c>
      <c r="D121" s="4" t="str">
        <f>IF($B121="","",  VLOOKUP($B121, Propostas!$B:$BE, 34, FALSE) )</f>
        <v/>
      </c>
      <c r="E121" s="4" t="str">
        <f>IF($B121="","",  VLOOKUP($B121, Propostas!$B:$BE, 35, FALSE) )</f>
        <v/>
      </c>
      <c r="F121" s="4" t="str">
        <f>IF($B121="","",  VLOOKUP($B121, Propostas!$B:$BE, 2, FALSE) )</f>
        <v/>
      </c>
      <c r="G121" s="4" t="str">
        <f>IF($B121="","",  VLOOKUP($B121, Propostas!$B:$BE, 3, FALSE) )</f>
        <v/>
      </c>
      <c r="H121" s="4" t="str">
        <f>IF($B121="","",  VLOOKUP($B121, Propostas!$B:$BE, 4, FALSE) )</f>
        <v/>
      </c>
      <c r="I121" s="4" t="str">
        <f>IF($B121="","",  VLOOKUP($B121, Propostas!$B:$BE, 38, FALSE) )</f>
        <v/>
      </c>
      <c r="J121" s="13" t="str">
        <f>IF($B121="","",IF($C121="SIM", "&lt; INFRRAESTRUTURA &gt;", VLOOKUP($B121,Propostas!$B:$BE,41,FALSE)))</f>
        <v/>
      </c>
      <c r="K121" s="10" t="str">
        <f>IF($B121="","",  VLOOKUP($B121, Propostas!$B:$BE, 40, FALSE) )</f>
        <v/>
      </c>
      <c r="L121" s="10" t="str">
        <f>IF($B121="","",IF(VLOOKUP($B121,Propostas!$B:$BE,21,FALSE)=1,"B",IF(VLOOKUP($B121,Propostas!$B:$BE,21,FALSE)=2,"E","N")))</f>
        <v/>
      </c>
      <c r="M121" s="31" t="str">
        <f>IF($B121 = "", "",  VLOOKUP($B121, Propostas!$B:$BE, 46, FALSE) )</f>
        <v/>
      </c>
      <c r="N121" s="31" t="str">
        <f>IF($B121 = "", "",  VLOOKUP($B121, Propostas!$B:$BE, 47, FALSE) )</f>
        <v/>
      </c>
      <c r="O121" s="13" t="str">
        <f>IF($B121="","",IF($C121="SIM", "INFRAESTRUTURA", VLOOKUP($B121, Propostas!$B:$BE,42,FALSE)))</f>
        <v/>
      </c>
      <c r="P121" s="31" t="str">
        <f>IF($B121 = "", "",  VLOOKUP($B121, Propostas!$B:$BE, 49, FALSE) )</f>
        <v/>
      </c>
      <c r="Q121" s="13" t="str">
        <f>IF($B121="","",  VLOOKUP($B121, Propostas!$B:$BE, 39, FALSE) )</f>
        <v/>
      </c>
      <c r="R121" s="62" t="str">
        <f>IF($B121="","",  VLOOKUP($B121, Propostas!$B:$BE, 43, FALSE) )</f>
        <v/>
      </c>
      <c r="S121" s="62" t="str">
        <f>IF($B121="","",  VLOOKUP($B121, Propostas!$B:$BE, 44, FALSE) )</f>
        <v/>
      </c>
      <c r="T121" s="62" t="str">
        <f>IF($B121="","",  VLOOKUP($B121, Propostas!$B:$BE, 45, FALSE) )</f>
        <v/>
      </c>
      <c r="U121" s="31"/>
      <c r="V121" s="13" t="str">
        <f>IF($B121="","",  VLOOKUP($B121, Propostas!$B:$BE, 50, FALSE) )</f>
        <v/>
      </c>
      <c r="W121" s="13" t="str">
        <f>IF($B121="","",  VLOOKUP($B121, Propostas!$B:$BE, 51, FALSE) )</f>
        <v/>
      </c>
      <c r="X121" s="13" t="str">
        <f>IF($B121="","",  VLOOKUP($B121, Propostas!$B:$BE, 52, FALSE) )</f>
        <v/>
      </c>
      <c r="Y121" s="13" t="str">
        <f>IF($B121="","",  VLOOKUP($B121, Propostas!$B:$BE, 36, FALSE) )</f>
        <v/>
      </c>
      <c r="Z121" s="13" t="str">
        <f>IF($B121="","",  VLOOKUP($F121, VW_PROJETO!B:C, 2, FALSE) )</f>
        <v/>
      </c>
    </row>
    <row r="122" spans="2:26" x14ac:dyDescent="0.2">
      <c r="B122" s="2"/>
      <c r="C122" s="4" t="str">
        <f>IF($B122="","",  VLOOKUP($B122, Propostas!$B:$BE, 33, FALSE) )</f>
        <v/>
      </c>
      <c r="D122" s="4" t="str">
        <f>IF($B122="","",  VLOOKUP($B122, Propostas!$B:$BE, 34, FALSE) )</f>
        <v/>
      </c>
      <c r="E122" s="4" t="str">
        <f>IF($B122="","",  VLOOKUP($B122, Propostas!$B:$BE, 35, FALSE) )</f>
        <v/>
      </c>
      <c r="F122" s="4" t="str">
        <f>IF($B122="","",  VLOOKUP($B122, Propostas!$B:$BE, 2, FALSE) )</f>
        <v/>
      </c>
      <c r="G122" s="4" t="str">
        <f>IF($B122="","",  VLOOKUP($B122, Propostas!$B:$BE, 3, FALSE) )</f>
        <v/>
      </c>
      <c r="H122" s="4" t="str">
        <f>IF($B122="","",  VLOOKUP($B122, Propostas!$B:$BE, 4, FALSE) )</f>
        <v/>
      </c>
      <c r="I122" s="4" t="str">
        <f>IF($B122="","",  VLOOKUP($B122, Propostas!$B:$BE, 38, FALSE) )</f>
        <v/>
      </c>
      <c r="J122" s="13" t="str">
        <f>IF($B122="","",IF($C122="SIM", "&lt; INFRRAESTRUTURA &gt;", VLOOKUP($B122,Propostas!$B:$BE,41,FALSE)))</f>
        <v/>
      </c>
      <c r="K122" s="10" t="str">
        <f>IF($B122="","",  VLOOKUP($B122, Propostas!$B:$BE, 40, FALSE) )</f>
        <v/>
      </c>
      <c r="L122" s="10" t="str">
        <f>IF($B122="","",IF(VLOOKUP($B122,Propostas!$B:$BE,21,FALSE)=1,"B",IF(VLOOKUP($B122,Propostas!$B:$BE,21,FALSE)=2,"E","N")))</f>
        <v/>
      </c>
      <c r="M122" s="31" t="str">
        <f>IF($B122 = "", "",  VLOOKUP($B122, Propostas!$B:$BE, 46, FALSE) )</f>
        <v/>
      </c>
      <c r="N122" s="31" t="str">
        <f>IF($B122 = "", "",  VLOOKUP($B122, Propostas!$B:$BE, 47, FALSE) )</f>
        <v/>
      </c>
      <c r="O122" s="13" t="str">
        <f>IF($B122="","",IF($C122="SIM", "INFRAESTRUTURA", VLOOKUP($B122, Propostas!$B:$BE,42,FALSE)))</f>
        <v/>
      </c>
      <c r="P122" s="31" t="str">
        <f>IF($B122 = "", "",  VLOOKUP($B122, Propostas!$B:$BE, 49, FALSE) )</f>
        <v/>
      </c>
      <c r="Q122" s="13" t="str">
        <f>IF($B122="","",  VLOOKUP($B122, Propostas!$B:$BE, 39, FALSE) )</f>
        <v/>
      </c>
      <c r="R122" s="62" t="str">
        <f>IF($B122="","",  VLOOKUP($B122, Propostas!$B:$BE, 43, FALSE) )</f>
        <v/>
      </c>
      <c r="S122" s="62" t="str">
        <f>IF($B122="","",  VLOOKUP($B122, Propostas!$B:$BE, 44, FALSE) )</f>
        <v/>
      </c>
      <c r="T122" s="62" t="str">
        <f>IF($B122="","",  VLOOKUP($B122, Propostas!$B:$BE, 45, FALSE) )</f>
        <v/>
      </c>
      <c r="U122" s="31"/>
      <c r="V122" s="13" t="str">
        <f>IF($B122="","",  VLOOKUP($B122, Propostas!$B:$BE, 50, FALSE) )</f>
        <v/>
      </c>
      <c r="W122" s="13" t="str">
        <f>IF($B122="","",  VLOOKUP($B122, Propostas!$B:$BE, 51, FALSE) )</f>
        <v/>
      </c>
      <c r="X122" s="13" t="str">
        <f>IF($B122="","",  VLOOKUP($B122, Propostas!$B:$BE, 52, FALSE) )</f>
        <v/>
      </c>
      <c r="Y122" s="13" t="str">
        <f>IF($B122="","",  VLOOKUP($B122, Propostas!$B:$BE, 36, FALSE) )</f>
        <v/>
      </c>
      <c r="Z122" s="13" t="str">
        <f>IF($B122="","",  VLOOKUP($F122, VW_PROJETO!B:C, 2, FALSE) )</f>
        <v/>
      </c>
    </row>
    <row r="123" spans="2:26" x14ac:dyDescent="0.2">
      <c r="B123" s="2"/>
      <c r="C123" s="4" t="str">
        <f>IF($B123="","",  VLOOKUP($B123, Propostas!$B:$BE, 33, FALSE) )</f>
        <v/>
      </c>
      <c r="D123" s="4" t="str">
        <f>IF($B123="","",  VLOOKUP($B123, Propostas!$B:$BE, 34, FALSE) )</f>
        <v/>
      </c>
      <c r="E123" s="4" t="str">
        <f>IF($B123="","",  VLOOKUP($B123, Propostas!$B:$BE, 35, FALSE) )</f>
        <v/>
      </c>
      <c r="F123" s="4" t="str">
        <f>IF($B123="","",  VLOOKUP($B123, Propostas!$B:$BE, 2, FALSE) )</f>
        <v/>
      </c>
      <c r="G123" s="4" t="str">
        <f>IF($B123="","",  VLOOKUP($B123, Propostas!$B:$BE, 3, FALSE) )</f>
        <v/>
      </c>
      <c r="H123" s="4" t="str">
        <f>IF($B123="","",  VLOOKUP($B123, Propostas!$B:$BE, 4, FALSE) )</f>
        <v/>
      </c>
      <c r="I123" s="4" t="str">
        <f>IF($B123="","",  VLOOKUP($B123, Propostas!$B:$BE, 38, FALSE) )</f>
        <v/>
      </c>
      <c r="J123" s="13" t="str">
        <f>IF($B123="","",IF($C123="SIM", "&lt; INFRRAESTRUTURA &gt;", VLOOKUP($B123,Propostas!$B:$BE,41,FALSE)))</f>
        <v/>
      </c>
      <c r="K123" s="10" t="str">
        <f>IF($B123="","",  VLOOKUP($B123, Propostas!$B:$BE, 40, FALSE) )</f>
        <v/>
      </c>
      <c r="L123" s="10" t="str">
        <f>IF($B123="","",IF(VLOOKUP($B123,Propostas!$B:$BE,21,FALSE)=1,"B",IF(VLOOKUP($B123,Propostas!$B:$BE,21,FALSE)=2,"E","N")))</f>
        <v/>
      </c>
      <c r="M123" s="31" t="str">
        <f>IF($B123 = "", "",  VLOOKUP($B123, Propostas!$B:$BE, 46, FALSE) )</f>
        <v/>
      </c>
      <c r="N123" s="31" t="str">
        <f>IF($B123 = "", "",  VLOOKUP($B123, Propostas!$B:$BE, 47, FALSE) )</f>
        <v/>
      </c>
      <c r="O123" s="13" t="str">
        <f>IF($B123="","",IF($C123="SIM", "INFRAESTRUTURA", VLOOKUP($B123, Propostas!$B:$BE,42,FALSE)))</f>
        <v/>
      </c>
      <c r="P123" s="31" t="str">
        <f>IF($B123 = "", "",  VLOOKUP($B123, Propostas!$B:$BE, 49, FALSE) )</f>
        <v/>
      </c>
      <c r="Q123" s="13" t="str">
        <f>IF($B123="","",  VLOOKUP($B123, Propostas!$B:$BE, 39, FALSE) )</f>
        <v/>
      </c>
      <c r="R123" s="62" t="str">
        <f>IF($B123="","",  VLOOKUP($B123, Propostas!$B:$BE, 43, FALSE) )</f>
        <v/>
      </c>
      <c r="S123" s="62" t="str">
        <f>IF($B123="","",  VLOOKUP($B123, Propostas!$B:$BE, 44, FALSE) )</f>
        <v/>
      </c>
      <c r="T123" s="62" t="str">
        <f>IF($B123="","",  VLOOKUP($B123, Propostas!$B:$BE, 45, FALSE) )</f>
        <v/>
      </c>
      <c r="U123" s="31"/>
      <c r="V123" s="13" t="str">
        <f>IF($B123="","",  VLOOKUP($B123, Propostas!$B:$BE, 50, FALSE) )</f>
        <v/>
      </c>
      <c r="W123" s="13" t="str">
        <f>IF($B123="","",  VLOOKUP($B123, Propostas!$B:$BE, 51, FALSE) )</f>
        <v/>
      </c>
      <c r="X123" s="13" t="str">
        <f>IF($B123="","",  VLOOKUP($B123, Propostas!$B:$BE, 52, FALSE) )</f>
        <v/>
      </c>
      <c r="Y123" s="13" t="str">
        <f>IF($B123="","",  VLOOKUP($B123, Propostas!$B:$BE, 36, FALSE) )</f>
        <v/>
      </c>
      <c r="Z123" s="13" t="str">
        <f>IF($B123="","",  VLOOKUP($F123, VW_PROJETO!B:C, 2, FALSE) )</f>
        <v/>
      </c>
    </row>
    <row r="124" spans="2:26" x14ac:dyDescent="0.2">
      <c r="B124" s="2"/>
      <c r="C124" s="4" t="str">
        <f>IF($B124="","",  VLOOKUP($B124, Propostas!$B:$BE, 33, FALSE) )</f>
        <v/>
      </c>
      <c r="D124" s="4" t="str">
        <f>IF($B124="","",  VLOOKUP($B124, Propostas!$B:$BE, 34, FALSE) )</f>
        <v/>
      </c>
      <c r="E124" s="4" t="str">
        <f>IF($B124="","",  VLOOKUP($B124, Propostas!$B:$BE, 35, FALSE) )</f>
        <v/>
      </c>
      <c r="F124" s="4" t="str">
        <f>IF($B124="","",  VLOOKUP($B124, Propostas!$B:$BE, 2, FALSE) )</f>
        <v/>
      </c>
      <c r="G124" s="4" t="str">
        <f>IF($B124="","",  VLOOKUP($B124, Propostas!$B:$BE, 3, FALSE) )</f>
        <v/>
      </c>
      <c r="H124" s="4" t="str">
        <f>IF($B124="","",  VLOOKUP($B124, Propostas!$B:$BE, 4, FALSE) )</f>
        <v/>
      </c>
      <c r="I124" s="4" t="str">
        <f>IF($B124="","",  VLOOKUP($B124, Propostas!$B:$BE, 38, FALSE) )</f>
        <v/>
      </c>
      <c r="J124" s="13" t="str">
        <f>IF($B124="","",IF($C124="SIM", "&lt; INFRRAESTRUTURA &gt;", VLOOKUP($B124,Propostas!$B:$BE,41,FALSE)))</f>
        <v/>
      </c>
      <c r="K124" s="10" t="str">
        <f>IF($B124="","",  VLOOKUP($B124, Propostas!$B:$BE, 40, FALSE) )</f>
        <v/>
      </c>
      <c r="L124" s="10" t="str">
        <f>IF($B124="","",IF(VLOOKUP($B124,Propostas!$B:$BE,21,FALSE)=1,"B",IF(VLOOKUP($B124,Propostas!$B:$BE,21,FALSE)=2,"E","N")))</f>
        <v/>
      </c>
      <c r="M124" s="31" t="str">
        <f>IF($B124 = "", "",  VLOOKUP($B124, Propostas!$B:$BE, 46, FALSE) )</f>
        <v/>
      </c>
      <c r="N124" s="31" t="str">
        <f>IF($B124 = "", "",  VLOOKUP($B124, Propostas!$B:$BE, 47, FALSE) )</f>
        <v/>
      </c>
      <c r="O124" s="13" t="str">
        <f>IF($B124="","",IF($C124="SIM", "INFRAESTRUTURA", VLOOKUP($B124, Propostas!$B:$BE,42,FALSE)))</f>
        <v/>
      </c>
      <c r="P124" s="31" t="str">
        <f>IF($B124 = "", "",  VLOOKUP($B124, Propostas!$B:$BE, 49, FALSE) )</f>
        <v/>
      </c>
      <c r="Q124" s="13" t="str">
        <f>IF($B124="","",  VLOOKUP($B124, Propostas!$B:$BE, 39, FALSE) )</f>
        <v/>
      </c>
      <c r="R124" s="62" t="str">
        <f>IF($B124="","",  VLOOKUP($B124, Propostas!$B:$BE, 43, FALSE) )</f>
        <v/>
      </c>
      <c r="S124" s="62" t="str">
        <f>IF($B124="","",  VLOOKUP($B124, Propostas!$B:$BE, 44, FALSE) )</f>
        <v/>
      </c>
      <c r="T124" s="62" t="str">
        <f>IF($B124="","",  VLOOKUP($B124, Propostas!$B:$BE, 45, FALSE) )</f>
        <v/>
      </c>
      <c r="U124" s="31"/>
      <c r="V124" s="13" t="str">
        <f>IF($B124="","",  VLOOKUP($B124, Propostas!$B:$BE, 50, FALSE) )</f>
        <v/>
      </c>
      <c r="W124" s="13" t="str">
        <f>IF($B124="","",  VLOOKUP($B124, Propostas!$B:$BE, 51, FALSE) )</f>
        <v/>
      </c>
      <c r="X124" s="13" t="str">
        <f>IF($B124="","",  VLOOKUP($B124, Propostas!$B:$BE, 52, FALSE) )</f>
        <v/>
      </c>
      <c r="Y124" s="13" t="str">
        <f>IF($B124="","",  VLOOKUP($B124, Propostas!$B:$BE, 36, FALSE) )</f>
        <v/>
      </c>
      <c r="Z124" s="13" t="str">
        <f>IF($B124="","",  VLOOKUP($F124, VW_PROJETO!B:C, 2, FALSE) )</f>
        <v/>
      </c>
    </row>
    <row r="125" spans="2:26" x14ac:dyDescent="0.2">
      <c r="B125" s="2"/>
      <c r="C125" s="4" t="str">
        <f>IF($B125="","",  VLOOKUP($B125, Propostas!$B:$BE, 33, FALSE) )</f>
        <v/>
      </c>
      <c r="D125" s="4" t="str">
        <f>IF($B125="","",  VLOOKUP($B125, Propostas!$B:$BE, 34, FALSE) )</f>
        <v/>
      </c>
      <c r="E125" s="4" t="str">
        <f>IF($B125="","",  VLOOKUP($B125, Propostas!$B:$BE, 35, FALSE) )</f>
        <v/>
      </c>
      <c r="F125" s="4" t="str">
        <f>IF($B125="","",  VLOOKUP($B125, Propostas!$B:$BE, 2, FALSE) )</f>
        <v/>
      </c>
      <c r="G125" s="4" t="str">
        <f>IF($B125="","",  VLOOKUP($B125, Propostas!$B:$BE, 3, FALSE) )</f>
        <v/>
      </c>
      <c r="H125" s="4" t="str">
        <f>IF($B125="","",  VLOOKUP($B125, Propostas!$B:$BE, 4, FALSE) )</f>
        <v/>
      </c>
      <c r="I125" s="4" t="str">
        <f>IF($B125="","",  VLOOKUP($B125, Propostas!$B:$BE, 38, FALSE) )</f>
        <v/>
      </c>
      <c r="J125" s="13" t="str">
        <f>IF($B125="","",IF($C125="SIM", "&lt; INFRRAESTRUTURA &gt;", VLOOKUP($B125,Propostas!$B:$BE,41,FALSE)))</f>
        <v/>
      </c>
      <c r="K125" s="10" t="str">
        <f>IF($B125="","",  VLOOKUP($B125, Propostas!$B:$BE, 40, FALSE) )</f>
        <v/>
      </c>
      <c r="L125" s="10" t="str">
        <f>IF($B125="","",IF(VLOOKUP($B125,Propostas!$B:$BE,21,FALSE)=1,"B",IF(VLOOKUP($B125,Propostas!$B:$BE,21,FALSE)=2,"E","N")))</f>
        <v/>
      </c>
      <c r="M125" s="31" t="str">
        <f>IF($B125 = "", "",  VLOOKUP($B125, Propostas!$B:$BE, 46, FALSE) )</f>
        <v/>
      </c>
      <c r="N125" s="31" t="str">
        <f>IF($B125 = "", "",  VLOOKUP($B125, Propostas!$B:$BE, 47, FALSE) )</f>
        <v/>
      </c>
      <c r="O125" s="13" t="str">
        <f>IF($B125="","",IF($C125="SIM", "INFRAESTRUTURA", VLOOKUP($B125, Propostas!$B:$BE,42,FALSE)))</f>
        <v/>
      </c>
      <c r="P125" s="31" t="str">
        <f>IF($B125 = "", "",  VLOOKUP($B125, Propostas!$B:$BE, 49, FALSE) )</f>
        <v/>
      </c>
      <c r="Q125" s="13" t="str">
        <f>IF($B125="","",  VLOOKUP($B125, Propostas!$B:$BE, 39, FALSE) )</f>
        <v/>
      </c>
      <c r="R125" s="62" t="str">
        <f>IF($B125="","",  VLOOKUP($B125, Propostas!$B:$BE, 43, FALSE) )</f>
        <v/>
      </c>
      <c r="S125" s="62" t="str">
        <f>IF($B125="","",  VLOOKUP($B125, Propostas!$B:$BE, 44, FALSE) )</f>
        <v/>
      </c>
      <c r="T125" s="62" t="str">
        <f>IF($B125="","",  VLOOKUP($B125, Propostas!$B:$BE, 45, FALSE) )</f>
        <v/>
      </c>
      <c r="U125" s="31"/>
      <c r="V125" s="13" t="str">
        <f>IF($B125="","",  VLOOKUP($B125, Propostas!$B:$BE, 50, FALSE) )</f>
        <v/>
      </c>
      <c r="W125" s="13" t="str">
        <f>IF($B125="","",  VLOOKUP($B125, Propostas!$B:$BE, 51, FALSE) )</f>
        <v/>
      </c>
      <c r="X125" s="13" t="str">
        <f>IF($B125="","",  VLOOKUP($B125, Propostas!$B:$BE, 52, FALSE) )</f>
        <v/>
      </c>
      <c r="Y125" s="13" t="str">
        <f>IF($B125="","",  VLOOKUP($B125, Propostas!$B:$BE, 36, FALSE) )</f>
        <v/>
      </c>
      <c r="Z125" s="13" t="str">
        <f>IF($B125="","",  VLOOKUP($F125, VW_PROJETO!B:C, 2, FALSE) )</f>
        <v/>
      </c>
    </row>
    <row r="126" spans="2:26" x14ac:dyDescent="0.2">
      <c r="B126" s="2"/>
      <c r="C126" s="4" t="str">
        <f>IF($B126="","",  VLOOKUP($B126, Propostas!$B:$BE, 33, FALSE) )</f>
        <v/>
      </c>
      <c r="D126" s="4" t="str">
        <f>IF($B126="","",  VLOOKUP($B126, Propostas!$B:$BE, 34, FALSE) )</f>
        <v/>
      </c>
      <c r="E126" s="4" t="str">
        <f>IF($B126="","",  VLOOKUP($B126, Propostas!$B:$BE, 35, FALSE) )</f>
        <v/>
      </c>
      <c r="F126" s="4" t="str">
        <f>IF($B126="","",  VLOOKUP($B126, Propostas!$B:$BE, 2, FALSE) )</f>
        <v/>
      </c>
      <c r="G126" s="4" t="str">
        <f>IF($B126="","",  VLOOKUP($B126, Propostas!$B:$BE, 3, FALSE) )</f>
        <v/>
      </c>
      <c r="H126" s="4" t="str">
        <f>IF($B126="","",  VLOOKUP($B126, Propostas!$B:$BE, 4, FALSE) )</f>
        <v/>
      </c>
      <c r="I126" s="4" t="str">
        <f>IF($B126="","",  VLOOKUP($B126, Propostas!$B:$BE, 38, FALSE) )</f>
        <v/>
      </c>
      <c r="J126" s="13" t="str">
        <f>IF($B126="","",IF($C126="SIM", "&lt; INFRRAESTRUTURA &gt;", VLOOKUP($B126,Propostas!$B:$BE,41,FALSE)))</f>
        <v/>
      </c>
      <c r="K126" s="10" t="str">
        <f>IF($B126="","",  VLOOKUP($B126, Propostas!$B:$BE, 40, FALSE) )</f>
        <v/>
      </c>
      <c r="L126" s="10" t="str">
        <f>IF($B126="","",IF(VLOOKUP($B126,Propostas!$B:$BE,21,FALSE)=1,"B",IF(VLOOKUP($B126,Propostas!$B:$BE,21,FALSE)=2,"E","N")))</f>
        <v/>
      </c>
      <c r="M126" s="31" t="str">
        <f>IF($B126 = "", "",  VLOOKUP($B126, Propostas!$B:$BE, 46, FALSE) )</f>
        <v/>
      </c>
      <c r="N126" s="31" t="str">
        <f>IF($B126 = "", "",  VLOOKUP($B126, Propostas!$B:$BE, 47, FALSE) )</f>
        <v/>
      </c>
      <c r="O126" s="13" t="str">
        <f>IF($B126="","",IF($C126="SIM", "INFRAESTRUTURA", VLOOKUP($B126, Propostas!$B:$BE,42,FALSE)))</f>
        <v/>
      </c>
      <c r="P126" s="31" t="str">
        <f>IF($B126 = "", "",  VLOOKUP($B126, Propostas!$B:$BE, 49, FALSE) )</f>
        <v/>
      </c>
      <c r="Q126" s="13" t="str">
        <f>IF($B126="","",  VLOOKUP($B126, Propostas!$B:$BE, 39, FALSE) )</f>
        <v/>
      </c>
      <c r="R126" s="62" t="str">
        <f>IF($B126="","",  VLOOKUP($B126, Propostas!$B:$BE, 43, FALSE) )</f>
        <v/>
      </c>
      <c r="S126" s="62" t="str">
        <f>IF($B126="","",  VLOOKUP($B126, Propostas!$B:$BE, 44, FALSE) )</f>
        <v/>
      </c>
      <c r="T126" s="62" t="str">
        <f>IF($B126="","",  VLOOKUP($B126, Propostas!$B:$BE, 45, FALSE) )</f>
        <v/>
      </c>
      <c r="U126" s="31"/>
      <c r="V126" s="13" t="str">
        <f>IF($B126="","",  VLOOKUP($B126, Propostas!$B:$BE, 50, FALSE) )</f>
        <v/>
      </c>
      <c r="W126" s="13" t="str">
        <f>IF($B126="","",  VLOOKUP($B126, Propostas!$B:$BE, 51, FALSE) )</f>
        <v/>
      </c>
      <c r="X126" s="13" t="str">
        <f>IF($B126="","",  VLOOKUP($B126, Propostas!$B:$BE, 52, FALSE) )</f>
        <v/>
      </c>
      <c r="Y126" s="13" t="str">
        <f>IF($B126="","",  VLOOKUP($B126, Propostas!$B:$BE, 36, FALSE) )</f>
        <v/>
      </c>
      <c r="Z126" s="13" t="str">
        <f>IF($B126="","",  VLOOKUP($F126, VW_PROJETO!B:C, 2, FALSE) )</f>
        <v/>
      </c>
    </row>
    <row r="127" spans="2:26" x14ac:dyDescent="0.2">
      <c r="B127" s="2"/>
      <c r="C127" s="4" t="str">
        <f>IF($B127="","",  VLOOKUP($B127, Propostas!$B:$BE, 33, FALSE) )</f>
        <v/>
      </c>
      <c r="D127" s="4" t="str">
        <f>IF($B127="","",  VLOOKUP($B127, Propostas!$B:$BE, 34, FALSE) )</f>
        <v/>
      </c>
      <c r="E127" s="4" t="str">
        <f>IF($B127="","",  VLOOKUP($B127, Propostas!$B:$BE, 35, FALSE) )</f>
        <v/>
      </c>
      <c r="F127" s="4" t="str">
        <f>IF($B127="","",  VLOOKUP($B127, Propostas!$B:$BE, 2, FALSE) )</f>
        <v/>
      </c>
      <c r="G127" s="4" t="str">
        <f>IF($B127="","",  VLOOKUP($B127, Propostas!$B:$BE, 3, FALSE) )</f>
        <v/>
      </c>
      <c r="H127" s="4" t="str">
        <f>IF($B127="","",  VLOOKUP($B127, Propostas!$B:$BE, 4, FALSE) )</f>
        <v/>
      </c>
      <c r="I127" s="4" t="str">
        <f>IF($B127="","",  VLOOKUP($B127, Propostas!$B:$BE, 38, FALSE) )</f>
        <v/>
      </c>
      <c r="J127" s="13" t="str">
        <f>IF($B127="","",IF($C127="SIM", "&lt; INFRRAESTRUTURA &gt;", VLOOKUP($B127,Propostas!$B:$BE,41,FALSE)))</f>
        <v/>
      </c>
      <c r="K127" s="10" t="str">
        <f>IF($B127="","",  VLOOKUP($B127, Propostas!$B:$BE, 40, FALSE) )</f>
        <v/>
      </c>
      <c r="L127" s="10" t="str">
        <f>IF($B127="","",IF(VLOOKUP($B127,Propostas!$B:$BE,21,FALSE)=1,"B",IF(VLOOKUP($B127,Propostas!$B:$BE,21,FALSE)=2,"E","N")))</f>
        <v/>
      </c>
      <c r="M127" s="31" t="str">
        <f>IF($B127 = "", "",  VLOOKUP($B127, Propostas!$B:$BE, 46, FALSE) )</f>
        <v/>
      </c>
      <c r="N127" s="31" t="str">
        <f>IF($B127 = "", "",  VLOOKUP($B127, Propostas!$B:$BE, 47, FALSE) )</f>
        <v/>
      </c>
      <c r="O127" s="13" t="str">
        <f>IF($B127="","",IF($C127="SIM", "INFRAESTRUTURA", VLOOKUP($B127, Propostas!$B:$BE,42,FALSE)))</f>
        <v/>
      </c>
      <c r="P127" s="31" t="str">
        <f>IF($B127 = "", "",  VLOOKUP($B127, Propostas!$B:$BE, 49, FALSE) )</f>
        <v/>
      </c>
      <c r="Q127" s="13" t="str">
        <f>IF($B127="","",  VLOOKUP($B127, Propostas!$B:$BE, 39, FALSE) )</f>
        <v/>
      </c>
      <c r="R127" s="62" t="str">
        <f>IF($B127="","",  VLOOKUP($B127, Propostas!$B:$BE, 43, FALSE) )</f>
        <v/>
      </c>
      <c r="S127" s="62" t="str">
        <f>IF($B127="","",  VLOOKUP($B127, Propostas!$B:$BE, 44, FALSE) )</f>
        <v/>
      </c>
      <c r="T127" s="62" t="str">
        <f>IF($B127="","",  VLOOKUP($B127, Propostas!$B:$BE, 45, FALSE) )</f>
        <v/>
      </c>
      <c r="U127" s="31"/>
      <c r="V127" s="13" t="str">
        <f>IF($B127="","",  VLOOKUP($B127, Propostas!$B:$BE, 50, FALSE) )</f>
        <v/>
      </c>
      <c r="W127" s="13" t="str">
        <f>IF($B127="","",  VLOOKUP($B127, Propostas!$B:$BE, 51, FALSE) )</f>
        <v/>
      </c>
      <c r="X127" s="13" t="str">
        <f>IF($B127="","",  VLOOKUP($B127, Propostas!$B:$BE, 52, FALSE) )</f>
        <v/>
      </c>
      <c r="Y127" s="13" t="str">
        <f>IF($B127="","",  VLOOKUP($B127, Propostas!$B:$BE, 36, FALSE) )</f>
        <v/>
      </c>
      <c r="Z127" s="13" t="str">
        <f>IF($B127="","",  VLOOKUP($F127, VW_PROJETO!B:C, 2, FALSE) )</f>
        <v/>
      </c>
    </row>
    <row r="128" spans="2:26" x14ac:dyDescent="0.2">
      <c r="B128" s="2"/>
      <c r="C128" s="4" t="str">
        <f>IF($B128="","",  VLOOKUP($B128, Propostas!$B:$BE, 33, FALSE) )</f>
        <v/>
      </c>
      <c r="D128" s="4" t="str">
        <f>IF($B128="","",  VLOOKUP($B128, Propostas!$B:$BE, 34, FALSE) )</f>
        <v/>
      </c>
      <c r="E128" s="4" t="str">
        <f>IF($B128="","",  VLOOKUP($B128, Propostas!$B:$BE, 35, FALSE) )</f>
        <v/>
      </c>
      <c r="F128" s="4" t="str">
        <f>IF($B128="","",  VLOOKUP($B128, Propostas!$B:$BE, 2, FALSE) )</f>
        <v/>
      </c>
      <c r="G128" s="4" t="str">
        <f>IF($B128="","",  VLOOKUP($B128, Propostas!$B:$BE, 3, FALSE) )</f>
        <v/>
      </c>
      <c r="H128" s="4" t="str">
        <f>IF($B128="","",  VLOOKUP($B128, Propostas!$B:$BE, 4, FALSE) )</f>
        <v/>
      </c>
      <c r="I128" s="4" t="str">
        <f>IF($B128="","",  VLOOKUP($B128, Propostas!$B:$BE, 38, FALSE) )</f>
        <v/>
      </c>
      <c r="J128" s="13" t="str">
        <f>IF($B128="","",IF($C128="SIM", "&lt; INFRRAESTRUTURA &gt;", VLOOKUP($B128,Propostas!$B:$BE,41,FALSE)))</f>
        <v/>
      </c>
      <c r="K128" s="10" t="str">
        <f>IF($B128="","",  VLOOKUP($B128, Propostas!$B:$BE, 40, FALSE) )</f>
        <v/>
      </c>
      <c r="L128" s="10" t="str">
        <f>IF($B128="","",IF(VLOOKUP($B128,Propostas!$B:$BE,21,FALSE)=1,"B",IF(VLOOKUP($B128,Propostas!$B:$BE,21,FALSE)=2,"E","N")))</f>
        <v/>
      </c>
      <c r="M128" s="31" t="str">
        <f>IF($B128 = "", "",  VLOOKUP($B128, Propostas!$B:$BE, 46, FALSE) )</f>
        <v/>
      </c>
      <c r="N128" s="31" t="str">
        <f>IF($B128 = "", "",  VLOOKUP($B128, Propostas!$B:$BE, 47, FALSE) )</f>
        <v/>
      </c>
      <c r="O128" s="13" t="str">
        <f>IF($B128="","",IF($C128="SIM", "INFRAESTRUTURA", VLOOKUP($B128, Propostas!$B:$BE,42,FALSE)))</f>
        <v/>
      </c>
      <c r="P128" s="31" t="str">
        <f>IF($B128 = "", "",  VLOOKUP($B128, Propostas!$B:$BE, 49, FALSE) )</f>
        <v/>
      </c>
      <c r="Q128" s="13" t="str">
        <f>IF($B128="","",  VLOOKUP($B128, Propostas!$B:$BE, 39, FALSE) )</f>
        <v/>
      </c>
      <c r="R128" s="62" t="str">
        <f>IF($B128="","",  VLOOKUP($B128, Propostas!$B:$BE, 43, FALSE) )</f>
        <v/>
      </c>
      <c r="S128" s="62" t="str">
        <f>IF($B128="","",  VLOOKUP($B128, Propostas!$B:$BE, 44, FALSE) )</f>
        <v/>
      </c>
      <c r="T128" s="62" t="str">
        <f>IF($B128="","",  VLOOKUP($B128, Propostas!$B:$BE, 45, FALSE) )</f>
        <v/>
      </c>
      <c r="U128" s="31"/>
      <c r="V128" s="13" t="str">
        <f>IF($B128="","",  VLOOKUP($B128, Propostas!$B:$BE, 50, FALSE) )</f>
        <v/>
      </c>
      <c r="W128" s="13" t="str">
        <f>IF($B128="","",  VLOOKUP($B128, Propostas!$B:$BE, 51, FALSE) )</f>
        <v/>
      </c>
      <c r="X128" s="13" t="str">
        <f>IF($B128="","",  VLOOKUP($B128, Propostas!$B:$BE, 52, FALSE) )</f>
        <v/>
      </c>
      <c r="Y128" s="13" t="str">
        <f>IF($B128="","",  VLOOKUP($B128, Propostas!$B:$BE, 36, FALSE) )</f>
        <v/>
      </c>
      <c r="Z128" s="13" t="str">
        <f>IF($B128="","",  VLOOKUP($F128, VW_PROJETO!B:C, 2, FALSE) )</f>
        <v/>
      </c>
    </row>
    <row r="129" spans="2:26" x14ac:dyDescent="0.2">
      <c r="B129" s="2"/>
      <c r="C129" s="4" t="str">
        <f>IF($B129="","",  VLOOKUP($B129, Propostas!$B:$BE, 33, FALSE) )</f>
        <v/>
      </c>
      <c r="D129" s="4" t="str">
        <f>IF($B129="","",  VLOOKUP($B129, Propostas!$B:$BE, 34, FALSE) )</f>
        <v/>
      </c>
      <c r="E129" s="4" t="str">
        <f>IF($B129="","",  VLOOKUP($B129, Propostas!$B:$BE, 35, FALSE) )</f>
        <v/>
      </c>
      <c r="F129" s="4" t="str">
        <f>IF($B129="","",  VLOOKUP($B129, Propostas!$B:$BE, 2, FALSE) )</f>
        <v/>
      </c>
      <c r="G129" s="4" t="str">
        <f>IF($B129="","",  VLOOKUP($B129, Propostas!$B:$BE, 3, FALSE) )</f>
        <v/>
      </c>
      <c r="H129" s="4" t="str">
        <f>IF($B129="","",  VLOOKUP($B129, Propostas!$B:$BE, 4, FALSE) )</f>
        <v/>
      </c>
      <c r="I129" s="4" t="str">
        <f>IF($B129="","",  VLOOKUP($B129, Propostas!$B:$BE, 38, FALSE) )</f>
        <v/>
      </c>
      <c r="J129" s="13" t="str">
        <f>IF($B129="","",IF($C129="SIM", "&lt; INFRRAESTRUTURA &gt;", VLOOKUP($B129,Propostas!$B:$BE,41,FALSE)))</f>
        <v/>
      </c>
      <c r="K129" s="10" t="str">
        <f>IF($B129="","",  VLOOKUP($B129, Propostas!$B:$BE, 40, FALSE) )</f>
        <v/>
      </c>
      <c r="L129" s="10" t="str">
        <f>IF($B129="","",IF(VLOOKUP($B129,Propostas!$B:$BE,21,FALSE)=1,"B",IF(VLOOKUP($B129,Propostas!$B:$BE,21,FALSE)=2,"E","N")))</f>
        <v/>
      </c>
      <c r="M129" s="31" t="str">
        <f>IF($B129 = "", "",  VLOOKUP($B129, Propostas!$B:$BE, 46, FALSE) )</f>
        <v/>
      </c>
      <c r="N129" s="31" t="str">
        <f>IF($B129 = "", "",  VLOOKUP($B129, Propostas!$B:$BE, 47, FALSE) )</f>
        <v/>
      </c>
      <c r="O129" s="13" t="str">
        <f>IF($B129="","",IF($C129="SIM", "INFRAESTRUTURA", VLOOKUP($B129, Propostas!$B:$BE,42,FALSE)))</f>
        <v/>
      </c>
      <c r="P129" s="31" t="str">
        <f>IF($B129 = "", "",  VLOOKUP($B129, Propostas!$B:$BE, 49, FALSE) )</f>
        <v/>
      </c>
      <c r="Q129" s="13" t="str">
        <f>IF($B129="","",  VLOOKUP($B129, Propostas!$B:$BE, 39, FALSE) )</f>
        <v/>
      </c>
      <c r="R129" s="62" t="str">
        <f>IF($B129="","",  VLOOKUP($B129, Propostas!$B:$BE, 43, FALSE) )</f>
        <v/>
      </c>
      <c r="S129" s="62" t="str">
        <f>IF($B129="","",  VLOOKUP($B129, Propostas!$B:$BE, 44, FALSE) )</f>
        <v/>
      </c>
      <c r="T129" s="62" t="str">
        <f>IF($B129="","",  VLOOKUP($B129, Propostas!$B:$BE, 45, FALSE) )</f>
        <v/>
      </c>
      <c r="U129" s="31"/>
      <c r="V129" s="13" t="str">
        <f>IF($B129="","",  VLOOKUP($B129, Propostas!$B:$BE, 50, FALSE) )</f>
        <v/>
      </c>
      <c r="W129" s="13" t="str">
        <f>IF($B129="","",  VLOOKUP($B129, Propostas!$B:$BE, 51, FALSE) )</f>
        <v/>
      </c>
      <c r="X129" s="13" t="str">
        <f>IF($B129="","",  VLOOKUP($B129, Propostas!$B:$BE, 52, FALSE) )</f>
        <v/>
      </c>
      <c r="Y129" s="13" t="str">
        <f>IF($B129="","",  VLOOKUP($B129, Propostas!$B:$BE, 36, FALSE) )</f>
        <v/>
      </c>
      <c r="Z129" s="13" t="str">
        <f>IF($B129="","",  VLOOKUP($F129, VW_PROJETO!B:C, 2, FALSE) )</f>
        <v/>
      </c>
    </row>
    <row r="130" spans="2:26" x14ac:dyDescent="0.2">
      <c r="B130" s="2"/>
      <c r="C130" s="4" t="str">
        <f>IF($B130="","",  VLOOKUP($B130, Propostas!$B:$BE, 33, FALSE) )</f>
        <v/>
      </c>
      <c r="D130" s="4" t="str">
        <f>IF($B130="","",  VLOOKUP($B130, Propostas!$B:$BE, 34, FALSE) )</f>
        <v/>
      </c>
      <c r="E130" s="4" t="str">
        <f>IF($B130="","",  VLOOKUP($B130, Propostas!$B:$BE, 35, FALSE) )</f>
        <v/>
      </c>
      <c r="F130" s="4" t="str">
        <f>IF($B130="","",  VLOOKUP($B130, Propostas!$B:$BE, 2, FALSE) )</f>
        <v/>
      </c>
      <c r="G130" s="4" t="str">
        <f>IF($B130="","",  VLOOKUP($B130, Propostas!$B:$BE, 3, FALSE) )</f>
        <v/>
      </c>
      <c r="H130" s="4" t="str">
        <f>IF($B130="","",  VLOOKUP($B130, Propostas!$B:$BE, 4, FALSE) )</f>
        <v/>
      </c>
      <c r="I130" s="4" t="str">
        <f>IF($B130="","",  VLOOKUP($B130, Propostas!$B:$BE, 38, FALSE) )</f>
        <v/>
      </c>
      <c r="J130" s="13" t="str">
        <f>IF($B130="","",IF($C130="SIM", "&lt; INFRRAESTRUTURA &gt;", VLOOKUP($B130,Propostas!$B:$BE,41,FALSE)))</f>
        <v/>
      </c>
      <c r="K130" s="10" t="str">
        <f>IF($B130="","",  VLOOKUP($B130, Propostas!$B:$BE, 40, FALSE) )</f>
        <v/>
      </c>
      <c r="L130" s="10" t="str">
        <f>IF($B130="","",IF(VLOOKUP($B130,Propostas!$B:$BE,21,FALSE)=1,"B",IF(VLOOKUP($B130,Propostas!$B:$BE,21,FALSE)=2,"E","N")))</f>
        <v/>
      </c>
      <c r="M130" s="31" t="str">
        <f>IF($B130 = "", "",  VLOOKUP($B130, Propostas!$B:$BE, 46, FALSE) )</f>
        <v/>
      </c>
      <c r="N130" s="31" t="str">
        <f>IF($B130 = "", "",  VLOOKUP($B130, Propostas!$B:$BE, 47, FALSE) )</f>
        <v/>
      </c>
      <c r="O130" s="13" t="str">
        <f>IF($B130="","",IF($C130="SIM", "INFRAESTRUTURA", VLOOKUP($B130, Propostas!$B:$BE,42,FALSE)))</f>
        <v/>
      </c>
      <c r="P130" s="31" t="str">
        <f>IF($B130 = "", "",  VLOOKUP($B130, Propostas!$B:$BE, 49, FALSE) )</f>
        <v/>
      </c>
      <c r="Q130" s="13" t="str">
        <f>IF($B130="","",  VLOOKUP($B130, Propostas!$B:$BE, 39, FALSE) )</f>
        <v/>
      </c>
      <c r="R130" s="62" t="str">
        <f>IF($B130="","",  VLOOKUP($B130, Propostas!$B:$BE, 43, FALSE) )</f>
        <v/>
      </c>
      <c r="S130" s="62" t="str">
        <f>IF($B130="","",  VLOOKUP($B130, Propostas!$B:$BE, 44, FALSE) )</f>
        <v/>
      </c>
      <c r="T130" s="62" t="str">
        <f>IF($B130="","",  VLOOKUP($B130, Propostas!$B:$BE, 45, FALSE) )</f>
        <v/>
      </c>
      <c r="U130" s="31"/>
      <c r="V130" s="13" t="str">
        <f>IF($B130="","",  VLOOKUP($B130, Propostas!$B:$BE, 50, FALSE) )</f>
        <v/>
      </c>
      <c r="W130" s="13" t="str">
        <f>IF($B130="","",  VLOOKUP($B130, Propostas!$B:$BE, 51, FALSE) )</f>
        <v/>
      </c>
      <c r="X130" s="13" t="str">
        <f>IF($B130="","",  VLOOKUP($B130, Propostas!$B:$BE, 52, FALSE) )</f>
        <v/>
      </c>
      <c r="Y130" s="13" t="str">
        <f>IF($B130="","",  VLOOKUP($B130, Propostas!$B:$BE, 36, FALSE) )</f>
        <v/>
      </c>
      <c r="Z130" s="13" t="str">
        <f>IF($B130="","",  VLOOKUP($F130, VW_PROJETO!B:C, 2, FALSE) )</f>
        <v/>
      </c>
    </row>
    <row r="131" spans="2:26" x14ac:dyDescent="0.2">
      <c r="B131" s="2"/>
      <c r="C131" s="4" t="str">
        <f>IF($B131="","",  VLOOKUP($B131, Propostas!$B:$BE, 33, FALSE) )</f>
        <v/>
      </c>
      <c r="D131" s="4" t="str">
        <f>IF($B131="","",  VLOOKUP($B131, Propostas!$B:$BE, 34, FALSE) )</f>
        <v/>
      </c>
      <c r="E131" s="4" t="str">
        <f>IF($B131="","",  VLOOKUP($B131, Propostas!$B:$BE, 35, FALSE) )</f>
        <v/>
      </c>
      <c r="F131" s="4" t="str">
        <f>IF($B131="","",  VLOOKUP($B131, Propostas!$B:$BE, 2, FALSE) )</f>
        <v/>
      </c>
      <c r="G131" s="4" t="str">
        <f>IF($B131="","",  VLOOKUP($B131, Propostas!$B:$BE, 3, FALSE) )</f>
        <v/>
      </c>
      <c r="H131" s="4" t="str">
        <f>IF($B131="","",  VLOOKUP($B131, Propostas!$B:$BE, 4, FALSE) )</f>
        <v/>
      </c>
      <c r="I131" s="4" t="str">
        <f>IF($B131="","",  VLOOKUP($B131, Propostas!$B:$BE, 38, FALSE) )</f>
        <v/>
      </c>
      <c r="J131" s="13" t="str">
        <f>IF($B131="","",IF($C131="SIM", "&lt; INFRRAESTRUTURA &gt;", VLOOKUP($B131,Propostas!$B:$BE,41,FALSE)))</f>
        <v/>
      </c>
      <c r="K131" s="10" t="str">
        <f>IF($B131="","",  VLOOKUP($B131, Propostas!$B:$BE, 40, FALSE) )</f>
        <v/>
      </c>
      <c r="L131" s="10" t="str">
        <f>IF($B131="","",IF(VLOOKUP($B131,Propostas!$B:$BE,21,FALSE)=1,"B",IF(VLOOKUP($B131,Propostas!$B:$BE,21,FALSE)=2,"E","N")))</f>
        <v/>
      </c>
      <c r="M131" s="31" t="str">
        <f>IF($B131 = "", "",  VLOOKUP($B131, Propostas!$B:$BE, 46, FALSE) )</f>
        <v/>
      </c>
      <c r="N131" s="31" t="str">
        <f>IF($B131 = "", "",  VLOOKUP($B131, Propostas!$B:$BE, 47, FALSE) )</f>
        <v/>
      </c>
      <c r="O131" s="13" t="str">
        <f>IF($B131="","",IF($C131="SIM", "INFRAESTRUTURA", VLOOKUP($B131, Propostas!$B:$BE,42,FALSE)))</f>
        <v/>
      </c>
      <c r="P131" s="31" t="str">
        <f>IF($B131 = "", "",  VLOOKUP($B131, Propostas!$B:$BE, 49, FALSE) )</f>
        <v/>
      </c>
      <c r="Q131" s="13" t="str">
        <f>IF($B131="","",  VLOOKUP($B131, Propostas!$B:$BE, 39, FALSE) )</f>
        <v/>
      </c>
      <c r="R131" s="62" t="str">
        <f>IF($B131="","",  VLOOKUP($B131, Propostas!$B:$BE, 43, FALSE) )</f>
        <v/>
      </c>
      <c r="S131" s="62" t="str">
        <f>IF($B131="","",  VLOOKUP($B131, Propostas!$B:$BE, 44, FALSE) )</f>
        <v/>
      </c>
      <c r="T131" s="62" t="str">
        <f>IF($B131="","",  VLOOKUP($B131, Propostas!$B:$BE, 45, FALSE) )</f>
        <v/>
      </c>
      <c r="U131" s="31"/>
      <c r="V131" s="13" t="str">
        <f>IF($B131="","",  VLOOKUP($B131, Propostas!$B:$BE, 50, FALSE) )</f>
        <v/>
      </c>
      <c r="W131" s="13" t="str">
        <f>IF($B131="","",  VLOOKUP($B131, Propostas!$B:$BE, 51, FALSE) )</f>
        <v/>
      </c>
      <c r="X131" s="13" t="str">
        <f>IF($B131="","",  VLOOKUP($B131, Propostas!$B:$BE, 52, FALSE) )</f>
        <v/>
      </c>
      <c r="Y131" s="13" t="str">
        <f>IF($B131="","",  VLOOKUP($B131, Propostas!$B:$BE, 36, FALSE) )</f>
        <v/>
      </c>
      <c r="Z131" s="13" t="str">
        <f>IF($B131="","",  VLOOKUP($F131, VW_PROJETO!B:C, 2, FALSE) )</f>
        <v/>
      </c>
    </row>
    <row r="132" spans="2:26" x14ac:dyDescent="0.2">
      <c r="B132" s="2"/>
      <c r="C132" s="4" t="str">
        <f>IF($B132="","",  VLOOKUP($B132, Propostas!$B:$BE, 33, FALSE) )</f>
        <v/>
      </c>
      <c r="D132" s="4" t="str">
        <f>IF($B132="","",  VLOOKUP($B132, Propostas!$B:$BE, 34, FALSE) )</f>
        <v/>
      </c>
      <c r="E132" s="4" t="str">
        <f>IF($B132="","",  VLOOKUP($B132, Propostas!$B:$BE, 35, FALSE) )</f>
        <v/>
      </c>
      <c r="F132" s="4" t="str">
        <f>IF($B132="","",  VLOOKUP($B132, Propostas!$B:$BE, 2, FALSE) )</f>
        <v/>
      </c>
      <c r="G132" s="4" t="str">
        <f>IF($B132="","",  VLOOKUP($B132, Propostas!$B:$BE, 3, FALSE) )</f>
        <v/>
      </c>
      <c r="H132" s="4" t="str">
        <f>IF($B132="","",  VLOOKUP($B132, Propostas!$B:$BE, 4, FALSE) )</f>
        <v/>
      </c>
      <c r="I132" s="4" t="str">
        <f>IF($B132="","",  VLOOKUP($B132, Propostas!$B:$BE, 38, FALSE) )</f>
        <v/>
      </c>
      <c r="J132" s="13" t="str">
        <f>IF($B132="","",IF($C132="SIM", "&lt; INFRRAESTRUTURA &gt;", VLOOKUP($B132,Propostas!$B:$BE,41,FALSE)))</f>
        <v/>
      </c>
      <c r="K132" s="10" t="str">
        <f>IF($B132="","",  VLOOKUP($B132, Propostas!$B:$BE, 40, FALSE) )</f>
        <v/>
      </c>
      <c r="L132" s="10" t="str">
        <f>IF($B132="","",IF(VLOOKUP($B132,Propostas!$B:$BE,21,FALSE)=1,"B",IF(VLOOKUP($B132,Propostas!$B:$BE,21,FALSE)=2,"E","N")))</f>
        <v/>
      </c>
      <c r="M132" s="31" t="str">
        <f>IF($B132 = "", "",  VLOOKUP($B132, Propostas!$B:$BE, 46, FALSE) )</f>
        <v/>
      </c>
      <c r="N132" s="31" t="str">
        <f>IF($B132 = "", "",  VLOOKUP($B132, Propostas!$B:$BE, 47, FALSE) )</f>
        <v/>
      </c>
      <c r="O132" s="13" t="str">
        <f>IF($B132="","",IF($C132="SIM", "INFRAESTRUTURA", VLOOKUP($B132, Propostas!$B:$BE,42,FALSE)))</f>
        <v/>
      </c>
      <c r="P132" s="31" t="str">
        <f>IF($B132 = "", "",  VLOOKUP($B132, Propostas!$B:$BE, 49, FALSE) )</f>
        <v/>
      </c>
      <c r="Q132" s="13" t="str">
        <f>IF($B132="","",  VLOOKUP($B132, Propostas!$B:$BE, 39, FALSE) )</f>
        <v/>
      </c>
      <c r="R132" s="62" t="str">
        <f>IF($B132="","",  VLOOKUP($B132, Propostas!$B:$BE, 43, FALSE) )</f>
        <v/>
      </c>
      <c r="S132" s="62" t="str">
        <f>IF($B132="","",  VLOOKUP($B132, Propostas!$B:$BE, 44, FALSE) )</f>
        <v/>
      </c>
      <c r="T132" s="62" t="str">
        <f>IF($B132="","",  VLOOKUP($B132, Propostas!$B:$BE, 45, FALSE) )</f>
        <v/>
      </c>
      <c r="U132" s="31"/>
      <c r="V132" s="13" t="str">
        <f>IF($B132="","",  VLOOKUP($B132, Propostas!$B:$BE, 50, FALSE) )</f>
        <v/>
      </c>
      <c r="W132" s="13" t="str">
        <f>IF($B132="","",  VLOOKUP($B132, Propostas!$B:$BE, 51, FALSE) )</f>
        <v/>
      </c>
      <c r="X132" s="13" t="str">
        <f>IF($B132="","",  VLOOKUP($B132, Propostas!$B:$BE, 52, FALSE) )</f>
        <v/>
      </c>
      <c r="Y132" s="13" t="str">
        <f>IF($B132="","",  VLOOKUP($B132, Propostas!$B:$BE, 36, FALSE) )</f>
        <v/>
      </c>
      <c r="Z132" s="13" t="str">
        <f>IF($B132="","",  VLOOKUP($F132, VW_PROJETO!B:C, 2, FALSE) )</f>
        <v/>
      </c>
    </row>
    <row r="133" spans="2:26" x14ac:dyDescent="0.2">
      <c r="B133" s="2"/>
      <c r="C133" s="4" t="str">
        <f>IF($B133="","",  VLOOKUP($B133, Propostas!$B:$BE, 33, FALSE) )</f>
        <v/>
      </c>
      <c r="D133" s="4" t="str">
        <f>IF($B133="","",  VLOOKUP($B133, Propostas!$B:$BE, 34, FALSE) )</f>
        <v/>
      </c>
      <c r="E133" s="4" t="str">
        <f>IF($B133="","",  VLOOKUP($B133, Propostas!$B:$BE, 35, FALSE) )</f>
        <v/>
      </c>
      <c r="F133" s="4" t="str">
        <f>IF($B133="","",  VLOOKUP($B133, Propostas!$B:$BE, 2, FALSE) )</f>
        <v/>
      </c>
      <c r="G133" s="4" t="str">
        <f>IF($B133="","",  VLOOKUP($B133, Propostas!$B:$BE, 3, FALSE) )</f>
        <v/>
      </c>
      <c r="H133" s="4" t="str">
        <f>IF($B133="","",  VLOOKUP($B133, Propostas!$B:$BE, 4, FALSE) )</f>
        <v/>
      </c>
      <c r="I133" s="4" t="str">
        <f>IF($B133="","",  VLOOKUP($B133, Propostas!$B:$BE, 38, FALSE) )</f>
        <v/>
      </c>
      <c r="J133" s="13" t="str">
        <f>IF($B133="","",IF($C133="SIM", "&lt; INFRRAESTRUTURA &gt;", VLOOKUP($B133,Propostas!$B:$BE,41,FALSE)))</f>
        <v/>
      </c>
      <c r="K133" s="10" t="str">
        <f>IF($B133="","",  VLOOKUP($B133, Propostas!$B:$BE, 40, FALSE) )</f>
        <v/>
      </c>
      <c r="L133" s="10" t="str">
        <f>IF($B133="","",IF(VLOOKUP($B133,Propostas!$B:$BE,21,FALSE)=1,"B",IF(VLOOKUP($B133,Propostas!$B:$BE,21,FALSE)=2,"E","N")))</f>
        <v/>
      </c>
      <c r="M133" s="31" t="str">
        <f>IF($B133 = "", "",  VLOOKUP($B133, Propostas!$B:$BE, 46, FALSE) )</f>
        <v/>
      </c>
      <c r="N133" s="31" t="str">
        <f>IF($B133 = "", "",  VLOOKUP($B133, Propostas!$B:$BE, 47, FALSE) )</f>
        <v/>
      </c>
      <c r="O133" s="13" t="str">
        <f>IF($B133="","",IF($C133="SIM", "INFRAESTRUTURA", VLOOKUP($B133, Propostas!$B:$BE,42,FALSE)))</f>
        <v/>
      </c>
      <c r="P133" s="31" t="str">
        <f>IF($B133 = "", "",  VLOOKUP($B133, Propostas!$B:$BE, 49, FALSE) )</f>
        <v/>
      </c>
      <c r="Q133" s="13" t="str">
        <f>IF($B133="","",  VLOOKUP($B133, Propostas!$B:$BE, 39, FALSE) )</f>
        <v/>
      </c>
      <c r="R133" s="62" t="str">
        <f>IF($B133="","",  VLOOKUP($B133, Propostas!$B:$BE, 43, FALSE) )</f>
        <v/>
      </c>
      <c r="S133" s="62" t="str">
        <f>IF($B133="","",  VLOOKUP($B133, Propostas!$B:$BE, 44, FALSE) )</f>
        <v/>
      </c>
      <c r="T133" s="62" t="str">
        <f>IF($B133="","",  VLOOKUP($B133, Propostas!$B:$BE, 45, FALSE) )</f>
        <v/>
      </c>
      <c r="U133" s="31"/>
      <c r="V133" s="13" t="str">
        <f>IF($B133="","",  VLOOKUP($B133, Propostas!$B:$BE, 50, FALSE) )</f>
        <v/>
      </c>
      <c r="W133" s="13" t="str">
        <f>IF($B133="","",  VLOOKUP($B133, Propostas!$B:$BE, 51, FALSE) )</f>
        <v/>
      </c>
      <c r="X133" s="13" t="str">
        <f>IF($B133="","",  VLOOKUP($B133, Propostas!$B:$BE, 52, FALSE) )</f>
        <v/>
      </c>
      <c r="Y133" s="13" t="str">
        <f>IF($B133="","",  VLOOKUP($B133, Propostas!$B:$BE, 36, FALSE) )</f>
        <v/>
      </c>
      <c r="Z133" s="13" t="str">
        <f>IF($B133="","",  VLOOKUP($F133, VW_PROJETO!B:C, 2, FALSE) )</f>
        <v/>
      </c>
    </row>
    <row r="134" spans="2:26" x14ac:dyDescent="0.2">
      <c r="B134" s="2"/>
      <c r="C134" s="4" t="str">
        <f>IF($B134="","",  VLOOKUP($B134, Propostas!$B:$BE, 33, FALSE) )</f>
        <v/>
      </c>
      <c r="D134" s="4" t="str">
        <f>IF($B134="","",  VLOOKUP($B134, Propostas!$B:$BE, 34, FALSE) )</f>
        <v/>
      </c>
      <c r="E134" s="4" t="str">
        <f>IF($B134="","",  VLOOKUP($B134, Propostas!$B:$BE, 35, FALSE) )</f>
        <v/>
      </c>
      <c r="F134" s="4" t="str">
        <f>IF($B134="","",  VLOOKUP($B134, Propostas!$B:$BE, 2, FALSE) )</f>
        <v/>
      </c>
      <c r="G134" s="4" t="str">
        <f>IF($B134="","",  VLOOKUP($B134, Propostas!$B:$BE, 3, FALSE) )</f>
        <v/>
      </c>
      <c r="H134" s="4" t="str">
        <f>IF($B134="","",  VLOOKUP($B134, Propostas!$B:$BE, 4, FALSE) )</f>
        <v/>
      </c>
      <c r="I134" s="4" t="str">
        <f>IF($B134="","",  VLOOKUP($B134, Propostas!$B:$BE, 38, FALSE) )</f>
        <v/>
      </c>
      <c r="J134" s="13" t="str">
        <f>IF($B134="","",IF($C134="SIM", "&lt; INFRRAESTRUTURA &gt;", VLOOKUP($B134,Propostas!$B:$BE,41,FALSE)))</f>
        <v/>
      </c>
      <c r="K134" s="10" t="str">
        <f>IF($B134="","",  VLOOKUP($B134, Propostas!$B:$BE, 40, FALSE) )</f>
        <v/>
      </c>
      <c r="L134" s="10" t="str">
        <f>IF($B134="","",IF(VLOOKUP($B134,Propostas!$B:$BE,21,FALSE)=1,"B",IF(VLOOKUP($B134,Propostas!$B:$BE,21,FALSE)=2,"E","N")))</f>
        <v/>
      </c>
      <c r="M134" s="31" t="str">
        <f>IF($B134 = "", "",  VLOOKUP($B134, Propostas!$B:$BE, 46, FALSE) )</f>
        <v/>
      </c>
      <c r="N134" s="31" t="str">
        <f>IF($B134 = "", "",  VLOOKUP($B134, Propostas!$B:$BE, 47, FALSE) )</f>
        <v/>
      </c>
      <c r="O134" s="13" t="str">
        <f>IF($B134="","",IF($C134="SIM", "INFRAESTRUTURA", VLOOKUP($B134, Propostas!$B:$BE,42,FALSE)))</f>
        <v/>
      </c>
      <c r="P134" s="31" t="str">
        <f>IF($B134 = "", "",  VLOOKUP($B134, Propostas!$B:$BE, 49, FALSE) )</f>
        <v/>
      </c>
      <c r="Q134" s="13" t="str">
        <f>IF($B134="","",  VLOOKUP($B134, Propostas!$B:$BE, 39, FALSE) )</f>
        <v/>
      </c>
      <c r="R134" s="62" t="str">
        <f>IF($B134="","",  VLOOKUP($B134, Propostas!$B:$BE, 43, FALSE) )</f>
        <v/>
      </c>
      <c r="S134" s="62" t="str">
        <f>IF($B134="","",  VLOOKUP($B134, Propostas!$B:$BE, 44, FALSE) )</f>
        <v/>
      </c>
      <c r="T134" s="62" t="str">
        <f>IF($B134="","",  VLOOKUP($B134, Propostas!$B:$BE, 45, FALSE) )</f>
        <v/>
      </c>
      <c r="U134" s="31"/>
      <c r="V134" s="13" t="str">
        <f>IF($B134="","",  VLOOKUP($B134, Propostas!$B:$BE, 50, FALSE) )</f>
        <v/>
      </c>
      <c r="W134" s="13" t="str">
        <f>IF($B134="","",  VLOOKUP($B134, Propostas!$B:$BE, 51, FALSE) )</f>
        <v/>
      </c>
      <c r="X134" s="13" t="str">
        <f>IF($B134="","",  VLOOKUP($B134, Propostas!$B:$BE, 52, FALSE) )</f>
        <v/>
      </c>
      <c r="Y134" s="13" t="str">
        <f>IF($B134="","",  VLOOKUP($B134, Propostas!$B:$BE, 36, FALSE) )</f>
        <v/>
      </c>
      <c r="Z134" s="13" t="str">
        <f>IF($B134="","",  VLOOKUP($F134, VW_PROJETO!B:C, 2, FALSE) )</f>
        <v/>
      </c>
    </row>
    <row r="135" spans="2:26" x14ac:dyDescent="0.2">
      <c r="B135" s="2"/>
      <c r="C135" s="4" t="str">
        <f>IF($B135="","",  VLOOKUP($B135, Propostas!$B:$BE, 33, FALSE) )</f>
        <v/>
      </c>
      <c r="D135" s="4" t="str">
        <f>IF($B135="","",  VLOOKUP($B135, Propostas!$B:$BE, 34, FALSE) )</f>
        <v/>
      </c>
      <c r="E135" s="4" t="str">
        <f>IF($B135="","",  VLOOKUP($B135, Propostas!$B:$BE, 35, FALSE) )</f>
        <v/>
      </c>
      <c r="F135" s="4" t="str">
        <f>IF($B135="","",  VLOOKUP($B135, Propostas!$B:$BE, 2, FALSE) )</f>
        <v/>
      </c>
      <c r="G135" s="4" t="str">
        <f>IF($B135="","",  VLOOKUP($B135, Propostas!$B:$BE, 3, FALSE) )</f>
        <v/>
      </c>
      <c r="H135" s="4" t="str">
        <f>IF($B135="","",  VLOOKUP($B135, Propostas!$B:$BE, 4, FALSE) )</f>
        <v/>
      </c>
      <c r="I135" s="4" t="str">
        <f>IF($B135="","",  VLOOKUP($B135, Propostas!$B:$BE, 38, FALSE) )</f>
        <v/>
      </c>
      <c r="J135" s="13" t="str">
        <f>IF($B135="","",IF($C135="SIM", "&lt; INFRRAESTRUTURA &gt;", VLOOKUP($B135,Propostas!$B:$BE,41,FALSE)))</f>
        <v/>
      </c>
      <c r="K135" s="10" t="str">
        <f>IF($B135="","",  VLOOKUP($B135, Propostas!$B:$BE, 40, FALSE) )</f>
        <v/>
      </c>
      <c r="L135" s="10" t="str">
        <f>IF($B135="","",IF(VLOOKUP($B135,Propostas!$B:$BE,21,FALSE)=1,"B",IF(VLOOKUP($B135,Propostas!$B:$BE,21,FALSE)=2,"E","N")))</f>
        <v/>
      </c>
      <c r="M135" s="31" t="str">
        <f>IF($B135 = "", "",  VLOOKUP($B135, Propostas!$B:$BE, 46, FALSE) )</f>
        <v/>
      </c>
      <c r="N135" s="31" t="str">
        <f>IF($B135 = "", "",  VLOOKUP($B135, Propostas!$B:$BE, 47, FALSE) )</f>
        <v/>
      </c>
      <c r="O135" s="13" t="str">
        <f>IF($B135="","",IF($C135="SIM", "INFRAESTRUTURA", VLOOKUP($B135, Propostas!$B:$BE,42,FALSE)))</f>
        <v/>
      </c>
      <c r="P135" s="31" t="str">
        <f>IF($B135 = "", "",  VLOOKUP($B135, Propostas!$B:$BE, 49, FALSE) )</f>
        <v/>
      </c>
      <c r="Q135" s="13" t="str">
        <f>IF($B135="","",  VLOOKUP($B135, Propostas!$B:$BE, 39, FALSE) )</f>
        <v/>
      </c>
      <c r="R135" s="62" t="str">
        <f>IF($B135="","",  VLOOKUP($B135, Propostas!$B:$BE, 43, FALSE) )</f>
        <v/>
      </c>
      <c r="S135" s="62" t="str">
        <f>IF($B135="","",  VLOOKUP($B135, Propostas!$B:$BE, 44, FALSE) )</f>
        <v/>
      </c>
      <c r="T135" s="62" t="str">
        <f>IF($B135="","",  VLOOKUP($B135, Propostas!$B:$BE, 45, FALSE) )</f>
        <v/>
      </c>
      <c r="U135" s="31"/>
      <c r="V135" s="13" t="str">
        <f>IF($B135="","",  VLOOKUP($B135, Propostas!$B:$BE, 50, FALSE) )</f>
        <v/>
      </c>
      <c r="W135" s="13" t="str">
        <f>IF($B135="","",  VLOOKUP($B135, Propostas!$B:$BE, 51, FALSE) )</f>
        <v/>
      </c>
      <c r="X135" s="13" t="str">
        <f>IF($B135="","",  VLOOKUP($B135, Propostas!$B:$BE, 52, FALSE) )</f>
        <v/>
      </c>
      <c r="Y135" s="13" t="str">
        <f>IF($B135="","",  VLOOKUP($B135, Propostas!$B:$BE, 36, FALSE) )</f>
        <v/>
      </c>
      <c r="Z135" s="13" t="str">
        <f>IF($B135="","",  VLOOKUP($F135, VW_PROJETO!B:C, 2, FALSE) )</f>
        <v/>
      </c>
    </row>
    <row r="136" spans="2:26" x14ac:dyDescent="0.2">
      <c r="B136" s="2"/>
      <c r="C136" s="4" t="str">
        <f>IF($B136="","",  VLOOKUP($B136, Propostas!$B:$BE, 33, FALSE) )</f>
        <v/>
      </c>
      <c r="D136" s="4" t="str">
        <f>IF($B136="","",  VLOOKUP($B136, Propostas!$B:$BE, 34, FALSE) )</f>
        <v/>
      </c>
      <c r="E136" s="4" t="str">
        <f>IF($B136="","",  VLOOKUP($B136, Propostas!$B:$BE, 35, FALSE) )</f>
        <v/>
      </c>
      <c r="F136" s="4" t="str">
        <f>IF($B136="","",  VLOOKUP($B136, Propostas!$B:$BE, 2, FALSE) )</f>
        <v/>
      </c>
      <c r="G136" s="4" t="str">
        <f>IF($B136="","",  VLOOKUP($B136, Propostas!$B:$BE, 3, FALSE) )</f>
        <v/>
      </c>
      <c r="H136" s="4" t="str">
        <f>IF($B136="","",  VLOOKUP($B136, Propostas!$B:$BE, 4, FALSE) )</f>
        <v/>
      </c>
      <c r="I136" s="4" t="str">
        <f>IF($B136="","",  VLOOKUP($B136, Propostas!$B:$BE, 38, FALSE) )</f>
        <v/>
      </c>
      <c r="J136" s="13" t="str">
        <f>IF($B136="","",IF($C136="SIM", "&lt; INFRRAESTRUTURA &gt;", VLOOKUP($B136,Propostas!$B:$BE,41,FALSE)))</f>
        <v/>
      </c>
      <c r="K136" s="10" t="str">
        <f>IF($B136="","",  VLOOKUP($B136, Propostas!$B:$BE, 40, FALSE) )</f>
        <v/>
      </c>
      <c r="L136" s="10" t="str">
        <f>IF($B136="","",IF(VLOOKUP($B136,Propostas!$B:$BE,21,FALSE)=1,"B",IF(VLOOKUP($B136,Propostas!$B:$BE,21,FALSE)=2,"E","N")))</f>
        <v/>
      </c>
      <c r="M136" s="31" t="str">
        <f>IF($B136 = "", "",  VLOOKUP($B136, Propostas!$B:$BE, 46, FALSE) )</f>
        <v/>
      </c>
      <c r="N136" s="31" t="str">
        <f>IF($B136 = "", "",  VLOOKUP($B136, Propostas!$B:$BE, 47, FALSE) )</f>
        <v/>
      </c>
      <c r="O136" s="13" t="str">
        <f>IF($B136="","",IF($C136="SIM", "INFRAESTRUTURA", VLOOKUP($B136, Propostas!$B:$BE,42,FALSE)))</f>
        <v/>
      </c>
      <c r="P136" s="31" t="str">
        <f>IF($B136 = "", "",  VLOOKUP($B136, Propostas!$B:$BE, 49, FALSE) )</f>
        <v/>
      </c>
      <c r="Q136" s="13" t="str">
        <f>IF($B136="","",  VLOOKUP($B136, Propostas!$B:$BE, 39, FALSE) )</f>
        <v/>
      </c>
      <c r="R136" s="62" t="str">
        <f>IF($B136="","",  VLOOKUP($B136, Propostas!$B:$BE, 43, FALSE) )</f>
        <v/>
      </c>
      <c r="S136" s="62" t="str">
        <f>IF($B136="","",  VLOOKUP($B136, Propostas!$B:$BE, 44, FALSE) )</f>
        <v/>
      </c>
      <c r="T136" s="62" t="str">
        <f>IF($B136="","",  VLOOKUP($B136, Propostas!$B:$BE, 45, FALSE) )</f>
        <v/>
      </c>
      <c r="U136" s="31"/>
      <c r="V136" s="13" t="str">
        <f>IF($B136="","",  VLOOKUP($B136, Propostas!$B:$BE, 50, FALSE) )</f>
        <v/>
      </c>
      <c r="W136" s="13" t="str">
        <f>IF($B136="","",  VLOOKUP($B136, Propostas!$B:$BE, 51, FALSE) )</f>
        <v/>
      </c>
      <c r="X136" s="13" t="str">
        <f>IF($B136="","",  VLOOKUP($B136, Propostas!$B:$BE, 52, FALSE) )</f>
        <v/>
      </c>
      <c r="Y136" s="13" t="str">
        <f>IF($B136="","",  VLOOKUP($B136, Propostas!$B:$BE, 36, FALSE) )</f>
        <v/>
      </c>
      <c r="Z136" s="13" t="str">
        <f>IF($B136="","",  VLOOKUP($F136, VW_PROJETO!B:C, 2, FALSE) )</f>
        <v/>
      </c>
    </row>
    <row r="137" spans="2:26" x14ac:dyDescent="0.2">
      <c r="B137" s="2"/>
      <c r="C137" s="4" t="str">
        <f>IF($B137="","",  VLOOKUP($B137, Propostas!$B:$BE, 33, FALSE) )</f>
        <v/>
      </c>
      <c r="D137" s="4" t="str">
        <f>IF($B137="","",  VLOOKUP($B137, Propostas!$B:$BE, 34, FALSE) )</f>
        <v/>
      </c>
      <c r="E137" s="4" t="str">
        <f>IF($B137="","",  VLOOKUP($B137, Propostas!$B:$BE, 35, FALSE) )</f>
        <v/>
      </c>
      <c r="F137" s="4" t="str">
        <f>IF($B137="","",  VLOOKUP($B137, Propostas!$B:$BE, 2, FALSE) )</f>
        <v/>
      </c>
      <c r="G137" s="4" t="str">
        <f>IF($B137="","",  VLOOKUP($B137, Propostas!$B:$BE, 3, FALSE) )</f>
        <v/>
      </c>
      <c r="H137" s="4" t="str">
        <f>IF($B137="","",  VLOOKUP($B137, Propostas!$B:$BE, 4, FALSE) )</f>
        <v/>
      </c>
      <c r="I137" s="4" t="str">
        <f>IF($B137="","",  VLOOKUP($B137, Propostas!$B:$BE, 38, FALSE) )</f>
        <v/>
      </c>
      <c r="J137" s="13" t="str">
        <f>IF($B137="","",IF($C137="SIM", "&lt; INFRRAESTRUTURA &gt;", VLOOKUP($B137,Propostas!$B:$BE,41,FALSE)))</f>
        <v/>
      </c>
      <c r="K137" s="10" t="str">
        <f>IF($B137="","",  VLOOKUP($B137, Propostas!$B:$BE, 40, FALSE) )</f>
        <v/>
      </c>
      <c r="L137" s="10" t="str">
        <f>IF($B137="","",IF(VLOOKUP($B137,Propostas!$B:$BE,21,FALSE)=1,"B",IF(VLOOKUP($B137,Propostas!$B:$BE,21,FALSE)=2,"E","N")))</f>
        <v/>
      </c>
      <c r="M137" s="31" t="str">
        <f>IF($B137 = "", "",  VLOOKUP($B137, Propostas!$B:$BE, 46, FALSE) )</f>
        <v/>
      </c>
      <c r="N137" s="31" t="str">
        <f>IF($B137 = "", "",  VLOOKUP($B137, Propostas!$B:$BE, 47, FALSE) )</f>
        <v/>
      </c>
      <c r="O137" s="13" t="str">
        <f>IF($B137="","",IF($C137="SIM", "INFRAESTRUTURA", VLOOKUP($B137, Propostas!$B:$BE,42,FALSE)))</f>
        <v/>
      </c>
      <c r="P137" s="31" t="str">
        <f>IF($B137 = "", "",  VLOOKUP($B137, Propostas!$B:$BE, 49, FALSE) )</f>
        <v/>
      </c>
      <c r="Q137" s="13" t="str">
        <f>IF($B137="","",  VLOOKUP($B137, Propostas!$B:$BE, 39, FALSE) )</f>
        <v/>
      </c>
      <c r="R137" s="62" t="str">
        <f>IF($B137="","",  VLOOKUP($B137, Propostas!$B:$BE, 43, FALSE) )</f>
        <v/>
      </c>
      <c r="S137" s="62" t="str">
        <f>IF($B137="","",  VLOOKUP($B137, Propostas!$B:$BE, 44, FALSE) )</f>
        <v/>
      </c>
      <c r="T137" s="62" t="str">
        <f>IF($B137="","",  VLOOKUP($B137, Propostas!$B:$BE, 45, FALSE) )</f>
        <v/>
      </c>
      <c r="U137" s="31"/>
      <c r="V137" s="13" t="str">
        <f>IF($B137="","",  VLOOKUP($B137, Propostas!$B:$BE, 50, FALSE) )</f>
        <v/>
      </c>
      <c r="W137" s="13" t="str">
        <f>IF($B137="","",  VLOOKUP($B137, Propostas!$B:$BE, 51, FALSE) )</f>
        <v/>
      </c>
      <c r="X137" s="13" t="str">
        <f>IF($B137="","",  VLOOKUP($B137, Propostas!$B:$BE, 52, FALSE) )</f>
        <v/>
      </c>
      <c r="Y137" s="13" t="str">
        <f>IF($B137="","",  VLOOKUP($B137, Propostas!$B:$BE, 36, FALSE) )</f>
        <v/>
      </c>
      <c r="Z137" s="13" t="str">
        <f>IF($B137="","",  VLOOKUP($F137, VW_PROJETO!B:C, 2, FALSE) )</f>
        <v/>
      </c>
    </row>
    <row r="138" spans="2:26" x14ac:dyDescent="0.2">
      <c r="B138" s="2"/>
      <c r="C138" s="4" t="str">
        <f>IF($B138="","",  VLOOKUP($B138, Propostas!$B:$BE, 33, FALSE) )</f>
        <v/>
      </c>
      <c r="D138" s="4" t="str">
        <f>IF($B138="","",  VLOOKUP($B138, Propostas!$B:$BE, 34, FALSE) )</f>
        <v/>
      </c>
      <c r="E138" s="4" t="str">
        <f>IF($B138="","",  VLOOKUP($B138, Propostas!$B:$BE, 35, FALSE) )</f>
        <v/>
      </c>
      <c r="F138" s="4" t="str">
        <f>IF($B138="","",  VLOOKUP($B138, Propostas!$B:$BE, 2, FALSE) )</f>
        <v/>
      </c>
      <c r="G138" s="4" t="str">
        <f>IF($B138="","",  VLOOKUP($B138, Propostas!$B:$BE, 3, FALSE) )</f>
        <v/>
      </c>
      <c r="H138" s="4" t="str">
        <f>IF($B138="","",  VLOOKUP($B138, Propostas!$B:$BE, 4, FALSE) )</f>
        <v/>
      </c>
      <c r="I138" s="4" t="str">
        <f>IF($B138="","",  VLOOKUP($B138, Propostas!$B:$BE, 38, FALSE) )</f>
        <v/>
      </c>
      <c r="J138" s="13" t="str">
        <f>IF($B138="","",IF($C138="SIM", "&lt; INFRRAESTRUTURA &gt;", VLOOKUP($B138,Propostas!$B:$BE,41,FALSE)))</f>
        <v/>
      </c>
      <c r="K138" s="10" t="str">
        <f>IF($B138="","",  VLOOKUP($B138, Propostas!$B:$BE, 40, FALSE) )</f>
        <v/>
      </c>
      <c r="L138" s="10" t="str">
        <f>IF($B138="","",IF(VLOOKUP($B138,Propostas!$B:$BE,21,FALSE)=1,"B",IF(VLOOKUP($B138,Propostas!$B:$BE,21,FALSE)=2,"E","N")))</f>
        <v/>
      </c>
      <c r="M138" s="31" t="str">
        <f>IF($B138 = "", "",  VLOOKUP($B138, Propostas!$B:$BE, 46, FALSE) )</f>
        <v/>
      </c>
      <c r="N138" s="31" t="str">
        <f>IF($B138 = "", "",  VLOOKUP($B138, Propostas!$B:$BE, 47, FALSE) )</f>
        <v/>
      </c>
      <c r="O138" s="13" t="str">
        <f>IF($B138="","",IF($C138="SIM", "INFRAESTRUTURA", VLOOKUP($B138, Propostas!$B:$BE,42,FALSE)))</f>
        <v/>
      </c>
      <c r="P138" s="31" t="str">
        <f>IF($B138 = "", "",  VLOOKUP($B138, Propostas!$B:$BE, 49, FALSE) )</f>
        <v/>
      </c>
      <c r="Q138" s="13" t="str">
        <f>IF($B138="","",  VLOOKUP($B138, Propostas!$B:$BE, 39, FALSE) )</f>
        <v/>
      </c>
      <c r="R138" s="62" t="str">
        <f>IF($B138="","",  VLOOKUP($B138, Propostas!$B:$BE, 43, FALSE) )</f>
        <v/>
      </c>
      <c r="S138" s="62" t="str">
        <f>IF($B138="","",  VLOOKUP($B138, Propostas!$B:$BE, 44, FALSE) )</f>
        <v/>
      </c>
      <c r="T138" s="62" t="str">
        <f>IF($B138="","",  VLOOKUP($B138, Propostas!$B:$BE, 45, FALSE) )</f>
        <v/>
      </c>
      <c r="U138" s="31"/>
      <c r="V138" s="13" t="str">
        <f>IF($B138="","",  VLOOKUP($B138, Propostas!$B:$BE, 50, FALSE) )</f>
        <v/>
      </c>
      <c r="W138" s="13" t="str">
        <f>IF($B138="","",  VLOOKUP($B138, Propostas!$B:$BE, 51, FALSE) )</f>
        <v/>
      </c>
      <c r="X138" s="13" t="str">
        <f>IF($B138="","",  VLOOKUP($B138, Propostas!$B:$BE, 52, FALSE) )</f>
        <v/>
      </c>
      <c r="Y138" s="13" t="str">
        <f>IF($B138="","",  VLOOKUP($B138, Propostas!$B:$BE, 36, FALSE) )</f>
        <v/>
      </c>
      <c r="Z138" s="13" t="str">
        <f>IF($B138="","",  VLOOKUP($F138, VW_PROJETO!B:C, 2, FALSE) )</f>
        <v/>
      </c>
    </row>
    <row r="139" spans="2:26" x14ac:dyDescent="0.2">
      <c r="B139" s="2"/>
      <c r="C139" s="4" t="str">
        <f>IF($B139="","",  VLOOKUP($B139, Propostas!$B:$BE, 33, FALSE) )</f>
        <v/>
      </c>
      <c r="D139" s="4" t="str">
        <f>IF($B139="","",  VLOOKUP($B139, Propostas!$B:$BE, 34, FALSE) )</f>
        <v/>
      </c>
      <c r="E139" s="4" t="str">
        <f>IF($B139="","",  VLOOKUP($B139, Propostas!$B:$BE, 35, FALSE) )</f>
        <v/>
      </c>
      <c r="F139" s="4" t="str">
        <f>IF($B139="","",  VLOOKUP($B139, Propostas!$B:$BE, 2, FALSE) )</f>
        <v/>
      </c>
      <c r="G139" s="4" t="str">
        <f>IF($B139="","",  VLOOKUP($B139, Propostas!$B:$BE, 3, FALSE) )</f>
        <v/>
      </c>
      <c r="H139" s="4" t="str">
        <f>IF($B139="","",  VLOOKUP($B139, Propostas!$B:$BE, 4, FALSE) )</f>
        <v/>
      </c>
      <c r="I139" s="4" t="str">
        <f>IF($B139="","",  VLOOKUP($B139, Propostas!$B:$BE, 38, FALSE) )</f>
        <v/>
      </c>
      <c r="J139" s="13" t="str">
        <f>IF($B139="","",IF($C139="SIM", "&lt; INFRRAESTRUTURA &gt;", VLOOKUP($B139,Propostas!$B:$BE,41,FALSE)))</f>
        <v/>
      </c>
      <c r="K139" s="10" t="str">
        <f>IF($B139="","",  VLOOKUP($B139, Propostas!$B:$BE, 40, FALSE) )</f>
        <v/>
      </c>
      <c r="L139" s="10" t="str">
        <f>IF($B139="","",IF(VLOOKUP($B139,Propostas!$B:$BE,21,FALSE)=1,"B",IF(VLOOKUP($B139,Propostas!$B:$BE,21,FALSE)=2,"E","N")))</f>
        <v/>
      </c>
      <c r="M139" s="31" t="str">
        <f>IF($B139 = "", "",  VLOOKUP($B139, Propostas!$B:$BE, 46, FALSE) )</f>
        <v/>
      </c>
      <c r="N139" s="31" t="str">
        <f>IF($B139 = "", "",  VLOOKUP($B139, Propostas!$B:$BE, 47, FALSE) )</f>
        <v/>
      </c>
      <c r="O139" s="13" t="str">
        <f>IF($B139="","",IF($C139="SIM", "INFRAESTRUTURA", VLOOKUP($B139, Propostas!$B:$BE,42,FALSE)))</f>
        <v/>
      </c>
      <c r="P139" s="31" t="str">
        <f>IF($B139 = "", "",  VLOOKUP($B139, Propostas!$B:$BE, 49, FALSE) )</f>
        <v/>
      </c>
      <c r="Q139" s="13" t="str">
        <f>IF($B139="","",  VLOOKUP($B139, Propostas!$B:$BE, 39, FALSE) )</f>
        <v/>
      </c>
      <c r="R139" s="62" t="str">
        <f>IF($B139="","",  VLOOKUP($B139, Propostas!$B:$BE, 43, FALSE) )</f>
        <v/>
      </c>
      <c r="S139" s="62" t="str">
        <f>IF($B139="","",  VLOOKUP($B139, Propostas!$B:$BE, 44, FALSE) )</f>
        <v/>
      </c>
      <c r="T139" s="62" t="str">
        <f>IF($B139="","",  VLOOKUP($B139, Propostas!$B:$BE, 45, FALSE) )</f>
        <v/>
      </c>
      <c r="U139" s="31"/>
      <c r="V139" s="13" t="str">
        <f>IF($B139="","",  VLOOKUP($B139, Propostas!$B:$BE, 50, FALSE) )</f>
        <v/>
      </c>
      <c r="W139" s="13" t="str">
        <f>IF($B139="","",  VLOOKUP($B139, Propostas!$B:$BE, 51, FALSE) )</f>
        <v/>
      </c>
      <c r="X139" s="13" t="str">
        <f>IF($B139="","",  VLOOKUP($B139, Propostas!$B:$BE, 52, FALSE) )</f>
        <v/>
      </c>
      <c r="Y139" s="13" t="str">
        <f>IF($B139="","",  VLOOKUP($B139, Propostas!$B:$BE, 36, FALSE) )</f>
        <v/>
      </c>
      <c r="Z139" s="13" t="str">
        <f>IF($B139="","",  VLOOKUP($F139, VW_PROJETO!B:C, 2, FALSE) )</f>
        <v/>
      </c>
    </row>
    <row r="140" spans="2:26" x14ac:dyDescent="0.2">
      <c r="B140" s="2"/>
      <c r="C140" s="4" t="str">
        <f>IF($B140="","",  VLOOKUP($B140, Propostas!$B:$BE, 33, FALSE) )</f>
        <v/>
      </c>
      <c r="D140" s="4" t="str">
        <f>IF($B140="","",  VLOOKUP($B140, Propostas!$B:$BE, 34, FALSE) )</f>
        <v/>
      </c>
      <c r="E140" s="4" t="str">
        <f>IF($B140="","",  VLOOKUP($B140, Propostas!$B:$BE, 35, FALSE) )</f>
        <v/>
      </c>
      <c r="F140" s="4" t="str">
        <f>IF($B140="","",  VLOOKUP($B140, Propostas!$B:$BE, 2, FALSE) )</f>
        <v/>
      </c>
      <c r="G140" s="4" t="str">
        <f>IF($B140="","",  VLOOKUP($B140, Propostas!$B:$BE, 3, FALSE) )</f>
        <v/>
      </c>
      <c r="H140" s="4" t="str">
        <f>IF($B140="","",  VLOOKUP($B140, Propostas!$B:$BE, 4, FALSE) )</f>
        <v/>
      </c>
      <c r="I140" s="4" t="str">
        <f>IF($B140="","",  VLOOKUP($B140, Propostas!$B:$BE, 38, FALSE) )</f>
        <v/>
      </c>
      <c r="J140" s="13" t="str">
        <f>IF($B140="","",IF($C140="SIM", "&lt; INFRRAESTRUTURA &gt;", VLOOKUP($B140,Propostas!$B:$BE,41,FALSE)))</f>
        <v/>
      </c>
      <c r="K140" s="10" t="str">
        <f>IF($B140="","",  VLOOKUP($B140, Propostas!$B:$BE, 40, FALSE) )</f>
        <v/>
      </c>
      <c r="L140" s="10" t="str">
        <f>IF($B140="","",IF(VLOOKUP($B140,Propostas!$B:$BE,21,FALSE)=1,"B",IF(VLOOKUP($B140,Propostas!$B:$BE,21,FALSE)=2,"E","N")))</f>
        <v/>
      </c>
      <c r="M140" s="31" t="str">
        <f>IF($B140 = "", "",  VLOOKUP($B140, Propostas!$B:$BE, 46, FALSE) )</f>
        <v/>
      </c>
      <c r="N140" s="31" t="str">
        <f>IF($B140 = "", "",  VLOOKUP($B140, Propostas!$B:$BE, 47, FALSE) )</f>
        <v/>
      </c>
      <c r="O140" s="13" t="str">
        <f>IF($B140="","",IF($C140="SIM", "INFRAESTRUTURA", VLOOKUP($B140, Propostas!$B:$BE,42,FALSE)))</f>
        <v/>
      </c>
      <c r="P140" s="31" t="str">
        <f>IF($B140 = "", "",  VLOOKUP($B140, Propostas!$B:$BE, 49, FALSE) )</f>
        <v/>
      </c>
      <c r="Q140" s="13" t="str">
        <f>IF($B140="","",  VLOOKUP($B140, Propostas!$B:$BE, 39, FALSE) )</f>
        <v/>
      </c>
      <c r="R140" s="62" t="str">
        <f>IF($B140="","",  VLOOKUP($B140, Propostas!$B:$BE, 43, FALSE) )</f>
        <v/>
      </c>
      <c r="S140" s="62" t="str">
        <f>IF($B140="","",  VLOOKUP($B140, Propostas!$B:$BE, 44, FALSE) )</f>
        <v/>
      </c>
      <c r="T140" s="62" t="str">
        <f>IF($B140="","",  VLOOKUP($B140, Propostas!$B:$BE, 45, FALSE) )</f>
        <v/>
      </c>
      <c r="U140" s="31"/>
      <c r="V140" s="13" t="str">
        <f>IF($B140="","",  VLOOKUP($B140, Propostas!$B:$BE, 50, FALSE) )</f>
        <v/>
      </c>
      <c r="W140" s="13" t="str">
        <f>IF($B140="","",  VLOOKUP($B140, Propostas!$B:$BE, 51, FALSE) )</f>
        <v/>
      </c>
      <c r="X140" s="13" t="str">
        <f>IF($B140="","",  VLOOKUP($B140, Propostas!$B:$BE, 52, FALSE) )</f>
        <v/>
      </c>
      <c r="Y140" s="13" t="str">
        <f>IF($B140="","",  VLOOKUP($B140, Propostas!$B:$BE, 36, FALSE) )</f>
        <v/>
      </c>
      <c r="Z140" s="13" t="str">
        <f>IF($B140="","",  VLOOKUP($F140, VW_PROJETO!B:C, 2, FALSE) )</f>
        <v/>
      </c>
    </row>
    <row r="141" spans="2:26" x14ac:dyDescent="0.2">
      <c r="B141" s="2"/>
      <c r="C141" s="4" t="str">
        <f>IF($B141="","",  VLOOKUP($B141, Propostas!$B:$BE, 33, FALSE) )</f>
        <v/>
      </c>
      <c r="D141" s="4" t="str">
        <f>IF($B141="","",  VLOOKUP($B141, Propostas!$B:$BE, 34, FALSE) )</f>
        <v/>
      </c>
      <c r="E141" s="4" t="str">
        <f>IF($B141="","",  VLOOKUP($B141, Propostas!$B:$BE, 35, FALSE) )</f>
        <v/>
      </c>
      <c r="F141" s="4" t="str">
        <f>IF($B141="","",  VLOOKUP($B141, Propostas!$B:$BE, 2, FALSE) )</f>
        <v/>
      </c>
      <c r="G141" s="4" t="str">
        <f>IF($B141="","",  VLOOKUP($B141, Propostas!$B:$BE, 3, FALSE) )</f>
        <v/>
      </c>
      <c r="H141" s="4" t="str">
        <f>IF($B141="","",  VLOOKUP($B141, Propostas!$B:$BE, 4, FALSE) )</f>
        <v/>
      </c>
      <c r="I141" s="4" t="str">
        <f>IF($B141="","",  VLOOKUP($B141, Propostas!$B:$BE, 38, FALSE) )</f>
        <v/>
      </c>
      <c r="J141" s="13" t="str">
        <f>IF($B141="","",IF($C141="SIM", "&lt; INFRRAESTRUTURA &gt;", VLOOKUP($B141,Propostas!$B:$BE,41,FALSE)))</f>
        <v/>
      </c>
      <c r="K141" s="10" t="str">
        <f>IF($B141="","",  VLOOKUP($B141, Propostas!$B:$BE, 40, FALSE) )</f>
        <v/>
      </c>
      <c r="L141" s="10" t="str">
        <f>IF($B141="","",IF(VLOOKUP($B141,Propostas!$B:$BE,21,FALSE)=1,"B",IF(VLOOKUP($B141,Propostas!$B:$BE,21,FALSE)=2,"E","N")))</f>
        <v/>
      </c>
      <c r="M141" s="31" t="str">
        <f>IF($B141 = "", "",  VLOOKUP($B141, Propostas!$B:$BE, 46, FALSE) )</f>
        <v/>
      </c>
      <c r="N141" s="31" t="str">
        <f>IF($B141 = "", "",  VLOOKUP($B141, Propostas!$B:$BE, 47, FALSE) )</f>
        <v/>
      </c>
      <c r="O141" s="13" t="str">
        <f>IF($B141="","",IF($C141="SIM", "INFRAESTRUTURA", VLOOKUP($B141, Propostas!$B:$BE,42,FALSE)))</f>
        <v/>
      </c>
      <c r="P141" s="31" t="str">
        <f>IF($B141 = "", "",  VLOOKUP($B141, Propostas!$B:$BE, 49, FALSE) )</f>
        <v/>
      </c>
      <c r="Q141" s="13" t="str">
        <f>IF($B141="","",  VLOOKUP($B141, Propostas!$B:$BE, 39, FALSE) )</f>
        <v/>
      </c>
      <c r="R141" s="62" t="str">
        <f>IF($B141="","",  VLOOKUP($B141, Propostas!$B:$BE, 43, FALSE) )</f>
        <v/>
      </c>
      <c r="S141" s="62" t="str">
        <f>IF($B141="","",  VLOOKUP($B141, Propostas!$B:$BE, 44, FALSE) )</f>
        <v/>
      </c>
      <c r="T141" s="62" t="str">
        <f>IF($B141="","",  VLOOKUP($B141, Propostas!$B:$BE, 45, FALSE) )</f>
        <v/>
      </c>
      <c r="U141" s="31"/>
      <c r="V141" s="13" t="str">
        <f>IF($B141="","",  VLOOKUP($B141, Propostas!$B:$BE, 50, FALSE) )</f>
        <v/>
      </c>
      <c r="W141" s="13" t="str">
        <f>IF($B141="","",  VLOOKUP($B141, Propostas!$B:$BE, 51, FALSE) )</f>
        <v/>
      </c>
      <c r="X141" s="13" t="str">
        <f>IF($B141="","",  VLOOKUP($B141, Propostas!$B:$BE, 52, FALSE) )</f>
        <v/>
      </c>
      <c r="Y141" s="13" t="str">
        <f>IF($B141="","",  VLOOKUP($B141, Propostas!$B:$BE, 36, FALSE) )</f>
        <v/>
      </c>
      <c r="Z141" s="13" t="str">
        <f>IF($B141="","",  VLOOKUP($F141, VW_PROJETO!B:C, 2, FALSE) )</f>
        <v/>
      </c>
    </row>
    <row r="142" spans="2:26" x14ac:dyDescent="0.2">
      <c r="B142" s="2"/>
      <c r="C142" s="4" t="str">
        <f>IF($B142="","",  VLOOKUP($B142, Propostas!$B:$BE, 33, FALSE) )</f>
        <v/>
      </c>
      <c r="D142" s="4" t="str">
        <f>IF($B142="","",  VLOOKUP($B142, Propostas!$B:$BE, 34, FALSE) )</f>
        <v/>
      </c>
      <c r="E142" s="4" t="str">
        <f>IF($B142="","",  VLOOKUP($B142, Propostas!$B:$BE, 35, FALSE) )</f>
        <v/>
      </c>
      <c r="F142" s="4" t="str">
        <f>IF($B142="","",  VLOOKUP($B142, Propostas!$B:$BE, 2, FALSE) )</f>
        <v/>
      </c>
      <c r="G142" s="4" t="str">
        <f>IF($B142="","",  VLOOKUP($B142, Propostas!$B:$BE, 3, FALSE) )</f>
        <v/>
      </c>
      <c r="H142" s="4" t="str">
        <f>IF($B142="","",  VLOOKUP($B142, Propostas!$B:$BE, 4, FALSE) )</f>
        <v/>
      </c>
      <c r="I142" s="4" t="str">
        <f>IF($B142="","",  VLOOKUP($B142, Propostas!$B:$BE, 38, FALSE) )</f>
        <v/>
      </c>
      <c r="J142" s="13" t="str">
        <f>IF($B142="","",IF($C142="SIM", "&lt; INFRRAESTRUTURA &gt;", VLOOKUP($B142,Propostas!$B:$BE,41,FALSE)))</f>
        <v/>
      </c>
      <c r="K142" s="10" t="str">
        <f>IF($B142="","",  VLOOKUP($B142, Propostas!$B:$BE, 40, FALSE) )</f>
        <v/>
      </c>
      <c r="L142" s="10" t="str">
        <f>IF($B142="","",IF(VLOOKUP($B142,Propostas!$B:$BE,21,FALSE)=1,"B",IF(VLOOKUP($B142,Propostas!$B:$BE,21,FALSE)=2,"E","N")))</f>
        <v/>
      </c>
      <c r="M142" s="31" t="str">
        <f>IF($B142 = "", "",  VLOOKUP($B142, Propostas!$B:$BE, 46, FALSE) )</f>
        <v/>
      </c>
      <c r="N142" s="31" t="str">
        <f>IF($B142 = "", "",  VLOOKUP($B142, Propostas!$B:$BE, 47, FALSE) )</f>
        <v/>
      </c>
      <c r="O142" s="13" t="str">
        <f>IF($B142="","",IF($C142="SIM", "INFRAESTRUTURA", VLOOKUP($B142, Propostas!$B:$BE,42,FALSE)))</f>
        <v/>
      </c>
      <c r="P142" s="31" t="str">
        <f>IF($B142 = "", "",  VLOOKUP($B142, Propostas!$B:$BE, 49, FALSE) )</f>
        <v/>
      </c>
      <c r="Q142" s="13" t="str">
        <f>IF($B142="","",  VLOOKUP($B142, Propostas!$B:$BE, 39, FALSE) )</f>
        <v/>
      </c>
      <c r="R142" s="62" t="str">
        <f>IF($B142="","",  VLOOKUP($B142, Propostas!$B:$BE, 43, FALSE) )</f>
        <v/>
      </c>
      <c r="S142" s="62" t="str">
        <f>IF($B142="","",  VLOOKUP($B142, Propostas!$B:$BE, 44, FALSE) )</f>
        <v/>
      </c>
      <c r="T142" s="62" t="str">
        <f>IF($B142="","",  VLOOKUP($B142, Propostas!$B:$BE, 45, FALSE) )</f>
        <v/>
      </c>
      <c r="U142" s="31"/>
      <c r="V142" s="13" t="str">
        <f>IF($B142="","",  VLOOKUP($B142, Propostas!$B:$BE, 50, FALSE) )</f>
        <v/>
      </c>
      <c r="W142" s="13" t="str">
        <f>IF($B142="","",  VLOOKUP($B142, Propostas!$B:$BE, 51, FALSE) )</f>
        <v/>
      </c>
      <c r="X142" s="13" t="str">
        <f>IF($B142="","",  VLOOKUP($B142, Propostas!$B:$BE, 52, FALSE) )</f>
        <v/>
      </c>
      <c r="Y142" s="13" t="str">
        <f>IF($B142="","",  VLOOKUP($B142, Propostas!$B:$BE, 36, FALSE) )</f>
        <v/>
      </c>
      <c r="Z142" s="13" t="str">
        <f>IF($B142="","",  VLOOKUP($F142, VW_PROJETO!B:C, 2, FALSE) )</f>
        <v/>
      </c>
    </row>
    <row r="143" spans="2:26" x14ac:dyDescent="0.2">
      <c r="B143" s="2"/>
      <c r="C143" s="4" t="str">
        <f>IF($B143="","",  VLOOKUP($B143, Propostas!$B:$BE, 33, FALSE) )</f>
        <v/>
      </c>
      <c r="D143" s="4" t="str">
        <f>IF($B143="","",  VLOOKUP($B143, Propostas!$B:$BE, 34, FALSE) )</f>
        <v/>
      </c>
      <c r="E143" s="4" t="str">
        <f>IF($B143="","",  VLOOKUP($B143, Propostas!$B:$BE, 35, FALSE) )</f>
        <v/>
      </c>
      <c r="F143" s="4" t="str">
        <f>IF($B143="","",  VLOOKUP($B143, Propostas!$B:$BE, 2, FALSE) )</f>
        <v/>
      </c>
      <c r="G143" s="4" t="str">
        <f>IF($B143="","",  VLOOKUP($B143, Propostas!$B:$BE, 3, FALSE) )</f>
        <v/>
      </c>
      <c r="H143" s="4" t="str">
        <f>IF($B143="","",  VLOOKUP($B143, Propostas!$B:$BE, 4, FALSE) )</f>
        <v/>
      </c>
      <c r="I143" s="4" t="str">
        <f>IF($B143="","",  VLOOKUP($B143, Propostas!$B:$BE, 38, FALSE) )</f>
        <v/>
      </c>
      <c r="J143" s="13" t="str">
        <f>IF($B143="","",IF($C143="SIM", "&lt; INFRRAESTRUTURA &gt;", VLOOKUP($B143,Propostas!$B:$BE,41,FALSE)))</f>
        <v/>
      </c>
      <c r="K143" s="10" t="str">
        <f>IF($B143="","",  VLOOKUP($B143, Propostas!$B:$BE, 40, FALSE) )</f>
        <v/>
      </c>
      <c r="L143" s="10" t="str">
        <f>IF($B143="","",IF(VLOOKUP($B143,Propostas!$B:$BE,21,FALSE)=1,"B",IF(VLOOKUP($B143,Propostas!$B:$BE,21,FALSE)=2,"E","N")))</f>
        <v/>
      </c>
      <c r="M143" s="31" t="str">
        <f>IF($B143 = "", "",  VLOOKUP($B143, Propostas!$B:$BE, 46, FALSE) )</f>
        <v/>
      </c>
      <c r="N143" s="31" t="str">
        <f>IF($B143 = "", "",  VLOOKUP($B143, Propostas!$B:$BE, 47, FALSE) )</f>
        <v/>
      </c>
      <c r="O143" s="13" t="str">
        <f>IF($B143="","",IF($C143="SIM", "INFRAESTRUTURA", VLOOKUP($B143, Propostas!$B:$BE,42,FALSE)))</f>
        <v/>
      </c>
      <c r="P143" s="31" t="str">
        <f>IF($B143 = "", "",  VLOOKUP($B143, Propostas!$B:$BE, 49, FALSE) )</f>
        <v/>
      </c>
      <c r="Q143" s="13" t="str">
        <f>IF($B143="","",  VLOOKUP($B143, Propostas!$B:$BE, 39, FALSE) )</f>
        <v/>
      </c>
      <c r="R143" s="62" t="str">
        <f>IF($B143="","",  VLOOKUP($B143, Propostas!$B:$BE, 43, FALSE) )</f>
        <v/>
      </c>
      <c r="S143" s="62" t="str">
        <f>IF($B143="","",  VLOOKUP($B143, Propostas!$B:$BE, 44, FALSE) )</f>
        <v/>
      </c>
      <c r="T143" s="62" t="str">
        <f>IF($B143="","",  VLOOKUP($B143, Propostas!$B:$BE, 45, FALSE) )</f>
        <v/>
      </c>
      <c r="U143" s="31"/>
      <c r="V143" s="13" t="str">
        <f>IF($B143="","",  VLOOKUP($B143, Propostas!$B:$BE, 50, FALSE) )</f>
        <v/>
      </c>
      <c r="W143" s="13" t="str">
        <f>IF($B143="","",  VLOOKUP($B143, Propostas!$B:$BE, 51, FALSE) )</f>
        <v/>
      </c>
      <c r="X143" s="13" t="str">
        <f>IF($B143="","",  VLOOKUP($B143, Propostas!$B:$BE, 52, FALSE) )</f>
        <v/>
      </c>
      <c r="Y143" s="13" t="str">
        <f>IF($B143="","",  VLOOKUP($B143, Propostas!$B:$BE, 36, FALSE) )</f>
        <v/>
      </c>
      <c r="Z143" s="13" t="str">
        <f>IF($B143="","",  VLOOKUP($F143, VW_PROJETO!B:C, 2, FALSE) )</f>
        <v/>
      </c>
    </row>
    <row r="144" spans="2:26" x14ac:dyDescent="0.2">
      <c r="B144" s="2"/>
      <c r="C144" s="4" t="str">
        <f>IF($B144="","",  VLOOKUP($B144, Propostas!$B:$BE, 33, FALSE) )</f>
        <v/>
      </c>
      <c r="D144" s="4" t="str">
        <f>IF($B144="","",  VLOOKUP($B144, Propostas!$B:$BE, 34, FALSE) )</f>
        <v/>
      </c>
      <c r="E144" s="4" t="str">
        <f>IF($B144="","",  VLOOKUP($B144, Propostas!$B:$BE, 35, FALSE) )</f>
        <v/>
      </c>
      <c r="F144" s="4" t="str">
        <f>IF($B144="","",  VLOOKUP($B144, Propostas!$B:$BE, 2, FALSE) )</f>
        <v/>
      </c>
      <c r="G144" s="4" t="str">
        <f>IF($B144="","",  VLOOKUP($B144, Propostas!$B:$BE, 3, FALSE) )</f>
        <v/>
      </c>
      <c r="H144" s="4" t="str">
        <f>IF($B144="","",  VLOOKUP($B144, Propostas!$B:$BE, 4, FALSE) )</f>
        <v/>
      </c>
      <c r="I144" s="4" t="str">
        <f>IF($B144="","",  VLOOKUP($B144, Propostas!$B:$BE, 38, FALSE) )</f>
        <v/>
      </c>
      <c r="J144" s="13" t="str">
        <f>IF($B144="","",IF($C144="SIM", "&lt; INFRRAESTRUTURA &gt;", VLOOKUP($B144,Propostas!$B:$BE,41,FALSE)))</f>
        <v/>
      </c>
      <c r="K144" s="10" t="str">
        <f>IF($B144="","",  VLOOKUP($B144, Propostas!$B:$BE, 40, FALSE) )</f>
        <v/>
      </c>
      <c r="L144" s="10" t="str">
        <f>IF($B144="","",IF(VLOOKUP($B144,Propostas!$B:$BE,21,FALSE)=1,"B",IF(VLOOKUP($B144,Propostas!$B:$BE,21,FALSE)=2,"E","N")))</f>
        <v/>
      </c>
      <c r="M144" s="31" t="str">
        <f>IF($B144 = "", "",  VLOOKUP($B144, Propostas!$B:$BE, 46, FALSE) )</f>
        <v/>
      </c>
      <c r="N144" s="31" t="str">
        <f>IF($B144 = "", "",  VLOOKUP($B144, Propostas!$B:$BE, 47, FALSE) )</f>
        <v/>
      </c>
      <c r="O144" s="13" t="str">
        <f>IF($B144="","",IF($C144="SIM", "INFRAESTRUTURA", VLOOKUP($B144, Propostas!$B:$BE,42,FALSE)))</f>
        <v/>
      </c>
      <c r="P144" s="31" t="str">
        <f>IF($B144 = "", "",  VLOOKUP($B144, Propostas!$B:$BE, 49, FALSE) )</f>
        <v/>
      </c>
      <c r="Q144" s="13" t="str">
        <f>IF($B144="","",  VLOOKUP($B144, Propostas!$B:$BE, 39, FALSE) )</f>
        <v/>
      </c>
      <c r="R144" s="62" t="str">
        <f>IF($B144="","",  VLOOKUP($B144, Propostas!$B:$BE, 43, FALSE) )</f>
        <v/>
      </c>
      <c r="S144" s="62" t="str">
        <f>IF($B144="","",  VLOOKUP($B144, Propostas!$B:$BE, 44, FALSE) )</f>
        <v/>
      </c>
      <c r="T144" s="62" t="str">
        <f>IF($B144="","",  VLOOKUP($B144, Propostas!$B:$BE, 45, FALSE) )</f>
        <v/>
      </c>
      <c r="U144" s="31"/>
      <c r="V144" s="13" t="str">
        <f>IF($B144="","",  VLOOKUP($B144, Propostas!$B:$BE, 50, FALSE) )</f>
        <v/>
      </c>
      <c r="W144" s="13" t="str">
        <f>IF($B144="","",  VLOOKUP($B144, Propostas!$B:$BE, 51, FALSE) )</f>
        <v/>
      </c>
      <c r="X144" s="13" t="str">
        <f>IF($B144="","",  VLOOKUP($B144, Propostas!$B:$BE, 52, FALSE) )</f>
        <v/>
      </c>
      <c r="Y144" s="13" t="str">
        <f>IF($B144="","",  VLOOKUP($B144, Propostas!$B:$BE, 36, FALSE) )</f>
        <v/>
      </c>
      <c r="Z144" s="13" t="str">
        <f>IF($B144="","",  VLOOKUP($F144, VW_PROJETO!B:C, 2, FALSE) )</f>
        <v/>
      </c>
    </row>
    <row r="145" spans="2:26" x14ac:dyDescent="0.2">
      <c r="B145" s="2"/>
      <c r="C145" s="4" t="str">
        <f>IF($B145="","",  VLOOKUP($B145, Propostas!$B:$BE, 33, FALSE) )</f>
        <v/>
      </c>
      <c r="D145" s="4" t="str">
        <f>IF($B145="","",  VLOOKUP($B145, Propostas!$B:$BE, 34, FALSE) )</f>
        <v/>
      </c>
      <c r="E145" s="4" t="str">
        <f>IF($B145="","",  VLOOKUP($B145, Propostas!$B:$BE, 35, FALSE) )</f>
        <v/>
      </c>
      <c r="F145" s="4" t="str">
        <f>IF($B145="","",  VLOOKUP($B145, Propostas!$B:$BE, 2, FALSE) )</f>
        <v/>
      </c>
      <c r="G145" s="4" t="str">
        <f>IF($B145="","",  VLOOKUP($B145, Propostas!$B:$BE, 3, FALSE) )</f>
        <v/>
      </c>
      <c r="H145" s="4" t="str">
        <f>IF($B145="","",  VLOOKUP($B145, Propostas!$B:$BE, 4, FALSE) )</f>
        <v/>
      </c>
      <c r="I145" s="4" t="str">
        <f>IF($B145="","",  VLOOKUP($B145, Propostas!$B:$BE, 38, FALSE) )</f>
        <v/>
      </c>
      <c r="J145" s="13" t="str">
        <f>IF($B145="","",IF($C145="SIM", "&lt; INFRRAESTRUTURA &gt;", VLOOKUP($B145,Propostas!$B:$BE,41,FALSE)))</f>
        <v/>
      </c>
      <c r="K145" s="10" t="str">
        <f>IF($B145="","",  VLOOKUP($B145, Propostas!$B:$BE, 40, FALSE) )</f>
        <v/>
      </c>
      <c r="L145" s="10" t="str">
        <f>IF($B145="","",IF(VLOOKUP($B145,Propostas!$B:$BE,21,FALSE)=1,"B",IF(VLOOKUP($B145,Propostas!$B:$BE,21,FALSE)=2,"E","N")))</f>
        <v/>
      </c>
      <c r="M145" s="31" t="str">
        <f>IF($B145 = "", "",  VLOOKUP($B145, Propostas!$B:$BE, 46, FALSE) )</f>
        <v/>
      </c>
      <c r="N145" s="31" t="str">
        <f>IF($B145 = "", "",  VLOOKUP($B145, Propostas!$B:$BE, 47, FALSE) )</f>
        <v/>
      </c>
      <c r="O145" s="13" t="str">
        <f>IF($B145="","",IF($C145="SIM", "INFRAESTRUTURA", VLOOKUP($B145, Propostas!$B:$BE,42,FALSE)))</f>
        <v/>
      </c>
      <c r="P145" s="31" t="str">
        <f>IF($B145 = "", "",  VLOOKUP($B145, Propostas!$B:$BE, 49, FALSE) )</f>
        <v/>
      </c>
      <c r="Q145" s="13" t="str">
        <f>IF($B145="","",  VLOOKUP($B145, Propostas!$B:$BE, 39, FALSE) )</f>
        <v/>
      </c>
      <c r="R145" s="62" t="str">
        <f>IF($B145="","",  VLOOKUP($B145, Propostas!$B:$BE, 43, FALSE) )</f>
        <v/>
      </c>
      <c r="S145" s="62" t="str">
        <f>IF($B145="","",  VLOOKUP($B145, Propostas!$B:$BE, 44, FALSE) )</f>
        <v/>
      </c>
      <c r="T145" s="62" t="str">
        <f>IF($B145="","",  VLOOKUP($B145, Propostas!$B:$BE, 45, FALSE) )</f>
        <v/>
      </c>
      <c r="U145" s="31"/>
      <c r="V145" s="13" t="str">
        <f>IF($B145="","",  VLOOKUP($B145, Propostas!$B:$BE, 50, FALSE) )</f>
        <v/>
      </c>
      <c r="W145" s="13" t="str">
        <f>IF($B145="","",  VLOOKUP($B145, Propostas!$B:$BE, 51, FALSE) )</f>
        <v/>
      </c>
      <c r="X145" s="13" t="str">
        <f>IF($B145="","",  VLOOKUP($B145, Propostas!$B:$BE, 52, FALSE) )</f>
        <v/>
      </c>
      <c r="Y145" s="13" t="str">
        <f>IF($B145="","",  VLOOKUP($B145, Propostas!$B:$BE, 36, FALSE) )</f>
        <v/>
      </c>
      <c r="Z145" s="13" t="str">
        <f>IF($B145="","",  VLOOKUP($F145, VW_PROJETO!B:C, 2, FALSE) )</f>
        <v/>
      </c>
    </row>
    <row r="146" spans="2:26" x14ac:dyDescent="0.2">
      <c r="B146" s="2"/>
      <c r="C146" s="4" t="str">
        <f>IF($B146="","",  VLOOKUP($B146, Propostas!$B:$BE, 33, FALSE) )</f>
        <v/>
      </c>
      <c r="D146" s="4" t="str">
        <f>IF($B146="","",  VLOOKUP($B146, Propostas!$B:$BE, 34, FALSE) )</f>
        <v/>
      </c>
      <c r="E146" s="4" t="str">
        <f>IF($B146="","",  VLOOKUP($B146, Propostas!$B:$BE, 35, FALSE) )</f>
        <v/>
      </c>
      <c r="F146" s="4" t="str">
        <f>IF($B146="","",  VLOOKUP($B146, Propostas!$B:$BE, 2, FALSE) )</f>
        <v/>
      </c>
      <c r="G146" s="4" t="str">
        <f>IF($B146="","",  VLOOKUP($B146, Propostas!$B:$BE, 3, FALSE) )</f>
        <v/>
      </c>
      <c r="H146" s="4" t="str">
        <f>IF($B146="","",  VLOOKUP($B146, Propostas!$B:$BE, 4, FALSE) )</f>
        <v/>
      </c>
      <c r="I146" s="4" t="str">
        <f>IF($B146="","",  VLOOKUP($B146, Propostas!$B:$BE, 38, FALSE) )</f>
        <v/>
      </c>
      <c r="J146" s="13" t="str">
        <f>IF($B146="","",IF($C146="SIM", "&lt; INFRRAESTRUTURA &gt;", VLOOKUP($B146,Propostas!$B:$BE,41,FALSE)))</f>
        <v/>
      </c>
      <c r="K146" s="10" t="str">
        <f>IF($B146="","",  VLOOKUP($B146, Propostas!$B:$BE, 40, FALSE) )</f>
        <v/>
      </c>
      <c r="L146" s="10" t="str">
        <f>IF($B146="","",IF(VLOOKUP($B146,Propostas!$B:$BE,21,FALSE)=1,"B",IF(VLOOKUP($B146,Propostas!$B:$BE,21,FALSE)=2,"E","N")))</f>
        <v/>
      </c>
      <c r="M146" s="31" t="str">
        <f>IF($B146 = "", "",  VLOOKUP($B146, Propostas!$B:$BE, 46, FALSE) )</f>
        <v/>
      </c>
      <c r="N146" s="31" t="str">
        <f>IF($B146 = "", "",  VLOOKUP($B146, Propostas!$B:$BE, 47, FALSE) )</f>
        <v/>
      </c>
      <c r="O146" s="13" t="str">
        <f>IF($B146="","",IF($C146="SIM", "INFRAESTRUTURA", VLOOKUP($B146, Propostas!$B:$BE,42,FALSE)))</f>
        <v/>
      </c>
      <c r="P146" s="31" t="str">
        <f>IF($B146 = "", "",  VLOOKUP($B146, Propostas!$B:$BE, 49, FALSE) )</f>
        <v/>
      </c>
      <c r="Q146" s="13" t="str">
        <f>IF($B146="","",  VLOOKUP($B146, Propostas!$B:$BE, 39, FALSE) )</f>
        <v/>
      </c>
      <c r="R146" s="62" t="str">
        <f>IF($B146="","",  VLOOKUP($B146, Propostas!$B:$BE, 43, FALSE) )</f>
        <v/>
      </c>
      <c r="S146" s="62" t="str">
        <f>IF($B146="","",  VLOOKUP($B146, Propostas!$B:$BE, 44, FALSE) )</f>
        <v/>
      </c>
      <c r="T146" s="62" t="str">
        <f>IF($B146="","",  VLOOKUP($B146, Propostas!$B:$BE, 45, FALSE) )</f>
        <v/>
      </c>
      <c r="U146" s="31"/>
      <c r="V146" s="13" t="str">
        <f>IF($B146="","",  VLOOKUP($B146, Propostas!$B:$BE, 50, FALSE) )</f>
        <v/>
      </c>
      <c r="W146" s="13" t="str">
        <f>IF($B146="","",  VLOOKUP($B146, Propostas!$B:$BE, 51, FALSE) )</f>
        <v/>
      </c>
      <c r="X146" s="13" t="str">
        <f>IF($B146="","",  VLOOKUP($B146, Propostas!$B:$BE, 52, FALSE) )</f>
        <v/>
      </c>
      <c r="Y146" s="13" t="str">
        <f>IF($B146="","",  VLOOKUP($B146, Propostas!$B:$BE, 36, FALSE) )</f>
        <v/>
      </c>
      <c r="Z146" s="13" t="str">
        <f>IF($B146="","",  VLOOKUP($F146, VW_PROJETO!B:C, 2, FALSE) )</f>
        <v/>
      </c>
    </row>
    <row r="147" spans="2:26" x14ac:dyDescent="0.2">
      <c r="B147" s="2"/>
      <c r="C147" s="4" t="str">
        <f>IF($B147="","",  VLOOKUP($B147, Propostas!$B:$BE, 33, FALSE) )</f>
        <v/>
      </c>
      <c r="D147" s="4" t="str">
        <f>IF($B147="","",  VLOOKUP($B147, Propostas!$B:$BE, 34, FALSE) )</f>
        <v/>
      </c>
      <c r="E147" s="4" t="str">
        <f>IF($B147="","",  VLOOKUP($B147, Propostas!$B:$BE, 35, FALSE) )</f>
        <v/>
      </c>
      <c r="F147" s="4" t="str">
        <f>IF($B147="","",  VLOOKUP($B147, Propostas!$B:$BE, 2, FALSE) )</f>
        <v/>
      </c>
      <c r="G147" s="4" t="str">
        <f>IF($B147="","",  VLOOKUP($B147, Propostas!$B:$BE, 3, FALSE) )</f>
        <v/>
      </c>
      <c r="H147" s="4" t="str">
        <f>IF($B147="","",  VLOOKUP($B147, Propostas!$B:$BE, 4, FALSE) )</f>
        <v/>
      </c>
      <c r="I147" s="4" t="str">
        <f>IF($B147="","",  VLOOKUP($B147, Propostas!$B:$BE, 38, FALSE) )</f>
        <v/>
      </c>
      <c r="J147" s="13" t="str">
        <f>IF($B147="","",IF($C147="SIM", "&lt; INFRRAESTRUTURA &gt;", VLOOKUP($B147,Propostas!$B:$BE,41,FALSE)))</f>
        <v/>
      </c>
      <c r="K147" s="10" t="str">
        <f>IF($B147="","",  VLOOKUP($B147, Propostas!$B:$BE, 40, FALSE) )</f>
        <v/>
      </c>
      <c r="L147" s="10" t="str">
        <f>IF($B147="","",IF(VLOOKUP($B147,Propostas!$B:$BE,21,FALSE)=1,"B",IF(VLOOKUP($B147,Propostas!$B:$BE,21,FALSE)=2,"E","N")))</f>
        <v/>
      </c>
      <c r="M147" s="31" t="str">
        <f>IF($B147 = "", "",  VLOOKUP($B147, Propostas!$B:$BE, 46, FALSE) )</f>
        <v/>
      </c>
      <c r="N147" s="31" t="str">
        <f>IF($B147 = "", "",  VLOOKUP($B147, Propostas!$B:$BE, 47, FALSE) )</f>
        <v/>
      </c>
      <c r="O147" s="13" t="str">
        <f>IF($B147="","",IF($C147="SIM", "INFRAESTRUTURA", VLOOKUP($B147, Propostas!$B:$BE,42,FALSE)))</f>
        <v/>
      </c>
      <c r="P147" s="31" t="str">
        <f>IF($B147 = "", "",  VLOOKUP($B147, Propostas!$B:$BE, 49, FALSE) )</f>
        <v/>
      </c>
      <c r="Q147" s="13" t="str">
        <f>IF($B147="","",  VLOOKUP($B147, Propostas!$B:$BE, 39, FALSE) )</f>
        <v/>
      </c>
      <c r="R147" s="62" t="str">
        <f>IF($B147="","",  VLOOKUP($B147, Propostas!$B:$BE, 43, FALSE) )</f>
        <v/>
      </c>
      <c r="S147" s="62" t="str">
        <f>IF($B147="","",  VLOOKUP($B147, Propostas!$B:$BE, 44, FALSE) )</f>
        <v/>
      </c>
      <c r="T147" s="62" t="str">
        <f>IF($B147="","",  VLOOKUP($B147, Propostas!$B:$BE, 45, FALSE) )</f>
        <v/>
      </c>
      <c r="U147" s="31"/>
      <c r="V147" s="13" t="str">
        <f>IF($B147="","",  VLOOKUP($B147, Propostas!$B:$BE, 50, FALSE) )</f>
        <v/>
      </c>
      <c r="W147" s="13" t="str">
        <f>IF($B147="","",  VLOOKUP($B147, Propostas!$B:$BE, 51, FALSE) )</f>
        <v/>
      </c>
      <c r="X147" s="13" t="str">
        <f>IF($B147="","",  VLOOKUP($B147, Propostas!$B:$BE, 52, FALSE) )</f>
        <v/>
      </c>
      <c r="Y147" s="13" t="str">
        <f>IF($B147="","",  VLOOKUP($B147, Propostas!$B:$BE, 36, FALSE) )</f>
        <v/>
      </c>
      <c r="Z147" s="13" t="str">
        <f>IF($B147="","",  VLOOKUP($F147, VW_PROJETO!B:C, 2, FALSE) )</f>
        <v/>
      </c>
    </row>
    <row r="148" spans="2:26" x14ac:dyDescent="0.2">
      <c r="B148" s="2"/>
      <c r="C148" s="4" t="str">
        <f>IF($B148="","",  VLOOKUP($B148, Propostas!$B:$BE, 33, FALSE) )</f>
        <v/>
      </c>
      <c r="D148" s="4" t="str">
        <f>IF($B148="","",  VLOOKUP($B148, Propostas!$B:$BE, 34, FALSE) )</f>
        <v/>
      </c>
      <c r="E148" s="4" t="str">
        <f>IF($B148="","",  VLOOKUP($B148, Propostas!$B:$BE, 35, FALSE) )</f>
        <v/>
      </c>
      <c r="F148" s="4" t="str">
        <f>IF($B148="","",  VLOOKUP($B148, Propostas!$B:$BE, 2, FALSE) )</f>
        <v/>
      </c>
      <c r="G148" s="4" t="str">
        <f>IF($B148="","",  VLOOKUP($B148, Propostas!$B:$BE, 3, FALSE) )</f>
        <v/>
      </c>
      <c r="H148" s="4" t="str">
        <f>IF($B148="","",  VLOOKUP($B148, Propostas!$B:$BE, 4, FALSE) )</f>
        <v/>
      </c>
      <c r="I148" s="4" t="str">
        <f>IF($B148="","",  VLOOKUP($B148, Propostas!$B:$BE, 38, FALSE) )</f>
        <v/>
      </c>
      <c r="J148" s="13" t="str">
        <f>IF($B148="","",IF($C148="SIM", "&lt; INFRRAESTRUTURA &gt;", VLOOKUP($B148,Propostas!$B:$BE,41,FALSE)))</f>
        <v/>
      </c>
      <c r="K148" s="10" t="str">
        <f>IF($B148="","",  VLOOKUP($B148, Propostas!$B:$BE, 40, FALSE) )</f>
        <v/>
      </c>
      <c r="L148" s="10" t="str">
        <f>IF($B148="","",IF(VLOOKUP($B148,Propostas!$B:$BE,21,FALSE)=1,"B",IF(VLOOKUP($B148,Propostas!$B:$BE,21,FALSE)=2,"E","N")))</f>
        <v/>
      </c>
      <c r="M148" s="31" t="str">
        <f>IF($B148 = "", "",  VLOOKUP($B148, Propostas!$B:$BE, 46, FALSE) )</f>
        <v/>
      </c>
      <c r="N148" s="31" t="str">
        <f>IF($B148 = "", "",  VLOOKUP($B148, Propostas!$B:$BE, 47, FALSE) )</f>
        <v/>
      </c>
      <c r="O148" s="13" t="str">
        <f>IF($B148="","",IF($C148="SIM", "INFRAESTRUTURA", VLOOKUP($B148, Propostas!$B:$BE,42,FALSE)))</f>
        <v/>
      </c>
      <c r="P148" s="31" t="str">
        <f>IF($B148 = "", "",  VLOOKUP($B148, Propostas!$B:$BE, 49, FALSE) )</f>
        <v/>
      </c>
      <c r="Q148" s="13" t="str">
        <f>IF($B148="","",  VLOOKUP($B148, Propostas!$B:$BE, 39, FALSE) )</f>
        <v/>
      </c>
      <c r="R148" s="62" t="str">
        <f>IF($B148="","",  VLOOKUP($B148, Propostas!$B:$BE, 43, FALSE) )</f>
        <v/>
      </c>
      <c r="S148" s="62" t="str">
        <f>IF($B148="","",  VLOOKUP($B148, Propostas!$B:$BE, 44, FALSE) )</f>
        <v/>
      </c>
      <c r="T148" s="62" t="str">
        <f>IF($B148="","",  VLOOKUP($B148, Propostas!$B:$BE, 45, FALSE) )</f>
        <v/>
      </c>
      <c r="U148" s="31"/>
      <c r="V148" s="13" t="str">
        <f>IF($B148="","",  VLOOKUP($B148, Propostas!$B:$BE, 50, FALSE) )</f>
        <v/>
      </c>
      <c r="W148" s="13" t="str">
        <f>IF($B148="","",  VLOOKUP($B148, Propostas!$B:$BE, 51, FALSE) )</f>
        <v/>
      </c>
      <c r="X148" s="13" t="str">
        <f>IF($B148="","",  VLOOKUP($B148, Propostas!$B:$BE, 52, FALSE) )</f>
        <v/>
      </c>
      <c r="Y148" s="13" t="str">
        <f>IF($B148="","",  VLOOKUP($B148, Propostas!$B:$BE, 36, FALSE) )</f>
        <v/>
      </c>
      <c r="Z148" s="13" t="str">
        <f>IF($B148="","",  VLOOKUP($F148, VW_PROJETO!B:C, 2, FALSE) )</f>
        <v/>
      </c>
    </row>
    <row r="149" spans="2:26" x14ac:dyDescent="0.2">
      <c r="B149" s="2"/>
      <c r="C149" s="4" t="str">
        <f>IF($B149="","",  VLOOKUP($B149, Propostas!$B:$BE, 33, FALSE) )</f>
        <v/>
      </c>
      <c r="D149" s="4" t="str">
        <f>IF($B149="","",  VLOOKUP($B149, Propostas!$B:$BE, 34, FALSE) )</f>
        <v/>
      </c>
      <c r="E149" s="4" t="str">
        <f>IF($B149="","",  VLOOKUP($B149, Propostas!$B:$BE, 35, FALSE) )</f>
        <v/>
      </c>
      <c r="F149" s="4" t="str">
        <f>IF($B149="","",  VLOOKUP($B149, Propostas!$B:$BE, 2, FALSE) )</f>
        <v/>
      </c>
      <c r="G149" s="4" t="str">
        <f>IF($B149="","",  VLOOKUP($B149, Propostas!$B:$BE, 3, FALSE) )</f>
        <v/>
      </c>
      <c r="H149" s="4" t="str">
        <f>IF($B149="","",  VLOOKUP($B149, Propostas!$B:$BE, 4, FALSE) )</f>
        <v/>
      </c>
      <c r="I149" s="4" t="str">
        <f>IF($B149="","",  VLOOKUP($B149, Propostas!$B:$BE, 38, FALSE) )</f>
        <v/>
      </c>
      <c r="J149" s="13" t="str">
        <f>IF($B149="","",IF($C149="SIM", "&lt; INFRRAESTRUTURA &gt;", VLOOKUP($B149,Propostas!$B:$BE,41,FALSE)))</f>
        <v/>
      </c>
      <c r="K149" s="10" t="str">
        <f>IF($B149="","",  VLOOKUP($B149, Propostas!$B:$BE, 40, FALSE) )</f>
        <v/>
      </c>
      <c r="L149" s="10" t="str">
        <f>IF($B149="","",IF(VLOOKUP($B149,Propostas!$B:$BE,21,FALSE)=1,"B",IF(VLOOKUP($B149,Propostas!$B:$BE,21,FALSE)=2,"E","N")))</f>
        <v/>
      </c>
      <c r="M149" s="31" t="str">
        <f>IF($B149 = "", "",  VLOOKUP($B149, Propostas!$B:$BE, 46, FALSE) )</f>
        <v/>
      </c>
      <c r="N149" s="31" t="str">
        <f>IF($B149 = "", "",  VLOOKUP($B149, Propostas!$B:$BE, 47, FALSE) )</f>
        <v/>
      </c>
      <c r="O149" s="13" t="str">
        <f>IF($B149="","",IF($C149="SIM", "INFRAESTRUTURA", VLOOKUP($B149, Propostas!$B:$BE,42,FALSE)))</f>
        <v/>
      </c>
      <c r="P149" s="31" t="str">
        <f>IF($B149 = "", "",  VLOOKUP($B149, Propostas!$B:$BE, 49, FALSE) )</f>
        <v/>
      </c>
      <c r="Q149" s="13" t="str">
        <f>IF($B149="","",  VLOOKUP($B149, Propostas!$B:$BE, 39, FALSE) )</f>
        <v/>
      </c>
      <c r="R149" s="62" t="str">
        <f>IF($B149="","",  VLOOKUP($B149, Propostas!$B:$BE, 43, FALSE) )</f>
        <v/>
      </c>
      <c r="S149" s="62" t="str">
        <f>IF($B149="","",  VLOOKUP($B149, Propostas!$B:$BE, 44, FALSE) )</f>
        <v/>
      </c>
      <c r="T149" s="62" t="str">
        <f>IF($B149="","",  VLOOKUP($B149, Propostas!$B:$BE, 45, FALSE) )</f>
        <v/>
      </c>
      <c r="U149" s="31"/>
      <c r="V149" s="13" t="str">
        <f>IF($B149="","",  VLOOKUP($B149, Propostas!$B:$BE, 50, FALSE) )</f>
        <v/>
      </c>
      <c r="W149" s="13" t="str">
        <f>IF($B149="","",  VLOOKUP($B149, Propostas!$B:$BE, 51, FALSE) )</f>
        <v/>
      </c>
      <c r="X149" s="13" t="str">
        <f>IF($B149="","",  VLOOKUP($B149, Propostas!$B:$BE, 52, FALSE) )</f>
        <v/>
      </c>
      <c r="Y149" s="13" t="str">
        <f>IF($B149="","",  VLOOKUP($B149, Propostas!$B:$BE, 36, FALSE) )</f>
        <v/>
      </c>
      <c r="Z149" s="13" t="str">
        <f>IF($B149="","",  VLOOKUP($F149, VW_PROJETO!B:C, 2, FALSE) )</f>
        <v/>
      </c>
    </row>
    <row r="150" spans="2:26" x14ac:dyDescent="0.2">
      <c r="B150" s="2"/>
      <c r="C150" s="4" t="str">
        <f>IF($B150="","",  VLOOKUP($B150, Propostas!$B:$BE, 33, FALSE) )</f>
        <v/>
      </c>
      <c r="D150" s="4" t="str">
        <f>IF($B150="","",  VLOOKUP($B150, Propostas!$B:$BE, 34, FALSE) )</f>
        <v/>
      </c>
      <c r="E150" s="4" t="str">
        <f>IF($B150="","",  VLOOKUP($B150, Propostas!$B:$BE, 35, FALSE) )</f>
        <v/>
      </c>
      <c r="F150" s="4" t="str">
        <f>IF($B150="","",  VLOOKUP($B150, Propostas!$B:$BE, 2, FALSE) )</f>
        <v/>
      </c>
      <c r="G150" s="4" t="str">
        <f>IF($B150="","",  VLOOKUP($B150, Propostas!$B:$BE, 3, FALSE) )</f>
        <v/>
      </c>
      <c r="H150" s="4" t="str">
        <f>IF($B150="","",  VLOOKUP($B150, Propostas!$B:$BE, 4, FALSE) )</f>
        <v/>
      </c>
      <c r="I150" s="4" t="str">
        <f>IF($B150="","",  VLOOKUP($B150, Propostas!$B:$BE, 38, FALSE) )</f>
        <v/>
      </c>
      <c r="J150" s="13" t="str">
        <f>IF($B150="","",IF($C150="SIM", "&lt; INFRRAESTRUTURA &gt;", VLOOKUP($B150,Propostas!$B:$BE,41,FALSE)))</f>
        <v/>
      </c>
      <c r="K150" s="10" t="str">
        <f>IF($B150="","",  VLOOKUP($B150, Propostas!$B:$BE, 40, FALSE) )</f>
        <v/>
      </c>
      <c r="L150" s="10" t="str">
        <f>IF($B150="","",IF(VLOOKUP($B150,Propostas!$B:$BE,21,FALSE)=1,"B",IF(VLOOKUP($B150,Propostas!$B:$BE,21,FALSE)=2,"E","N")))</f>
        <v/>
      </c>
      <c r="M150" s="31" t="str">
        <f>IF($B150 = "", "",  VLOOKUP($B150, Propostas!$B:$BE, 46, FALSE) )</f>
        <v/>
      </c>
      <c r="N150" s="31" t="str">
        <f>IF($B150 = "", "",  VLOOKUP($B150, Propostas!$B:$BE, 47, FALSE) )</f>
        <v/>
      </c>
      <c r="O150" s="13" t="str">
        <f>IF($B150="","",IF($C150="SIM", "INFRAESTRUTURA", VLOOKUP($B150, Propostas!$B:$BE,42,FALSE)))</f>
        <v/>
      </c>
      <c r="P150" s="31" t="str">
        <f>IF($B150 = "", "",  VLOOKUP($B150, Propostas!$B:$BE, 49, FALSE) )</f>
        <v/>
      </c>
      <c r="Q150" s="13" t="str">
        <f>IF($B150="","",  VLOOKUP($B150, Propostas!$B:$BE, 39, FALSE) )</f>
        <v/>
      </c>
      <c r="R150" s="62" t="str">
        <f>IF($B150="","",  VLOOKUP($B150, Propostas!$B:$BE, 43, FALSE) )</f>
        <v/>
      </c>
      <c r="S150" s="62" t="str">
        <f>IF($B150="","",  VLOOKUP($B150, Propostas!$B:$BE, 44, FALSE) )</f>
        <v/>
      </c>
      <c r="T150" s="62" t="str">
        <f>IF($B150="","",  VLOOKUP($B150, Propostas!$B:$BE, 45, FALSE) )</f>
        <v/>
      </c>
      <c r="U150" s="31"/>
      <c r="V150" s="13" t="str">
        <f>IF($B150="","",  VLOOKUP($B150, Propostas!$B:$BE, 50, FALSE) )</f>
        <v/>
      </c>
      <c r="W150" s="13" t="str">
        <f>IF($B150="","",  VLOOKUP($B150, Propostas!$B:$BE, 51, FALSE) )</f>
        <v/>
      </c>
      <c r="X150" s="13" t="str">
        <f>IF($B150="","",  VLOOKUP($B150, Propostas!$B:$BE, 52, FALSE) )</f>
        <v/>
      </c>
      <c r="Y150" s="13" t="str">
        <f>IF($B150="","",  VLOOKUP($B150, Propostas!$B:$BE, 36, FALSE) )</f>
        <v/>
      </c>
      <c r="Z150" s="13" t="str">
        <f>IF($B150="","",  VLOOKUP($F150, VW_PROJETO!B:C, 2, FALSE) )</f>
        <v/>
      </c>
    </row>
    <row r="151" spans="2:26" x14ac:dyDescent="0.2">
      <c r="B151" s="2"/>
      <c r="C151" s="4" t="str">
        <f>IF($B151="","",  VLOOKUP($B151, Propostas!$B:$BE, 33, FALSE) )</f>
        <v/>
      </c>
      <c r="D151" s="4" t="str">
        <f>IF($B151="","",  VLOOKUP($B151, Propostas!$B:$BE, 34, FALSE) )</f>
        <v/>
      </c>
      <c r="E151" s="4" t="str">
        <f>IF($B151="","",  VLOOKUP($B151, Propostas!$B:$BE, 35, FALSE) )</f>
        <v/>
      </c>
      <c r="F151" s="4" t="str">
        <f>IF($B151="","",  VLOOKUP($B151, Propostas!$B:$BE, 2, FALSE) )</f>
        <v/>
      </c>
      <c r="G151" s="4" t="str">
        <f>IF($B151="","",  VLOOKUP($B151, Propostas!$B:$BE, 3, FALSE) )</f>
        <v/>
      </c>
      <c r="H151" s="4" t="str">
        <f>IF($B151="","",  VLOOKUP($B151, Propostas!$B:$BE, 4, FALSE) )</f>
        <v/>
      </c>
      <c r="I151" s="4" t="str">
        <f>IF($B151="","",  VLOOKUP($B151, Propostas!$B:$BE, 38, FALSE) )</f>
        <v/>
      </c>
      <c r="J151" s="13" t="str">
        <f>IF($B151="","",IF($C151="SIM", "&lt; INFRRAESTRUTURA &gt;", VLOOKUP($B151,Propostas!$B:$BE,41,FALSE)))</f>
        <v/>
      </c>
      <c r="K151" s="10" t="str">
        <f>IF($B151="","",  VLOOKUP($B151, Propostas!$B:$BE, 40, FALSE) )</f>
        <v/>
      </c>
      <c r="L151" s="10" t="str">
        <f>IF($B151="","",IF(VLOOKUP($B151,Propostas!$B:$BE,21,FALSE)=1,"B",IF(VLOOKUP($B151,Propostas!$B:$BE,21,FALSE)=2,"E","N")))</f>
        <v/>
      </c>
      <c r="M151" s="31" t="str">
        <f>IF($B151 = "", "",  VLOOKUP($B151, Propostas!$B:$BE, 46, FALSE) )</f>
        <v/>
      </c>
      <c r="N151" s="31" t="str">
        <f>IF($B151 = "", "",  VLOOKUP($B151, Propostas!$B:$BE, 47, FALSE) )</f>
        <v/>
      </c>
      <c r="O151" s="13" t="str">
        <f>IF($B151="","",IF($C151="SIM", "INFRAESTRUTURA", VLOOKUP($B151, Propostas!$B:$BE,42,FALSE)))</f>
        <v/>
      </c>
      <c r="P151" s="31" t="str">
        <f>IF($B151 = "", "",  VLOOKUP($B151, Propostas!$B:$BE, 49, FALSE) )</f>
        <v/>
      </c>
      <c r="Q151" s="13" t="str">
        <f>IF($B151="","",  VLOOKUP($B151, Propostas!$B:$BE, 39, FALSE) )</f>
        <v/>
      </c>
      <c r="R151" s="62" t="str">
        <f>IF($B151="","",  VLOOKUP($B151, Propostas!$B:$BE, 43, FALSE) )</f>
        <v/>
      </c>
      <c r="S151" s="62" t="str">
        <f>IF($B151="","",  VLOOKUP($B151, Propostas!$B:$BE, 44, FALSE) )</f>
        <v/>
      </c>
      <c r="T151" s="62" t="str">
        <f>IF($B151="","",  VLOOKUP($B151, Propostas!$B:$BE, 45, FALSE) )</f>
        <v/>
      </c>
      <c r="U151" s="31"/>
      <c r="V151" s="13" t="str">
        <f>IF($B151="","",  VLOOKUP($B151, Propostas!$B:$BE, 50, FALSE) )</f>
        <v/>
      </c>
      <c r="W151" s="13" t="str">
        <f>IF($B151="","",  VLOOKUP($B151, Propostas!$B:$BE, 51, FALSE) )</f>
        <v/>
      </c>
      <c r="X151" s="13" t="str">
        <f>IF($B151="","",  VLOOKUP($B151, Propostas!$B:$BE, 52, FALSE) )</f>
        <v/>
      </c>
      <c r="Y151" s="13" t="str">
        <f>IF($B151="","",  VLOOKUP($B151, Propostas!$B:$BE, 36, FALSE) )</f>
        <v/>
      </c>
      <c r="Z151" s="13" t="str">
        <f>IF($B151="","",  VLOOKUP($F151, VW_PROJETO!B:C, 2, FALSE) )</f>
        <v/>
      </c>
    </row>
    <row r="152" spans="2:26" x14ac:dyDescent="0.2">
      <c r="B152" s="2"/>
      <c r="C152" s="4" t="str">
        <f>IF($B152="","",  VLOOKUP($B152, Propostas!$B:$BE, 33, FALSE) )</f>
        <v/>
      </c>
      <c r="D152" s="4" t="str">
        <f>IF($B152="","",  VLOOKUP($B152, Propostas!$B:$BE, 34, FALSE) )</f>
        <v/>
      </c>
      <c r="E152" s="4" t="str">
        <f>IF($B152="","",  VLOOKUP($B152, Propostas!$B:$BE, 35, FALSE) )</f>
        <v/>
      </c>
      <c r="F152" s="4" t="str">
        <f>IF($B152="","",  VLOOKUP($B152, Propostas!$B:$BE, 2, FALSE) )</f>
        <v/>
      </c>
      <c r="G152" s="4" t="str">
        <f>IF($B152="","",  VLOOKUP($B152, Propostas!$B:$BE, 3, FALSE) )</f>
        <v/>
      </c>
      <c r="H152" s="4" t="str">
        <f>IF($B152="","",  VLOOKUP($B152, Propostas!$B:$BE, 4, FALSE) )</f>
        <v/>
      </c>
      <c r="I152" s="4" t="str">
        <f>IF($B152="","",  VLOOKUP($B152, Propostas!$B:$BE, 38, FALSE) )</f>
        <v/>
      </c>
      <c r="J152" s="13" t="str">
        <f>IF($B152="","",IF($C152="SIM", "&lt; INFRRAESTRUTURA &gt;", VLOOKUP($B152,Propostas!$B:$BE,41,FALSE)))</f>
        <v/>
      </c>
      <c r="K152" s="10" t="str">
        <f>IF($B152="","",  VLOOKUP($B152, Propostas!$B:$BE, 40, FALSE) )</f>
        <v/>
      </c>
      <c r="L152" s="10" t="str">
        <f>IF($B152="","",IF(VLOOKUP($B152,Propostas!$B:$BE,21,FALSE)=1,"B",IF(VLOOKUP($B152,Propostas!$B:$BE,21,FALSE)=2,"E","N")))</f>
        <v/>
      </c>
      <c r="M152" s="31" t="str">
        <f>IF($B152 = "", "",  VLOOKUP($B152, Propostas!$B:$BE, 46, FALSE) )</f>
        <v/>
      </c>
      <c r="N152" s="31" t="str">
        <f>IF($B152 = "", "",  VLOOKUP($B152, Propostas!$B:$BE, 47, FALSE) )</f>
        <v/>
      </c>
      <c r="O152" s="13" t="str">
        <f>IF($B152="","",IF($C152="SIM", "INFRAESTRUTURA", VLOOKUP($B152, Propostas!$B:$BE,42,FALSE)))</f>
        <v/>
      </c>
      <c r="P152" s="31" t="str">
        <f>IF($B152 = "", "",  VLOOKUP($B152, Propostas!$B:$BE, 49, FALSE) )</f>
        <v/>
      </c>
      <c r="Q152" s="13" t="str">
        <f>IF($B152="","",  VLOOKUP($B152, Propostas!$B:$BE, 39, FALSE) )</f>
        <v/>
      </c>
      <c r="R152" s="62" t="str">
        <f>IF($B152="","",  VLOOKUP($B152, Propostas!$B:$BE, 43, FALSE) )</f>
        <v/>
      </c>
      <c r="S152" s="62" t="str">
        <f>IF($B152="","",  VLOOKUP($B152, Propostas!$B:$BE, 44, FALSE) )</f>
        <v/>
      </c>
      <c r="T152" s="62" t="str">
        <f>IF($B152="","",  VLOOKUP($B152, Propostas!$B:$BE, 45, FALSE) )</f>
        <v/>
      </c>
      <c r="U152" s="31"/>
      <c r="V152" s="13" t="str">
        <f>IF($B152="","",  VLOOKUP($B152, Propostas!$B:$BE, 50, FALSE) )</f>
        <v/>
      </c>
      <c r="W152" s="13" t="str">
        <f>IF($B152="","",  VLOOKUP($B152, Propostas!$B:$BE, 51, FALSE) )</f>
        <v/>
      </c>
      <c r="X152" s="13" t="str">
        <f>IF($B152="","",  VLOOKUP($B152, Propostas!$B:$BE, 52, FALSE) )</f>
        <v/>
      </c>
      <c r="Y152" s="13" t="str">
        <f>IF($B152="","",  VLOOKUP($B152, Propostas!$B:$BE, 36, FALSE) )</f>
        <v/>
      </c>
      <c r="Z152" s="13" t="str">
        <f>IF($B152="","",  VLOOKUP($F152, VW_PROJETO!B:C, 2, FALSE) )</f>
        <v/>
      </c>
    </row>
    <row r="153" spans="2:26" x14ac:dyDescent="0.2">
      <c r="B153" s="2"/>
      <c r="C153" s="4" t="str">
        <f>IF($B153="","",  VLOOKUP($B153, Propostas!$B:$BE, 33, FALSE) )</f>
        <v/>
      </c>
      <c r="D153" s="4" t="str">
        <f>IF($B153="","",  VLOOKUP($B153, Propostas!$B:$BE, 34, FALSE) )</f>
        <v/>
      </c>
      <c r="E153" s="4" t="str">
        <f>IF($B153="","",  VLOOKUP($B153, Propostas!$B:$BE, 35, FALSE) )</f>
        <v/>
      </c>
      <c r="F153" s="4" t="str">
        <f>IF($B153="","",  VLOOKUP($B153, Propostas!$B:$BE, 2, FALSE) )</f>
        <v/>
      </c>
      <c r="G153" s="4" t="str">
        <f>IF($B153="","",  VLOOKUP($B153, Propostas!$B:$BE, 3, FALSE) )</f>
        <v/>
      </c>
      <c r="H153" s="4" t="str">
        <f>IF($B153="","",  VLOOKUP($B153, Propostas!$B:$BE, 4, FALSE) )</f>
        <v/>
      </c>
      <c r="I153" s="4" t="str">
        <f>IF($B153="","",  VLOOKUP($B153, Propostas!$B:$BE, 38, FALSE) )</f>
        <v/>
      </c>
      <c r="J153" s="13" t="str">
        <f>IF($B153="","",IF($C153="SIM", "&lt; INFRRAESTRUTURA &gt;", VLOOKUP($B153,Propostas!$B:$BE,41,FALSE)))</f>
        <v/>
      </c>
      <c r="K153" s="10" t="str">
        <f>IF($B153="","",  VLOOKUP($B153, Propostas!$B:$BE, 40, FALSE) )</f>
        <v/>
      </c>
      <c r="L153" s="10" t="str">
        <f>IF($B153="","",IF(VLOOKUP($B153,Propostas!$B:$BE,21,FALSE)=1,"B",IF(VLOOKUP($B153,Propostas!$B:$BE,21,FALSE)=2,"E","N")))</f>
        <v/>
      </c>
      <c r="M153" s="31" t="str">
        <f>IF($B153 = "", "",  VLOOKUP($B153, Propostas!$B:$BE, 46, FALSE) )</f>
        <v/>
      </c>
      <c r="N153" s="31" t="str">
        <f>IF($B153 = "", "",  VLOOKUP($B153, Propostas!$B:$BE, 47, FALSE) )</f>
        <v/>
      </c>
      <c r="O153" s="13" t="str">
        <f>IF($B153="","",IF($C153="SIM", "INFRAESTRUTURA", VLOOKUP($B153, Propostas!$B:$BE,42,FALSE)))</f>
        <v/>
      </c>
      <c r="P153" s="31" t="str">
        <f>IF($B153 = "", "",  VLOOKUP($B153, Propostas!$B:$BE, 49, FALSE) )</f>
        <v/>
      </c>
      <c r="Q153" s="13" t="str">
        <f>IF($B153="","",  VLOOKUP($B153, Propostas!$B:$BE, 39, FALSE) )</f>
        <v/>
      </c>
      <c r="R153" s="62" t="str">
        <f>IF($B153="","",  VLOOKUP($B153, Propostas!$B:$BE, 43, FALSE) )</f>
        <v/>
      </c>
      <c r="S153" s="62" t="str">
        <f>IF($B153="","",  VLOOKUP($B153, Propostas!$B:$BE, 44, FALSE) )</f>
        <v/>
      </c>
      <c r="T153" s="62" t="str">
        <f>IF($B153="","",  VLOOKUP($B153, Propostas!$B:$BE, 45, FALSE) )</f>
        <v/>
      </c>
      <c r="U153" s="31"/>
      <c r="V153" s="13" t="str">
        <f>IF($B153="","",  VLOOKUP($B153, Propostas!$B:$BE, 50, FALSE) )</f>
        <v/>
      </c>
      <c r="W153" s="13" t="str">
        <f>IF($B153="","",  VLOOKUP($B153, Propostas!$B:$BE, 51, FALSE) )</f>
        <v/>
      </c>
      <c r="X153" s="13" t="str">
        <f>IF($B153="","",  VLOOKUP($B153, Propostas!$B:$BE, 52, FALSE) )</f>
        <v/>
      </c>
      <c r="Y153" s="13" t="str">
        <f>IF($B153="","",  VLOOKUP($B153, Propostas!$B:$BE, 36, FALSE) )</f>
        <v/>
      </c>
      <c r="Z153" s="13" t="str">
        <f>IF($B153="","",  VLOOKUP($F153, VW_PROJETO!B:C, 2, FALSE) )</f>
        <v/>
      </c>
    </row>
    <row r="154" spans="2:26" x14ac:dyDescent="0.2">
      <c r="B154" s="2"/>
      <c r="C154" s="4" t="str">
        <f>IF($B154="","",  VLOOKUP($B154, Propostas!$B:$BE, 33, FALSE) )</f>
        <v/>
      </c>
      <c r="D154" s="4" t="str">
        <f>IF($B154="","",  VLOOKUP($B154, Propostas!$B:$BE, 34, FALSE) )</f>
        <v/>
      </c>
      <c r="E154" s="4" t="str">
        <f>IF($B154="","",  VLOOKUP($B154, Propostas!$B:$BE, 35, FALSE) )</f>
        <v/>
      </c>
      <c r="F154" s="4" t="str">
        <f>IF($B154="","",  VLOOKUP($B154, Propostas!$B:$BE, 2, FALSE) )</f>
        <v/>
      </c>
      <c r="G154" s="4" t="str">
        <f>IF($B154="","",  VLOOKUP($B154, Propostas!$B:$BE, 3, FALSE) )</f>
        <v/>
      </c>
      <c r="H154" s="4" t="str">
        <f>IF($B154="","",  VLOOKUP($B154, Propostas!$B:$BE, 4, FALSE) )</f>
        <v/>
      </c>
      <c r="I154" s="4" t="str">
        <f>IF($B154="","",  VLOOKUP($B154, Propostas!$B:$BE, 38, FALSE) )</f>
        <v/>
      </c>
      <c r="J154" s="13" t="str">
        <f>IF($B154="","",IF($C154="SIM", "&lt; INFRRAESTRUTURA &gt;", VLOOKUP($B154,Propostas!$B:$BE,41,FALSE)))</f>
        <v/>
      </c>
      <c r="K154" s="10" t="str">
        <f>IF($B154="","",  VLOOKUP($B154, Propostas!$B:$BE, 40, FALSE) )</f>
        <v/>
      </c>
      <c r="L154" s="10" t="str">
        <f>IF($B154="","",IF(VLOOKUP($B154,Propostas!$B:$BE,21,FALSE)=1,"B",IF(VLOOKUP($B154,Propostas!$B:$BE,21,FALSE)=2,"E","N")))</f>
        <v/>
      </c>
      <c r="M154" s="31" t="str">
        <f>IF($B154 = "", "",  VLOOKUP($B154, Propostas!$B:$BE, 46, FALSE) )</f>
        <v/>
      </c>
      <c r="N154" s="31" t="str">
        <f>IF($B154 = "", "",  VLOOKUP($B154, Propostas!$B:$BE, 47, FALSE) )</f>
        <v/>
      </c>
      <c r="O154" s="13" t="str">
        <f>IF($B154="","",IF($C154="SIM", "INFRAESTRUTURA", VLOOKUP($B154, Propostas!$B:$BE,42,FALSE)))</f>
        <v/>
      </c>
      <c r="P154" s="31" t="str">
        <f>IF($B154 = "", "",  VLOOKUP($B154, Propostas!$B:$BE, 49, FALSE) )</f>
        <v/>
      </c>
      <c r="Q154" s="13" t="str">
        <f>IF($B154="","",  VLOOKUP($B154, Propostas!$B:$BE, 39, FALSE) )</f>
        <v/>
      </c>
      <c r="R154" s="62" t="str">
        <f>IF($B154="","",  VLOOKUP($B154, Propostas!$B:$BE, 43, FALSE) )</f>
        <v/>
      </c>
      <c r="S154" s="62" t="str">
        <f>IF($B154="","",  VLOOKUP($B154, Propostas!$B:$BE, 44, FALSE) )</f>
        <v/>
      </c>
      <c r="T154" s="62" t="str">
        <f>IF($B154="","",  VLOOKUP($B154, Propostas!$B:$BE, 45, FALSE) )</f>
        <v/>
      </c>
      <c r="U154" s="31"/>
      <c r="V154" s="13" t="str">
        <f>IF($B154="","",  VLOOKUP($B154, Propostas!$B:$BE, 50, FALSE) )</f>
        <v/>
      </c>
      <c r="W154" s="13" t="str">
        <f>IF($B154="","",  VLOOKUP($B154, Propostas!$B:$BE, 51, FALSE) )</f>
        <v/>
      </c>
      <c r="X154" s="13" t="str">
        <f>IF($B154="","",  VLOOKUP($B154, Propostas!$B:$BE, 52, FALSE) )</f>
        <v/>
      </c>
      <c r="Y154" s="13" t="str">
        <f>IF($B154="","",  VLOOKUP($B154, Propostas!$B:$BE, 36, FALSE) )</f>
        <v/>
      </c>
      <c r="Z154" s="13" t="str">
        <f>IF($B154="","",  VLOOKUP($F154, VW_PROJETO!B:C, 2, FALSE) )</f>
        <v/>
      </c>
    </row>
    <row r="155" spans="2:26" x14ac:dyDescent="0.2">
      <c r="B155" s="2"/>
      <c r="C155" s="4" t="str">
        <f>IF($B155="","",  VLOOKUP($B155, Propostas!$B:$BE, 33, FALSE) )</f>
        <v/>
      </c>
      <c r="D155" s="4" t="str">
        <f>IF($B155="","",  VLOOKUP($B155, Propostas!$B:$BE, 34, FALSE) )</f>
        <v/>
      </c>
      <c r="E155" s="4" t="str">
        <f>IF($B155="","",  VLOOKUP($B155, Propostas!$B:$BE, 35, FALSE) )</f>
        <v/>
      </c>
      <c r="F155" s="4" t="str">
        <f>IF($B155="","",  VLOOKUP($B155, Propostas!$B:$BE, 2, FALSE) )</f>
        <v/>
      </c>
      <c r="G155" s="4" t="str">
        <f>IF($B155="","",  VLOOKUP($B155, Propostas!$B:$BE, 3, FALSE) )</f>
        <v/>
      </c>
      <c r="H155" s="4" t="str">
        <f>IF($B155="","",  VLOOKUP($B155, Propostas!$B:$BE, 4, FALSE) )</f>
        <v/>
      </c>
      <c r="I155" s="4" t="str">
        <f>IF($B155="","",  VLOOKUP($B155, Propostas!$B:$BE, 38, FALSE) )</f>
        <v/>
      </c>
      <c r="J155" s="13" t="str">
        <f>IF($B155="","",IF($C155="SIM", "&lt; INFRRAESTRUTURA &gt;", VLOOKUP($B155,Propostas!$B:$BE,41,FALSE)))</f>
        <v/>
      </c>
      <c r="K155" s="10" t="str">
        <f>IF($B155="","",  VLOOKUP($B155, Propostas!$B:$BE, 40, FALSE) )</f>
        <v/>
      </c>
      <c r="L155" s="10" t="str">
        <f>IF($B155="","",IF(VLOOKUP($B155,Propostas!$B:$BE,21,FALSE)=1,"B",IF(VLOOKUP($B155,Propostas!$B:$BE,21,FALSE)=2,"E","N")))</f>
        <v/>
      </c>
      <c r="M155" s="31" t="str">
        <f>IF($B155 = "", "",  VLOOKUP($B155, Propostas!$B:$BE, 46, FALSE) )</f>
        <v/>
      </c>
      <c r="N155" s="31" t="str">
        <f>IF($B155 = "", "",  VLOOKUP($B155, Propostas!$B:$BE, 47, FALSE) )</f>
        <v/>
      </c>
      <c r="O155" s="13" t="str">
        <f>IF($B155="","",IF($C155="SIM", "INFRAESTRUTURA", VLOOKUP($B155, Propostas!$B:$BE,42,FALSE)))</f>
        <v/>
      </c>
      <c r="P155" s="31" t="str">
        <f>IF($B155 = "", "",  VLOOKUP($B155, Propostas!$B:$BE, 49, FALSE) )</f>
        <v/>
      </c>
      <c r="Q155" s="13" t="str">
        <f>IF($B155="","",  VLOOKUP($B155, Propostas!$B:$BE, 39, FALSE) )</f>
        <v/>
      </c>
      <c r="R155" s="62" t="str">
        <f>IF($B155="","",  VLOOKUP($B155, Propostas!$B:$BE, 43, FALSE) )</f>
        <v/>
      </c>
      <c r="S155" s="62" t="str">
        <f>IF($B155="","",  VLOOKUP($B155, Propostas!$B:$BE, 44, FALSE) )</f>
        <v/>
      </c>
      <c r="T155" s="62" t="str">
        <f>IF($B155="","",  VLOOKUP($B155, Propostas!$B:$BE, 45, FALSE) )</f>
        <v/>
      </c>
      <c r="U155" s="31"/>
      <c r="V155" s="13" t="str">
        <f>IF($B155="","",  VLOOKUP($B155, Propostas!$B:$BE, 50, FALSE) )</f>
        <v/>
      </c>
      <c r="W155" s="13" t="str">
        <f>IF($B155="","",  VLOOKUP($B155, Propostas!$B:$BE, 51, FALSE) )</f>
        <v/>
      </c>
      <c r="X155" s="13" t="str">
        <f>IF($B155="","",  VLOOKUP($B155, Propostas!$B:$BE, 52, FALSE) )</f>
        <v/>
      </c>
      <c r="Y155" s="13" t="str">
        <f>IF($B155="","",  VLOOKUP($B155, Propostas!$B:$BE, 36, FALSE) )</f>
        <v/>
      </c>
      <c r="Z155" s="13" t="str">
        <f>IF($B155="","",  VLOOKUP($F155, VW_PROJETO!B:C, 2, FALSE) )</f>
        <v/>
      </c>
    </row>
    <row r="156" spans="2:26" x14ac:dyDescent="0.2">
      <c r="B156" s="2"/>
      <c r="C156" s="4" t="str">
        <f>IF($B156="","",  VLOOKUP($B156, Propostas!$B:$BE, 33, FALSE) )</f>
        <v/>
      </c>
      <c r="D156" s="4" t="str">
        <f>IF($B156="","",  VLOOKUP($B156, Propostas!$B:$BE, 34, FALSE) )</f>
        <v/>
      </c>
      <c r="E156" s="4" t="str">
        <f>IF($B156="","",  VLOOKUP($B156, Propostas!$B:$BE, 35, FALSE) )</f>
        <v/>
      </c>
      <c r="F156" s="4" t="str">
        <f>IF($B156="","",  VLOOKUP($B156, Propostas!$B:$BE, 2, FALSE) )</f>
        <v/>
      </c>
      <c r="G156" s="4" t="str">
        <f>IF($B156="","",  VLOOKUP($B156, Propostas!$B:$BE, 3, FALSE) )</f>
        <v/>
      </c>
      <c r="H156" s="4" t="str">
        <f>IF($B156="","",  VLOOKUP($B156, Propostas!$B:$BE, 4, FALSE) )</f>
        <v/>
      </c>
      <c r="I156" s="4" t="str">
        <f>IF($B156="","",  VLOOKUP($B156, Propostas!$B:$BE, 38, FALSE) )</f>
        <v/>
      </c>
      <c r="J156" s="13" t="str">
        <f>IF($B156="","",IF($C156="SIM", "&lt; INFRRAESTRUTURA &gt;", VLOOKUP($B156,Propostas!$B:$BE,41,FALSE)))</f>
        <v/>
      </c>
      <c r="K156" s="10" t="str">
        <f>IF($B156="","",  VLOOKUP($B156, Propostas!$B:$BE, 40, FALSE) )</f>
        <v/>
      </c>
      <c r="L156" s="10" t="str">
        <f>IF($B156="","",IF(VLOOKUP($B156,Propostas!$B:$BE,21,FALSE)=1,"B",IF(VLOOKUP($B156,Propostas!$B:$BE,21,FALSE)=2,"E","N")))</f>
        <v/>
      </c>
      <c r="M156" s="31" t="str">
        <f>IF($B156 = "", "",  VLOOKUP($B156, Propostas!$B:$BE, 46, FALSE) )</f>
        <v/>
      </c>
      <c r="N156" s="31" t="str">
        <f>IF($B156 = "", "",  VLOOKUP($B156, Propostas!$B:$BE, 47, FALSE) )</f>
        <v/>
      </c>
      <c r="O156" s="13" t="str">
        <f>IF($B156="","",IF($C156="SIM", "INFRAESTRUTURA", VLOOKUP($B156, Propostas!$B:$BE,42,FALSE)))</f>
        <v/>
      </c>
      <c r="P156" s="31" t="str">
        <f>IF($B156 = "", "",  VLOOKUP($B156, Propostas!$B:$BE, 49, FALSE) )</f>
        <v/>
      </c>
      <c r="Q156" s="13" t="str">
        <f>IF($B156="","",  VLOOKUP($B156, Propostas!$B:$BE, 39, FALSE) )</f>
        <v/>
      </c>
      <c r="R156" s="62" t="str">
        <f>IF($B156="","",  VLOOKUP($B156, Propostas!$B:$BE, 43, FALSE) )</f>
        <v/>
      </c>
      <c r="S156" s="62" t="str">
        <f>IF($B156="","",  VLOOKUP($B156, Propostas!$B:$BE, 44, FALSE) )</f>
        <v/>
      </c>
      <c r="T156" s="62" t="str">
        <f>IF($B156="","",  VLOOKUP($B156, Propostas!$B:$BE, 45, FALSE) )</f>
        <v/>
      </c>
      <c r="U156" s="31"/>
      <c r="V156" s="13" t="str">
        <f>IF($B156="","",  VLOOKUP($B156, Propostas!$B:$BE, 50, FALSE) )</f>
        <v/>
      </c>
      <c r="W156" s="13" t="str">
        <f>IF($B156="","",  VLOOKUP($B156, Propostas!$B:$BE, 51, FALSE) )</f>
        <v/>
      </c>
      <c r="X156" s="13" t="str">
        <f>IF($B156="","",  VLOOKUP($B156, Propostas!$B:$BE, 52, FALSE) )</f>
        <v/>
      </c>
      <c r="Y156" s="13" t="str">
        <f>IF($B156="","",  VLOOKUP($B156, Propostas!$B:$BE, 36, FALSE) )</f>
        <v/>
      </c>
      <c r="Z156" s="13" t="str">
        <f>IF($B156="","",  VLOOKUP($F156, VW_PROJETO!B:C, 2, FALSE) )</f>
        <v/>
      </c>
    </row>
    <row r="157" spans="2:26" x14ac:dyDescent="0.2">
      <c r="B157" s="2"/>
      <c r="C157" s="4" t="str">
        <f>IF($B157="","",  VLOOKUP($B157, Propostas!$B:$BE, 33, FALSE) )</f>
        <v/>
      </c>
      <c r="D157" s="4" t="str">
        <f>IF($B157="","",  VLOOKUP($B157, Propostas!$B:$BE, 34, FALSE) )</f>
        <v/>
      </c>
      <c r="E157" s="4" t="str">
        <f>IF($B157="","",  VLOOKUP($B157, Propostas!$B:$BE, 35, FALSE) )</f>
        <v/>
      </c>
      <c r="F157" s="4" t="str">
        <f>IF($B157="","",  VLOOKUP($B157, Propostas!$B:$BE, 2, FALSE) )</f>
        <v/>
      </c>
      <c r="G157" s="4" t="str">
        <f>IF($B157="","",  VLOOKUP($B157, Propostas!$B:$BE, 3, FALSE) )</f>
        <v/>
      </c>
      <c r="H157" s="4" t="str">
        <f>IF($B157="","",  VLOOKUP($B157, Propostas!$B:$BE, 4, FALSE) )</f>
        <v/>
      </c>
      <c r="I157" s="4" t="str">
        <f>IF($B157="","",  VLOOKUP($B157, Propostas!$B:$BE, 38, FALSE) )</f>
        <v/>
      </c>
      <c r="J157" s="13" t="str">
        <f>IF($B157="","",IF($C157="SIM", "&lt; INFRRAESTRUTURA &gt;", VLOOKUP($B157,Propostas!$B:$BE,41,FALSE)))</f>
        <v/>
      </c>
      <c r="K157" s="10" t="str">
        <f>IF($B157="","",  VLOOKUP($B157, Propostas!$B:$BE, 40, FALSE) )</f>
        <v/>
      </c>
      <c r="L157" s="10" t="str">
        <f>IF($B157="","",IF(VLOOKUP($B157,Propostas!$B:$BE,21,FALSE)=1,"B",IF(VLOOKUP($B157,Propostas!$B:$BE,21,FALSE)=2,"E","N")))</f>
        <v/>
      </c>
      <c r="M157" s="31" t="str">
        <f>IF($B157 = "", "",  VLOOKUP($B157, Propostas!$B:$BE, 46, FALSE) )</f>
        <v/>
      </c>
      <c r="N157" s="31" t="str">
        <f>IF($B157 = "", "",  VLOOKUP($B157, Propostas!$B:$BE, 47, FALSE) )</f>
        <v/>
      </c>
      <c r="O157" s="13" t="str">
        <f>IF($B157="","",IF($C157="SIM", "INFRAESTRUTURA", VLOOKUP($B157, Propostas!$B:$BE,42,FALSE)))</f>
        <v/>
      </c>
      <c r="P157" s="31" t="str">
        <f>IF($B157 = "", "",  VLOOKUP($B157, Propostas!$B:$BE, 49, FALSE) )</f>
        <v/>
      </c>
      <c r="Q157" s="13" t="str">
        <f>IF($B157="","",  VLOOKUP($B157, Propostas!$B:$BE, 39, FALSE) )</f>
        <v/>
      </c>
      <c r="R157" s="62" t="str">
        <f>IF($B157="","",  VLOOKUP($B157, Propostas!$B:$BE, 43, FALSE) )</f>
        <v/>
      </c>
      <c r="S157" s="62" t="str">
        <f>IF($B157="","",  VLOOKUP($B157, Propostas!$B:$BE, 44, FALSE) )</f>
        <v/>
      </c>
      <c r="T157" s="62" t="str">
        <f>IF($B157="","",  VLOOKUP($B157, Propostas!$B:$BE, 45, FALSE) )</f>
        <v/>
      </c>
      <c r="U157" s="31"/>
      <c r="V157" s="13" t="str">
        <f>IF($B157="","",  VLOOKUP($B157, Propostas!$B:$BE, 50, FALSE) )</f>
        <v/>
      </c>
      <c r="W157" s="13" t="str">
        <f>IF($B157="","",  VLOOKUP($B157, Propostas!$B:$BE, 51, FALSE) )</f>
        <v/>
      </c>
      <c r="X157" s="13" t="str">
        <f>IF($B157="","",  VLOOKUP($B157, Propostas!$B:$BE, 52, FALSE) )</f>
        <v/>
      </c>
      <c r="Y157" s="13" t="str">
        <f>IF($B157="","",  VLOOKUP($B157, Propostas!$B:$BE, 36, FALSE) )</f>
        <v/>
      </c>
      <c r="Z157" s="13" t="str">
        <f>IF($B157="","",  VLOOKUP($F157, VW_PROJETO!B:C, 2, FALSE) )</f>
        <v/>
      </c>
    </row>
    <row r="158" spans="2:26" x14ac:dyDescent="0.2">
      <c r="B158" s="2"/>
      <c r="C158" s="4" t="str">
        <f>IF($B158="","",  VLOOKUP($B158, Propostas!$B:$BE, 33, FALSE) )</f>
        <v/>
      </c>
      <c r="D158" s="4" t="str">
        <f>IF($B158="","",  VLOOKUP($B158, Propostas!$B:$BE, 34, FALSE) )</f>
        <v/>
      </c>
      <c r="E158" s="4" t="str">
        <f>IF($B158="","",  VLOOKUP($B158, Propostas!$B:$BE, 35, FALSE) )</f>
        <v/>
      </c>
      <c r="F158" s="4" t="str">
        <f>IF($B158="","",  VLOOKUP($B158, Propostas!$B:$BE, 2, FALSE) )</f>
        <v/>
      </c>
      <c r="G158" s="4" t="str">
        <f>IF($B158="","",  VLOOKUP($B158, Propostas!$B:$BE, 3, FALSE) )</f>
        <v/>
      </c>
      <c r="H158" s="4" t="str">
        <f>IF($B158="","",  VLOOKUP($B158, Propostas!$B:$BE, 4, FALSE) )</f>
        <v/>
      </c>
      <c r="I158" s="4" t="str">
        <f>IF($B158="","",  VLOOKUP($B158, Propostas!$B:$BE, 38, FALSE) )</f>
        <v/>
      </c>
      <c r="J158" s="13" t="str">
        <f>IF($B158="","",IF($C158="SIM", "&lt; INFRRAESTRUTURA &gt;", VLOOKUP($B158,Propostas!$B:$BE,41,FALSE)))</f>
        <v/>
      </c>
      <c r="K158" s="10" t="str">
        <f>IF($B158="","",  VLOOKUP($B158, Propostas!$B:$BE, 40, FALSE) )</f>
        <v/>
      </c>
      <c r="L158" s="10" t="str">
        <f>IF($B158="","",IF(VLOOKUP($B158,Propostas!$B:$BE,21,FALSE)=1,"B",IF(VLOOKUP($B158,Propostas!$B:$BE,21,FALSE)=2,"E","N")))</f>
        <v/>
      </c>
      <c r="M158" s="31" t="str">
        <f>IF($B158 = "", "",  VLOOKUP($B158, Propostas!$B:$BE, 46, FALSE) )</f>
        <v/>
      </c>
      <c r="N158" s="31" t="str">
        <f>IF($B158 = "", "",  VLOOKUP($B158, Propostas!$B:$BE, 47, FALSE) )</f>
        <v/>
      </c>
      <c r="O158" s="13" t="str">
        <f>IF($B158="","",IF($C158="SIM", "INFRAESTRUTURA", VLOOKUP($B158, Propostas!$B:$BE,42,FALSE)))</f>
        <v/>
      </c>
      <c r="P158" s="31" t="str">
        <f>IF($B158 = "", "",  VLOOKUP($B158, Propostas!$B:$BE, 49, FALSE) )</f>
        <v/>
      </c>
      <c r="Q158" s="13" t="str">
        <f>IF($B158="","",  VLOOKUP($B158, Propostas!$B:$BE, 39, FALSE) )</f>
        <v/>
      </c>
      <c r="R158" s="62" t="str">
        <f>IF($B158="","",  VLOOKUP($B158, Propostas!$B:$BE, 43, FALSE) )</f>
        <v/>
      </c>
      <c r="S158" s="62" t="str">
        <f>IF($B158="","",  VLOOKUP($B158, Propostas!$B:$BE, 44, FALSE) )</f>
        <v/>
      </c>
      <c r="T158" s="62" t="str">
        <f>IF($B158="","",  VLOOKUP($B158, Propostas!$B:$BE, 45, FALSE) )</f>
        <v/>
      </c>
      <c r="U158" s="31"/>
      <c r="V158" s="13" t="str">
        <f>IF($B158="","",  VLOOKUP($B158, Propostas!$B:$BE, 50, FALSE) )</f>
        <v/>
      </c>
      <c r="W158" s="13" t="str">
        <f>IF($B158="","",  VLOOKUP($B158, Propostas!$B:$BE, 51, FALSE) )</f>
        <v/>
      </c>
      <c r="X158" s="13" t="str">
        <f>IF($B158="","",  VLOOKUP($B158, Propostas!$B:$BE, 52, FALSE) )</f>
        <v/>
      </c>
      <c r="Y158" s="13" t="str">
        <f>IF($B158="","",  VLOOKUP($B158, Propostas!$B:$BE, 36, FALSE) )</f>
        <v/>
      </c>
      <c r="Z158" s="13" t="str">
        <f>IF($B158="","",  VLOOKUP($F158, VW_PROJETO!B:C, 2, FALSE) )</f>
        <v/>
      </c>
    </row>
    <row r="159" spans="2:26" x14ac:dyDescent="0.2">
      <c r="B159" s="2"/>
      <c r="C159" s="4" t="str">
        <f>IF($B159="","",  VLOOKUP($B159, Propostas!$B:$BE, 33, FALSE) )</f>
        <v/>
      </c>
      <c r="D159" s="4" t="str">
        <f>IF($B159="","",  VLOOKUP($B159, Propostas!$B:$BE, 34, FALSE) )</f>
        <v/>
      </c>
      <c r="E159" s="4" t="str">
        <f>IF($B159="","",  VLOOKUP($B159, Propostas!$B:$BE, 35, FALSE) )</f>
        <v/>
      </c>
      <c r="F159" s="4" t="str">
        <f>IF($B159="","",  VLOOKUP($B159, Propostas!$B:$BE, 2, FALSE) )</f>
        <v/>
      </c>
      <c r="G159" s="4" t="str">
        <f>IF($B159="","",  VLOOKUP($B159, Propostas!$B:$BE, 3, FALSE) )</f>
        <v/>
      </c>
      <c r="H159" s="4" t="str">
        <f>IF($B159="","",  VLOOKUP($B159, Propostas!$B:$BE, 4, FALSE) )</f>
        <v/>
      </c>
      <c r="I159" s="4" t="str">
        <f>IF($B159="","",  VLOOKUP($B159, Propostas!$B:$BE, 38, FALSE) )</f>
        <v/>
      </c>
      <c r="J159" s="13" t="str">
        <f>IF($B159="","",IF($C159="SIM", "&lt; INFRRAESTRUTURA &gt;", VLOOKUP($B159,Propostas!$B:$BE,41,FALSE)))</f>
        <v/>
      </c>
      <c r="K159" s="10" t="str">
        <f>IF($B159="","",  VLOOKUP($B159, Propostas!$B:$BE, 40, FALSE) )</f>
        <v/>
      </c>
      <c r="L159" s="10" t="str">
        <f>IF($B159="","",IF(VLOOKUP($B159,Propostas!$B:$BE,21,FALSE)=1,"B",IF(VLOOKUP($B159,Propostas!$B:$BE,21,FALSE)=2,"E","N")))</f>
        <v/>
      </c>
      <c r="M159" s="31" t="str">
        <f>IF($B159 = "", "",  VLOOKUP($B159, Propostas!$B:$BE, 46, FALSE) )</f>
        <v/>
      </c>
      <c r="N159" s="31" t="str">
        <f>IF($B159 = "", "",  VLOOKUP($B159, Propostas!$B:$BE, 47, FALSE) )</f>
        <v/>
      </c>
      <c r="O159" s="13" t="str">
        <f>IF($B159="","",IF($C159="SIM", "INFRAESTRUTURA", VLOOKUP($B159, Propostas!$B:$BE,42,FALSE)))</f>
        <v/>
      </c>
      <c r="P159" s="31" t="str">
        <f>IF($B159 = "", "",  VLOOKUP($B159, Propostas!$B:$BE, 49, FALSE) )</f>
        <v/>
      </c>
      <c r="Q159" s="13" t="str">
        <f>IF($B159="","",  VLOOKUP($B159, Propostas!$B:$BE, 39, FALSE) )</f>
        <v/>
      </c>
      <c r="R159" s="62" t="str">
        <f>IF($B159="","",  VLOOKUP($B159, Propostas!$B:$BE, 43, FALSE) )</f>
        <v/>
      </c>
      <c r="S159" s="62" t="str">
        <f>IF($B159="","",  VLOOKUP($B159, Propostas!$B:$BE, 44, FALSE) )</f>
        <v/>
      </c>
      <c r="T159" s="62" t="str">
        <f>IF($B159="","",  VLOOKUP($B159, Propostas!$B:$BE, 45, FALSE) )</f>
        <v/>
      </c>
      <c r="U159" s="31"/>
      <c r="V159" s="13" t="str">
        <f>IF($B159="","",  VLOOKUP($B159, Propostas!$B:$BE, 50, FALSE) )</f>
        <v/>
      </c>
      <c r="W159" s="13" t="str">
        <f>IF($B159="","",  VLOOKUP($B159, Propostas!$B:$BE, 51, FALSE) )</f>
        <v/>
      </c>
      <c r="X159" s="13" t="str">
        <f>IF($B159="","",  VLOOKUP($B159, Propostas!$B:$BE, 52, FALSE) )</f>
        <v/>
      </c>
      <c r="Y159" s="13" t="str">
        <f>IF($B159="","",  VLOOKUP($B159, Propostas!$B:$BE, 36, FALSE) )</f>
        <v/>
      </c>
      <c r="Z159" s="13" t="str">
        <f>IF($B159="","",  VLOOKUP($F159, VW_PROJETO!B:C, 2, FALSE) )</f>
        <v/>
      </c>
    </row>
    <row r="160" spans="2:26" x14ac:dyDescent="0.2">
      <c r="B160" s="2"/>
      <c r="C160" s="4" t="str">
        <f>IF($B160="","",  VLOOKUP($B160, Propostas!$B:$BE, 33, FALSE) )</f>
        <v/>
      </c>
      <c r="D160" s="4" t="str">
        <f>IF($B160="","",  VLOOKUP($B160, Propostas!$B:$BE, 34, FALSE) )</f>
        <v/>
      </c>
      <c r="E160" s="4" t="str">
        <f>IF($B160="","",  VLOOKUP($B160, Propostas!$B:$BE, 35, FALSE) )</f>
        <v/>
      </c>
      <c r="F160" s="4" t="str">
        <f>IF($B160="","",  VLOOKUP($B160, Propostas!$B:$BE, 2, FALSE) )</f>
        <v/>
      </c>
      <c r="G160" s="4" t="str">
        <f>IF($B160="","",  VLOOKUP($B160, Propostas!$B:$BE, 3, FALSE) )</f>
        <v/>
      </c>
      <c r="H160" s="4" t="str">
        <f>IF($B160="","",  VLOOKUP($B160, Propostas!$B:$BE, 4, FALSE) )</f>
        <v/>
      </c>
      <c r="I160" s="4" t="str">
        <f>IF($B160="","",  VLOOKUP($B160, Propostas!$B:$BE, 38, FALSE) )</f>
        <v/>
      </c>
      <c r="J160" s="13" t="str">
        <f>IF($B160="","",IF($C160="SIM", "&lt; INFRRAESTRUTURA &gt;", VLOOKUP($B160,Propostas!$B:$BE,41,FALSE)))</f>
        <v/>
      </c>
      <c r="K160" s="10" t="str">
        <f>IF($B160="","",  VLOOKUP($B160, Propostas!$B:$BE, 40, FALSE) )</f>
        <v/>
      </c>
      <c r="L160" s="10" t="str">
        <f>IF($B160="","",IF(VLOOKUP($B160,Propostas!$B:$BE,21,FALSE)=1,"B",IF(VLOOKUP($B160,Propostas!$B:$BE,21,FALSE)=2,"E","N")))</f>
        <v/>
      </c>
      <c r="M160" s="31" t="str">
        <f>IF($B160 = "", "",  VLOOKUP($B160, Propostas!$B:$BE, 46, FALSE) )</f>
        <v/>
      </c>
      <c r="N160" s="31" t="str">
        <f>IF($B160 = "", "",  VLOOKUP($B160, Propostas!$B:$BE, 47, FALSE) )</f>
        <v/>
      </c>
      <c r="O160" s="13" t="str">
        <f>IF($B160="","",IF($C160="SIM", "INFRAESTRUTURA", VLOOKUP($B160, Propostas!$B:$BE,42,FALSE)))</f>
        <v/>
      </c>
      <c r="P160" s="31" t="str">
        <f>IF($B160 = "", "",  VLOOKUP($B160, Propostas!$B:$BE, 49, FALSE) )</f>
        <v/>
      </c>
      <c r="Q160" s="13" t="str">
        <f>IF($B160="","",  VLOOKUP($B160, Propostas!$B:$BE, 39, FALSE) )</f>
        <v/>
      </c>
      <c r="R160" s="62" t="str">
        <f>IF($B160="","",  VLOOKUP($B160, Propostas!$B:$BE, 43, FALSE) )</f>
        <v/>
      </c>
      <c r="S160" s="62" t="str">
        <f>IF($B160="","",  VLOOKUP($B160, Propostas!$B:$BE, 44, FALSE) )</f>
        <v/>
      </c>
      <c r="T160" s="62" t="str">
        <f>IF($B160="","",  VLOOKUP($B160, Propostas!$B:$BE, 45, FALSE) )</f>
        <v/>
      </c>
      <c r="U160" s="31"/>
      <c r="V160" s="13" t="str">
        <f>IF($B160="","",  VLOOKUP($B160, Propostas!$B:$BE, 50, FALSE) )</f>
        <v/>
      </c>
      <c r="W160" s="13" t="str">
        <f>IF($B160="","",  VLOOKUP($B160, Propostas!$B:$BE, 51, FALSE) )</f>
        <v/>
      </c>
      <c r="X160" s="13" t="str">
        <f>IF($B160="","",  VLOOKUP($B160, Propostas!$B:$BE, 52, FALSE) )</f>
        <v/>
      </c>
      <c r="Y160" s="13" t="str">
        <f>IF($B160="","",  VLOOKUP($B160, Propostas!$B:$BE, 36, FALSE) )</f>
        <v/>
      </c>
      <c r="Z160" s="13" t="str">
        <f>IF($B160="","",  VLOOKUP($F160, VW_PROJETO!B:C, 2, FALSE) )</f>
        <v/>
      </c>
    </row>
    <row r="161" spans="2:26" x14ac:dyDescent="0.2">
      <c r="B161" s="2"/>
      <c r="C161" s="4" t="str">
        <f>IF($B161="","",  VLOOKUP($B161, Propostas!$B:$BE, 33, FALSE) )</f>
        <v/>
      </c>
      <c r="D161" s="4" t="str">
        <f>IF($B161="","",  VLOOKUP($B161, Propostas!$B:$BE, 34, FALSE) )</f>
        <v/>
      </c>
      <c r="E161" s="4" t="str">
        <f>IF($B161="","",  VLOOKUP($B161, Propostas!$B:$BE, 35, FALSE) )</f>
        <v/>
      </c>
      <c r="F161" s="4" t="str">
        <f>IF($B161="","",  VLOOKUP($B161, Propostas!$B:$BE, 2, FALSE) )</f>
        <v/>
      </c>
      <c r="G161" s="4" t="str">
        <f>IF($B161="","",  VLOOKUP($B161, Propostas!$B:$BE, 3, FALSE) )</f>
        <v/>
      </c>
      <c r="H161" s="4" t="str">
        <f>IF($B161="","",  VLOOKUP($B161, Propostas!$B:$BE, 4, FALSE) )</f>
        <v/>
      </c>
      <c r="I161" s="4" t="str">
        <f>IF($B161="","",  VLOOKUP($B161, Propostas!$B:$BE, 38, FALSE) )</f>
        <v/>
      </c>
      <c r="J161" s="13" t="str">
        <f>IF($B161="","",IF($C161="SIM", "&lt; INFRRAESTRUTURA &gt;", VLOOKUP($B161,Propostas!$B:$BE,41,FALSE)))</f>
        <v/>
      </c>
      <c r="K161" s="10" t="str">
        <f>IF($B161="","",  VLOOKUP($B161, Propostas!$B:$BE, 40, FALSE) )</f>
        <v/>
      </c>
      <c r="L161" s="10" t="str">
        <f>IF($B161="","",IF(VLOOKUP($B161,Propostas!$B:$BE,21,FALSE)=1,"B",IF(VLOOKUP($B161,Propostas!$B:$BE,21,FALSE)=2,"E","N")))</f>
        <v/>
      </c>
      <c r="M161" s="31" t="str">
        <f>IF($B161 = "", "",  VLOOKUP($B161, Propostas!$B:$BE, 46, FALSE) )</f>
        <v/>
      </c>
      <c r="N161" s="31" t="str">
        <f>IF($B161 = "", "",  VLOOKUP($B161, Propostas!$B:$BE, 47, FALSE) )</f>
        <v/>
      </c>
      <c r="O161" s="13" t="str">
        <f>IF($B161="","",IF($C161="SIM", "INFRAESTRUTURA", VLOOKUP($B161, Propostas!$B:$BE,42,FALSE)))</f>
        <v/>
      </c>
      <c r="P161" s="31" t="str">
        <f>IF($B161 = "", "",  VLOOKUP($B161, Propostas!$B:$BE, 49, FALSE) )</f>
        <v/>
      </c>
      <c r="Q161" s="13" t="str">
        <f>IF($B161="","",  VLOOKUP($B161, Propostas!$B:$BE, 39, FALSE) )</f>
        <v/>
      </c>
      <c r="R161" s="62" t="str">
        <f>IF($B161="","",  VLOOKUP($B161, Propostas!$B:$BE, 43, FALSE) )</f>
        <v/>
      </c>
      <c r="S161" s="62" t="str">
        <f>IF($B161="","",  VLOOKUP($B161, Propostas!$B:$BE, 44, FALSE) )</f>
        <v/>
      </c>
      <c r="T161" s="62" t="str">
        <f>IF($B161="","",  VLOOKUP($B161, Propostas!$B:$BE, 45, FALSE) )</f>
        <v/>
      </c>
      <c r="U161" s="31"/>
      <c r="V161" s="13" t="str">
        <f>IF($B161="","",  VLOOKUP($B161, Propostas!$B:$BE, 50, FALSE) )</f>
        <v/>
      </c>
      <c r="W161" s="13" t="str">
        <f>IF($B161="","",  VLOOKUP($B161, Propostas!$B:$BE, 51, FALSE) )</f>
        <v/>
      </c>
      <c r="X161" s="13" t="str">
        <f>IF($B161="","",  VLOOKUP($B161, Propostas!$B:$BE, 52, FALSE) )</f>
        <v/>
      </c>
      <c r="Y161" s="13" t="str">
        <f>IF($B161="","",  VLOOKUP($B161, Propostas!$B:$BE, 36, FALSE) )</f>
        <v/>
      </c>
      <c r="Z161" s="13" t="str">
        <f>IF($B161="","",  VLOOKUP($F161, VW_PROJETO!B:C, 2, FALSE) )</f>
        <v/>
      </c>
    </row>
    <row r="162" spans="2:26" x14ac:dyDescent="0.2">
      <c r="B162" s="2"/>
      <c r="C162" s="4" t="str">
        <f>IF($B162="","",  VLOOKUP($B162, Propostas!$B:$BE, 33, FALSE) )</f>
        <v/>
      </c>
      <c r="D162" s="4" t="str">
        <f>IF($B162="","",  VLOOKUP($B162, Propostas!$B:$BE, 34, FALSE) )</f>
        <v/>
      </c>
      <c r="E162" s="4" t="str">
        <f>IF($B162="","",  VLOOKUP($B162, Propostas!$B:$BE, 35, FALSE) )</f>
        <v/>
      </c>
      <c r="F162" s="4" t="str">
        <f>IF($B162="","",  VLOOKUP($B162, Propostas!$B:$BE, 2, FALSE) )</f>
        <v/>
      </c>
      <c r="G162" s="4" t="str">
        <f>IF($B162="","",  VLOOKUP($B162, Propostas!$B:$BE, 3, FALSE) )</f>
        <v/>
      </c>
      <c r="H162" s="4" t="str">
        <f>IF($B162="","",  VLOOKUP($B162, Propostas!$B:$BE, 4, FALSE) )</f>
        <v/>
      </c>
      <c r="I162" s="4" t="str">
        <f>IF($B162="","",  VLOOKUP($B162, Propostas!$B:$BE, 38, FALSE) )</f>
        <v/>
      </c>
      <c r="J162" s="13" t="str">
        <f>IF($B162="","",IF($C162="SIM", "&lt; INFRRAESTRUTURA &gt;", VLOOKUP($B162,Propostas!$B:$BE,41,FALSE)))</f>
        <v/>
      </c>
      <c r="K162" s="10" t="str">
        <f>IF($B162="","",  VLOOKUP($B162, Propostas!$B:$BE, 40, FALSE) )</f>
        <v/>
      </c>
      <c r="L162" s="10" t="str">
        <f>IF($B162="","",IF(VLOOKUP($B162,Propostas!$B:$BE,21,FALSE)=1,"B",IF(VLOOKUP($B162,Propostas!$B:$BE,21,FALSE)=2,"E","N")))</f>
        <v/>
      </c>
      <c r="M162" s="31" t="str">
        <f>IF($B162 = "", "",  VLOOKUP($B162, Propostas!$B:$BE, 46, FALSE) )</f>
        <v/>
      </c>
      <c r="N162" s="31" t="str">
        <f>IF($B162 = "", "",  VLOOKUP($B162, Propostas!$B:$BE, 47, FALSE) )</f>
        <v/>
      </c>
      <c r="O162" s="13" t="str">
        <f>IF($B162="","",IF($C162="SIM", "INFRAESTRUTURA", VLOOKUP($B162, Propostas!$B:$BE,42,FALSE)))</f>
        <v/>
      </c>
      <c r="P162" s="31" t="str">
        <f>IF($B162 = "", "",  VLOOKUP($B162, Propostas!$B:$BE, 49, FALSE) )</f>
        <v/>
      </c>
      <c r="Q162" s="13" t="str">
        <f>IF($B162="","",  VLOOKUP($B162, Propostas!$B:$BE, 39, FALSE) )</f>
        <v/>
      </c>
      <c r="R162" s="62" t="str">
        <f>IF($B162="","",  VLOOKUP($B162, Propostas!$B:$BE, 43, FALSE) )</f>
        <v/>
      </c>
      <c r="S162" s="62" t="str">
        <f>IF($B162="","",  VLOOKUP($B162, Propostas!$B:$BE, 44, FALSE) )</f>
        <v/>
      </c>
      <c r="T162" s="62" t="str">
        <f>IF($B162="","",  VLOOKUP($B162, Propostas!$B:$BE, 45, FALSE) )</f>
        <v/>
      </c>
      <c r="U162" s="31"/>
      <c r="V162" s="13" t="str">
        <f>IF($B162="","",  VLOOKUP($B162, Propostas!$B:$BE, 50, FALSE) )</f>
        <v/>
      </c>
      <c r="W162" s="13" t="str">
        <f>IF($B162="","",  VLOOKUP($B162, Propostas!$B:$BE, 51, FALSE) )</f>
        <v/>
      </c>
      <c r="X162" s="13" t="str">
        <f>IF($B162="","",  VLOOKUP($B162, Propostas!$B:$BE, 52, FALSE) )</f>
        <v/>
      </c>
      <c r="Y162" s="13" t="str">
        <f>IF($B162="","",  VLOOKUP($B162, Propostas!$B:$BE, 36, FALSE) )</f>
        <v/>
      </c>
      <c r="Z162" s="13" t="str">
        <f>IF($B162="","",  VLOOKUP($F162, VW_PROJETO!B:C, 2, FALSE) )</f>
        <v/>
      </c>
    </row>
    <row r="163" spans="2:26" x14ac:dyDescent="0.2">
      <c r="B163" s="2"/>
      <c r="C163" s="4" t="str">
        <f>IF($B163="","",  VLOOKUP($B163, Propostas!$B:$BE, 33, FALSE) )</f>
        <v/>
      </c>
      <c r="D163" s="4" t="str">
        <f>IF($B163="","",  VLOOKUP($B163, Propostas!$B:$BE, 34, FALSE) )</f>
        <v/>
      </c>
      <c r="E163" s="4" t="str">
        <f>IF($B163="","",  VLOOKUP($B163, Propostas!$B:$BE, 35, FALSE) )</f>
        <v/>
      </c>
      <c r="F163" s="4" t="str">
        <f>IF($B163="","",  VLOOKUP($B163, Propostas!$B:$BE, 2, FALSE) )</f>
        <v/>
      </c>
      <c r="G163" s="4" t="str">
        <f>IF($B163="","",  VLOOKUP($B163, Propostas!$B:$BE, 3, FALSE) )</f>
        <v/>
      </c>
      <c r="H163" s="4" t="str">
        <f>IF($B163="","",  VLOOKUP($B163, Propostas!$B:$BE, 4, FALSE) )</f>
        <v/>
      </c>
      <c r="I163" s="4" t="str">
        <f>IF($B163="","",  VLOOKUP($B163, Propostas!$B:$BE, 38, FALSE) )</f>
        <v/>
      </c>
      <c r="J163" s="13" t="str">
        <f>IF($B163="","",IF($C163="SIM", "&lt; INFRRAESTRUTURA &gt;", VLOOKUP($B163,Propostas!$B:$BE,41,FALSE)))</f>
        <v/>
      </c>
      <c r="K163" s="10" t="str">
        <f>IF($B163="","",  VLOOKUP($B163, Propostas!$B:$BE, 40, FALSE) )</f>
        <v/>
      </c>
      <c r="L163" s="10" t="str">
        <f>IF($B163="","",IF(VLOOKUP($B163,Propostas!$B:$BE,21,FALSE)=1,"B",IF(VLOOKUP($B163,Propostas!$B:$BE,21,FALSE)=2,"E","N")))</f>
        <v/>
      </c>
      <c r="M163" s="31" t="str">
        <f>IF($B163 = "", "",  VLOOKUP($B163, Propostas!$B:$BE, 46, FALSE) )</f>
        <v/>
      </c>
      <c r="N163" s="31" t="str">
        <f>IF($B163 = "", "",  VLOOKUP($B163, Propostas!$B:$BE, 47, FALSE) )</f>
        <v/>
      </c>
      <c r="O163" s="13" t="str">
        <f>IF($B163="","",IF($C163="SIM", "INFRAESTRUTURA", VLOOKUP($B163, Propostas!$B:$BE,42,FALSE)))</f>
        <v/>
      </c>
      <c r="P163" s="31" t="str">
        <f>IF($B163 = "", "",  VLOOKUP($B163, Propostas!$B:$BE, 49, FALSE) )</f>
        <v/>
      </c>
      <c r="Q163" s="13" t="str">
        <f>IF($B163="","",  VLOOKUP($B163, Propostas!$B:$BE, 39, FALSE) )</f>
        <v/>
      </c>
      <c r="R163" s="62" t="str">
        <f>IF($B163="","",  VLOOKUP($B163, Propostas!$B:$BE, 43, FALSE) )</f>
        <v/>
      </c>
      <c r="S163" s="62" t="str">
        <f>IF($B163="","",  VLOOKUP($B163, Propostas!$B:$BE, 44, FALSE) )</f>
        <v/>
      </c>
      <c r="T163" s="62" t="str">
        <f>IF($B163="","",  VLOOKUP($B163, Propostas!$B:$BE, 45, FALSE) )</f>
        <v/>
      </c>
      <c r="U163" s="31"/>
      <c r="V163" s="13" t="str">
        <f>IF($B163="","",  VLOOKUP($B163, Propostas!$B:$BE, 50, FALSE) )</f>
        <v/>
      </c>
      <c r="W163" s="13" t="str">
        <f>IF($B163="","",  VLOOKUP($B163, Propostas!$B:$BE, 51, FALSE) )</f>
        <v/>
      </c>
      <c r="X163" s="13" t="str">
        <f>IF($B163="","",  VLOOKUP($B163, Propostas!$B:$BE, 52, FALSE) )</f>
        <v/>
      </c>
      <c r="Y163" s="13" t="str">
        <f>IF($B163="","",  VLOOKUP($B163, Propostas!$B:$BE, 36, FALSE) )</f>
        <v/>
      </c>
      <c r="Z163" s="13" t="str">
        <f>IF($B163="","",  VLOOKUP($F163, VW_PROJETO!B:C, 2, FALSE) )</f>
        <v/>
      </c>
    </row>
    <row r="164" spans="2:26" x14ac:dyDescent="0.2">
      <c r="B164" s="2"/>
      <c r="C164" s="4" t="str">
        <f>IF($B164="","",  VLOOKUP($B164, Propostas!$B:$BE, 33, FALSE) )</f>
        <v/>
      </c>
      <c r="D164" s="4" t="str">
        <f>IF($B164="","",  VLOOKUP($B164, Propostas!$B:$BE, 34, FALSE) )</f>
        <v/>
      </c>
      <c r="E164" s="4" t="str">
        <f>IF($B164="","",  VLOOKUP($B164, Propostas!$B:$BE, 35, FALSE) )</f>
        <v/>
      </c>
      <c r="F164" s="4" t="str">
        <f>IF($B164="","",  VLOOKUP($B164, Propostas!$B:$BE, 2, FALSE) )</f>
        <v/>
      </c>
      <c r="G164" s="4" t="str">
        <f>IF($B164="","",  VLOOKUP($B164, Propostas!$B:$BE, 3, FALSE) )</f>
        <v/>
      </c>
      <c r="H164" s="4" t="str">
        <f>IF($B164="","",  VLOOKUP($B164, Propostas!$B:$BE, 4, FALSE) )</f>
        <v/>
      </c>
      <c r="I164" s="4" t="str">
        <f>IF($B164="","",  VLOOKUP($B164, Propostas!$B:$BE, 38, FALSE) )</f>
        <v/>
      </c>
      <c r="J164" s="13" t="str">
        <f>IF($B164="","",IF($C164="SIM", "&lt; INFRRAESTRUTURA &gt;", VLOOKUP($B164,Propostas!$B:$BE,41,FALSE)))</f>
        <v/>
      </c>
      <c r="K164" s="10" t="str">
        <f>IF($B164="","",  VLOOKUP($B164, Propostas!$B:$BE, 40, FALSE) )</f>
        <v/>
      </c>
      <c r="L164" s="10" t="str">
        <f>IF($B164="","",IF(VLOOKUP($B164,Propostas!$B:$BE,21,FALSE)=1,"B",IF(VLOOKUP($B164,Propostas!$B:$BE,21,FALSE)=2,"E","N")))</f>
        <v/>
      </c>
      <c r="M164" s="31" t="str">
        <f>IF($B164 = "", "",  VLOOKUP($B164, Propostas!$B:$BE, 46, FALSE) )</f>
        <v/>
      </c>
      <c r="N164" s="31" t="str">
        <f>IF($B164 = "", "",  VLOOKUP($B164, Propostas!$B:$BE, 47, FALSE) )</f>
        <v/>
      </c>
      <c r="O164" s="13" t="str">
        <f>IF($B164="","",IF($C164="SIM", "INFRAESTRUTURA", VLOOKUP($B164, Propostas!$B:$BE,42,FALSE)))</f>
        <v/>
      </c>
      <c r="P164" s="31" t="str">
        <f>IF($B164 = "", "",  VLOOKUP($B164, Propostas!$B:$BE, 49, FALSE) )</f>
        <v/>
      </c>
      <c r="Q164" s="13" t="str">
        <f>IF($B164="","",  VLOOKUP($B164, Propostas!$B:$BE, 39, FALSE) )</f>
        <v/>
      </c>
      <c r="R164" s="62" t="str">
        <f>IF($B164="","",  VLOOKUP($B164, Propostas!$B:$BE, 43, FALSE) )</f>
        <v/>
      </c>
      <c r="S164" s="62" t="str">
        <f>IF($B164="","",  VLOOKUP($B164, Propostas!$B:$BE, 44, FALSE) )</f>
        <v/>
      </c>
      <c r="T164" s="62" t="str">
        <f>IF($B164="","",  VLOOKUP($B164, Propostas!$B:$BE, 45, FALSE) )</f>
        <v/>
      </c>
      <c r="U164" s="31"/>
      <c r="V164" s="13" t="str">
        <f>IF($B164="","",  VLOOKUP($B164, Propostas!$B:$BE, 50, FALSE) )</f>
        <v/>
      </c>
      <c r="W164" s="13" t="str">
        <f>IF($B164="","",  VLOOKUP($B164, Propostas!$B:$BE, 51, FALSE) )</f>
        <v/>
      </c>
      <c r="X164" s="13" t="str">
        <f>IF($B164="","",  VLOOKUP($B164, Propostas!$B:$BE, 52, FALSE) )</f>
        <v/>
      </c>
      <c r="Y164" s="13" t="str">
        <f>IF($B164="","",  VLOOKUP($B164, Propostas!$B:$BE, 36, FALSE) )</f>
        <v/>
      </c>
      <c r="Z164" s="13" t="str">
        <f>IF($B164="","",  VLOOKUP($F164, VW_PROJETO!B:C, 2, FALSE) )</f>
        <v/>
      </c>
    </row>
    <row r="165" spans="2:26" x14ac:dyDescent="0.2">
      <c r="B165" s="2"/>
      <c r="C165" s="4" t="str">
        <f>IF($B165="","",  VLOOKUP($B165, Propostas!$B:$BE, 33, FALSE) )</f>
        <v/>
      </c>
      <c r="D165" s="4" t="str">
        <f>IF($B165="","",  VLOOKUP($B165, Propostas!$B:$BE, 34, FALSE) )</f>
        <v/>
      </c>
      <c r="E165" s="4" t="str">
        <f>IF($B165="","",  VLOOKUP($B165, Propostas!$B:$BE, 35, FALSE) )</f>
        <v/>
      </c>
      <c r="F165" s="4" t="str">
        <f>IF($B165="","",  VLOOKUP($B165, Propostas!$B:$BE, 2, FALSE) )</f>
        <v/>
      </c>
      <c r="G165" s="4" t="str">
        <f>IF($B165="","",  VLOOKUP($B165, Propostas!$B:$BE, 3, FALSE) )</f>
        <v/>
      </c>
      <c r="H165" s="4" t="str">
        <f>IF($B165="","",  VLOOKUP($B165, Propostas!$B:$BE, 4, FALSE) )</f>
        <v/>
      </c>
      <c r="I165" s="4" t="str">
        <f>IF($B165="","",  VLOOKUP($B165, Propostas!$B:$BE, 38, FALSE) )</f>
        <v/>
      </c>
      <c r="J165" s="13" t="str">
        <f>IF($B165="","",IF($C165="SIM", "&lt; INFRRAESTRUTURA &gt;", VLOOKUP($B165,Propostas!$B:$BE,41,FALSE)))</f>
        <v/>
      </c>
      <c r="K165" s="10" t="str">
        <f>IF($B165="","",  VLOOKUP($B165, Propostas!$B:$BE, 40, FALSE) )</f>
        <v/>
      </c>
      <c r="L165" s="10" t="str">
        <f>IF($B165="","",IF(VLOOKUP($B165,Propostas!$B:$BE,21,FALSE)=1,"B",IF(VLOOKUP($B165,Propostas!$B:$BE,21,FALSE)=2,"E","N")))</f>
        <v/>
      </c>
      <c r="M165" s="31" t="str">
        <f>IF($B165 = "", "",  VLOOKUP($B165, Propostas!$B:$BE, 46, FALSE) )</f>
        <v/>
      </c>
      <c r="N165" s="31" t="str">
        <f>IF($B165 = "", "",  VLOOKUP($B165, Propostas!$B:$BE, 47, FALSE) )</f>
        <v/>
      </c>
      <c r="O165" s="13" t="str">
        <f>IF($B165="","",IF($C165="SIM", "INFRAESTRUTURA", VLOOKUP($B165, Propostas!$B:$BE,42,FALSE)))</f>
        <v/>
      </c>
      <c r="P165" s="31" t="str">
        <f>IF($B165 = "", "",  VLOOKUP($B165, Propostas!$B:$BE, 49, FALSE) )</f>
        <v/>
      </c>
      <c r="Q165" s="13" t="str">
        <f>IF($B165="","",  VLOOKUP($B165, Propostas!$B:$BE, 39, FALSE) )</f>
        <v/>
      </c>
      <c r="R165" s="62" t="str">
        <f>IF($B165="","",  VLOOKUP($B165, Propostas!$B:$BE, 43, FALSE) )</f>
        <v/>
      </c>
      <c r="S165" s="62" t="str">
        <f>IF($B165="","",  VLOOKUP($B165, Propostas!$B:$BE, 44, FALSE) )</f>
        <v/>
      </c>
      <c r="T165" s="62" t="str">
        <f>IF($B165="","",  VLOOKUP($B165, Propostas!$B:$BE, 45, FALSE) )</f>
        <v/>
      </c>
      <c r="U165" s="31"/>
      <c r="V165" s="13" t="str">
        <f>IF($B165="","",  VLOOKUP($B165, Propostas!$B:$BE, 50, FALSE) )</f>
        <v/>
      </c>
      <c r="W165" s="13" t="str">
        <f>IF($B165="","",  VLOOKUP($B165, Propostas!$B:$BE, 51, FALSE) )</f>
        <v/>
      </c>
      <c r="X165" s="13" t="str">
        <f>IF($B165="","",  VLOOKUP($B165, Propostas!$B:$BE, 52, FALSE) )</f>
        <v/>
      </c>
      <c r="Y165" s="13" t="str">
        <f>IF($B165="","",  VLOOKUP($B165, Propostas!$B:$BE, 36, FALSE) )</f>
        <v/>
      </c>
      <c r="Z165" s="13" t="str">
        <f>IF($B165="","",  VLOOKUP($F165, VW_PROJETO!B:C, 2, FALSE) )</f>
        <v/>
      </c>
    </row>
    <row r="166" spans="2:26" x14ac:dyDescent="0.2">
      <c r="B166" s="2"/>
      <c r="C166" s="4" t="str">
        <f>IF($B166="","",  VLOOKUP($B166, Propostas!$B:$BE, 33, FALSE) )</f>
        <v/>
      </c>
      <c r="D166" s="4" t="str">
        <f>IF($B166="","",  VLOOKUP($B166, Propostas!$B:$BE, 34, FALSE) )</f>
        <v/>
      </c>
      <c r="E166" s="4" t="str">
        <f>IF($B166="","",  VLOOKUP($B166, Propostas!$B:$BE, 35, FALSE) )</f>
        <v/>
      </c>
      <c r="F166" s="4" t="str">
        <f>IF($B166="","",  VLOOKUP($B166, Propostas!$B:$BE, 2, FALSE) )</f>
        <v/>
      </c>
      <c r="G166" s="4" t="str">
        <f>IF($B166="","",  VLOOKUP($B166, Propostas!$B:$BE, 3, FALSE) )</f>
        <v/>
      </c>
      <c r="H166" s="4" t="str">
        <f>IF($B166="","",  VLOOKUP($B166, Propostas!$B:$BE, 4, FALSE) )</f>
        <v/>
      </c>
      <c r="I166" s="4" t="str">
        <f>IF($B166="","",  VLOOKUP($B166, Propostas!$B:$BE, 38, FALSE) )</f>
        <v/>
      </c>
      <c r="J166" s="13" t="str">
        <f>IF($B166="","",IF($C166="SIM", "&lt; INFRRAESTRUTURA &gt;", VLOOKUP($B166,Propostas!$B:$BE,41,FALSE)))</f>
        <v/>
      </c>
      <c r="K166" s="10" t="str">
        <f>IF($B166="","",  VLOOKUP($B166, Propostas!$B:$BE, 40, FALSE) )</f>
        <v/>
      </c>
      <c r="L166" s="10" t="str">
        <f>IF($B166="","",IF(VLOOKUP($B166,Propostas!$B:$BE,21,FALSE)=1,"B",IF(VLOOKUP($B166,Propostas!$B:$BE,21,FALSE)=2,"E","N")))</f>
        <v/>
      </c>
      <c r="M166" s="31" t="str">
        <f>IF($B166 = "", "",  VLOOKUP($B166, Propostas!$B:$BE, 46, FALSE) )</f>
        <v/>
      </c>
      <c r="N166" s="31" t="str">
        <f>IF($B166 = "", "",  VLOOKUP($B166, Propostas!$B:$BE, 47, FALSE) )</f>
        <v/>
      </c>
      <c r="O166" s="13" t="str">
        <f>IF($B166="","",IF($C166="SIM", "INFRAESTRUTURA", VLOOKUP($B166, Propostas!$B:$BE,42,FALSE)))</f>
        <v/>
      </c>
      <c r="P166" s="31" t="str">
        <f>IF($B166 = "", "",  VLOOKUP($B166, Propostas!$B:$BE, 49, FALSE) )</f>
        <v/>
      </c>
      <c r="Q166" s="13" t="str">
        <f>IF($B166="","",  VLOOKUP($B166, Propostas!$B:$BE, 39, FALSE) )</f>
        <v/>
      </c>
      <c r="R166" s="62" t="str">
        <f>IF($B166="","",  VLOOKUP($B166, Propostas!$B:$BE, 43, FALSE) )</f>
        <v/>
      </c>
      <c r="S166" s="62" t="str">
        <f>IF($B166="","",  VLOOKUP($B166, Propostas!$B:$BE, 44, FALSE) )</f>
        <v/>
      </c>
      <c r="T166" s="62" t="str">
        <f>IF($B166="","",  VLOOKUP($B166, Propostas!$B:$BE, 45, FALSE) )</f>
        <v/>
      </c>
      <c r="U166" s="31"/>
      <c r="V166" s="13" t="str">
        <f>IF($B166="","",  VLOOKUP($B166, Propostas!$B:$BE, 50, FALSE) )</f>
        <v/>
      </c>
      <c r="W166" s="13" t="str">
        <f>IF($B166="","",  VLOOKUP($B166, Propostas!$B:$BE, 51, FALSE) )</f>
        <v/>
      </c>
      <c r="X166" s="13" t="str">
        <f>IF($B166="","",  VLOOKUP($B166, Propostas!$B:$BE, 52, FALSE) )</f>
        <v/>
      </c>
      <c r="Y166" s="13" t="str">
        <f>IF($B166="","",  VLOOKUP($B166, Propostas!$B:$BE, 36, FALSE) )</f>
        <v/>
      </c>
      <c r="Z166" s="13" t="str">
        <f>IF($B166="","",  VLOOKUP($F166, VW_PROJETO!B:C, 2, FALSE) )</f>
        <v/>
      </c>
    </row>
    <row r="167" spans="2:26" x14ac:dyDescent="0.2">
      <c r="B167" s="2"/>
      <c r="C167" s="4" t="str">
        <f>IF($B167="","",  VLOOKUP($B167, Propostas!$B:$BE, 33, FALSE) )</f>
        <v/>
      </c>
      <c r="D167" s="4" t="str">
        <f>IF($B167="","",  VLOOKUP($B167, Propostas!$B:$BE, 34, FALSE) )</f>
        <v/>
      </c>
      <c r="E167" s="4" t="str">
        <f>IF($B167="","",  VLOOKUP($B167, Propostas!$B:$BE, 35, FALSE) )</f>
        <v/>
      </c>
      <c r="F167" s="4" t="str">
        <f>IF($B167="","",  VLOOKUP($B167, Propostas!$B:$BE, 2, FALSE) )</f>
        <v/>
      </c>
      <c r="G167" s="4" t="str">
        <f>IF($B167="","",  VLOOKUP($B167, Propostas!$B:$BE, 3, FALSE) )</f>
        <v/>
      </c>
      <c r="H167" s="4" t="str">
        <f>IF($B167="","",  VLOOKUP($B167, Propostas!$B:$BE, 4, FALSE) )</f>
        <v/>
      </c>
      <c r="I167" s="4" t="str">
        <f>IF($B167="","",  VLOOKUP($B167, Propostas!$B:$BE, 38, FALSE) )</f>
        <v/>
      </c>
      <c r="J167" s="13" t="str">
        <f>IF($B167="","",IF($C167="SIM", "&lt; INFRRAESTRUTURA &gt;", VLOOKUP($B167,Propostas!$B:$BE,41,FALSE)))</f>
        <v/>
      </c>
      <c r="K167" s="10" t="str">
        <f>IF($B167="","",  VLOOKUP($B167, Propostas!$B:$BE, 40, FALSE) )</f>
        <v/>
      </c>
      <c r="L167" s="10" t="str">
        <f>IF($B167="","",IF(VLOOKUP($B167,Propostas!$B:$BE,21,FALSE)=1,"B",IF(VLOOKUP($B167,Propostas!$B:$BE,21,FALSE)=2,"E","N")))</f>
        <v/>
      </c>
      <c r="M167" s="31" t="str">
        <f>IF($B167 = "", "",  VLOOKUP($B167, Propostas!$B:$BE, 46, FALSE) )</f>
        <v/>
      </c>
      <c r="N167" s="31" t="str">
        <f>IF($B167 = "", "",  VLOOKUP($B167, Propostas!$B:$BE, 47, FALSE) )</f>
        <v/>
      </c>
      <c r="O167" s="13" t="str">
        <f>IF($B167="","",IF($C167="SIM", "INFRAESTRUTURA", VLOOKUP($B167, Propostas!$B:$BE,42,FALSE)))</f>
        <v/>
      </c>
      <c r="P167" s="31" t="str">
        <f>IF($B167 = "", "",  VLOOKUP($B167, Propostas!$B:$BE, 49, FALSE) )</f>
        <v/>
      </c>
      <c r="Q167" s="13" t="str">
        <f>IF($B167="","",  VLOOKUP($B167, Propostas!$B:$BE, 39, FALSE) )</f>
        <v/>
      </c>
      <c r="R167" s="62" t="str">
        <f>IF($B167="","",  VLOOKUP($B167, Propostas!$B:$BE, 43, FALSE) )</f>
        <v/>
      </c>
      <c r="S167" s="62" t="str">
        <f>IF($B167="","",  VLOOKUP($B167, Propostas!$B:$BE, 44, FALSE) )</f>
        <v/>
      </c>
      <c r="T167" s="62" t="str">
        <f>IF($B167="","",  VLOOKUP($B167, Propostas!$B:$BE, 45, FALSE) )</f>
        <v/>
      </c>
      <c r="U167" s="31"/>
      <c r="V167" s="13" t="str">
        <f>IF($B167="","",  VLOOKUP($B167, Propostas!$B:$BE, 50, FALSE) )</f>
        <v/>
      </c>
      <c r="W167" s="13" t="str">
        <f>IF($B167="","",  VLOOKUP($B167, Propostas!$B:$BE, 51, FALSE) )</f>
        <v/>
      </c>
      <c r="X167" s="13" t="str">
        <f>IF($B167="","",  VLOOKUP($B167, Propostas!$B:$BE, 52, FALSE) )</f>
        <v/>
      </c>
      <c r="Y167" s="13" t="str">
        <f>IF($B167="","",  VLOOKUP($B167, Propostas!$B:$BE, 36, FALSE) )</f>
        <v/>
      </c>
      <c r="Z167" s="13" t="str">
        <f>IF($B167="","",  VLOOKUP($F167, VW_PROJETO!B:C, 2, FALSE) )</f>
        <v/>
      </c>
    </row>
    <row r="168" spans="2:26" x14ac:dyDescent="0.2">
      <c r="B168" s="2"/>
      <c r="C168" s="4" t="str">
        <f>IF($B168="","",  VLOOKUP($B168, Propostas!$B:$BE, 33, FALSE) )</f>
        <v/>
      </c>
      <c r="D168" s="4" t="str">
        <f>IF($B168="","",  VLOOKUP($B168, Propostas!$B:$BE, 34, FALSE) )</f>
        <v/>
      </c>
      <c r="E168" s="4" t="str">
        <f>IF($B168="","",  VLOOKUP($B168, Propostas!$B:$BE, 35, FALSE) )</f>
        <v/>
      </c>
      <c r="F168" s="4" t="str">
        <f>IF($B168="","",  VLOOKUP($B168, Propostas!$B:$BE, 2, FALSE) )</f>
        <v/>
      </c>
      <c r="G168" s="4" t="str">
        <f>IF($B168="","",  VLOOKUP($B168, Propostas!$B:$BE, 3, FALSE) )</f>
        <v/>
      </c>
      <c r="H168" s="4" t="str">
        <f>IF($B168="","",  VLOOKUP($B168, Propostas!$B:$BE, 4, FALSE) )</f>
        <v/>
      </c>
      <c r="I168" s="4" t="str">
        <f>IF($B168="","",  VLOOKUP($B168, Propostas!$B:$BE, 38, FALSE) )</f>
        <v/>
      </c>
      <c r="J168" s="13" t="str">
        <f>IF($B168="","",IF($C168="SIM", "&lt; INFRRAESTRUTURA &gt;", VLOOKUP($B168,Propostas!$B:$BE,41,FALSE)))</f>
        <v/>
      </c>
      <c r="K168" s="10" t="str">
        <f>IF($B168="","",  VLOOKUP($B168, Propostas!$B:$BE, 40, FALSE) )</f>
        <v/>
      </c>
      <c r="L168" s="10" t="str">
        <f>IF($B168="","",IF(VLOOKUP($B168,Propostas!$B:$BE,21,FALSE)=1,"B",IF(VLOOKUP($B168,Propostas!$B:$BE,21,FALSE)=2,"E","N")))</f>
        <v/>
      </c>
      <c r="M168" s="31" t="str">
        <f>IF($B168 = "", "",  VLOOKUP($B168, Propostas!$B:$BE, 46, FALSE) )</f>
        <v/>
      </c>
      <c r="N168" s="31" t="str">
        <f>IF($B168 = "", "",  VLOOKUP($B168, Propostas!$B:$BE, 47, FALSE) )</f>
        <v/>
      </c>
      <c r="O168" s="13" t="str">
        <f>IF($B168="","",IF($C168="SIM", "INFRAESTRUTURA", VLOOKUP($B168, Propostas!$B:$BE,42,FALSE)))</f>
        <v/>
      </c>
      <c r="P168" s="31" t="str">
        <f>IF($B168 = "", "",  VLOOKUP($B168, Propostas!$B:$BE, 49, FALSE) )</f>
        <v/>
      </c>
      <c r="Q168" s="13" t="str">
        <f>IF($B168="","",  VLOOKUP($B168, Propostas!$B:$BE, 39, FALSE) )</f>
        <v/>
      </c>
      <c r="R168" s="62" t="str">
        <f>IF($B168="","",  VLOOKUP($B168, Propostas!$B:$BE, 43, FALSE) )</f>
        <v/>
      </c>
      <c r="S168" s="62" t="str">
        <f>IF($B168="","",  VLOOKUP($B168, Propostas!$B:$BE, 44, FALSE) )</f>
        <v/>
      </c>
      <c r="T168" s="62" t="str">
        <f>IF($B168="","",  VLOOKUP($B168, Propostas!$B:$BE, 45, FALSE) )</f>
        <v/>
      </c>
      <c r="U168" s="31"/>
      <c r="V168" s="13" t="str">
        <f>IF($B168="","",  VLOOKUP($B168, Propostas!$B:$BE, 50, FALSE) )</f>
        <v/>
      </c>
      <c r="W168" s="13" t="str">
        <f>IF($B168="","",  VLOOKUP($B168, Propostas!$B:$BE, 51, FALSE) )</f>
        <v/>
      </c>
      <c r="X168" s="13" t="str">
        <f>IF($B168="","",  VLOOKUP($B168, Propostas!$B:$BE, 52, FALSE) )</f>
        <v/>
      </c>
      <c r="Y168" s="13" t="str">
        <f>IF($B168="","",  VLOOKUP($B168, Propostas!$B:$BE, 36, FALSE) )</f>
        <v/>
      </c>
      <c r="Z168" s="13" t="str">
        <f>IF($B168="","",  VLOOKUP($F168, VW_PROJETO!B:C, 2, FALSE) )</f>
        <v/>
      </c>
    </row>
    <row r="169" spans="2:26" x14ac:dyDescent="0.2">
      <c r="B169" s="2"/>
      <c r="C169" s="4" t="str">
        <f>IF($B169="","",  VLOOKUP($B169, Propostas!$B:$BE, 33, FALSE) )</f>
        <v/>
      </c>
      <c r="D169" s="4" t="str">
        <f>IF($B169="","",  VLOOKUP($B169, Propostas!$B:$BE, 34, FALSE) )</f>
        <v/>
      </c>
      <c r="E169" s="4" t="str">
        <f>IF($B169="","",  VLOOKUP($B169, Propostas!$B:$BE, 35, FALSE) )</f>
        <v/>
      </c>
      <c r="F169" s="4" t="str">
        <f>IF($B169="","",  VLOOKUP($B169, Propostas!$B:$BE, 2, FALSE) )</f>
        <v/>
      </c>
      <c r="G169" s="4" t="str">
        <f>IF($B169="","",  VLOOKUP($B169, Propostas!$B:$BE, 3, FALSE) )</f>
        <v/>
      </c>
      <c r="H169" s="4" t="str">
        <f>IF($B169="","",  VLOOKUP($B169, Propostas!$B:$BE, 4, FALSE) )</f>
        <v/>
      </c>
      <c r="I169" s="4" t="str">
        <f>IF($B169="","",  VLOOKUP($B169, Propostas!$B:$BE, 38, FALSE) )</f>
        <v/>
      </c>
      <c r="J169" s="13" t="str">
        <f>IF($B169="","",IF($C169="SIM", "&lt; INFRRAESTRUTURA &gt;", VLOOKUP($B169,Propostas!$B:$BE,41,FALSE)))</f>
        <v/>
      </c>
      <c r="K169" s="10" t="str">
        <f>IF($B169="","",  VLOOKUP($B169, Propostas!$B:$BE, 40, FALSE) )</f>
        <v/>
      </c>
      <c r="L169" s="10" t="str">
        <f>IF($B169="","",IF(VLOOKUP($B169,Propostas!$B:$BE,21,FALSE)=1,"B",IF(VLOOKUP($B169,Propostas!$B:$BE,21,FALSE)=2,"E","N")))</f>
        <v/>
      </c>
      <c r="M169" s="31" t="str">
        <f>IF($B169 = "", "",  VLOOKUP($B169, Propostas!$B:$BE, 46, FALSE) )</f>
        <v/>
      </c>
      <c r="N169" s="31" t="str">
        <f>IF($B169 = "", "",  VLOOKUP($B169, Propostas!$B:$BE, 47, FALSE) )</f>
        <v/>
      </c>
      <c r="O169" s="13" t="str">
        <f>IF($B169="","",IF($C169="SIM", "INFRAESTRUTURA", VLOOKUP($B169, Propostas!$B:$BE,42,FALSE)))</f>
        <v/>
      </c>
      <c r="P169" s="31" t="str">
        <f>IF($B169 = "", "",  VLOOKUP($B169, Propostas!$B:$BE, 49, FALSE) )</f>
        <v/>
      </c>
      <c r="Q169" s="13" t="str">
        <f>IF($B169="","",  VLOOKUP($B169, Propostas!$B:$BE, 39, FALSE) )</f>
        <v/>
      </c>
      <c r="R169" s="62" t="str">
        <f>IF($B169="","",  VLOOKUP($B169, Propostas!$B:$BE, 43, FALSE) )</f>
        <v/>
      </c>
      <c r="S169" s="62" t="str">
        <f>IF($B169="","",  VLOOKUP($B169, Propostas!$B:$BE, 44, FALSE) )</f>
        <v/>
      </c>
      <c r="T169" s="62" t="str">
        <f>IF($B169="","",  VLOOKUP($B169, Propostas!$B:$BE, 45, FALSE) )</f>
        <v/>
      </c>
      <c r="U169" s="31"/>
      <c r="V169" s="13" t="str">
        <f>IF($B169="","",  VLOOKUP($B169, Propostas!$B:$BE, 50, FALSE) )</f>
        <v/>
      </c>
      <c r="W169" s="13" t="str">
        <f>IF($B169="","",  VLOOKUP($B169, Propostas!$B:$BE, 51, FALSE) )</f>
        <v/>
      </c>
      <c r="X169" s="13" t="str">
        <f>IF($B169="","",  VLOOKUP($B169, Propostas!$B:$BE, 52, FALSE) )</f>
        <v/>
      </c>
      <c r="Y169" s="13" t="str">
        <f>IF($B169="","",  VLOOKUP($B169, Propostas!$B:$BE, 36, FALSE) )</f>
        <v/>
      </c>
      <c r="Z169" s="13" t="str">
        <f>IF($B169="","",  VLOOKUP($F169, VW_PROJETO!B:C, 2, FALSE) )</f>
        <v/>
      </c>
    </row>
    <row r="170" spans="2:26" x14ac:dyDescent="0.2">
      <c r="B170" s="2"/>
      <c r="C170" s="4" t="str">
        <f>IF($B170="","",  VLOOKUP($B170, Propostas!$B:$BE, 33, FALSE) )</f>
        <v/>
      </c>
      <c r="D170" s="4" t="str">
        <f>IF($B170="","",  VLOOKUP($B170, Propostas!$B:$BE, 34, FALSE) )</f>
        <v/>
      </c>
      <c r="E170" s="4" t="str">
        <f>IF($B170="","",  VLOOKUP($B170, Propostas!$B:$BE, 35, FALSE) )</f>
        <v/>
      </c>
      <c r="F170" s="4" t="str">
        <f>IF($B170="","",  VLOOKUP($B170, Propostas!$B:$BE, 2, FALSE) )</f>
        <v/>
      </c>
      <c r="G170" s="4" t="str">
        <f>IF($B170="","",  VLOOKUP($B170, Propostas!$B:$BE, 3, FALSE) )</f>
        <v/>
      </c>
      <c r="H170" s="4" t="str">
        <f>IF($B170="","",  VLOOKUP($B170, Propostas!$B:$BE, 4, FALSE) )</f>
        <v/>
      </c>
      <c r="I170" s="4" t="str">
        <f>IF($B170="","",  VLOOKUP($B170, Propostas!$B:$BE, 38, FALSE) )</f>
        <v/>
      </c>
      <c r="J170" s="13" t="str">
        <f>IF($B170="","",IF($C170="SIM", "&lt; INFRRAESTRUTURA &gt;", VLOOKUP($B170,Propostas!$B:$BE,41,FALSE)))</f>
        <v/>
      </c>
      <c r="K170" s="10" t="str">
        <f>IF($B170="","",  VLOOKUP($B170, Propostas!$B:$BE, 40, FALSE) )</f>
        <v/>
      </c>
      <c r="L170" s="10" t="str">
        <f>IF($B170="","",IF(VLOOKUP($B170,Propostas!$B:$BE,21,FALSE)=1,"B",IF(VLOOKUP($B170,Propostas!$B:$BE,21,FALSE)=2,"E","N")))</f>
        <v/>
      </c>
      <c r="M170" s="31" t="str">
        <f>IF($B170 = "", "",  VLOOKUP($B170, Propostas!$B:$BE, 46, FALSE) )</f>
        <v/>
      </c>
      <c r="N170" s="31" t="str">
        <f>IF($B170 = "", "",  VLOOKUP($B170, Propostas!$B:$BE, 47, FALSE) )</f>
        <v/>
      </c>
      <c r="O170" s="13" t="str">
        <f>IF($B170="","",IF($C170="SIM", "INFRAESTRUTURA", VLOOKUP($B170, Propostas!$B:$BE,42,FALSE)))</f>
        <v/>
      </c>
      <c r="P170" s="31" t="str">
        <f>IF($B170 = "", "",  VLOOKUP($B170, Propostas!$B:$BE, 49, FALSE) )</f>
        <v/>
      </c>
      <c r="Q170" s="13" t="str">
        <f>IF($B170="","",  VLOOKUP($B170, Propostas!$B:$BE, 39, FALSE) )</f>
        <v/>
      </c>
      <c r="R170" s="62" t="str">
        <f>IF($B170="","",  VLOOKUP($B170, Propostas!$B:$BE, 43, FALSE) )</f>
        <v/>
      </c>
      <c r="S170" s="62" t="str">
        <f>IF($B170="","",  VLOOKUP($B170, Propostas!$B:$BE, 44, FALSE) )</f>
        <v/>
      </c>
      <c r="T170" s="62" t="str">
        <f>IF($B170="","",  VLOOKUP($B170, Propostas!$B:$BE, 45, FALSE) )</f>
        <v/>
      </c>
      <c r="U170" s="31"/>
      <c r="V170" s="13" t="str">
        <f>IF($B170="","",  VLOOKUP($B170, Propostas!$B:$BE, 50, FALSE) )</f>
        <v/>
      </c>
      <c r="W170" s="13" t="str">
        <f>IF($B170="","",  VLOOKUP($B170, Propostas!$B:$BE, 51, FALSE) )</f>
        <v/>
      </c>
      <c r="X170" s="13" t="str">
        <f>IF($B170="","",  VLOOKUP($B170, Propostas!$B:$BE, 52, FALSE) )</f>
        <v/>
      </c>
      <c r="Y170" s="13" t="str">
        <f>IF($B170="","",  VLOOKUP($B170, Propostas!$B:$BE, 36, FALSE) )</f>
        <v/>
      </c>
      <c r="Z170" s="13" t="str">
        <f>IF($B170="","",  VLOOKUP($F170, VW_PROJETO!B:C, 2, FALSE) )</f>
        <v/>
      </c>
    </row>
    <row r="171" spans="2:26" x14ac:dyDescent="0.2">
      <c r="B171" s="2"/>
      <c r="C171" s="4" t="str">
        <f>IF($B171="","",  VLOOKUP($B171, Propostas!$B:$BE, 33, FALSE) )</f>
        <v/>
      </c>
      <c r="D171" s="4" t="str">
        <f>IF($B171="","",  VLOOKUP($B171, Propostas!$B:$BE, 34, FALSE) )</f>
        <v/>
      </c>
      <c r="E171" s="4" t="str">
        <f>IF($B171="","",  VLOOKUP($B171, Propostas!$B:$BE, 35, FALSE) )</f>
        <v/>
      </c>
      <c r="F171" s="4" t="str">
        <f>IF($B171="","",  VLOOKUP($B171, Propostas!$B:$BE, 2, FALSE) )</f>
        <v/>
      </c>
      <c r="G171" s="4" t="str">
        <f>IF($B171="","",  VLOOKUP($B171, Propostas!$B:$BE, 3, FALSE) )</f>
        <v/>
      </c>
      <c r="H171" s="4" t="str">
        <f>IF($B171="","",  VLOOKUP($B171, Propostas!$B:$BE, 4, FALSE) )</f>
        <v/>
      </c>
      <c r="I171" s="4" t="str">
        <f>IF($B171="","",  VLOOKUP($B171, Propostas!$B:$BE, 38, FALSE) )</f>
        <v/>
      </c>
      <c r="J171" s="13" t="str">
        <f>IF($B171="","",IF($C171="SIM", "&lt; INFRRAESTRUTURA &gt;", VLOOKUP($B171,Propostas!$B:$BE,41,FALSE)))</f>
        <v/>
      </c>
      <c r="K171" s="10" t="str">
        <f>IF($B171="","",  VLOOKUP($B171, Propostas!$B:$BE, 40, FALSE) )</f>
        <v/>
      </c>
      <c r="L171" s="10" t="str">
        <f>IF($B171="","",IF(VLOOKUP($B171,Propostas!$B:$BE,21,FALSE)=1,"B",IF(VLOOKUP($B171,Propostas!$B:$BE,21,FALSE)=2,"E","N")))</f>
        <v/>
      </c>
      <c r="M171" s="31" t="str">
        <f>IF($B171 = "", "",  VLOOKUP($B171, Propostas!$B:$BE, 46, FALSE) )</f>
        <v/>
      </c>
      <c r="N171" s="31" t="str">
        <f>IF($B171 = "", "",  VLOOKUP($B171, Propostas!$B:$BE, 47, FALSE) )</f>
        <v/>
      </c>
      <c r="O171" s="13" t="str">
        <f>IF($B171="","",IF($C171="SIM", "INFRAESTRUTURA", VLOOKUP($B171, Propostas!$B:$BE,42,FALSE)))</f>
        <v/>
      </c>
      <c r="P171" s="31" t="str">
        <f>IF($B171 = "", "",  VLOOKUP($B171, Propostas!$B:$BE, 49, FALSE) )</f>
        <v/>
      </c>
      <c r="Q171" s="13" t="str">
        <f>IF($B171="","",  VLOOKUP($B171, Propostas!$B:$BE, 39, FALSE) )</f>
        <v/>
      </c>
      <c r="R171" s="62" t="str">
        <f>IF($B171="","",  VLOOKUP($B171, Propostas!$B:$BE, 43, FALSE) )</f>
        <v/>
      </c>
      <c r="S171" s="62" t="str">
        <f>IF($B171="","",  VLOOKUP($B171, Propostas!$B:$BE, 44, FALSE) )</f>
        <v/>
      </c>
      <c r="T171" s="62" t="str">
        <f>IF($B171="","",  VLOOKUP($B171, Propostas!$B:$BE, 45, FALSE) )</f>
        <v/>
      </c>
      <c r="U171" s="31"/>
      <c r="V171" s="13" t="str">
        <f>IF($B171="","",  VLOOKUP($B171, Propostas!$B:$BE, 50, FALSE) )</f>
        <v/>
      </c>
      <c r="W171" s="13" t="str">
        <f>IF($B171="","",  VLOOKUP($B171, Propostas!$B:$BE, 51, FALSE) )</f>
        <v/>
      </c>
      <c r="X171" s="13" t="str">
        <f>IF($B171="","",  VLOOKUP($B171, Propostas!$B:$BE, 52, FALSE) )</f>
        <v/>
      </c>
      <c r="Y171" s="13" t="str">
        <f>IF($B171="","",  VLOOKUP($B171, Propostas!$B:$BE, 36, FALSE) )</f>
        <v/>
      </c>
      <c r="Z171" s="13" t="str">
        <f>IF($B171="","",  VLOOKUP($F171, VW_PROJETO!B:C, 2, FALSE) )</f>
        <v/>
      </c>
    </row>
    <row r="172" spans="2:26" x14ac:dyDescent="0.2">
      <c r="B172" s="2"/>
      <c r="C172" s="4" t="str">
        <f>IF($B172="","",  VLOOKUP($B172, Propostas!$B:$BE, 33, FALSE) )</f>
        <v/>
      </c>
      <c r="D172" s="4" t="str">
        <f>IF($B172="","",  VLOOKUP($B172, Propostas!$B:$BE, 34, FALSE) )</f>
        <v/>
      </c>
      <c r="E172" s="4" t="str">
        <f>IF($B172="","",  VLOOKUP($B172, Propostas!$B:$BE, 35, FALSE) )</f>
        <v/>
      </c>
      <c r="F172" s="4" t="str">
        <f>IF($B172="","",  VLOOKUP($B172, Propostas!$B:$BE, 2, FALSE) )</f>
        <v/>
      </c>
      <c r="G172" s="4" t="str">
        <f>IF($B172="","",  VLOOKUP($B172, Propostas!$B:$BE, 3, FALSE) )</f>
        <v/>
      </c>
      <c r="H172" s="4" t="str">
        <f>IF($B172="","",  VLOOKUP($B172, Propostas!$B:$BE, 4, FALSE) )</f>
        <v/>
      </c>
      <c r="I172" s="4" t="str">
        <f>IF($B172="","",  VLOOKUP($B172, Propostas!$B:$BE, 38, FALSE) )</f>
        <v/>
      </c>
      <c r="J172" s="13" t="str">
        <f>IF($B172="","",IF($C172="SIM", "&lt; INFRRAESTRUTURA &gt;", VLOOKUP($B172,Propostas!$B:$BE,41,FALSE)))</f>
        <v/>
      </c>
      <c r="K172" s="10" t="str">
        <f>IF($B172="","",  VLOOKUP($B172, Propostas!$B:$BE, 40, FALSE) )</f>
        <v/>
      </c>
      <c r="L172" s="10" t="str">
        <f>IF($B172="","",IF(VLOOKUP($B172,Propostas!$B:$BE,21,FALSE)=1,"B",IF(VLOOKUP($B172,Propostas!$B:$BE,21,FALSE)=2,"E","N")))</f>
        <v/>
      </c>
      <c r="M172" s="31" t="str">
        <f>IF($B172 = "", "",  VLOOKUP($B172, Propostas!$B:$BE, 46, FALSE) )</f>
        <v/>
      </c>
      <c r="N172" s="31" t="str">
        <f>IF($B172 = "", "",  VLOOKUP($B172, Propostas!$B:$BE, 47, FALSE) )</f>
        <v/>
      </c>
      <c r="O172" s="13" t="str">
        <f>IF($B172="","",IF($C172="SIM", "INFRAESTRUTURA", VLOOKUP($B172, Propostas!$B:$BE,42,FALSE)))</f>
        <v/>
      </c>
      <c r="P172" s="31" t="str">
        <f>IF($B172 = "", "",  VLOOKUP($B172, Propostas!$B:$BE, 49, FALSE) )</f>
        <v/>
      </c>
      <c r="Q172" s="13" t="str">
        <f>IF($B172="","",  VLOOKUP($B172, Propostas!$B:$BE, 39, FALSE) )</f>
        <v/>
      </c>
      <c r="R172" s="62" t="str">
        <f>IF($B172="","",  VLOOKUP($B172, Propostas!$B:$BE, 43, FALSE) )</f>
        <v/>
      </c>
      <c r="S172" s="62" t="str">
        <f>IF($B172="","",  VLOOKUP($B172, Propostas!$B:$BE, 44, FALSE) )</f>
        <v/>
      </c>
      <c r="T172" s="62" t="str">
        <f>IF($B172="","",  VLOOKUP($B172, Propostas!$B:$BE, 45, FALSE) )</f>
        <v/>
      </c>
      <c r="U172" s="31"/>
      <c r="V172" s="13" t="str">
        <f>IF($B172="","",  VLOOKUP($B172, Propostas!$B:$BE, 50, FALSE) )</f>
        <v/>
      </c>
      <c r="W172" s="13" t="str">
        <f>IF($B172="","",  VLOOKUP($B172, Propostas!$B:$BE, 51, FALSE) )</f>
        <v/>
      </c>
      <c r="X172" s="13" t="str">
        <f>IF($B172="","",  VLOOKUP($B172, Propostas!$B:$BE, 52, FALSE) )</f>
        <v/>
      </c>
      <c r="Y172" s="13" t="str">
        <f>IF($B172="","",  VLOOKUP($B172, Propostas!$B:$BE, 36, FALSE) )</f>
        <v/>
      </c>
      <c r="Z172" s="13" t="str">
        <f>IF($B172="","",  VLOOKUP($F172, VW_PROJETO!B:C, 2, FALSE) )</f>
        <v/>
      </c>
    </row>
    <row r="173" spans="2:26" x14ac:dyDescent="0.2">
      <c r="B173" s="2"/>
      <c r="C173" s="4" t="str">
        <f>IF($B173="","",  VLOOKUP($B173, Propostas!$B:$BE, 33, FALSE) )</f>
        <v/>
      </c>
      <c r="D173" s="4" t="str">
        <f>IF($B173="","",  VLOOKUP($B173, Propostas!$B:$BE, 34, FALSE) )</f>
        <v/>
      </c>
      <c r="E173" s="4" t="str">
        <f>IF($B173="","",  VLOOKUP($B173, Propostas!$B:$BE, 35, FALSE) )</f>
        <v/>
      </c>
      <c r="F173" s="4" t="str">
        <f>IF($B173="","",  VLOOKUP($B173, Propostas!$B:$BE, 2, FALSE) )</f>
        <v/>
      </c>
      <c r="G173" s="4" t="str">
        <f>IF($B173="","",  VLOOKUP($B173, Propostas!$B:$BE, 3, FALSE) )</f>
        <v/>
      </c>
      <c r="H173" s="4" t="str">
        <f>IF($B173="","",  VLOOKUP($B173, Propostas!$B:$BE, 4, FALSE) )</f>
        <v/>
      </c>
      <c r="I173" s="4" t="str">
        <f>IF($B173="","",  VLOOKUP($B173, Propostas!$B:$BE, 38, FALSE) )</f>
        <v/>
      </c>
      <c r="J173" s="13" t="str">
        <f>IF($B173="","",IF($C173="SIM", "&lt; INFRRAESTRUTURA &gt;", VLOOKUP($B173,Propostas!$B:$BE,41,FALSE)))</f>
        <v/>
      </c>
      <c r="K173" s="10" t="str">
        <f>IF($B173="","",  VLOOKUP($B173, Propostas!$B:$BE, 40, FALSE) )</f>
        <v/>
      </c>
      <c r="L173" s="10" t="str">
        <f>IF($B173="","",IF(VLOOKUP($B173,Propostas!$B:$BE,21,FALSE)=1,"B",IF(VLOOKUP($B173,Propostas!$B:$BE,21,FALSE)=2,"E","N")))</f>
        <v/>
      </c>
      <c r="M173" s="31" t="str">
        <f>IF($B173 = "", "",  VLOOKUP($B173, Propostas!$B:$BE, 46, FALSE) )</f>
        <v/>
      </c>
      <c r="N173" s="31" t="str">
        <f>IF($B173 = "", "",  VLOOKUP($B173, Propostas!$B:$BE, 47, FALSE) )</f>
        <v/>
      </c>
      <c r="O173" s="13" t="str">
        <f>IF($B173="","",IF($C173="SIM", "INFRAESTRUTURA", VLOOKUP($B173, Propostas!$B:$BE,42,FALSE)))</f>
        <v/>
      </c>
      <c r="P173" s="31" t="str">
        <f>IF($B173 = "", "",  VLOOKUP($B173, Propostas!$B:$BE, 49, FALSE) )</f>
        <v/>
      </c>
      <c r="Q173" s="13" t="str">
        <f>IF($B173="","",  VLOOKUP($B173, Propostas!$B:$BE, 39, FALSE) )</f>
        <v/>
      </c>
      <c r="R173" s="62" t="str">
        <f>IF($B173="","",  VLOOKUP($B173, Propostas!$B:$BE, 43, FALSE) )</f>
        <v/>
      </c>
      <c r="S173" s="62" t="str">
        <f>IF($B173="","",  VLOOKUP($B173, Propostas!$B:$BE, 44, FALSE) )</f>
        <v/>
      </c>
      <c r="T173" s="62" t="str">
        <f>IF($B173="","",  VLOOKUP($B173, Propostas!$B:$BE, 45, FALSE) )</f>
        <v/>
      </c>
      <c r="U173" s="31"/>
      <c r="V173" s="13" t="str">
        <f>IF($B173="","",  VLOOKUP($B173, Propostas!$B:$BE, 50, FALSE) )</f>
        <v/>
      </c>
      <c r="W173" s="13" t="str">
        <f>IF($B173="","",  VLOOKUP($B173, Propostas!$B:$BE, 51, FALSE) )</f>
        <v/>
      </c>
      <c r="X173" s="13" t="str">
        <f>IF($B173="","",  VLOOKUP($B173, Propostas!$B:$BE, 52, FALSE) )</f>
        <v/>
      </c>
      <c r="Y173" s="13" t="str">
        <f>IF($B173="","",  VLOOKUP($B173, Propostas!$B:$BE, 36, FALSE) )</f>
        <v/>
      </c>
      <c r="Z173" s="13" t="str">
        <f>IF($B173="","",  VLOOKUP($F173, VW_PROJETO!B:C, 2, FALSE) )</f>
        <v/>
      </c>
    </row>
    <row r="174" spans="2:26" x14ac:dyDescent="0.2">
      <c r="B174" s="2"/>
      <c r="C174" s="4" t="str">
        <f>IF($B174="","",  VLOOKUP($B174, Propostas!$B:$BE, 33, FALSE) )</f>
        <v/>
      </c>
      <c r="D174" s="4" t="str">
        <f>IF($B174="","",  VLOOKUP($B174, Propostas!$B:$BE, 34, FALSE) )</f>
        <v/>
      </c>
      <c r="E174" s="4" t="str">
        <f>IF($B174="","",  VLOOKUP($B174, Propostas!$B:$BE, 35, FALSE) )</f>
        <v/>
      </c>
      <c r="F174" s="4" t="str">
        <f>IF($B174="","",  VLOOKUP($B174, Propostas!$B:$BE, 2, FALSE) )</f>
        <v/>
      </c>
      <c r="G174" s="4" t="str">
        <f>IF($B174="","",  VLOOKUP($B174, Propostas!$B:$BE, 3, FALSE) )</f>
        <v/>
      </c>
      <c r="H174" s="4" t="str">
        <f>IF($B174="","",  VLOOKUP($B174, Propostas!$B:$BE, 4, FALSE) )</f>
        <v/>
      </c>
      <c r="I174" s="4" t="str">
        <f>IF($B174="","",  VLOOKUP($B174, Propostas!$B:$BE, 38, FALSE) )</f>
        <v/>
      </c>
      <c r="J174" s="13" t="str">
        <f>IF($B174="","",IF($C174="SIM", "&lt; INFRRAESTRUTURA &gt;", VLOOKUP($B174,Propostas!$B:$BE,41,FALSE)))</f>
        <v/>
      </c>
      <c r="K174" s="10" t="str">
        <f>IF($B174="","",  VLOOKUP($B174, Propostas!$B:$BE, 40, FALSE) )</f>
        <v/>
      </c>
      <c r="L174" s="10" t="str">
        <f>IF($B174="","",IF(VLOOKUP($B174,Propostas!$B:$BE,21,FALSE)=1,"B",IF(VLOOKUP($B174,Propostas!$B:$BE,21,FALSE)=2,"E","N")))</f>
        <v/>
      </c>
      <c r="M174" s="31" t="str">
        <f>IF($B174 = "", "",  VLOOKUP($B174, Propostas!$B:$BE, 46, FALSE) )</f>
        <v/>
      </c>
      <c r="N174" s="31" t="str">
        <f>IF($B174 = "", "",  VLOOKUP($B174, Propostas!$B:$BE, 47, FALSE) )</f>
        <v/>
      </c>
      <c r="O174" s="13" t="str">
        <f>IF($B174="","",IF($C174="SIM", "INFRAESTRUTURA", VLOOKUP($B174, Propostas!$B:$BE,42,FALSE)))</f>
        <v/>
      </c>
      <c r="P174" s="31" t="str">
        <f>IF($B174 = "", "",  VLOOKUP($B174, Propostas!$B:$BE, 49, FALSE) )</f>
        <v/>
      </c>
      <c r="Q174" s="13" t="str">
        <f>IF($B174="","",  VLOOKUP($B174, Propostas!$B:$BE, 39, FALSE) )</f>
        <v/>
      </c>
      <c r="R174" s="62" t="str">
        <f>IF($B174="","",  VLOOKUP($B174, Propostas!$B:$BE, 43, FALSE) )</f>
        <v/>
      </c>
      <c r="S174" s="62" t="str">
        <f>IF($B174="","",  VLOOKUP($B174, Propostas!$B:$BE, 44, FALSE) )</f>
        <v/>
      </c>
      <c r="T174" s="62" t="str">
        <f>IF($B174="","",  VLOOKUP($B174, Propostas!$B:$BE, 45, FALSE) )</f>
        <v/>
      </c>
      <c r="U174" s="31"/>
      <c r="V174" s="13" t="str">
        <f>IF($B174="","",  VLOOKUP($B174, Propostas!$B:$BE, 50, FALSE) )</f>
        <v/>
      </c>
      <c r="W174" s="13" t="str">
        <f>IF($B174="","",  VLOOKUP($B174, Propostas!$B:$BE, 51, FALSE) )</f>
        <v/>
      </c>
      <c r="X174" s="13" t="str">
        <f>IF($B174="","",  VLOOKUP($B174, Propostas!$B:$BE, 52, FALSE) )</f>
        <v/>
      </c>
      <c r="Y174" s="13" t="str">
        <f>IF($B174="","",  VLOOKUP($B174, Propostas!$B:$BE, 36, FALSE) )</f>
        <v/>
      </c>
      <c r="Z174" s="13" t="str">
        <f>IF($B174="","",  VLOOKUP($F174, VW_PROJETO!B:C, 2, FALSE) )</f>
        <v/>
      </c>
    </row>
    <row r="175" spans="2:26" x14ac:dyDescent="0.2">
      <c r="B175" s="2"/>
      <c r="C175" s="4" t="str">
        <f>IF($B175="","",  VLOOKUP($B175, Propostas!$B:$BE, 33, FALSE) )</f>
        <v/>
      </c>
      <c r="D175" s="4" t="str">
        <f>IF($B175="","",  VLOOKUP($B175, Propostas!$B:$BE, 34, FALSE) )</f>
        <v/>
      </c>
      <c r="E175" s="4" t="str">
        <f>IF($B175="","",  VLOOKUP($B175, Propostas!$B:$BE, 35, FALSE) )</f>
        <v/>
      </c>
      <c r="F175" s="4" t="str">
        <f>IF($B175="","",  VLOOKUP($B175, Propostas!$B:$BE, 2, FALSE) )</f>
        <v/>
      </c>
      <c r="G175" s="4" t="str">
        <f>IF($B175="","",  VLOOKUP($B175, Propostas!$B:$BE, 3, FALSE) )</f>
        <v/>
      </c>
      <c r="H175" s="4" t="str">
        <f>IF($B175="","",  VLOOKUP($B175, Propostas!$B:$BE, 4, FALSE) )</f>
        <v/>
      </c>
      <c r="I175" s="4" t="str">
        <f>IF($B175="","",  VLOOKUP($B175, Propostas!$B:$BE, 38, FALSE) )</f>
        <v/>
      </c>
      <c r="J175" s="13" t="str">
        <f>IF($B175="","",IF($C175="SIM", "&lt; INFRRAESTRUTURA &gt;", VLOOKUP($B175,Propostas!$B:$BE,41,FALSE)))</f>
        <v/>
      </c>
      <c r="K175" s="10" t="str">
        <f>IF($B175="","",  VLOOKUP($B175, Propostas!$B:$BE, 40, FALSE) )</f>
        <v/>
      </c>
      <c r="L175" s="10" t="str">
        <f>IF($B175="","",IF(VLOOKUP($B175,Propostas!$B:$BE,21,FALSE)=1,"B",IF(VLOOKUP($B175,Propostas!$B:$BE,21,FALSE)=2,"E","N")))</f>
        <v/>
      </c>
      <c r="M175" s="31" t="str">
        <f>IF($B175 = "", "",  VLOOKUP($B175, Propostas!$B:$BE, 46, FALSE) )</f>
        <v/>
      </c>
      <c r="N175" s="31" t="str">
        <f>IF($B175 = "", "",  VLOOKUP($B175, Propostas!$B:$BE, 47, FALSE) )</f>
        <v/>
      </c>
      <c r="O175" s="13" t="str">
        <f>IF($B175="","",IF($C175="SIM", "INFRAESTRUTURA", VLOOKUP($B175, Propostas!$B:$BE,42,FALSE)))</f>
        <v/>
      </c>
      <c r="P175" s="31" t="str">
        <f>IF($B175 = "", "",  VLOOKUP($B175, Propostas!$B:$BE, 49, FALSE) )</f>
        <v/>
      </c>
      <c r="Q175" s="13" t="str">
        <f>IF($B175="","",  VLOOKUP($B175, Propostas!$B:$BE, 39, FALSE) )</f>
        <v/>
      </c>
      <c r="R175" s="62" t="str">
        <f>IF($B175="","",  VLOOKUP($B175, Propostas!$B:$BE, 43, FALSE) )</f>
        <v/>
      </c>
      <c r="S175" s="62" t="str">
        <f>IF($B175="","",  VLOOKUP($B175, Propostas!$B:$BE, 44, FALSE) )</f>
        <v/>
      </c>
      <c r="T175" s="62" t="str">
        <f>IF($B175="","",  VLOOKUP($B175, Propostas!$B:$BE, 45, FALSE) )</f>
        <v/>
      </c>
      <c r="U175" s="31"/>
      <c r="V175" s="13" t="str">
        <f>IF($B175="","",  VLOOKUP($B175, Propostas!$B:$BE, 50, FALSE) )</f>
        <v/>
      </c>
      <c r="W175" s="13" t="str">
        <f>IF($B175="","",  VLOOKUP($B175, Propostas!$B:$BE, 51, FALSE) )</f>
        <v/>
      </c>
      <c r="X175" s="13" t="str">
        <f>IF($B175="","",  VLOOKUP($B175, Propostas!$B:$BE, 52, FALSE) )</f>
        <v/>
      </c>
      <c r="Y175" s="13" t="str">
        <f>IF($B175="","",  VLOOKUP($B175, Propostas!$B:$BE, 36, FALSE) )</f>
        <v/>
      </c>
      <c r="Z175" s="13" t="str">
        <f>IF($B175="","",  VLOOKUP($F175, VW_PROJETO!B:C, 2, FALSE) )</f>
        <v/>
      </c>
    </row>
    <row r="176" spans="2:26" x14ac:dyDescent="0.2">
      <c r="B176" s="2"/>
      <c r="C176" s="4" t="str">
        <f>IF($B176="","",  VLOOKUP($B176, Propostas!$B:$BE, 33, FALSE) )</f>
        <v/>
      </c>
      <c r="D176" s="4" t="str">
        <f>IF($B176="","",  VLOOKUP($B176, Propostas!$B:$BE, 34, FALSE) )</f>
        <v/>
      </c>
      <c r="E176" s="4" t="str">
        <f>IF($B176="","",  VLOOKUP($B176, Propostas!$B:$BE, 35, FALSE) )</f>
        <v/>
      </c>
      <c r="F176" s="4" t="str">
        <f>IF($B176="","",  VLOOKUP($B176, Propostas!$B:$BE, 2, FALSE) )</f>
        <v/>
      </c>
      <c r="G176" s="4" t="str">
        <f>IF($B176="","",  VLOOKUP($B176, Propostas!$B:$BE, 3, FALSE) )</f>
        <v/>
      </c>
      <c r="H176" s="4" t="str">
        <f>IF($B176="","",  VLOOKUP($B176, Propostas!$B:$BE, 4, FALSE) )</f>
        <v/>
      </c>
      <c r="I176" s="4" t="str">
        <f>IF($B176="","",  VLOOKUP($B176, Propostas!$B:$BE, 38, FALSE) )</f>
        <v/>
      </c>
      <c r="J176" s="13" t="str">
        <f>IF($B176="","",IF($C176="SIM", "&lt; INFRRAESTRUTURA &gt;", VLOOKUP($B176,Propostas!$B:$BE,41,FALSE)))</f>
        <v/>
      </c>
      <c r="K176" s="10" t="str">
        <f>IF($B176="","",  VLOOKUP($B176, Propostas!$B:$BE, 40, FALSE) )</f>
        <v/>
      </c>
      <c r="L176" s="10" t="str">
        <f>IF($B176="","",IF(VLOOKUP($B176,Propostas!$B:$BE,21,FALSE)=1,"B",IF(VLOOKUP($B176,Propostas!$B:$BE,21,FALSE)=2,"E","N")))</f>
        <v/>
      </c>
      <c r="M176" s="31" t="str">
        <f>IF($B176 = "", "",  VLOOKUP($B176, Propostas!$B:$BE, 46, FALSE) )</f>
        <v/>
      </c>
      <c r="N176" s="31" t="str">
        <f>IF($B176 = "", "",  VLOOKUP($B176, Propostas!$B:$BE, 47, FALSE) )</f>
        <v/>
      </c>
      <c r="O176" s="13" t="str">
        <f>IF($B176="","",IF($C176="SIM", "INFRAESTRUTURA", VLOOKUP($B176, Propostas!$B:$BE,42,FALSE)))</f>
        <v/>
      </c>
      <c r="P176" s="31" t="str">
        <f>IF($B176 = "", "",  VLOOKUP($B176, Propostas!$B:$BE, 49, FALSE) )</f>
        <v/>
      </c>
      <c r="Q176" s="13" t="str">
        <f>IF($B176="","",  VLOOKUP($B176, Propostas!$B:$BE, 39, FALSE) )</f>
        <v/>
      </c>
      <c r="R176" s="62" t="str">
        <f>IF($B176="","",  VLOOKUP($B176, Propostas!$B:$BE, 43, FALSE) )</f>
        <v/>
      </c>
      <c r="S176" s="62" t="str">
        <f>IF($B176="","",  VLOOKUP($B176, Propostas!$B:$BE, 44, FALSE) )</f>
        <v/>
      </c>
      <c r="T176" s="62" t="str">
        <f>IF($B176="","",  VLOOKUP($B176, Propostas!$B:$BE, 45, FALSE) )</f>
        <v/>
      </c>
      <c r="U176" s="31"/>
      <c r="V176" s="13" t="str">
        <f>IF($B176="","",  VLOOKUP($B176, Propostas!$B:$BE, 50, FALSE) )</f>
        <v/>
      </c>
      <c r="W176" s="13" t="str">
        <f>IF($B176="","",  VLOOKUP($B176, Propostas!$B:$BE, 51, FALSE) )</f>
        <v/>
      </c>
      <c r="X176" s="13" t="str">
        <f>IF($B176="","",  VLOOKUP($B176, Propostas!$B:$BE, 52, FALSE) )</f>
        <v/>
      </c>
      <c r="Y176" s="13" t="str">
        <f>IF($B176="","",  VLOOKUP($B176, Propostas!$B:$BE, 36, FALSE) )</f>
        <v/>
      </c>
      <c r="Z176" s="13" t="str">
        <f>IF($B176="","",  VLOOKUP($F176, VW_PROJETO!B:C, 2, FALSE) )</f>
        <v/>
      </c>
    </row>
    <row r="177" spans="2:26" x14ac:dyDescent="0.2">
      <c r="B177" s="2"/>
      <c r="C177" s="4" t="str">
        <f>IF($B177="","",  VLOOKUP($B177, Propostas!$B:$BE, 33, FALSE) )</f>
        <v/>
      </c>
      <c r="D177" s="4" t="str">
        <f>IF($B177="","",  VLOOKUP($B177, Propostas!$B:$BE, 34, FALSE) )</f>
        <v/>
      </c>
      <c r="E177" s="4" t="str">
        <f>IF($B177="","",  VLOOKUP($B177, Propostas!$B:$BE, 35, FALSE) )</f>
        <v/>
      </c>
      <c r="F177" s="4" t="str">
        <f>IF($B177="","",  VLOOKUP($B177, Propostas!$B:$BE, 2, FALSE) )</f>
        <v/>
      </c>
      <c r="G177" s="4" t="str">
        <f>IF($B177="","",  VLOOKUP($B177, Propostas!$B:$BE, 3, FALSE) )</f>
        <v/>
      </c>
      <c r="H177" s="4" t="str">
        <f>IF($B177="","",  VLOOKUP($B177, Propostas!$B:$BE, 4, FALSE) )</f>
        <v/>
      </c>
      <c r="I177" s="4" t="str">
        <f>IF($B177="","",  VLOOKUP($B177, Propostas!$B:$BE, 38, FALSE) )</f>
        <v/>
      </c>
      <c r="J177" s="13" t="str">
        <f>IF($B177="","",IF($C177="SIM", "&lt; INFRRAESTRUTURA &gt;", VLOOKUP($B177,Propostas!$B:$BE,41,FALSE)))</f>
        <v/>
      </c>
      <c r="K177" s="10" t="str">
        <f>IF($B177="","",  VLOOKUP($B177, Propostas!$B:$BE, 40, FALSE) )</f>
        <v/>
      </c>
      <c r="L177" s="10" t="str">
        <f>IF($B177="","",IF(VLOOKUP($B177,Propostas!$B:$BE,21,FALSE)=1,"B",IF(VLOOKUP($B177,Propostas!$B:$BE,21,FALSE)=2,"E","N")))</f>
        <v/>
      </c>
      <c r="M177" s="31" t="str">
        <f>IF($B177 = "", "",  VLOOKUP($B177, Propostas!$B:$BE, 46, FALSE) )</f>
        <v/>
      </c>
      <c r="N177" s="31" t="str">
        <f>IF($B177 = "", "",  VLOOKUP($B177, Propostas!$B:$BE, 47, FALSE) )</f>
        <v/>
      </c>
      <c r="O177" s="13" t="str">
        <f>IF($B177="","",IF($C177="SIM", "INFRAESTRUTURA", VLOOKUP($B177, Propostas!$B:$BE,42,FALSE)))</f>
        <v/>
      </c>
      <c r="P177" s="31" t="str">
        <f>IF($B177 = "", "",  VLOOKUP($B177, Propostas!$B:$BE, 49, FALSE) )</f>
        <v/>
      </c>
      <c r="Q177" s="13" t="str">
        <f>IF($B177="","",  VLOOKUP($B177, Propostas!$B:$BE, 39, FALSE) )</f>
        <v/>
      </c>
      <c r="R177" s="62" t="str">
        <f>IF($B177="","",  VLOOKUP($B177, Propostas!$B:$BE, 43, FALSE) )</f>
        <v/>
      </c>
      <c r="S177" s="62" t="str">
        <f>IF($B177="","",  VLOOKUP($B177, Propostas!$B:$BE, 44, FALSE) )</f>
        <v/>
      </c>
      <c r="T177" s="62" t="str">
        <f>IF($B177="","",  VLOOKUP($B177, Propostas!$B:$BE, 45, FALSE) )</f>
        <v/>
      </c>
      <c r="U177" s="31"/>
      <c r="V177" s="13" t="str">
        <f>IF($B177="","",  VLOOKUP($B177, Propostas!$B:$BE, 50, FALSE) )</f>
        <v/>
      </c>
      <c r="W177" s="13" t="str">
        <f>IF($B177="","",  VLOOKUP($B177, Propostas!$B:$BE, 51, FALSE) )</f>
        <v/>
      </c>
      <c r="X177" s="13" t="str">
        <f>IF($B177="","",  VLOOKUP($B177, Propostas!$B:$BE, 52, FALSE) )</f>
        <v/>
      </c>
      <c r="Y177" s="13" t="str">
        <f>IF($B177="","",  VLOOKUP($B177, Propostas!$B:$BE, 36, FALSE) )</f>
        <v/>
      </c>
      <c r="Z177" s="13" t="str">
        <f>IF($B177="","",  VLOOKUP($F177, VW_PROJETO!B:C, 2, FALSE) )</f>
        <v/>
      </c>
    </row>
    <row r="178" spans="2:26" x14ac:dyDescent="0.2">
      <c r="B178" s="2"/>
      <c r="C178" s="4" t="str">
        <f>IF($B178="","",  VLOOKUP($B178, Propostas!$B:$BE, 33, FALSE) )</f>
        <v/>
      </c>
      <c r="D178" s="4" t="str">
        <f>IF($B178="","",  VLOOKUP($B178, Propostas!$B:$BE, 34, FALSE) )</f>
        <v/>
      </c>
      <c r="E178" s="4" t="str">
        <f>IF($B178="","",  VLOOKUP($B178, Propostas!$B:$BE, 35, FALSE) )</f>
        <v/>
      </c>
      <c r="F178" s="4" t="str">
        <f>IF($B178="","",  VLOOKUP($B178, Propostas!$B:$BE, 2, FALSE) )</f>
        <v/>
      </c>
      <c r="G178" s="4" t="str">
        <f>IF($B178="","",  VLOOKUP($B178, Propostas!$B:$BE, 3, FALSE) )</f>
        <v/>
      </c>
      <c r="H178" s="4" t="str">
        <f>IF($B178="","",  VLOOKUP($B178, Propostas!$B:$BE, 4, FALSE) )</f>
        <v/>
      </c>
      <c r="I178" s="4" t="str">
        <f>IF($B178="","",  VLOOKUP($B178, Propostas!$B:$BE, 38, FALSE) )</f>
        <v/>
      </c>
      <c r="J178" s="13" t="str">
        <f>IF($B178="","",IF($C178="SIM", "&lt; INFRRAESTRUTURA &gt;", VLOOKUP($B178,Propostas!$B:$BE,41,FALSE)))</f>
        <v/>
      </c>
      <c r="K178" s="10" t="str">
        <f>IF($B178="","",  VLOOKUP($B178, Propostas!$B:$BE, 40, FALSE) )</f>
        <v/>
      </c>
      <c r="L178" s="10" t="str">
        <f>IF($B178="","",IF(VLOOKUP($B178,Propostas!$B:$BE,21,FALSE)=1,"B",IF(VLOOKUP($B178,Propostas!$B:$BE,21,FALSE)=2,"E","N")))</f>
        <v/>
      </c>
      <c r="M178" s="31" t="str">
        <f>IF($B178 = "", "",  VLOOKUP($B178, Propostas!$B:$BE, 46, FALSE) )</f>
        <v/>
      </c>
      <c r="N178" s="31" t="str">
        <f>IF($B178 = "", "",  VLOOKUP($B178, Propostas!$B:$BE, 47, FALSE) )</f>
        <v/>
      </c>
      <c r="O178" s="13" t="str">
        <f>IF($B178="","",IF($C178="SIM", "INFRAESTRUTURA", VLOOKUP($B178, Propostas!$B:$BE,42,FALSE)))</f>
        <v/>
      </c>
      <c r="P178" s="31" t="str">
        <f>IF($B178 = "", "",  VLOOKUP($B178, Propostas!$B:$BE, 49, FALSE) )</f>
        <v/>
      </c>
      <c r="Q178" s="13" t="str">
        <f>IF($B178="","",  VLOOKUP($B178, Propostas!$B:$BE, 39, FALSE) )</f>
        <v/>
      </c>
      <c r="R178" s="62" t="str">
        <f>IF($B178="","",  VLOOKUP($B178, Propostas!$B:$BE, 43, FALSE) )</f>
        <v/>
      </c>
      <c r="S178" s="62" t="str">
        <f>IF($B178="","",  VLOOKUP($B178, Propostas!$B:$BE, 44, FALSE) )</f>
        <v/>
      </c>
      <c r="T178" s="62" t="str">
        <f>IF($B178="","",  VLOOKUP($B178, Propostas!$B:$BE, 45, FALSE) )</f>
        <v/>
      </c>
      <c r="U178" s="31"/>
      <c r="V178" s="13" t="str">
        <f>IF($B178="","",  VLOOKUP($B178, Propostas!$B:$BE, 50, FALSE) )</f>
        <v/>
      </c>
      <c r="W178" s="13" t="str">
        <f>IF($B178="","",  VLOOKUP($B178, Propostas!$B:$BE, 51, FALSE) )</f>
        <v/>
      </c>
      <c r="X178" s="13" t="str">
        <f>IF($B178="","",  VLOOKUP($B178, Propostas!$B:$BE, 52, FALSE) )</f>
        <v/>
      </c>
      <c r="Y178" s="13" t="str">
        <f>IF($B178="","",  VLOOKUP($B178, Propostas!$B:$BE, 36, FALSE) )</f>
        <v/>
      </c>
      <c r="Z178" s="13" t="str">
        <f>IF($B178="","",  VLOOKUP($F178, VW_PROJETO!B:C, 2, FALSE) )</f>
        <v/>
      </c>
    </row>
    <row r="179" spans="2:26" x14ac:dyDescent="0.2">
      <c r="B179" s="2"/>
      <c r="C179" s="4" t="str">
        <f>IF($B179="","",  VLOOKUP($B179, Propostas!$B:$BE, 33, FALSE) )</f>
        <v/>
      </c>
      <c r="D179" s="4" t="str">
        <f>IF($B179="","",  VLOOKUP($B179, Propostas!$B:$BE, 34, FALSE) )</f>
        <v/>
      </c>
      <c r="E179" s="4" t="str">
        <f>IF($B179="","",  VLOOKUP($B179, Propostas!$B:$BE, 35, FALSE) )</f>
        <v/>
      </c>
      <c r="F179" s="4" t="str">
        <f>IF($B179="","",  VLOOKUP($B179, Propostas!$B:$BE, 2, FALSE) )</f>
        <v/>
      </c>
      <c r="G179" s="4" t="str">
        <f>IF($B179="","",  VLOOKUP($B179, Propostas!$B:$BE, 3, FALSE) )</f>
        <v/>
      </c>
      <c r="H179" s="4" t="str">
        <f>IF($B179="","",  VLOOKUP($B179, Propostas!$B:$BE, 4, FALSE) )</f>
        <v/>
      </c>
      <c r="I179" s="4" t="str">
        <f>IF($B179="","",  VLOOKUP($B179, Propostas!$B:$BE, 38, FALSE) )</f>
        <v/>
      </c>
      <c r="J179" s="13" t="str">
        <f>IF($B179="","",IF($C179="SIM", "&lt; INFRRAESTRUTURA &gt;", VLOOKUP($B179,Propostas!$B:$BE,41,FALSE)))</f>
        <v/>
      </c>
      <c r="K179" s="10" t="str">
        <f>IF($B179="","",  VLOOKUP($B179, Propostas!$B:$BE, 40, FALSE) )</f>
        <v/>
      </c>
      <c r="L179" s="10" t="str">
        <f>IF($B179="","",IF(VLOOKUP($B179,Propostas!$B:$BE,21,FALSE)=1,"B",IF(VLOOKUP($B179,Propostas!$B:$BE,21,FALSE)=2,"E","N")))</f>
        <v/>
      </c>
      <c r="M179" s="31" t="str">
        <f>IF($B179 = "", "",  VLOOKUP($B179, Propostas!$B:$BE, 46, FALSE) )</f>
        <v/>
      </c>
      <c r="N179" s="31" t="str">
        <f>IF($B179 = "", "",  VLOOKUP($B179, Propostas!$B:$BE, 47, FALSE) )</f>
        <v/>
      </c>
      <c r="O179" s="13" t="str">
        <f>IF($B179="","",IF($C179="SIM", "INFRAESTRUTURA", VLOOKUP($B179, Propostas!$B:$BE,42,FALSE)))</f>
        <v/>
      </c>
      <c r="P179" s="31" t="str">
        <f>IF($B179 = "", "",  VLOOKUP($B179, Propostas!$B:$BE, 49, FALSE) )</f>
        <v/>
      </c>
      <c r="Q179" s="13" t="str">
        <f>IF($B179="","",  VLOOKUP($B179, Propostas!$B:$BE, 39, FALSE) )</f>
        <v/>
      </c>
      <c r="R179" s="62" t="str">
        <f>IF($B179="","",  VLOOKUP($B179, Propostas!$B:$BE, 43, FALSE) )</f>
        <v/>
      </c>
      <c r="S179" s="62" t="str">
        <f>IF($B179="","",  VLOOKUP($B179, Propostas!$B:$BE, 44, FALSE) )</f>
        <v/>
      </c>
      <c r="T179" s="62" t="str">
        <f>IF($B179="","",  VLOOKUP($B179, Propostas!$B:$BE, 45, FALSE) )</f>
        <v/>
      </c>
      <c r="U179" s="31"/>
      <c r="V179" s="13" t="str">
        <f>IF($B179="","",  VLOOKUP($B179, Propostas!$B:$BE, 50, FALSE) )</f>
        <v/>
      </c>
      <c r="W179" s="13" t="str">
        <f>IF($B179="","",  VLOOKUP($B179, Propostas!$B:$BE, 51, FALSE) )</f>
        <v/>
      </c>
      <c r="X179" s="13" t="str">
        <f>IF($B179="","",  VLOOKUP($B179, Propostas!$B:$BE, 52, FALSE) )</f>
        <v/>
      </c>
      <c r="Y179" s="13" t="str">
        <f>IF($B179="","",  VLOOKUP($B179, Propostas!$B:$BE, 36, FALSE) )</f>
        <v/>
      </c>
      <c r="Z179" s="13" t="str">
        <f>IF($B179="","",  VLOOKUP($F179, VW_PROJETO!B:C, 2, FALSE) )</f>
        <v/>
      </c>
    </row>
    <row r="180" spans="2:26" x14ac:dyDescent="0.2">
      <c r="B180" s="2"/>
      <c r="C180" s="4" t="str">
        <f>IF($B180="","",  VLOOKUP($B180, Propostas!$B:$BE, 33, FALSE) )</f>
        <v/>
      </c>
      <c r="D180" s="4" t="str">
        <f>IF($B180="","",  VLOOKUP($B180, Propostas!$B:$BE, 34, FALSE) )</f>
        <v/>
      </c>
      <c r="E180" s="4" t="str">
        <f>IF($B180="","",  VLOOKUP($B180, Propostas!$B:$BE, 35, FALSE) )</f>
        <v/>
      </c>
      <c r="F180" s="4" t="str">
        <f>IF($B180="","",  VLOOKUP($B180, Propostas!$B:$BE, 2, FALSE) )</f>
        <v/>
      </c>
      <c r="G180" s="4" t="str">
        <f>IF($B180="","",  VLOOKUP($B180, Propostas!$B:$BE, 3, FALSE) )</f>
        <v/>
      </c>
      <c r="H180" s="4" t="str">
        <f>IF($B180="","",  VLOOKUP($B180, Propostas!$B:$BE, 4, FALSE) )</f>
        <v/>
      </c>
      <c r="I180" s="4" t="str">
        <f>IF($B180="","",  VLOOKUP($B180, Propostas!$B:$BE, 38, FALSE) )</f>
        <v/>
      </c>
      <c r="J180" s="13" t="str">
        <f>IF($B180="","",IF($C180="SIM", "&lt; INFRRAESTRUTURA &gt;", VLOOKUP($B180,Propostas!$B:$BE,41,FALSE)))</f>
        <v/>
      </c>
      <c r="K180" s="10" t="str">
        <f>IF($B180="","",  VLOOKUP($B180, Propostas!$B:$BE, 40, FALSE) )</f>
        <v/>
      </c>
      <c r="L180" s="10" t="str">
        <f>IF($B180="","",IF(VLOOKUP($B180,Propostas!$B:$BE,21,FALSE)=1,"B",IF(VLOOKUP($B180,Propostas!$B:$BE,21,FALSE)=2,"E","N")))</f>
        <v/>
      </c>
      <c r="M180" s="31" t="str">
        <f>IF($B180 = "", "",  VLOOKUP($B180, Propostas!$B:$BE, 46, FALSE) )</f>
        <v/>
      </c>
      <c r="N180" s="31" t="str">
        <f>IF($B180 = "", "",  VLOOKUP($B180, Propostas!$B:$BE, 47, FALSE) )</f>
        <v/>
      </c>
      <c r="O180" s="13" t="str">
        <f>IF($B180="","",IF($C180="SIM", "INFRAESTRUTURA", VLOOKUP($B180, Propostas!$B:$BE,42,FALSE)))</f>
        <v/>
      </c>
      <c r="P180" s="31" t="str">
        <f>IF($B180 = "", "",  VLOOKUP($B180, Propostas!$B:$BE, 49, FALSE) )</f>
        <v/>
      </c>
      <c r="Q180" s="13" t="str">
        <f>IF($B180="","",  VLOOKUP($B180, Propostas!$B:$BE, 39, FALSE) )</f>
        <v/>
      </c>
      <c r="R180" s="62" t="str">
        <f>IF($B180="","",  VLOOKUP($B180, Propostas!$B:$BE, 43, FALSE) )</f>
        <v/>
      </c>
      <c r="S180" s="62" t="str">
        <f>IF($B180="","",  VLOOKUP($B180, Propostas!$B:$BE, 44, FALSE) )</f>
        <v/>
      </c>
      <c r="T180" s="62" t="str">
        <f>IF($B180="","",  VLOOKUP($B180, Propostas!$B:$BE, 45, FALSE) )</f>
        <v/>
      </c>
      <c r="U180" s="31"/>
      <c r="V180" s="13" t="str">
        <f>IF($B180="","",  VLOOKUP($B180, Propostas!$B:$BE, 50, FALSE) )</f>
        <v/>
      </c>
      <c r="W180" s="13" t="str">
        <f>IF($B180="","",  VLOOKUP($B180, Propostas!$B:$BE, 51, FALSE) )</f>
        <v/>
      </c>
      <c r="X180" s="13" t="str">
        <f>IF($B180="","",  VLOOKUP($B180, Propostas!$B:$BE, 52, FALSE) )</f>
        <v/>
      </c>
      <c r="Y180" s="13" t="str">
        <f>IF($B180="","",  VLOOKUP($B180, Propostas!$B:$BE, 36, FALSE) )</f>
        <v/>
      </c>
      <c r="Z180" s="13" t="str">
        <f>IF($B180="","",  VLOOKUP($F180, VW_PROJETO!B:C, 2, FALSE) )</f>
        <v/>
      </c>
    </row>
    <row r="181" spans="2:26" x14ac:dyDescent="0.2">
      <c r="B181" s="2"/>
      <c r="C181" s="4" t="str">
        <f>IF($B181="","",  VLOOKUP($B181, Propostas!$B:$BE, 33, FALSE) )</f>
        <v/>
      </c>
      <c r="D181" s="4" t="str">
        <f>IF($B181="","",  VLOOKUP($B181, Propostas!$B:$BE, 34, FALSE) )</f>
        <v/>
      </c>
      <c r="E181" s="4" t="str">
        <f>IF($B181="","",  VLOOKUP($B181, Propostas!$B:$BE, 35, FALSE) )</f>
        <v/>
      </c>
      <c r="F181" s="4" t="str">
        <f>IF($B181="","",  VLOOKUP($B181, Propostas!$B:$BE, 2, FALSE) )</f>
        <v/>
      </c>
      <c r="G181" s="4" t="str">
        <f>IF($B181="","",  VLOOKUP($B181, Propostas!$B:$BE, 3, FALSE) )</f>
        <v/>
      </c>
      <c r="H181" s="4" t="str">
        <f>IF($B181="","",  VLOOKUP($B181, Propostas!$B:$BE, 4, FALSE) )</f>
        <v/>
      </c>
      <c r="I181" s="4" t="str">
        <f>IF($B181="","",  VLOOKUP($B181, Propostas!$B:$BE, 38, FALSE) )</f>
        <v/>
      </c>
      <c r="J181" s="13" t="str">
        <f>IF($B181="","",IF($C181="SIM", "&lt; INFRRAESTRUTURA &gt;", VLOOKUP($B181,Propostas!$B:$BE,41,FALSE)))</f>
        <v/>
      </c>
      <c r="K181" s="10" t="str">
        <f>IF($B181="","",  VLOOKUP($B181, Propostas!$B:$BE, 40, FALSE) )</f>
        <v/>
      </c>
      <c r="L181" s="10" t="str">
        <f>IF($B181="","",IF(VLOOKUP($B181,Propostas!$B:$BE,21,FALSE)=1,"B",IF(VLOOKUP($B181,Propostas!$B:$BE,21,FALSE)=2,"E","N")))</f>
        <v/>
      </c>
      <c r="M181" s="31" t="str">
        <f>IF($B181 = "", "",  VLOOKUP($B181, Propostas!$B:$BE, 46, FALSE) )</f>
        <v/>
      </c>
      <c r="N181" s="31" t="str">
        <f>IF($B181 = "", "",  VLOOKUP($B181, Propostas!$B:$BE, 47, FALSE) )</f>
        <v/>
      </c>
      <c r="O181" s="13" t="str">
        <f>IF($B181="","",IF($C181="SIM", "INFRAESTRUTURA", VLOOKUP($B181, Propostas!$B:$BE,42,FALSE)))</f>
        <v/>
      </c>
      <c r="P181" s="31" t="str">
        <f>IF($B181 = "", "",  VLOOKUP($B181, Propostas!$B:$BE, 49, FALSE) )</f>
        <v/>
      </c>
      <c r="Q181" s="13" t="str">
        <f>IF($B181="","",  VLOOKUP($B181, Propostas!$B:$BE, 39, FALSE) )</f>
        <v/>
      </c>
      <c r="R181" s="62" t="str">
        <f>IF($B181="","",  VLOOKUP($B181, Propostas!$B:$BE, 43, FALSE) )</f>
        <v/>
      </c>
      <c r="S181" s="62" t="str">
        <f>IF($B181="","",  VLOOKUP($B181, Propostas!$B:$BE, 44, FALSE) )</f>
        <v/>
      </c>
      <c r="T181" s="62" t="str">
        <f>IF($B181="","",  VLOOKUP($B181, Propostas!$B:$BE, 45, FALSE) )</f>
        <v/>
      </c>
      <c r="U181" s="31"/>
      <c r="V181" s="13" t="str">
        <f>IF($B181="","",  VLOOKUP($B181, Propostas!$B:$BE, 50, FALSE) )</f>
        <v/>
      </c>
      <c r="W181" s="13" t="str">
        <f>IF($B181="","",  VLOOKUP($B181, Propostas!$B:$BE, 51, FALSE) )</f>
        <v/>
      </c>
      <c r="X181" s="13" t="str">
        <f>IF($B181="","",  VLOOKUP($B181, Propostas!$B:$BE, 52, FALSE) )</f>
        <v/>
      </c>
      <c r="Y181" s="13" t="str">
        <f>IF($B181="","",  VLOOKUP($B181, Propostas!$B:$BE, 36, FALSE) )</f>
        <v/>
      </c>
      <c r="Z181" s="13" t="str">
        <f>IF($B181="","",  VLOOKUP($F181, VW_PROJETO!B:C, 2, FALSE) )</f>
        <v/>
      </c>
    </row>
    <row r="182" spans="2:26" x14ac:dyDescent="0.2">
      <c r="B182" s="2"/>
      <c r="C182" s="4" t="str">
        <f>IF($B182="","",  VLOOKUP($B182, Propostas!$B:$BE, 33, FALSE) )</f>
        <v/>
      </c>
      <c r="D182" s="4" t="str">
        <f>IF($B182="","",  VLOOKUP($B182, Propostas!$B:$BE, 34, FALSE) )</f>
        <v/>
      </c>
      <c r="E182" s="4" t="str">
        <f>IF($B182="","",  VLOOKUP($B182, Propostas!$B:$BE, 35, FALSE) )</f>
        <v/>
      </c>
      <c r="F182" s="4" t="str">
        <f>IF($B182="","",  VLOOKUP($B182, Propostas!$B:$BE, 2, FALSE) )</f>
        <v/>
      </c>
      <c r="G182" s="4" t="str">
        <f>IF($B182="","",  VLOOKUP($B182, Propostas!$B:$BE, 3, FALSE) )</f>
        <v/>
      </c>
      <c r="H182" s="4" t="str">
        <f>IF($B182="","",  VLOOKUP($B182, Propostas!$B:$BE, 4, FALSE) )</f>
        <v/>
      </c>
      <c r="I182" s="4" t="str">
        <f>IF($B182="","",  VLOOKUP($B182, Propostas!$B:$BE, 38, FALSE) )</f>
        <v/>
      </c>
      <c r="J182" s="13" t="str">
        <f>IF($B182="","",IF($C182="SIM", "&lt; INFRRAESTRUTURA &gt;", VLOOKUP($B182,Propostas!$B:$BE,41,FALSE)))</f>
        <v/>
      </c>
      <c r="K182" s="10" t="str">
        <f>IF($B182="","",  VLOOKUP($B182, Propostas!$B:$BE, 40, FALSE) )</f>
        <v/>
      </c>
      <c r="L182" s="10" t="str">
        <f>IF($B182="","",IF(VLOOKUP($B182,Propostas!$B:$BE,21,FALSE)=1,"B",IF(VLOOKUP($B182,Propostas!$B:$BE,21,FALSE)=2,"E","N")))</f>
        <v/>
      </c>
      <c r="M182" s="31" t="str">
        <f>IF($B182 = "", "",  VLOOKUP($B182, Propostas!$B:$BE, 46, FALSE) )</f>
        <v/>
      </c>
      <c r="N182" s="31" t="str">
        <f>IF($B182 = "", "",  VLOOKUP($B182, Propostas!$B:$BE, 47, FALSE) )</f>
        <v/>
      </c>
      <c r="O182" s="13" t="str">
        <f>IF($B182="","",IF($C182="SIM", "INFRAESTRUTURA", VLOOKUP($B182, Propostas!$B:$BE,42,FALSE)))</f>
        <v/>
      </c>
      <c r="P182" s="31" t="str">
        <f>IF($B182 = "", "",  VLOOKUP($B182, Propostas!$B:$BE, 49, FALSE) )</f>
        <v/>
      </c>
      <c r="Q182" s="13" t="str">
        <f>IF($B182="","",  VLOOKUP($B182, Propostas!$B:$BE, 39, FALSE) )</f>
        <v/>
      </c>
      <c r="R182" s="62" t="str">
        <f>IF($B182="","",  VLOOKUP($B182, Propostas!$B:$BE, 43, FALSE) )</f>
        <v/>
      </c>
      <c r="S182" s="62" t="str">
        <f>IF($B182="","",  VLOOKUP($B182, Propostas!$B:$BE, 44, FALSE) )</f>
        <v/>
      </c>
      <c r="T182" s="62" t="str">
        <f>IF($B182="","",  VLOOKUP($B182, Propostas!$B:$BE, 45, FALSE) )</f>
        <v/>
      </c>
      <c r="U182" s="31"/>
      <c r="V182" s="13" t="str">
        <f>IF($B182="","",  VLOOKUP($B182, Propostas!$B:$BE, 50, FALSE) )</f>
        <v/>
      </c>
      <c r="W182" s="13" t="str">
        <f>IF($B182="","",  VLOOKUP($B182, Propostas!$B:$BE, 51, FALSE) )</f>
        <v/>
      </c>
      <c r="X182" s="13" t="str">
        <f>IF($B182="","",  VLOOKUP($B182, Propostas!$B:$BE, 52, FALSE) )</f>
        <v/>
      </c>
      <c r="Y182" s="13" t="str">
        <f>IF($B182="","",  VLOOKUP($B182, Propostas!$B:$BE, 36, FALSE) )</f>
        <v/>
      </c>
      <c r="Z182" s="13" t="str">
        <f>IF($B182="","",  VLOOKUP($F182, VW_PROJETO!B:C, 2, FALSE) )</f>
        <v/>
      </c>
    </row>
    <row r="183" spans="2:26" x14ac:dyDescent="0.2">
      <c r="B183" s="2"/>
      <c r="C183" s="4" t="str">
        <f>IF($B183="","",  VLOOKUP($B183, Propostas!$B:$BE, 33, FALSE) )</f>
        <v/>
      </c>
      <c r="D183" s="4" t="str">
        <f>IF($B183="","",  VLOOKUP($B183, Propostas!$B:$BE, 34, FALSE) )</f>
        <v/>
      </c>
      <c r="E183" s="4" t="str">
        <f>IF($B183="","",  VLOOKUP($B183, Propostas!$B:$BE, 35, FALSE) )</f>
        <v/>
      </c>
      <c r="F183" s="4" t="str">
        <f>IF($B183="","",  VLOOKUP($B183, Propostas!$B:$BE, 2, FALSE) )</f>
        <v/>
      </c>
      <c r="G183" s="4" t="str">
        <f>IF($B183="","",  VLOOKUP($B183, Propostas!$B:$BE, 3, FALSE) )</f>
        <v/>
      </c>
      <c r="H183" s="4" t="str">
        <f>IF($B183="","",  VLOOKUP($B183, Propostas!$B:$BE, 4, FALSE) )</f>
        <v/>
      </c>
      <c r="I183" s="4" t="str">
        <f>IF($B183="","",  VLOOKUP($B183, Propostas!$B:$BE, 38, FALSE) )</f>
        <v/>
      </c>
      <c r="J183" s="13" t="str">
        <f>IF($B183="","",IF($C183="SIM", "&lt; INFRRAESTRUTURA &gt;", VLOOKUP($B183,Propostas!$B:$BE,41,FALSE)))</f>
        <v/>
      </c>
      <c r="K183" s="10" t="str">
        <f>IF($B183="","",  VLOOKUP($B183, Propostas!$B:$BE, 40, FALSE) )</f>
        <v/>
      </c>
      <c r="L183" s="10" t="str">
        <f>IF($B183="","",IF(VLOOKUP($B183,Propostas!$B:$BE,21,FALSE)=1,"B",IF(VLOOKUP($B183,Propostas!$B:$BE,21,FALSE)=2,"E","N")))</f>
        <v/>
      </c>
      <c r="M183" s="31" t="str">
        <f>IF($B183 = "", "",  VLOOKUP($B183, Propostas!$B:$BE, 46, FALSE) )</f>
        <v/>
      </c>
      <c r="N183" s="31" t="str">
        <f>IF($B183 = "", "",  VLOOKUP($B183, Propostas!$B:$BE, 47, FALSE) )</f>
        <v/>
      </c>
      <c r="O183" s="13" t="str">
        <f>IF($B183="","",IF($C183="SIM", "INFRAESTRUTURA", VLOOKUP($B183, Propostas!$B:$BE,42,FALSE)))</f>
        <v/>
      </c>
      <c r="P183" s="31" t="str">
        <f>IF($B183 = "", "",  VLOOKUP($B183, Propostas!$B:$BE, 49, FALSE) )</f>
        <v/>
      </c>
      <c r="Q183" s="13" t="str">
        <f>IF($B183="","",  VLOOKUP($B183, Propostas!$B:$BE, 39, FALSE) )</f>
        <v/>
      </c>
      <c r="R183" s="62" t="str">
        <f>IF($B183="","",  VLOOKUP($B183, Propostas!$B:$BE, 43, FALSE) )</f>
        <v/>
      </c>
      <c r="S183" s="62" t="str">
        <f>IF($B183="","",  VLOOKUP($B183, Propostas!$B:$BE, 44, FALSE) )</f>
        <v/>
      </c>
      <c r="T183" s="62" t="str">
        <f>IF($B183="","",  VLOOKUP($B183, Propostas!$B:$BE, 45, FALSE) )</f>
        <v/>
      </c>
      <c r="U183" s="31"/>
      <c r="V183" s="13" t="str">
        <f>IF($B183="","",  VLOOKUP($B183, Propostas!$B:$BE, 50, FALSE) )</f>
        <v/>
      </c>
      <c r="W183" s="13" t="str">
        <f>IF($B183="","",  VLOOKUP($B183, Propostas!$B:$BE, 51, FALSE) )</f>
        <v/>
      </c>
      <c r="X183" s="13" t="str">
        <f>IF($B183="","",  VLOOKUP($B183, Propostas!$B:$BE, 52, FALSE) )</f>
        <v/>
      </c>
      <c r="Y183" s="13" t="str">
        <f>IF($B183="","",  VLOOKUP($B183, Propostas!$B:$BE, 36, FALSE) )</f>
        <v/>
      </c>
      <c r="Z183" s="13" t="str">
        <f>IF($B183="","",  VLOOKUP($F183, VW_PROJETO!B:C, 2, FALSE) )</f>
        <v/>
      </c>
    </row>
    <row r="184" spans="2:26" x14ac:dyDescent="0.2">
      <c r="B184" s="2"/>
      <c r="C184" s="4" t="str">
        <f>IF($B184="","",  VLOOKUP($B184, Propostas!$B:$BE, 33, FALSE) )</f>
        <v/>
      </c>
      <c r="D184" s="4" t="str">
        <f>IF($B184="","",  VLOOKUP($B184, Propostas!$B:$BE, 34, FALSE) )</f>
        <v/>
      </c>
      <c r="E184" s="4" t="str">
        <f>IF($B184="","",  VLOOKUP($B184, Propostas!$B:$BE, 35, FALSE) )</f>
        <v/>
      </c>
      <c r="F184" s="4" t="str">
        <f>IF($B184="","",  VLOOKUP($B184, Propostas!$B:$BE, 2, FALSE) )</f>
        <v/>
      </c>
      <c r="G184" s="4" t="str">
        <f>IF($B184="","",  VLOOKUP($B184, Propostas!$B:$BE, 3, FALSE) )</f>
        <v/>
      </c>
      <c r="H184" s="4" t="str">
        <f>IF($B184="","",  VLOOKUP($B184, Propostas!$B:$BE, 4, FALSE) )</f>
        <v/>
      </c>
      <c r="I184" s="4" t="str">
        <f>IF($B184="","",  VLOOKUP($B184, Propostas!$B:$BE, 38, FALSE) )</f>
        <v/>
      </c>
      <c r="J184" s="13" t="str">
        <f>IF($B184="","",IF($C184="SIM", "&lt; INFRRAESTRUTURA &gt;", VLOOKUP($B184,Propostas!$B:$BE,41,FALSE)))</f>
        <v/>
      </c>
      <c r="K184" s="10" t="str">
        <f>IF($B184="","",  VLOOKUP($B184, Propostas!$B:$BE, 40, FALSE) )</f>
        <v/>
      </c>
      <c r="L184" s="10" t="str">
        <f>IF($B184="","",IF(VLOOKUP($B184,Propostas!$B:$BE,21,FALSE)=1,"B",IF(VLOOKUP($B184,Propostas!$B:$BE,21,FALSE)=2,"E","N")))</f>
        <v/>
      </c>
      <c r="M184" s="31" t="str">
        <f>IF($B184 = "", "",  VLOOKUP($B184, Propostas!$B:$BE, 46, FALSE) )</f>
        <v/>
      </c>
      <c r="N184" s="31" t="str">
        <f>IF($B184 = "", "",  VLOOKUP($B184, Propostas!$B:$BE, 47, FALSE) )</f>
        <v/>
      </c>
      <c r="O184" s="13" t="str">
        <f>IF($B184="","",IF($C184="SIM", "INFRAESTRUTURA", VLOOKUP($B184, Propostas!$B:$BE,42,FALSE)))</f>
        <v/>
      </c>
      <c r="P184" s="31" t="str">
        <f>IF($B184 = "", "",  VLOOKUP($B184, Propostas!$B:$BE, 49, FALSE) )</f>
        <v/>
      </c>
      <c r="Q184" s="13" t="str">
        <f>IF($B184="","",  VLOOKUP($B184, Propostas!$B:$BE, 39, FALSE) )</f>
        <v/>
      </c>
      <c r="R184" s="62" t="str">
        <f>IF($B184="","",  VLOOKUP($B184, Propostas!$B:$BE, 43, FALSE) )</f>
        <v/>
      </c>
      <c r="S184" s="62" t="str">
        <f>IF($B184="","",  VLOOKUP($B184, Propostas!$B:$BE, 44, FALSE) )</f>
        <v/>
      </c>
      <c r="T184" s="62" t="str">
        <f>IF($B184="","",  VLOOKUP($B184, Propostas!$B:$BE, 45, FALSE) )</f>
        <v/>
      </c>
      <c r="U184" s="31"/>
      <c r="V184" s="13" t="str">
        <f>IF($B184="","",  VLOOKUP($B184, Propostas!$B:$BE, 50, FALSE) )</f>
        <v/>
      </c>
      <c r="W184" s="13" t="str">
        <f>IF($B184="","",  VLOOKUP($B184, Propostas!$B:$BE, 51, FALSE) )</f>
        <v/>
      </c>
      <c r="X184" s="13" t="str">
        <f>IF($B184="","",  VLOOKUP($B184, Propostas!$B:$BE, 52, FALSE) )</f>
        <v/>
      </c>
      <c r="Y184" s="13" t="str">
        <f>IF($B184="","",  VLOOKUP($B184, Propostas!$B:$BE, 36, FALSE) )</f>
        <v/>
      </c>
      <c r="Z184" s="13" t="str">
        <f>IF($B184="","",  VLOOKUP($F184, VW_PROJETO!B:C, 2, FALSE) )</f>
        <v/>
      </c>
    </row>
    <row r="185" spans="2:26" x14ac:dyDescent="0.2">
      <c r="B185" s="2"/>
      <c r="C185" s="4" t="str">
        <f>IF($B185="","",  VLOOKUP($B185, Propostas!$B:$BE, 33, FALSE) )</f>
        <v/>
      </c>
      <c r="D185" s="4" t="str">
        <f>IF($B185="","",  VLOOKUP($B185, Propostas!$B:$BE, 34, FALSE) )</f>
        <v/>
      </c>
      <c r="E185" s="4" t="str">
        <f>IF($B185="","",  VLOOKUP($B185, Propostas!$B:$BE, 35, FALSE) )</f>
        <v/>
      </c>
      <c r="F185" s="4" t="str">
        <f>IF($B185="","",  VLOOKUP($B185, Propostas!$B:$BE, 2, FALSE) )</f>
        <v/>
      </c>
      <c r="G185" s="4" t="str">
        <f>IF($B185="","",  VLOOKUP($B185, Propostas!$B:$BE, 3, FALSE) )</f>
        <v/>
      </c>
      <c r="H185" s="4" t="str">
        <f>IF($B185="","",  VLOOKUP($B185, Propostas!$B:$BE, 4, FALSE) )</f>
        <v/>
      </c>
      <c r="I185" s="4" t="str">
        <f>IF($B185="","",  VLOOKUP($B185, Propostas!$B:$BE, 38, FALSE) )</f>
        <v/>
      </c>
      <c r="J185" s="13" t="str">
        <f>IF($B185="","",IF($C185="SIM", "&lt; INFRRAESTRUTURA &gt;", VLOOKUP($B185,Propostas!$B:$BE,41,FALSE)))</f>
        <v/>
      </c>
      <c r="K185" s="10" t="str">
        <f>IF($B185="","",  VLOOKUP($B185, Propostas!$B:$BE, 40, FALSE) )</f>
        <v/>
      </c>
      <c r="L185" s="10" t="str">
        <f>IF($B185="","",IF(VLOOKUP($B185,Propostas!$B:$BE,21,FALSE)=1,"B",IF(VLOOKUP($B185,Propostas!$B:$BE,21,FALSE)=2,"E","N")))</f>
        <v/>
      </c>
      <c r="M185" s="31" t="str">
        <f>IF($B185 = "", "",  VLOOKUP($B185, Propostas!$B:$BE, 46, FALSE) )</f>
        <v/>
      </c>
      <c r="N185" s="31" t="str">
        <f>IF($B185 = "", "",  VLOOKUP($B185, Propostas!$B:$BE, 47, FALSE) )</f>
        <v/>
      </c>
      <c r="O185" s="13" t="str">
        <f>IF($B185="","",IF($C185="SIM", "INFRAESTRUTURA", VLOOKUP($B185, Propostas!$B:$BE,42,FALSE)))</f>
        <v/>
      </c>
      <c r="P185" s="31" t="str">
        <f>IF($B185 = "", "",  VLOOKUP($B185, Propostas!$B:$BE, 49, FALSE) )</f>
        <v/>
      </c>
      <c r="Q185" s="13" t="str">
        <f>IF($B185="","",  VLOOKUP($B185, Propostas!$B:$BE, 39, FALSE) )</f>
        <v/>
      </c>
      <c r="R185" s="62" t="str">
        <f>IF($B185="","",  VLOOKUP($B185, Propostas!$B:$BE, 43, FALSE) )</f>
        <v/>
      </c>
      <c r="S185" s="62" t="str">
        <f>IF($B185="","",  VLOOKUP($B185, Propostas!$B:$BE, 44, FALSE) )</f>
        <v/>
      </c>
      <c r="T185" s="62" t="str">
        <f>IF($B185="","",  VLOOKUP($B185, Propostas!$B:$BE, 45, FALSE) )</f>
        <v/>
      </c>
      <c r="U185" s="31"/>
      <c r="V185" s="13" t="str">
        <f>IF($B185="","",  VLOOKUP($B185, Propostas!$B:$BE, 50, FALSE) )</f>
        <v/>
      </c>
      <c r="W185" s="13" t="str">
        <f>IF($B185="","",  VLOOKUP($B185, Propostas!$B:$BE, 51, FALSE) )</f>
        <v/>
      </c>
      <c r="X185" s="13" t="str">
        <f>IF($B185="","",  VLOOKUP($B185, Propostas!$B:$BE, 52, FALSE) )</f>
        <v/>
      </c>
      <c r="Y185" s="13" t="str">
        <f>IF($B185="","",  VLOOKUP($B185, Propostas!$B:$BE, 36, FALSE) )</f>
        <v/>
      </c>
      <c r="Z185" s="13" t="str">
        <f>IF($B185="","",  VLOOKUP($F185, VW_PROJETO!B:C, 2, FALSE) )</f>
        <v/>
      </c>
    </row>
    <row r="186" spans="2:26" x14ac:dyDescent="0.2">
      <c r="B186" s="2"/>
      <c r="C186" s="4" t="str">
        <f>IF($B186="","",  VLOOKUP($B186, Propostas!$B:$BE, 33, FALSE) )</f>
        <v/>
      </c>
      <c r="D186" s="4" t="str">
        <f>IF($B186="","",  VLOOKUP($B186, Propostas!$B:$BE, 34, FALSE) )</f>
        <v/>
      </c>
      <c r="E186" s="4" t="str">
        <f>IF($B186="","",  VLOOKUP($B186, Propostas!$B:$BE, 35, FALSE) )</f>
        <v/>
      </c>
      <c r="F186" s="4" t="str">
        <f>IF($B186="","",  VLOOKUP($B186, Propostas!$B:$BE, 2, FALSE) )</f>
        <v/>
      </c>
      <c r="G186" s="4" t="str">
        <f>IF($B186="","",  VLOOKUP($B186, Propostas!$B:$BE, 3, FALSE) )</f>
        <v/>
      </c>
      <c r="H186" s="4" t="str">
        <f>IF($B186="","",  VLOOKUP($B186, Propostas!$B:$BE, 4, FALSE) )</f>
        <v/>
      </c>
      <c r="I186" s="4" t="str">
        <f>IF($B186="","",  VLOOKUP($B186, Propostas!$B:$BE, 38, FALSE) )</f>
        <v/>
      </c>
      <c r="J186" s="13" t="str">
        <f>IF($B186="","",IF($C186="SIM", "&lt; INFRRAESTRUTURA &gt;", VLOOKUP($B186,Propostas!$B:$BE,41,FALSE)))</f>
        <v/>
      </c>
      <c r="K186" s="10" t="str">
        <f>IF($B186="","",  VLOOKUP($B186, Propostas!$B:$BE, 40, FALSE) )</f>
        <v/>
      </c>
      <c r="L186" s="10" t="str">
        <f>IF($B186="","",IF(VLOOKUP($B186,Propostas!$B:$BE,21,FALSE)=1,"B",IF(VLOOKUP($B186,Propostas!$B:$BE,21,FALSE)=2,"E","N")))</f>
        <v/>
      </c>
      <c r="M186" s="31" t="str">
        <f>IF($B186 = "", "",  VLOOKUP($B186, Propostas!$B:$BE, 46, FALSE) )</f>
        <v/>
      </c>
      <c r="N186" s="31" t="str">
        <f>IF($B186 = "", "",  VLOOKUP($B186, Propostas!$B:$BE, 47, FALSE) )</f>
        <v/>
      </c>
      <c r="O186" s="13" t="str">
        <f>IF($B186="","",IF($C186="SIM", "INFRAESTRUTURA", VLOOKUP($B186, Propostas!$B:$BE,42,FALSE)))</f>
        <v/>
      </c>
      <c r="P186" s="31" t="str">
        <f>IF($B186 = "", "",  VLOOKUP($B186, Propostas!$B:$BE, 49, FALSE) )</f>
        <v/>
      </c>
      <c r="Q186" s="13" t="str">
        <f>IF($B186="","",  VLOOKUP($B186, Propostas!$B:$BE, 39, FALSE) )</f>
        <v/>
      </c>
      <c r="R186" s="62" t="str">
        <f>IF($B186="","",  VLOOKUP($B186, Propostas!$B:$BE, 43, FALSE) )</f>
        <v/>
      </c>
      <c r="S186" s="62" t="str">
        <f>IF($B186="","",  VLOOKUP($B186, Propostas!$B:$BE, 44, FALSE) )</f>
        <v/>
      </c>
      <c r="T186" s="62" t="str">
        <f>IF($B186="","",  VLOOKUP($B186, Propostas!$B:$BE, 45, FALSE) )</f>
        <v/>
      </c>
      <c r="U186" s="31"/>
      <c r="V186" s="13" t="str">
        <f>IF($B186="","",  VLOOKUP($B186, Propostas!$B:$BE, 50, FALSE) )</f>
        <v/>
      </c>
      <c r="W186" s="13" t="str">
        <f>IF($B186="","",  VLOOKUP($B186, Propostas!$B:$BE, 51, FALSE) )</f>
        <v/>
      </c>
      <c r="X186" s="13" t="str">
        <f>IF($B186="","",  VLOOKUP($B186, Propostas!$B:$BE, 52, FALSE) )</f>
        <v/>
      </c>
      <c r="Y186" s="13" t="str">
        <f>IF($B186="","",  VLOOKUP($B186, Propostas!$B:$BE, 36, FALSE) )</f>
        <v/>
      </c>
      <c r="Z186" s="13" t="str">
        <f>IF($B186="","",  VLOOKUP($F186, VW_PROJETO!B:C, 2, FALSE) )</f>
        <v/>
      </c>
    </row>
    <row r="187" spans="2:26" x14ac:dyDescent="0.2">
      <c r="B187" s="2"/>
      <c r="C187" s="4" t="str">
        <f>IF($B187="","",  VLOOKUP($B187, Propostas!$B:$BE, 33, FALSE) )</f>
        <v/>
      </c>
      <c r="D187" s="4" t="str">
        <f>IF($B187="","",  VLOOKUP($B187, Propostas!$B:$BE, 34, FALSE) )</f>
        <v/>
      </c>
      <c r="E187" s="4" t="str">
        <f>IF($B187="","",  VLOOKUP($B187, Propostas!$B:$BE, 35, FALSE) )</f>
        <v/>
      </c>
      <c r="F187" s="4" t="str">
        <f>IF($B187="","",  VLOOKUP($B187, Propostas!$B:$BE, 2, FALSE) )</f>
        <v/>
      </c>
      <c r="G187" s="4" t="str">
        <f>IF($B187="","",  VLOOKUP($B187, Propostas!$B:$BE, 3, FALSE) )</f>
        <v/>
      </c>
      <c r="H187" s="4" t="str">
        <f>IF($B187="","",  VLOOKUP($B187, Propostas!$B:$BE, 4, FALSE) )</f>
        <v/>
      </c>
      <c r="I187" s="4" t="str">
        <f>IF($B187="","",  VLOOKUP($B187, Propostas!$B:$BE, 38, FALSE) )</f>
        <v/>
      </c>
      <c r="J187" s="13" t="str">
        <f>IF($B187="","",IF($C187="SIM", "&lt; INFRRAESTRUTURA &gt;", VLOOKUP($B187,Propostas!$B:$BE,41,FALSE)))</f>
        <v/>
      </c>
      <c r="K187" s="10" t="str">
        <f>IF($B187="","",  VLOOKUP($B187, Propostas!$B:$BE, 40, FALSE) )</f>
        <v/>
      </c>
      <c r="L187" s="10" t="str">
        <f>IF($B187="","",IF(VLOOKUP($B187,Propostas!$B:$BE,21,FALSE)=1,"B",IF(VLOOKUP($B187,Propostas!$B:$BE,21,FALSE)=2,"E","N")))</f>
        <v/>
      </c>
      <c r="M187" s="31" t="str">
        <f>IF($B187 = "", "",  VLOOKUP($B187, Propostas!$B:$BE, 46, FALSE) )</f>
        <v/>
      </c>
      <c r="N187" s="31" t="str">
        <f>IF($B187 = "", "",  VLOOKUP($B187, Propostas!$B:$BE, 47, FALSE) )</f>
        <v/>
      </c>
      <c r="O187" s="13" t="str">
        <f>IF($B187="","",IF($C187="SIM", "INFRAESTRUTURA", VLOOKUP($B187, Propostas!$B:$BE,42,FALSE)))</f>
        <v/>
      </c>
      <c r="P187" s="31" t="str">
        <f>IF($B187 = "", "",  VLOOKUP($B187, Propostas!$B:$BE, 49, FALSE) )</f>
        <v/>
      </c>
      <c r="Q187" s="13" t="str">
        <f>IF($B187="","",  VLOOKUP($B187, Propostas!$B:$BE, 39, FALSE) )</f>
        <v/>
      </c>
      <c r="R187" s="62" t="str">
        <f>IF($B187="","",  VLOOKUP($B187, Propostas!$B:$BE, 43, FALSE) )</f>
        <v/>
      </c>
      <c r="S187" s="62" t="str">
        <f>IF($B187="","",  VLOOKUP($B187, Propostas!$B:$BE, 44, FALSE) )</f>
        <v/>
      </c>
      <c r="T187" s="62" t="str">
        <f>IF($B187="","",  VLOOKUP($B187, Propostas!$B:$BE, 45, FALSE) )</f>
        <v/>
      </c>
      <c r="U187" s="31"/>
      <c r="V187" s="13" t="str">
        <f>IF($B187="","",  VLOOKUP($B187, Propostas!$B:$BE, 50, FALSE) )</f>
        <v/>
      </c>
      <c r="W187" s="13" t="str">
        <f>IF($B187="","",  VLOOKUP($B187, Propostas!$B:$BE, 51, FALSE) )</f>
        <v/>
      </c>
      <c r="X187" s="13" t="str">
        <f>IF($B187="","",  VLOOKUP($B187, Propostas!$B:$BE, 52, FALSE) )</f>
        <v/>
      </c>
      <c r="Y187" s="13" t="str">
        <f>IF($B187="","",  VLOOKUP($B187, Propostas!$B:$BE, 36, FALSE) )</f>
        <v/>
      </c>
      <c r="Z187" s="13" t="str">
        <f>IF($B187="","",  VLOOKUP($F187, VW_PROJETO!B:C, 2, FALSE) )</f>
        <v/>
      </c>
    </row>
    <row r="188" spans="2:26" x14ac:dyDescent="0.2">
      <c r="B188" s="2"/>
      <c r="C188" s="4" t="str">
        <f>IF($B188="","",  VLOOKUP($B188, Propostas!$B:$BE, 33, FALSE) )</f>
        <v/>
      </c>
      <c r="D188" s="4" t="str">
        <f>IF($B188="","",  VLOOKUP($B188, Propostas!$B:$BE, 34, FALSE) )</f>
        <v/>
      </c>
      <c r="E188" s="4" t="str">
        <f>IF($B188="","",  VLOOKUP($B188, Propostas!$B:$BE, 35, FALSE) )</f>
        <v/>
      </c>
      <c r="F188" s="4" t="str">
        <f>IF($B188="","",  VLOOKUP($B188, Propostas!$B:$BE, 2, FALSE) )</f>
        <v/>
      </c>
      <c r="G188" s="4" t="str">
        <f>IF($B188="","",  VLOOKUP($B188, Propostas!$B:$BE, 3, FALSE) )</f>
        <v/>
      </c>
      <c r="H188" s="4" t="str">
        <f>IF($B188="","",  VLOOKUP($B188, Propostas!$B:$BE, 4, FALSE) )</f>
        <v/>
      </c>
      <c r="I188" s="4" t="str">
        <f>IF($B188="","",  VLOOKUP($B188, Propostas!$B:$BE, 38, FALSE) )</f>
        <v/>
      </c>
      <c r="J188" s="13" t="str">
        <f>IF($B188="","",IF($C188="SIM", "&lt; INFRRAESTRUTURA &gt;", VLOOKUP($B188,Propostas!$B:$BE,41,FALSE)))</f>
        <v/>
      </c>
      <c r="K188" s="10" t="str">
        <f>IF($B188="","",  VLOOKUP($B188, Propostas!$B:$BE, 40, FALSE) )</f>
        <v/>
      </c>
      <c r="L188" s="10" t="str">
        <f>IF($B188="","",IF(VLOOKUP($B188,Propostas!$B:$BE,21,FALSE)=1,"B",IF(VLOOKUP($B188,Propostas!$B:$BE,21,FALSE)=2,"E","N")))</f>
        <v/>
      </c>
      <c r="M188" s="31" t="str">
        <f>IF($B188 = "", "",  VLOOKUP($B188, Propostas!$B:$BE, 46, FALSE) )</f>
        <v/>
      </c>
      <c r="N188" s="31" t="str">
        <f>IF($B188 = "", "",  VLOOKUP($B188, Propostas!$B:$BE, 47, FALSE) )</f>
        <v/>
      </c>
      <c r="O188" s="13" t="str">
        <f>IF($B188="","",IF($C188="SIM", "INFRAESTRUTURA", VLOOKUP($B188, Propostas!$B:$BE,42,FALSE)))</f>
        <v/>
      </c>
      <c r="P188" s="31" t="str">
        <f>IF($B188 = "", "",  VLOOKUP($B188, Propostas!$B:$BE, 49, FALSE) )</f>
        <v/>
      </c>
      <c r="Q188" s="13" t="str">
        <f>IF($B188="","",  VLOOKUP($B188, Propostas!$B:$BE, 39, FALSE) )</f>
        <v/>
      </c>
      <c r="R188" s="62" t="str">
        <f>IF($B188="","",  VLOOKUP($B188, Propostas!$B:$BE, 43, FALSE) )</f>
        <v/>
      </c>
      <c r="S188" s="62" t="str">
        <f>IF($B188="","",  VLOOKUP($B188, Propostas!$B:$BE, 44, FALSE) )</f>
        <v/>
      </c>
      <c r="T188" s="62" t="str">
        <f>IF($B188="","",  VLOOKUP($B188, Propostas!$B:$BE, 45, FALSE) )</f>
        <v/>
      </c>
      <c r="U188" s="31"/>
      <c r="V188" s="13" t="str">
        <f>IF($B188="","",  VLOOKUP($B188, Propostas!$B:$BE, 50, FALSE) )</f>
        <v/>
      </c>
      <c r="W188" s="13" t="str">
        <f>IF($B188="","",  VLOOKUP($B188, Propostas!$B:$BE, 51, FALSE) )</f>
        <v/>
      </c>
      <c r="X188" s="13" t="str">
        <f>IF($B188="","",  VLOOKUP($B188, Propostas!$B:$BE, 52, FALSE) )</f>
        <v/>
      </c>
      <c r="Y188" s="13" t="str">
        <f>IF($B188="","",  VLOOKUP($B188, Propostas!$B:$BE, 36, FALSE) )</f>
        <v/>
      </c>
      <c r="Z188" s="13" t="str">
        <f>IF($B188="","",  VLOOKUP($F188, VW_PROJETO!B:C, 2, FALSE) )</f>
        <v/>
      </c>
    </row>
    <row r="189" spans="2:26" x14ac:dyDescent="0.2">
      <c r="B189" s="2"/>
      <c r="C189" s="4" t="str">
        <f>IF($B189="","",  VLOOKUP($B189, Propostas!$B:$BE, 33, FALSE) )</f>
        <v/>
      </c>
      <c r="D189" s="4" t="str">
        <f>IF($B189="","",  VLOOKUP($B189, Propostas!$B:$BE, 34, FALSE) )</f>
        <v/>
      </c>
      <c r="E189" s="4" t="str">
        <f>IF($B189="","",  VLOOKUP($B189, Propostas!$B:$BE, 35, FALSE) )</f>
        <v/>
      </c>
      <c r="F189" s="4" t="str">
        <f>IF($B189="","",  VLOOKUP($B189, Propostas!$B:$BE, 2, FALSE) )</f>
        <v/>
      </c>
      <c r="G189" s="4" t="str">
        <f>IF($B189="","",  VLOOKUP($B189, Propostas!$B:$BE, 3, FALSE) )</f>
        <v/>
      </c>
      <c r="H189" s="4" t="str">
        <f>IF($B189="","",  VLOOKUP($B189, Propostas!$B:$BE, 4, FALSE) )</f>
        <v/>
      </c>
      <c r="I189" s="4" t="str">
        <f>IF($B189="","",  VLOOKUP($B189, Propostas!$B:$BE, 38, FALSE) )</f>
        <v/>
      </c>
      <c r="J189" s="13" t="str">
        <f>IF($B189="","",IF($C189="SIM", "&lt; INFRRAESTRUTURA &gt;", VLOOKUP($B189,Propostas!$B:$BE,41,FALSE)))</f>
        <v/>
      </c>
      <c r="K189" s="10" t="str">
        <f>IF($B189="","",  VLOOKUP($B189, Propostas!$B:$BE, 40, FALSE) )</f>
        <v/>
      </c>
      <c r="L189" s="10" t="str">
        <f>IF($B189="","",IF(VLOOKUP($B189,Propostas!$B:$BE,21,FALSE)=1,"B",IF(VLOOKUP($B189,Propostas!$B:$BE,21,FALSE)=2,"E","N")))</f>
        <v/>
      </c>
      <c r="M189" s="31" t="str">
        <f>IF($B189 = "", "",  VLOOKUP($B189, Propostas!$B:$BE, 46, FALSE) )</f>
        <v/>
      </c>
      <c r="N189" s="31" t="str">
        <f>IF($B189 = "", "",  VLOOKUP($B189, Propostas!$B:$BE, 47, FALSE) )</f>
        <v/>
      </c>
      <c r="O189" s="13" t="str">
        <f>IF($B189="","",IF($C189="SIM", "INFRAESTRUTURA", VLOOKUP($B189, Propostas!$B:$BE,42,FALSE)))</f>
        <v/>
      </c>
      <c r="P189" s="31" t="str">
        <f>IF($B189 = "", "",  VLOOKUP($B189, Propostas!$B:$BE, 49, FALSE) )</f>
        <v/>
      </c>
      <c r="Q189" s="13" t="str">
        <f>IF($B189="","",  VLOOKUP($B189, Propostas!$B:$BE, 39, FALSE) )</f>
        <v/>
      </c>
      <c r="R189" s="62" t="str">
        <f>IF($B189="","",  VLOOKUP($B189, Propostas!$B:$BE, 43, FALSE) )</f>
        <v/>
      </c>
      <c r="S189" s="62" t="str">
        <f>IF($B189="","",  VLOOKUP($B189, Propostas!$B:$BE, 44, FALSE) )</f>
        <v/>
      </c>
      <c r="T189" s="62" t="str">
        <f>IF($B189="","",  VLOOKUP($B189, Propostas!$B:$BE, 45, FALSE) )</f>
        <v/>
      </c>
      <c r="U189" s="31"/>
      <c r="V189" s="13" t="str">
        <f>IF($B189="","",  VLOOKUP($B189, Propostas!$B:$BE, 50, FALSE) )</f>
        <v/>
      </c>
      <c r="W189" s="13" t="str">
        <f>IF($B189="","",  VLOOKUP($B189, Propostas!$B:$BE, 51, FALSE) )</f>
        <v/>
      </c>
      <c r="X189" s="13" t="str">
        <f>IF($B189="","",  VLOOKUP($B189, Propostas!$B:$BE, 52, FALSE) )</f>
        <v/>
      </c>
      <c r="Y189" s="13" t="str">
        <f>IF($B189="","",  VLOOKUP($B189, Propostas!$B:$BE, 36, FALSE) )</f>
        <v/>
      </c>
      <c r="Z189" s="13" t="str">
        <f>IF($B189="","",  VLOOKUP($F189, VW_PROJETO!B:C, 2, FALSE) )</f>
        <v/>
      </c>
    </row>
    <row r="190" spans="2:26" x14ac:dyDescent="0.2">
      <c r="B190" s="2"/>
      <c r="C190" s="4" t="str">
        <f>IF($B190="","",  VLOOKUP($B190, Propostas!$B:$BE, 33, FALSE) )</f>
        <v/>
      </c>
      <c r="D190" s="4" t="str">
        <f>IF($B190="","",  VLOOKUP($B190, Propostas!$B:$BE, 34, FALSE) )</f>
        <v/>
      </c>
      <c r="E190" s="4" t="str">
        <f>IF($B190="","",  VLOOKUP($B190, Propostas!$B:$BE, 35, FALSE) )</f>
        <v/>
      </c>
      <c r="F190" s="4" t="str">
        <f>IF($B190="","",  VLOOKUP($B190, Propostas!$B:$BE, 2, FALSE) )</f>
        <v/>
      </c>
      <c r="G190" s="4" t="str">
        <f>IF($B190="","",  VLOOKUP($B190, Propostas!$B:$BE, 3, FALSE) )</f>
        <v/>
      </c>
      <c r="H190" s="4" t="str">
        <f>IF($B190="","",  VLOOKUP($B190, Propostas!$B:$BE, 4, FALSE) )</f>
        <v/>
      </c>
      <c r="I190" s="4" t="str">
        <f>IF($B190="","",  VLOOKUP($B190, Propostas!$B:$BE, 38, FALSE) )</f>
        <v/>
      </c>
      <c r="J190" s="13" t="str">
        <f>IF($B190="","",IF($C190="SIM", "&lt; INFRRAESTRUTURA &gt;", VLOOKUP($B190,Propostas!$B:$BE,41,FALSE)))</f>
        <v/>
      </c>
      <c r="K190" s="10" t="str">
        <f>IF($B190="","",  VLOOKUP($B190, Propostas!$B:$BE, 40, FALSE) )</f>
        <v/>
      </c>
      <c r="L190" s="10" t="str">
        <f>IF($B190="","",IF(VLOOKUP($B190,Propostas!$B:$BE,21,FALSE)=1,"B",IF(VLOOKUP($B190,Propostas!$B:$BE,21,FALSE)=2,"E","N")))</f>
        <v/>
      </c>
      <c r="M190" s="31" t="str">
        <f>IF($B190 = "", "",  VLOOKUP($B190, Propostas!$B:$BE, 46, FALSE) )</f>
        <v/>
      </c>
      <c r="N190" s="31" t="str">
        <f>IF($B190 = "", "",  VLOOKUP($B190, Propostas!$B:$BE, 47, FALSE) )</f>
        <v/>
      </c>
      <c r="O190" s="13" t="str">
        <f>IF($B190="","",IF($C190="SIM", "INFRAESTRUTURA", VLOOKUP($B190, Propostas!$B:$BE,42,FALSE)))</f>
        <v/>
      </c>
      <c r="P190" s="31" t="str">
        <f>IF($B190 = "", "",  VLOOKUP($B190, Propostas!$B:$BE, 49, FALSE) )</f>
        <v/>
      </c>
      <c r="Q190" s="13" t="str">
        <f>IF($B190="","",  VLOOKUP($B190, Propostas!$B:$BE, 39, FALSE) )</f>
        <v/>
      </c>
      <c r="R190" s="62" t="str">
        <f>IF($B190="","",  VLOOKUP($B190, Propostas!$B:$BE, 43, FALSE) )</f>
        <v/>
      </c>
      <c r="S190" s="62" t="str">
        <f>IF($B190="","",  VLOOKUP($B190, Propostas!$B:$BE, 44, FALSE) )</f>
        <v/>
      </c>
      <c r="T190" s="62" t="str">
        <f>IF($B190="","",  VLOOKUP($B190, Propostas!$B:$BE, 45, FALSE) )</f>
        <v/>
      </c>
      <c r="U190" s="31"/>
      <c r="V190" s="13" t="str">
        <f>IF($B190="","",  VLOOKUP($B190, Propostas!$B:$BE, 50, FALSE) )</f>
        <v/>
      </c>
      <c r="W190" s="13" t="str">
        <f>IF($B190="","",  VLOOKUP($B190, Propostas!$B:$BE, 51, FALSE) )</f>
        <v/>
      </c>
      <c r="X190" s="13" t="str">
        <f>IF($B190="","",  VLOOKUP($B190, Propostas!$B:$BE, 52, FALSE) )</f>
        <v/>
      </c>
      <c r="Y190" s="13" t="str">
        <f>IF($B190="","",  VLOOKUP($B190, Propostas!$B:$BE, 36, FALSE) )</f>
        <v/>
      </c>
      <c r="Z190" s="13" t="str">
        <f>IF($B190="","",  VLOOKUP($F190, VW_PROJETO!B:C, 2, FALSE) )</f>
        <v/>
      </c>
    </row>
    <row r="191" spans="2:26" x14ac:dyDescent="0.2">
      <c r="B191" s="2"/>
      <c r="C191" s="4" t="str">
        <f>IF($B191="","",  VLOOKUP($B191, Propostas!$B:$BE, 33, FALSE) )</f>
        <v/>
      </c>
      <c r="D191" s="4" t="str">
        <f>IF($B191="","",  VLOOKUP($B191, Propostas!$B:$BE, 34, FALSE) )</f>
        <v/>
      </c>
      <c r="E191" s="4" t="str">
        <f>IF($B191="","",  VLOOKUP($B191, Propostas!$B:$BE, 35, FALSE) )</f>
        <v/>
      </c>
      <c r="F191" s="4" t="str">
        <f>IF($B191="","",  VLOOKUP($B191, Propostas!$B:$BE, 2, FALSE) )</f>
        <v/>
      </c>
      <c r="G191" s="4" t="str">
        <f>IF($B191="","",  VLOOKUP($B191, Propostas!$B:$BE, 3, FALSE) )</f>
        <v/>
      </c>
      <c r="H191" s="4" t="str">
        <f>IF($B191="","",  VLOOKUP($B191, Propostas!$B:$BE, 4, FALSE) )</f>
        <v/>
      </c>
      <c r="I191" s="4" t="str">
        <f>IF($B191="","",  VLOOKUP($B191, Propostas!$B:$BE, 38, FALSE) )</f>
        <v/>
      </c>
      <c r="J191" s="13" t="str">
        <f>IF($B191="","",IF($C191="SIM", "&lt; INFRRAESTRUTURA &gt;", VLOOKUP($B191,Propostas!$B:$BE,41,FALSE)))</f>
        <v/>
      </c>
      <c r="K191" s="10" t="str">
        <f>IF($B191="","",  VLOOKUP($B191, Propostas!$B:$BE, 40, FALSE) )</f>
        <v/>
      </c>
      <c r="L191" s="10" t="str">
        <f>IF($B191="","",IF(VLOOKUP($B191,Propostas!$B:$BE,21,FALSE)=1,"B",IF(VLOOKUP($B191,Propostas!$B:$BE,21,FALSE)=2,"E","N")))</f>
        <v/>
      </c>
      <c r="M191" s="31" t="str">
        <f>IF($B191 = "", "",  VLOOKUP($B191, Propostas!$B:$BE, 46, FALSE) )</f>
        <v/>
      </c>
      <c r="N191" s="31" t="str">
        <f>IF($B191 = "", "",  VLOOKUP($B191, Propostas!$B:$BE, 47, FALSE) )</f>
        <v/>
      </c>
      <c r="O191" s="13" t="str">
        <f>IF($B191="","",IF($C191="SIM", "INFRAESTRUTURA", VLOOKUP($B191, Propostas!$B:$BE,42,FALSE)))</f>
        <v/>
      </c>
      <c r="P191" s="31" t="str">
        <f>IF($B191 = "", "",  VLOOKUP($B191, Propostas!$B:$BE, 49, FALSE) )</f>
        <v/>
      </c>
      <c r="Q191" s="13" t="str">
        <f>IF($B191="","",  VLOOKUP($B191, Propostas!$B:$BE, 39, FALSE) )</f>
        <v/>
      </c>
      <c r="R191" s="62" t="str">
        <f>IF($B191="","",  VLOOKUP($B191, Propostas!$B:$BE, 43, FALSE) )</f>
        <v/>
      </c>
      <c r="S191" s="62" t="str">
        <f>IF($B191="","",  VLOOKUP($B191, Propostas!$B:$BE, 44, FALSE) )</f>
        <v/>
      </c>
      <c r="T191" s="62" t="str">
        <f>IF($B191="","",  VLOOKUP($B191, Propostas!$B:$BE, 45, FALSE) )</f>
        <v/>
      </c>
      <c r="U191" s="31"/>
      <c r="V191" s="13" t="str">
        <f>IF($B191="","",  VLOOKUP($B191, Propostas!$B:$BE, 50, FALSE) )</f>
        <v/>
      </c>
      <c r="W191" s="13" t="str">
        <f>IF($B191="","",  VLOOKUP($B191, Propostas!$B:$BE, 51, FALSE) )</f>
        <v/>
      </c>
      <c r="X191" s="13" t="str">
        <f>IF($B191="","",  VLOOKUP($B191, Propostas!$B:$BE, 52, FALSE) )</f>
        <v/>
      </c>
      <c r="Y191" s="13" t="str">
        <f>IF($B191="","",  VLOOKUP($B191, Propostas!$B:$BE, 36, FALSE) )</f>
        <v/>
      </c>
      <c r="Z191" s="13" t="str">
        <f>IF($B191="","",  VLOOKUP($F191, VW_PROJETO!B:C, 2, FALSE) )</f>
        <v/>
      </c>
    </row>
    <row r="192" spans="2:26" x14ac:dyDescent="0.2">
      <c r="B192" s="2"/>
      <c r="C192" s="4" t="str">
        <f>IF($B192="","",  VLOOKUP($B192, Propostas!$B:$BE, 33, FALSE) )</f>
        <v/>
      </c>
      <c r="D192" s="4" t="str">
        <f>IF($B192="","",  VLOOKUP($B192, Propostas!$B:$BE, 34, FALSE) )</f>
        <v/>
      </c>
      <c r="E192" s="4" t="str">
        <f>IF($B192="","",  VLOOKUP($B192, Propostas!$B:$BE, 35, FALSE) )</f>
        <v/>
      </c>
      <c r="F192" s="4" t="str">
        <f>IF($B192="","",  VLOOKUP($B192, Propostas!$B:$BE, 2, FALSE) )</f>
        <v/>
      </c>
      <c r="G192" s="4" t="str">
        <f>IF($B192="","",  VLOOKUP($B192, Propostas!$B:$BE, 3, FALSE) )</f>
        <v/>
      </c>
      <c r="H192" s="4" t="str">
        <f>IF($B192="","",  VLOOKUP($B192, Propostas!$B:$BE, 4, FALSE) )</f>
        <v/>
      </c>
      <c r="I192" s="4" t="str">
        <f>IF($B192="","",  VLOOKUP($B192, Propostas!$B:$BE, 38, FALSE) )</f>
        <v/>
      </c>
      <c r="J192" s="13" t="str">
        <f>IF($B192="","",IF($C192="SIM", "&lt; INFRRAESTRUTURA &gt;", VLOOKUP($B192,Propostas!$B:$BE,41,FALSE)))</f>
        <v/>
      </c>
      <c r="K192" s="10" t="str">
        <f>IF($B192="","",  VLOOKUP($B192, Propostas!$B:$BE, 40, FALSE) )</f>
        <v/>
      </c>
      <c r="L192" s="10" t="str">
        <f>IF($B192="","",IF(VLOOKUP($B192,Propostas!$B:$BE,21,FALSE)=1,"B",IF(VLOOKUP($B192,Propostas!$B:$BE,21,FALSE)=2,"E","N")))</f>
        <v/>
      </c>
      <c r="M192" s="31" t="str">
        <f>IF($B192 = "", "",  VLOOKUP($B192, Propostas!$B:$BE, 46, FALSE) )</f>
        <v/>
      </c>
      <c r="N192" s="31" t="str">
        <f>IF($B192 = "", "",  VLOOKUP($B192, Propostas!$B:$BE, 47, FALSE) )</f>
        <v/>
      </c>
      <c r="O192" s="13" t="str">
        <f>IF($B192="","",IF($C192="SIM", "INFRAESTRUTURA", VLOOKUP($B192, Propostas!$B:$BE,42,FALSE)))</f>
        <v/>
      </c>
      <c r="P192" s="31" t="str">
        <f>IF($B192 = "", "",  VLOOKUP($B192, Propostas!$B:$BE, 49, FALSE) )</f>
        <v/>
      </c>
      <c r="Q192" s="13" t="str">
        <f>IF($B192="","",  VLOOKUP($B192, Propostas!$B:$BE, 39, FALSE) )</f>
        <v/>
      </c>
      <c r="R192" s="62" t="str">
        <f>IF($B192="","",  VLOOKUP($B192, Propostas!$B:$BE, 43, FALSE) )</f>
        <v/>
      </c>
      <c r="S192" s="62" t="str">
        <f>IF($B192="","",  VLOOKUP($B192, Propostas!$B:$BE, 44, FALSE) )</f>
        <v/>
      </c>
      <c r="T192" s="62" t="str">
        <f>IF($B192="","",  VLOOKUP($B192, Propostas!$B:$BE, 45, FALSE) )</f>
        <v/>
      </c>
      <c r="U192" s="31"/>
      <c r="V192" s="13" t="str">
        <f>IF($B192="","",  VLOOKUP($B192, Propostas!$B:$BE, 50, FALSE) )</f>
        <v/>
      </c>
      <c r="W192" s="13" t="str">
        <f>IF($B192="","",  VLOOKUP($B192, Propostas!$B:$BE, 51, FALSE) )</f>
        <v/>
      </c>
      <c r="X192" s="13" t="str">
        <f>IF($B192="","",  VLOOKUP($B192, Propostas!$B:$BE, 52, FALSE) )</f>
        <v/>
      </c>
      <c r="Y192" s="13" t="str">
        <f>IF($B192="","",  VLOOKUP($B192, Propostas!$B:$BE, 36, FALSE) )</f>
        <v/>
      </c>
      <c r="Z192" s="13" t="str">
        <f>IF($B192="","",  VLOOKUP($F192, VW_PROJETO!B:C, 2, FALSE) )</f>
        <v/>
      </c>
    </row>
    <row r="193" spans="2:26" x14ac:dyDescent="0.2">
      <c r="B193" s="2"/>
      <c r="C193" s="4" t="str">
        <f>IF($B193="","",  VLOOKUP($B193, Propostas!$B:$BE, 33, FALSE) )</f>
        <v/>
      </c>
      <c r="D193" s="4" t="str">
        <f>IF($B193="","",  VLOOKUP($B193, Propostas!$B:$BE, 34, FALSE) )</f>
        <v/>
      </c>
      <c r="E193" s="4" t="str">
        <f>IF($B193="","",  VLOOKUP($B193, Propostas!$B:$BE, 35, FALSE) )</f>
        <v/>
      </c>
      <c r="F193" s="4" t="str">
        <f>IF($B193="","",  VLOOKUP($B193, Propostas!$B:$BE, 2, FALSE) )</f>
        <v/>
      </c>
      <c r="G193" s="4" t="str">
        <f>IF($B193="","",  VLOOKUP($B193, Propostas!$B:$BE, 3, FALSE) )</f>
        <v/>
      </c>
      <c r="H193" s="4" t="str">
        <f>IF($B193="","",  VLOOKUP($B193, Propostas!$B:$BE, 4, FALSE) )</f>
        <v/>
      </c>
      <c r="I193" s="4" t="str">
        <f>IF($B193="","",  VLOOKUP($B193, Propostas!$B:$BE, 38, FALSE) )</f>
        <v/>
      </c>
      <c r="J193" s="13" t="str">
        <f>IF($B193="","",IF($C193="SIM", "&lt; INFRRAESTRUTURA &gt;", VLOOKUP($B193,Propostas!$B:$BE,41,FALSE)))</f>
        <v/>
      </c>
      <c r="K193" s="10" t="str">
        <f>IF($B193="","",  VLOOKUP($B193, Propostas!$B:$BE, 40, FALSE) )</f>
        <v/>
      </c>
      <c r="L193" s="10" t="str">
        <f>IF($B193="","",IF(VLOOKUP($B193,Propostas!$B:$BE,21,FALSE)=1,"B",IF(VLOOKUP($B193,Propostas!$B:$BE,21,FALSE)=2,"E","N")))</f>
        <v/>
      </c>
      <c r="M193" s="31" t="str">
        <f>IF($B193 = "", "",  VLOOKUP($B193, Propostas!$B:$BE, 46, FALSE) )</f>
        <v/>
      </c>
      <c r="N193" s="31" t="str">
        <f>IF($B193 = "", "",  VLOOKUP($B193, Propostas!$B:$BE, 47, FALSE) )</f>
        <v/>
      </c>
      <c r="O193" s="13" t="str">
        <f>IF($B193="","",IF($C193="SIM", "INFRAESTRUTURA", VLOOKUP($B193, Propostas!$B:$BE,42,FALSE)))</f>
        <v/>
      </c>
      <c r="P193" s="31" t="str">
        <f>IF($B193 = "", "",  VLOOKUP($B193, Propostas!$B:$BE, 49, FALSE) )</f>
        <v/>
      </c>
      <c r="Q193" s="13" t="str">
        <f>IF($B193="","",  VLOOKUP($B193, Propostas!$B:$BE, 39, FALSE) )</f>
        <v/>
      </c>
      <c r="R193" s="62" t="str">
        <f>IF($B193="","",  VLOOKUP($B193, Propostas!$B:$BE, 43, FALSE) )</f>
        <v/>
      </c>
      <c r="S193" s="62" t="str">
        <f>IF($B193="","",  VLOOKUP($B193, Propostas!$B:$BE, 44, FALSE) )</f>
        <v/>
      </c>
      <c r="T193" s="62" t="str">
        <f>IF($B193="","",  VLOOKUP($B193, Propostas!$B:$BE, 45, FALSE) )</f>
        <v/>
      </c>
      <c r="U193" s="31"/>
      <c r="V193" s="13" t="str">
        <f>IF($B193="","",  VLOOKUP($B193, Propostas!$B:$BE, 50, FALSE) )</f>
        <v/>
      </c>
      <c r="W193" s="13" t="str">
        <f>IF($B193="","",  VLOOKUP($B193, Propostas!$B:$BE, 51, FALSE) )</f>
        <v/>
      </c>
      <c r="X193" s="13" t="str">
        <f>IF($B193="","",  VLOOKUP($B193, Propostas!$B:$BE, 52, FALSE) )</f>
        <v/>
      </c>
      <c r="Y193" s="13" t="str">
        <f>IF($B193="","",  VLOOKUP($B193, Propostas!$B:$BE, 36, FALSE) )</f>
        <v/>
      </c>
      <c r="Z193" s="13" t="str">
        <f>IF($B193="","",  VLOOKUP($F193, VW_PROJETO!B:C, 2, FALSE) )</f>
        <v/>
      </c>
    </row>
    <row r="194" spans="2:26" x14ac:dyDescent="0.2">
      <c r="B194" s="2"/>
      <c r="C194" s="4" t="str">
        <f>IF($B194="","",  VLOOKUP($B194, Propostas!$B:$BE, 33, FALSE) )</f>
        <v/>
      </c>
      <c r="D194" s="4" t="str">
        <f>IF($B194="","",  VLOOKUP($B194, Propostas!$B:$BE, 34, FALSE) )</f>
        <v/>
      </c>
      <c r="E194" s="4" t="str">
        <f>IF($B194="","",  VLOOKUP($B194, Propostas!$B:$BE, 35, FALSE) )</f>
        <v/>
      </c>
      <c r="F194" s="4" t="str">
        <f>IF($B194="","",  VLOOKUP($B194, Propostas!$B:$BE, 2, FALSE) )</f>
        <v/>
      </c>
      <c r="G194" s="4" t="str">
        <f>IF($B194="","",  VLOOKUP($B194, Propostas!$B:$BE, 3, FALSE) )</f>
        <v/>
      </c>
      <c r="H194" s="4" t="str">
        <f>IF($B194="","",  VLOOKUP($B194, Propostas!$B:$BE, 4, FALSE) )</f>
        <v/>
      </c>
      <c r="I194" s="4" t="str">
        <f>IF($B194="","",  VLOOKUP($B194, Propostas!$B:$BE, 38, FALSE) )</f>
        <v/>
      </c>
      <c r="J194" s="13" t="str">
        <f>IF($B194="","",IF($C194="SIM", "&lt; INFRRAESTRUTURA &gt;", VLOOKUP($B194,Propostas!$B:$BE,41,FALSE)))</f>
        <v/>
      </c>
      <c r="K194" s="10" t="str">
        <f>IF($B194="","",  VLOOKUP($B194, Propostas!$B:$BE, 40, FALSE) )</f>
        <v/>
      </c>
      <c r="L194" s="10" t="str">
        <f>IF($B194="","",IF(VLOOKUP($B194,Propostas!$B:$BE,21,FALSE)=1,"B",IF(VLOOKUP($B194,Propostas!$B:$BE,21,FALSE)=2,"E","N")))</f>
        <v/>
      </c>
      <c r="M194" s="31" t="str">
        <f>IF($B194 = "", "",  VLOOKUP($B194, Propostas!$B:$BE, 46, FALSE) )</f>
        <v/>
      </c>
      <c r="N194" s="31" t="str">
        <f>IF($B194 = "", "",  VLOOKUP($B194, Propostas!$B:$BE, 47, FALSE) )</f>
        <v/>
      </c>
      <c r="O194" s="13" t="str">
        <f>IF($B194="","",IF($C194="SIM", "INFRAESTRUTURA", VLOOKUP($B194, Propostas!$B:$BE,42,FALSE)))</f>
        <v/>
      </c>
      <c r="P194" s="31" t="str">
        <f>IF($B194 = "", "",  VLOOKUP($B194, Propostas!$B:$BE, 49, FALSE) )</f>
        <v/>
      </c>
      <c r="Q194" s="13" t="str">
        <f>IF($B194="","",  VLOOKUP($B194, Propostas!$B:$BE, 39, FALSE) )</f>
        <v/>
      </c>
      <c r="R194" s="62" t="str">
        <f>IF($B194="","",  VLOOKUP($B194, Propostas!$B:$BE, 43, FALSE) )</f>
        <v/>
      </c>
      <c r="S194" s="62" t="str">
        <f>IF($B194="","",  VLOOKUP($B194, Propostas!$B:$BE, 44, FALSE) )</f>
        <v/>
      </c>
      <c r="T194" s="62" t="str">
        <f>IF($B194="","",  VLOOKUP($B194, Propostas!$B:$BE, 45, FALSE) )</f>
        <v/>
      </c>
      <c r="U194" s="31"/>
      <c r="V194" s="13" t="str">
        <f>IF($B194="","",  VLOOKUP($B194, Propostas!$B:$BE, 50, FALSE) )</f>
        <v/>
      </c>
      <c r="W194" s="13" t="str">
        <f>IF($B194="","",  VLOOKUP($B194, Propostas!$B:$BE, 51, FALSE) )</f>
        <v/>
      </c>
      <c r="X194" s="13" t="str">
        <f>IF($B194="","",  VLOOKUP($B194, Propostas!$B:$BE, 52, FALSE) )</f>
        <v/>
      </c>
      <c r="Y194" s="13" t="str">
        <f>IF($B194="","",  VLOOKUP($B194, Propostas!$B:$BE, 36, FALSE) )</f>
        <v/>
      </c>
      <c r="Z194" s="13" t="str">
        <f>IF($B194="","",  VLOOKUP($F194, VW_PROJETO!B:C, 2, FALSE) )</f>
        <v/>
      </c>
    </row>
    <row r="195" spans="2:26" x14ac:dyDescent="0.2">
      <c r="B195" s="2"/>
      <c r="C195" s="4" t="str">
        <f>IF($B195="","",  VLOOKUP($B195, Propostas!$B:$BE, 33, FALSE) )</f>
        <v/>
      </c>
      <c r="D195" s="4" t="str">
        <f>IF($B195="","",  VLOOKUP($B195, Propostas!$B:$BE, 34, FALSE) )</f>
        <v/>
      </c>
      <c r="E195" s="4" t="str">
        <f>IF($B195="","",  VLOOKUP($B195, Propostas!$B:$BE, 35, FALSE) )</f>
        <v/>
      </c>
      <c r="F195" s="4" t="str">
        <f>IF($B195="","",  VLOOKUP($B195, Propostas!$B:$BE, 2, FALSE) )</f>
        <v/>
      </c>
      <c r="G195" s="4" t="str">
        <f>IF($B195="","",  VLOOKUP($B195, Propostas!$B:$BE, 3, FALSE) )</f>
        <v/>
      </c>
      <c r="H195" s="4" t="str">
        <f>IF($B195="","",  VLOOKUP($B195, Propostas!$B:$BE, 4, FALSE) )</f>
        <v/>
      </c>
      <c r="I195" s="4" t="str">
        <f>IF($B195="","",  VLOOKUP($B195, Propostas!$B:$BE, 38, FALSE) )</f>
        <v/>
      </c>
      <c r="J195" s="13" t="str">
        <f>IF($B195="","",IF($C195="SIM", "&lt; INFRRAESTRUTURA &gt;", VLOOKUP($B195,Propostas!$B:$BE,41,FALSE)))</f>
        <v/>
      </c>
      <c r="K195" s="10" t="str">
        <f>IF($B195="","",  VLOOKUP($B195, Propostas!$B:$BE, 40, FALSE) )</f>
        <v/>
      </c>
      <c r="L195" s="10" t="str">
        <f>IF($B195="","",IF(VLOOKUP($B195,Propostas!$B:$BE,21,FALSE)=1,"B",IF(VLOOKUP($B195,Propostas!$B:$BE,21,FALSE)=2,"E","N")))</f>
        <v/>
      </c>
      <c r="M195" s="31" t="str">
        <f>IF($B195 = "", "",  VLOOKUP($B195, Propostas!$B:$BE, 46, FALSE) )</f>
        <v/>
      </c>
      <c r="N195" s="31" t="str">
        <f>IF($B195 = "", "",  VLOOKUP($B195, Propostas!$B:$BE, 47, FALSE) )</f>
        <v/>
      </c>
      <c r="O195" s="13" t="str">
        <f>IF($B195="","",IF($C195="SIM", "INFRAESTRUTURA", VLOOKUP($B195, Propostas!$B:$BE,42,FALSE)))</f>
        <v/>
      </c>
      <c r="P195" s="31" t="str">
        <f>IF($B195 = "", "",  VLOOKUP($B195, Propostas!$B:$BE, 49, FALSE) )</f>
        <v/>
      </c>
      <c r="Q195" s="13" t="str">
        <f>IF($B195="","",  VLOOKUP($B195, Propostas!$B:$BE, 39, FALSE) )</f>
        <v/>
      </c>
      <c r="R195" s="62" t="str">
        <f>IF($B195="","",  VLOOKUP($B195, Propostas!$B:$BE, 43, FALSE) )</f>
        <v/>
      </c>
      <c r="S195" s="62" t="str">
        <f>IF($B195="","",  VLOOKUP($B195, Propostas!$B:$BE, 44, FALSE) )</f>
        <v/>
      </c>
      <c r="T195" s="62" t="str">
        <f>IF($B195="","",  VLOOKUP($B195, Propostas!$B:$BE, 45, FALSE) )</f>
        <v/>
      </c>
      <c r="U195" s="31"/>
      <c r="V195" s="13" t="str">
        <f>IF($B195="","",  VLOOKUP($B195, Propostas!$B:$BE, 50, FALSE) )</f>
        <v/>
      </c>
      <c r="W195" s="13" t="str">
        <f>IF($B195="","",  VLOOKUP($B195, Propostas!$B:$BE, 51, FALSE) )</f>
        <v/>
      </c>
      <c r="X195" s="13" t="str">
        <f>IF($B195="","",  VLOOKUP($B195, Propostas!$B:$BE, 52, FALSE) )</f>
        <v/>
      </c>
      <c r="Y195" s="13" t="str">
        <f>IF($B195="","",  VLOOKUP($B195, Propostas!$B:$BE, 36, FALSE) )</f>
        <v/>
      </c>
      <c r="Z195" s="13" t="str">
        <f>IF($B195="","",  VLOOKUP($F195, VW_PROJETO!B:C, 2, FALSE) )</f>
        <v/>
      </c>
    </row>
    <row r="196" spans="2:26" x14ac:dyDescent="0.2">
      <c r="B196" s="2"/>
      <c r="C196" s="4" t="str">
        <f>IF($B196="","",  VLOOKUP($B196, Propostas!$B:$BE, 33, FALSE) )</f>
        <v/>
      </c>
      <c r="D196" s="4" t="str">
        <f>IF($B196="","",  VLOOKUP($B196, Propostas!$B:$BE, 34, FALSE) )</f>
        <v/>
      </c>
      <c r="E196" s="4" t="str">
        <f>IF($B196="","",  VLOOKUP($B196, Propostas!$B:$BE, 35, FALSE) )</f>
        <v/>
      </c>
      <c r="F196" s="4" t="str">
        <f>IF($B196="","",  VLOOKUP($B196, Propostas!$B:$BE, 2, FALSE) )</f>
        <v/>
      </c>
      <c r="G196" s="4" t="str">
        <f>IF($B196="","",  VLOOKUP($B196, Propostas!$B:$BE, 3, FALSE) )</f>
        <v/>
      </c>
      <c r="H196" s="4" t="str">
        <f>IF($B196="","",  VLOOKUP($B196, Propostas!$B:$BE, 4, FALSE) )</f>
        <v/>
      </c>
      <c r="I196" s="4" t="str">
        <f>IF($B196="","",  VLOOKUP($B196, Propostas!$B:$BE, 38, FALSE) )</f>
        <v/>
      </c>
      <c r="J196" s="13" t="str">
        <f>IF($B196="","",IF($C196="SIM", "&lt; INFRRAESTRUTURA &gt;", VLOOKUP($B196,Propostas!$B:$BE,41,FALSE)))</f>
        <v/>
      </c>
      <c r="K196" s="10" t="str">
        <f>IF($B196="","",  VLOOKUP($B196, Propostas!$B:$BE, 40, FALSE) )</f>
        <v/>
      </c>
      <c r="L196" s="10" t="str">
        <f>IF($B196="","",IF(VLOOKUP($B196,Propostas!$B:$BE,21,FALSE)=1,"B",IF(VLOOKUP($B196,Propostas!$B:$BE,21,FALSE)=2,"E","N")))</f>
        <v/>
      </c>
      <c r="M196" s="31" t="str">
        <f>IF($B196 = "", "",  VLOOKUP($B196, Propostas!$B:$BE, 46, FALSE) )</f>
        <v/>
      </c>
      <c r="N196" s="31" t="str">
        <f>IF($B196 = "", "",  VLOOKUP($B196, Propostas!$B:$BE, 47, FALSE) )</f>
        <v/>
      </c>
      <c r="O196" s="13" t="str">
        <f>IF($B196="","",IF($C196="SIM", "INFRAESTRUTURA", VLOOKUP($B196, Propostas!$B:$BE,42,FALSE)))</f>
        <v/>
      </c>
      <c r="P196" s="31" t="str">
        <f>IF($B196 = "", "",  VLOOKUP($B196, Propostas!$B:$BE, 49, FALSE) )</f>
        <v/>
      </c>
      <c r="Q196" s="13" t="str">
        <f>IF($B196="","",  VLOOKUP($B196, Propostas!$B:$BE, 39, FALSE) )</f>
        <v/>
      </c>
      <c r="R196" s="62" t="str">
        <f>IF($B196="","",  VLOOKUP($B196, Propostas!$B:$BE, 43, FALSE) )</f>
        <v/>
      </c>
      <c r="S196" s="62" t="str">
        <f>IF($B196="","",  VLOOKUP($B196, Propostas!$B:$BE, 44, FALSE) )</f>
        <v/>
      </c>
      <c r="T196" s="62" t="str">
        <f>IF($B196="","",  VLOOKUP($B196, Propostas!$B:$BE, 45, FALSE) )</f>
        <v/>
      </c>
      <c r="U196" s="31"/>
      <c r="V196" s="13" t="str">
        <f>IF($B196="","",  VLOOKUP($B196, Propostas!$B:$BE, 50, FALSE) )</f>
        <v/>
      </c>
      <c r="W196" s="13" t="str">
        <f>IF($B196="","",  VLOOKUP($B196, Propostas!$B:$BE, 51, FALSE) )</f>
        <v/>
      </c>
      <c r="X196" s="13" t="str">
        <f>IF($B196="","",  VLOOKUP($B196, Propostas!$B:$BE, 52, FALSE) )</f>
        <v/>
      </c>
      <c r="Y196" s="13" t="str">
        <f>IF($B196="","",  VLOOKUP($B196, Propostas!$B:$BE, 36, FALSE) )</f>
        <v/>
      </c>
      <c r="Z196" s="13" t="str">
        <f>IF($B196="","",  VLOOKUP($F196, VW_PROJETO!B:C, 2, FALSE) )</f>
        <v/>
      </c>
    </row>
    <row r="197" spans="2:26" x14ac:dyDescent="0.2">
      <c r="B197" s="2"/>
      <c r="C197" s="4" t="str">
        <f>IF($B197="","",  VLOOKUP($B197, Propostas!$B:$BE, 33, FALSE) )</f>
        <v/>
      </c>
      <c r="D197" s="4" t="str">
        <f>IF($B197="","",  VLOOKUP($B197, Propostas!$B:$BE, 34, FALSE) )</f>
        <v/>
      </c>
      <c r="E197" s="4" t="str">
        <f>IF($B197="","",  VLOOKUP($B197, Propostas!$B:$BE, 35, FALSE) )</f>
        <v/>
      </c>
      <c r="F197" s="4" t="str">
        <f>IF($B197="","",  VLOOKUP($B197, Propostas!$B:$BE, 2, FALSE) )</f>
        <v/>
      </c>
      <c r="G197" s="4" t="str">
        <f>IF($B197="","",  VLOOKUP($B197, Propostas!$B:$BE, 3, FALSE) )</f>
        <v/>
      </c>
      <c r="H197" s="4" t="str">
        <f>IF($B197="","",  VLOOKUP($B197, Propostas!$B:$BE, 4, FALSE) )</f>
        <v/>
      </c>
      <c r="I197" s="4" t="str">
        <f>IF($B197="","",  VLOOKUP($B197, Propostas!$B:$BE, 38, FALSE) )</f>
        <v/>
      </c>
      <c r="J197" s="13" t="str">
        <f>IF($B197="","",IF($C197="SIM", "&lt; INFRRAESTRUTURA &gt;", VLOOKUP($B197,Propostas!$B:$BE,41,FALSE)))</f>
        <v/>
      </c>
      <c r="K197" s="10" t="str">
        <f>IF($B197="","",  VLOOKUP($B197, Propostas!$B:$BE, 40, FALSE) )</f>
        <v/>
      </c>
      <c r="L197" s="10" t="str">
        <f>IF($B197="","",IF(VLOOKUP($B197,Propostas!$B:$BE,21,FALSE)=1,"B",IF(VLOOKUP($B197,Propostas!$B:$BE,21,FALSE)=2,"E","N")))</f>
        <v/>
      </c>
      <c r="M197" s="31" t="str">
        <f>IF($B197 = "", "",  VLOOKUP($B197, Propostas!$B:$BE, 46, FALSE) )</f>
        <v/>
      </c>
      <c r="N197" s="31" t="str">
        <f>IF($B197 = "", "",  VLOOKUP($B197, Propostas!$B:$BE, 47, FALSE) )</f>
        <v/>
      </c>
      <c r="O197" s="13" t="str">
        <f>IF($B197="","",IF($C197="SIM", "INFRAESTRUTURA", VLOOKUP($B197, Propostas!$B:$BE,42,FALSE)))</f>
        <v/>
      </c>
      <c r="P197" s="31" t="str">
        <f>IF($B197 = "", "",  VLOOKUP($B197, Propostas!$B:$BE, 49, FALSE) )</f>
        <v/>
      </c>
      <c r="Q197" s="13" t="str">
        <f>IF($B197="","",  VLOOKUP($B197, Propostas!$B:$BE, 39, FALSE) )</f>
        <v/>
      </c>
      <c r="R197" s="62" t="str">
        <f>IF($B197="","",  VLOOKUP($B197, Propostas!$B:$BE, 43, FALSE) )</f>
        <v/>
      </c>
      <c r="S197" s="62" t="str">
        <f>IF($B197="","",  VLOOKUP($B197, Propostas!$B:$BE, 44, FALSE) )</f>
        <v/>
      </c>
      <c r="T197" s="62" t="str">
        <f>IF($B197="","",  VLOOKUP($B197, Propostas!$B:$BE, 45, FALSE) )</f>
        <v/>
      </c>
      <c r="U197" s="31"/>
      <c r="V197" s="13" t="str">
        <f>IF($B197="","",  VLOOKUP($B197, Propostas!$B:$BE, 50, FALSE) )</f>
        <v/>
      </c>
      <c r="W197" s="13" t="str">
        <f>IF($B197="","",  VLOOKUP($B197, Propostas!$B:$BE, 51, FALSE) )</f>
        <v/>
      </c>
      <c r="X197" s="13" t="str">
        <f>IF($B197="","",  VLOOKUP($B197, Propostas!$B:$BE, 52, FALSE) )</f>
        <v/>
      </c>
      <c r="Y197" s="13" t="str">
        <f>IF($B197="","",  VLOOKUP($B197, Propostas!$B:$BE, 36, FALSE) )</f>
        <v/>
      </c>
      <c r="Z197" s="13" t="str">
        <f>IF($B197="","",  VLOOKUP($F197, VW_PROJETO!B:C, 2, FALSE) )</f>
        <v/>
      </c>
    </row>
    <row r="198" spans="2:26" x14ac:dyDescent="0.2">
      <c r="B198" s="2"/>
      <c r="C198" s="4" t="str">
        <f>IF($B198="","",  VLOOKUP($B198, Propostas!$B:$BE, 33, FALSE) )</f>
        <v/>
      </c>
      <c r="D198" s="4" t="str">
        <f>IF($B198="","",  VLOOKUP($B198, Propostas!$B:$BE, 34, FALSE) )</f>
        <v/>
      </c>
      <c r="E198" s="4" t="str">
        <f>IF($B198="","",  VLOOKUP($B198, Propostas!$B:$BE, 35, FALSE) )</f>
        <v/>
      </c>
      <c r="F198" s="4" t="str">
        <f>IF($B198="","",  VLOOKUP($B198, Propostas!$B:$BE, 2, FALSE) )</f>
        <v/>
      </c>
      <c r="G198" s="4" t="str">
        <f>IF($B198="","",  VLOOKUP($B198, Propostas!$B:$BE, 3, FALSE) )</f>
        <v/>
      </c>
      <c r="H198" s="4" t="str">
        <f>IF($B198="","",  VLOOKUP($B198, Propostas!$B:$BE, 4, FALSE) )</f>
        <v/>
      </c>
      <c r="I198" s="4" t="str">
        <f>IF($B198="","",  VLOOKUP($B198, Propostas!$B:$BE, 38, FALSE) )</f>
        <v/>
      </c>
      <c r="J198" s="13" t="str">
        <f>IF($B198="","",IF($C198="SIM", "&lt; INFRRAESTRUTURA &gt;", VLOOKUP($B198,Propostas!$B:$BE,41,FALSE)))</f>
        <v/>
      </c>
      <c r="K198" s="10" t="str">
        <f>IF($B198="","",  VLOOKUP($B198, Propostas!$B:$BE, 40, FALSE) )</f>
        <v/>
      </c>
      <c r="L198" s="10" t="str">
        <f>IF($B198="","",IF(VLOOKUP($B198,Propostas!$B:$BE,21,FALSE)=1,"B",IF(VLOOKUP($B198,Propostas!$B:$BE,21,FALSE)=2,"E","N")))</f>
        <v/>
      </c>
      <c r="M198" s="31" t="str">
        <f>IF($B198 = "", "",  VLOOKUP($B198, Propostas!$B:$BE, 46, FALSE) )</f>
        <v/>
      </c>
      <c r="N198" s="31" t="str">
        <f>IF($B198 = "", "",  VLOOKUP($B198, Propostas!$B:$BE, 47, FALSE) )</f>
        <v/>
      </c>
      <c r="O198" s="13" t="str">
        <f>IF($B198="","",IF($C198="SIM", "INFRAESTRUTURA", VLOOKUP($B198, Propostas!$B:$BE,42,FALSE)))</f>
        <v/>
      </c>
      <c r="P198" s="31" t="str">
        <f>IF($B198 = "", "",  VLOOKUP($B198, Propostas!$B:$BE, 49, FALSE) )</f>
        <v/>
      </c>
      <c r="Q198" s="13" t="str">
        <f>IF($B198="","",  VLOOKUP($B198, Propostas!$B:$BE, 39, FALSE) )</f>
        <v/>
      </c>
      <c r="R198" s="62" t="str">
        <f>IF($B198="","",  VLOOKUP($B198, Propostas!$B:$BE, 43, FALSE) )</f>
        <v/>
      </c>
      <c r="S198" s="62" t="str">
        <f>IF($B198="","",  VLOOKUP($B198, Propostas!$B:$BE, 44, FALSE) )</f>
        <v/>
      </c>
      <c r="T198" s="62" t="str">
        <f>IF($B198="","",  VLOOKUP($B198, Propostas!$B:$BE, 45, FALSE) )</f>
        <v/>
      </c>
      <c r="U198" s="31"/>
      <c r="V198" s="13" t="str">
        <f>IF($B198="","",  VLOOKUP($B198, Propostas!$B:$BE, 50, FALSE) )</f>
        <v/>
      </c>
      <c r="W198" s="13" t="str">
        <f>IF($B198="","",  VLOOKUP($B198, Propostas!$B:$BE, 51, FALSE) )</f>
        <v/>
      </c>
      <c r="X198" s="13" t="str">
        <f>IF($B198="","",  VLOOKUP($B198, Propostas!$B:$BE, 52, FALSE) )</f>
        <v/>
      </c>
      <c r="Y198" s="13" t="str">
        <f>IF($B198="","",  VLOOKUP($B198, Propostas!$B:$BE, 36, FALSE) )</f>
        <v/>
      </c>
      <c r="Z198" s="13" t="str">
        <f>IF($B198="","",  VLOOKUP($F198, VW_PROJETO!B:C, 2, FALSE) )</f>
        <v/>
      </c>
    </row>
    <row r="199" spans="2:26" x14ac:dyDescent="0.2">
      <c r="B199" s="2"/>
      <c r="C199" s="4" t="str">
        <f>IF($B199="","",  VLOOKUP($B199, Propostas!$B:$BE, 33, FALSE) )</f>
        <v/>
      </c>
      <c r="D199" s="4" t="str">
        <f>IF($B199="","",  VLOOKUP($B199, Propostas!$B:$BE, 34, FALSE) )</f>
        <v/>
      </c>
      <c r="E199" s="4" t="str">
        <f>IF($B199="","",  VLOOKUP($B199, Propostas!$B:$BE, 35, FALSE) )</f>
        <v/>
      </c>
      <c r="F199" s="4" t="str">
        <f>IF($B199="","",  VLOOKUP($B199, Propostas!$B:$BE, 2, FALSE) )</f>
        <v/>
      </c>
      <c r="G199" s="4" t="str">
        <f>IF($B199="","",  VLOOKUP($B199, Propostas!$B:$BE, 3, FALSE) )</f>
        <v/>
      </c>
      <c r="H199" s="4" t="str">
        <f>IF($B199="","",  VLOOKUP($B199, Propostas!$B:$BE, 4, FALSE) )</f>
        <v/>
      </c>
      <c r="I199" s="4" t="str">
        <f>IF($B199="","",  VLOOKUP($B199, Propostas!$B:$BE, 38, FALSE) )</f>
        <v/>
      </c>
      <c r="J199" s="13" t="str">
        <f>IF($B199="","",IF($C199="SIM", "&lt; INFRRAESTRUTURA &gt;", VLOOKUP($B199,Propostas!$B:$BE,41,FALSE)))</f>
        <v/>
      </c>
      <c r="K199" s="10" t="str">
        <f>IF($B199="","",  VLOOKUP($B199, Propostas!$B:$BE, 40, FALSE) )</f>
        <v/>
      </c>
      <c r="L199" s="10" t="str">
        <f>IF($B199="","",IF(VLOOKUP($B199,Propostas!$B:$BE,21,FALSE)=1,"B",IF(VLOOKUP($B199,Propostas!$B:$BE,21,FALSE)=2,"E","N")))</f>
        <v/>
      </c>
      <c r="M199" s="31" t="str">
        <f>IF($B199 = "", "",  VLOOKUP($B199, Propostas!$B:$BE, 46, FALSE) )</f>
        <v/>
      </c>
      <c r="N199" s="31" t="str">
        <f>IF($B199 = "", "",  VLOOKUP($B199, Propostas!$B:$BE, 47, FALSE) )</f>
        <v/>
      </c>
      <c r="O199" s="13" t="str">
        <f>IF($B199="","",IF($C199="SIM", "INFRAESTRUTURA", VLOOKUP($B199, Propostas!$B:$BE,42,FALSE)))</f>
        <v/>
      </c>
      <c r="P199" s="31" t="str">
        <f>IF($B199 = "", "",  VLOOKUP($B199, Propostas!$B:$BE, 49, FALSE) )</f>
        <v/>
      </c>
      <c r="Q199" s="13" t="str">
        <f>IF($B199="","",  VLOOKUP($B199, Propostas!$B:$BE, 39, FALSE) )</f>
        <v/>
      </c>
      <c r="R199" s="62" t="str">
        <f>IF($B199="","",  VLOOKUP($B199, Propostas!$B:$BE, 43, FALSE) )</f>
        <v/>
      </c>
      <c r="S199" s="62" t="str">
        <f>IF($B199="","",  VLOOKUP($B199, Propostas!$B:$BE, 44, FALSE) )</f>
        <v/>
      </c>
      <c r="T199" s="62" t="str">
        <f>IF($B199="","",  VLOOKUP($B199, Propostas!$B:$BE, 45, FALSE) )</f>
        <v/>
      </c>
      <c r="U199" s="31"/>
      <c r="V199" s="13" t="str">
        <f>IF($B199="","",  VLOOKUP($B199, Propostas!$B:$BE, 50, FALSE) )</f>
        <v/>
      </c>
      <c r="W199" s="13" t="str">
        <f>IF($B199="","",  VLOOKUP($B199, Propostas!$B:$BE, 51, FALSE) )</f>
        <v/>
      </c>
      <c r="X199" s="13" t="str">
        <f>IF($B199="","",  VLOOKUP($B199, Propostas!$B:$BE, 52, FALSE) )</f>
        <v/>
      </c>
      <c r="Y199" s="13" t="str">
        <f>IF($B199="","",  VLOOKUP($B199, Propostas!$B:$BE, 36, FALSE) )</f>
        <v/>
      </c>
      <c r="Z199" s="13" t="str">
        <f>IF($B199="","",  VLOOKUP($F199, VW_PROJETO!B:C, 2, FALSE) )</f>
        <v/>
      </c>
    </row>
    <row r="200" spans="2:26" x14ac:dyDescent="0.2">
      <c r="B200" s="2"/>
      <c r="C200" s="4" t="str">
        <f>IF($B200="","",  VLOOKUP($B200, Propostas!$B:$BE, 33, FALSE) )</f>
        <v/>
      </c>
      <c r="D200" s="4" t="str">
        <f>IF($B200="","",  VLOOKUP($B200, Propostas!$B:$BE, 34, FALSE) )</f>
        <v/>
      </c>
      <c r="E200" s="4" t="str">
        <f>IF($B200="","",  VLOOKUP($B200, Propostas!$B:$BE, 35, FALSE) )</f>
        <v/>
      </c>
      <c r="F200" s="4" t="str">
        <f>IF($B200="","",  VLOOKUP($B200, Propostas!$B:$BE, 2, FALSE) )</f>
        <v/>
      </c>
      <c r="G200" s="4" t="str">
        <f>IF($B200="","",  VLOOKUP($B200, Propostas!$B:$BE, 3, FALSE) )</f>
        <v/>
      </c>
      <c r="H200" s="4" t="str">
        <f>IF($B200="","",  VLOOKUP($B200, Propostas!$B:$BE, 4, FALSE) )</f>
        <v/>
      </c>
      <c r="I200" s="4" t="str">
        <f>IF($B200="","",  VLOOKUP($B200, Propostas!$B:$BE, 38, FALSE) )</f>
        <v/>
      </c>
      <c r="J200" s="13" t="str">
        <f>IF($B200="","",IF($C200="SIM", "&lt; INFRRAESTRUTURA &gt;", VLOOKUP($B200,Propostas!$B:$BE,41,FALSE)))</f>
        <v/>
      </c>
      <c r="K200" s="10" t="str">
        <f>IF($B200="","",  VLOOKUP($B200, Propostas!$B:$BE, 40, FALSE) )</f>
        <v/>
      </c>
      <c r="L200" s="10" t="str">
        <f>IF($B200="","",IF(VLOOKUP($B200,Propostas!$B:$BE,21,FALSE)=1,"B",IF(VLOOKUP($B200,Propostas!$B:$BE,21,FALSE)=2,"E","N")))</f>
        <v/>
      </c>
      <c r="M200" s="31" t="str">
        <f>IF($B200 = "", "",  VLOOKUP($B200, Propostas!$B:$BE, 46, FALSE) )</f>
        <v/>
      </c>
      <c r="N200" s="31" t="str">
        <f>IF($B200 = "", "",  VLOOKUP($B200, Propostas!$B:$BE, 47, FALSE) )</f>
        <v/>
      </c>
      <c r="O200" s="13" t="str">
        <f>IF($B200="","",IF($C200="SIM", "INFRAESTRUTURA", VLOOKUP($B200, Propostas!$B:$BE,42,FALSE)))</f>
        <v/>
      </c>
      <c r="P200" s="31" t="str">
        <f>IF($B200 = "", "",  VLOOKUP($B200, Propostas!$B:$BE, 49, FALSE) )</f>
        <v/>
      </c>
      <c r="Q200" s="13" t="str">
        <f>IF($B200="","",  VLOOKUP($B200, Propostas!$B:$BE, 39, FALSE) )</f>
        <v/>
      </c>
      <c r="R200" s="62" t="str">
        <f>IF($B200="","",  VLOOKUP($B200, Propostas!$B:$BE, 43, FALSE) )</f>
        <v/>
      </c>
      <c r="S200" s="62" t="str">
        <f>IF($B200="","",  VLOOKUP($B200, Propostas!$B:$BE, 44, FALSE) )</f>
        <v/>
      </c>
      <c r="T200" s="62" t="str">
        <f>IF($B200="","",  VLOOKUP($B200, Propostas!$B:$BE, 45, FALSE) )</f>
        <v/>
      </c>
      <c r="U200" s="31"/>
      <c r="V200" s="13" t="str">
        <f>IF($B200="","",  VLOOKUP($B200, Propostas!$B:$BE, 50, FALSE) )</f>
        <v/>
      </c>
      <c r="W200" s="13" t="str">
        <f>IF($B200="","",  VLOOKUP($B200, Propostas!$B:$BE, 51, FALSE) )</f>
        <v/>
      </c>
      <c r="X200" s="13" t="str">
        <f>IF($B200="","",  VLOOKUP($B200, Propostas!$B:$BE, 52, FALSE) )</f>
        <v/>
      </c>
      <c r="Y200" s="13" t="str">
        <f>IF($B200="","",  VLOOKUP($B200, Propostas!$B:$BE, 36, FALSE) )</f>
        <v/>
      </c>
      <c r="Z200" s="13" t="str">
        <f>IF($B200="","",  VLOOKUP($F200, VW_PROJETO!B:C, 2, FALSE) )</f>
        <v/>
      </c>
    </row>
    <row r="201" spans="2:26" x14ac:dyDescent="0.2">
      <c r="B201" s="2"/>
      <c r="C201" s="4" t="str">
        <f>IF($B201="","",  VLOOKUP($B201, Propostas!$B:$BE, 33, FALSE) )</f>
        <v/>
      </c>
      <c r="D201" s="4" t="str">
        <f>IF($B201="","",  VLOOKUP($B201, Propostas!$B:$BE, 34, FALSE) )</f>
        <v/>
      </c>
      <c r="E201" s="4" t="str">
        <f>IF($B201="","",  VLOOKUP($B201, Propostas!$B:$BE, 35, FALSE) )</f>
        <v/>
      </c>
      <c r="F201" s="4" t="str">
        <f>IF($B201="","",  VLOOKUP($B201, Propostas!$B:$BE, 2, FALSE) )</f>
        <v/>
      </c>
      <c r="G201" s="4" t="str">
        <f>IF($B201="","",  VLOOKUP($B201, Propostas!$B:$BE, 3, FALSE) )</f>
        <v/>
      </c>
      <c r="H201" s="4" t="str">
        <f>IF($B201="","",  VLOOKUP($B201, Propostas!$B:$BE, 4, FALSE) )</f>
        <v/>
      </c>
      <c r="I201" s="4" t="str">
        <f>IF($B201="","",  VLOOKUP($B201, Propostas!$B:$BE, 38, FALSE) )</f>
        <v/>
      </c>
      <c r="J201" s="13" t="str">
        <f>IF($B201="","",IF($C201="SIM", "&lt; INFRRAESTRUTURA &gt;", VLOOKUP($B201,Propostas!$B:$BE,41,FALSE)))</f>
        <v/>
      </c>
      <c r="K201" s="10" t="str">
        <f>IF($B201="","",  VLOOKUP($B201, Propostas!$B:$BE, 40, FALSE) )</f>
        <v/>
      </c>
      <c r="L201" s="10" t="str">
        <f>IF($B201="","",IF(VLOOKUP($B201,Propostas!$B:$BE,21,FALSE)=1,"B",IF(VLOOKUP($B201,Propostas!$B:$BE,21,FALSE)=2,"E","N")))</f>
        <v/>
      </c>
      <c r="M201" s="31" t="str">
        <f>IF($B201 = "", "",  VLOOKUP($B201, Propostas!$B:$BE, 46, FALSE) )</f>
        <v/>
      </c>
      <c r="N201" s="31" t="str">
        <f>IF($B201 = "", "",  VLOOKUP($B201, Propostas!$B:$BE, 47, FALSE) )</f>
        <v/>
      </c>
      <c r="O201" s="13" t="str">
        <f>IF($B201="","",IF($C201="SIM", "INFRAESTRUTURA", VLOOKUP($B201, Propostas!$B:$BE,42,FALSE)))</f>
        <v/>
      </c>
      <c r="P201" s="31" t="str">
        <f>IF($B201 = "", "",  VLOOKUP($B201, Propostas!$B:$BE, 49, FALSE) )</f>
        <v/>
      </c>
      <c r="Q201" s="13" t="str">
        <f>IF($B201="","",  VLOOKUP($B201, Propostas!$B:$BE, 39, FALSE) )</f>
        <v/>
      </c>
      <c r="R201" s="62" t="str">
        <f>IF($B201="","",  VLOOKUP($B201, Propostas!$B:$BE, 43, FALSE) )</f>
        <v/>
      </c>
      <c r="S201" s="62" t="str">
        <f>IF($B201="","",  VLOOKUP($B201, Propostas!$B:$BE, 44, FALSE) )</f>
        <v/>
      </c>
      <c r="T201" s="62" t="str">
        <f>IF($B201="","",  VLOOKUP($B201, Propostas!$B:$BE, 45, FALSE) )</f>
        <v/>
      </c>
      <c r="U201" s="31"/>
      <c r="V201" s="13" t="str">
        <f>IF($B201="","",  VLOOKUP($B201, Propostas!$B:$BE, 50, FALSE) )</f>
        <v/>
      </c>
      <c r="W201" s="13" t="str">
        <f>IF($B201="","",  VLOOKUP($B201, Propostas!$B:$BE, 51, FALSE) )</f>
        <v/>
      </c>
      <c r="X201" s="13" t="str">
        <f>IF($B201="","",  VLOOKUP($B201, Propostas!$B:$BE, 52, FALSE) )</f>
        <v/>
      </c>
      <c r="Y201" s="13" t="str">
        <f>IF($B201="","",  VLOOKUP($B201, Propostas!$B:$BE, 36, FALSE) )</f>
        <v/>
      </c>
      <c r="Z201" s="13" t="str">
        <f>IF($B201="","",  VLOOKUP($F201, VW_PROJETO!B:C, 2, FALSE) )</f>
        <v/>
      </c>
    </row>
    <row r="202" spans="2:26" x14ac:dyDescent="0.2"/>
    <row r="203" spans="2:26" hidden="1" x14ac:dyDescent="0.2"/>
    <row r="204" spans="2:26" hidden="1" x14ac:dyDescent="0.2"/>
    <row r="205" spans="2:26" hidden="1" x14ac:dyDescent="0.2"/>
    <row r="206" spans="2:26" hidden="1" x14ac:dyDescent="0.2"/>
    <row r="207" spans="2:26" hidden="1" x14ac:dyDescent="0.2"/>
    <row r="208" spans="2:26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</sheetData>
  <sheetProtection algorithmName="SHA-512" hashValue="AE3Qt3zxCVIYCod0gdDOm3wEoxBJPaP6+i1WgQxrAJeLayDEQzsI8lkeW7jtX8NaghpaiHfZm7uQM5RBXv82Cg==" saltValue="O8Ijyo6WqTrmtkmJI2s+0g==" spinCount="100000" sheet="1" objects="1" scenarios="1"/>
  <dataValidations count="15">
    <dataValidation allowBlank="1" showInputMessage="1" showErrorMessage="1" prompt="Tabela de Propostas de Servicos_x000a_Chave que identifica registro na planilha._x000a__x000a_" sqref="B1"/>
    <dataValidation allowBlank="1" showInputMessage="1" showErrorMessage="1" prompt="Valor total solicitado dentro de um determinado critério de métrica aplicado na proposta ou solicitação _x000a__x000a_Formatado para decimal com ponto e sem separador de milhar para viabilizar importacao do Spotfire. Carregado pela Macro." sqref="T1"/>
    <dataValidation allowBlank="1" showInputMessage="1" showErrorMessage="1" prompt="Valor da taxa de remuneração da Hora trabalhada (Homem-Hora) aplicado a esta proposta. _x000a__x000a_Formatado para decimal com ponto e sem separador de milhar para viabilizar importacao do Spotfire. Carregado pela Macro." sqref="S1"/>
    <dataValidation allowBlank="1" showInputMessage="1" showErrorMessage="1" prompt="Empresa no Grupo OI onde o orçamento será alocado._x000a__x000a_Leva em conta o Local onde o serviço é realizado." sqref="Q1"/>
    <dataValidation allowBlank="1" showInputMessage="1" showErrorMessage="1" prompt="Sistema / Módulo em que será executado desenvolvimento, conforme nomeclatura na lista oficial de sistemas._x000a__x000a_Caso seja um sistema novo ou não se aplique, selecione os itens específicos que atenda esta situação." sqref="O1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K1"/>
    <dataValidation allowBlank="1" showInputMessage="1" showErrorMessage="1" prompt="Nome do Fornecedor conforme Lista oficial de Fornecedores._x000a__x000a_Caso a proposta se relacione com uma contratação por RFP, escolha o item &quot;&lt;CONTRATAÇÃO DE FORNECEDOR&gt;&quot;. Caso se relacione a uma aprovação por estimativa, selecione o item &quot;&lt;OG&gt;&quot;." sqref="J1"/>
    <dataValidation allowBlank="1" showInputMessage="1" showErrorMessage="1" prompt="Classificação do tipo de utilização do orçamento aprovado._x000a__x000a_Nesta Planilha devemos registrar despesas com Serviços (inclui desenvolvimento) e viagens." sqref="I1"/>
    <dataValidation allowBlank="1" showInputMessage="1" showErrorMessage="1" prompt="Código da Proposta no Clarity PPM ou STI._x000a__x000a_Caso a verba não se relacione a um projeto cadastrado nos sistemas ou a proposta ainda não exista deve ser preenchido com uma letra S seguida de um número sequencial (Ex: S01; S02...)" sqref="G1"/>
    <dataValidation allowBlank="1" showInputMessage="1" showErrorMessage="1" prompt="Código do Projeto no Sistema de Acompanhamento de Projetos (STI)._x000a__x000a_Caso a verba não se relacione a um projeto cadastrado nos sistemas deve ser preenchido NA." sqref="F1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enviar ficha de RC por e-mail." sqref="E1"/>
    <dataValidation allowBlank="1" showInputMessage="1" showErrorMessage="1" prompt="Indicador se a Proposta está pronta para envio de GO para Desenvolvimento. _x000a__x000a_Caso preencha Não a fábrica não iniciará nenhuma atividade até que o responsável envie solicitação de envio de GO por e-mail para 'LD-TI Go Para Fábricas'" sqref="D1"/>
    <dataValidation allowBlank="1" showInputMessage="1" showErrorMessage="1" prompt="Número sequêncial para distinguir os valores de métricas (quantidade de horas e Taxa de Homem-Hora) aplicados na Solicitação / Proposta._x000a__x000a_Este campo é necessário para registro de infomações para geração de RC." sqref="H1"/>
    <dataValidation allowBlank="1" showInputMessage="1" showErrorMessage="1" prompt="Count do Número de Linhas preenchidos, desconsiderando linha de cabeçalho" sqref="A1"/>
    <dataValidation allowBlank="1" showInputMessage="1" showErrorMessage="1" prompt="Quantidade total de Horas consumida para execução de serviço o qual a proposta se refere._x000a__x000a_Formatacao Normal_x000a_" sqref="R1"/>
  </dataValidations>
  <pageMargins left="0.511811024" right="0.511811024" top="0.78740157499999996" bottom="0.78740157499999996" header="0.31496062000000002" footer="0.31496062000000002"/>
  <pageSetup paperSize="9" scale="3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MENSALIZACAO">
    <tabColor theme="5" tint="-0.249977111117893"/>
  </sheetPr>
  <dimension ref="A1:I5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03" sqref="A203:XFD508"/>
    </sheetView>
  </sheetViews>
  <sheetFormatPr defaultColWidth="0" defaultRowHeight="15" zeroHeight="1" x14ac:dyDescent="0.25"/>
  <cols>
    <col min="1" max="1" width="4.7109375" customWidth="1"/>
    <col min="2" max="2" width="22.28515625" customWidth="1"/>
    <col min="3" max="3" width="15.28515625" customWidth="1"/>
    <col min="4" max="4" width="11.140625" style="68" bestFit="1" customWidth="1"/>
    <col min="5" max="5" width="10.7109375" customWidth="1"/>
    <col min="6" max="6" width="9.140625" customWidth="1"/>
    <col min="7" max="7" width="2.28515625" customWidth="1"/>
    <col min="8" max="9" width="0" hidden="1" customWidth="1"/>
    <col min="10" max="16384" width="9.140625" hidden="1"/>
  </cols>
  <sheetData>
    <row r="1" spans="1:6" ht="25.5" x14ac:dyDescent="0.25">
      <c r="A1" s="11">
        <f>COUNTA(B:B) -1</f>
        <v>3</v>
      </c>
      <c r="B1" s="9" t="s">
        <v>49</v>
      </c>
      <c r="C1" s="14" t="s">
        <v>211</v>
      </c>
      <c r="D1" s="67" t="s">
        <v>915</v>
      </c>
      <c r="E1" s="12" t="s">
        <v>212</v>
      </c>
      <c r="F1" s="12" t="s">
        <v>222</v>
      </c>
    </row>
    <row r="2" spans="1:6" x14ac:dyDescent="0.25">
      <c r="A2" s="6"/>
      <c r="B2" s="2" t="s">
        <v>1113</v>
      </c>
      <c r="C2" s="2" t="s">
        <v>1108</v>
      </c>
      <c r="D2" s="2" t="s">
        <v>1109</v>
      </c>
      <c r="E2" s="15">
        <v>1500000</v>
      </c>
      <c r="F2" s="15">
        <v>0.3</v>
      </c>
    </row>
    <row r="3" spans="1:6" x14ac:dyDescent="0.25">
      <c r="A3" s="6"/>
      <c r="B3" s="2" t="s">
        <v>1113</v>
      </c>
      <c r="C3" s="2" t="s">
        <v>1110</v>
      </c>
      <c r="D3" s="2" t="s">
        <v>1111</v>
      </c>
      <c r="E3" s="15">
        <v>1500000</v>
      </c>
      <c r="F3" s="15">
        <v>0.3</v>
      </c>
    </row>
    <row r="4" spans="1:6" x14ac:dyDescent="0.25">
      <c r="A4" s="6"/>
      <c r="B4" s="2" t="s">
        <v>1113</v>
      </c>
      <c r="C4" s="2" t="s">
        <v>1112</v>
      </c>
      <c r="D4" s="2" t="s">
        <v>1105</v>
      </c>
      <c r="E4" s="15">
        <v>2000000</v>
      </c>
      <c r="F4" s="15">
        <v>0.4</v>
      </c>
    </row>
    <row r="5" spans="1:6" x14ac:dyDescent="0.25">
      <c r="A5" s="6"/>
      <c r="B5" s="2"/>
      <c r="C5" s="2"/>
      <c r="D5" s="2"/>
      <c r="E5" s="15"/>
      <c r="F5" s="15"/>
    </row>
    <row r="6" spans="1:6" x14ac:dyDescent="0.25">
      <c r="A6" s="6"/>
      <c r="B6" s="2"/>
      <c r="C6" s="2"/>
      <c r="D6" s="2"/>
      <c r="E6" s="15"/>
      <c r="F6" s="15"/>
    </row>
    <row r="7" spans="1:6" x14ac:dyDescent="0.25">
      <c r="A7" s="6"/>
      <c r="B7" s="2"/>
      <c r="C7" s="2"/>
      <c r="D7" s="2"/>
      <c r="E7" s="15"/>
      <c r="F7" s="15"/>
    </row>
    <row r="8" spans="1:6" x14ac:dyDescent="0.25">
      <c r="A8" s="6"/>
      <c r="B8" s="2"/>
      <c r="C8" s="2"/>
      <c r="D8" s="2"/>
      <c r="E8" s="15"/>
      <c r="F8" s="15"/>
    </row>
    <row r="9" spans="1:6" x14ac:dyDescent="0.25">
      <c r="A9" s="6"/>
      <c r="B9" s="2"/>
      <c r="C9" s="2"/>
      <c r="D9" s="2"/>
      <c r="E9" s="15"/>
      <c r="F9" s="15"/>
    </row>
    <row r="10" spans="1:6" x14ac:dyDescent="0.25">
      <c r="A10" s="6"/>
      <c r="B10" s="2"/>
      <c r="C10" s="2"/>
      <c r="D10" s="2"/>
      <c r="E10" s="15"/>
      <c r="F10" s="15"/>
    </row>
    <row r="11" spans="1:6" x14ac:dyDescent="0.25">
      <c r="A11" s="6"/>
      <c r="B11" s="2"/>
      <c r="C11" s="2"/>
      <c r="D11" s="2"/>
      <c r="E11" s="15"/>
      <c r="F11" s="15"/>
    </row>
    <row r="12" spans="1:6" x14ac:dyDescent="0.25">
      <c r="A12" s="6"/>
      <c r="B12" s="2"/>
      <c r="C12" s="2"/>
      <c r="D12" s="2"/>
      <c r="E12" s="15"/>
      <c r="F12" s="15"/>
    </row>
    <row r="13" spans="1:6" x14ac:dyDescent="0.25">
      <c r="A13" s="6"/>
      <c r="B13" s="2"/>
      <c r="C13" s="2"/>
      <c r="D13" s="2"/>
      <c r="E13" s="15"/>
      <c r="F13" s="15"/>
    </row>
    <row r="14" spans="1:6" x14ac:dyDescent="0.25">
      <c r="A14" s="6"/>
      <c r="B14" s="2"/>
      <c r="C14" s="2"/>
      <c r="D14" s="2"/>
      <c r="E14" s="15"/>
      <c r="F14" s="15"/>
    </row>
    <row r="15" spans="1:6" x14ac:dyDescent="0.25">
      <c r="A15" s="6"/>
      <c r="B15" s="2"/>
      <c r="C15" s="2"/>
      <c r="D15" s="2"/>
      <c r="E15" s="15"/>
      <c r="F15" s="15"/>
    </row>
    <row r="16" spans="1:6" x14ac:dyDescent="0.25">
      <c r="A16" s="6"/>
      <c r="B16" s="2"/>
      <c r="C16" s="2"/>
      <c r="D16" s="2"/>
      <c r="E16" s="15"/>
      <c r="F16" s="15"/>
    </row>
    <row r="17" spans="1:6" x14ac:dyDescent="0.25">
      <c r="A17" s="6"/>
      <c r="B17" s="2"/>
      <c r="C17" s="2"/>
      <c r="D17" s="2"/>
      <c r="E17" s="15"/>
      <c r="F17" s="15"/>
    </row>
    <row r="18" spans="1:6" x14ac:dyDescent="0.25">
      <c r="A18" s="6"/>
      <c r="B18" s="2"/>
      <c r="C18" s="2"/>
      <c r="D18" s="2"/>
      <c r="E18" s="15"/>
      <c r="F18" s="15"/>
    </row>
    <row r="19" spans="1:6" x14ac:dyDescent="0.25">
      <c r="A19" s="6"/>
      <c r="B19" s="2"/>
      <c r="C19" s="2"/>
      <c r="D19" s="2"/>
      <c r="E19" s="15"/>
      <c r="F19" s="15"/>
    </row>
    <row r="20" spans="1:6" x14ac:dyDescent="0.25">
      <c r="A20" s="6"/>
      <c r="B20" s="2"/>
      <c r="C20" s="2"/>
      <c r="D20" s="2"/>
      <c r="E20" s="15"/>
      <c r="F20" s="15"/>
    </row>
    <row r="21" spans="1:6" x14ac:dyDescent="0.25">
      <c r="A21" s="6"/>
      <c r="B21" s="2"/>
      <c r="C21" s="2"/>
      <c r="D21" s="2"/>
      <c r="E21" s="15"/>
      <c r="F21" s="15"/>
    </row>
    <row r="22" spans="1:6" x14ac:dyDescent="0.25">
      <c r="A22" s="6"/>
      <c r="B22" s="2"/>
      <c r="C22" s="2"/>
      <c r="D22" s="2"/>
      <c r="E22" s="15"/>
      <c r="F22" s="15"/>
    </row>
    <row r="23" spans="1:6" x14ac:dyDescent="0.25">
      <c r="A23" s="6"/>
      <c r="B23" s="2"/>
      <c r="C23" s="2"/>
      <c r="D23" s="2"/>
      <c r="E23" s="15"/>
      <c r="F23" s="15"/>
    </row>
    <row r="24" spans="1:6" x14ac:dyDescent="0.25">
      <c r="A24" s="6"/>
      <c r="B24" s="2"/>
      <c r="C24" s="2"/>
      <c r="D24" s="2"/>
      <c r="E24" s="15"/>
      <c r="F24" s="15"/>
    </row>
    <row r="25" spans="1:6" x14ac:dyDescent="0.25">
      <c r="A25" s="6"/>
      <c r="B25" s="2"/>
      <c r="C25" s="2"/>
      <c r="D25" s="2"/>
      <c r="E25" s="15"/>
      <c r="F25" s="15"/>
    </row>
    <row r="26" spans="1:6" x14ac:dyDescent="0.25">
      <c r="A26" s="6"/>
      <c r="B26" s="2"/>
      <c r="C26" s="2"/>
      <c r="D26" s="2"/>
      <c r="E26" s="15"/>
      <c r="F26" s="15"/>
    </row>
    <row r="27" spans="1:6" x14ac:dyDescent="0.25">
      <c r="A27" s="6"/>
      <c r="B27" s="2"/>
      <c r="C27" s="2"/>
      <c r="D27" s="2"/>
      <c r="E27" s="15"/>
      <c r="F27" s="15"/>
    </row>
    <row r="28" spans="1:6" x14ac:dyDescent="0.25">
      <c r="A28" s="6"/>
      <c r="B28" s="2"/>
      <c r="C28" s="2"/>
      <c r="D28" s="2"/>
      <c r="E28" s="15"/>
      <c r="F28" s="15"/>
    </row>
    <row r="29" spans="1:6" x14ac:dyDescent="0.25">
      <c r="A29" s="6"/>
      <c r="B29" s="2"/>
      <c r="C29" s="2"/>
      <c r="D29" s="2"/>
      <c r="E29" s="15"/>
      <c r="F29" s="15"/>
    </row>
    <row r="30" spans="1:6" x14ac:dyDescent="0.25">
      <c r="A30" s="6"/>
      <c r="B30" s="2"/>
      <c r="C30" s="2"/>
      <c r="D30" s="2"/>
      <c r="E30" s="15"/>
      <c r="F30" s="15"/>
    </row>
    <row r="31" spans="1:6" x14ac:dyDescent="0.25">
      <c r="A31" s="6"/>
      <c r="B31" s="2"/>
      <c r="C31" s="2"/>
      <c r="D31" s="2"/>
      <c r="E31" s="15"/>
      <c r="F31" s="15"/>
    </row>
    <row r="32" spans="1:6" x14ac:dyDescent="0.25">
      <c r="A32" s="6"/>
      <c r="B32" s="2"/>
      <c r="C32" s="2"/>
      <c r="D32" s="2"/>
      <c r="E32" s="15"/>
      <c r="F32" s="15"/>
    </row>
    <row r="33" spans="1:6" x14ac:dyDescent="0.25">
      <c r="A33" s="6"/>
      <c r="B33" s="2"/>
      <c r="C33" s="2"/>
      <c r="D33" s="2"/>
      <c r="E33" s="15"/>
      <c r="F33" s="15"/>
    </row>
    <row r="34" spans="1:6" x14ac:dyDescent="0.25">
      <c r="A34" s="6"/>
      <c r="B34" s="2"/>
      <c r="C34" s="2"/>
      <c r="D34" s="2"/>
      <c r="E34" s="15"/>
      <c r="F34" s="15"/>
    </row>
    <row r="35" spans="1:6" x14ac:dyDescent="0.25">
      <c r="A35" s="6"/>
      <c r="B35" s="2"/>
      <c r="C35" s="2"/>
      <c r="D35" s="2"/>
      <c r="E35" s="15"/>
      <c r="F35" s="15"/>
    </row>
    <row r="36" spans="1:6" x14ac:dyDescent="0.25">
      <c r="A36" s="6"/>
      <c r="B36" s="2"/>
      <c r="C36" s="2"/>
      <c r="D36" s="2"/>
      <c r="E36" s="15"/>
      <c r="F36" s="15"/>
    </row>
    <row r="37" spans="1:6" x14ac:dyDescent="0.25">
      <c r="A37" s="6"/>
      <c r="B37" s="2"/>
      <c r="C37" s="2"/>
      <c r="D37" s="2"/>
      <c r="E37" s="15"/>
      <c r="F37" s="15"/>
    </row>
    <row r="38" spans="1:6" x14ac:dyDescent="0.25">
      <c r="A38" s="6"/>
      <c r="B38" s="2"/>
      <c r="C38" s="2"/>
      <c r="D38" s="2"/>
      <c r="E38" s="15"/>
      <c r="F38" s="15"/>
    </row>
    <row r="39" spans="1:6" x14ac:dyDescent="0.25">
      <c r="A39" s="6"/>
      <c r="B39" s="2"/>
      <c r="C39" s="2"/>
      <c r="D39" s="2"/>
      <c r="E39" s="15"/>
      <c r="F39" s="15"/>
    </row>
    <row r="40" spans="1:6" x14ac:dyDescent="0.25">
      <c r="A40" s="6"/>
      <c r="B40" s="2"/>
      <c r="C40" s="2"/>
      <c r="D40" s="2"/>
      <c r="E40" s="15"/>
      <c r="F40" s="15"/>
    </row>
    <row r="41" spans="1:6" x14ac:dyDescent="0.25">
      <c r="A41" s="6"/>
      <c r="B41" s="2"/>
      <c r="C41" s="2"/>
      <c r="D41" s="2"/>
      <c r="E41" s="15"/>
      <c r="F41" s="15"/>
    </row>
    <row r="42" spans="1:6" x14ac:dyDescent="0.25">
      <c r="A42" s="6"/>
      <c r="B42" s="2"/>
      <c r="C42" s="2"/>
      <c r="D42" s="2"/>
      <c r="E42" s="15"/>
      <c r="F42" s="15"/>
    </row>
    <row r="43" spans="1:6" x14ac:dyDescent="0.25">
      <c r="A43" s="6"/>
      <c r="B43" s="2"/>
      <c r="C43" s="2"/>
      <c r="D43" s="2"/>
      <c r="E43" s="15"/>
      <c r="F43" s="15"/>
    </row>
    <row r="44" spans="1:6" x14ac:dyDescent="0.25">
      <c r="A44" s="6"/>
      <c r="B44" s="2"/>
      <c r="C44" s="2"/>
      <c r="D44" s="2"/>
      <c r="E44" s="15"/>
      <c r="F44" s="15"/>
    </row>
    <row r="45" spans="1:6" x14ac:dyDescent="0.25">
      <c r="A45" s="6"/>
      <c r="B45" s="2"/>
      <c r="C45" s="2"/>
      <c r="D45" s="2"/>
      <c r="E45" s="15"/>
      <c r="F45" s="15"/>
    </row>
    <row r="46" spans="1:6" x14ac:dyDescent="0.25">
      <c r="A46" s="6"/>
      <c r="B46" s="2"/>
      <c r="C46" s="2"/>
      <c r="D46" s="2"/>
      <c r="E46" s="15"/>
      <c r="F46" s="15"/>
    </row>
    <row r="47" spans="1:6" x14ac:dyDescent="0.25">
      <c r="A47" s="6"/>
      <c r="B47" s="2"/>
      <c r="C47" s="2"/>
      <c r="D47" s="2"/>
      <c r="E47" s="15"/>
      <c r="F47" s="15"/>
    </row>
    <row r="48" spans="1:6" x14ac:dyDescent="0.25">
      <c r="A48" s="6"/>
      <c r="B48" s="2"/>
      <c r="C48" s="2"/>
      <c r="D48" s="2"/>
      <c r="E48" s="15"/>
      <c r="F48" s="15"/>
    </row>
    <row r="49" spans="1:6" x14ac:dyDescent="0.25">
      <c r="A49" s="6"/>
      <c r="B49" s="2"/>
      <c r="C49" s="2"/>
      <c r="D49" s="2"/>
      <c r="E49" s="15"/>
      <c r="F49" s="15"/>
    </row>
    <row r="50" spans="1:6" x14ac:dyDescent="0.25">
      <c r="A50" s="6"/>
      <c r="B50" s="2"/>
      <c r="C50" s="2"/>
      <c r="D50" s="2"/>
      <c r="E50" s="15"/>
      <c r="F50" s="15"/>
    </row>
    <row r="51" spans="1:6" x14ac:dyDescent="0.25">
      <c r="A51" s="6"/>
      <c r="B51" s="2"/>
      <c r="C51" s="2"/>
      <c r="D51" s="2"/>
      <c r="E51" s="15"/>
      <c r="F51" s="15"/>
    </row>
    <row r="52" spans="1:6" x14ac:dyDescent="0.25">
      <c r="A52" s="6"/>
      <c r="B52" s="2"/>
      <c r="C52" s="2"/>
      <c r="D52" s="2"/>
      <c r="E52" s="15"/>
      <c r="F52" s="15"/>
    </row>
    <row r="53" spans="1:6" x14ac:dyDescent="0.25">
      <c r="A53" s="6"/>
      <c r="B53" s="2"/>
      <c r="C53" s="2"/>
      <c r="D53" s="2"/>
      <c r="E53" s="15"/>
      <c r="F53" s="15"/>
    </row>
    <row r="54" spans="1:6" x14ac:dyDescent="0.25">
      <c r="A54" s="6"/>
      <c r="B54" s="2"/>
      <c r="C54" s="2"/>
      <c r="D54" s="2"/>
      <c r="E54" s="15"/>
      <c r="F54" s="15"/>
    </row>
    <row r="55" spans="1:6" x14ac:dyDescent="0.25">
      <c r="A55" s="6"/>
      <c r="B55" s="2"/>
      <c r="C55" s="2"/>
      <c r="D55" s="2"/>
      <c r="E55" s="15"/>
      <c r="F55" s="15"/>
    </row>
    <row r="56" spans="1:6" x14ac:dyDescent="0.25">
      <c r="A56" s="6"/>
      <c r="B56" s="2"/>
      <c r="C56" s="2"/>
      <c r="D56" s="2"/>
      <c r="E56" s="15"/>
      <c r="F56" s="15"/>
    </row>
    <row r="57" spans="1:6" x14ac:dyDescent="0.25">
      <c r="A57" s="6"/>
      <c r="B57" s="2"/>
      <c r="C57" s="2"/>
      <c r="D57" s="2"/>
      <c r="E57" s="15"/>
      <c r="F57" s="15"/>
    </row>
    <row r="58" spans="1:6" x14ac:dyDescent="0.25">
      <c r="A58" s="6"/>
      <c r="B58" s="2"/>
      <c r="C58" s="2"/>
      <c r="D58" s="2"/>
      <c r="E58" s="15"/>
      <c r="F58" s="15"/>
    </row>
    <row r="59" spans="1:6" x14ac:dyDescent="0.25">
      <c r="A59" s="6"/>
      <c r="B59" s="2"/>
      <c r="C59" s="2"/>
      <c r="D59" s="2"/>
      <c r="E59" s="15"/>
      <c r="F59" s="15"/>
    </row>
    <row r="60" spans="1:6" x14ac:dyDescent="0.25">
      <c r="A60" s="6"/>
      <c r="B60" s="2"/>
      <c r="C60" s="2"/>
      <c r="D60" s="2"/>
      <c r="E60" s="15"/>
      <c r="F60" s="15"/>
    </row>
    <row r="61" spans="1:6" x14ac:dyDescent="0.25">
      <c r="A61" s="6"/>
      <c r="B61" s="2"/>
      <c r="C61" s="2"/>
      <c r="D61" s="2"/>
      <c r="E61" s="15"/>
      <c r="F61" s="15"/>
    </row>
    <row r="62" spans="1:6" x14ac:dyDescent="0.25">
      <c r="A62" s="6"/>
      <c r="B62" s="2"/>
      <c r="C62" s="2"/>
      <c r="D62" s="2"/>
      <c r="E62" s="15"/>
      <c r="F62" s="15"/>
    </row>
    <row r="63" spans="1:6" x14ac:dyDescent="0.25">
      <c r="A63" s="6"/>
      <c r="B63" s="2"/>
      <c r="C63" s="2"/>
      <c r="D63" s="2"/>
      <c r="E63" s="15"/>
      <c r="F63" s="15"/>
    </row>
    <row r="64" spans="1:6" x14ac:dyDescent="0.25">
      <c r="A64" s="6"/>
      <c r="B64" s="2"/>
      <c r="C64" s="2"/>
      <c r="D64" s="2"/>
      <c r="E64" s="15"/>
      <c r="F64" s="15"/>
    </row>
    <row r="65" spans="1:6" x14ac:dyDescent="0.25">
      <c r="A65" s="6"/>
      <c r="B65" s="2"/>
      <c r="C65" s="2"/>
      <c r="D65" s="2"/>
      <c r="E65" s="15"/>
      <c r="F65" s="15"/>
    </row>
    <row r="66" spans="1:6" x14ac:dyDescent="0.25">
      <c r="A66" s="6"/>
      <c r="B66" s="2"/>
      <c r="C66" s="2"/>
      <c r="D66" s="2"/>
      <c r="E66" s="15"/>
      <c r="F66" s="15"/>
    </row>
    <row r="67" spans="1:6" x14ac:dyDescent="0.25">
      <c r="A67" s="6"/>
      <c r="B67" s="2"/>
      <c r="C67" s="2"/>
      <c r="D67" s="2"/>
      <c r="E67" s="15"/>
      <c r="F67" s="15"/>
    </row>
    <row r="68" spans="1:6" x14ac:dyDescent="0.25">
      <c r="A68" s="6"/>
      <c r="B68" s="2"/>
      <c r="C68" s="2"/>
      <c r="D68" s="2"/>
      <c r="E68" s="15"/>
      <c r="F68" s="15"/>
    </row>
    <row r="69" spans="1:6" x14ac:dyDescent="0.25">
      <c r="A69" s="6"/>
      <c r="B69" s="2"/>
      <c r="C69" s="2"/>
      <c r="D69" s="2"/>
      <c r="E69" s="15"/>
      <c r="F69" s="15"/>
    </row>
    <row r="70" spans="1:6" x14ac:dyDescent="0.25">
      <c r="A70" s="6"/>
      <c r="B70" s="2"/>
      <c r="C70" s="2"/>
      <c r="D70" s="2"/>
      <c r="E70" s="15"/>
      <c r="F70" s="15"/>
    </row>
    <row r="71" spans="1:6" x14ac:dyDescent="0.25">
      <c r="A71" s="6"/>
      <c r="B71" s="2"/>
      <c r="C71" s="2"/>
      <c r="D71" s="2"/>
      <c r="E71" s="15"/>
      <c r="F71" s="15"/>
    </row>
    <row r="72" spans="1:6" x14ac:dyDescent="0.25">
      <c r="A72" s="6"/>
      <c r="B72" s="2"/>
      <c r="C72" s="2"/>
      <c r="D72" s="2"/>
      <c r="E72" s="15"/>
      <c r="F72" s="15"/>
    </row>
    <row r="73" spans="1:6" x14ac:dyDescent="0.25">
      <c r="A73" s="6"/>
      <c r="B73" s="2"/>
      <c r="C73" s="2"/>
      <c r="D73" s="2"/>
      <c r="E73" s="15"/>
      <c r="F73" s="15"/>
    </row>
    <row r="74" spans="1:6" x14ac:dyDescent="0.25">
      <c r="A74" s="6"/>
      <c r="B74" s="2"/>
      <c r="C74" s="2"/>
      <c r="D74" s="2"/>
      <c r="E74" s="15"/>
      <c r="F74" s="15"/>
    </row>
    <row r="75" spans="1:6" x14ac:dyDescent="0.25">
      <c r="A75" s="6"/>
      <c r="B75" s="2"/>
      <c r="C75" s="2"/>
      <c r="D75" s="2"/>
      <c r="E75" s="15"/>
      <c r="F75" s="15"/>
    </row>
    <row r="76" spans="1:6" x14ac:dyDescent="0.25">
      <c r="A76" s="6"/>
      <c r="B76" s="2"/>
      <c r="C76" s="2"/>
      <c r="D76" s="2"/>
      <c r="E76" s="15"/>
      <c r="F76" s="15"/>
    </row>
    <row r="77" spans="1:6" x14ac:dyDescent="0.25">
      <c r="A77" s="6"/>
      <c r="B77" s="2"/>
      <c r="C77" s="2"/>
      <c r="D77" s="2"/>
      <c r="E77" s="15"/>
      <c r="F77" s="15"/>
    </row>
    <row r="78" spans="1:6" x14ac:dyDescent="0.25">
      <c r="A78" s="6"/>
      <c r="B78" s="2"/>
      <c r="C78" s="2"/>
      <c r="D78" s="2"/>
      <c r="E78" s="15"/>
      <c r="F78" s="15"/>
    </row>
    <row r="79" spans="1:6" x14ac:dyDescent="0.25">
      <c r="A79" s="6"/>
      <c r="B79" s="2"/>
      <c r="C79" s="2"/>
      <c r="D79" s="2"/>
      <c r="E79" s="15"/>
      <c r="F79" s="15"/>
    </row>
    <row r="80" spans="1:6" x14ac:dyDescent="0.25">
      <c r="A80" s="6"/>
      <c r="B80" s="2"/>
      <c r="C80" s="2"/>
      <c r="D80" s="2"/>
      <c r="E80" s="15"/>
      <c r="F80" s="15"/>
    </row>
    <row r="81" spans="1:6" x14ac:dyDescent="0.25">
      <c r="A81" s="6"/>
      <c r="B81" s="2"/>
      <c r="C81" s="2"/>
      <c r="D81" s="2"/>
      <c r="E81" s="15"/>
      <c r="F81" s="15"/>
    </row>
    <row r="82" spans="1:6" x14ac:dyDescent="0.25">
      <c r="A82" s="6"/>
      <c r="B82" s="2"/>
      <c r="C82" s="2"/>
      <c r="D82" s="2"/>
      <c r="E82" s="15"/>
      <c r="F82" s="15"/>
    </row>
    <row r="83" spans="1:6" x14ac:dyDescent="0.25">
      <c r="A83" s="6"/>
      <c r="B83" s="2"/>
      <c r="C83" s="2"/>
      <c r="D83" s="2"/>
      <c r="E83" s="15"/>
      <c r="F83" s="15"/>
    </row>
    <row r="84" spans="1:6" x14ac:dyDescent="0.25">
      <c r="A84" s="6"/>
      <c r="B84" s="2"/>
      <c r="C84" s="2"/>
      <c r="D84" s="2"/>
      <c r="E84" s="15"/>
      <c r="F84" s="15"/>
    </row>
    <row r="85" spans="1:6" x14ac:dyDescent="0.25">
      <c r="A85" s="6"/>
      <c r="B85" s="2"/>
      <c r="C85" s="2"/>
      <c r="D85" s="2"/>
      <c r="E85" s="15"/>
      <c r="F85" s="15"/>
    </row>
    <row r="86" spans="1:6" x14ac:dyDescent="0.25">
      <c r="A86" s="6"/>
      <c r="B86" s="2"/>
      <c r="C86" s="2"/>
      <c r="D86" s="2"/>
      <c r="E86" s="15"/>
      <c r="F86" s="15"/>
    </row>
    <row r="87" spans="1:6" x14ac:dyDescent="0.25">
      <c r="A87" s="6"/>
      <c r="B87" s="2"/>
      <c r="C87" s="2"/>
      <c r="D87" s="2"/>
      <c r="E87" s="15"/>
      <c r="F87" s="15"/>
    </row>
    <row r="88" spans="1:6" x14ac:dyDescent="0.25">
      <c r="A88" s="6"/>
      <c r="B88" s="2"/>
      <c r="C88" s="2"/>
      <c r="D88" s="2"/>
      <c r="E88" s="15"/>
      <c r="F88" s="15"/>
    </row>
    <row r="89" spans="1:6" x14ac:dyDescent="0.25">
      <c r="A89" s="6"/>
      <c r="B89" s="2"/>
      <c r="C89" s="2"/>
      <c r="D89" s="2"/>
      <c r="E89" s="15"/>
      <c r="F89" s="15"/>
    </row>
    <row r="90" spans="1:6" x14ac:dyDescent="0.25">
      <c r="A90" s="6"/>
      <c r="B90" s="2"/>
      <c r="C90" s="2"/>
      <c r="D90" s="2"/>
      <c r="E90" s="15"/>
      <c r="F90" s="15"/>
    </row>
    <row r="91" spans="1:6" x14ac:dyDescent="0.25">
      <c r="A91" s="6"/>
      <c r="B91" s="2"/>
      <c r="C91" s="2"/>
      <c r="D91" s="2"/>
      <c r="E91" s="15"/>
      <c r="F91" s="15"/>
    </row>
    <row r="92" spans="1:6" x14ac:dyDescent="0.25">
      <c r="A92" s="6"/>
      <c r="B92" s="2"/>
      <c r="C92" s="2"/>
      <c r="D92" s="2"/>
      <c r="E92" s="15"/>
      <c r="F92" s="15"/>
    </row>
    <row r="93" spans="1:6" x14ac:dyDescent="0.25">
      <c r="A93" s="6"/>
      <c r="B93" s="2"/>
      <c r="C93" s="2"/>
      <c r="D93" s="2"/>
      <c r="E93" s="15"/>
      <c r="F93" s="15"/>
    </row>
    <row r="94" spans="1:6" x14ac:dyDescent="0.25">
      <c r="A94" s="6"/>
      <c r="B94" s="2"/>
      <c r="C94" s="2"/>
      <c r="D94" s="2"/>
      <c r="E94" s="15"/>
      <c r="F94" s="15"/>
    </row>
    <row r="95" spans="1:6" x14ac:dyDescent="0.25">
      <c r="A95" s="6"/>
      <c r="B95" s="2"/>
      <c r="C95" s="2"/>
      <c r="D95" s="2"/>
      <c r="E95" s="15"/>
      <c r="F95" s="15"/>
    </row>
    <row r="96" spans="1:6" x14ac:dyDescent="0.25">
      <c r="A96" s="6"/>
      <c r="B96" s="2"/>
      <c r="C96" s="2"/>
      <c r="D96" s="2"/>
      <c r="E96" s="15"/>
      <c r="F96" s="15"/>
    </row>
    <row r="97" spans="1:6" x14ac:dyDescent="0.25">
      <c r="A97" s="6"/>
      <c r="B97" s="2"/>
      <c r="C97" s="2"/>
      <c r="D97" s="2"/>
      <c r="E97" s="15"/>
      <c r="F97" s="15"/>
    </row>
    <row r="98" spans="1:6" x14ac:dyDescent="0.25">
      <c r="A98" s="6"/>
      <c r="B98" s="2"/>
      <c r="C98" s="2"/>
      <c r="D98" s="2"/>
      <c r="E98" s="15"/>
      <c r="F98" s="15"/>
    </row>
    <row r="99" spans="1:6" x14ac:dyDescent="0.25">
      <c r="A99" s="6"/>
      <c r="B99" s="2"/>
      <c r="C99" s="2"/>
      <c r="D99" s="2"/>
      <c r="E99" s="15"/>
      <c r="F99" s="15"/>
    </row>
    <row r="100" spans="1:6" x14ac:dyDescent="0.25">
      <c r="A100" s="6"/>
      <c r="B100" s="2"/>
      <c r="C100" s="2"/>
      <c r="D100" s="2"/>
      <c r="E100" s="15"/>
      <c r="F100" s="15"/>
    </row>
    <row r="101" spans="1:6" x14ac:dyDescent="0.25">
      <c r="A101" s="6"/>
      <c r="B101" s="2"/>
      <c r="C101" s="2"/>
      <c r="D101" s="2"/>
      <c r="E101" s="15"/>
      <c r="F101" s="15"/>
    </row>
    <row r="102" spans="1:6" x14ac:dyDescent="0.25">
      <c r="A102" s="6"/>
      <c r="B102" s="2"/>
      <c r="C102" s="2"/>
      <c r="D102" s="2"/>
      <c r="E102" s="15"/>
      <c r="F102" s="15"/>
    </row>
    <row r="103" spans="1:6" x14ac:dyDescent="0.25">
      <c r="A103" s="6"/>
      <c r="B103" s="2"/>
      <c r="C103" s="2"/>
      <c r="D103" s="2"/>
      <c r="E103" s="15"/>
      <c r="F103" s="15"/>
    </row>
    <row r="104" spans="1:6" x14ac:dyDescent="0.25">
      <c r="A104" s="6"/>
      <c r="B104" s="2"/>
      <c r="C104" s="2"/>
      <c r="D104" s="2"/>
      <c r="E104" s="15"/>
      <c r="F104" s="15"/>
    </row>
    <row r="105" spans="1:6" x14ac:dyDescent="0.25">
      <c r="A105" s="6"/>
      <c r="B105" s="2"/>
      <c r="C105" s="2"/>
      <c r="D105" s="2"/>
      <c r="E105" s="15"/>
      <c r="F105" s="15"/>
    </row>
    <row r="106" spans="1:6" x14ac:dyDescent="0.25">
      <c r="A106" s="6"/>
      <c r="B106" s="2"/>
      <c r="C106" s="2"/>
      <c r="D106" s="2"/>
      <c r="E106" s="15"/>
      <c r="F106" s="15"/>
    </row>
    <row r="107" spans="1:6" x14ac:dyDescent="0.25">
      <c r="A107" s="6"/>
      <c r="B107" s="2"/>
      <c r="C107" s="2"/>
      <c r="D107" s="2"/>
      <c r="E107" s="15"/>
      <c r="F107" s="15"/>
    </row>
    <row r="108" spans="1:6" x14ac:dyDescent="0.25">
      <c r="A108" s="6"/>
      <c r="B108" s="2"/>
      <c r="C108" s="2"/>
      <c r="D108" s="2"/>
      <c r="E108" s="15"/>
      <c r="F108" s="15"/>
    </row>
    <row r="109" spans="1:6" x14ac:dyDescent="0.25">
      <c r="A109" s="6"/>
      <c r="B109" s="2"/>
      <c r="C109" s="2"/>
      <c r="D109" s="2"/>
      <c r="E109" s="15"/>
      <c r="F109" s="15"/>
    </row>
    <row r="110" spans="1:6" x14ac:dyDescent="0.25">
      <c r="A110" s="6"/>
      <c r="B110" s="2"/>
      <c r="C110" s="2"/>
      <c r="D110" s="2"/>
      <c r="E110" s="15"/>
      <c r="F110" s="15"/>
    </row>
    <row r="111" spans="1:6" x14ac:dyDescent="0.25">
      <c r="A111" s="6"/>
      <c r="B111" s="2"/>
      <c r="C111" s="2"/>
      <c r="D111" s="2"/>
      <c r="E111" s="15"/>
      <c r="F111" s="15"/>
    </row>
    <row r="112" spans="1:6" x14ac:dyDescent="0.25">
      <c r="A112" s="6"/>
      <c r="B112" s="2"/>
      <c r="C112" s="2"/>
      <c r="D112" s="2"/>
      <c r="E112" s="15"/>
      <c r="F112" s="15"/>
    </row>
    <row r="113" spans="1:6" x14ac:dyDescent="0.25">
      <c r="A113" s="6"/>
      <c r="B113" s="2"/>
      <c r="C113" s="2"/>
      <c r="D113" s="2"/>
      <c r="E113" s="15"/>
      <c r="F113" s="15"/>
    </row>
    <row r="114" spans="1:6" x14ac:dyDescent="0.25">
      <c r="A114" s="6"/>
      <c r="B114" s="2"/>
      <c r="C114" s="2"/>
      <c r="D114" s="2"/>
      <c r="E114" s="15"/>
      <c r="F114" s="15"/>
    </row>
    <row r="115" spans="1:6" x14ac:dyDescent="0.25">
      <c r="A115" s="6"/>
      <c r="B115" s="2"/>
      <c r="C115" s="2"/>
      <c r="D115" s="2"/>
      <c r="E115" s="15"/>
      <c r="F115" s="15"/>
    </row>
    <row r="116" spans="1:6" x14ac:dyDescent="0.25">
      <c r="A116" s="6"/>
      <c r="B116" s="2"/>
      <c r="C116" s="2"/>
      <c r="D116" s="2"/>
      <c r="E116" s="15"/>
      <c r="F116" s="15"/>
    </row>
    <row r="117" spans="1:6" x14ac:dyDescent="0.25">
      <c r="A117" s="6"/>
      <c r="B117" s="2"/>
      <c r="C117" s="2"/>
      <c r="D117" s="2"/>
      <c r="E117" s="15"/>
      <c r="F117" s="15"/>
    </row>
    <row r="118" spans="1:6" x14ac:dyDescent="0.25">
      <c r="A118" s="6"/>
      <c r="B118" s="2"/>
      <c r="C118" s="2"/>
      <c r="D118" s="2"/>
      <c r="E118" s="15"/>
      <c r="F118" s="15"/>
    </row>
    <row r="119" spans="1:6" x14ac:dyDescent="0.25">
      <c r="A119" s="6"/>
      <c r="B119" s="2"/>
      <c r="C119" s="2"/>
      <c r="D119" s="2"/>
      <c r="E119" s="15"/>
      <c r="F119" s="15"/>
    </row>
    <row r="120" spans="1:6" x14ac:dyDescent="0.25">
      <c r="A120" s="6"/>
      <c r="B120" s="2"/>
      <c r="C120" s="2"/>
      <c r="D120" s="2"/>
      <c r="E120" s="15"/>
      <c r="F120" s="15"/>
    </row>
    <row r="121" spans="1:6" x14ac:dyDescent="0.25">
      <c r="A121" s="6"/>
      <c r="B121" s="2"/>
      <c r="C121" s="2"/>
      <c r="D121" s="2"/>
      <c r="E121" s="15"/>
      <c r="F121" s="15"/>
    </row>
    <row r="122" spans="1:6" x14ac:dyDescent="0.25">
      <c r="A122" s="6"/>
      <c r="B122" s="2"/>
      <c r="C122" s="2"/>
      <c r="D122" s="2"/>
      <c r="E122" s="15"/>
      <c r="F122" s="15"/>
    </row>
    <row r="123" spans="1:6" x14ac:dyDescent="0.25">
      <c r="A123" s="6"/>
      <c r="B123" s="2"/>
      <c r="C123" s="2"/>
      <c r="D123" s="2"/>
      <c r="E123" s="15"/>
      <c r="F123" s="15"/>
    </row>
    <row r="124" spans="1:6" x14ac:dyDescent="0.25">
      <c r="A124" s="6"/>
      <c r="B124" s="2"/>
      <c r="C124" s="2"/>
      <c r="D124" s="2"/>
      <c r="E124" s="15"/>
      <c r="F124" s="15"/>
    </row>
    <row r="125" spans="1:6" x14ac:dyDescent="0.25">
      <c r="A125" s="6"/>
      <c r="B125" s="2"/>
      <c r="C125" s="2"/>
      <c r="D125" s="2"/>
      <c r="E125" s="15"/>
      <c r="F125" s="15"/>
    </row>
    <row r="126" spans="1:6" x14ac:dyDescent="0.25">
      <c r="A126" s="6"/>
      <c r="B126" s="2"/>
      <c r="C126" s="2"/>
      <c r="D126" s="2"/>
      <c r="E126" s="15"/>
      <c r="F126" s="15"/>
    </row>
    <row r="127" spans="1:6" x14ac:dyDescent="0.25">
      <c r="A127" s="6"/>
      <c r="B127" s="2"/>
      <c r="C127" s="2"/>
      <c r="D127" s="2"/>
      <c r="E127" s="15"/>
      <c r="F127" s="15"/>
    </row>
    <row r="128" spans="1:6" x14ac:dyDescent="0.25">
      <c r="A128" s="6"/>
      <c r="B128" s="2"/>
      <c r="C128" s="2"/>
      <c r="D128" s="2"/>
      <c r="E128" s="15"/>
      <c r="F128" s="15"/>
    </row>
    <row r="129" spans="1:6" x14ac:dyDescent="0.25">
      <c r="A129" s="6"/>
      <c r="B129" s="2"/>
      <c r="C129" s="2"/>
      <c r="D129" s="2"/>
      <c r="E129" s="15"/>
      <c r="F129" s="15"/>
    </row>
    <row r="130" spans="1:6" x14ac:dyDescent="0.25">
      <c r="A130" s="6"/>
      <c r="B130" s="2"/>
      <c r="C130" s="2"/>
      <c r="D130" s="2"/>
      <c r="E130" s="15"/>
      <c r="F130" s="15"/>
    </row>
    <row r="131" spans="1:6" x14ac:dyDescent="0.25">
      <c r="A131" s="6"/>
      <c r="B131" s="2"/>
      <c r="C131" s="2"/>
      <c r="D131" s="2"/>
      <c r="E131" s="15"/>
      <c r="F131" s="15"/>
    </row>
    <row r="132" spans="1:6" x14ac:dyDescent="0.25">
      <c r="A132" s="6"/>
      <c r="B132" s="2"/>
      <c r="C132" s="2"/>
      <c r="D132" s="2"/>
      <c r="E132" s="15"/>
      <c r="F132" s="15"/>
    </row>
    <row r="133" spans="1:6" x14ac:dyDescent="0.25">
      <c r="A133" s="6"/>
      <c r="B133" s="2"/>
      <c r="C133" s="2"/>
      <c r="D133" s="2"/>
      <c r="E133" s="15"/>
      <c r="F133" s="15"/>
    </row>
    <row r="134" spans="1:6" x14ac:dyDescent="0.25">
      <c r="A134" s="6"/>
      <c r="B134" s="2"/>
      <c r="C134" s="2"/>
      <c r="D134" s="2"/>
      <c r="E134" s="15"/>
      <c r="F134" s="15"/>
    </row>
    <row r="135" spans="1:6" x14ac:dyDescent="0.25">
      <c r="A135" s="6"/>
      <c r="B135" s="2"/>
      <c r="C135" s="2"/>
      <c r="D135" s="2"/>
      <c r="E135" s="15"/>
      <c r="F135" s="15"/>
    </row>
    <row r="136" spans="1:6" x14ac:dyDescent="0.25">
      <c r="A136" s="6"/>
      <c r="B136" s="2"/>
      <c r="C136" s="2"/>
      <c r="D136" s="2"/>
      <c r="E136" s="15"/>
      <c r="F136" s="15"/>
    </row>
    <row r="137" spans="1:6" x14ac:dyDescent="0.25">
      <c r="A137" s="6"/>
      <c r="B137" s="2"/>
      <c r="C137" s="2"/>
      <c r="D137" s="2"/>
      <c r="E137" s="15"/>
      <c r="F137" s="15"/>
    </row>
    <row r="138" spans="1:6" x14ac:dyDescent="0.25">
      <c r="A138" s="6"/>
      <c r="B138" s="2"/>
      <c r="C138" s="2"/>
      <c r="D138" s="2"/>
      <c r="E138" s="15"/>
      <c r="F138" s="15"/>
    </row>
    <row r="139" spans="1:6" x14ac:dyDescent="0.25">
      <c r="A139" s="6"/>
      <c r="B139" s="2"/>
      <c r="C139" s="2"/>
      <c r="D139" s="2"/>
      <c r="E139" s="15"/>
      <c r="F139" s="15"/>
    </row>
    <row r="140" spans="1:6" x14ac:dyDescent="0.25">
      <c r="A140" s="6"/>
      <c r="B140" s="2"/>
      <c r="C140" s="2"/>
      <c r="D140" s="2"/>
      <c r="E140" s="15"/>
      <c r="F140" s="15"/>
    </row>
    <row r="141" spans="1:6" x14ac:dyDescent="0.25">
      <c r="A141" s="6"/>
      <c r="B141" s="2"/>
      <c r="C141" s="2"/>
      <c r="D141" s="2"/>
      <c r="E141" s="15"/>
      <c r="F141" s="15"/>
    </row>
    <row r="142" spans="1:6" x14ac:dyDescent="0.25">
      <c r="A142" s="6"/>
      <c r="B142" s="2"/>
      <c r="C142" s="2"/>
      <c r="D142" s="2"/>
      <c r="E142" s="15"/>
      <c r="F142" s="15"/>
    </row>
    <row r="143" spans="1:6" x14ac:dyDescent="0.25">
      <c r="A143" s="6"/>
      <c r="B143" s="2"/>
      <c r="C143" s="2"/>
      <c r="D143" s="2"/>
      <c r="E143" s="15"/>
      <c r="F143" s="15"/>
    </row>
    <row r="144" spans="1:6" x14ac:dyDescent="0.25">
      <c r="A144" s="6"/>
      <c r="B144" s="2"/>
      <c r="C144" s="2"/>
      <c r="D144" s="2"/>
      <c r="E144" s="15"/>
      <c r="F144" s="15"/>
    </row>
    <row r="145" spans="1:6" x14ac:dyDescent="0.25">
      <c r="A145" s="6"/>
      <c r="B145" s="2"/>
      <c r="C145" s="2"/>
      <c r="D145" s="2"/>
      <c r="E145" s="15"/>
      <c r="F145" s="15"/>
    </row>
    <row r="146" spans="1:6" x14ac:dyDescent="0.25">
      <c r="A146" s="6"/>
      <c r="B146" s="2"/>
      <c r="C146" s="2"/>
      <c r="D146" s="2"/>
      <c r="E146" s="15"/>
      <c r="F146" s="15"/>
    </row>
    <row r="147" spans="1:6" x14ac:dyDescent="0.25">
      <c r="A147" s="6"/>
      <c r="B147" s="2"/>
      <c r="C147" s="2"/>
      <c r="D147" s="2"/>
      <c r="E147" s="15"/>
      <c r="F147" s="15"/>
    </row>
    <row r="148" spans="1:6" x14ac:dyDescent="0.25">
      <c r="A148" s="6"/>
      <c r="B148" s="2"/>
      <c r="C148" s="2"/>
      <c r="D148" s="2"/>
      <c r="E148" s="15"/>
      <c r="F148" s="15"/>
    </row>
    <row r="149" spans="1:6" x14ac:dyDescent="0.25">
      <c r="A149" s="6"/>
      <c r="B149" s="2"/>
      <c r="C149" s="2"/>
      <c r="D149" s="2"/>
      <c r="E149" s="15"/>
      <c r="F149" s="15"/>
    </row>
    <row r="150" spans="1:6" x14ac:dyDescent="0.25">
      <c r="A150" s="6"/>
      <c r="B150" s="2"/>
      <c r="C150" s="2"/>
      <c r="D150" s="2"/>
      <c r="E150" s="15"/>
      <c r="F150" s="15"/>
    </row>
    <row r="151" spans="1:6" x14ac:dyDescent="0.25">
      <c r="A151" s="6"/>
      <c r="B151" s="2"/>
      <c r="C151" s="2"/>
      <c r="D151" s="2"/>
      <c r="E151" s="15"/>
      <c r="F151" s="15"/>
    </row>
    <row r="152" spans="1:6" x14ac:dyDescent="0.25">
      <c r="A152" s="6"/>
      <c r="B152" s="2"/>
      <c r="C152" s="2"/>
      <c r="D152" s="2"/>
      <c r="E152" s="15"/>
      <c r="F152" s="15"/>
    </row>
    <row r="153" spans="1:6" x14ac:dyDescent="0.25">
      <c r="A153" s="6"/>
      <c r="B153" s="2"/>
      <c r="C153" s="2"/>
      <c r="D153" s="2"/>
      <c r="E153" s="15"/>
      <c r="F153" s="15"/>
    </row>
    <row r="154" spans="1:6" x14ac:dyDescent="0.25">
      <c r="A154" s="6"/>
      <c r="B154" s="2"/>
      <c r="C154" s="2"/>
      <c r="D154" s="2"/>
      <c r="E154" s="15"/>
      <c r="F154" s="15"/>
    </row>
    <row r="155" spans="1:6" x14ac:dyDescent="0.25">
      <c r="A155" s="6"/>
      <c r="B155" s="2"/>
      <c r="C155" s="2"/>
      <c r="D155" s="2"/>
      <c r="E155" s="15"/>
      <c r="F155" s="15"/>
    </row>
    <row r="156" spans="1:6" x14ac:dyDescent="0.25">
      <c r="A156" s="6"/>
      <c r="B156" s="2"/>
      <c r="C156" s="2"/>
      <c r="D156" s="2"/>
      <c r="E156" s="15"/>
      <c r="F156" s="15"/>
    </row>
    <row r="157" spans="1:6" x14ac:dyDescent="0.25">
      <c r="A157" s="6"/>
      <c r="B157" s="2"/>
      <c r="C157" s="2"/>
      <c r="D157" s="2"/>
      <c r="E157" s="15"/>
      <c r="F157" s="15"/>
    </row>
    <row r="158" spans="1:6" x14ac:dyDescent="0.25">
      <c r="A158" s="6"/>
      <c r="B158" s="2"/>
      <c r="C158" s="2"/>
      <c r="D158" s="2"/>
      <c r="E158" s="15"/>
      <c r="F158" s="15"/>
    </row>
    <row r="159" spans="1:6" x14ac:dyDescent="0.25">
      <c r="A159" s="6"/>
      <c r="B159" s="2"/>
      <c r="C159" s="2"/>
      <c r="D159" s="2"/>
      <c r="E159" s="15"/>
      <c r="F159" s="15"/>
    </row>
    <row r="160" spans="1:6" x14ac:dyDescent="0.25">
      <c r="A160" s="6"/>
      <c r="B160" s="2"/>
      <c r="C160" s="2"/>
      <c r="D160" s="2"/>
      <c r="E160" s="15"/>
      <c r="F160" s="15"/>
    </row>
    <row r="161" spans="1:6" x14ac:dyDescent="0.25">
      <c r="A161" s="6"/>
      <c r="B161" s="2"/>
      <c r="C161" s="2"/>
      <c r="D161" s="2"/>
      <c r="E161" s="15"/>
      <c r="F161" s="15"/>
    </row>
    <row r="162" spans="1:6" x14ac:dyDescent="0.25">
      <c r="A162" s="6"/>
      <c r="B162" s="2"/>
      <c r="C162" s="2"/>
      <c r="D162" s="2"/>
      <c r="E162" s="15"/>
      <c r="F162" s="15"/>
    </row>
    <row r="163" spans="1:6" x14ac:dyDescent="0.25">
      <c r="A163" s="6"/>
      <c r="B163" s="2"/>
      <c r="C163" s="2"/>
      <c r="D163" s="2"/>
      <c r="E163" s="15"/>
      <c r="F163" s="15"/>
    </row>
    <row r="164" spans="1:6" x14ac:dyDescent="0.25">
      <c r="A164" s="6"/>
      <c r="B164" s="2"/>
      <c r="C164" s="2"/>
      <c r="D164" s="2"/>
      <c r="E164" s="15"/>
      <c r="F164" s="15"/>
    </row>
    <row r="165" spans="1:6" x14ac:dyDescent="0.25">
      <c r="A165" s="6"/>
      <c r="B165" s="2"/>
      <c r="C165" s="2"/>
      <c r="D165" s="2"/>
      <c r="E165" s="15"/>
      <c r="F165" s="15"/>
    </row>
    <row r="166" spans="1:6" x14ac:dyDescent="0.25">
      <c r="A166" s="6"/>
      <c r="B166" s="2"/>
      <c r="C166" s="2"/>
      <c r="D166" s="2"/>
      <c r="E166" s="15"/>
      <c r="F166" s="15"/>
    </row>
    <row r="167" spans="1:6" x14ac:dyDescent="0.25">
      <c r="A167" s="6"/>
      <c r="B167" s="2"/>
      <c r="C167" s="2"/>
      <c r="D167" s="2"/>
      <c r="E167" s="15"/>
      <c r="F167" s="15"/>
    </row>
    <row r="168" spans="1:6" x14ac:dyDescent="0.25">
      <c r="A168" s="6"/>
      <c r="B168" s="2"/>
      <c r="C168" s="2"/>
      <c r="D168" s="2"/>
      <c r="E168" s="15"/>
      <c r="F168" s="15"/>
    </row>
    <row r="169" spans="1:6" x14ac:dyDescent="0.25">
      <c r="A169" s="6"/>
      <c r="B169" s="2"/>
      <c r="C169" s="2"/>
      <c r="D169" s="2"/>
      <c r="E169" s="15"/>
      <c r="F169" s="15"/>
    </row>
    <row r="170" spans="1:6" x14ac:dyDescent="0.25">
      <c r="A170" s="6"/>
      <c r="B170" s="2"/>
      <c r="C170" s="2"/>
      <c r="D170" s="2"/>
      <c r="E170" s="15"/>
      <c r="F170" s="15"/>
    </row>
    <row r="171" spans="1:6" x14ac:dyDescent="0.25">
      <c r="A171" s="6"/>
      <c r="B171" s="2"/>
      <c r="C171" s="2"/>
      <c r="D171" s="2"/>
      <c r="E171" s="15"/>
      <c r="F171" s="15"/>
    </row>
    <row r="172" spans="1:6" x14ac:dyDescent="0.25">
      <c r="A172" s="6"/>
      <c r="B172" s="2"/>
      <c r="C172" s="2"/>
      <c r="D172" s="2"/>
      <c r="E172" s="15"/>
      <c r="F172" s="15"/>
    </row>
    <row r="173" spans="1:6" x14ac:dyDescent="0.25">
      <c r="A173" s="6"/>
      <c r="B173" s="2"/>
      <c r="C173" s="2"/>
      <c r="D173" s="2"/>
      <c r="E173" s="15"/>
      <c r="F173" s="15"/>
    </row>
    <row r="174" spans="1:6" x14ac:dyDescent="0.25">
      <c r="A174" s="6"/>
      <c r="B174" s="2"/>
      <c r="C174" s="2"/>
      <c r="D174" s="2"/>
      <c r="E174" s="15"/>
      <c r="F174" s="15"/>
    </row>
    <row r="175" spans="1:6" x14ac:dyDescent="0.25">
      <c r="A175" s="6"/>
      <c r="B175" s="2"/>
      <c r="C175" s="2"/>
      <c r="D175" s="2"/>
      <c r="E175" s="15"/>
      <c r="F175" s="15"/>
    </row>
    <row r="176" spans="1:6" x14ac:dyDescent="0.25">
      <c r="A176" s="6"/>
      <c r="B176" s="2"/>
      <c r="C176" s="2"/>
      <c r="D176" s="2"/>
      <c r="E176" s="15"/>
      <c r="F176" s="15"/>
    </row>
    <row r="177" spans="1:6" x14ac:dyDescent="0.25">
      <c r="A177" s="6"/>
      <c r="B177" s="2"/>
      <c r="C177" s="2"/>
      <c r="D177" s="2"/>
      <c r="E177" s="15"/>
      <c r="F177" s="15"/>
    </row>
    <row r="178" spans="1:6" x14ac:dyDescent="0.25">
      <c r="A178" s="6"/>
      <c r="B178" s="2"/>
      <c r="C178" s="2"/>
      <c r="D178" s="2"/>
      <c r="E178" s="15"/>
      <c r="F178" s="15"/>
    </row>
    <row r="179" spans="1:6" x14ac:dyDescent="0.25">
      <c r="A179" s="6"/>
      <c r="B179" s="2"/>
      <c r="C179" s="2"/>
      <c r="D179" s="2"/>
      <c r="E179" s="15"/>
      <c r="F179" s="15"/>
    </row>
    <row r="180" spans="1:6" x14ac:dyDescent="0.25">
      <c r="A180" s="6"/>
      <c r="B180" s="2"/>
      <c r="C180" s="2"/>
      <c r="D180" s="2"/>
      <c r="E180" s="15"/>
      <c r="F180" s="15"/>
    </row>
    <row r="181" spans="1:6" x14ac:dyDescent="0.25">
      <c r="A181" s="6"/>
      <c r="B181" s="2"/>
      <c r="C181" s="2"/>
      <c r="D181" s="2"/>
      <c r="E181" s="15"/>
      <c r="F181" s="15"/>
    </row>
    <row r="182" spans="1:6" x14ac:dyDescent="0.25">
      <c r="A182" s="6"/>
      <c r="B182" s="2"/>
      <c r="C182" s="2"/>
      <c r="D182" s="2"/>
      <c r="E182" s="15"/>
      <c r="F182" s="15"/>
    </row>
    <row r="183" spans="1:6" x14ac:dyDescent="0.25">
      <c r="A183" s="6"/>
      <c r="B183" s="2"/>
      <c r="C183" s="2"/>
      <c r="D183" s="2"/>
      <c r="E183" s="15"/>
      <c r="F183" s="15"/>
    </row>
    <row r="184" spans="1:6" x14ac:dyDescent="0.25">
      <c r="A184" s="6"/>
      <c r="B184" s="2"/>
      <c r="C184" s="2"/>
      <c r="D184" s="2"/>
      <c r="E184" s="15"/>
      <c r="F184" s="15"/>
    </row>
    <row r="185" spans="1:6" x14ac:dyDescent="0.25">
      <c r="A185" s="6"/>
      <c r="B185" s="2"/>
      <c r="C185" s="2"/>
      <c r="D185" s="2"/>
      <c r="E185" s="15"/>
      <c r="F185" s="15"/>
    </row>
    <row r="186" spans="1:6" x14ac:dyDescent="0.25">
      <c r="A186" s="6"/>
      <c r="B186" s="2"/>
      <c r="C186" s="2"/>
      <c r="D186" s="2"/>
      <c r="E186" s="15"/>
      <c r="F186" s="15"/>
    </row>
    <row r="187" spans="1:6" x14ac:dyDescent="0.25">
      <c r="A187" s="6"/>
      <c r="B187" s="2"/>
      <c r="C187" s="2"/>
      <c r="D187" s="2"/>
      <c r="E187" s="15"/>
      <c r="F187" s="15"/>
    </row>
    <row r="188" spans="1:6" x14ac:dyDescent="0.25">
      <c r="A188" s="6"/>
      <c r="B188" s="2"/>
      <c r="C188" s="2"/>
      <c r="D188" s="2"/>
      <c r="E188" s="15"/>
      <c r="F188" s="15"/>
    </row>
    <row r="189" spans="1:6" x14ac:dyDescent="0.25">
      <c r="A189" s="6"/>
      <c r="B189" s="2"/>
      <c r="C189" s="2"/>
      <c r="D189" s="2"/>
      <c r="E189" s="15"/>
      <c r="F189" s="15"/>
    </row>
    <row r="190" spans="1:6" x14ac:dyDescent="0.25">
      <c r="A190" s="6"/>
      <c r="B190" s="2"/>
      <c r="C190" s="2"/>
      <c r="D190" s="2"/>
      <c r="E190" s="15"/>
      <c r="F190" s="15"/>
    </row>
    <row r="191" spans="1:6" x14ac:dyDescent="0.25">
      <c r="A191" s="6"/>
      <c r="B191" s="2"/>
      <c r="C191" s="2"/>
      <c r="D191" s="2"/>
      <c r="E191" s="15"/>
      <c r="F191" s="15"/>
    </row>
    <row r="192" spans="1:6" x14ac:dyDescent="0.25">
      <c r="A192" s="6"/>
      <c r="B192" s="2"/>
      <c r="C192" s="2"/>
      <c r="D192" s="2"/>
      <c r="E192" s="15"/>
      <c r="F192" s="15"/>
    </row>
    <row r="193" spans="1:6" x14ac:dyDescent="0.25">
      <c r="A193" s="6"/>
      <c r="B193" s="2"/>
      <c r="C193" s="2"/>
      <c r="D193" s="2"/>
      <c r="E193" s="15"/>
      <c r="F193" s="15"/>
    </row>
    <row r="194" spans="1:6" x14ac:dyDescent="0.25">
      <c r="A194" s="6"/>
      <c r="B194" s="2"/>
      <c r="C194" s="2"/>
      <c r="D194" s="2"/>
      <c r="E194" s="15"/>
      <c r="F194" s="15"/>
    </row>
    <row r="195" spans="1:6" x14ac:dyDescent="0.25">
      <c r="A195" s="6"/>
      <c r="B195" s="2"/>
      <c r="C195" s="2"/>
      <c r="D195" s="2"/>
      <c r="E195" s="15"/>
      <c r="F195" s="15"/>
    </row>
    <row r="196" spans="1:6" x14ac:dyDescent="0.25">
      <c r="A196" s="6"/>
      <c r="B196" s="2"/>
      <c r="C196" s="2"/>
      <c r="D196" s="2"/>
      <c r="E196" s="15"/>
      <c r="F196" s="15"/>
    </row>
    <row r="197" spans="1:6" x14ac:dyDescent="0.25">
      <c r="A197" s="6"/>
      <c r="B197" s="2"/>
      <c r="C197" s="2"/>
      <c r="D197" s="2"/>
      <c r="E197" s="15"/>
      <c r="F197" s="15"/>
    </row>
    <row r="198" spans="1:6" x14ac:dyDescent="0.25">
      <c r="A198" s="6"/>
      <c r="B198" s="2"/>
      <c r="C198" s="2"/>
      <c r="D198" s="2"/>
      <c r="E198" s="15"/>
      <c r="F198" s="15"/>
    </row>
    <row r="199" spans="1:6" x14ac:dyDescent="0.25">
      <c r="A199" s="6"/>
      <c r="B199" s="2"/>
      <c r="C199" s="2"/>
      <c r="D199" s="2"/>
      <c r="E199" s="15"/>
      <c r="F199" s="15"/>
    </row>
    <row r="200" spans="1:6" x14ac:dyDescent="0.25">
      <c r="A200" s="6"/>
      <c r="B200" s="2"/>
      <c r="C200" s="2"/>
      <c r="D200" s="2"/>
      <c r="E200" s="15"/>
      <c r="F200" s="15"/>
    </row>
    <row r="201" spans="1:6" x14ac:dyDescent="0.25">
      <c r="A201" s="6"/>
      <c r="B201" s="2"/>
      <c r="C201" s="2"/>
      <c r="D201" s="2"/>
      <c r="E201" s="15"/>
      <c r="F201" s="15"/>
    </row>
    <row r="202" spans="1:6" x14ac:dyDescent="0.25"/>
    <row r="203" spans="1:6" hidden="1" x14ac:dyDescent="0.25"/>
    <row r="204" spans="1:6" hidden="1" x14ac:dyDescent="0.25"/>
    <row r="205" spans="1:6" hidden="1" x14ac:dyDescent="0.25"/>
    <row r="206" spans="1:6" hidden="1" x14ac:dyDescent="0.25"/>
    <row r="207" spans="1:6" hidden="1" x14ac:dyDescent="0.25"/>
    <row r="208" spans="1:6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</sheetData>
  <sheetProtection algorithmName="SHA-512" hashValue="isv/AjAXYD1OavVLJGZOONzlOd84R+wlFZiyjLPlCVG+f0bOXGxaylD4lVWwTKciv5wYuawcXGR7JYwJkhHQuw==" saltValue="QKUhhLNjHeTynpp/zqhfWA==" spinCount="100000" sheet="1" objects="1" scenarios="1"/>
  <conditionalFormatting sqref="B2">
    <cfRule type="expression" dxfId="6" priority="13">
      <formula xml:space="preserve"> $A2&lt;&gt; #REF!</formula>
    </cfRule>
  </conditionalFormatting>
  <conditionalFormatting sqref="C4:C201">
    <cfRule type="expression" dxfId="5" priority="12">
      <formula xml:space="preserve"> $A4&lt;&gt; #REF!</formula>
    </cfRule>
  </conditionalFormatting>
  <conditionalFormatting sqref="B5:B201 C2:F201">
    <cfRule type="expression" dxfId="4" priority="9">
      <formula xml:space="preserve"> $A2&lt;&gt; #REF!</formula>
    </cfRule>
  </conditionalFormatting>
  <conditionalFormatting sqref="B3">
    <cfRule type="expression" dxfId="3" priority="7">
      <formula xml:space="preserve"> $A3&lt;&gt; #REF!</formula>
    </cfRule>
  </conditionalFormatting>
  <conditionalFormatting sqref="B4">
    <cfRule type="expression" dxfId="2" priority="5">
      <formula xml:space="preserve"> $A4&lt;&gt; #REF!</formula>
    </cfRule>
  </conditionalFormatting>
  <conditionalFormatting sqref="C4">
    <cfRule type="expression" dxfId="1" priority="4">
      <formula xml:space="preserve"> $A4&lt;&gt; #REF!</formula>
    </cfRule>
  </conditionalFormatting>
  <conditionalFormatting sqref="B1">
    <cfRule type="expression" dxfId="0" priority="3029">
      <formula xml:space="preserve"> #REF!&lt;&gt; $A1048270</formula>
    </cfRule>
  </conditionalFormatting>
  <dataValidations count="6">
    <dataValidation allowBlank="1" showInputMessage="1" showErrorMessage="1" prompt="Count do Número de Linhas preenchidos, desconsiderando linha de cabeçalho" sqref="A1"/>
    <dataValidation type="list" allowBlank="1" showInputMessage="1" showErrorMessage="1" prompt="Chave que identifica registro na planilha" sqref="B1">
      <formula1>"SIM,NÃO"</formula1>
    </dataValidation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D1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C1"/>
    <dataValidation allowBlank="1" showInputMessage="1" showErrorMessage="1" prompt="Valor previto para pagamento referente a data de mensalização indicada. _x000a__x000a_Caso você esteja solicitando a criação de RC, estes valores devem obedecer as regras de marcos de pagamento definidos nas Propostas e/ou Contrato." sqref="E1"/>
    <dataValidation allowBlank="1" showInputMessage="1" showErrorMessage="1" prompt="Informação do Percentual do valor do Item em relação ao valor total da proposta." sqref="F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_x00e7__x00f5_es xmlns="0e3f2e60-2277-4302-8e52-efbb60b3566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BE38A9F3C2B5641B2700C9902D8E521" ma:contentTypeVersion="1" ma:contentTypeDescription="Crie um novo documento." ma:contentTypeScope="" ma:versionID="4aa8bffde00be64362fd7771bcba2993">
  <xsd:schema xmlns:xsd="http://www.w3.org/2001/XMLSchema" xmlns:xs="http://www.w3.org/2001/XMLSchema" xmlns:p="http://schemas.microsoft.com/office/2006/metadata/properties" xmlns:ns2="0e3f2e60-2277-4302-8e52-efbb60b35666" targetNamespace="http://schemas.microsoft.com/office/2006/metadata/properties" ma:root="true" ma:fieldsID="f6af4bb8643ea841fe4529ad858222d7" ns2:_="">
    <xsd:import namespace="0e3f2e60-2277-4302-8e52-efbb60b35666"/>
    <xsd:element name="properties">
      <xsd:complexType>
        <xsd:sequence>
          <xsd:element name="documentManagement">
            <xsd:complexType>
              <xsd:all>
                <xsd:element ref="ns2:Observa_x00e7__x00f5_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3f2e60-2277-4302-8e52-efbb60b35666" elementFormDefault="qualified">
    <xsd:import namespace="http://schemas.microsoft.com/office/2006/documentManagement/types"/>
    <xsd:import namespace="http://schemas.microsoft.com/office/infopath/2007/PartnerControls"/>
    <xsd:element name="Observa_x00e7__x00f5_es" ma:index="8" nillable="true" ma:displayName="Observações" ma:internalName="Observa_x00e7__x00f5_e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42CF78-E93E-465E-A683-0FDE4B5424B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0e3f2e60-2277-4302-8e52-efbb60b35666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CE21480-BC25-41BF-82B0-793B64C35A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1C5AA5-4DD4-4A05-9587-2773B4CA06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3f2e60-2277-4302-8e52-efbb60b356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</vt:i4>
      </vt:variant>
    </vt:vector>
  </HeadingPairs>
  <TitlesOfParts>
    <vt:vector size="20" baseType="lpstr">
      <vt:lpstr>INSTRUÇÕES</vt:lpstr>
      <vt:lpstr>Defesa</vt:lpstr>
      <vt:lpstr>Propostas</vt:lpstr>
      <vt:lpstr>Projeto</vt:lpstr>
      <vt:lpstr>Projeto_OLD</vt:lpstr>
      <vt:lpstr>FICHA</vt:lpstr>
      <vt:lpstr>CONTRATOS</vt:lpstr>
      <vt:lpstr>SISTEMA</vt:lpstr>
      <vt:lpstr>TABELAS</vt:lpstr>
      <vt:lpstr>VW_GO</vt:lpstr>
      <vt:lpstr>VW_RC</vt:lpstr>
      <vt:lpstr>VW_PROJETO</vt:lpstr>
      <vt:lpstr>TB_DEFESA</vt:lpstr>
      <vt:lpstr>TB_PROPOSTA</vt:lpstr>
      <vt:lpstr>TB_MENSALIZACAO</vt:lpstr>
      <vt:lpstr>Defesa!Area_de_impressao</vt:lpstr>
      <vt:lpstr>FICHA!Area_de_impressao</vt:lpstr>
      <vt:lpstr>INSTRUÇÕES!Area_de_impressao</vt:lpstr>
      <vt:lpstr>Projeto!Area_de_impressao</vt:lpstr>
      <vt:lpstr>Projeto_OLD!Area_de_impressao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Formulário de Aprovação de Investimento</dc:title>
  <dc:creator>Leandro Brito</dc:creator>
  <cp:lastModifiedBy>Vivian Aparecida De Jesus</cp:lastModifiedBy>
  <cp:lastPrinted>2016-01-08T14:01:20Z</cp:lastPrinted>
  <dcterms:created xsi:type="dcterms:W3CDTF">2014-05-01T14:17:22Z</dcterms:created>
  <dcterms:modified xsi:type="dcterms:W3CDTF">2017-12-19T20:43:02Z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0x010100FBE38A9F3C2B5641B2700C9902D8E521</vt:lpwstr>
  </property>
</Properties>
</file>