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EstaPasta_de_trabalho" hidePivotFieldList="1"/>
  <mc:AlternateContent xmlns:mc="http://schemas.openxmlformats.org/markup-compatibility/2006">
    <mc:Choice Requires="x15">
      <x15ac:absPath xmlns:x15ac="http://schemas.microsoft.com/office/spreadsheetml/2010/11/ac" url="D:\ajacomino\Working\WeDo\Projetos\Fraud\Oi\RFP\"/>
    </mc:Choice>
  </mc:AlternateContent>
  <bookViews>
    <workbookView xWindow="945" yWindow="0" windowWidth="23055" windowHeight="9435" tabRatio="871" activeTab="2"/>
  </bookViews>
  <sheets>
    <sheet name="Capa" sheetId="60" r:id="rId1"/>
    <sheet name="Instruções" sheetId="49" r:id="rId2"/>
    <sheet name="Requisitos" sheetId="95" r:id="rId3"/>
  </sheets>
  <externalReferences>
    <externalReference r:id="rId4"/>
  </externalReferences>
  <definedNames>
    <definedName name="_xlnm._FilterDatabase" localSheetId="2" hidden="1">Requisitos!$A$7:$R$222</definedName>
    <definedName name="ARBOR">#REF!</definedName>
    <definedName name="atende_req" localSheetId="2">[1]Parâmetros!$G$3:$G$5</definedName>
    <definedName name="atende_req">#REF!</definedName>
    <definedName name="Clausulas" localSheetId="2">[1]Parâmetros!$M$3:$M$4</definedName>
    <definedName name="Clausulas">#REF!</definedName>
    <definedName name="Nivel_Custom" localSheetId="2">[1]Parâmetros!$J$3:$J$8</definedName>
    <definedName name="Nivel_Custom">#REF!</definedName>
    <definedName name="_xlnm.Print_Area" localSheetId="0">Capa!$B$1:$O$40</definedName>
    <definedName name="Req_exclusão" localSheetId="2">[1]Parâmetros!$E$3:$E$4</definedName>
    <definedName name="Req_exclusão">#REF!</definedName>
    <definedName name="requerimentos" localSheetId="2">[1]Parâmetros!$B$3:$B$6</definedName>
    <definedName name="requerimentos">#REF!</definedName>
    <definedName name="requisito" localSheetId="2">[1]Parâmetros!#REF!</definedName>
    <definedName name="requisito">#REF!</definedName>
    <definedName name="Sistema">#REF!</definedName>
    <definedName name="sistemas">#REF!</definedName>
    <definedName name="Tipo_Item">#REF!</definedName>
    <definedName name="xxx">#REF!</definedName>
  </definedNames>
  <calcPr calcId="152511"/>
</workbook>
</file>

<file path=xl/calcChain.xml><?xml version="1.0" encoding="utf-8"?>
<calcChain xmlns="http://schemas.openxmlformats.org/spreadsheetml/2006/main">
  <c r="A158" i="95" l="1"/>
  <c r="A159" i="95" s="1"/>
  <c r="A160" i="95" s="1"/>
  <c r="A161" i="95" s="1"/>
  <c r="A162" i="95" s="1"/>
  <c r="A163" i="95" s="1"/>
  <c r="A164" i="95" s="1"/>
  <c r="A165" i="95" s="1"/>
  <c r="A166" i="95" s="1"/>
  <c r="A167" i="95" s="1"/>
  <c r="A168" i="95" s="1"/>
  <c r="A169" i="95" s="1"/>
  <c r="A170" i="95" s="1"/>
  <c r="A171" i="95" s="1"/>
  <c r="A172" i="95" s="1"/>
  <c r="A173" i="95" s="1"/>
  <c r="A174" i="95" s="1"/>
  <c r="A175" i="95" s="1"/>
  <c r="A176" i="95" s="1"/>
  <c r="A177" i="95" s="1"/>
  <c r="A178" i="95" s="1"/>
  <c r="A179" i="95" s="1"/>
  <c r="A180" i="95" s="1"/>
  <c r="A181" i="95" s="1"/>
  <c r="A182" i="95" s="1"/>
  <c r="A183" i="95" s="1"/>
  <c r="A184" i="95" s="1"/>
  <c r="A185" i="95" s="1"/>
  <c r="A186" i="95" s="1"/>
  <c r="A187" i="95" s="1"/>
  <c r="A188" i="95" s="1"/>
  <c r="A189" i="95" s="1"/>
  <c r="A190" i="95" s="1"/>
  <c r="A191" i="95" s="1"/>
  <c r="A192" i="95" s="1"/>
  <c r="A193" i="95" s="1"/>
  <c r="A194" i="95" s="1"/>
  <c r="A195" i="95" s="1"/>
  <c r="A196" i="95" s="1"/>
  <c r="A197" i="95" s="1"/>
  <c r="A198" i="95" s="1"/>
  <c r="A199" i="95" s="1"/>
  <c r="A200" i="95" s="1"/>
  <c r="A201" i="95" s="1"/>
  <c r="A202" i="95" s="1"/>
  <c r="A203" i="95" s="1"/>
  <c r="A204" i="95" s="1"/>
  <c r="A205" i="95" s="1"/>
  <c r="A206" i="95" s="1"/>
  <c r="A207" i="95" s="1"/>
  <c r="A208" i="95" s="1"/>
  <c r="A209" i="95" s="1"/>
  <c r="A210" i="95" s="1"/>
  <c r="A211" i="95" s="1"/>
  <c r="A212" i="95" s="1"/>
  <c r="A213" i="95" s="1"/>
  <c r="A214" i="95" s="1"/>
  <c r="A215" i="95" s="1"/>
  <c r="A216" i="95" s="1"/>
  <c r="A217" i="95" s="1"/>
  <c r="A218" i="95" s="1"/>
  <c r="A219" i="95" s="1"/>
  <c r="A220" i="95" s="1"/>
  <c r="A100" i="95"/>
  <c r="A101" i="95" s="1"/>
  <c r="A102" i="95" s="1"/>
  <c r="A103" i="95" s="1"/>
  <c r="A104" i="95" s="1"/>
  <c r="A105" i="95" s="1"/>
  <c r="A106" i="95" s="1"/>
  <c r="A107" i="95" s="1"/>
  <c r="A108" i="95" s="1"/>
  <c r="A109" i="95" s="1"/>
  <c r="A110" i="95" s="1"/>
  <c r="A111" i="95" s="1"/>
  <c r="A112" i="95" s="1"/>
  <c r="A113" i="95" s="1"/>
  <c r="A114" i="95" s="1"/>
  <c r="A115" i="95" s="1"/>
  <c r="A116" i="95" s="1"/>
  <c r="A117" i="95" s="1"/>
  <c r="A118" i="95" s="1"/>
  <c r="A119" i="95" s="1"/>
  <c r="A120" i="95" s="1"/>
  <c r="A121" i="95" s="1"/>
  <c r="A122" i="95" s="1"/>
  <c r="A123" i="95" s="1"/>
  <c r="A124" i="95" s="1"/>
  <c r="A125" i="95" s="1"/>
  <c r="A126" i="95" s="1"/>
  <c r="A127" i="95" s="1"/>
  <c r="A128" i="95" s="1"/>
  <c r="A129" i="95" s="1"/>
  <c r="A130" i="95" s="1"/>
  <c r="A131" i="95" s="1"/>
  <c r="A132" i="95" s="1"/>
  <c r="A133" i="95" s="1"/>
  <c r="A134" i="95" s="1"/>
  <c r="A135" i="95" s="1"/>
  <c r="A136" i="95" s="1"/>
  <c r="A137" i="95" s="1"/>
  <c r="A138" i="95" s="1"/>
  <c r="A8" i="95"/>
  <c r="A9" i="95"/>
  <c r="A10" i="95" s="1"/>
  <c r="A11" i="95" s="1"/>
  <c r="A12" i="95" s="1"/>
  <c r="A13" i="95" s="1"/>
  <c r="A14" i="95" s="1"/>
  <c r="A15" i="95" s="1"/>
  <c r="A16" i="95" s="1"/>
  <c r="A17" i="95" s="1"/>
  <c r="A18" i="95" s="1"/>
  <c r="A19" i="95" s="1"/>
  <c r="A20" i="95" s="1"/>
  <c r="A21" i="95" s="1"/>
  <c r="A22" i="95" s="1"/>
  <c r="A23" i="95" s="1"/>
  <c r="A24" i="95" s="1"/>
  <c r="A25" i="95" s="1"/>
  <c r="A26" i="95" s="1"/>
  <c r="A27" i="95" s="1"/>
  <c r="A28" i="95" s="1"/>
  <c r="A29" i="95" s="1"/>
  <c r="A30" i="95" s="1"/>
  <c r="A31" i="95" s="1"/>
  <c r="A32" i="95" s="1"/>
  <c r="A33" i="95" s="1"/>
  <c r="A34" i="95" s="1"/>
  <c r="A35" i="95" s="1"/>
  <c r="A36" i="95" s="1"/>
  <c r="A37" i="95" s="1"/>
  <c r="A38" i="95" s="1"/>
  <c r="A39" i="95" s="1"/>
  <c r="A40" i="95" s="1"/>
  <c r="A41" i="95" s="1"/>
  <c r="A139" i="95" l="1"/>
  <c r="A140" i="95"/>
  <c r="A141" i="95" s="1"/>
  <c r="A142" i="95" s="1"/>
  <c r="A143" i="95" s="1"/>
  <c r="A144" i="95" s="1"/>
  <c r="A145" i="95" s="1"/>
  <c r="A146" i="95" s="1"/>
  <c r="A147" i="95" s="1"/>
  <c r="A148" i="95" s="1"/>
  <c r="A149" i="95" s="1"/>
  <c r="A150" i="95" s="1"/>
  <c r="A151" i="95" s="1"/>
  <c r="A152" i="95" s="1"/>
  <c r="A153" i="95" s="1"/>
  <c r="A154" i="95" s="1"/>
  <c r="A44" i="95"/>
  <c r="A45" i="95" s="1"/>
  <c r="A46" i="95" s="1"/>
  <c r="A47" i="95" s="1"/>
  <c r="A48" i="95" s="1"/>
  <c r="A49" i="95" s="1"/>
  <c r="A50" i="95" s="1"/>
  <c r="A51" i="95" s="1"/>
  <c r="A52" i="95" s="1"/>
  <c r="A53" i="95" s="1"/>
  <c r="A54" i="95" s="1"/>
  <c r="A55" i="95" s="1"/>
  <c r="A56" i="95" s="1"/>
  <c r="A57" i="95" s="1"/>
  <c r="A58" i="95" s="1"/>
  <c r="A59" i="95" s="1"/>
  <c r="A60" i="95" s="1"/>
  <c r="A61" i="95" s="1"/>
  <c r="A62" i="95" s="1"/>
  <c r="A63" i="95" s="1"/>
  <c r="A64" i="95" s="1"/>
  <c r="A65" i="95" s="1"/>
  <c r="A66" i="95" s="1"/>
  <c r="A67" i="95" s="1"/>
  <c r="A68" i="95" s="1"/>
  <c r="A69" i="95" s="1"/>
  <c r="A70" i="95" s="1"/>
  <c r="A71" i="95" s="1"/>
  <c r="A72" i="95" s="1"/>
  <c r="A42" i="95"/>
  <c r="A43" i="95" s="1"/>
  <c r="A73" i="95" l="1"/>
  <c r="A74" i="95" s="1"/>
  <c r="A75" i="95" s="1"/>
  <c r="A76" i="95" s="1"/>
  <c r="A77" i="95" s="1"/>
  <c r="A78" i="95" s="1"/>
  <c r="A79" i="95" s="1"/>
  <c r="A80" i="95" s="1"/>
  <c r="A81" i="95" s="1"/>
  <c r="A82" i="95" s="1"/>
  <c r="A83" i="95" s="1"/>
  <c r="A84" i="95" s="1"/>
  <c r="A85" i="95" s="1"/>
  <c r="A86" i="95" s="1"/>
  <c r="A87" i="95" s="1"/>
  <c r="A88" i="95" s="1"/>
  <c r="A89" i="95" s="1"/>
  <c r="A90" i="95" s="1"/>
  <c r="A91" i="95" s="1"/>
  <c r="A92" i="95" s="1"/>
  <c r="A93" i="95" s="1"/>
  <c r="A94" i="95" s="1"/>
  <c r="A95" i="95" s="1"/>
  <c r="A96" i="95" s="1"/>
</calcChain>
</file>

<file path=xl/comments1.xml><?xml version="1.0" encoding="utf-8"?>
<comments xmlns="http://schemas.openxmlformats.org/spreadsheetml/2006/main">
  <authors>
    <author>profile</author>
  </authors>
  <commentList>
    <comment ref="A7" authorId="0" shapeId="0">
      <text>
        <r>
          <rPr>
            <sz val="9"/>
            <color indexed="81"/>
            <rFont val="Tahoma"/>
            <family val="2"/>
          </rPr>
          <t>Insira nesta coluna o ID do requisito utilizando o padrão RQFXXX, onde XXX é o identificador único do mesmo no projeto.</t>
        </r>
      </text>
    </comment>
    <comment ref="B7" authorId="0" shapeId="0">
      <text>
        <r>
          <rPr>
            <sz val="9"/>
            <color indexed="81"/>
            <rFont val="Tahoma"/>
            <family val="2"/>
          </rPr>
          <t>Apresente nesta seção a descrição do tipo/categoria ou regra de negócio do requisito.</t>
        </r>
      </text>
    </comment>
    <comment ref="C7" authorId="0" shapeId="0">
      <text>
        <r>
          <rPr>
            <sz val="9"/>
            <color indexed="81"/>
            <rFont val="Tahoma"/>
            <family val="2"/>
          </rPr>
          <t>Apresente nesta seção a descrição do requisito.
Requitos descrevem as ações que um sistema deve ser capaz de realizar.
Exemplos: 
-O sistema deve ser capaz de emitir relatório de clientes inadimplentes.
-O sistema deve permitir a alteração de endereço do cliente.</t>
        </r>
      </text>
    </comment>
    <comment ref="D7" authorId="0" shapeId="0">
      <text>
        <r>
          <rPr>
            <sz val="9"/>
            <color indexed="81"/>
            <rFont val="Tahoma"/>
            <family val="2"/>
          </rPr>
          <t>Grau de necessidade do requsito (obrigatório ou desejável).</t>
        </r>
      </text>
    </comment>
    <comment ref="E7" authorId="0" shapeId="0">
      <text>
        <r>
          <rPr>
            <sz val="9"/>
            <color indexed="81"/>
            <rFont val="Tahoma"/>
            <family val="2"/>
          </rPr>
          <t>Requisitos com esta coluna marcada com "x" deverão ser demonstrados em prova de conceito.</t>
        </r>
      </text>
    </comment>
    <comment ref="F7" authorId="0" shapeId="0">
      <text>
        <r>
          <rPr>
            <sz val="9"/>
            <color indexed="81"/>
            <rFont val="Tahoma"/>
            <family val="2"/>
          </rPr>
          <t>Preencher o tipo de fraude a qual o requisito está relacionado.</t>
        </r>
      </text>
    </comment>
    <comment ref="G7" authorId="0" shapeId="0">
      <text>
        <r>
          <rPr>
            <sz val="9"/>
            <color indexed="81"/>
            <rFont val="Tahoma"/>
            <family val="2"/>
          </rPr>
          <t>Classificar qual é o ciclo de vida da fraude  que o requisito faz parte:
- Intimidação/Prevenção
- Detecção
- Medidas de atuação/Análise
- Investigação/Acusação
- Políticas/Regulatório</t>
        </r>
      </text>
    </comment>
    <comment ref="H7" authorId="0" shapeId="0">
      <text>
        <r>
          <rPr>
            <sz val="9"/>
            <color indexed="81"/>
            <rFont val="Tahoma"/>
            <family val="2"/>
          </rPr>
          <t>Nesta coluna o fornecedor deve informar o atendimento da solução proposta em relação aos requisitos nos seguintes critérios:
- atende (vanilla)
- não atende
- atende parcialmente (atende parte do requisito e a parte que não atende não avalia customizar)
- atende com customização (desenvolvimento/nova release)
- atende com parametrização (parametrizações/configurações feitas por usuário avançado ou admin.)</t>
        </r>
      </text>
    </comment>
    <comment ref="I7" authorId="0" shapeId="0">
      <text>
        <r>
          <rPr>
            <sz val="9"/>
            <color indexed="81"/>
            <rFont val="Tahoma"/>
            <family val="2"/>
          </rPr>
          <t>Nesta coluna o fornecedor deve informar o percentual de customização da solução em atendimento ao requisito no caso de "atender com customização".</t>
        </r>
      </text>
    </comment>
    <comment ref="J7" authorId="0" shapeId="0">
      <text>
        <r>
          <rPr>
            <sz val="9"/>
            <color indexed="81"/>
            <rFont val="Tahoma"/>
            <family val="2"/>
          </rPr>
          <t>O fornecedor deve informar nesta coluna o peso da implementação através de customização para este requisito em relação ao todo (Informar em %). Ou seja, o somatório de todos os percentuais dos requisitos que serão customizados deve ser igual a 100%.</t>
        </r>
      </text>
    </comment>
    <comment ref="K7" authorId="0" shapeId="0">
      <text>
        <r>
          <rPr>
            <sz val="9"/>
            <color indexed="81"/>
            <rFont val="Tahoma"/>
            <family val="2"/>
          </rPr>
          <t>Nesta coluna o fornecedor pode incluir a justificativa sobre o atendimento e nível de customização da solução em relação aos requsiitos.</t>
        </r>
      </text>
    </comment>
    <comment ref="A99" authorId="0" shapeId="0">
      <text>
        <r>
          <rPr>
            <sz val="9"/>
            <color indexed="81"/>
            <rFont val="Tahoma"/>
            <family val="2"/>
          </rPr>
          <t>Insira nesta coluna o ID do requisito utilizando o padrão RQFXXX, onde XXX é o identificador único do mesmo no projeto.</t>
        </r>
      </text>
    </comment>
    <comment ref="B99" authorId="0" shapeId="0">
      <text>
        <r>
          <rPr>
            <sz val="9"/>
            <color indexed="81"/>
            <rFont val="Tahoma"/>
            <family val="2"/>
          </rPr>
          <t>Apresente nesta seção a descrição do tipo/categoria ou regra de negócio do requisito.</t>
        </r>
      </text>
    </comment>
    <comment ref="C99" authorId="0" shapeId="0">
      <text>
        <r>
          <rPr>
            <sz val="9"/>
            <color indexed="81"/>
            <rFont val="Tahoma"/>
            <family val="2"/>
          </rPr>
          <t>Apresente nesta seção a descrição do requisito.
Requitos descrevem as ações que um sistema deve ser capaz de realizar.
Exemplos: 
-O sistema deve ser capaz de emitir relatório de clientes inadimplentes.
-O sistema deve permitir a alteração de endereço do cliente.</t>
        </r>
      </text>
    </comment>
    <comment ref="D99" authorId="0" shapeId="0">
      <text>
        <r>
          <rPr>
            <sz val="9"/>
            <color indexed="81"/>
            <rFont val="Tahoma"/>
            <family val="2"/>
          </rPr>
          <t>Grau de necessidade do requsito (obrigatório ou desejável).</t>
        </r>
      </text>
    </comment>
    <comment ref="E99" authorId="0" shapeId="0">
      <text>
        <r>
          <rPr>
            <sz val="9"/>
            <color indexed="81"/>
            <rFont val="Tahoma"/>
            <family val="2"/>
          </rPr>
          <t>Requisitos com esta coluna marcada com "x" deverão ser demonstrados em prova de conceito.</t>
        </r>
      </text>
    </comment>
    <comment ref="F99" authorId="0" shapeId="0">
      <text>
        <r>
          <rPr>
            <sz val="9"/>
            <color indexed="81"/>
            <rFont val="Tahoma"/>
            <family val="2"/>
          </rPr>
          <t>Preencher o tipo de fraude a qual o requisito está relacionado.</t>
        </r>
      </text>
    </comment>
    <comment ref="G99" authorId="0" shapeId="0">
      <text>
        <r>
          <rPr>
            <sz val="9"/>
            <color indexed="81"/>
            <rFont val="Tahoma"/>
            <family val="2"/>
          </rPr>
          <t>Classificar qual é o ciclo de vida da fraude  que o requisito faz parte:
- Intimidação/Prevenção
- Detecção
- Medidas de atuação/Análise
- Investigação/Acusação
- Políticas/Regulatório</t>
        </r>
      </text>
    </comment>
    <comment ref="H99" authorId="0" shapeId="0">
      <text>
        <r>
          <rPr>
            <sz val="9"/>
            <color indexed="81"/>
            <rFont val="Tahoma"/>
            <family val="2"/>
          </rPr>
          <t>Nesta coluna o fornecedor deve informar o atendimento da solução proposta em relação aos requisitos nos seguintes critérios:
- atende (vanilla)
- não atende
- atende parcialmente (atende parte do requisito e a parte que não atende não avalia customizar)
- atende com customização (desenvolvimento/nova release)
- atende com parametrização (parametrizações/configurações feitas por usuário avançado ou admin.)</t>
        </r>
      </text>
    </comment>
    <comment ref="I99" authorId="0" shapeId="0">
      <text>
        <r>
          <rPr>
            <sz val="9"/>
            <color indexed="81"/>
            <rFont val="Tahoma"/>
            <family val="2"/>
          </rPr>
          <t>Nesta coluna o fornecedor deve informar o percentual de customização da solução em atendimento ao requisito no caso de "atender com customização".</t>
        </r>
      </text>
    </comment>
    <comment ref="J99" authorId="0" shapeId="0">
      <text>
        <r>
          <rPr>
            <sz val="9"/>
            <color indexed="81"/>
            <rFont val="Tahoma"/>
            <family val="2"/>
          </rPr>
          <t>O fornecedor deve informar nesta coluna o peso da implementação através de customização para este requisito em relação ao todo (Informar em %). Ou seja, o somatório de todos os percentuais dos requisitos que serão customizados deve ser igual a 100%.</t>
        </r>
      </text>
    </comment>
    <comment ref="K99" authorId="0" shapeId="0">
      <text>
        <r>
          <rPr>
            <sz val="9"/>
            <color indexed="81"/>
            <rFont val="Tahoma"/>
            <family val="2"/>
          </rPr>
          <t>Nesta coluna o fornecedor pode incluir a justificativa sobre o atendimento e nível de customização da solução em relação aos requsiitos.</t>
        </r>
      </text>
    </comment>
    <comment ref="A157" authorId="0" shapeId="0">
      <text>
        <r>
          <rPr>
            <sz val="9"/>
            <color indexed="81"/>
            <rFont val="Tahoma"/>
            <family val="2"/>
          </rPr>
          <t>Insira nesta coluna o ID do requisito utilizando o padrão RQFXXX, onde XXX é o identificador único do mesmo no projeto.</t>
        </r>
      </text>
    </comment>
    <comment ref="B157" authorId="0" shapeId="0">
      <text>
        <r>
          <rPr>
            <sz val="9"/>
            <color indexed="81"/>
            <rFont val="Tahoma"/>
            <family val="2"/>
          </rPr>
          <t>Apresente nesta seção a descrição do tipo/categoria ou regra de negócio do requisito.</t>
        </r>
      </text>
    </comment>
    <comment ref="C157" authorId="0" shapeId="0">
      <text>
        <r>
          <rPr>
            <sz val="9"/>
            <color indexed="81"/>
            <rFont val="Tahoma"/>
            <family val="2"/>
          </rPr>
          <t>Apresente nesta seção a descrição do requisito.
Requitos descrevem as ações que um sistema deve ser capaz de realizar.
Exemplos: 
-O sistema deve ser capaz de emitir relatório de clientes inadimplentes.
-O sistema deve permitir a alteração de endereço do cliente.</t>
        </r>
      </text>
    </comment>
    <comment ref="D157" authorId="0" shapeId="0">
      <text>
        <r>
          <rPr>
            <sz val="9"/>
            <color indexed="81"/>
            <rFont val="Tahoma"/>
            <family val="2"/>
          </rPr>
          <t>Grau de necessidade do requsito (obrigatório ou desejável).</t>
        </r>
      </text>
    </comment>
    <comment ref="E157" authorId="0" shapeId="0">
      <text>
        <r>
          <rPr>
            <sz val="9"/>
            <color indexed="81"/>
            <rFont val="Tahoma"/>
            <family val="2"/>
          </rPr>
          <t>Requisitos com esta coluna marcada com "x" deverão ser demonstrados em prova de conceito.</t>
        </r>
      </text>
    </comment>
    <comment ref="F157" authorId="0" shapeId="0">
      <text>
        <r>
          <rPr>
            <sz val="9"/>
            <color indexed="81"/>
            <rFont val="Tahoma"/>
            <family val="2"/>
          </rPr>
          <t>Preencher o tipo de fraude a qual o requisito está relacionado.</t>
        </r>
      </text>
    </comment>
    <comment ref="G157" authorId="0" shapeId="0">
      <text>
        <r>
          <rPr>
            <sz val="9"/>
            <color indexed="81"/>
            <rFont val="Tahoma"/>
            <family val="2"/>
          </rPr>
          <t>Classificar qual é o ciclo de vida da fraude  que o requisito faz parte:
- Intimidação/Prevenção
- Detecção
- Medidas de atuação/Análise
- Investigação/Acusação
- Políticas/Regulatório</t>
        </r>
      </text>
    </comment>
    <comment ref="H157" authorId="0" shapeId="0">
      <text>
        <r>
          <rPr>
            <sz val="9"/>
            <color indexed="81"/>
            <rFont val="Tahoma"/>
            <family val="2"/>
          </rPr>
          <t>Nesta coluna o fornecedor deve informar o atendimento da solução proposta em relação aos requisitos nos seguintes critérios:
- atende (vanilla)
- não atende
- atende parcialmente (atende parte do requisito e a parte que não atende não avalia customizar)
- atende com customização (desenvolvimento/nova release)
- atende com parametrização (parametrizações/configurações feitas por usuário avançado ou admin.)</t>
        </r>
      </text>
    </comment>
    <comment ref="I157" authorId="0" shapeId="0">
      <text>
        <r>
          <rPr>
            <sz val="9"/>
            <color indexed="81"/>
            <rFont val="Tahoma"/>
            <family val="2"/>
          </rPr>
          <t>Nesta coluna o fornecedor deve informar o percentual de customização da solução em atendimento ao requisito no caso de "atender com customização".</t>
        </r>
      </text>
    </comment>
    <comment ref="J157" authorId="0" shapeId="0">
      <text>
        <r>
          <rPr>
            <sz val="9"/>
            <color indexed="81"/>
            <rFont val="Tahoma"/>
            <family val="2"/>
          </rPr>
          <t>O fornecedor deve informar nesta coluna o peso da implementação através de customização para este requisito em relação ao todo (Informar em %). Ou seja, o somatório de todos os percentuais dos requisitos que serão customizados deve ser igual a 100%.</t>
        </r>
      </text>
    </comment>
    <comment ref="K157" authorId="0" shapeId="0">
      <text>
        <r>
          <rPr>
            <sz val="9"/>
            <color indexed="81"/>
            <rFont val="Tahoma"/>
            <family val="2"/>
          </rPr>
          <t>Nesta coluna o fornecedor pode incluir a justificativa sobre o atendimento e nível de customização da solução em relação aos requsiitos.</t>
        </r>
      </text>
    </comment>
  </commentList>
</comments>
</file>

<file path=xl/sharedStrings.xml><?xml version="1.0" encoding="utf-8"?>
<sst xmlns="http://schemas.openxmlformats.org/spreadsheetml/2006/main" count="1592" uniqueCount="424">
  <si>
    <t>Atende</t>
  </si>
  <si>
    <t>Não Atende</t>
  </si>
  <si>
    <t>Nível de Customização (%)</t>
  </si>
  <si>
    <t>Menor ou igual a 10%</t>
  </si>
  <si>
    <t>De 11% a 20%</t>
  </si>
  <si>
    <t>De 21% a 40%</t>
  </si>
  <si>
    <t>De 41% a 60%</t>
  </si>
  <si>
    <t>Superior a 61%</t>
  </si>
  <si>
    <t>Requisitos</t>
  </si>
  <si>
    <t>As colunas de cor branca devem ser preenchidas pela Oi</t>
  </si>
  <si>
    <t>As colunas de cor verde devem ser preenchidas pelo fornecedor</t>
  </si>
  <si>
    <t>ID RQF</t>
  </si>
  <si>
    <t>Peso do requisito em relação ao todo (%)</t>
  </si>
  <si>
    <t>Justificativa</t>
  </si>
  <si>
    <t>Desejável</t>
  </si>
  <si>
    <t>Obrigatório</t>
  </si>
  <si>
    <t>ID RQS</t>
  </si>
  <si>
    <t>Regra de Negócio</t>
  </si>
  <si>
    <t>Requisito Funcional</t>
  </si>
  <si>
    <t xml:space="preserve"> Criptografia </t>
  </si>
  <si>
    <t>Auditoria e Monitoração Eletrônica </t>
  </si>
  <si>
    <t>Controle de Acesso / Identificação de usuário</t>
  </si>
  <si>
    <t xml:space="preserve"> Arquitetura de Segurança e Integridade de Sistemas e Dados</t>
  </si>
  <si>
    <t xml:space="preserve"> Manutenção de Equipamentos e Sistema</t>
  </si>
  <si>
    <t>Planejamento e Aceitação de Sistemas</t>
  </si>
  <si>
    <t>O sistema deverá utilizar mecanismos criptograficos para transmissão e armazenamento, baseados em padrões provados matematicamente e reconhecidos publicamente pelo mercado. Hash: SHA2-512, Simétrico: AES-256, Assimetrico: RSA-2048.</t>
  </si>
  <si>
    <t>Garantir transmissão segura de dados de alta confidencialidade dos sistemas disponíveis na internet, utilizando HTTP over SSL (HTTPS) para ações/telas de entrada e/ou saída de dados.</t>
  </si>
  <si>
    <t>As chaves criptográficas utilizadas não devem ser armazenadas diretamente no código do aplicativo, devendo ser dada preferência ao uso de dispositivos de segurança externos para armazenamento das mesmas.</t>
  </si>
  <si>
    <t>As senhas devem ser armazenadas sempre como hash não reversível com salt, para impedir a leitura das senhas por quem tiver acesso à tabela de usuários.</t>
  </si>
  <si>
    <t xml:space="preserve">Todos os sistemas desenvolvidos ou adquiridos pela Oi devem conter registros de auditoria. Estes registros devem ser gravados com data/hora de ocorrência, descrição da ação executada, endereço IP e hostname da origem da ação, ID do usuário executor da ação e perfil do usuário no momento da execução, para no mínimo os seguintes eventos:
- Sucesso de acesso de usuário;
- Falha de acesso de usuário (necessária informação adicional de número de tentativas inválidas desde a última tentativa válida);
- Término da utilização do ambiente ou sistema pelo usuário;
- Sucesso na alteração em dados confidenciais (vide  regulamento de Classificação da Informação) utilizados pelos sistemas;
- Falha na alteração em dados confidenciais (vide Regulamento de Classificação da Informação) utilizados pelos sistemas;
- Sucesso na criação ou remoção de usuários;
- Falha na criação ou remoção de usuários;
- Sucesso na atribuição ou remoção de direitos (perfis) do usuário;
- Falha na atribuição ou remoção de direitos (perfis) do usuário;
- Sucesso na concessão, remoção, alteração de valores financeiros (créditos, alçadas, benefícios, bônus, orçamentos, salários, etc.) relativos a clientes, colaboradores, fornecedores ou a própria Oi;
- Falha na concessão, remoção, alteração de valores financeiros (créditos, alçadas, benefícios, bônus, orçamentos, salários, etc.) relativos a clientes, colaboradores, fornecedores ou a própria Oi;
- Sucesso na alteração de informações de usuários, inclusive senha;
- Falha na alteração de informações de usuários, inclusive senha. </t>
  </si>
  <si>
    <t>Deve haver uma interface amigável para consulta dos logs. </t>
  </si>
  <si>
    <t xml:space="preserve">Todos os logs devem ser protegidos, cabendo apenas, usuários com perfis específicos e restritos a deleção dos dados; </t>
  </si>
  <si>
    <t>Apenas o sistema poderá gravar informações nos registros de log. Os mesmos não podem ser alterados por usuários, independente de seu perfil;</t>
  </si>
  <si>
    <t>Os logs devem ser mantidos por períodos mínimos determinados pelos gestores dos sistemas, devendo considerar os aspectos legais e regulatórios envolvidos, bem como as necessidades de negócio. Recomenda-se, nos casos omissos, a manutenção dos mesmos por um período não inferior a 5 anos.</t>
  </si>
  <si>
    <t>Todo acesso a sistemas e aplicativos deve ser realizado através de identificação de usuário individual e autenticação através de senha. A identificação e a senha são pessoais e intransferíveis;</t>
  </si>
  <si>
    <t>O controle de acesso deve ser uniforme em todo o sistema, utilizando-se uma única rotina de verificação e gerenciamento centralizado;</t>
  </si>
  <si>
    <t>As contas com privilégios administrativos nos sistemas, aplicativos ou bases de dados devem ser concedidas apenas aos colaboradores com perfil de suporte técnico, e/ou administração;</t>
  </si>
  <si>
    <t>Aplicações Web devem ser protegidas, autenticadas e autorizadas pelo Proxy reverso Novell Access Manager/IChain.</t>
  </si>
  <si>
    <t>Caso a integração seja feita através do protocolo LDAP nativo, a mesma deverá ser capaz realizar a autenticação, autorização e obtenção de perfil de usuários diretamente do NDS, obedecendo a sua estrutura de armazenamento de perfis do mesmo;</t>
  </si>
  <si>
    <t>As contas de sistema (usuários de serviço ou de aplicação-nativa) devem ser cadastradas no serviço de diretório Novell da Oi (IDM/NDS).</t>
  </si>
  <si>
    <t>Nenhum dado crítico de usuários do NDS deve ser replicado para a base local da aplicação especialmente a senha, ainda que criptografada.”</t>
  </si>
  <si>
    <t>As contas de sistema não devem permitir conexão de usuários.</t>
  </si>
  <si>
    <t>Os sistemas desenvolvidos ou adquiridos pela Oi não devem utilizar contas administrativas ou privilegiadas (ex: root, administrators, power users, dba, etc.) em sistemas operacionais, servidores web ou bancos de dados.</t>
  </si>
  <si>
    <t>O sistema deve impossibilitar conexões simultâneas para um único login.</t>
  </si>
  <si>
    <t xml:space="preserve"> O sistema deve desconectar o usuário por tempo de inatividade configurável no sistema.</t>
  </si>
  <si>
    <t>Os usuários devem ter acessos concedidos apenas através de perfil e nenhum usuário pode ter mais que um perfil.</t>
  </si>
  <si>
    <t>Ao alterar as permissões de um perfil esta deve ser aplicada para todos os usuários deste perfil.</t>
  </si>
  <si>
    <t>O acesso remoto de parceiros a sistemas ou aplicações instalados na rede da Oi, quando feito através da “Internet”, só deve ser permitido através de conexões seguras, com uso da VPN corporativa (limitada a 5 conexões por parceiro). Nos casos em que este número de conexões precise ser excedido, o parceiro deverá contratar um link que interligará sua empresa a Oi. (Controle de Infra).</t>
  </si>
  <si>
    <t>Nos casos em que a aplicação necessite estar conectada diretamente à Internet (ex: portais web), a mesma deve estar segregada física e/ou logicamente da rede corporativa (ex.: através de firewall) e protegida por mecanismos de detecção e prevenção de intrusos.</t>
  </si>
  <si>
    <t>Os desenvolvedores e testadores devem ser autenticados lógica e fisicamente ao acessar os ambientes de desenvolvimento e homologação. Não é permitido, mesmo nestes ambientes, acesso não identificado ou com conta genérica.</t>
  </si>
  <si>
    <t>A extração massiva de dados (ex: toda a base de clientes, toda a base de funcionários, todas as transações realizadas, etc) deve ser aprovada pela área de Segurança da Informação com o objetivo de evitar o vazamento de informações.</t>
  </si>
  <si>
    <t>Aplicações Cliente Servidor devem sempre autenticar as entidades com as quais se comunicam.</t>
  </si>
  <si>
    <t>Em caso de Web services os Tokens de sessão:
• Devem ser gerados aleatoriamente;
• Não devem conter informações de usuário;
• Devem ser definidos pelo servidor e, jamais, pela aplicação cliente;
• Devem pertencer a um domínio de cardinalidade grande o suficiente para impedir ataques de força bruta;
• Devem ser protegidos durante o ciclo de vida inteiro;
• Devem ser regerados antes da realização de transações sensíveis, sempre que o framework utilizado permitir.</t>
  </si>
  <si>
    <t>Toda solução que implemente captcha deve ser validada  pela equipe de segurança da informação.</t>
  </si>
  <si>
    <t>Toda aplicação desenvolvida ou adquirida pela Oi não deve fazer uso de usuários administradores ou privilegiados, sejam estes em servidores, estações de trabalho, bancos de dados ou servidores de aplicação.</t>
  </si>
  <si>
    <t>A criação de usuários deverá prever a associação de perfis e alçadas (restrições em privilégios/limites de operações), definindo a abrangência de transações críticas permitidas para cada perfil. Determinar especificamente para cada aplicação os níveis de alçadas sob a avaliação da segurança da informação.</t>
  </si>
  <si>
    <t>Garantir que requisições que executem alguma transação ou modificação no sistema da Oi com integração externa (sistemas terceiros) recebam uma validação por TOKEN. Ao receber a requisição, além de todo o controle de autenticação e autorização já implementadas, um TOKEN gerado previamente seja na sessão ou na requisição que gerou o formulário deve ser validado, sendo a modificação e/ou transação realizada somente se o TOKEN for válido. O TOKEN gerado deve ser aleatório e imprevisível. Pode ser gerado junto com o formulário que gerará e efetuará a transação (por requisição), ou pode ser gerado no início de cada sessão. Se o TOKEN for gerado por requisição, deverá ser de utilização única.</t>
  </si>
  <si>
    <t>Toda aplicação desenvolvida ou adquirida pela Oi deve realizar o mapeamento do IP de origem e dos IP(s) /porta(s) /serviço(s) de destino relacionado(s) ao(s) servidor(es) a ser(em) acessado(s) tais como os protocolos utilizados. Este mapeamento deverá ser encaminhado para área de Segurança da Informação através do formulário de regras de firewall e abertura de ARS. Ref.: Procedimentos de Desenvolvimento de Sistemas cap. 9.3</t>
  </si>
  <si>
    <t>Nos casos que a aplicação não esteja integrada com o Sistema de Gestão de Acessos / NDS deve ser garantida a politica de senha alinhada com a politica definida para todos os sistemas da Oi.</t>
  </si>
  <si>
    <t>Todas as aplicações a serem disponibilizadas na “Internet” deverão sofrer análise de vulnerabilidades e teste de invasão na fase de homologação. Esta análise será realizada pela Equipe de Segurança da Informação.</t>
  </si>
  <si>
    <t>Todo sistema desenvolvido ou adquirido pela Oi deverá possuir manual de administração, contendo:
. Procedimentos de instalação que contenham, no mínimo:
-  Garantia da origem do pacote de instalação (ex: hash do pacote de instalação);
-  Itens de verificação do ambiente antes da instalação (ex: espaço mínimo em disco, memória, etc.);
-  Definições de configuração e primeiro uso (ex: parâmetros alteráveis/configuráveis para primeira utilização do sistema).
. Procedimentos de Segurança que contenham, no mínimo:
-  Informações para recuperação em casos de erro, falhas ou incidentes;
-  Definições sobre atualização, backup, auditoria e monitoração (caso não atendam ao padrão estabelecido pela área de TI).</t>
  </si>
  <si>
    <t>Deve haver uma documentação informando métodos de medida e avaliação do bom funcionamento do sistema, para que possa ser utilizado por ferramentas de monitoração (itoc)</t>
  </si>
  <si>
    <t>Deve haver na documentação a especificação dos:
.        Ativos Críticos, as informações importantes sensíveis ao sistema;
.        Possíveis ameaças ao sistema ;
.        Mecanismo de controles e mitigação de risco.</t>
  </si>
  <si>
    <t>Os aplicativos devem ser passados do ambiente de homologação para produção somente após a conclusão bem sucedida de todos os testes funcionais de segurança e vulnerabilidades previstos.</t>
  </si>
  <si>
    <t>Não deverá haver portas lógicas ou meios alternativos (ex: backdoors, maintenance hooks) de acesso aos sistemas desenvolvidos ou adquiridos pela Oi.</t>
  </si>
  <si>
    <t>Aplicativos web devem ser desenvolvidos de forma componentizada, permitindo a distribuição destes componentes (ex.: front-end, aplicativo e banco de dados) por diferentes áreas da rede da Oi (ex.: DMZ, rede interna).</t>
  </si>
  <si>
    <t>Todo sistema desenvolvido e adquirido pela Oi deve conter mecanismos de backup e restauração dos dados processados, além de possuir capacidade de tolerância a falhas e retorno à operação.</t>
  </si>
  <si>
    <t>Nos casos em que seja obrigatória a garantia de privacidade dos dados fornecidos por clientes, principalmente externos, uma política de privacidade deverá ser publicada no sistema, devendo ser observados os aspectos legais e de negócio envolvidos;</t>
  </si>
  <si>
    <t>Nos casos em que a Oi armazene dados fornecidos ou cadastrados por clientes, principalmente externos, de forma a possibilitar o monitoramento das atividades realizadas, esta informação deverá ser publicada no sistema, devendo ser observados os aspectos legais e de negócio envolvidos.</t>
  </si>
  <si>
    <t xml:space="preserve">As mensagens de sistema para o usuário final devem restringir-se ao indispensável para a perfeita utilização do mesmo, atentando para as seguintes situações:. Mensagens de erro de execução do sistema não devem ser retornadas para o usuário;
. Mensagens de erro de autenticação não devem informar para o usuário se o erro corresponde à informação da senha ou do userid.
. Mensagens de erro não devem expor estruturas internas da aplicação. Ex.: Nomes de arquivos, nomes/campos de tabelas.
</t>
  </si>
  <si>
    <t>Toda nova transmissão de arquivos deve utilizar os softwares homologados/utilizados pela Oi. A saber: Connect Direct e Pelican com recursos de criptografia ativos. Como alternativa ao uso do Connect:Direct e Pelican, o SFTP poderá ser usado como software de transmissão de arquivos, porém a elaboração e manutenção dos scripts de execução (.bat ou Shell script) serão de responsabilidade do CSOL /Fabrica ou fornecedor da aplicação. Como não há uma ferramenta que monitore os processos de SFTP, o script de execução de SFTP (.bat ou Shell script) deverá contemplar o Tratamento de Erros de transmissão/Atendimento/Resolução e chamados sobre as transferências que abrangem a execução dos scripts (.bat ou Shell script), tais como: existência dos arquivos; existência pasta origem/destino; checkpoint de tamanho de arquivos; fim de transmissão com sucesso e retransmissões em casos de problemas de conexão serão de responsabilidade do CSOL /Fabrica ou fornecedor da aplicação.</t>
  </si>
  <si>
    <t>O sistema deve ser capaz de garantir o sigilo e integridade na transmissão de dados.</t>
  </si>
  <si>
    <t>O envio de e-mail deve utilizar exclusivamente os relays de e-mail oficiais da empresa.</t>
  </si>
  <si>
    <t>Todo sistema desenvolvido ou adquirido pela Oi deve possuir mecanismos de validação de todas as entradas de dados (de usuários ou interfaces com outros sistemas) quanto ao formato dos dados e valores/caracteres esperados.</t>
  </si>
  <si>
    <t>Todo sistema desenvolvido ou adquirido pela Oi deve possuir mecanismos de validação de todas as saídas de informações (seja para os usuários ou interfaces com outros sistemas) quanto a formato dos dados e valores/caracteres esperados. A fim de evitar desfiguração das páginas e/ou injeção de códigos maliciosos.</t>
  </si>
  <si>
    <t>O sistema deve garantir a validação do nível de acesso do usuário nas camadas de negócio, e não apenas na camada de apresentação (client-side)</t>
  </si>
  <si>
    <t>O sistema deve garantir a validação das regras de negócio, para sistemas web segregados, na camada de negócio, ou seja, no lado do servidor. Podem ocorrer validações/controles na camada de apresentação, mas a validação via servidor é obrigatória.</t>
  </si>
  <si>
    <t>O ambiente de produção deve ser corretamente configurado e constantemente atualizado, de forma a manter segura a camada subjacente ao sistema, evitando falhas que possam invalidar os mecanismos de segurança implementados ou permitir diversos tipos de ataque ou erros de utilização.</t>
  </si>
  <si>
    <t>O desenvolvimento terceirizado de software deve ser realizado em conformidade com os controles conforme definido nas Políticas de Segurança da Oi.</t>
  </si>
  <si>
    <t>As empresas prestadoras de serviços deverão se conectar à Oi mediante link próprio no qual deverão ser implementados mecanismos de segurança, como filtros de pacotes e firewalls;</t>
  </si>
  <si>
    <t>Os acessos realizados através de VPN (Virtual Private Networks) deverá ser realizado apenas por usuários autorizados previamente pela Oi e cada acesso deverá ser único e realizado apenas pelo proprietário da conta;</t>
  </si>
  <si>
    <t>Os acessos aos sistemas deverão ser realizados apenas nos ambientes de desenvolvimento e homologação das aplicações.</t>
  </si>
  <si>
    <t>Necessidade</t>
  </si>
  <si>
    <t>Toda aplicação desenvolvida ou adquirida pela Oi deverá ter o Gerenciamento de Contas de usuários integrado ao serviço de diretório Novell da Oi (IDM/NDS). Caso a integração seja feita através do protocolo LDAP nativo, a mesma deverá ser capaz realizar a autenticação, autorização e obtenção de perfil de usuários diretamente do NDS. Nenhum dado crítico de usuários deve ser replicado para a base local da aplicação especialmente a senha, ainda que criptografada. Deve ser necessário o suporte a outros protocolos ou métodos que devem ser alinhados com a equipe de Intregrações (Exemplos: SAML, WebServices Seguros).</t>
  </si>
  <si>
    <t>Todos os sistemas desenvolvidos ou adquiridos pela Oi deverá seguir o Regulamento de Senhas de Acesso.</t>
  </si>
  <si>
    <t xml:space="preserve">Caso haja necessidade de armazenamento de senhas de sistemas ou aplicativos em arquivos de sistema operacional, estes arquivos não deverão ser logicamente alocados em diretórios de servidores web ou FTP e seu acesso devem ser restritos para acesso apenas pela aplicação.
</t>
  </si>
  <si>
    <t>A aplicação deverá ser submetida a análise de vulnerabilidade (Pentest).</t>
  </si>
  <si>
    <t>A aplicação deve fornece a opção de recuperação de senha com proteção em vários níveis:
- A senha não poderá ser enviada por e-mail;
- Deve solicitar várias informações de conhecimento único do cliente;
- Ao concluir a alteração, deve-se enviar um e-mail informando a conclusão;
- A aplicação deve informar por e-mail qualquer tentativa de recuperação de senha mal sucedida.</t>
  </si>
  <si>
    <t>A aplicação deverá estar aderente as políticas de segurança da Oi.</t>
  </si>
  <si>
    <t>Política</t>
  </si>
  <si>
    <t>Planilha de  Requisitos - FMS</t>
  </si>
  <si>
    <t>Ciclo de vida da fraude</t>
  </si>
  <si>
    <t>Requisito Não Funcional / Técnico</t>
  </si>
  <si>
    <t>ID RQT</t>
  </si>
  <si>
    <t>Atende com customização</t>
  </si>
  <si>
    <t>Atende com parametrização</t>
  </si>
  <si>
    <t>Intimidação/Prevenção</t>
  </si>
  <si>
    <t>Detecção</t>
  </si>
  <si>
    <t>Investigação/Acusação</t>
  </si>
  <si>
    <t>Medidas de atuação/Análise</t>
  </si>
  <si>
    <t>A ferramenta deverá ser capaz de reportar (emitir parecer/ladudo) cenários de Spam (SMS) por tipificações/atributos parametrizáveis</t>
  </si>
  <si>
    <t>A ferramenta deverá ser capaz de reportar (emitir parecer/ladudo) cenários de Tráfego Zero (assinantes que não realizam chamadas e consumo de dados) por tipificações/atributos parametrizáveis</t>
  </si>
  <si>
    <t>A ferramenta deverá ser capaz de detectar cenários de Tráfego Zero (assinantes que não realizam chamadas e consumo de dados) através de regras e alertas e alertas parametrizáveis</t>
  </si>
  <si>
    <t>A ferramenta deverá ser capaz de detectar cenários de Recargas Fraudulentas (bônus concedidos manualmente - fraude interna) através de regras e alertas e alertas parametrizáveis</t>
  </si>
  <si>
    <t>A ferramenta deverá ser capaz de reportar (emitir parecer/ladudo) cenários de Recargas Fraudulentas (bônus concedidos manualmente - fraude interna) por tipificações/atributos parametrizáveis</t>
  </si>
  <si>
    <t>A ferramenta deverá prover mecanismos para analisar cenários de fraudes de IMSI Stuffing (quando 1 MSISDN/IMEI possui mais de 1 IMSI trafegando na rede) com flexibilidade de realizar cruzamento de iinformações pertinentes ao caso (gestão de casos) para balizar medidas de atuação</t>
  </si>
  <si>
    <t>A ferramenta deverá ser capaz de reportar (emitir parecer/ladudo) cenários de fraudes de IMSI Stuffing (quando 1 MSISDN/IMEI possui mais de 1 IMSI trafegando na rede) por tipificações/atributos parametrizáveis</t>
  </si>
  <si>
    <t>Fingerprinting</t>
  </si>
  <si>
    <t>Análise de causa raiz</t>
  </si>
  <si>
    <t>Workflow</t>
  </si>
  <si>
    <t>Alertas</t>
  </si>
  <si>
    <t>Regras</t>
  </si>
  <si>
    <t>Network and Cyber Security</t>
  </si>
  <si>
    <t>Simuladores</t>
  </si>
  <si>
    <t>Bloqueio de Subscriber nos CRM's</t>
  </si>
  <si>
    <t>Bloqueio de Subscriber na Rede</t>
  </si>
  <si>
    <t>Negativação</t>
  </si>
  <si>
    <t>Tráfego</t>
  </si>
  <si>
    <t>Cadastro</t>
  </si>
  <si>
    <t>Atualização de cadastro</t>
  </si>
  <si>
    <t>Administração - Perfis de acesso</t>
  </si>
  <si>
    <t>Relatório</t>
  </si>
  <si>
    <t>A ferramenta deve permitir que o usuário crie simuladores de regras para teste</t>
  </si>
  <si>
    <t>Administração - Workflows</t>
  </si>
  <si>
    <t>Perfis de acesso</t>
  </si>
  <si>
    <t>Case Management colaborativo (com comentários e anexos) e adaptativo (podendo visualizar todas as informações relevantes sobre a entidade suspeita - investigation carts and workbenchs) para habilitar resoluções de casos de forma mais eficaz</t>
  </si>
  <si>
    <t>Capacidade de realizar análise de causa raiz da fraude através de drill down (data mining) das análises das regras e atributos</t>
  </si>
  <si>
    <t>xDR Viewer</t>
  </si>
  <si>
    <t>A ferramenta deverá ser capaz de expandir a visibilidade dos dados relacionados ao caso investigado ao nível dos xDR's</t>
  </si>
  <si>
    <t>Não se aplica</t>
  </si>
  <si>
    <t>Visão 360º (cross-channel)</t>
  </si>
  <si>
    <t>eFingerprinting / Social Media Profilling</t>
  </si>
  <si>
    <t>Interface Point-of-Sale (POS)</t>
  </si>
  <si>
    <t>A ferramenta deverá ser extensível às premissas dos dealers concetando com POS's para verificar as credenciais do cliente antes da ativação do(s) produto(s)</t>
  </si>
  <si>
    <t>Administração - Reports</t>
  </si>
  <si>
    <t>Administração - Procedures</t>
  </si>
  <si>
    <t>A ferramenta deverá prever e checar padrões de comportamento dos clientes através de todos os touchpoints (loja, mobile, web, mail, etc) cruzando com os seu perfis nas redes sociais (social footprint) gerando alertas e relatórios</t>
  </si>
  <si>
    <t>Reconhecimento de bloqueio</t>
  </si>
  <si>
    <t>A ferramenta deverá reconhecer assiantes bloqueados na rede e nos CRM's para não alarmar mais as regras cujo esteja no caso</t>
  </si>
  <si>
    <t>Scores Externos</t>
  </si>
  <si>
    <t>Integração</t>
  </si>
  <si>
    <t>A ferramenta deverá armazenar os dados cadastrais da base de assiantes Oi (aproximadamente 70 milhões, com estimativa de crescimento de 5 milhões nos próximos 3 anos)</t>
  </si>
  <si>
    <t>Link analysis</t>
  </si>
  <si>
    <t>Case management</t>
  </si>
  <si>
    <t>Patterns e predictive analysis</t>
  </si>
  <si>
    <t>Banco de dados</t>
  </si>
  <si>
    <t>Buscas e consultas</t>
  </si>
  <si>
    <t>Todas as funcionalidades, telas, ajuda (manual), relatório e outros deverão estar em português.</t>
  </si>
  <si>
    <t>Front-end (telas) com botões de help/auto-ajuda.</t>
  </si>
  <si>
    <t>A aplicação deverá ter a identidade visual dos padrões de sistemas da Oi (logomarca, aparência, etc.)</t>
  </si>
  <si>
    <t>Demonstrar habilidade para controles de versão da solução</t>
  </si>
  <si>
    <t>Todos os serviços e integrações da solução devem ser capazes de ser monitorados, controlados e gerenciados</t>
  </si>
  <si>
    <t xml:space="preserve">Demonstrar habilidade para trabalhar com dados estruturados e não estruturados (SQL and No-SQL)
</t>
  </si>
  <si>
    <t>Habilidade de integrar com outras interfaces utilizando Oracle Soa Suite</t>
  </si>
  <si>
    <t>A solução deverá ter front end web com design responsivo usando HTML 5 de forma que possa ser multidevices executado em Web Browser e dispositivos móveis</t>
  </si>
  <si>
    <t>Ser compatível com sistemas operacioanis de mercado como Windows, Linux e Red Hat</t>
  </si>
  <si>
    <t>O sistema poderá disponibilizar e receber dados gerados via FTP e SFTP</t>
  </si>
  <si>
    <t>Habilidade de integrar com outras interfaces utilizando Informática Power Center</t>
  </si>
  <si>
    <t>Suportar mensagens orientadas a API’s (considerando protocolos SOAP e REST)</t>
  </si>
  <si>
    <t>Compatível com os principais os browsers do mercado:
Opera, Google Chrome, Mozilla Firefox, Internet Explorer, Safari</t>
  </si>
  <si>
    <t>Compativel com os princicpais sistemas operacionais para dispositivos móveis, como Windows Phone (Microsoft), iOS (Apple) e Android (Google Inc./Open Handset Alliance)</t>
  </si>
  <si>
    <t>Criação/alteração de workflows e formulários deve ser possível de ser realizada sem a necessidade de conhecimento de linguagem de programação ou codificada (Ex: PHP, Java Script)</t>
  </si>
  <si>
    <t>Ser possível realizar automação de rotinas como teste de performance e teste unitário</t>
  </si>
  <si>
    <t>Prover inteligência para detectar desvios do padrão de comportamento da aplicação, de maneira que possa emitir alertas antecipando possíveis problemas (picos e vales de utilização da ferramenta, na extração de relatórios ou no volume de eventos online em fila de execução, por exemplo)</t>
  </si>
  <si>
    <t>Ser compatível com ferramentas de automação como: puppet e chef</t>
  </si>
  <si>
    <t>Ser compatível com web servers como: apache e nginx</t>
  </si>
  <si>
    <t>Ser compatível com application servers como: weblogic e jboss</t>
  </si>
  <si>
    <t>Ser compatível com ferramentas e frameworks Big Data de mercado, como Hadoop e Spark</t>
  </si>
  <si>
    <t xml:space="preserve">Suportar interação com plataformas digitais omni-channel de pagamento para o cliente (credit card, pay pal, bitcoin, etc)
</t>
  </si>
  <si>
    <t>Habilidade para trabalhar com processamento de dados in-memory</t>
  </si>
  <si>
    <t>Geolocalização</t>
  </si>
  <si>
    <t>A ferramenta deverá prover de mecanismos de georeferenciamento dos casos analisados</t>
  </si>
  <si>
    <t>Ser compatível com Docker (microserviços) para automação de deploy</t>
  </si>
  <si>
    <t>Habilidade para se conectar com ERP's de mercado como SAP, EBS e Totvs</t>
  </si>
  <si>
    <t>Dashboards</t>
  </si>
  <si>
    <t>Demonstrar habilidade de se conectar com elementos de rede e sensores - M2M</t>
  </si>
  <si>
    <t>Flexibilidade</t>
  </si>
  <si>
    <t>Real-time decision</t>
  </si>
  <si>
    <t>Performance</t>
  </si>
  <si>
    <t>Monitoramento</t>
  </si>
  <si>
    <t>Apresentação</t>
  </si>
  <si>
    <t>A ferramenta deverá identificar padrões de novos cenários de fraude através de análise preditiva e machine learning (baseado em novas fontes de dados e base histórica)</t>
  </si>
  <si>
    <t>A ferramenta deve identificar no momento da venda o risco de fraude para bloqueio atumotático (negação da venda), derivação para análise humanda e aprovação automática</t>
  </si>
  <si>
    <t>A ferramenta deverá receber dos CRM's as informações de cadastros e OS's de alteração dos assinantes para uso das regras de detecção de padrões de incidência de fraude, listas negras e demais indicadores, pontuando novos clientes e gerando alarmes de indícios de fraude (via webservice / Oracle SOA Suíte ou Informática Power Center)</t>
  </si>
  <si>
    <t>A ferramenta deverá enviar scores de risco (com pontuação e recomendação) para o sistema Transact da Oi para análise de crédito (via webservices - xml's) dentro dos SLA's acordados (tempo de resposta e acertividade de todas as propostas de análise de crédito)</t>
  </si>
  <si>
    <t>A ferramenta deverá possibilitar o backup das bases históricas e acesso de consulta</t>
  </si>
  <si>
    <t>A ferramenta deverá possuir um repositório central de fraude com todas as informações das análises de casos, com capacidade de armazenamento de histórico de 5 anos para consultas (via interface)</t>
  </si>
  <si>
    <t>Habilitar machine learning para aplicação em métodos, algorítimos e modelos de Gestão de Fraudes</t>
  </si>
  <si>
    <t>Habilitar análise preditiva para aplicação em métodos, algorítimos e modelos de Gestão de Fraudes</t>
  </si>
  <si>
    <t>Criação/alteração de relatórios, dashboards e indicadores deve ser possível de ser realizada sem a necessidade de conhecimento de linguagem de programação ou codificada (Ex: PHP, Java Script</t>
  </si>
  <si>
    <t>Demonstrar habilidade para configurar novas regras, lógicas e fluxos de negócio usando ferramentas drag and drop (interfaces de consultas, dashboards, etc.)</t>
  </si>
  <si>
    <t>A solução deve ser capaz de realizar exportação e importação de arquivos (nos diversos formatos abaixo) para atender a realização de cargas em sistemas (ETL's), ações em interfaces externas, batimentos, nos seguintes formatos desejados:
TXT, XLS, XLSX, PDF, HTML, CSV, MDB, DOC, DOCX, XML, entre outros.</t>
  </si>
  <si>
    <t>A ferramenta deverá ser capaz de processar altos volumes (casa de milhões) de transações/requisições de update de dados de assinantes por dia (alterações de dados, produtos, serviços, etc) dos legados Oi por dia</t>
  </si>
  <si>
    <t>Coletar, processar e disponibilizar em tempo real, os eventos e dados de uso e interação dos cenários que envolvem os requsitos de tráfego e cadastro</t>
  </si>
  <si>
    <t>Guiar e suportar ações em tempo real para atuar nos problemas identificados na análise de alarmes, casos e tickets diversos</t>
  </si>
  <si>
    <t>Para processos e interfaces baseados em arquivos ou batch deve-se projetar na solução a capacidade de gerar arquivos específicos de erros, além de gravar em LOG na camada ofendida o seu detalhamento, mantendo a persistência e disponibilidade do processamento</t>
  </si>
  <si>
    <t>Tipo de fraude</t>
  </si>
  <si>
    <t>Prevenção de fraudes</t>
  </si>
  <si>
    <t>Subscrição</t>
  </si>
  <si>
    <t>Spam</t>
  </si>
  <si>
    <t>Ativação</t>
  </si>
  <si>
    <t>A ferramenta deverá ser capaz de emitir parecer/laudo com o score de risco de fraude no momento da venda (validando as informações passadas pelo cliente com dos dados cadastrais e/ou fazendo score com ferramentas de terceiros - integração webservice)</t>
  </si>
  <si>
    <t>Comissionamento</t>
  </si>
  <si>
    <t>Detecção de fraudes</t>
  </si>
  <si>
    <t>Revenda de crédito</t>
  </si>
  <si>
    <t>A ferramenta deverá ser capaz de detectar cenários de fraudes de PBX (Fraudadores invadem um sistema telefônico automatizado que lhes permite discar para o PBX e gerar tráfego de saída do PBX para qualquer número de telefone às custas das empresas) através de regras e alertas parametrizáveis</t>
  </si>
  <si>
    <t>PBX</t>
  </si>
  <si>
    <t>LDI</t>
  </si>
  <si>
    <t>Co-Billing</t>
  </si>
  <si>
    <t>By Pass</t>
  </si>
  <si>
    <t>SIM Stuffing</t>
  </si>
  <si>
    <t>Análise de fraudes</t>
  </si>
  <si>
    <t>A ferramenta deverá  prover mecanismos para analisar cenários de fraudes de PBX (Fraudadores invadem um sistema telefônico automatizado que lhes permite discar para o PBX e gerar tráfego de saída do PBX para qualquer número de telefone às custas das empresas) com flexibilidade de realizar cruzamento de iinformações pertinentes ao caso (gestão de casos) para balizar medidas de atuação</t>
  </si>
  <si>
    <t>A ferramenta deverá ser capaz de detectar a fraude gerada pelo próprio vendedor ou dealers para ganho de comissionamento fraudulento (visando utilizar o histórico de vendas do próprio dealer/vendedor) através de regras e alertas parametrizáveis</t>
  </si>
  <si>
    <t>A ferramenta deverá ser capaz de previnir a fraude gerada pelo próprio vendedor ou dealers para ganho de comissionamento fraudulento (visando utilizar o histórico de vendas do próprio dealer/vendedor) com base em modelos estatísticos</t>
  </si>
  <si>
    <t>Report de fraudes</t>
  </si>
  <si>
    <t>A ferramenta deverá prover mecanismos para analisar cenários de fraudes de Co-Billing (detectar terminais de outras operadoras utilizando CSP Oi) com flexibilidade de realizar cruzamento de iinformações pertinentes ao caso (gestão de casos) para balizar medidas de atuação</t>
  </si>
  <si>
    <t>A ferramenta deverá  ser capaz de reportar (emitir parecer/ladudo) cenários de fraudes de PBX (Fraudadores invadem um sistema telefônico automatizado que lhes permite discar para o PBX e gerar tráfego de saída do PBX para qualquer número de telefone às custas das empresas) por tipificações/atributos parametrizáveis</t>
  </si>
  <si>
    <t>Atendimento</t>
  </si>
  <si>
    <t>Demonstrar habilidade para se integrar com NDS (Novel Directory Services) para Single Sign On e user and profile management</t>
  </si>
  <si>
    <t>Possibilitar data loading e data connection via DBLink com BDs SQL Server</t>
  </si>
  <si>
    <t>Possibilitar data loading e data connection via DBLink com BDs Oracle</t>
  </si>
  <si>
    <t>Possibilitar data loading e data connection via DBLink com BDs PostGree</t>
  </si>
  <si>
    <t>A solução proposta deve suportar integrações de natureza síncrona e assíncrona com quaisquer sistemas, bases, ou serviços externos, conforme necessidade da Oi, e possuir tratamento automático e configurável para tratar as eventuais exceções</t>
  </si>
  <si>
    <t>Habilidade para se conectar com protocolos de redes inteligentes como SS7, ISUP and MAP para monitoramento de tráfego em redes LTE 4G e VoIP</t>
  </si>
  <si>
    <t xml:space="preserve">Capacidade para cruzar informações de diferentes fontes de dados para realizar link analysis/data loading (por exemplo, para verficar que um assinante efetuou VC1 para um número de B que já foi "marcado" como fraude), observando a conexão entre entidades relacionadas e mostrando suas relações diretas e indiretas </t>
  </si>
  <si>
    <t>A ferramenta deverá prever e checar padrões de análise de comportamento dos clientes na base de dados gerando alertas e relatórios com base em tráfego e informações de cadastro</t>
  </si>
  <si>
    <t>Capacidade de adicionar subscribers em hotlists (graylists, whitelists e blacklists) de dealers e assinantes de acordo com a análise dos casos</t>
  </si>
  <si>
    <t>Hotlists</t>
  </si>
  <si>
    <t>A ferramenta deve permitir que o usuário crie dashboards para exposição dos casos</t>
  </si>
  <si>
    <t>A ferramenta deve permitir que o usuário crie relatórios para report dos casos</t>
  </si>
  <si>
    <t>A ferramenta deve permitir busca (Google-Like) de atributos e expressões na base de dados e exibí-los de acordo com a sua relevância e tipificação</t>
  </si>
  <si>
    <t>Biometria</t>
  </si>
  <si>
    <t>OCR's</t>
  </si>
  <si>
    <t>A ferramenta deverá ser capaz de identificar cenários de suppressed usage e missing usage nos dados através dos switches/ERB's (configurações de rede fraudulentas), emitindo alertas e relatórios</t>
  </si>
  <si>
    <t>A ferramenta deverá ter capacidade de realizar o cruzamentos entre a base de dados de JEC (Sisjur), a base de atendimento (DRC), a base Anatel e a base core da aplicação para levantamentos estatísticos de risco de negativação do cliente (caso o cliente seja negativado, haverá grande propabilidade de ele entrar com ação JEC)</t>
  </si>
  <si>
    <t>A ferramenta deverá ser capaz de previnir cenários de fraudes de subscrição através de ações automáticas conforme regras parametrizáveis. Por exemplo, ações automáticas contra returning fraudsters</t>
  </si>
  <si>
    <t xml:space="preserve">A ferramenta deverá ser capaz de detectar cenários de fraudes de subscrição através de regras e alertas parametrizáveis </t>
  </si>
  <si>
    <t>A ferramenta deverá prover mecanismos para analisar cenários de fraudes de subscrição com flexibilidade de realizar cruzamento de informações pertinentes ao caso (gestão de casos) para balizar medidas de atuação</t>
  </si>
  <si>
    <t>A ferramenta deverá ser capaz de reportar (emitir parecer/ladudo) cenários de fraudes de subscrição por tipificações/atributos parametrizáveis</t>
  </si>
  <si>
    <t xml:space="preserve">A ferramenta deverá disponibilizar uma interface para consulta de dados cadastrais (telefones de contatos, endereço, etc) dos clientes para tratativa da análise de crédito. </t>
  </si>
  <si>
    <t>Capacidade de adicionar informações (documentos, contatos, endereço, etc) dos assinantes e dealers em hotlists (graylists, whitelists e blacklists)</t>
  </si>
  <si>
    <t>A ferramenta deverá permitir a configuração de regras para prevenir novas ativações de clientes Oi através da análise de dados cadastrais, tais como: CPF, RG, Nome, Endereço, Cidade, UF etc.</t>
  </si>
  <si>
    <t>A ferramenta deverá ser capaz de detectar cenários de Spam (SMS) através de regras e alertas parametrizáveis, tais como: volumes de terminais distintos, volumes de CNs distintos, tipos de tráfego (on net ou off net), fingerprinting de tráfego, entre outros</t>
  </si>
  <si>
    <t>A ferramenta deverá ser capaz de detectar cenários de fraudes de LDI (Longa Distância Internacional - utilizando blacklists de países, parametrizações de minutagem por país ou por A number/B number) através de regras e alertas parametrizáveis e enviar comando de bloqueio para os elementos de rede.</t>
  </si>
  <si>
    <t>A ferramenta deverá ser capaz de detectar cenários de fraudes de Co-Billing (detectar terminais de outras operadoras utilizando CSP Oi) através de regras e alertas e alertas parametrizáveis e deverá integrar com os elementos de rede para bloqueio.</t>
  </si>
  <si>
    <t>A ferramenta deverá prover mecanismos para analisar cenários de Tráfego Zero (assinantes que não realizam chamadas e/ou consumo de dados) com flexibilidade de realizar cruzamento de informações pertinentes ao caso (gestão de casos) para balizar medidas de atuação e executar ações de bloqueios automáticos</t>
  </si>
  <si>
    <t>A ferramenta deverá prover mecanismos para analisar a fraude gerada pelo próprio vendedor ou dealers para ganho de comissionamento fraudulento (visando utilizar o histórico de vendas do próprio dealer/vendedor) com flexibilidade de realizar cruzamento de informações pertinentes ao caso (gestão de casos) para balizar medidas de atuação</t>
  </si>
  <si>
    <t>A ferramenta deverá ser capaz de reportar (emitir parecer/ladudo) cenários de fraudes de LDI (Longa Distância Internacional - utilizando blacklists de países, parametrizações de minutagem por país ou por A number/B number) por tipificações/atributos parametrizáveis e executar ações de bloqueios automáticos</t>
  </si>
  <si>
    <r>
      <t>A ferramenta deverá prover mecanismos para analisar cenários de Recargas Fraudulentas (bônus concedidos manualmente - fraude interna) com flexibilidade de realizar cruzamento de informações pertinentes ao caso (gestão de casos) para balizar medidas de atuação</t>
    </r>
    <r>
      <rPr>
        <sz val="10"/>
        <color rgb="FFFF0000"/>
        <rFont val="Arial"/>
        <family val="2"/>
      </rPr>
      <t xml:space="preserve"> </t>
    </r>
    <r>
      <rPr>
        <sz val="10"/>
        <color theme="1"/>
        <rFont val="Arial"/>
        <family val="2"/>
      </rPr>
      <t>e executar ações de bloqueios automáticos e remoção do crédito indevido</t>
    </r>
  </si>
  <si>
    <r>
      <t>A ferramenta deverá prover mecanismos para analisar cenários de Spam (SMS) com flexibilidade de realizar cruzamento de informações pertinentes ao caso (gestão de casos) para balizar medidas de atuação</t>
    </r>
    <r>
      <rPr>
        <sz val="10"/>
        <color rgb="FFFF0000"/>
        <rFont val="Arial"/>
        <family val="2"/>
      </rPr>
      <t xml:space="preserve"> </t>
    </r>
    <r>
      <rPr>
        <sz val="10"/>
        <color theme="1"/>
        <rFont val="Arial"/>
        <family val="2"/>
      </rPr>
      <t>e executar ações de bloqueios automáticos</t>
    </r>
  </si>
  <si>
    <r>
      <t>A ferramenta deverá ser capaz de detectar cenários de fraudes de IMSI Stuffing (quando 1 MSISDN/IMEI possui mais de 1 IMSI trafegando na rede) através de regras e alertas parametrizáveis</t>
    </r>
    <r>
      <rPr>
        <sz val="10"/>
        <color rgb="FFFF0000"/>
        <rFont val="Arial"/>
        <family val="2"/>
      </rPr>
      <t xml:space="preserve"> </t>
    </r>
    <r>
      <rPr>
        <sz val="10"/>
        <color theme="1"/>
        <rFont val="Arial"/>
        <family val="2"/>
      </rPr>
      <t>e executar ações de bloqueios automáticos</t>
    </r>
  </si>
  <si>
    <t>A ferramenta deverá ser capaz de detectar cenários de fraudes de Sequestro/Hijacking/Bypass (Siga-me/Call Foward) através de regras e alertas parametrizáveis e executar ações de bloqueios automáticos</t>
  </si>
  <si>
    <t>A ferramenta deverá prover mecanismos para analisar cenários de fraudes de LDI (Longa Distância Internacional - utilizando blacklists de países, parametrizações de minutagem por país ou por A number/B number) com flexibilidade de realizar cruzamento de informações pertinentes ao caso (gestão de casos) para balizar medidas de atuação e executar ações de bloqueios automáticos</t>
  </si>
  <si>
    <t>A ferramenta deverá prover mecanismos para analisar cenários de fraudes de Sequestro/Hijacking/Bypass (Siga-me/Call Foward) com flexibilidade de realizar cruzamento de iinformações pertinentes ao caso (gestão de casos) para balizar medidas de atuação e executar ações de bloqueios automáticos</t>
  </si>
  <si>
    <t>A ferramenta deverá ser capaz de reportar (emitir parecer/ladudo) a fraude gerada pelo próprio vendedor ou dealers para ganho de comissionamento fraudulento (visando utilizar o histórico de vendas do próprio dealer/vendedor) por tipificações/atributos parametrizáveis e executar ações de bloqueios automáticos</t>
  </si>
  <si>
    <t>A ferramenta deverá ser capaz de reportar (emitir parecer/ladudo) cenários de fraudes de Co-Billing (detectar terminais de outras operadoras utilizando CSP Oi) por tipificações/atributos parametrizáveis e executar ações de bloqueios automáticos</t>
  </si>
  <si>
    <t>A ferramenta deverá ser capaz de reportar (emitir parecer/ladudo) cenários de fraudes de Sequestro/Hijacking/Bypass (Siga-me/Call Foward) por tipificações/atributos parametrizáveis e executar ações de bloqueios automáticos</t>
  </si>
  <si>
    <t>A ferramenta deverá ter capacidade de receber e ler (input na base de dados) os CDR's (binários) da Mediação, habilitando a detecção de fraudes de uso near real-time</t>
  </si>
  <si>
    <t>Requisito de Segurança da Informação</t>
  </si>
  <si>
    <t>A ferramenta deverá ser capaz de se conectar com o SIAF (sistema responsável por compartilhar informações de fraudes de subscrição entre as operadoras afiliadas e a ABRT).</t>
  </si>
  <si>
    <t>A ferramenta deverá suportar o fluxo do prcesso de gestão de casos fim a fim com possibilidade de alterações através do módulo de administração (desde a identificação até o fechamento do caso), notificando envolvidos (via e-mail, sms, etc), requerendo ações e aprovações, etc</t>
  </si>
  <si>
    <t xml:space="preserve">A ferramenta deverá ser capaz de previnir cenários de Spam (SMS) através ações automáticas conforme regras parametrizáveis, tais como: volumes de terminais distintos, volumes de CNs distintos, tipos de tráfego (on net ou off net), fingerprinting de tráfego, baixa mobilidade, entre outros. </t>
  </si>
  <si>
    <t>A ferramenta deverá permitir a configuração de regras para prevenir novas ativações de clientes Oi através da análise de tráfego (mal uso/margem negativa/baseado em volumede  dados, voz ou sms)</t>
  </si>
  <si>
    <t>Capacidade de bloquear subscribers nos CRM's via ação do analista (comunicação com Siebel 6.3, Siebel 8, Oracle Service Cloud, SAC, STC e SINN via Oracle SOA Suite ou Informática Power Center)</t>
  </si>
  <si>
    <t>A ferramenta deverá ter capacidade de receber periodicamente o cadastro full de clientes (e seus produtos/campanhas) dos CRM's (Siebel 6.3, Siebel 8, Oracle Service Cloud, SAC, STC e SINN) via Oracle SOA Suite, Informática Power Center ou integração ponto a ponto)</t>
  </si>
  <si>
    <t>A ferramenta deverá ter capacidade de receber a atualização de cadastro de novos clientes (e seus produtos/campanhas) dos CRM's (Siebel 6.3, Siebel 8, Oracle Service Cloud, SAC, STC e SINN) via Oracle SOA Suite, Informática Power Center ou integração ponto a ponto)</t>
  </si>
  <si>
    <t>Capacidade de bloquear subscribers na Rede da Oi via ação do analista (comunicação com HLR via protocolo SSH, Telnet e comunicação com a rede fixa através do loader)</t>
  </si>
  <si>
    <t>Capacidade de conectar com scores externos (ClearSale, M4U Serasa, ABR, Receita Federal, etc) via webservices</t>
  </si>
  <si>
    <t>A ferramenta deverá permitir ao administrador do sistema a configuração dos perfis de acesso e criação de usuários</t>
  </si>
  <si>
    <t>A ferramenta deverá permitir ao analista e ao adminstrador do sistema a configuração e desenvolvimento de procedures para transformação dos dados (flexibilizando a criação de novas regras)</t>
  </si>
  <si>
    <t>A ferramenta deverá permitir ao analista e ao administrador do sistema a configuração de novas telas e fluxos de informação e aprovação dos casos (derivação, detecção e desbloqueio)</t>
  </si>
  <si>
    <t>A ferramenta deverá permitir ao analista e ao administrador do sistema o input de dados de diversas fontes (configuração de dblink's, construção de etl's, etc)</t>
  </si>
  <si>
    <t>Administração - Dados</t>
  </si>
  <si>
    <t>A ferramenta deverá permitir ao analista e ao administrador do sistema a configuração dos relatórios e suas fontes de dados</t>
  </si>
  <si>
    <t>A análise da proposta na venda (comunicação/integração com o Transact) deverá ser near real time, com um delay máximo de 5 segundos</t>
  </si>
  <si>
    <t>SMS</t>
  </si>
  <si>
    <t>Email</t>
  </si>
  <si>
    <t>A ferramenta deverá de ser capaz de enviar SMS diretamente para o cliente ou analista de fraude através de alarmes pre-definidos</t>
  </si>
  <si>
    <t>A ferramenta deverá de ser capaz de enviar email diretamente para o cliente ou analista de fraude através de alarmes pre-definidos</t>
  </si>
  <si>
    <t>A ferramenta deverá disponibilizar acesso a usuários com diferentes perfis parametrizáveis no módulo de admnistração da ferramenta (Equipes de Crédito, RA, SI, Anti-fraude, Auditoria, Jurídico, etc)</t>
  </si>
  <si>
    <t>O processo de liberação de LDI e Roaming deve ser iniciado pelo atendimento nos CRM's e encaminhado para o novo sistema de gestão de fraudes que deverá ser capaz de bloquear possíveis pedidos com risco de fraude através de análises estatísticas, encaminhando o pedido de liberação de LDI e Roaming diretamente para a rede (atualizando o CRM através de integração)</t>
  </si>
  <si>
    <t>Para identificação de fraude um dos insumos deverá ser a comunicação com o NDS (sistema de gestão de logins para troca de senha, novas permissões para o login,etc) avaliando em conjunto as informações de negócio, como venda de novos produtos, migração de produtos, liberação de roaming cruzando com a movimentação do login pelos IPs conectados (acesso de dentro da OI ou VPN externa, etc)</t>
  </si>
  <si>
    <t>A ferramenta deverá ser capaz de estimar a perda financeira gerada pelos casos de fraude através das variáveis existentes no banco (faturamento, inadimplência, custo de Interconexão, etc)</t>
  </si>
  <si>
    <t>Colaboração</t>
  </si>
  <si>
    <t>Durante a analise humana se o caso é fraude ou não, a ferramenta deverá ser capaz de registrar uma nota explicativa com a tomada de decisão dentro do workflow definido (ações humanas no processo prevenção da venda, detectação da fraude, desbloqueio, fraude interna, etc)</t>
  </si>
  <si>
    <t>A ferramenta deverá ser capaz de se conectar com os sistemas de faturamento (Arbor, SFA, Sisraf e SIN) via webservice (Oracle SOA Suíte ou Informática Power Center) para executar regras de rollback de billing indevido, No Bill (de faturamento e de chamadas por periodos especificos) e obtenção de dados de tarifação e faturas pagas e não pagas</t>
  </si>
  <si>
    <t>A ferramenta deverá armazenar a base histórica de tráfego (Voz, Gprs, SMS, MMS, recarga, VOIP) detalhado CDR a CDR dos últimos 3 meses e de forma consolidado por 5 anos para permitir reports</t>
  </si>
  <si>
    <t>A ferramenta deverá armazenar o histórico de transações de análise de crédito dos últimos 8 meses (histórico de fraude e alarmes) e de forma consolidado por 5 anos para permitir reports</t>
  </si>
  <si>
    <t>A ferramenta deverá ser capaz de identificar e visualizar perfis e padrões dos clientes por produtos e por canais (touchpoints) - Data integration usando detalhes de transações core e outras informações de mobile apps e outros canais para detecção de fraudes. Por exemplo, verficar o comportamento/consumo cruzando com o perfil dos produtos.</t>
  </si>
  <si>
    <t>A ferramenta deverá ser capaz de processar aproximadamente 17 mil transações de crédito (POS, M4U, Transact, etc) por dia</t>
  </si>
  <si>
    <t>POC</t>
  </si>
  <si>
    <t>x</t>
  </si>
  <si>
    <t>A ferramenta deverá ser capaz de detectar cenários de fraudes de Wangiri/Fishing (chamadas "one-ring" para que o subscritor realize o retorno a números premium) através de regras e alertas parametrizáveis</t>
  </si>
  <si>
    <t>A ferramenta deverá prover mecanismos para analisar cenários de fraudes de Wangiri/Fishing (chamadas "one-ring" para que o subscritor realize o retorno a números premium) com flexibilidade de realizar cruzamento de iinformações pertinentes ao caso (gestão de casos) para balizar medidas de atuação</t>
  </si>
  <si>
    <t>Wangiri/Fishing</t>
  </si>
  <si>
    <t>A ferramenta deverá ser capaz de reportar (emitir parecer/ladudo) cenários de fraudes de Wangiri/Fishing (chamadas "one-ring" para que o subscritor realize o retorno a números premium) por tipificações/atributos parametrizáveis</t>
  </si>
  <si>
    <t>Capacidade de leitura biométrica para cruzamento de reconhecimento biométrico (facial, iris, digitais, etc) para as iniciativas de anti-fraude de frente de loja e cruzamento com perfil de mídias sociais (reconhecimento facial)</t>
  </si>
  <si>
    <t>Capacidade de leitura biométrica para reconhecimento biométrico (facial, iris, digitais, etc) em documentos digitalizados.</t>
  </si>
  <si>
    <t>A ferramenta deverá ser capaz de processar aproximadamente 500 milhões de xDR's por dia</t>
  </si>
  <si>
    <t>A ferramenta deverá ser capaz de processar aproximadamente 200 mil transações/requisições de cadastro de assiantes por dia</t>
  </si>
  <si>
    <t>A ferramenta deverá ser capaz de identificar fraude através de controles estastisticos dos processos através dos trâmites de OS's dos sistemas legados de cadastro (ex: Migração de Plano, Troca de CHIP, Troca de Número,  ativação, etc)</t>
  </si>
  <si>
    <t>No momento da conclusão da análise do caso (ação do analista) a ferramenta deverá possuir workflow para o sistema de tarifação e faturamento (SIN, Sisraf, SFA e Arbor) enviando comando para cancelamento da fatura e de chamadas (No Bill)</t>
  </si>
  <si>
    <t>A ferramenta deve permitir que o usuário crie regras e lógicas e fluxos de negócio para análise de casos (simples e compostas) com flexibilidade e sem limites (no número de regras), transformando e enriquecendo os dados através dos fluxos. Por exemplo, regra para verificar o endereço suspeito de fraude com base nos endereços conhecidos como fraude</t>
  </si>
  <si>
    <t>A ferramenta deve permitir que o usuário crie alertas para as regras criadas (sem limites de regras). Por exemplo, alarme para uma venda efetuada para um endereço conhecido como fraude.</t>
  </si>
  <si>
    <t>Clonagem</t>
  </si>
  <si>
    <r>
      <t>A ferramenta deverá ser capaz de detectar cenários de fraudes de Clonagem (tráfego ocorrendo em um mesmo MSIDN, IMEI, IMSI em locais diferentes e distantes ao mesmo tempo) através de regras e alertas parametrizáveis</t>
    </r>
    <r>
      <rPr>
        <sz val="10"/>
        <color rgb="FFFF0000"/>
        <rFont val="Arial"/>
        <family val="2"/>
      </rPr>
      <t xml:space="preserve"> </t>
    </r>
    <r>
      <rPr>
        <sz val="10"/>
        <color theme="1"/>
        <rFont val="Arial"/>
        <family val="2"/>
      </rPr>
      <t>e executar ações de bloqueios automáticos</t>
    </r>
  </si>
  <si>
    <t>A ferramenta deverá prover mecanismos para analisar cenários de fraudes de Clonagem (tráfego ocorrendo em um mesmo MSIDN, IMEI, IMSI em locais diferentes e distantes ao mesmo tempo) com flexibilidade de realizar cruzamento de iinformações pertinentes ao caso (gestão de casos) para balizar medidas de atuação</t>
  </si>
  <si>
    <t>A ferramenta deverá ser capaz de reportar (emitir parecer/ladudo) cenários de fraudes de Clonagem (tráfego ocorrendo em um mesmo MSIDN, IMEI, IMSI em locais diferentes e distantes ao mesmo tempo) por tipificações/atributos parametrizáveis</t>
  </si>
  <si>
    <t>Integrar-se com o sistema de digitalização de documentos de venda (documentos dos clientes, contratos, etc) da Oi (BRSCAN) para permitir a geração de alarmes de fraudes pela imagem do documento (OCR)</t>
  </si>
  <si>
    <t>Capacidade de leitura OCR (para habilitar checagem de assinatura e leitura de contratos)</t>
  </si>
  <si>
    <t>WeDo Technologies</t>
  </si>
  <si>
    <t>É possível definir como entidade o vendedor ou dealer e aplicar regras de fraude sobre as mesmas.</t>
  </si>
  <si>
    <t>Captcha é usado no reset da password.</t>
  </si>
  <si>
    <t>O RAID não usa Docker</t>
  </si>
  <si>
    <t>Funcionalidade não está disponível no RAID FMS. 
Apenas são permitidas pesquisas com operadores LIKE</t>
  </si>
  <si>
    <t>RAID pode integrar com o diretório Novell da Oi usando LDAP.</t>
  </si>
  <si>
    <t>Os seguintes formatos são suportados:
TXT, XLS, XLSX,  CSV,  XML, entre outros.
Para além disso são suportados formatos ASN.1, Binários, Fixed Length fields, SVD bem como outros formatos proprietários.
Os demais formatos (PDF, HTML, MDB, DOC, DOCX) não estão disponíveis no produto.</t>
  </si>
  <si>
    <t>Normalmente o monitoramento é feito por ferramenta de administração externa.
Se necessário podem-se criar algumas estatísticas dentro do sistema.</t>
  </si>
  <si>
    <t>Os logs de execuções de fluxos estão disponíveis no Portal. Para os demais logs da aplicação, o armazenamento padrão é filesystem.</t>
  </si>
  <si>
    <t xml:space="preserve">Os tokens de sessão são definidos de acordo com os parâmetros apresentados exceto a sua regeneração. </t>
  </si>
  <si>
    <t>Atende com o módulo de Subscription Fraud.</t>
  </si>
  <si>
    <t>É possível ter um conjunto de validações em tempo real usando o RAID FMS.</t>
  </si>
  <si>
    <t>Consultas de dados estão disponíveis no Portal.</t>
  </si>
  <si>
    <t>Atende com motor específico.</t>
  </si>
  <si>
    <t>Atende com o módulo de Subscription Fraud - recurring fraudsters ou através do padrão de uso.</t>
  </si>
  <si>
    <t>Hotlists disponíveis no sistema.</t>
  </si>
  <si>
    <t>Configuração necessária para tratamento dos trâmites de OS.</t>
  </si>
  <si>
    <t>Configuração necessária.</t>
  </si>
  <si>
    <t>Atende com motor específico (high usage).</t>
  </si>
  <si>
    <t>Atende com relatório específico.</t>
  </si>
  <si>
    <t>Regras podem ser criadas sobre tráfego de SMS para detetar spam.</t>
  </si>
  <si>
    <t>Cenários de tráfego zero podem ser configurados.</t>
  </si>
  <si>
    <t>Recargas são processadas e analisadas pelo RAID.</t>
  </si>
  <si>
    <t>Cenários de PBX podem ser detetados pelo RAID.</t>
  </si>
  <si>
    <t>Cenários de LDI podem ser detetados pelo RAID.</t>
  </si>
  <si>
    <t>Eventos de commisões podem ser integrados e analisados pelo RAID.</t>
  </si>
  <si>
    <t>Cenários de Co-Billing podem ser detetados pelo RAID.</t>
  </si>
  <si>
    <t>Cenários de Bypass podem ser detetados pelo RAID.</t>
  </si>
  <si>
    <t>Cenários de Wangiri/Fishing podem ser detetados pelo RAID. Idealmente as tentativas de chamadas devem ser disponilizadas e analisadas. Caso não estejam disponíveis podem ser feitas análises sobre o B number.</t>
  </si>
  <si>
    <t>Motor de Stuffing está disponível no RAID.</t>
  </si>
  <si>
    <t>Motor de velocity e de stuffing podem ser usados para detetar cenários de Clonagem. Informação geográfica das células deve ser disponibilizada.</t>
  </si>
  <si>
    <t>Configuração necessária para estimar perda financeira.</t>
  </si>
  <si>
    <t>Possível configurar regras de detecção para geração de alertas.</t>
  </si>
  <si>
    <t>Atende com o ETL próprio.</t>
  </si>
  <si>
    <t>Atende com módulo Link analysis.</t>
  </si>
  <si>
    <t>Configuração necessária para definição dos padrões.</t>
  </si>
  <si>
    <t>Funcionalidade não disponível.</t>
  </si>
  <si>
    <t>Atende com o módulo ACM (Adaptative Case Management.</t>
  </si>
  <si>
    <t>Detalhamento de xDRs estará disponível na análise de casos.</t>
  </si>
  <si>
    <t>Atende com módulo Advanced Fraud Detection.</t>
  </si>
  <si>
    <t>Podem ser configuradas páginas no RAID de modo a ter uma visão 360º integrando as informações necessárias das várias fontes e canais.</t>
  </si>
  <si>
    <t>O sistema permite gestão total de usuários e perfis de acesso.</t>
  </si>
  <si>
    <t>A configuração de regras de detecção é totalmente flexível, sem nenhuma limitação de quantidade.</t>
  </si>
  <si>
    <t>O sistema permite a criação de novos dashboards e relatórios.</t>
  </si>
  <si>
    <t>Ações automáticas de envio de SMS podem ser configuradas.</t>
  </si>
  <si>
    <t>Ações automáticas de envio de e-mail podem ser configuradas.</t>
  </si>
  <si>
    <t>Funcionalidade de testes de regras está disponível no sistem.</t>
  </si>
  <si>
    <t>É possível configurar no RAID FMS integração via web services com serviços externos.</t>
  </si>
  <si>
    <t>É possível configurar no RAID FMS integração com serviços externos.</t>
  </si>
  <si>
    <t>Configuração necessária para identificação dos assinantes bloqueados.</t>
  </si>
  <si>
    <t>Solução não dimensionada para este tipo de solicitação.</t>
  </si>
  <si>
    <t>Configuração necessária para fornecer dados de georeferenciamento.</t>
  </si>
  <si>
    <t>Funcionalidade não existe no RAID FMS. Seria necessária a integração com ferramentas externas.</t>
  </si>
  <si>
    <t>É possível realizar configuração no ETL do sistema.</t>
  </si>
  <si>
    <t>Configuração necessária para as ações de drill down.</t>
  </si>
  <si>
    <t>É possível realizar configuração no ACM (adaptative Case Management).</t>
  </si>
  <si>
    <t>Customização através de chamadas a APIs disponibilizadas pela Oi.</t>
  </si>
  <si>
    <t>É possível configuraar assumindo que existe informação comum nas bases de dados que permita o cruzamento entre elas.</t>
  </si>
  <si>
    <t>Será possível integrar no RAID FMS pagamento efetuados nessas plataformas.
As plataformas deverão enviar arquivos com os dados de pagamento ou invocar serviço webservice para integrar os dados no RAID FMS.
A comunicação será no sentido plataforma omni-channel &gt; RAID.</t>
  </si>
  <si>
    <t>O sistema suporta transferência por FTP ou SFTP.</t>
  </si>
  <si>
    <t>RAID FMS pode integrar com Oracle Soa Suite usando webservices.</t>
  </si>
  <si>
    <t>RAID FMS pode integrar com Informática usando webservices.</t>
  </si>
  <si>
    <t>RAID FMS pode receber e tratar mensagem de SOAP e REST.</t>
  </si>
  <si>
    <t>O RAID pode ser configurado com Single Sign-On mas terão que ser feitas custumizações para poder integrar com  NDS (Novel Directory Services).</t>
  </si>
  <si>
    <t>O sistema suporta integrações síncronas ou assíncronas.</t>
  </si>
  <si>
    <t>O RAID pode ser integrado com ferramentas de automação.</t>
  </si>
  <si>
    <t>O RAID tem um próprio application server.</t>
  </si>
  <si>
    <t>RAID FMS pode receber informação de plataformas de monitoramento de rede (em tempo real se necessário).</t>
  </si>
  <si>
    <t>RAID FMS pode receber informação de ERPs (ou connectar à base de dados que suporta os mesmos).</t>
  </si>
  <si>
    <t>RAID FMS funciona preferencialmente em UNIX/Linux sendo o Red Hat um dos SO suportados. 
Embora possa ser instalado em Windows não é aconselhado para a dimensão da Oi.</t>
  </si>
  <si>
    <t>O RAID não tem funcionalidade de OCR. Caso necesssário teria que haver integração com ferramenta externa para obtenção da informação dos documentos.</t>
  </si>
  <si>
    <t>RAID FMS é compatível com iOS e Android. Windows Phone não está certificado no momento.</t>
  </si>
  <si>
    <t>RAID FMS é compatível com as versões modernas de browsers:
Chrome &gt;=40
Firefox &gt;= 24
IE &gt;=10
Safari &gt;=6
Opera não está certificado no momento.</t>
  </si>
  <si>
    <t>Os períodos de retenção podem ser configurados de acordo com o requisito.</t>
  </si>
  <si>
    <t>Backup normalmente é realizado a partir em objetos Oracle.</t>
  </si>
  <si>
    <t>Os dados podem ser armazenados de acordo com a necessidade.</t>
  </si>
  <si>
    <t>Deverá ser configurado o repositório com as informações necessárias.</t>
  </si>
  <si>
    <t>RAID 8 permite ler e escrever em Hadoop.</t>
  </si>
  <si>
    <t>Atende com conexão JDBC.</t>
  </si>
  <si>
    <t xml:space="preserve">Neste momento o RAID FMS Telecom só está disponível em Inglês.
</t>
  </si>
  <si>
    <t>Help online disponível.</t>
  </si>
  <si>
    <t>Possível incluir logomarca e cores da Oi.</t>
  </si>
  <si>
    <t>Todo o front end do sistema é Web desenvolvido com HTML 5.</t>
  </si>
  <si>
    <t>As configurações são realizadas diretamente no portal do sistema.</t>
  </si>
  <si>
    <t>Assumindo que dados não estruturados serão tratados via Hadoop.</t>
  </si>
  <si>
    <t>RAID FMS inclui uma componente chamada Advanced Fraud Detection que usa algoritmos de Machine Learning para a deteção de fraude.</t>
  </si>
  <si>
    <t>O RAID tem o próprio log de erros e permite escrever arquivos.</t>
  </si>
  <si>
    <t>Todos os objetos mantidos no sistema (fluxos de carga, relatórios, etc) são versionados.</t>
  </si>
  <si>
    <t>Está disponível no Portal mecanismos de monitoramento.</t>
  </si>
  <si>
    <t>RAID FMS pode receber pedidos em tempo real de modo a dar uma resposta a algumas validações de Fraude.</t>
  </si>
  <si>
    <t>O RAID FMS trabalha essencialmente "in memory".</t>
  </si>
  <si>
    <t>Automação deverá ser realizada a partir de ferramentas externas.</t>
  </si>
  <si>
    <t>Não há restrição.</t>
  </si>
  <si>
    <t>Não se aplica às funcionalidades do RAID.</t>
  </si>
  <si>
    <t>As senhas são guardadas com MD5.</t>
  </si>
  <si>
    <t>É possível configurar HTTPS.</t>
  </si>
  <si>
    <t xml:space="preserve">Dados de auditoria são disponibilizados pelo RAID.
Necessário customização para os cenários de alteração de dados confidenciais e de valores financeiros.
</t>
  </si>
  <si>
    <t>Os logs são armazenados em filesystem, com acesso apenas dos usuários autorizados.</t>
  </si>
  <si>
    <t>Registos de log são gravados no filesysteme os usuários web não têm qualquer acesso aos mesmos.</t>
  </si>
  <si>
    <t>O sistema exige a identificação do usuário e senha.</t>
  </si>
  <si>
    <t>O controle de acesso é uniforme em todo o sistema.</t>
  </si>
  <si>
    <t>O RAID não armazena informações críticas dos usuários.</t>
  </si>
  <si>
    <t>O RAID permite configuração por tempo de inatividade.</t>
  </si>
  <si>
    <t>As permissões são replicadas aos usuários do perfil.</t>
  </si>
  <si>
    <t>O sistema mantém internamente a validação por token, porém não há validação de token em transações externas.</t>
  </si>
  <si>
    <t>O RAID pode se integrar ao NDS e também é possível definir políticas de senha.</t>
  </si>
  <si>
    <t>Os manuais serão entregues durante o projeto.</t>
  </si>
  <si>
    <t>As configurações são mantidas apenas para uso interno do sistema.</t>
  </si>
  <si>
    <t>O RAID não utiliza backdoors.</t>
  </si>
  <si>
    <t>É possível distribuir os vários componentes do sistema.</t>
  </si>
  <si>
    <t>O RAID utiliza SFTP.</t>
  </si>
  <si>
    <t>As validações são realizadas nos processos de integração.</t>
  </si>
  <si>
    <t>Neste momento RAID apenas permite envio de password temporária por email que deve depois ser modificada pelo usuário.</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</si>
</sst>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_(* \(#,##0.00\);_(* &quot;-&quot;??_);_(@_)"/>
  </numFmts>
  <fonts count="1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b/>
      <sz val="12"/>
      <name val="Tahoma"/>
      <family val="2"/>
    </font>
    <font>
      <b/>
      <sz val="10"/>
      <name val="Tahoma"/>
      <family val="2"/>
    </font>
    <font>
      <sz val="10"/>
      <name val="Tahoma"/>
      <family val="2"/>
    </font>
    <font>
      <sz val="9"/>
      <color indexed="81"/>
      <name val="Tahoma"/>
      <family val="2"/>
    </font>
    <font>
      <sz val="11"/>
      <color theme="1"/>
      <name val="Calibri"/>
      <family val="2"/>
      <scheme val="minor"/>
    </font>
    <font>
      <b/>
      <sz val="11"/>
      <color theme="1"/>
      <name val="Calibri"/>
      <family val="2"/>
      <scheme val="minor"/>
    </font>
    <font>
      <i/>
      <sz val="10"/>
      <color theme="1" tint="0.499984740745262"/>
      <name val="Arial"/>
      <family val="2"/>
    </font>
    <font>
      <sz val="10"/>
      <color theme="1"/>
      <name val="Arial"/>
      <family val="2"/>
    </font>
    <font>
      <sz val="11"/>
      <color indexed="8"/>
      <name val="Calibri"/>
      <family val="2"/>
    </font>
    <font>
      <u/>
      <sz val="10"/>
      <color indexed="12"/>
      <name val="Arial"/>
      <family val="2"/>
    </font>
    <font>
      <sz val="10"/>
      <color rgb="FFFF0000"/>
      <name val="Arial"/>
      <family val="2"/>
    </font>
  </fonts>
  <fills count="7">
    <fill>
      <patternFill patternType="none"/>
    </fill>
    <fill>
      <patternFill patternType="gray125"/>
    </fill>
    <fill>
      <patternFill patternType="solid">
        <fgColor theme="3"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rgb="FFA1FD95"/>
        <bgColor indexed="64"/>
      </patternFill>
    </fill>
    <fill>
      <patternFill patternType="solid">
        <fgColor rgb="FFA1FF95"/>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bottom/>
      <diagonal/>
    </border>
  </borders>
  <cellStyleXfs count="17">
    <xf numFmtId="0" fontId="0" fillId="0" borderId="0" applyBorder="0"/>
    <xf numFmtId="0" fontId="5" fillId="0" borderId="0" applyBorder="0"/>
    <xf numFmtId="0" fontId="10" fillId="0" borderId="0"/>
    <xf numFmtId="9" fontId="5" fillId="0" borderId="0" applyFont="0" applyFill="0" applyBorder="0" applyAlignment="0" applyProtection="0"/>
    <xf numFmtId="164" fontId="5" fillId="0" borderId="0" applyFont="0" applyFill="0" applyBorder="0" applyAlignment="0" applyProtection="0"/>
    <xf numFmtId="0" fontId="3" fillId="0" borderId="0"/>
    <xf numFmtId="0" fontId="14" fillId="0" borderId="0"/>
    <xf numFmtId="0" fontId="15" fillId="0" borderId="0" applyNumberFormat="0" applyFill="0" applyBorder="0" applyAlignment="0" applyProtection="0">
      <alignment vertical="top"/>
      <protection locked="0"/>
    </xf>
    <xf numFmtId="164" fontId="3" fillId="0" borderId="0" applyFont="0" applyFill="0" applyBorder="0" applyAlignment="0" applyProtection="0"/>
    <xf numFmtId="0" fontId="2" fillId="0" borderId="0"/>
    <xf numFmtId="0" fontId="4" fillId="0" borderId="0" applyBorder="0"/>
    <xf numFmtId="0" fontId="1" fillId="0" borderId="0"/>
    <xf numFmtId="9" fontId="4" fillId="0" borderId="0" applyFont="0" applyFill="0" applyBorder="0" applyAlignment="0" applyProtection="0"/>
    <xf numFmtId="164" fontId="4" fillId="0" borderId="0" applyFont="0" applyFill="0" applyBorder="0" applyAlignment="0" applyProtection="0"/>
    <xf numFmtId="0" fontId="1" fillId="0" borderId="0"/>
    <xf numFmtId="164" fontId="1" fillId="0" borderId="0" applyFont="0" applyFill="0" applyBorder="0" applyAlignment="0" applyProtection="0"/>
    <xf numFmtId="0" fontId="1" fillId="0" borderId="0"/>
  </cellStyleXfs>
  <cellXfs count="68">
    <xf numFmtId="0" fontId="0" fillId="0" borderId="0" xfId="0"/>
    <xf numFmtId="0" fontId="5" fillId="0" borderId="0" xfId="0" applyFont="1"/>
    <xf numFmtId="0" fontId="0" fillId="0" borderId="1" xfId="0" applyBorder="1"/>
    <xf numFmtId="0" fontId="5" fillId="0" borderId="1" xfId="0" applyFont="1" applyBorder="1"/>
    <xf numFmtId="0" fontId="0" fillId="2" borderId="1" xfId="0" applyFill="1" applyBorder="1"/>
    <xf numFmtId="0" fontId="0" fillId="3" borderId="0" xfId="0" applyFill="1"/>
    <xf numFmtId="0" fontId="6" fillId="3" borderId="0" xfId="0" applyFont="1" applyFill="1" applyBorder="1" applyAlignment="1">
      <alignment horizontal="center" vertical="top" wrapText="1"/>
    </xf>
    <xf numFmtId="0" fontId="12" fillId="3" borderId="0" xfId="0" applyFont="1" applyFill="1"/>
    <xf numFmtId="0" fontId="7" fillId="4" borderId="4" xfId="0" applyFont="1" applyFill="1" applyBorder="1" applyAlignment="1">
      <alignment horizontal="center" vertical="center"/>
    </xf>
    <xf numFmtId="0" fontId="7" fillId="4" borderId="2" xfId="0" applyFont="1" applyFill="1" applyBorder="1" applyAlignment="1">
      <alignment horizontal="center" vertical="center" wrapText="1"/>
    </xf>
    <xf numFmtId="0" fontId="7" fillId="4" borderId="5" xfId="0" applyFont="1" applyFill="1" applyBorder="1" applyAlignment="1">
      <alignment horizontal="center" vertical="center" wrapText="1"/>
    </xf>
    <xf numFmtId="0" fontId="4" fillId="0" borderId="0" xfId="0" applyFont="1"/>
    <xf numFmtId="0" fontId="4" fillId="0" borderId="1" xfId="0" applyFont="1" applyBorder="1"/>
    <xf numFmtId="0" fontId="0" fillId="0" borderId="0" xfId="0" applyAlignment="1">
      <alignment horizontal="center" vertical="center"/>
    </xf>
    <xf numFmtId="0" fontId="4" fillId="3" borderId="0" xfId="0" applyFont="1" applyFill="1" applyAlignment="1">
      <alignment horizontal="center" vertical="center"/>
    </xf>
    <xf numFmtId="0" fontId="11" fillId="0" borderId="11" xfId="9" applyFont="1" applyBorder="1" applyAlignment="1">
      <alignment horizontal="center" vertical="top"/>
    </xf>
    <xf numFmtId="0" fontId="11" fillId="0" borderId="10" xfId="9" applyFont="1" applyBorder="1" applyAlignment="1">
      <alignment horizontal="center"/>
    </xf>
    <xf numFmtId="0" fontId="4" fillId="3" borderId="0" xfId="0" applyFont="1" applyFill="1"/>
    <xf numFmtId="9" fontId="11" fillId="0" borderId="10" xfId="9" applyNumberFormat="1" applyFont="1" applyBorder="1" applyAlignment="1">
      <alignment horizontal="center"/>
    </xf>
    <xf numFmtId="0" fontId="8" fillId="5" borderId="6" xfId="0" applyFont="1" applyFill="1" applyBorder="1" applyAlignment="1">
      <alignment horizontal="center" vertical="top"/>
    </xf>
    <xf numFmtId="0" fontId="8" fillId="5" borderId="7" xfId="0" applyFont="1" applyFill="1" applyBorder="1" applyAlignment="1">
      <alignment horizontal="center" vertical="top"/>
    </xf>
    <xf numFmtId="9" fontId="8" fillId="5" borderId="8" xfId="0" applyNumberFormat="1" applyFont="1" applyFill="1" applyBorder="1" applyAlignment="1">
      <alignment horizontal="center" vertical="top"/>
    </xf>
    <xf numFmtId="0" fontId="13" fillId="0" borderId="1" xfId="0" applyFont="1" applyFill="1" applyBorder="1" applyAlignment="1">
      <alignment horizontal="center" vertical="center" wrapText="1"/>
    </xf>
    <xf numFmtId="0" fontId="8" fillId="5" borderId="16" xfId="0" applyFont="1" applyFill="1" applyBorder="1" applyAlignment="1">
      <alignment horizontal="left" vertical="top"/>
    </xf>
    <xf numFmtId="0" fontId="7" fillId="4" borderId="2" xfId="0" applyFont="1" applyFill="1" applyBorder="1" applyAlignment="1">
      <alignment horizontal="center" vertical="center"/>
    </xf>
    <xf numFmtId="0" fontId="13" fillId="0" borderId="3" xfId="0" applyFont="1" applyFill="1" applyBorder="1" applyAlignment="1">
      <alignment horizontal="center" vertical="center" wrapText="1"/>
    </xf>
    <xf numFmtId="0" fontId="8" fillId="5" borderId="7" xfId="0" applyFont="1" applyFill="1" applyBorder="1" applyAlignment="1">
      <alignment horizontal="left" vertical="top"/>
    </xf>
    <xf numFmtId="0" fontId="4" fillId="0" borderId="1" xfId="0" applyFont="1" applyFill="1" applyBorder="1" applyAlignment="1">
      <alignment horizontal="center" vertical="center" wrapText="1"/>
    </xf>
    <xf numFmtId="0" fontId="0" fillId="3" borderId="0" xfId="0" applyFill="1" applyAlignment="1">
      <alignment horizontal="center" vertical="center"/>
    </xf>
    <xf numFmtId="0" fontId="11" fillId="0" borderId="0" xfId="9" applyFont="1" applyBorder="1" applyAlignment="1">
      <alignment horizontal="center" vertical="center"/>
    </xf>
    <xf numFmtId="9" fontId="11" fillId="0" borderId="0" xfId="9" applyNumberFormat="1" applyFont="1" applyBorder="1" applyAlignment="1">
      <alignment horizontal="center" vertical="center"/>
    </xf>
    <xf numFmtId="0" fontId="12" fillId="3" borderId="0" xfId="0" applyFont="1" applyFill="1" applyAlignment="1">
      <alignment horizontal="center" vertical="center"/>
    </xf>
    <xf numFmtId="0" fontId="4" fillId="2" borderId="1" xfId="0" applyFont="1" applyFill="1" applyBorder="1"/>
    <xf numFmtId="0" fontId="4" fillId="0" borderId="15" xfId="0" applyFont="1" applyFill="1" applyBorder="1" applyAlignment="1">
      <alignment horizontal="center" vertical="center" wrapText="1"/>
    </xf>
    <xf numFmtId="0" fontId="8" fillId="5" borderId="15" xfId="0" applyFont="1" applyFill="1" applyBorder="1" applyAlignment="1">
      <alignment horizontal="center" vertical="top"/>
    </xf>
    <xf numFmtId="0" fontId="8" fillId="5" borderId="19" xfId="0" applyFont="1" applyFill="1" applyBorder="1" applyAlignment="1">
      <alignment horizontal="center" vertical="top"/>
    </xf>
    <xf numFmtId="9" fontId="8" fillId="5" borderId="14" xfId="0" applyNumberFormat="1" applyFont="1" applyFill="1" applyBorder="1" applyAlignment="1">
      <alignment horizontal="center" vertical="top"/>
    </xf>
    <xf numFmtId="0" fontId="4" fillId="0" borderId="13" xfId="0" applyFont="1" applyFill="1" applyBorder="1" applyAlignment="1">
      <alignment horizontal="center" vertical="center" wrapText="1"/>
    </xf>
    <xf numFmtId="0" fontId="8" fillId="5" borderId="13" xfId="0" applyFont="1" applyFill="1" applyBorder="1" applyAlignment="1">
      <alignment horizontal="center" vertical="top"/>
    </xf>
    <xf numFmtId="0" fontId="8" fillId="5" borderId="1" xfId="0" applyFont="1" applyFill="1" applyBorder="1" applyAlignment="1">
      <alignment horizontal="center" vertical="top"/>
    </xf>
    <xf numFmtId="9" fontId="8" fillId="5" borderId="3" xfId="0" applyNumberFormat="1" applyFont="1" applyFill="1" applyBorder="1" applyAlignment="1">
      <alignment horizontal="center" vertical="top"/>
    </xf>
    <xf numFmtId="0" fontId="4" fillId="3" borderId="1" xfId="0" applyFont="1" applyFill="1" applyBorder="1" applyAlignment="1">
      <alignment horizontal="center" vertical="center" wrapText="1"/>
    </xf>
    <xf numFmtId="0" fontId="8" fillId="5" borderId="1" xfId="0" applyFont="1" applyFill="1" applyBorder="1" applyAlignment="1">
      <alignment horizontal="left" vertical="top" wrapText="1"/>
    </xf>
    <xf numFmtId="0" fontId="8" fillId="5" borderId="9" xfId="0" applyFont="1" applyFill="1" applyBorder="1" applyAlignment="1">
      <alignment horizontal="left" vertical="top" wrapText="1"/>
    </xf>
    <xf numFmtId="0" fontId="8" fillId="5" borderId="7" xfId="0" applyFont="1" applyFill="1" applyBorder="1" applyAlignment="1">
      <alignment horizontal="left" vertical="top" wrapText="1"/>
    </xf>
    <xf numFmtId="0" fontId="13" fillId="0" borderId="8" xfId="0" applyFont="1" applyFill="1" applyBorder="1" applyAlignment="1">
      <alignment horizontal="left" vertical="top" wrapText="1"/>
    </xf>
    <xf numFmtId="0" fontId="13" fillId="0" borderId="8" xfId="0" applyFont="1" applyFill="1" applyBorder="1" applyAlignment="1">
      <alignment vertical="top" wrapText="1"/>
    </xf>
    <xf numFmtId="0" fontId="13" fillId="0" borderId="9" xfId="0" applyFont="1" applyFill="1" applyBorder="1" applyAlignment="1">
      <alignment vertical="top" wrapText="1"/>
    </xf>
    <xf numFmtId="0" fontId="13" fillId="0" borderId="12" xfId="0" applyFont="1" applyFill="1" applyBorder="1" applyAlignment="1">
      <alignment horizontal="left" vertical="top" wrapText="1"/>
    </xf>
    <xf numFmtId="0" fontId="13" fillId="0" borderId="1" xfId="0" applyFont="1" applyFill="1" applyBorder="1" applyAlignment="1">
      <alignment vertical="top" wrapText="1"/>
    </xf>
    <xf numFmtId="0" fontId="13" fillId="0" borderId="1" xfId="0" applyFont="1" applyFill="1" applyBorder="1" applyAlignment="1">
      <alignment horizontal="left" vertical="top" wrapText="1"/>
    </xf>
    <xf numFmtId="0" fontId="13" fillId="0" borderId="3" xfId="0" applyFont="1" applyFill="1" applyBorder="1" applyAlignment="1">
      <alignment vertical="top" wrapText="1"/>
    </xf>
    <xf numFmtId="0" fontId="13" fillId="0" borderId="12" xfId="0" applyFont="1" applyFill="1" applyBorder="1" applyAlignment="1">
      <alignment vertical="top" wrapText="1"/>
    </xf>
    <xf numFmtId="0" fontId="13" fillId="0" borderId="3" xfId="0" applyFont="1" applyFill="1" applyBorder="1" applyAlignment="1">
      <alignment horizontal="left" vertical="top" wrapText="1"/>
    </xf>
    <xf numFmtId="0" fontId="13" fillId="0" borderId="1" xfId="14" applyFont="1" applyBorder="1" applyAlignment="1">
      <alignment horizontal="left" vertical="top" wrapText="1"/>
    </xf>
    <xf numFmtId="0" fontId="0" fillId="3" borderId="0" xfId="0" applyFill="1" applyAlignment="1">
      <alignment wrapText="1"/>
    </xf>
    <xf numFmtId="0" fontId="0" fillId="0" borderId="0" xfId="0" applyAlignment="1">
      <alignment wrapText="1"/>
    </xf>
    <xf numFmtId="0" fontId="0" fillId="0" borderId="0" xfId="0" applyFill="1"/>
    <xf numFmtId="0" fontId="4" fillId="0" borderId="0" xfId="0" applyFont="1" applyFill="1"/>
    <xf numFmtId="0" fontId="4" fillId="0" borderId="0" xfId="0" applyFont="1" applyFill="1" applyAlignment="1">
      <alignment wrapText="1"/>
    </xf>
    <xf numFmtId="0" fontId="8" fillId="6" borderId="7" xfId="0" applyFont="1" applyFill="1" applyBorder="1" applyAlignment="1">
      <alignment horizontal="left" vertical="top" wrapText="1"/>
    </xf>
    <xf numFmtId="0" fontId="13" fillId="0" borderId="18" xfId="0" applyFont="1" applyFill="1" applyBorder="1" applyAlignment="1">
      <alignment vertical="top" wrapText="1"/>
    </xf>
    <xf numFmtId="0" fontId="4" fillId="0" borderId="1" xfId="0" applyFont="1" applyFill="1" applyBorder="1" applyAlignment="1">
      <alignment wrapText="1"/>
    </xf>
    <xf numFmtId="0" fontId="13" fillId="0" borderId="1" xfId="0" applyFont="1" applyFill="1" applyBorder="1" applyAlignment="1">
      <alignment vertical="center" wrapText="1"/>
    </xf>
    <xf numFmtId="0" fontId="13" fillId="0" borderId="12" xfId="0" applyFont="1" applyFill="1" applyBorder="1" applyAlignment="1">
      <alignment vertical="center" wrapText="1"/>
    </xf>
    <xf numFmtId="0" fontId="13" fillId="0" borderId="1" xfId="14" applyFont="1" applyFill="1" applyBorder="1" applyAlignment="1">
      <alignment horizontal="left" vertical="top" wrapText="1"/>
    </xf>
    <xf numFmtId="0" fontId="4" fillId="0" borderId="1" xfId="14" applyFont="1" applyFill="1" applyBorder="1" applyAlignment="1">
      <alignment horizontal="left" vertical="top" wrapText="1"/>
    </xf>
    <xf numFmtId="0" fontId="8" fillId="5" borderId="17" xfId="0" applyFont="1" applyFill="1" applyBorder="1" applyAlignment="1">
      <alignment horizontal="left" vertical="top" wrapText="1"/>
    </xf>
  </cellXfs>
  <cellStyles count="17">
    <cellStyle name="Excel Built-in Normal" xfId="6"/>
    <cellStyle name="Hyperlink 2" xfId="7"/>
    <cellStyle name="Normal" xfId="0" builtinId="0"/>
    <cellStyle name="Normal 2" xfId="1"/>
    <cellStyle name="Normal 2 2" xfId="10"/>
    <cellStyle name="Normal 3" xfId="2"/>
    <cellStyle name="Normal 3 2" xfId="9"/>
    <cellStyle name="Normal 3 2 2" xfId="16"/>
    <cellStyle name="Normal 3 3" xfId="11"/>
    <cellStyle name="Normal 4" xfId="5"/>
    <cellStyle name="Normal 4 2" xfId="14"/>
    <cellStyle name="Porcentagem 2" xfId="3"/>
    <cellStyle name="Porcentagem 2 2" xfId="12"/>
    <cellStyle name="Vírgula 2" xfId="4"/>
    <cellStyle name="Vírgula 2 2" xfId="13"/>
    <cellStyle name="Vírgula 3" xfId="8"/>
    <cellStyle name="Vírgula 3 2" xfId="15"/>
  </cellStyles>
  <dxfs count="0"/>
  <tableStyles count="1" defaultTableStyle="TableStyleMedium2" defaultPivotStyle="PivotStyleLight16">
    <tableStyle name="Estilo de Tabela 1" pivot="0" count="0"/>
  </tableStyles>
  <colors>
    <mruColors>
      <color rgb="FFA1FF95"/>
      <color rgb="FFD7C49E"/>
      <color rgb="FFA1FD9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externalLink" Target="externalLinks/externalLink1.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18</xdr:col>
      <xdr:colOff>364435</xdr:colOff>
      <xdr:row>40</xdr:row>
      <xdr:rowOff>12700</xdr:rowOff>
    </xdr:to>
    <xdr:pic>
      <xdr:nvPicPr>
        <xdr:cNvPr id="2" name="Picture 4" descr="fundo_negocios.jpg"/>
        <xdr:cNvPicPr>
          <a:picLocks noChangeAspect="1"/>
        </xdr:cNvPicPr>
      </xdr:nvPicPr>
      <xdr:blipFill>
        <a:blip xmlns:r="http://schemas.openxmlformats.org/officeDocument/2006/relationships" r:embed="rId1"/>
        <a:srcRect/>
        <a:stretch>
          <a:fillRect/>
        </a:stretch>
      </xdr:blipFill>
      <xdr:spPr bwMode="auto">
        <a:xfrm>
          <a:off x="0" y="0"/>
          <a:ext cx="11396870" cy="6638787"/>
        </a:xfrm>
        <a:prstGeom prst="rect">
          <a:avLst/>
        </a:prstGeom>
        <a:noFill/>
        <a:ln w="9525">
          <a:noFill/>
          <a:miter lim="800000"/>
          <a:headEnd/>
          <a:tailEnd/>
        </a:ln>
      </xdr:spPr>
    </xdr:pic>
    <xdr:clientData/>
  </xdr:twoCellAnchor>
  <xdr:twoCellAnchor>
    <xdr:from>
      <xdr:col>5</xdr:col>
      <xdr:colOff>507862</xdr:colOff>
      <xdr:row>10</xdr:row>
      <xdr:rowOff>151158</xdr:rowOff>
    </xdr:from>
    <xdr:to>
      <xdr:col>14</xdr:col>
      <xdr:colOff>469762</xdr:colOff>
      <xdr:row>17</xdr:row>
      <xdr:rowOff>141633</xdr:rowOff>
    </xdr:to>
    <xdr:sp macro="" textlink="">
      <xdr:nvSpPr>
        <xdr:cNvPr id="4" name="Title 1"/>
        <xdr:cNvSpPr>
          <a:spLocks noGrp="1"/>
        </xdr:cNvSpPr>
      </xdr:nvSpPr>
      <xdr:spPr>
        <a:xfrm>
          <a:off x="3563800" y="1738658"/>
          <a:ext cx="5462587" cy="1101725"/>
        </a:xfrm>
        <a:prstGeom prst="rect">
          <a:avLst/>
        </a:prstGeom>
        <a:noFill/>
        <a:ln w="9525">
          <a:noFill/>
          <a:round/>
          <a:headEnd/>
          <a:tailEnd/>
        </a:ln>
      </xdr:spPr>
      <xdr:txBody>
        <a:bodyPr vert="horz" wrap="square" lIns="90000" tIns="45000" rIns="90000" bIns="45000" rtlCol="0" anchor="ctr" anchorCtr="0">
          <a:noAutofit/>
        </a:bodyPr>
        <a:lstStyle>
          <a:lvl1pPr algn="l" defTabSz="457200" rtl="0" eaLnBrk="0" fontAlgn="base" hangingPunct="0">
            <a:lnSpc>
              <a:spcPct val="100000"/>
            </a:lnSpc>
            <a:spcBef>
              <a:spcPct val="0"/>
            </a:spcBef>
            <a:spcAft>
              <a:spcPct val="0"/>
            </a:spcAft>
            <a:buClr>
              <a:srgbClr val="000000"/>
            </a:buClr>
            <a:buSzPct val="100000"/>
            <a:buFont typeface="Times New Roman" pitchFamily="30" charset="0"/>
            <a:defRPr lang="pt-BR" sz="2000" b="1" kern="1200" dirty="0" smtClean="0">
              <a:solidFill>
                <a:schemeClr val="bg1"/>
              </a:solidFill>
              <a:latin typeface="Arial" charset="0"/>
              <a:ea typeface="MS Gothic" charset="-128"/>
              <a:cs typeface="+mn-cs"/>
            </a:defRPr>
          </a:lvl1pPr>
          <a:lvl2pPr algn="l" defTabSz="457200" rtl="0" eaLnBrk="0" fontAlgn="base" hangingPunct="0">
            <a:lnSpc>
              <a:spcPct val="102000"/>
            </a:lnSpc>
            <a:spcBef>
              <a:spcPct val="0"/>
            </a:spcBef>
            <a:spcAft>
              <a:spcPct val="0"/>
            </a:spcAft>
            <a:buClr>
              <a:srgbClr val="000000"/>
            </a:buClr>
            <a:buSzPct val="100000"/>
            <a:buFont typeface="Times New Roman" pitchFamily="30" charset="0"/>
            <a:defRPr>
              <a:solidFill>
                <a:srgbClr val="D74720"/>
              </a:solidFill>
              <a:latin typeface="Calibri" pitchFamily="-106" charset="0"/>
              <a:ea typeface="MS Gothic" charset="0"/>
              <a:cs typeface="MS Gothic" charset="0"/>
            </a:defRPr>
          </a:lvl2pPr>
          <a:lvl3pPr algn="l" defTabSz="457200" rtl="0" eaLnBrk="0" fontAlgn="base" hangingPunct="0">
            <a:lnSpc>
              <a:spcPct val="102000"/>
            </a:lnSpc>
            <a:spcBef>
              <a:spcPct val="0"/>
            </a:spcBef>
            <a:spcAft>
              <a:spcPct val="0"/>
            </a:spcAft>
            <a:buClr>
              <a:srgbClr val="000000"/>
            </a:buClr>
            <a:buSzPct val="100000"/>
            <a:buFont typeface="Times New Roman" pitchFamily="30" charset="0"/>
            <a:defRPr>
              <a:solidFill>
                <a:srgbClr val="D74720"/>
              </a:solidFill>
              <a:latin typeface="Calibri" pitchFamily="-106" charset="0"/>
              <a:ea typeface="MS Gothic" charset="0"/>
              <a:cs typeface="MS Gothic" charset="0"/>
            </a:defRPr>
          </a:lvl3pPr>
          <a:lvl4pPr algn="l" defTabSz="457200" rtl="0" eaLnBrk="0" fontAlgn="base" hangingPunct="0">
            <a:lnSpc>
              <a:spcPct val="102000"/>
            </a:lnSpc>
            <a:spcBef>
              <a:spcPct val="0"/>
            </a:spcBef>
            <a:spcAft>
              <a:spcPct val="0"/>
            </a:spcAft>
            <a:buClr>
              <a:srgbClr val="000000"/>
            </a:buClr>
            <a:buSzPct val="100000"/>
            <a:buFont typeface="Times New Roman" pitchFamily="30" charset="0"/>
            <a:defRPr>
              <a:solidFill>
                <a:srgbClr val="D74720"/>
              </a:solidFill>
              <a:latin typeface="Calibri" pitchFamily="-106" charset="0"/>
              <a:ea typeface="MS Gothic" charset="0"/>
              <a:cs typeface="MS Gothic" charset="0"/>
            </a:defRPr>
          </a:lvl4pPr>
          <a:lvl5pPr algn="l" defTabSz="457200" rtl="0" eaLnBrk="0" fontAlgn="base" hangingPunct="0">
            <a:lnSpc>
              <a:spcPct val="102000"/>
            </a:lnSpc>
            <a:spcBef>
              <a:spcPct val="0"/>
            </a:spcBef>
            <a:spcAft>
              <a:spcPct val="0"/>
            </a:spcAft>
            <a:buClr>
              <a:srgbClr val="000000"/>
            </a:buClr>
            <a:buSzPct val="100000"/>
            <a:buFont typeface="Times New Roman" pitchFamily="30" charset="0"/>
            <a:defRPr>
              <a:solidFill>
                <a:srgbClr val="D74720"/>
              </a:solidFill>
              <a:latin typeface="Calibri" pitchFamily="-106" charset="0"/>
              <a:ea typeface="MS Gothic" charset="0"/>
              <a:cs typeface="MS Gothic" charset="0"/>
            </a:defRPr>
          </a:lvl5pPr>
          <a:lvl6pPr marL="2514600" indent="-228600" algn="l" defTabSz="457200" rtl="0" fontAlgn="base">
            <a:lnSpc>
              <a:spcPct val="102000"/>
            </a:lnSpc>
            <a:spcBef>
              <a:spcPct val="0"/>
            </a:spcBef>
            <a:spcAft>
              <a:spcPct val="0"/>
            </a:spcAft>
            <a:buClr>
              <a:srgbClr val="000000"/>
            </a:buClr>
            <a:buSzPct val="100000"/>
            <a:buFont typeface="Times New Roman" pitchFamily="-106" charset="0"/>
            <a:defRPr>
              <a:solidFill>
                <a:srgbClr val="D74720"/>
              </a:solidFill>
              <a:latin typeface="Calibri" pitchFamily="-106" charset="0"/>
              <a:ea typeface="MS Gothic" charset="0"/>
              <a:cs typeface="MS Gothic" charset="0"/>
            </a:defRPr>
          </a:lvl6pPr>
          <a:lvl7pPr marL="2971800" indent="-228600" algn="l" defTabSz="457200" rtl="0" fontAlgn="base">
            <a:lnSpc>
              <a:spcPct val="102000"/>
            </a:lnSpc>
            <a:spcBef>
              <a:spcPct val="0"/>
            </a:spcBef>
            <a:spcAft>
              <a:spcPct val="0"/>
            </a:spcAft>
            <a:buClr>
              <a:srgbClr val="000000"/>
            </a:buClr>
            <a:buSzPct val="100000"/>
            <a:buFont typeface="Times New Roman" pitchFamily="-106" charset="0"/>
            <a:defRPr>
              <a:solidFill>
                <a:srgbClr val="D74720"/>
              </a:solidFill>
              <a:latin typeface="Calibri" pitchFamily="-106" charset="0"/>
              <a:ea typeface="MS Gothic" charset="0"/>
              <a:cs typeface="MS Gothic" charset="0"/>
            </a:defRPr>
          </a:lvl7pPr>
          <a:lvl8pPr marL="3429000" indent="-228600" algn="l" defTabSz="457200" rtl="0" fontAlgn="base">
            <a:lnSpc>
              <a:spcPct val="102000"/>
            </a:lnSpc>
            <a:spcBef>
              <a:spcPct val="0"/>
            </a:spcBef>
            <a:spcAft>
              <a:spcPct val="0"/>
            </a:spcAft>
            <a:buClr>
              <a:srgbClr val="000000"/>
            </a:buClr>
            <a:buSzPct val="100000"/>
            <a:buFont typeface="Times New Roman" pitchFamily="-106" charset="0"/>
            <a:defRPr>
              <a:solidFill>
                <a:srgbClr val="D74720"/>
              </a:solidFill>
              <a:latin typeface="Calibri" pitchFamily="-106" charset="0"/>
              <a:ea typeface="MS Gothic" charset="0"/>
              <a:cs typeface="MS Gothic" charset="0"/>
            </a:defRPr>
          </a:lvl8pPr>
          <a:lvl9pPr marL="3886200" indent="-228600" algn="l" defTabSz="457200" rtl="0" fontAlgn="base">
            <a:lnSpc>
              <a:spcPct val="102000"/>
            </a:lnSpc>
            <a:spcBef>
              <a:spcPct val="0"/>
            </a:spcBef>
            <a:spcAft>
              <a:spcPct val="0"/>
            </a:spcAft>
            <a:buClr>
              <a:srgbClr val="000000"/>
            </a:buClr>
            <a:buSzPct val="100000"/>
            <a:buFont typeface="Times New Roman" pitchFamily="-106" charset="0"/>
            <a:defRPr>
              <a:solidFill>
                <a:srgbClr val="D74720"/>
              </a:solidFill>
              <a:latin typeface="Calibri" pitchFamily="-106" charset="0"/>
              <a:ea typeface="MS Gothic" charset="0"/>
              <a:cs typeface="MS Gothic" charset="0"/>
            </a:defRPr>
          </a:lvl9pPr>
        </a:lstStyle>
        <a:p>
          <a:pPr algn="ctr"/>
          <a:r>
            <a:rPr lang="pt-BR" sz="2800" b="1" kern="1200" dirty="0" smtClean="0">
              <a:solidFill>
                <a:schemeClr val="bg1"/>
              </a:solidFill>
              <a:effectLst/>
              <a:latin typeface="Arial" charset="0"/>
              <a:ea typeface="MS Gothic" charset="-128"/>
              <a:cs typeface="+mn-cs"/>
            </a:rPr>
            <a:t>REQUISITOS FMS</a:t>
          </a:r>
          <a:endParaRPr lang="pt-BR" sz="2800" b="1">
            <a:effectLst/>
          </a:endParaRPr>
        </a:p>
      </xdr:txBody>
    </xdr:sp>
    <xdr:clientData/>
  </xdr:twoCellAnchor>
  <xdr:twoCellAnchor editAs="oneCell">
    <xdr:from>
      <xdr:col>1</xdr:col>
      <xdr:colOff>568604</xdr:colOff>
      <xdr:row>7</xdr:row>
      <xdr:rowOff>115956</xdr:rowOff>
    </xdr:from>
    <xdr:to>
      <xdr:col>4</xdr:col>
      <xdr:colOff>602973</xdr:colOff>
      <xdr:row>17</xdr:row>
      <xdr:rowOff>121339</xdr:rowOff>
    </xdr:to>
    <xdr:pic>
      <xdr:nvPicPr>
        <xdr:cNvPr id="6" name="Imagem 5" descr="https://upload.wikimedia.org/wikipedia/pt/9/91/Logotipo_da_Oi.png"/>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81517" y="1275521"/>
          <a:ext cx="1873108" cy="16619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9524</xdr:colOff>
      <xdr:row>0</xdr:row>
      <xdr:rowOff>0</xdr:rowOff>
    </xdr:from>
    <xdr:to>
      <xdr:col>15</xdr:col>
      <xdr:colOff>364433</xdr:colOff>
      <xdr:row>41</xdr:row>
      <xdr:rowOff>107674</xdr:rowOff>
    </xdr:to>
    <xdr:grpSp>
      <xdr:nvGrpSpPr>
        <xdr:cNvPr id="3" name="Grupo 2"/>
        <xdr:cNvGrpSpPr/>
      </xdr:nvGrpSpPr>
      <xdr:grpSpPr>
        <a:xfrm>
          <a:off x="9524" y="0"/>
          <a:ext cx="9498909" cy="6746599"/>
          <a:chOff x="9525" y="0"/>
          <a:chExt cx="8818908" cy="6447183"/>
        </a:xfrm>
      </xdr:grpSpPr>
      <xdr:pic>
        <xdr:nvPicPr>
          <xdr:cNvPr id="44157" name="Picture 4" descr="fundo_negocios.jp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 y="0"/>
            <a:ext cx="8818908" cy="64471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4158" name="Picture 4" descr="logo_11.png"/>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r="13863" b="16644"/>
          <a:stretch>
            <a:fillRect/>
          </a:stretch>
        </xdr:blipFill>
        <xdr:spPr bwMode="auto">
          <a:xfrm>
            <a:off x="3245540" y="1041538"/>
            <a:ext cx="5573368" cy="5396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7</xdr:col>
      <xdr:colOff>467966</xdr:colOff>
      <xdr:row>18</xdr:row>
      <xdr:rowOff>75371</xdr:rowOff>
    </xdr:from>
    <xdr:to>
      <xdr:col>15</xdr:col>
      <xdr:colOff>347869</xdr:colOff>
      <xdr:row>41</xdr:row>
      <xdr:rowOff>99391</xdr:rowOff>
    </xdr:to>
    <xdr:sp macro="" textlink="">
      <xdr:nvSpPr>
        <xdr:cNvPr id="11" name="CaixaDeTexto 10"/>
        <xdr:cNvSpPr txBox="1"/>
      </xdr:nvSpPr>
      <xdr:spPr>
        <a:xfrm>
          <a:off x="4758357" y="3057110"/>
          <a:ext cx="4783208" cy="3834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u="none" baseline="0"/>
            <a:t>- Este documento é de uso interno da Oi e não deve ser divulgado para entidades externas.</a:t>
          </a:r>
        </a:p>
        <a:p>
          <a:r>
            <a:rPr lang="pt-BR" sz="1200" b="1" u="none" baseline="0"/>
            <a:t>- Devem ser preenchidas apenas células que se encontram em verde. </a:t>
          </a:r>
        </a:p>
        <a:p>
          <a:r>
            <a:rPr lang="pt-BR" sz="1200" b="1" u="none" baseline="0"/>
            <a:t>- Os somatórios dos pesos dos itens deve ser sempre igual a 100% da seção equivalente.</a:t>
          </a:r>
        </a:p>
      </xdr:txBody>
    </xdr:sp>
    <xdr:clientData/>
  </xdr:twoCellAnchor>
  <xdr:twoCellAnchor>
    <xdr:from>
      <xdr:col>0</xdr:col>
      <xdr:colOff>190500</xdr:colOff>
      <xdr:row>1</xdr:row>
      <xdr:rowOff>152400</xdr:rowOff>
    </xdr:from>
    <xdr:to>
      <xdr:col>7</xdr:col>
      <xdr:colOff>104775</xdr:colOff>
      <xdr:row>8</xdr:row>
      <xdr:rowOff>0</xdr:rowOff>
    </xdr:to>
    <xdr:sp macro="" textlink="">
      <xdr:nvSpPr>
        <xdr:cNvPr id="7" name="CaixaDeTexto 6"/>
        <xdr:cNvSpPr txBox="1"/>
      </xdr:nvSpPr>
      <xdr:spPr>
        <a:xfrm>
          <a:off x="190500" y="314325"/>
          <a:ext cx="4181475" cy="981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3200" b="0">
              <a:solidFill>
                <a:schemeClr val="bg1"/>
              </a:solidFill>
            </a:rPr>
            <a:t>ORIENTAÇÕES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781050</xdr:colOff>
      <xdr:row>0</xdr:row>
      <xdr:rowOff>142875</xdr:rowOff>
    </xdr:from>
    <xdr:to>
      <xdr:col>10</xdr:col>
      <xdr:colOff>2419350</xdr:colOff>
      <xdr:row>2</xdr:row>
      <xdr:rowOff>133350</xdr:rowOff>
    </xdr:to>
    <xdr:sp macro="[0]!Exp_Req" textlink="">
      <xdr:nvSpPr>
        <xdr:cNvPr id="3" name="Retângulo de cantos arredondados 2"/>
        <xdr:cNvSpPr/>
      </xdr:nvSpPr>
      <xdr:spPr>
        <a:xfrm>
          <a:off x="10163175" y="142875"/>
          <a:ext cx="1638300" cy="361950"/>
        </a:xfrm>
        <a:prstGeom prst="round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200" b="1"/>
            <a:t>Exportar </a:t>
          </a:r>
          <a:r>
            <a:rPr lang="pt-BR" sz="1200" b="1" i="0" baseline="0"/>
            <a:t>Requisitos</a:t>
          </a:r>
        </a:p>
      </xdr:txBody>
    </xdr:sp>
    <xdr:clientData/>
  </xdr:twoCellAnchor>
  <xdr:twoCellAnchor editAs="oneCell">
    <xdr:from>
      <xdr:col>0</xdr:col>
      <xdr:colOff>152400</xdr:colOff>
      <xdr:row>0</xdr:row>
      <xdr:rowOff>123543</xdr:rowOff>
    </xdr:from>
    <xdr:to>
      <xdr:col>1</xdr:col>
      <xdr:colOff>148387</xdr:colOff>
      <xdr:row>3</xdr:row>
      <xdr:rowOff>185530</xdr:rowOff>
    </xdr:to>
    <xdr:pic>
      <xdr:nvPicPr>
        <xdr:cNvPr id="4" name="Imagem 3" descr="https://upload.wikimedia.org/wikipedia/pt/9/91/Logotipo_da_Oi.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123543"/>
          <a:ext cx="681787" cy="6049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103730\AppData\Local\Microsoft\Windows\Temporary%20Internet%20Files\Content.Outlook\4N2BJVCL\STI-Nome%20do%20Projeto%20-%20Planilha%20de%20Avaliac&#227;o%20de%20Proposta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ões"/>
      <sheetName val="Instruções"/>
      <sheetName val="Gráfico1"/>
      <sheetName val="Comparativo Resumido"/>
      <sheetName val="Comparativo Analítico 1"/>
      <sheetName val="Máximo"/>
      <sheetName val="Prop A"/>
      <sheetName val="Prop B"/>
      <sheetName val="2.2 - Requisitos Funcionais"/>
      <sheetName val="2.11 - Cláusulas Contratuais"/>
      <sheetName val="Parâmetros"/>
    </sheetNames>
    <sheetDataSet>
      <sheetData sheetId="0"/>
      <sheetData sheetId="1"/>
      <sheetData sheetId="2" refreshError="1"/>
      <sheetData sheetId="3"/>
      <sheetData sheetId="4"/>
      <sheetData sheetId="5"/>
      <sheetData sheetId="6"/>
      <sheetData sheetId="7"/>
      <sheetData sheetId="8"/>
      <sheetData sheetId="9"/>
      <sheetData sheetId="10">
        <row r="3">
          <cell r="B3" t="str">
            <v>Supera</v>
          </cell>
          <cell r="E3" t="str">
            <v>Atende</v>
          </cell>
          <cell r="G3" t="str">
            <v>Sim</v>
          </cell>
          <cell r="J3" t="str">
            <v>Zero</v>
          </cell>
          <cell r="M3" t="str">
            <v>Sim</v>
          </cell>
        </row>
        <row r="4">
          <cell r="B4" t="str">
            <v>Atende</v>
          </cell>
          <cell r="E4" t="str">
            <v>Não Atende</v>
          </cell>
          <cell r="G4" t="str">
            <v>Parcialmente</v>
          </cell>
          <cell r="J4" t="str">
            <v>Menor ou igual a 10%</v>
          </cell>
          <cell r="M4" t="str">
            <v>Não</v>
          </cell>
        </row>
        <row r="5">
          <cell r="B5" t="str">
            <v>Atende Parcialmente</v>
          </cell>
          <cell r="G5" t="str">
            <v>Não</v>
          </cell>
          <cell r="J5" t="str">
            <v>De 11% a 20%</v>
          </cell>
        </row>
        <row r="6">
          <cell r="B6" t="str">
            <v>Não Atende</v>
          </cell>
          <cell r="J6" t="str">
            <v>De 21% a 40%</v>
          </cell>
        </row>
        <row r="7">
          <cell r="J7" t="str">
            <v>De 41% a 60%</v>
          </cell>
        </row>
        <row r="8">
          <cell r="J8" t="str">
            <v>Superior a 61%</v>
          </cell>
        </row>
      </sheetData>
    </sheetDataSet>
  </externalBook>
</externalLink>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a:noFill/>
        <a:ln w="9525" cmpd="sng">
          <a:noFill/>
        </a:ln>
      </a:spPr>
      <a:bodyPr vertOverflow="clip" horzOverflow="clip" wrap="square" rtlCol="0" anchor="t"/>
      <a:lstStyle>
        <a:defPPr algn="ctr">
          <a:defRPr sz="2000" b="1">
            <a:solidFill>
              <a:schemeClr val="bg1"/>
            </a:solidFill>
          </a:defRPr>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
  <sheetViews>
    <sheetView showGridLines="0" showRowColHeaders="0" view="pageBreakPreview" zoomScale="115" zoomScaleNormal="100" zoomScaleSheetLayoutView="115" workbookViewId="0"/>
  </sheetViews>
  <sheetFormatPr defaultRowHeight="12.75" x14ac:dyDescent="0.2"/>
  <sheetData/>
  <dataConsolidate/>
  <pageMargins left="0.511811024" right="0.511811024" top="0.78740157499999996" bottom="0.78740157499999996" header="0.31496062000000002" footer="0.31496062000000002"/>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M22"/>
  <sheetViews>
    <sheetView showGridLines="0" showRowColHeaders="0" zoomScaleNormal="100" zoomScaleSheetLayoutView="100" workbookViewId="0"/>
  </sheetViews>
  <sheetFormatPr defaultRowHeight="12.75" x14ac:dyDescent="0.2"/>
  <sheetData>
    <row r="22" spans="13:13" x14ac:dyDescent="0.2">
      <c r="M22" s="1"/>
    </row>
  </sheetData>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dimension ref="A1:R222"/>
  <sheetViews>
    <sheetView showGridLines="0" tabSelected="1" topLeftCell="B1" zoomScale="90" zoomScaleNormal="90" workbookViewId="0"/>
  </sheetViews>
  <sheetFormatPr defaultRowHeight="12.75" x14ac:dyDescent="0.2"/>
  <cols>
    <col min="1" max="1" width="10.28515625" customWidth="1"/>
    <col min="2" max="2" width="20" customWidth="1"/>
    <col min="3" max="3" width="71.140625" customWidth="1"/>
    <col min="4" max="4" width="19.140625" style="13" customWidth="1"/>
    <col min="5" max="5" width="3.42578125" style="13" customWidth="1"/>
    <col min="6" max="6" width="19.140625" style="13" customWidth="1"/>
    <col min="7" max="7" width="22.42578125" style="13" bestFit="1" customWidth="1"/>
    <col min="8" max="8" width="28.140625" customWidth="1"/>
    <col min="9" max="9" width="19.5703125" customWidth="1"/>
    <col min="10" max="10" width="21.5703125" customWidth="1"/>
    <col min="11" max="11" width="36.85546875" style="56" customWidth="1"/>
    <col min="13" max="13" width="9.140625" style="57"/>
    <col min="14" max="14" width="23.7109375" hidden="1" customWidth="1"/>
    <col min="15" max="15" width="9.140625" hidden="1" customWidth="1"/>
    <col min="16" max="16" width="24.7109375" hidden="1" customWidth="1"/>
    <col min="17" max="17" width="0" hidden="1" customWidth="1"/>
    <col min="18" max="18" width="11.7109375" bestFit="1" customWidth="1"/>
  </cols>
  <sheetData>
    <row r="1" spans="1:18" x14ac:dyDescent="0.2">
      <c r="A1" s="14"/>
      <c r="B1" s="14"/>
      <c r="C1" s="5"/>
      <c r="D1" s="28"/>
      <c r="E1" s="28"/>
      <c r="F1" s="28"/>
      <c r="G1" s="28"/>
      <c r="H1" s="5"/>
      <c r="I1" s="5"/>
      <c r="J1" s="5"/>
      <c r="K1" s="55"/>
      <c r="N1" s="4" t="s">
        <v>2</v>
      </c>
      <c r="P1" s="4" t="s">
        <v>8</v>
      </c>
      <c r="R1" s="32" t="s">
        <v>82</v>
      </c>
    </row>
    <row r="2" spans="1:18" ht="15" x14ac:dyDescent="0.2">
      <c r="A2" s="14"/>
      <c r="B2" s="14"/>
      <c r="C2" s="15"/>
      <c r="D2" s="29"/>
      <c r="E2" s="29"/>
      <c r="F2" s="29"/>
      <c r="G2" s="29"/>
      <c r="H2" s="17"/>
      <c r="I2" s="5"/>
      <c r="J2" s="5"/>
      <c r="K2" s="55"/>
      <c r="N2" s="2" t="s">
        <v>3</v>
      </c>
      <c r="P2" s="3" t="s">
        <v>0</v>
      </c>
      <c r="R2" s="12" t="s">
        <v>15</v>
      </c>
    </row>
    <row r="3" spans="1:18" ht="15" x14ac:dyDescent="0.25">
      <c r="A3" s="14"/>
      <c r="B3" s="14"/>
      <c r="C3" s="16" t="s">
        <v>90</v>
      </c>
      <c r="D3" s="29"/>
      <c r="E3" s="29"/>
      <c r="F3" s="29"/>
      <c r="G3" s="29"/>
      <c r="H3" s="17"/>
      <c r="I3" s="5"/>
      <c r="J3" s="5"/>
      <c r="K3" s="55"/>
      <c r="N3" s="2" t="s">
        <v>4</v>
      </c>
      <c r="P3" s="12" t="s">
        <v>94</v>
      </c>
      <c r="R3" s="12" t="s">
        <v>14</v>
      </c>
    </row>
    <row r="4" spans="1:18" ht="15" x14ac:dyDescent="0.25">
      <c r="A4" s="14"/>
      <c r="B4" s="14"/>
      <c r="C4" s="18" t="s">
        <v>311</v>
      </c>
      <c r="D4" s="30"/>
      <c r="E4" s="30"/>
      <c r="F4" s="30"/>
      <c r="G4" s="30"/>
      <c r="H4" s="6"/>
      <c r="I4" s="6"/>
      <c r="J4" s="6"/>
      <c r="K4" s="6"/>
      <c r="N4" s="2" t="s">
        <v>5</v>
      </c>
      <c r="P4" s="12" t="s">
        <v>95</v>
      </c>
    </row>
    <row r="5" spans="1:18" ht="15" x14ac:dyDescent="0.2">
      <c r="A5" s="14"/>
      <c r="B5" s="14"/>
      <c r="C5" s="5"/>
      <c r="D5" s="28"/>
      <c r="E5" s="28"/>
      <c r="F5" s="28"/>
      <c r="G5" s="28"/>
      <c r="H5" s="6"/>
      <c r="I5" s="6"/>
      <c r="J5" s="6"/>
      <c r="K5" s="6"/>
      <c r="M5" s="58"/>
      <c r="N5" s="2" t="s">
        <v>6</v>
      </c>
      <c r="P5" s="2" t="s">
        <v>1</v>
      </c>
    </row>
    <row r="6" spans="1:18" ht="13.5" thickBot="1" x14ac:dyDescent="0.25">
      <c r="A6" s="14"/>
      <c r="B6" s="14"/>
      <c r="C6" s="7" t="s">
        <v>9</v>
      </c>
      <c r="D6" s="31"/>
      <c r="E6" s="31"/>
      <c r="F6" s="31"/>
      <c r="G6" s="31"/>
      <c r="H6" s="7" t="s">
        <v>10</v>
      </c>
      <c r="I6" s="5"/>
      <c r="J6" s="5"/>
      <c r="K6" s="55"/>
      <c r="N6" s="2" t="s">
        <v>7</v>
      </c>
    </row>
    <row r="7" spans="1:18" ht="26.25" thickBot="1" x14ac:dyDescent="0.25">
      <c r="A7" s="8" t="s">
        <v>11</v>
      </c>
      <c r="B7" s="8" t="s">
        <v>17</v>
      </c>
      <c r="C7" s="10" t="s">
        <v>18</v>
      </c>
      <c r="D7" s="24" t="s">
        <v>82</v>
      </c>
      <c r="E7" s="24" t="s">
        <v>291</v>
      </c>
      <c r="F7" s="24" t="s">
        <v>196</v>
      </c>
      <c r="G7" s="24" t="s">
        <v>91</v>
      </c>
      <c r="H7" s="9" t="s">
        <v>218</v>
      </c>
      <c r="I7" s="9" t="s">
        <v>2</v>
      </c>
      <c r="J7" s="10" t="s">
        <v>12</v>
      </c>
      <c r="K7" s="9" t="s">
        <v>13</v>
      </c>
    </row>
    <row r="8" spans="1:18" ht="38.25" x14ac:dyDescent="0.2">
      <c r="A8" s="22" t="str">
        <f>IF(LEFT(A7,2)="ID",CONCATENATE(MID($A$7,SEARCH(" ",$A$7)+1,10),"001"),CONCATENATE(MID($A$7,SEARCH(" ",$A$7)+1,10),TEXT(RIGHT(A7,3)+1,"000")))</f>
        <v>RQF001</v>
      </c>
      <c r="B8" s="27" t="s">
        <v>197</v>
      </c>
      <c r="C8" s="51" t="s">
        <v>236</v>
      </c>
      <c r="D8" s="27" t="s">
        <v>15</v>
      </c>
      <c r="E8" s="33" t="s">
        <v>292</v>
      </c>
      <c r="F8" s="27" t="s">
        <v>198</v>
      </c>
      <c r="G8" s="27" t="s">
        <v>96</v>
      </c>
      <c r="H8" s="34" t="s">
        <v>0</v>
      </c>
      <c r="I8" s="35"/>
      <c r="J8" s="36"/>
      <c r="K8" s="67" t="s">
        <v>321</v>
      </c>
    </row>
    <row r="9" spans="1:18" ht="38.25" x14ac:dyDescent="0.2">
      <c r="A9" s="22" t="str">
        <f t="shared" ref="A9:A27" si="0">IF(LEFT(A8,2)="ID",CONCATENATE(MID($A$7,SEARCH(" ",$A$7)+1,10),"001"),CONCATENATE(MID($A$7,SEARCH(" ",$A$7)+1,10),TEXT(RIGHT(A8,3)+1,"000")))</f>
        <v>RQF002</v>
      </c>
      <c r="B9" s="27" t="s">
        <v>197</v>
      </c>
      <c r="C9" s="52" t="s">
        <v>182</v>
      </c>
      <c r="D9" s="27" t="s">
        <v>15</v>
      </c>
      <c r="E9" s="37" t="s">
        <v>292</v>
      </c>
      <c r="F9" s="27" t="s">
        <v>198</v>
      </c>
      <c r="G9" s="27" t="s">
        <v>96</v>
      </c>
      <c r="H9" s="38" t="s">
        <v>0</v>
      </c>
      <c r="I9" s="39"/>
      <c r="J9" s="40"/>
      <c r="K9" s="42" t="s">
        <v>322</v>
      </c>
    </row>
    <row r="10" spans="1:18" ht="38.25" x14ac:dyDescent="0.2">
      <c r="A10" s="22" t="str">
        <f t="shared" si="0"/>
        <v>RQF003</v>
      </c>
      <c r="B10" s="27" t="s">
        <v>197</v>
      </c>
      <c r="C10" s="52" t="s">
        <v>240</v>
      </c>
      <c r="D10" s="27" t="s">
        <v>15</v>
      </c>
      <c r="E10" s="37" t="s">
        <v>292</v>
      </c>
      <c r="F10" s="27" t="s">
        <v>198</v>
      </c>
      <c r="G10" s="27" t="s">
        <v>96</v>
      </c>
      <c r="H10" s="34" t="s">
        <v>0</v>
      </c>
      <c r="I10" s="35"/>
      <c r="J10" s="36"/>
      <c r="K10" s="44" t="s">
        <v>323</v>
      </c>
    </row>
    <row r="11" spans="1:18" ht="51" x14ac:dyDescent="0.2">
      <c r="A11" s="22" t="str">
        <f t="shared" si="0"/>
        <v>RQF004</v>
      </c>
      <c r="B11" s="27" t="s">
        <v>197</v>
      </c>
      <c r="C11" s="52" t="s">
        <v>262</v>
      </c>
      <c r="D11" s="27" t="s">
        <v>15</v>
      </c>
      <c r="E11" s="37" t="s">
        <v>292</v>
      </c>
      <c r="F11" s="27" t="s">
        <v>199</v>
      </c>
      <c r="G11" s="27" t="s">
        <v>96</v>
      </c>
      <c r="H11" s="38" t="s">
        <v>0</v>
      </c>
      <c r="I11" s="39"/>
      <c r="J11" s="40"/>
      <c r="K11" s="44" t="s">
        <v>329</v>
      </c>
    </row>
    <row r="12" spans="1:18" ht="51" x14ac:dyDescent="0.2">
      <c r="A12" s="22" t="str">
        <f t="shared" si="0"/>
        <v>RQF005</v>
      </c>
      <c r="B12" s="27" t="s">
        <v>197</v>
      </c>
      <c r="C12" s="50" t="s">
        <v>201</v>
      </c>
      <c r="D12" s="27" t="s">
        <v>15</v>
      </c>
      <c r="E12" s="37" t="s">
        <v>292</v>
      </c>
      <c r="F12" s="27" t="s">
        <v>198</v>
      </c>
      <c r="G12" s="27" t="s">
        <v>96</v>
      </c>
      <c r="H12" s="19" t="s">
        <v>0</v>
      </c>
      <c r="I12" s="39"/>
      <c r="J12" s="21"/>
      <c r="K12" s="44" t="s">
        <v>321</v>
      </c>
    </row>
    <row r="13" spans="1:18" ht="38.25" x14ac:dyDescent="0.2">
      <c r="A13" s="22" t="str">
        <f t="shared" si="0"/>
        <v>RQF006</v>
      </c>
      <c r="B13" s="22" t="s">
        <v>197</v>
      </c>
      <c r="C13" s="48" t="s">
        <v>242</v>
      </c>
      <c r="D13" s="22" t="s">
        <v>15</v>
      </c>
      <c r="E13" s="37" t="s">
        <v>292</v>
      </c>
      <c r="F13" s="22" t="s">
        <v>198</v>
      </c>
      <c r="G13" s="22" t="s">
        <v>96</v>
      </c>
      <c r="H13" s="19" t="s">
        <v>0</v>
      </c>
      <c r="I13" s="39"/>
      <c r="J13" s="21"/>
      <c r="K13" s="44" t="s">
        <v>321</v>
      </c>
    </row>
    <row r="14" spans="1:18" ht="38.25" x14ac:dyDescent="0.2">
      <c r="A14" s="22" t="str">
        <f t="shared" si="0"/>
        <v>RQF007</v>
      </c>
      <c r="B14" s="27" t="s">
        <v>197</v>
      </c>
      <c r="C14" s="48" t="s">
        <v>263</v>
      </c>
      <c r="D14" s="27" t="s">
        <v>15</v>
      </c>
      <c r="E14" s="37" t="s">
        <v>292</v>
      </c>
      <c r="F14" s="27" t="s">
        <v>200</v>
      </c>
      <c r="G14" s="27" t="s">
        <v>96</v>
      </c>
      <c r="H14" s="19" t="s">
        <v>0</v>
      </c>
      <c r="I14" s="39"/>
      <c r="J14" s="21"/>
      <c r="K14" s="44" t="s">
        <v>325</v>
      </c>
      <c r="M14" s="58"/>
    </row>
    <row r="15" spans="1:18" ht="25.5" x14ac:dyDescent="0.2">
      <c r="A15" s="22" t="str">
        <f t="shared" si="0"/>
        <v>RQF008</v>
      </c>
      <c r="B15" s="27" t="s">
        <v>197</v>
      </c>
      <c r="C15" s="50" t="s">
        <v>241</v>
      </c>
      <c r="D15" s="27" t="s">
        <v>15</v>
      </c>
      <c r="E15" s="37" t="s">
        <v>292</v>
      </c>
      <c r="F15" s="27" t="s">
        <v>198</v>
      </c>
      <c r="G15" s="27" t="s">
        <v>96</v>
      </c>
      <c r="H15" s="19" t="s">
        <v>0</v>
      </c>
      <c r="I15" s="39"/>
      <c r="J15" s="21"/>
      <c r="K15" s="44" t="s">
        <v>326</v>
      </c>
    </row>
    <row r="16" spans="1:18" ht="53.25" customHeight="1" x14ac:dyDescent="0.2">
      <c r="A16" s="22" t="str">
        <f t="shared" si="0"/>
        <v>RQF009</v>
      </c>
      <c r="B16" s="27" t="s">
        <v>197</v>
      </c>
      <c r="C16" s="48" t="s">
        <v>214</v>
      </c>
      <c r="D16" s="27" t="s">
        <v>15</v>
      </c>
      <c r="E16" s="37" t="s">
        <v>292</v>
      </c>
      <c r="F16" s="27" t="s">
        <v>200</v>
      </c>
      <c r="G16" s="27" t="s">
        <v>96</v>
      </c>
      <c r="H16" s="19" t="s">
        <v>0</v>
      </c>
      <c r="I16" s="39"/>
      <c r="J16" s="21"/>
      <c r="K16" s="44" t="s">
        <v>312</v>
      </c>
    </row>
    <row r="17" spans="1:13" ht="51" x14ac:dyDescent="0.2">
      <c r="A17" s="22" t="str">
        <f t="shared" si="0"/>
        <v>RQF010</v>
      </c>
      <c r="B17" s="27" t="s">
        <v>197</v>
      </c>
      <c r="C17" s="48" t="s">
        <v>301</v>
      </c>
      <c r="D17" s="27" t="s">
        <v>15</v>
      </c>
      <c r="E17" s="37" t="s">
        <v>292</v>
      </c>
      <c r="F17" s="27" t="s">
        <v>200</v>
      </c>
      <c r="G17" s="27" t="s">
        <v>96</v>
      </c>
      <c r="H17" s="19" t="s">
        <v>0</v>
      </c>
      <c r="I17" s="39"/>
      <c r="J17" s="21"/>
      <c r="K17" s="44" t="s">
        <v>327</v>
      </c>
      <c r="M17" s="58"/>
    </row>
    <row r="18" spans="1:13" ht="63.75" x14ac:dyDescent="0.2">
      <c r="A18" s="22" t="str">
        <f t="shared" si="0"/>
        <v>RQF011</v>
      </c>
      <c r="B18" s="27" t="s">
        <v>197</v>
      </c>
      <c r="C18" s="48" t="s">
        <v>281</v>
      </c>
      <c r="D18" s="27" t="s">
        <v>15</v>
      </c>
      <c r="E18" s="37" t="s">
        <v>292</v>
      </c>
      <c r="F18" s="27" t="s">
        <v>200</v>
      </c>
      <c r="G18" s="27" t="s">
        <v>96</v>
      </c>
      <c r="H18" s="19" t="s">
        <v>0</v>
      </c>
      <c r="I18" s="39"/>
      <c r="J18" s="21"/>
      <c r="K18" s="44" t="s">
        <v>328</v>
      </c>
      <c r="M18" s="58"/>
    </row>
    <row r="19" spans="1:13" ht="25.5" x14ac:dyDescent="0.2">
      <c r="A19" s="22" t="str">
        <f t="shared" si="0"/>
        <v>RQF012</v>
      </c>
      <c r="B19" s="27" t="s">
        <v>203</v>
      </c>
      <c r="C19" s="47" t="s">
        <v>237</v>
      </c>
      <c r="D19" s="27" t="s">
        <v>15</v>
      </c>
      <c r="E19" s="37" t="s">
        <v>292</v>
      </c>
      <c r="F19" s="27" t="s">
        <v>198</v>
      </c>
      <c r="G19" s="27" t="s">
        <v>97</v>
      </c>
      <c r="H19" s="19" t="s">
        <v>0</v>
      </c>
      <c r="I19" s="39"/>
      <c r="J19" s="21"/>
      <c r="K19" s="44" t="s">
        <v>321</v>
      </c>
    </row>
    <row r="20" spans="1:13" ht="51" x14ac:dyDescent="0.2">
      <c r="A20" s="22" t="str">
        <f t="shared" si="0"/>
        <v>RQF013</v>
      </c>
      <c r="B20" s="27" t="s">
        <v>203</v>
      </c>
      <c r="C20" s="47" t="s">
        <v>243</v>
      </c>
      <c r="D20" s="27" t="s">
        <v>15</v>
      </c>
      <c r="E20" s="37" t="s">
        <v>292</v>
      </c>
      <c r="F20" s="27" t="s">
        <v>199</v>
      </c>
      <c r="G20" s="27" t="s">
        <v>97</v>
      </c>
      <c r="H20" s="19" t="s">
        <v>0</v>
      </c>
      <c r="I20" s="39"/>
      <c r="J20" s="21"/>
      <c r="K20" s="44" t="s">
        <v>329</v>
      </c>
    </row>
    <row r="21" spans="1:13" ht="38.25" x14ac:dyDescent="0.2">
      <c r="A21" s="22" t="str">
        <f t="shared" si="0"/>
        <v>RQF014</v>
      </c>
      <c r="B21" s="27" t="s">
        <v>203</v>
      </c>
      <c r="C21" s="47" t="s">
        <v>102</v>
      </c>
      <c r="D21" s="27" t="s">
        <v>15</v>
      </c>
      <c r="E21" s="37" t="s">
        <v>292</v>
      </c>
      <c r="F21" s="27" t="s">
        <v>202</v>
      </c>
      <c r="G21" s="27" t="s">
        <v>97</v>
      </c>
      <c r="H21" s="19" t="s">
        <v>0</v>
      </c>
      <c r="I21" s="39"/>
      <c r="J21" s="21"/>
      <c r="K21" s="44" t="s">
        <v>330</v>
      </c>
    </row>
    <row r="22" spans="1:13" ht="38.25" x14ac:dyDescent="0.2">
      <c r="A22" s="22" t="str">
        <f t="shared" si="0"/>
        <v>RQF015</v>
      </c>
      <c r="B22" s="27" t="s">
        <v>203</v>
      </c>
      <c r="C22" s="47" t="s">
        <v>103</v>
      </c>
      <c r="D22" s="27" t="s">
        <v>15</v>
      </c>
      <c r="E22" s="37" t="s">
        <v>292</v>
      </c>
      <c r="F22" s="27" t="s">
        <v>204</v>
      </c>
      <c r="G22" s="27" t="s">
        <v>97</v>
      </c>
      <c r="H22" s="19" t="s">
        <v>0</v>
      </c>
      <c r="I22" s="39"/>
      <c r="J22" s="21"/>
      <c r="K22" s="44" t="s">
        <v>324</v>
      </c>
    </row>
    <row r="23" spans="1:13" ht="51" x14ac:dyDescent="0.2">
      <c r="A23" s="22" t="str">
        <f t="shared" si="0"/>
        <v>RQF016</v>
      </c>
      <c r="B23" s="27" t="s">
        <v>203</v>
      </c>
      <c r="C23" s="47" t="s">
        <v>205</v>
      </c>
      <c r="D23" s="27" t="s">
        <v>15</v>
      </c>
      <c r="E23" s="37" t="s">
        <v>292</v>
      </c>
      <c r="F23" s="27" t="s">
        <v>206</v>
      </c>
      <c r="G23" s="27" t="s">
        <v>97</v>
      </c>
      <c r="H23" s="19" t="s">
        <v>0</v>
      </c>
      <c r="I23" s="39"/>
      <c r="J23" s="21"/>
      <c r="K23" s="26" t="s">
        <v>324</v>
      </c>
    </row>
    <row r="24" spans="1:13" ht="51" x14ac:dyDescent="0.2">
      <c r="A24" s="22" t="str">
        <f t="shared" si="0"/>
        <v>RQF017</v>
      </c>
      <c r="B24" s="22" t="s">
        <v>203</v>
      </c>
      <c r="C24" s="47" t="s">
        <v>244</v>
      </c>
      <c r="D24" s="22" t="s">
        <v>15</v>
      </c>
      <c r="E24" s="37" t="s">
        <v>292</v>
      </c>
      <c r="F24" s="22" t="s">
        <v>207</v>
      </c>
      <c r="G24" s="22" t="s">
        <v>97</v>
      </c>
      <c r="H24" s="19" t="s">
        <v>0</v>
      </c>
      <c r="I24" s="39"/>
      <c r="J24" s="21"/>
      <c r="K24" s="26" t="s">
        <v>324</v>
      </c>
    </row>
    <row r="25" spans="1:13" ht="38.25" x14ac:dyDescent="0.2">
      <c r="A25" s="22" t="str">
        <f t="shared" si="0"/>
        <v>RQF018</v>
      </c>
      <c r="B25" s="27" t="s">
        <v>203</v>
      </c>
      <c r="C25" s="48" t="s">
        <v>213</v>
      </c>
      <c r="D25" s="27" t="s">
        <v>15</v>
      </c>
      <c r="E25" s="37" t="s">
        <v>292</v>
      </c>
      <c r="F25" s="27" t="s">
        <v>200</v>
      </c>
      <c r="G25" s="27" t="s">
        <v>97</v>
      </c>
      <c r="H25" s="19" t="s">
        <v>0</v>
      </c>
      <c r="I25" s="39"/>
      <c r="J25" s="21"/>
      <c r="K25" s="44" t="s">
        <v>312</v>
      </c>
    </row>
    <row r="26" spans="1:13" ht="51" x14ac:dyDescent="0.2">
      <c r="A26" s="22" t="str">
        <f t="shared" si="0"/>
        <v>RQF019</v>
      </c>
      <c r="B26" s="22" t="s">
        <v>203</v>
      </c>
      <c r="C26" s="48" t="s">
        <v>245</v>
      </c>
      <c r="D26" s="22" t="s">
        <v>15</v>
      </c>
      <c r="E26" s="37" t="s">
        <v>292</v>
      </c>
      <c r="F26" s="22" t="s">
        <v>208</v>
      </c>
      <c r="G26" s="22" t="s">
        <v>97</v>
      </c>
      <c r="H26" s="19" t="s">
        <v>0</v>
      </c>
      <c r="I26" s="39"/>
      <c r="J26" s="21"/>
      <c r="K26" s="26" t="s">
        <v>324</v>
      </c>
    </row>
    <row r="27" spans="1:13" ht="38.25" x14ac:dyDescent="0.2">
      <c r="A27" s="22" t="str">
        <f t="shared" si="0"/>
        <v>RQF020</v>
      </c>
      <c r="B27" s="27" t="s">
        <v>203</v>
      </c>
      <c r="C27" s="48" t="s">
        <v>252</v>
      </c>
      <c r="D27" s="27" t="s">
        <v>15</v>
      </c>
      <c r="E27" s="37" t="s">
        <v>292</v>
      </c>
      <c r="F27" s="27" t="s">
        <v>209</v>
      </c>
      <c r="G27" s="27" t="s">
        <v>97</v>
      </c>
      <c r="H27" s="19" t="s">
        <v>0</v>
      </c>
      <c r="I27" s="39"/>
      <c r="J27" s="21"/>
      <c r="K27" s="26" t="s">
        <v>324</v>
      </c>
    </row>
    <row r="28" spans="1:13" ht="38.25" x14ac:dyDescent="0.2">
      <c r="A28" s="22" t="str">
        <f t="shared" ref="A28:A94" si="1">IF(LEFT(A27,2)="ID",CONCATENATE(MID($A$7,SEARCH(" ",$A$7)+1,10),"001"),CONCATENATE(MID($A$7,SEARCH(" ",$A$7)+1,10),TEXT(RIGHT(A27,3)+1,"000")))</f>
        <v>RQF021</v>
      </c>
      <c r="B28" s="27" t="s">
        <v>203</v>
      </c>
      <c r="C28" s="49" t="s">
        <v>293</v>
      </c>
      <c r="D28" s="27" t="s">
        <v>15</v>
      </c>
      <c r="E28" s="37" t="s">
        <v>292</v>
      </c>
      <c r="F28" s="27" t="s">
        <v>295</v>
      </c>
      <c r="G28" s="27" t="s">
        <v>97</v>
      </c>
      <c r="H28" s="19" t="s">
        <v>0</v>
      </c>
      <c r="I28" s="39"/>
      <c r="J28" s="21"/>
      <c r="K28" s="26" t="s">
        <v>324</v>
      </c>
    </row>
    <row r="29" spans="1:13" ht="38.25" x14ac:dyDescent="0.2">
      <c r="A29" s="22" t="str">
        <f t="shared" si="1"/>
        <v>RQF022</v>
      </c>
      <c r="B29" s="27" t="s">
        <v>203</v>
      </c>
      <c r="C29" s="49" t="s">
        <v>251</v>
      </c>
      <c r="D29" s="27" t="s">
        <v>15</v>
      </c>
      <c r="E29" s="37" t="s">
        <v>292</v>
      </c>
      <c r="F29" s="27" t="s">
        <v>210</v>
      </c>
      <c r="G29" s="27" t="s">
        <v>97</v>
      </c>
      <c r="H29" s="19" t="s">
        <v>0</v>
      </c>
      <c r="I29" s="39"/>
      <c r="J29" s="21"/>
      <c r="K29" s="26" t="s">
        <v>324</v>
      </c>
    </row>
    <row r="30" spans="1:13" ht="51" x14ac:dyDescent="0.2">
      <c r="A30" s="22" t="str">
        <f t="shared" si="1"/>
        <v>RQF023</v>
      </c>
      <c r="B30" s="27" t="s">
        <v>203</v>
      </c>
      <c r="C30" s="49" t="s">
        <v>306</v>
      </c>
      <c r="D30" s="27" t="s">
        <v>15</v>
      </c>
      <c r="E30" s="37" t="s">
        <v>292</v>
      </c>
      <c r="F30" s="27" t="s">
        <v>305</v>
      </c>
      <c r="G30" s="27" t="s">
        <v>97</v>
      </c>
      <c r="H30" s="19" t="s">
        <v>0</v>
      </c>
      <c r="I30" s="39"/>
      <c r="J30" s="21"/>
      <c r="K30" s="26" t="s">
        <v>324</v>
      </c>
    </row>
    <row r="31" spans="1:13" ht="38.25" x14ac:dyDescent="0.2">
      <c r="A31" s="22" t="str">
        <f t="shared" si="1"/>
        <v>RQF024</v>
      </c>
      <c r="B31" s="27" t="s">
        <v>211</v>
      </c>
      <c r="C31" s="47" t="s">
        <v>238</v>
      </c>
      <c r="D31" s="27" t="s">
        <v>15</v>
      </c>
      <c r="E31" s="37" t="s">
        <v>292</v>
      </c>
      <c r="F31" s="27" t="s">
        <v>198</v>
      </c>
      <c r="G31" s="27" t="s">
        <v>99</v>
      </c>
      <c r="H31" s="19" t="s">
        <v>0</v>
      </c>
      <c r="I31" s="39"/>
      <c r="J31" s="21"/>
      <c r="K31" s="44" t="s">
        <v>321</v>
      </c>
      <c r="M31" s="58"/>
    </row>
    <row r="32" spans="1:13" ht="51" x14ac:dyDescent="0.2">
      <c r="A32" s="22" t="str">
        <f t="shared" si="1"/>
        <v>RQF025</v>
      </c>
      <c r="B32" s="27" t="s">
        <v>211</v>
      </c>
      <c r="C32" s="47" t="s">
        <v>250</v>
      </c>
      <c r="D32" s="27" t="s">
        <v>15</v>
      </c>
      <c r="E32" s="37" t="s">
        <v>292</v>
      </c>
      <c r="F32" s="27" t="s">
        <v>199</v>
      </c>
      <c r="G32" s="27" t="s">
        <v>99</v>
      </c>
      <c r="H32" s="19" t="s">
        <v>0</v>
      </c>
      <c r="I32" s="39"/>
      <c r="J32" s="21"/>
      <c r="K32" s="44" t="s">
        <v>331</v>
      </c>
    </row>
    <row r="33" spans="1:13" ht="63.75" x14ac:dyDescent="0.2">
      <c r="A33" s="22" t="str">
        <f t="shared" si="1"/>
        <v>RQF026</v>
      </c>
      <c r="B33" s="27" t="s">
        <v>211</v>
      </c>
      <c r="C33" s="47" t="s">
        <v>246</v>
      </c>
      <c r="D33" s="27" t="s">
        <v>15</v>
      </c>
      <c r="E33" s="37" t="s">
        <v>292</v>
      </c>
      <c r="F33" s="27" t="s">
        <v>202</v>
      </c>
      <c r="G33" s="27" t="s">
        <v>99</v>
      </c>
      <c r="H33" s="19" t="s">
        <v>0</v>
      </c>
      <c r="I33" s="39"/>
      <c r="J33" s="21"/>
      <c r="K33" s="44" t="s">
        <v>332</v>
      </c>
    </row>
    <row r="34" spans="1:13" ht="63.75" x14ac:dyDescent="0.2">
      <c r="A34" s="22" t="str">
        <f t="shared" si="1"/>
        <v>RQF027</v>
      </c>
      <c r="B34" s="27" t="s">
        <v>211</v>
      </c>
      <c r="C34" s="47" t="s">
        <v>249</v>
      </c>
      <c r="D34" s="27" t="s">
        <v>15</v>
      </c>
      <c r="E34" s="37" t="s">
        <v>292</v>
      </c>
      <c r="F34" s="27" t="s">
        <v>204</v>
      </c>
      <c r="G34" s="27" t="s">
        <v>99</v>
      </c>
      <c r="H34" s="19" t="s">
        <v>0</v>
      </c>
      <c r="I34" s="39"/>
      <c r="J34" s="21"/>
      <c r="K34" s="44" t="s">
        <v>333</v>
      </c>
    </row>
    <row r="35" spans="1:13" ht="68.25" customHeight="1" x14ac:dyDescent="0.2">
      <c r="A35" s="22" t="str">
        <f t="shared" si="1"/>
        <v>RQF028</v>
      </c>
      <c r="B35" s="27" t="s">
        <v>211</v>
      </c>
      <c r="C35" s="47" t="s">
        <v>212</v>
      </c>
      <c r="D35" s="27" t="s">
        <v>15</v>
      </c>
      <c r="E35" s="37" t="s">
        <v>292</v>
      </c>
      <c r="F35" s="27" t="s">
        <v>206</v>
      </c>
      <c r="G35" s="27" t="s">
        <v>99</v>
      </c>
      <c r="H35" s="19" t="s">
        <v>0</v>
      </c>
      <c r="I35" s="39"/>
      <c r="J35" s="21"/>
      <c r="K35" s="44" t="s">
        <v>334</v>
      </c>
    </row>
    <row r="36" spans="1:13" ht="63.75" x14ac:dyDescent="0.2">
      <c r="A36" s="22" t="str">
        <f t="shared" si="1"/>
        <v>RQF029</v>
      </c>
      <c r="B36" s="27" t="s">
        <v>211</v>
      </c>
      <c r="C36" s="47" t="s">
        <v>253</v>
      </c>
      <c r="D36" s="27" t="s">
        <v>15</v>
      </c>
      <c r="E36" s="37" t="s">
        <v>292</v>
      </c>
      <c r="F36" s="27" t="s">
        <v>207</v>
      </c>
      <c r="G36" s="27" t="s">
        <v>99</v>
      </c>
      <c r="H36" s="19" t="s">
        <v>0</v>
      </c>
      <c r="I36" s="39"/>
      <c r="J36" s="21"/>
      <c r="K36" s="44" t="s">
        <v>335</v>
      </c>
    </row>
    <row r="37" spans="1:13" ht="63.75" x14ac:dyDescent="0.2">
      <c r="A37" s="22" t="str">
        <f t="shared" si="1"/>
        <v>RQF030</v>
      </c>
      <c r="B37" s="27" t="s">
        <v>211</v>
      </c>
      <c r="C37" s="48" t="s">
        <v>247</v>
      </c>
      <c r="D37" s="27" t="s">
        <v>15</v>
      </c>
      <c r="E37" s="37" t="s">
        <v>292</v>
      </c>
      <c r="F37" s="27" t="s">
        <v>200</v>
      </c>
      <c r="G37" s="27" t="s">
        <v>99</v>
      </c>
      <c r="H37" s="19" t="s">
        <v>0</v>
      </c>
      <c r="I37" s="39"/>
      <c r="J37" s="21"/>
      <c r="K37" s="44" t="s">
        <v>336</v>
      </c>
      <c r="M37" s="58"/>
    </row>
    <row r="38" spans="1:13" ht="51" x14ac:dyDescent="0.2">
      <c r="A38" s="22" t="str">
        <f t="shared" si="1"/>
        <v>RQF031</v>
      </c>
      <c r="B38" s="27" t="s">
        <v>211</v>
      </c>
      <c r="C38" s="48" t="s">
        <v>216</v>
      </c>
      <c r="D38" s="27" t="s">
        <v>15</v>
      </c>
      <c r="E38" s="37" t="s">
        <v>292</v>
      </c>
      <c r="F38" s="27" t="s">
        <v>208</v>
      </c>
      <c r="G38" s="27" t="s">
        <v>99</v>
      </c>
      <c r="H38" s="19" t="s">
        <v>0</v>
      </c>
      <c r="I38" s="39"/>
      <c r="J38" s="21"/>
      <c r="K38" s="44" t="s">
        <v>337</v>
      </c>
      <c r="M38" s="58"/>
    </row>
    <row r="39" spans="1:13" ht="51" x14ac:dyDescent="0.2">
      <c r="A39" s="22" t="str">
        <f t="shared" si="1"/>
        <v>RQF032</v>
      </c>
      <c r="B39" s="27" t="s">
        <v>211</v>
      </c>
      <c r="C39" s="48" t="s">
        <v>254</v>
      </c>
      <c r="D39" s="27" t="s">
        <v>15</v>
      </c>
      <c r="E39" s="37" t="s">
        <v>292</v>
      </c>
      <c r="F39" s="27" t="s">
        <v>209</v>
      </c>
      <c r="G39" s="27" t="s">
        <v>99</v>
      </c>
      <c r="H39" s="19" t="s">
        <v>0</v>
      </c>
      <c r="I39" s="39"/>
      <c r="J39" s="21"/>
      <c r="K39" s="44" t="s">
        <v>338</v>
      </c>
    </row>
    <row r="40" spans="1:13" ht="76.5" x14ac:dyDescent="0.2">
      <c r="A40" s="22" t="str">
        <f t="shared" si="1"/>
        <v>RQF033</v>
      </c>
      <c r="B40" s="27" t="s">
        <v>211</v>
      </c>
      <c r="C40" s="49" t="s">
        <v>294</v>
      </c>
      <c r="D40" s="27" t="s">
        <v>15</v>
      </c>
      <c r="E40" s="37" t="s">
        <v>292</v>
      </c>
      <c r="F40" s="27" t="s">
        <v>295</v>
      </c>
      <c r="G40" s="27" t="s">
        <v>99</v>
      </c>
      <c r="H40" s="19" t="s">
        <v>0</v>
      </c>
      <c r="I40" s="39"/>
      <c r="J40" s="21"/>
      <c r="K40" s="44" t="s">
        <v>339</v>
      </c>
    </row>
    <row r="41" spans="1:13" ht="51" x14ac:dyDescent="0.2">
      <c r="A41" s="22" t="str">
        <f t="shared" si="1"/>
        <v>RQF034</v>
      </c>
      <c r="B41" s="27" t="s">
        <v>211</v>
      </c>
      <c r="C41" s="49" t="s">
        <v>105</v>
      </c>
      <c r="D41" s="27" t="s">
        <v>15</v>
      </c>
      <c r="E41" s="37" t="s">
        <v>292</v>
      </c>
      <c r="F41" s="27" t="s">
        <v>210</v>
      </c>
      <c r="G41" s="27" t="s">
        <v>99</v>
      </c>
      <c r="H41" s="19" t="s">
        <v>0</v>
      </c>
      <c r="I41" s="39"/>
      <c r="J41" s="21"/>
      <c r="K41" s="44" t="s">
        <v>340</v>
      </c>
    </row>
    <row r="42" spans="1:13" ht="56.25" customHeight="1" x14ac:dyDescent="0.2">
      <c r="A42" s="22" t="str">
        <f t="shared" si="1"/>
        <v>RQF035</v>
      </c>
      <c r="B42" s="27" t="s">
        <v>211</v>
      </c>
      <c r="C42" s="49" t="s">
        <v>307</v>
      </c>
      <c r="D42" s="27" t="s">
        <v>15</v>
      </c>
      <c r="E42" s="37" t="s">
        <v>292</v>
      </c>
      <c r="F42" s="27" t="s">
        <v>305</v>
      </c>
      <c r="G42" s="27" t="s">
        <v>99</v>
      </c>
      <c r="H42" s="19" t="s">
        <v>0</v>
      </c>
      <c r="I42" s="39"/>
      <c r="J42" s="21"/>
      <c r="K42" s="44" t="s">
        <v>341</v>
      </c>
    </row>
    <row r="43" spans="1:13" ht="38.25" x14ac:dyDescent="0.2">
      <c r="A43" s="22" t="str">
        <f t="shared" si="1"/>
        <v>RQF036</v>
      </c>
      <c r="B43" s="27" t="s">
        <v>211</v>
      </c>
      <c r="C43" s="47" t="s">
        <v>283</v>
      </c>
      <c r="D43" s="27" t="s">
        <v>15</v>
      </c>
      <c r="E43" s="37" t="s">
        <v>292</v>
      </c>
      <c r="F43" s="27" t="s">
        <v>129</v>
      </c>
      <c r="G43" s="27" t="s">
        <v>99</v>
      </c>
      <c r="H43" s="19" t="s">
        <v>0</v>
      </c>
      <c r="I43" s="39"/>
      <c r="J43" s="21"/>
      <c r="K43" s="43" t="s">
        <v>342</v>
      </c>
    </row>
    <row r="44" spans="1:13" ht="25.5" x14ac:dyDescent="0.2">
      <c r="A44" s="22" t="str">
        <f>IF(LEFT(A41,2)="ID",CONCATENATE(MID($A$7,SEARCH(" ",$A$7)+1,10),"001"),CONCATENATE(MID($A$7,SEARCH(" ",$A$7)+1,10),TEXT(RIGHT(A41,3)+1,"000")))</f>
        <v>RQF035</v>
      </c>
      <c r="B44" s="27" t="s">
        <v>215</v>
      </c>
      <c r="C44" s="47" t="s">
        <v>239</v>
      </c>
      <c r="D44" s="27" t="s">
        <v>15</v>
      </c>
      <c r="E44" s="37" t="s">
        <v>292</v>
      </c>
      <c r="F44" s="27" t="s">
        <v>198</v>
      </c>
      <c r="G44" s="27" t="s">
        <v>98</v>
      </c>
      <c r="H44" s="19" t="s">
        <v>0</v>
      </c>
      <c r="I44" s="39"/>
      <c r="J44" s="21"/>
      <c r="K44" s="43" t="s">
        <v>343</v>
      </c>
    </row>
    <row r="45" spans="1:13" ht="25.5" x14ac:dyDescent="0.2">
      <c r="A45" s="22" t="str">
        <f t="shared" si="1"/>
        <v>RQF036</v>
      </c>
      <c r="B45" s="27" t="s">
        <v>215</v>
      </c>
      <c r="C45" s="47" t="s">
        <v>100</v>
      </c>
      <c r="D45" s="27" t="s">
        <v>15</v>
      </c>
      <c r="E45" s="37" t="s">
        <v>292</v>
      </c>
      <c r="F45" s="27" t="s">
        <v>199</v>
      </c>
      <c r="G45" s="27" t="s">
        <v>98</v>
      </c>
      <c r="H45" s="19" t="s">
        <v>0</v>
      </c>
      <c r="I45" s="39"/>
      <c r="J45" s="21"/>
      <c r="K45" s="43" t="s">
        <v>343</v>
      </c>
    </row>
    <row r="46" spans="1:13" ht="38.25" x14ac:dyDescent="0.2">
      <c r="A46" s="22" t="str">
        <f t="shared" si="1"/>
        <v>RQF037</v>
      </c>
      <c r="B46" s="27" t="s">
        <v>215</v>
      </c>
      <c r="C46" s="47" t="s">
        <v>101</v>
      </c>
      <c r="D46" s="27" t="s">
        <v>15</v>
      </c>
      <c r="E46" s="37" t="s">
        <v>292</v>
      </c>
      <c r="F46" s="27" t="s">
        <v>202</v>
      </c>
      <c r="G46" s="27" t="s">
        <v>98</v>
      </c>
      <c r="H46" s="19" t="s">
        <v>0</v>
      </c>
      <c r="I46" s="39"/>
      <c r="J46" s="21"/>
      <c r="K46" s="43" t="s">
        <v>343</v>
      </c>
    </row>
    <row r="47" spans="1:13" ht="38.25" x14ac:dyDescent="0.2">
      <c r="A47" s="22" t="str">
        <f t="shared" si="1"/>
        <v>RQF038</v>
      </c>
      <c r="B47" s="27" t="s">
        <v>215</v>
      </c>
      <c r="C47" s="47" t="s">
        <v>104</v>
      </c>
      <c r="D47" s="27" t="s">
        <v>15</v>
      </c>
      <c r="E47" s="37" t="s">
        <v>292</v>
      </c>
      <c r="F47" s="27" t="s">
        <v>204</v>
      </c>
      <c r="G47" s="27" t="s">
        <v>98</v>
      </c>
      <c r="H47" s="19" t="s">
        <v>0</v>
      </c>
      <c r="I47" s="39"/>
      <c r="J47" s="21"/>
      <c r="K47" s="43" t="s">
        <v>343</v>
      </c>
    </row>
    <row r="48" spans="1:13" ht="53.25" customHeight="1" x14ac:dyDescent="0.2">
      <c r="A48" s="22" t="str">
        <f t="shared" si="1"/>
        <v>RQF039</v>
      </c>
      <c r="B48" s="27" t="s">
        <v>215</v>
      </c>
      <c r="C48" s="47" t="s">
        <v>217</v>
      </c>
      <c r="D48" s="27" t="s">
        <v>15</v>
      </c>
      <c r="E48" s="37" t="s">
        <v>292</v>
      </c>
      <c r="F48" s="27" t="s">
        <v>206</v>
      </c>
      <c r="G48" s="27" t="s">
        <v>98</v>
      </c>
      <c r="H48" s="19" t="s">
        <v>0</v>
      </c>
      <c r="I48" s="39"/>
      <c r="J48" s="21"/>
      <c r="K48" s="43" t="s">
        <v>343</v>
      </c>
    </row>
    <row r="49" spans="1:13" ht="51" x14ac:dyDescent="0.2">
      <c r="A49" s="22" t="str">
        <f t="shared" si="1"/>
        <v>RQF040</v>
      </c>
      <c r="B49" s="27" t="s">
        <v>215</v>
      </c>
      <c r="C49" s="47" t="s">
        <v>248</v>
      </c>
      <c r="D49" s="27" t="s">
        <v>15</v>
      </c>
      <c r="E49" s="37" t="s">
        <v>292</v>
      </c>
      <c r="F49" s="27" t="s">
        <v>207</v>
      </c>
      <c r="G49" s="27" t="s">
        <v>98</v>
      </c>
      <c r="H49" s="19" t="s">
        <v>0</v>
      </c>
      <c r="I49" s="39"/>
      <c r="J49" s="21"/>
      <c r="K49" s="43" t="s">
        <v>343</v>
      </c>
    </row>
    <row r="50" spans="1:13" ht="51" x14ac:dyDescent="0.2">
      <c r="A50" s="22" t="str">
        <f t="shared" si="1"/>
        <v>RQF041</v>
      </c>
      <c r="B50" s="27" t="s">
        <v>215</v>
      </c>
      <c r="C50" s="48" t="s">
        <v>255</v>
      </c>
      <c r="D50" s="27" t="s">
        <v>15</v>
      </c>
      <c r="E50" s="37" t="s">
        <v>292</v>
      </c>
      <c r="F50" s="27" t="s">
        <v>200</v>
      </c>
      <c r="G50" s="27" t="s">
        <v>98</v>
      </c>
      <c r="H50" s="19" t="s">
        <v>0</v>
      </c>
      <c r="I50" s="39"/>
      <c r="J50" s="21"/>
      <c r="K50" s="43" t="s">
        <v>343</v>
      </c>
    </row>
    <row r="51" spans="1:13" ht="43.5" customHeight="1" x14ac:dyDescent="0.2">
      <c r="A51" s="22" t="str">
        <f t="shared" si="1"/>
        <v>RQF042</v>
      </c>
      <c r="B51" s="27" t="s">
        <v>215</v>
      </c>
      <c r="C51" s="48" t="s">
        <v>256</v>
      </c>
      <c r="D51" s="27" t="s">
        <v>15</v>
      </c>
      <c r="E51" s="37" t="s">
        <v>292</v>
      </c>
      <c r="F51" s="27" t="s">
        <v>208</v>
      </c>
      <c r="G51" s="27" t="s">
        <v>98</v>
      </c>
      <c r="H51" s="19" t="s">
        <v>0</v>
      </c>
      <c r="I51" s="39"/>
      <c r="J51" s="21"/>
      <c r="K51" s="43" t="s">
        <v>343</v>
      </c>
    </row>
    <row r="52" spans="1:13" ht="38.25" x14ac:dyDescent="0.2">
      <c r="A52" s="22" t="str">
        <f t="shared" si="1"/>
        <v>RQF043</v>
      </c>
      <c r="B52" s="27" t="s">
        <v>215</v>
      </c>
      <c r="C52" s="48" t="s">
        <v>257</v>
      </c>
      <c r="D52" s="27" t="s">
        <v>15</v>
      </c>
      <c r="E52" s="37" t="s">
        <v>292</v>
      </c>
      <c r="F52" s="27" t="s">
        <v>209</v>
      </c>
      <c r="G52" s="27" t="s">
        <v>98</v>
      </c>
      <c r="H52" s="19" t="s">
        <v>0</v>
      </c>
      <c r="I52" s="39"/>
      <c r="J52" s="21"/>
      <c r="K52" s="43" t="s">
        <v>343</v>
      </c>
    </row>
    <row r="53" spans="1:13" ht="38.25" x14ac:dyDescent="0.2">
      <c r="A53" s="22" t="str">
        <f t="shared" si="1"/>
        <v>RQF044</v>
      </c>
      <c r="B53" s="27" t="s">
        <v>215</v>
      </c>
      <c r="C53" s="49" t="s">
        <v>296</v>
      </c>
      <c r="D53" s="27" t="s">
        <v>15</v>
      </c>
      <c r="E53" s="37" t="s">
        <v>292</v>
      </c>
      <c r="F53" s="27" t="s">
        <v>295</v>
      </c>
      <c r="G53" s="27" t="s">
        <v>98</v>
      </c>
      <c r="H53" s="19" t="s">
        <v>0</v>
      </c>
      <c r="I53" s="39"/>
      <c r="J53" s="21"/>
      <c r="K53" s="43" t="s">
        <v>343</v>
      </c>
    </row>
    <row r="54" spans="1:13" ht="38.25" x14ac:dyDescent="0.2">
      <c r="A54" s="22" t="str">
        <f t="shared" si="1"/>
        <v>RQF045</v>
      </c>
      <c r="B54" s="27" t="s">
        <v>215</v>
      </c>
      <c r="C54" s="49" t="s">
        <v>106</v>
      </c>
      <c r="D54" s="27" t="s">
        <v>15</v>
      </c>
      <c r="E54" s="37" t="s">
        <v>292</v>
      </c>
      <c r="F54" s="27" t="s">
        <v>210</v>
      </c>
      <c r="G54" s="27" t="s">
        <v>98</v>
      </c>
      <c r="H54" s="19" t="s">
        <v>0</v>
      </c>
      <c r="I54" s="39"/>
      <c r="J54" s="21"/>
      <c r="K54" s="43" t="s">
        <v>343</v>
      </c>
    </row>
    <row r="55" spans="1:13" ht="43.5" customHeight="1" x14ac:dyDescent="0.2">
      <c r="A55" s="22" t="str">
        <f t="shared" si="1"/>
        <v>RQF046</v>
      </c>
      <c r="B55" s="27" t="s">
        <v>215</v>
      </c>
      <c r="C55" s="49" t="s">
        <v>308</v>
      </c>
      <c r="D55" s="27" t="s">
        <v>15</v>
      </c>
      <c r="E55" s="37" t="s">
        <v>292</v>
      </c>
      <c r="F55" s="27" t="s">
        <v>305</v>
      </c>
      <c r="G55" s="27" t="s">
        <v>98</v>
      </c>
      <c r="H55" s="19" t="s">
        <v>0</v>
      </c>
      <c r="I55" s="39"/>
      <c r="J55" s="21"/>
      <c r="K55" s="42" t="s">
        <v>343</v>
      </c>
    </row>
    <row r="56" spans="1:13" ht="38.25" x14ac:dyDescent="0.2">
      <c r="A56" s="22" t="str">
        <f t="shared" si="1"/>
        <v>RQF047</v>
      </c>
      <c r="B56" s="27" t="s">
        <v>117</v>
      </c>
      <c r="C56" s="49" t="s">
        <v>258</v>
      </c>
      <c r="D56" s="27" t="s">
        <v>15</v>
      </c>
      <c r="E56" s="37"/>
      <c r="F56" s="27" t="s">
        <v>129</v>
      </c>
      <c r="G56" s="27" t="s">
        <v>97</v>
      </c>
      <c r="H56" s="19" t="s">
        <v>0</v>
      </c>
      <c r="I56" s="39"/>
      <c r="J56" s="21"/>
      <c r="K56" s="26" t="s">
        <v>344</v>
      </c>
    </row>
    <row r="57" spans="1:13" ht="51" x14ac:dyDescent="0.2">
      <c r="A57" s="22" t="str">
        <f t="shared" si="1"/>
        <v>RQF048</v>
      </c>
      <c r="B57" s="27" t="s">
        <v>118</v>
      </c>
      <c r="C57" s="46" t="s">
        <v>265</v>
      </c>
      <c r="D57" s="27" t="s">
        <v>15</v>
      </c>
      <c r="E57" s="37"/>
      <c r="F57" s="27" t="s">
        <v>129</v>
      </c>
      <c r="G57" s="27" t="s">
        <v>97</v>
      </c>
      <c r="H57" s="19" t="s">
        <v>0</v>
      </c>
      <c r="I57" s="39"/>
      <c r="J57" s="21"/>
      <c r="K57" s="26" t="s">
        <v>344</v>
      </c>
    </row>
    <row r="58" spans="1:13" ht="51" x14ac:dyDescent="0.2">
      <c r="A58" s="22" t="str">
        <f t="shared" si="1"/>
        <v>RQF049</v>
      </c>
      <c r="B58" s="27" t="s">
        <v>119</v>
      </c>
      <c r="C58" s="46" t="s">
        <v>266</v>
      </c>
      <c r="D58" s="27" t="s">
        <v>15</v>
      </c>
      <c r="E58" s="37"/>
      <c r="F58" s="27" t="s">
        <v>129</v>
      </c>
      <c r="G58" s="27" t="s">
        <v>97</v>
      </c>
      <c r="H58" s="19" t="s">
        <v>0</v>
      </c>
      <c r="I58" s="39"/>
      <c r="J58" s="21"/>
      <c r="K58" s="26" t="s">
        <v>344</v>
      </c>
    </row>
    <row r="59" spans="1:13" ht="55.5" customHeight="1" x14ac:dyDescent="0.2">
      <c r="A59" s="22" t="str">
        <f t="shared" si="1"/>
        <v>RQF050</v>
      </c>
      <c r="B59" s="27" t="s">
        <v>142</v>
      </c>
      <c r="C59" s="49" t="s">
        <v>225</v>
      </c>
      <c r="D59" s="27" t="s">
        <v>15</v>
      </c>
      <c r="E59" s="37" t="s">
        <v>292</v>
      </c>
      <c r="F59" s="27" t="s">
        <v>129</v>
      </c>
      <c r="G59" s="27" t="s">
        <v>97</v>
      </c>
      <c r="H59" s="19" t="s">
        <v>0</v>
      </c>
      <c r="I59" s="39"/>
      <c r="J59" s="21"/>
      <c r="K59" s="44" t="s">
        <v>345</v>
      </c>
      <c r="M59" s="58"/>
    </row>
    <row r="60" spans="1:13" ht="38.25" x14ac:dyDescent="0.2">
      <c r="A60" s="22" t="str">
        <f t="shared" si="1"/>
        <v>RQF051</v>
      </c>
      <c r="B60" s="27" t="s">
        <v>107</v>
      </c>
      <c r="C60" s="45" t="s">
        <v>226</v>
      </c>
      <c r="D60" s="27" t="s">
        <v>15</v>
      </c>
      <c r="E60" s="37" t="s">
        <v>292</v>
      </c>
      <c r="F60" s="27" t="s">
        <v>129</v>
      </c>
      <c r="G60" s="27" t="s">
        <v>99</v>
      </c>
      <c r="H60" s="19" t="s">
        <v>0</v>
      </c>
      <c r="I60" s="39"/>
      <c r="J60" s="21"/>
      <c r="K60" s="42" t="s">
        <v>346</v>
      </c>
    </row>
    <row r="61" spans="1:13" ht="38.25" x14ac:dyDescent="0.2">
      <c r="A61" s="22" t="str">
        <f t="shared" si="1"/>
        <v>RQF052</v>
      </c>
      <c r="B61" s="27" t="s">
        <v>131</v>
      </c>
      <c r="C61" s="45" t="s">
        <v>136</v>
      </c>
      <c r="D61" s="27" t="s">
        <v>14</v>
      </c>
      <c r="E61" s="37"/>
      <c r="F61" s="27" t="s">
        <v>129</v>
      </c>
      <c r="G61" s="27" t="s">
        <v>97</v>
      </c>
      <c r="H61" s="19" t="s">
        <v>1</v>
      </c>
      <c r="I61" s="20"/>
      <c r="J61" s="21"/>
      <c r="K61" s="44" t="s">
        <v>347</v>
      </c>
      <c r="M61" s="58"/>
    </row>
    <row r="62" spans="1:13" ht="25.5" x14ac:dyDescent="0.2">
      <c r="A62" s="22" t="str">
        <f t="shared" si="1"/>
        <v>RQF053</v>
      </c>
      <c r="B62" s="27" t="s">
        <v>108</v>
      </c>
      <c r="C62" s="45" t="s">
        <v>126</v>
      </c>
      <c r="D62" s="27" t="s">
        <v>15</v>
      </c>
      <c r="E62" s="37" t="s">
        <v>292</v>
      </c>
      <c r="F62" s="27" t="s">
        <v>129</v>
      </c>
      <c r="G62" s="27" t="s">
        <v>99</v>
      </c>
      <c r="H62" s="19" t="s">
        <v>0</v>
      </c>
      <c r="I62" s="20"/>
      <c r="J62" s="21"/>
      <c r="K62" s="44" t="s">
        <v>365</v>
      </c>
    </row>
    <row r="63" spans="1:13" ht="42" customHeight="1" x14ac:dyDescent="0.2">
      <c r="A63" s="22" t="str">
        <f t="shared" si="1"/>
        <v>RQF054</v>
      </c>
      <c r="B63" s="27" t="s">
        <v>143</v>
      </c>
      <c r="C63" s="45" t="s">
        <v>125</v>
      </c>
      <c r="D63" s="27" t="s">
        <v>15</v>
      </c>
      <c r="E63" s="37" t="s">
        <v>292</v>
      </c>
      <c r="F63" s="27" t="s">
        <v>129</v>
      </c>
      <c r="G63" s="27" t="s">
        <v>99</v>
      </c>
      <c r="H63" s="19" t="s">
        <v>0</v>
      </c>
      <c r="I63" s="20"/>
      <c r="J63" s="21"/>
      <c r="K63" s="44" t="s">
        <v>348</v>
      </c>
    </row>
    <row r="64" spans="1:13" ht="25.5" x14ac:dyDescent="0.2">
      <c r="A64" s="22" t="str">
        <f t="shared" si="1"/>
        <v>RQF055</v>
      </c>
      <c r="B64" s="27" t="s">
        <v>127</v>
      </c>
      <c r="C64" s="45" t="s">
        <v>128</v>
      </c>
      <c r="D64" s="27" t="s">
        <v>15</v>
      </c>
      <c r="E64" s="37" t="s">
        <v>292</v>
      </c>
      <c r="F64" s="27" t="s">
        <v>129</v>
      </c>
      <c r="G64" s="27" t="s">
        <v>99</v>
      </c>
      <c r="H64" s="19" t="s">
        <v>0</v>
      </c>
      <c r="I64" s="20"/>
      <c r="J64" s="21"/>
      <c r="K64" s="44" t="s">
        <v>349</v>
      </c>
    </row>
    <row r="65" spans="1:13" ht="25.5" x14ac:dyDescent="0.2">
      <c r="A65" s="22" t="str">
        <f t="shared" si="1"/>
        <v>RQF056</v>
      </c>
      <c r="B65" s="27" t="s">
        <v>228</v>
      </c>
      <c r="C65" s="45" t="s">
        <v>227</v>
      </c>
      <c r="D65" s="27" t="s">
        <v>15</v>
      </c>
      <c r="E65" s="37" t="s">
        <v>292</v>
      </c>
      <c r="F65" s="27" t="s">
        <v>129</v>
      </c>
      <c r="G65" s="27" t="s">
        <v>98</v>
      </c>
      <c r="H65" s="19" t="s">
        <v>0</v>
      </c>
      <c r="I65" s="20"/>
      <c r="J65" s="21"/>
      <c r="K65" s="44" t="s">
        <v>326</v>
      </c>
    </row>
    <row r="66" spans="1:13" ht="38.25" x14ac:dyDescent="0.2">
      <c r="A66" s="22" t="str">
        <f t="shared" si="1"/>
        <v>RQF057</v>
      </c>
      <c r="B66" s="27" t="s">
        <v>144</v>
      </c>
      <c r="C66" s="49" t="s">
        <v>181</v>
      </c>
      <c r="D66" s="27" t="s">
        <v>15</v>
      </c>
      <c r="E66" s="37" t="s">
        <v>292</v>
      </c>
      <c r="F66" s="27" t="s">
        <v>129</v>
      </c>
      <c r="G66" s="27" t="s">
        <v>96</v>
      </c>
      <c r="H66" s="19" t="s">
        <v>0</v>
      </c>
      <c r="I66" s="20"/>
      <c r="J66" s="21"/>
      <c r="K66" s="44" t="s">
        <v>350</v>
      </c>
      <c r="M66" s="58"/>
    </row>
    <row r="67" spans="1:13" ht="63.75" x14ac:dyDescent="0.2">
      <c r="A67" s="22" t="str">
        <f t="shared" si="1"/>
        <v>RQF058</v>
      </c>
      <c r="B67" s="27" t="s">
        <v>130</v>
      </c>
      <c r="C67" s="45" t="s">
        <v>289</v>
      </c>
      <c r="D67" s="27" t="s">
        <v>15</v>
      </c>
      <c r="E67" s="37" t="s">
        <v>292</v>
      </c>
      <c r="F67" s="27" t="s">
        <v>129</v>
      </c>
      <c r="G67" s="27" t="s">
        <v>129</v>
      </c>
      <c r="H67" s="19" t="s">
        <v>0</v>
      </c>
      <c r="I67" s="20"/>
      <c r="J67" s="21"/>
      <c r="K67" s="44" t="s">
        <v>351</v>
      </c>
    </row>
    <row r="68" spans="1:13" ht="51" x14ac:dyDescent="0.2">
      <c r="A68" s="22" t="str">
        <f t="shared" si="1"/>
        <v>RQF059</v>
      </c>
      <c r="B68" s="27" t="s">
        <v>284</v>
      </c>
      <c r="C68" s="45" t="s">
        <v>285</v>
      </c>
      <c r="D68" s="27" t="s">
        <v>15</v>
      </c>
      <c r="E68" s="37" t="s">
        <v>292</v>
      </c>
      <c r="F68" s="27" t="s">
        <v>129</v>
      </c>
      <c r="G68" s="27" t="s">
        <v>129</v>
      </c>
      <c r="H68" s="19" t="s">
        <v>0</v>
      </c>
      <c r="I68" s="20"/>
      <c r="J68" s="21"/>
      <c r="K68" s="44" t="s">
        <v>348</v>
      </c>
    </row>
    <row r="69" spans="1:13" ht="51" x14ac:dyDescent="0.2">
      <c r="A69" s="22" t="str">
        <f t="shared" si="1"/>
        <v>RQF060</v>
      </c>
      <c r="B69" s="27" t="s">
        <v>109</v>
      </c>
      <c r="C69" s="45" t="s">
        <v>261</v>
      </c>
      <c r="D69" s="27" t="s">
        <v>15</v>
      </c>
      <c r="E69" s="37" t="s">
        <v>292</v>
      </c>
      <c r="F69" s="27" t="s">
        <v>129</v>
      </c>
      <c r="G69" s="27" t="s">
        <v>129</v>
      </c>
      <c r="H69" s="19" t="s">
        <v>0</v>
      </c>
      <c r="I69" s="20"/>
      <c r="J69" s="21"/>
      <c r="K69" s="44" t="s">
        <v>348</v>
      </c>
    </row>
    <row r="70" spans="1:13" ht="38.25" x14ac:dyDescent="0.2">
      <c r="A70" s="22" t="str">
        <f t="shared" si="1"/>
        <v>RQF061</v>
      </c>
      <c r="B70" s="27" t="s">
        <v>124</v>
      </c>
      <c r="C70" s="45" t="s">
        <v>280</v>
      </c>
      <c r="D70" s="27" t="s">
        <v>15</v>
      </c>
      <c r="E70" s="37" t="s">
        <v>292</v>
      </c>
      <c r="F70" s="27" t="s">
        <v>129</v>
      </c>
      <c r="G70" s="27" t="s">
        <v>129</v>
      </c>
      <c r="H70" s="19" t="s">
        <v>0</v>
      </c>
      <c r="I70" s="20"/>
      <c r="J70" s="21"/>
      <c r="K70" s="44" t="s">
        <v>352</v>
      </c>
    </row>
    <row r="71" spans="1:13" ht="63.75" customHeight="1" x14ac:dyDescent="0.2">
      <c r="A71" s="22" t="str">
        <f t="shared" si="1"/>
        <v>RQF062</v>
      </c>
      <c r="B71" s="27" t="s">
        <v>111</v>
      </c>
      <c r="C71" s="45" t="s">
        <v>303</v>
      </c>
      <c r="D71" s="27" t="s">
        <v>15</v>
      </c>
      <c r="E71" s="37" t="s">
        <v>292</v>
      </c>
      <c r="F71" s="27" t="s">
        <v>129</v>
      </c>
      <c r="G71" s="27" t="s">
        <v>129</v>
      </c>
      <c r="H71" s="19" t="s">
        <v>0</v>
      </c>
      <c r="I71" s="20"/>
      <c r="J71" s="21"/>
      <c r="K71" s="44" t="s">
        <v>353</v>
      </c>
    </row>
    <row r="72" spans="1:13" ht="38.25" x14ac:dyDescent="0.2">
      <c r="A72" s="22" t="str">
        <f t="shared" si="1"/>
        <v>RQF063</v>
      </c>
      <c r="B72" s="27" t="s">
        <v>110</v>
      </c>
      <c r="C72" s="45" t="s">
        <v>304</v>
      </c>
      <c r="D72" s="27" t="s">
        <v>15</v>
      </c>
      <c r="E72" s="37" t="s">
        <v>292</v>
      </c>
      <c r="F72" s="27" t="s">
        <v>129</v>
      </c>
      <c r="G72" s="27" t="s">
        <v>97</v>
      </c>
      <c r="H72" s="19" t="s">
        <v>0</v>
      </c>
      <c r="I72" s="20"/>
      <c r="J72" s="21"/>
      <c r="K72" s="44" t="s">
        <v>353</v>
      </c>
    </row>
    <row r="73" spans="1:13" ht="25.5" x14ac:dyDescent="0.2">
      <c r="A73" s="22" t="str">
        <f t="shared" si="1"/>
        <v>RQF064</v>
      </c>
      <c r="B73" s="27" t="s">
        <v>174</v>
      </c>
      <c r="C73" s="45" t="s">
        <v>229</v>
      </c>
      <c r="D73" s="27" t="s">
        <v>15</v>
      </c>
      <c r="E73" s="37" t="s">
        <v>292</v>
      </c>
      <c r="F73" s="27" t="s">
        <v>129</v>
      </c>
      <c r="G73" s="27" t="s">
        <v>99</v>
      </c>
      <c r="H73" s="19" t="s">
        <v>0</v>
      </c>
      <c r="I73" s="20"/>
      <c r="J73" s="21"/>
      <c r="K73" s="44" t="s">
        <v>354</v>
      </c>
    </row>
    <row r="74" spans="1:13" ht="25.5" x14ac:dyDescent="0.2">
      <c r="A74" s="22" t="str">
        <f t="shared" si="1"/>
        <v>RQF065</v>
      </c>
      <c r="B74" s="27" t="s">
        <v>121</v>
      </c>
      <c r="C74" s="45" t="s">
        <v>230</v>
      </c>
      <c r="D74" s="27" t="s">
        <v>15</v>
      </c>
      <c r="E74" s="37" t="s">
        <v>292</v>
      </c>
      <c r="F74" s="27" t="s">
        <v>129</v>
      </c>
      <c r="G74" s="27" t="s">
        <v>99</v>
      </c>
      <c r="H74" s="19" t="s">
        <v>0</v>
      </c>
      <c r="I74" s="20"/>
      <c r="J74" s="21"/>
      <c r="K74" s="44" t="s">
        <v>354</v>
      </c>
    </row>
    <row r="75" spans="1:13" ht="25.5" x14ac:dyDescent="0.2">
      <c r="A75" s="22" t="str">
        <f t="shared" si="1"/>
        <v>RQF066</v>
      </c>
      <c r="B75" s="27" t="s">
        <v>276</v>
      </c>
      <c r="C75" s="45" t="s">
        <v>278</v>
      </c>
      <c r="D75" s="27" t="s">
        <v>15</v>
      </c>
      <c r="E75" s="37" t="s">
        <v>292</v>
      </c>
      <c r="F75" s="27" t="s">
        <v>129</v>
      </c>
      <c r="G75" s="27" t="s">
        <v>99</v>
      </c>
      <c r="H75" s="19" t="s">
        <v>0</v>
      </c>
      <c r="I75" s="20"/>
      <c r="J75" s="21"/>
      <c r="K75" s="44" t="s">
        <v>355</v>
      </c>
    </row>
    <row r="76" spans="1:13" ht="25.5" x14ac:dyDescent="0.2">
      <c r="A76" s="22" t="str">
        <f t="shared" si="1"/>
        <v>RQF067</v>
      </c>
      <c r="B76" s="27" t="s">
        <v>277</v>
      </c>
      <c r="C76" s="45" t="s">
        <v>279</v>
      </c>
      <c r="D76" s="27" t="s">
        <v>15</v>
      </c>
      <c r="E76" s="37" t="s">
        <v>292</v>
      </c>
      <c r="F76" s="27" t="s">
        <v>129</v>
      </c>
      <c r="G76" s="27" t="s">
        <v>99</v>
      </c>
      <c r="H76" s="19" t="s">
        <v>0</v>
      </c>
      <c r="I76" s="20"/>
      <c r="J76" s="21"/>
      <c r="K76" s="44" t="s">
        <v>356</v>
      </c>
    </row>
    <row r="77" spans="1:13" ht="25.5" x14ac:dyDescent="0.2">
      <c r="A77" s="22" t="str">
        <f t="shared" si="1"/>
        <v>RQF068</v>
      </c>
      <c r="B77" s="27" t="s">
        <v>113</v>
      </c>
      <c r="C77" s="45" t="s">
        <v>122</v>
      </c>
      <c r="D77" s="27" t="s">
        <v>15</v>
      </c>
      <c r="E77" s="37" t="s">
        <v>292</v>
      </c>
      <c r="F77" s="27" t="s">
        <v>129</v>
      </c>
      <c r="G77" s="27" t="s">
        <v>99</v>
      </c>
      <c r="H77" s="19" t="s">
        <v>0</v>
      </c>
      <c r="I77" s="20"/>
      <c r="J77" s="21"/>
      <c r="K77" s="44" t="s">
        <v>357</v>
      </c>
    </row>
    <row r="78" spans="1:13" ht="51" x14ac:dyDescent="0.2">
      <c r="A78" s="22" t="str">
        <f t="shared" si="1"/>
        <v>RQF069</v>
      </c>
      <c r="B78" s="27" t="s">
        <v>146</v>
      </c>
      <c r="C78" s="45" t="s">
        <v>231</v>
      </c>
      <c r="D78" s="27" t="s">
        <v>15</v>
      </c>
      <c r="E78" s="37" t="s">
        <v>292</v>
      </c>
      <c r="F78" s="27" t="s">
        <v>129</v>
      </c>
      <c r="G78" s="27" t="s">
        <v>99</v>
      </c>
      <c r="H78" s="19" t="s">
        <v>1</v>
      </c>
      <c r="I78" s="20"/>
      <c r="J78" s="21"/>
      <c r="K78" s="42" t="s">
        <v>315</v>
      </c>
      <c r="M78" s="58"/>
    </row>
    <row r="79" spans="1:13" ht="38.25" x14ac:dyDescent="0.2">
      <c r="A79" s="22" t="str">
        <f t="shared" si="1"/>
        <v>RQF070</v>
      </c>
      <c r="B79" s="27" t="s">
        <v>114</v>
      </c>
      <c r="C79" s="45" t="s">
        <v>264</v>
      </c>
      <c r="D79" s="27" t="s">
        <v>15</v>
      </c>
      <c r="E79" s="37"/>
      <c r="F79" s="27" t="s">
        <v>129</v>
      </c>
      <c r="G79" s="27" t="s">
        <v>99</v>
      </c>
      <c r="H79" s="19" t="s">
        <v>0</v>
      </c>
      <c r="I79" s="20"/>
      <c r="J79" s="21"/>
      <c r="K79" s="44" t="s">
        <v>358</v>
      </c>
    </row>
    <row r="80" spans="1:13" ht="38.25" x14ac:dyDescent="0.2">
      <c r="A80" s="22" t="str">
        <f t="shared" si="1"/>
        <v>RQF071</v>
      </c>
      <c r="B80" s="27" t="s">
        <v>115</v>
      </c>
      <c r="C80" s="45" t="s">
        <v>267</v>
      </c>
      <c r="D80" s="27" t="s">
        <v>15</v>
      </c>
      <c r="E80" s="37"/>
      <c r="F80" s="27" t="s">
        <v>129</v>
      </c>
      <c r="G80" s="27" t="s">
        <v>99</v>
      </c>
      <c r="H80" s="19" t="s">
        <v>0</v>
      </c>
      <c r="I80" s="20"/>
      <c r="J80" s="21"/>
      <c r="K80" s="44" t="s">
        <v>359</v>
      </c>
    </row>
    <row r="81" spans="1:13" ht="25.5" x14ac:dyDescent="0.2">
      <c r="A81" s="22" t="str">
        <f t="shared" si="1"/>
        <v>RQF072</v>
      </c>
      <c r="B81" s="27" t="s">
        <v>137</v>
      </c>
      <c r="C81" s="45" t="s">
        <v>138</v>
      </c>
      <c r="D81" s="27" t="s">
        <v>15</v>
      </c>
      <c r="E81" s="37"/>
      <c r="F81" s="27" t="s">
        <v>129</v>
      </c>
      <c r="G81" s="27" t="s">
        <v>99</v>
      </c>
      <c r="H81" s="19" t="s">
        <v>0</v>
      </c>
      <c r="I81" s="20"/>
      <c r="J81" s="21"/>
      <c r="K81" s="44" t="s">
        <v>360</v>
      </c>
    </row>
    <row r="82" spans="1:13" ht="25.5" x14ac:dyDescent="0.2">
      <c r="A82" s="22" t="str">
        <f t="shared" si="1"/>
        <v>RQF073</v>
      </c>
      <c r="B82" s="27" t="s">
        <v>132</v>
      </c>
      <c r="C82" s="45" t="s">
        <v>133</v>
      </c>
      <c r="D82" s="27" t="s">
        <v>14</v>
      </c>
      <c r="E82" s="37"/>
      <c r="F82" s="27" t="s">
        <v>129</v>
      </c>
      <c r="G82" s="27" t="s">
        <v>96</v>
      </c>
      <c r="H82" s="19" t="s">
        <v>1</v>
      </c>
      <c r="I82" s="20"/>
      <c r="J82" s="21"/>
      <c r="K82" s="42" t="s">
        <v>361</v>
      </c>
      <c r="M82" s="58"/>
    </row>
    <row r="83" spans="1:13" ht="25.5" x14ac:dyDescent="0.2">
      <c r="A83" s="22" t="str">
        <f t="shared" si="1"/>
        <v>RQF074</v>
      </c>
      <c r="B83" s="27" t="s">
        <v>170</v>
      </c>
      <c r="C83" s="45" t="s">
        <v>171</v>
      </c>
      <c r="D83" s="27" t="s">
        <v>15</v>
      </c>
      <c r="E83" s="37" t="s">
        <v>292</v>
      </c>
      <c r="F83" s="27" t="s">
        <v>129</v>
      </c>
      <c r="G83" s="27" t="s">
        <v>99</v>
      </c>
      <c r="H83" s="19" t="s">
        <v>0</v>
      </c>
      <c r="I83" s="20"/>
      <c r="J83" s="21"/>
      <c r="K83" s="44" t="s">
        <v>362</v>
      </c>
    </row>
    <row r="84" spans="1:13" ht="38.25" x14ac:dyDescent="0.2">
      <c r="A84" s="22" t="str">
        <f t="shared" si="1"/>
        <v>RQF075</v>
      </c>
      <c r="B84" s="27" t="s">
        <v>232</v>
      </c>
      <c r="C84" s="45" t="s">
        <v>297</v>
      </c>
      <c r="D84" s="27" t="s">
        <v>14</v>
      </c>
      <c r="E84" s="37"/>
      <c r="F84" s="27" t="s">
        <v>129</v>
      </c>
      <c r="G84" s="27" t="s">
        <v>96</v>
      </c>
      <c r="H84" s="19" t="s">
        <v>1</v>
      </c>
      <c r="I84" s="20"/>
      <c r="J84" s="21"/>
      <c r="K84" s="44" t="s">
        <v>363</v>
      </c>
    </row>
    <row r="85" spans="1:13" ht="38.25" x14ac:dyDescent="0.2">
      <c r="A85" s="22" t="str">
        <f t="shared" si="1"/>
        <v>RQF076</v>
      </c>
      <c r="B85" s="27" t="s">
        <v>232</v>
      </c>
      <c r="C85" s="45" t="s">
        <v>298</v>
      </c>
      <c r="D85" s="27" t="s">
        <v>14</v>
      </c>
      <c r="E85" s="37"/>
      <c r="F85" s="27" t="s">
        <v>129</v>
      </c>
      <c r="G85" s="27" t="s">
        <v>96</v>
      </c>
      <c r="H85" s="19" t="s">
        <v>1</v>
      </c>
      <c r="I85" s="20"/>
      <c r="J85" s="21"/>
      <c r="K85" s="44" t="s">
        <v>363</v>
      </c>
    </row>
    <row r="86" spans="1:13" ht="38.25" x14ac:dyDescent="0.2">
      <c r="A86" s="22" t="str">
        <f t="shared" si="1"/>
        <v>RQF077</v>
      </c>
      <c r="B86" s="27" t="s">
        <v>233</v>
      </c>
      <c r="C86" s="45" t="s">
        <v>310</v>
      </c>
      <c r="D86" s="27" t="s">
        <v>14</v>
      </c>
      <c r="E86" s="37"/>
      <c r="F86" s="27" t="s">
        <v>129</v>
      </c>
      <c r="G86" s="27" t="s">
        <v>96</v>
      </c>
      <c r="H86" s="19" t="s">
        <v>1</v>
      </c>
      <c r="I86" s="20"/>
      <c r="J86" s="21"/>
      <c r="K86" s="44" t="s">
        <v>363</v>
      </c>
    </row>
    <row r="87" spans="1:13" ht="38.25" x14ac:dyDescent="0.2">
      <c r="A87" s="22" t="str">
        <f t="shared" si="1"/>
        <v>RQF078</v>
      </c>
      <c r="B87" s="27" t="s">
        <v>139</v>
      </c>
      <c r="C87" s="45" t="s">
        <v>268</v>
      </c>
      <c r="D87" s="41" t="s">
        <v>15</v>
      </c>
      <c r="E87" s="37"/>
      <c r="F87" s="27" t="s">
        <v>129</v>
      </c>
      <c r="G87" s="27" t="s">
        <v>96</v>
      </c>
      <c r="H87" s="19" t="s">
        <v>0</v>
      </c>
      <c r="I87" s="20"/>
      <c r="J87" s="21"/>
      <c r="K87" s="44" t="s">
        <v>358</v>
      </c>
    </row>
    <row r="88" spans="1:13" ht="38.25" x14ac:dyDescent="0.2">
      <c r="A88" s="22" t="str">
        <f>IF(LEFT(A87,2)="ID",CONCATENATE(MID($A$7,SEARCH(" ",$A$7)+1,10),"001"),CONCATENATE(MID($A$7,SEARCH(" ",$A$7)+1,10),TEXT(RIGHT(A87,3)+1,"000")))</f>
        <v>RQF079</v>
      </c>
      <c r="B88" s="27" t="s">
        <v>135</v>
      </c>
      <c r="C88" s="45" t="s">
        <v>270</v>
      </c>
      <c r="D88" s="27" t="s">
        <v>15</v>
      </c>
      <c r="E88" s="37" t="s">
        <v>292</v>
      </c>
      <c r="F88" s="27" t="s">
        <v>129</v>
      </c>
      <c r="G88" s="27" t="s">
        <v>129</v>
      </c>
      <c r="H88" s="19" t="s">
        <v>0</v>
      </c>
      <c r="I88" s="20"/>
      <c r="J88" s="21"/>
      <c r="K88" s="44" t="s">
        <v>364</v>
      </c>
    </row>
    <row r="89" spans="1:13" ht="25.5" x14ac:dyDescent="0.2">
      <c r="A89" s="22" t="str">
        <f t="shared" ref="A89:A90" si="2">IF(LEFT(A88,2)="ID",CONCATENATE(MID($A$7,SEARCH(" ",$A$7)+1,10),"001"),CONCATENATE(MID($A$7,SEARCH(" ",$A$7)+1,10),TEXT(RIGHT(A88,3)+1,"000")))</f>
        <v>RQF080</v>
      </c>
      <c r="B89" s="27" t="s">
        <v>273</v>
      </c>
      <c r="C89" s="45" t="s">
        <v>272</v>
      </c>
      <c r="D89" s="27" t="s">
        <v>15</v>
      </c>
      <c r="E89" s="37" t="s">
        <v>292</v>
      </c>
      <c r="F89" s="27" t="s">
        <v>129</v>
      </c>
      <c r="G89" s="27" t="s">
        <v>129</v>
      </c>
      <c r="H89" s="19" t="s">
        <v>0</v>
      </c>
      <c r="I89" s="20"/>
      <c r="J89" s="21"/>
      <c r="K89" s="44" t="s">
        <v>364</v>
      </c>
    </row>
    <row r="90" spans="1:13" ht="25.5" x14ac:dyDescent="0.2">
      <c r="A90" s="22" t="str">
        <f t="shared" si="2"/>
        <v>RQF081</v>
      </c>
      <c r="B90" s="27" t="s">
        <v>120</v>
      </c>
      <c r="C90" s="45" t="s">
        <v>269</v>
      </c>
      <c r="D90" s="27" t="s">
        <v>15</v>
      </c>
      <c r="E90" s="37" t="s">
        <v>292</v>
      </c>
      <c r="F90" s="27" t="s">
        <v>129</v>
      </c>
      <c r="G90" s="27" t="s">
        <v>129</v>
      </c>
      <c r="H90" s="19" t="s">
        <v>0</v>
      </c>
      <c r="I90" s="20"/>
      <c r="J90" s="21"/>
      <c r="K90" s="44" t="s">
        <v>352</v>
      </c>
    </row>
    <row r="91" spans="1:13" ht="38.25" x14ac:dyDescent="0.2">
      <c r="A91" s="22" t="str">
        <f t="shared" si="1"/>
        <v>RQF082</v>
      </c>
      <c r="B91" s="27" t="s">
        <v>123</v>
      </c>
      <c r="C91" s="45" t="s">
        <v>271</v>
      </c>
      <c r="D91" s="27" t="s">
        <v>15</v>
      </c>
      <c r="E91" s="37" t="s">
        <v>292</v>
      </c>
      <c r="F91" s="27" t="s">
        <v>129</v>
      </c>
      <c r="G91" s="27" t="s">
        <v>129</v>
      </c>
      <c r="H91" s="19" t="s">
        <v>0</v>
      </c>
      <c r="I91" s="20"/>
      <c r="J91" s="21"/>
      <c r="K91" s="44" t="s">
        <v>366</v>
      </c>
    </row>
    <row r="92" spans="1:13" ht="25.5" x14ac:dyDescent="0.2">
      <c r="A92" s="22" t="str">
        <f t="shared" si="1"/>
        <v>RQF083</v>
      </c>
      <c r="B92" s="27" t="s">
        <v>134</v>
      </c>
      <c r="C92" s="45" t="s">
        <v>274</v>
      </c>
      <c r="D92" s="27" t="s">
        <v>15</v>
      </c>
      <c r="E92" s="37" t="s">
        <v>292</v>
      </c>
      <c r="F92" s="27" t="s">
        <v>129</v>
      </c>
      <c r="G92" s="27" t="s">
        <v>129</v>
      </c>
      <c r="H92" s="19" t="s">
        <v>0</v>
      </c>
      <c r="I92" s="20"/>
      <c r="J92" s="21"/>
      <c r="K92" s="44" t="s">
        <v>354</v>
      </c>
    </row>
    <row r="93" spans="1:13" ht="76.5" x14ac:dyDescent="0.2">
      <c r="A93" s="22" t="str">
        <f t="shared" si="1"/>
        <v>RQF084</v>
      </c>
      <c r="B93" s="27" t="s">
        <v>112</v>
      </c>
      <c r="C93" s="45" t="s">
        <v>282</v>
      </c>
      <c r="D93" s="27" t="s">
        <v>15</v>
      </c>
      <c r="E93" s="37"/>
      <c r="F93" s="27" t="s">
        <v>129</v>
      </c>
      <c r="G93" s="27" t="s">
        <v>97</v>
      </c>
      <c r="H93" s="19" t="s">
        <v>94</v>
      </c>
      <c r="I93" s="20" t="s">
        <v>5</v>
      </c>
      <c r="J93" s="21">
        <v>0.15</v>
      </c>
      <c r="K93" s="44" t="s">
        <v>367</v>
      </c>
      <c r="M93" s="58"/>
    </row>
    <row r="94" spans="1:13" ht="38.25" x14ac:dyDescent="0.2">
      <c r="A94" s="22" t="str">
        <f t="shared" si="1"/>
        <v>RQF085</v>
      </c>
      <c r="B94" s="27" t="s">
        <v>112</v>
      </c>
      <c r="C94" s="45" t="s">
        <v>234</v>
      </c>
      <c r="D94" s="27" t="s">
        <v>15</v>
      </c>
      <c r="E94" s="37"/>
      <c r="F94" s="27" t="s">
        <v>129</v>
      </c>
      <c r="G94" s="27" t="s">
        <v>129</v>
      </c>
      <c r="H94" s="19" t="s">
        <v>94</v>
      </c>
      <c r="I94" s="20" t="s">
        <v>4</v>
      </c>
      <c r="J94" s="21">
        <v>0.05</v>
      </c>
      <c r="K94" s="44" t="s">
        <v>367</v>
      </c>
      <c r="M94" s="58"/>
    </row>
    <row r="95" spans="1:13" ht="54.75" customHeight="1" x14ac:dyDescent="0.2">
      <c r="A95" s="22" t="str">
        <f t="shared" ref="A95:A96" si="3">IF(LEFT(A94,2)="ID",CONCATENATE(MID($A$7,SEARCH(" ",$A$7)+1,10),"001"),CONCATENATE(MID($A$7,SEARCH(" ",$A$7)+1,10),TEXT(RIGHT(A94,3)+1,"000")))</f>
        <v>RQF086</v>
      </c>
      <c r="B95" s="27" t="s">
        <v>116</v>
      </c>
      <c r="C95" s="45" t="s">
        <v>235</v>
      </c>
      <c r="D95" s="27" t="s">
        <v>14</v>
      </c>
      <c r="E95" s="37"/>
      <c r="F95" s="27" t="s">
        <v>129</v>
      </c>
      <c r="G95" s="27" t="s">
        <v>129</v>
      </c>
      <c r="H95" s="19" t="s">
        <v>0</v>
      </c>
      <c r="I95" s="20"/>
      <c r="J95" s="21"/>
      <c r="K95" s="44" t="s">
        <v>368</v>
      </c>
      <c r="M95" s="59"/>
    </row>
    <row r="96" spans="1:13" ht="42" customHeight="1" x14ac:dyDescent="0.2">
      <c r="A96" s="22" t="str">
        <f t="shared" si="3"/>
        <v>RQF087</v>
      </c>
      <c r="B96" s="27" t="s">
        <v>116</v>
      </c>
      <c r="C96" s="45" t="s">
        <v>302</v>
      </c>
      <c r="D96" s="27" t="s">
        <v>15</v>
      </c>
      <c r="E96" s="37"/>
      <c r="F96" s="27" t="s">
        <v>129</v>
      </c>
      <c r="G96" s="27" t="s">
        <v>129</v>
      </c>
      <c r="H96" s="19" t="s">
        <v>94</v>
      </c>
      <c r="I96" s="20" t="s">
        <v>4</v>
      </c>
      <c r="J96" s="21">
        <v>0.05</v>
      </c>
      <c r="K96" s="44" t="s">
        <v>367</v>
      </c>
      <c r="M96" s="58"/>
    </row>
    <row r="97" spans="1:13" x14ac:dyDescent="0.2">
      <c r="A97" s="11"/>
      <c r="B97" s="11"/>
      <c r="K97"/>
    </row>
    <row r="98" spans="1:13" ht="13.5" thickBot="1" x14ac:dyDescent="0.25">
      <c r="A98" s="14"/>
      <c r="B98" s="14"/>
      <c r="C98" s="7" t="s">
        <v>9</v>
      </c>
      <c r="D98" s="31"/>
      <c r="E98" s="31"/>
      <c r="F98" s="31"/>
      <c r="G98" s="31"/>
      <c r="H98" s="7" t="s">
        <v>10</v>
      </c>
      <c r="I98" s="5"/>
      <c r="J98" s="5"/>
      <c r="K98" s="5"/>
    </row>
    <row r="99" spans="1:13" ht="26.25" thickBot="1" x14ac:dyDescent="0.25">
      <c r="A99" s="8" t="s">
        <v>93</v>
      </c>
      <c r="B99" s="8" t="s">
        <v>17</v>
      </c>
      <c r="C99" s="10" t="s">
        <v>92</v>
      </c>
      <c r="D99" s="24" t="s">
        <v>82</v>
      </c>
      <c r="E99" s="24" t="s">
        <v>291</v>
      </c>
      <c r="F99" s="24" t="s">
        <v>196</v>
      </c>
      <c r="G99" s="24" t="s">
        <v>91</v>
      </c>
      <c r="H99" s="9" t="s">
        <v>218</v>
      </c>
      <c r="I99" s="9" t="s">
        <v>2</v>
      </c>
      <c r="J99" s="10" t="s">
        <v>12</v>
      </c>
      <c r="K99" s="9" t="s">
        <v>13</v>
      </c>
    </row>
    <row r="100" spans="1:13" ht="63.75" x14ac:dyDescent="0.2">
      <c r="A100" s="22" t="str">
        <f t="shared" ref="A100:A134" si="4">IF(LEFT(A99,2)="ID",CONCATENATE(MID($A$99,SEARCH(" ",$A$99)+1,10),"001"),CONCATENATE(MID($A$99,SEARCH(" ",$A$99)+1,10),TEXT(RIGHT(A99,3)+1,"000")))</f>
        <v>RQT001</v>
      </c>
      <c r="B100" s="25" t="s">
        <v>140</v>
      </c>
      <c r="C100" s="61" t="s">
        <v>183</v>
      </c>
      <c r="D100" s="27" t="s">
        <v>15</v>
      </c>
      <c r="E100" s="37"/>
      <c r="F100" s="27" t="s">
        <v>129</v>
      </c>
      <c r="G100" s="27" t="s">
        <v>129</v>
      </c>
      <c r="H100" s="19" t="s">
        <v>0</v>
      </c>
      <c r="I100" s="20"/>
      <c r="J100" s="21"/>
      <c r="K100" s="44" t="s">
        <v>358</v>
      </c>
    </row>
    <row r="101" spans="1:13" ht="51" x14ac:dyDescent="0.2">
      <c r="A101" s="22" t="str">
        <f t="shared" si="4"/>
        <v>RQT002</v>
      </c>
      <c r="B101" s="25" t="s">
        <v>140</v>
      </c>
      <c r="C101" s="49" t="s">
        <v>184</v>
      </c>
      <c r="D101" s="27" t="s">
        <v>15</v>
      </c>
      <c r="E101" s="37"/>
      <c r="F101" s="27" t="s">
        <v>129</v>
      </c>
      <c r="G101" s="27" t="s">
        <v>129</v>
      </c>
      <c r="H101" s="19" t="s">
        <v>94</v>
      </c>
      <c r="I101" s="20" t="s">
        <v>5</v>
      </c>
      <c r="J101" s="21">
        <v>0.15</v>
      </c>
      <c r="K101" s="44" t="s">
        <v>367</v>
      </c>
      <c r="M101" s="58"/>
    </row>
    <row r="102" spans="1:13" ht="63.75" x14ac:dyDescent="0.2">
      <c r="A102" s="22" t="str">
        <f t="shared" si="4"/>
        <v>RQT003</v>
      </c>
      <c r="B102" s="25" t="s">
        <v>140</v>
      </c>
      <c r="C102" s="45" t="s">
        <v>286</v>
      </c>
      <c r="D102" s="27" t="s">
        <v>15</v>
      </c>
      <c r="E102" s="37"/>
      <c r="F102" s="27" t="s">
        <v>129</v>
      </c>
      <c r="G102" s="27" t="s">
        <v>129</v>
      </c>
      <c r="H102" s="19" t="s">
        <v>0</v>
      </c>
      <c r="I102" s="20"/>
      <c r="J102" s="21"/>
      <c r="K102" s="44" t="s">
        <v>358</v>
      </c>
    </row>
    <row r="103" spans="1:13" ht="38.25" x14ac:dyDescent="0.2">
      <c r="A103" s="22" t="str">
        <f>IF(LEFT(A102,2)="ID",CONCATENATE(MID($A$99,SEARCH(" ",$A$99)+1,10),"001"),CONCATENATE(MID($A$99,SEARCH(" ",$A$99)+1,10),TEXT(RIGHT(A102,3)+1,"000")))</f>
        <v>RQT004</v>
      </c>
      <c r="B103" s="25" t="s">
        <v>140</v>
      </c>
      <c r="C103" s="45" t="s">
        <v>260</v>
      </c>
      <c r="D103" s="27" t="s">
        <v>15</v>
      </c>
      <c r="E103" s="37"/>
      <c r="F103" s="27" t="s">
        <v>129</v>
      </c>
      <c r="G103" s="27" t="s">
        <v>129</v>
      </c>
      <c r="H103" s="19" t="s">
        <v>0</v>
      </c>
      <c r="I103" s="20"/>
      <c r="J103" s="21"/>
      <c r="K103" s="44" t="s">
        <v>358</v>
      </c>
    </row>
    <row r="104" spans="1:13" ht="114.75" customHeight="1" x14ac:dyDescent="0.2">
      <c r="A104" s="22" t="str">
        <f t="shared" si="4"/>
        <v>RQT005</v>
      </c>
      <c r="B104" s="25" t="s">
        <v>140</v>
      </c>
      <c r="C104" s="53" t="s">
        <v>168</v>
      </c>
      <c r="D104" s="27" t="s">
        <v>14</v>
      </c>
      <c r="E104" s="37"/>
      <c r="F104" s="27" t="s">
        <v>129</v>
      </c>
      <c r="G104" s="27" t="s">
        <v>129</v>
      </c>
      <c r="H104" s="19" t="s">
        <v>0</v>
      </c>
      <c r="I104" s="20"/>
      <c r="J104" s="21"/>
      <c r="K104" s="44" t="s">
        <v>369</v>
      </c>
    </row>
    <row r="105" spans="1:13" ht="25.5" x14ac:dyDescent="0.2">
      <c r="A105" s="22" t="str">
        <f t="shared" si="4"/>
        <v>RQT006</v>
      </c>
      <c r="B105" s="25" t="s">
        <v>140</v>
      </c>
      <c r="C105" s="48" t="s">
        <v>175</v>
      </c>
      <c r="D105" s="27" t="s">
        <v>15</v>
      </c>
      <c r="E105" s="37"/>
      <c r="F105" s="27" t="s">
        <v>129</v>
      </c>
      <c r="G105" s="27" t="s">
        <v>129</v>
      </c>
      <c r="H105" s="19" t="s">
        <v>94</v>
      </c>
      <c r="I105" s="20" t="s">
        <v>4</v>
      </c>
      <c r="J105" s="21">
        <v>0.05</v>
      </c>
      <c r="K105" s="44" t="s">
        <v>367</v>
      </c>
      <c r="M105" s="58"/>
    </row>
    <row r="106" spans="1:13" ht="25.5" x14ac:dyDescent="0.2">
      <c r="A106" s="22" t="str">
        <f t="shared" si="4"/>
        <v>RQT007</v>
      </c>
      <c r="B106" s="22" t="s">
        <v>140</v>
      </c>
      <c r="C106" s="62" t="s">
        <v>156</v>
      </c>
      <c r="D106" s="27" t="s">
        <v>15</v>
      </c>
      <c r="E106" s="37"/>
      <c r="F106" s="27" t="s">
        <v>129</v>
      </c>
      <c r="G106" s="27" t="s">
        <v>129</v>
      </c>
      <c r="H106" s="19" t="s">
        <v>0</v>
      </c>
      <c r="I106" s="20"/>
      <c r="J106" s="21"/>
      <c r="K106" s="44" t="s">
        <v>370</v>
      </c>
    </row>
    <row r="107" spans="1:13" ht="25.5" x14ac:dyDescent="0.2">
      <c r="A107" s="22" t="str">
        <f t="shared" si="4"/>
        <v>RQT008</v>
      </c>
      <c r="B107" s="22" t="s">
        <v>140</v>
      </c>
      <c r="C107" s="53" t="s">
        <v>153</v>
      </c>
      <c r="D107" s="27" t="s">
        <v>15</v>
      </c>
      <c r="E107" s="37"/>
      <c r="F107" s="27" t="s">
        <v>129</v>
      </c>
      <c r="G107" s="27" t="s">
        <v>129</v>
      </c>
      <c r="H107" s="19" t="s">
        <v>0</v>
      </c>
      <c r="I107" s="20"/>
      <c r="J107" s="21"/>
      <c r="K107" s="44" t="s">
        <v>371</v>
      </c>
    </row>
    <row r="108" spans="1:13" ht="25.5" x14ac:dyDescent="0.2">
      <c r="A108" s="22" t="str">
        <f t="shared" si="4"/>
        <v>RQT009</v>
      </c>
      <c r="B108" s="22" t="s">
        <v>140</v>
      </c>
      <c r="C108" s="53" t="s">
        <v>157</v>
      </c>
      <c r="D108" s="27" t="s">
        <v>15</v>
      </c>
      <c r="E108" s="37"/>
      <c r="F108" s="27" t="s">
        <v>129</v>
      </c>
      <c r="G108" s="27" t="s">
        <v>129</v>
      </c>
      <c r="H108" s="19" t="s">
        <v>0</v>
      </c>
      <c r="I108" s="20"/>
      <c r="J108" s="21"/>
      <c r="K108" s="44" t="s">
        <v>372</v>
      </c>
    </row>
    <row r="109" spans="1:13" ht="25.5" x14ac:dyDescent="0.2">
      <c r="A109" s="22" t="str">
        <f t="shared" si="4"/>
        <v>RQT010</v>
      </c>
      <c r="B109" s="22" t="s">
        <v>140</v>
      </c>
      <c r="C109" s="53" t="s">
        <v>158</v>
      </c>
      <c r="D109" s="27" t="s">
        <v>15</v>
      </c>
      <c r="E109" s="37"/>
      <c r="F109" s="27" t="s">
        <v>129</v>
      </c>
      <c r="G109" s="27" t="s">
        <v>129</v>
      </c>
      <c r="H109" s="19" t="s">
        <v>0</v>
      </c>
      <c r="I109" s="20"/>
      <c r="J109" s="21"/>
      <c r="K109" s="44" t="s">
        <v>373</v>
      </c>
    </row>
    <row r="110" spans="1:13" ht="51" x14ac:dyDescent="0.2">
      <c r="A110" s="22" t="str">
        <f t="shared" si="4"/>
        <v>RQT011</v>
      </c>
      <c r="B110" s="22" t="s">
        <v>140</v>
      </c>
      <c r="C110" s="53" t="s">
        <v>219</v>
      </c>
      <c r="D110" s="27" t="s">
        <v>14</v>
      </c>
      <c r="E110" s="37"/>
      <c r="F110" s="27" t="s">
        <v>129</v>
      </c>
      <c r="G110" s="27" t="s">
        <v>129</v>
      </c>
      <c r="H110" s="19" t="s">
        <v>94</v>
      </c>
      <c r="I110" s="20" t="s">
        <v>6</v>
      </c>
      <c r="J110" s="21">
        <v>0.25</v>
      </c>
      <c r="K110" s="44" t="s">
        <v>374</v>
      </c>
    </row>
    <row r="111" spans="1:13" ht="41.25" customHeight="1" x14ac:dyDescent="0.2">
      <c r="A111" s="22" t="str">
        <f t="shared" si="4"/>
        <v>RQT012</v>
      </c>
      <c r="B111" s="22" t="s">
        <v>140</v>
      </c>
      <c r="C111" s="53" t="s">
        <v>223</v>
      </c>
      <c r="D111" s="27" t="s">
        <v>15</v>
      </c>
      <c r="E111" s="37"/>
      <c r="F111" s="27" t="s">
        <v>129</v>
      </c>
      <c r="G111" s="27" t="s">
        <v>129</v>
      </c>
      <c r="H111" s="19" t="s">
        <v>0</v>
      </c>
      <c r="I111" s="20"/>
      <c r="J111" s="21"/>
      <c r="K111" s="44" t="s">
        <v>375</v>
      </c>
    </row>
    <row r="112" spans="1:13" x14ac:dyDescent="0.2">
      <c r="A112" s="22" t="str">
        <f t="shared" si="4"/>
        <v>RQT013</v>
      </c>
      <c r="B112" s="22" t="s">
        <v>140</v>
      </c>
      <c r="C112" s="63" t="s">
        <v>172</v>
      </c>
      <c r="D112" s="27" t="s">
        <v>14</v>
      </c>
      <c r="E112" s="37"/>
      <c r="F112" s="27" t="s">
        <v>129</v>
      </c>
      <c r="G112" s="27" t="s">
        <v>129</v>
      </c>
      <c r="H112" s="19" t="s">
        <v>1</v>
      </c>
      <c r="I112" s="20"/>
      <c r="J112" s="21"/>
      <c r="K112" s="44" t="s">
        <v>314</v>
      </c>
    </row>
    <row r="113" spans="1:13" ht="25.5" x14ac:dyDescent="0.2">
      <c r="A113" s="22" t="str">
        <f t="shared" si="4"/>
        <v>RQT014</v>
      </c>
      <c r="B113" s="22" t="s">
        <v>140</v>
      </c>
      <c r="C113" s="63" t="s">
        <v>164</v>
      </c>
      <c r="D113" s="27" t="s">
        <v>14</v>
      </c>
      <c r="E113" s="37"/>
      <c r="F113" s="27" t="s">
        <v>129</v>
      </c>
      <c r="G113" s="27" t="s">
        <v>129</v>
      </c>
      <c r="H113" s="19" t="s">
        <v>0</v>
      </c>
      <c r="I113" s="20"/>
      <c r="J113" s="21"/>
      <c r="K113" s="44" t="s">
        <v>376</v>
      </c>
    </row>
    <row r="114" spans="1:13" ht="28.5" customHeight="1" x14ac:dyDescent="0.2">
      <c r="A114" s="22" t="str">
        <f t="shared" si="4"/>
        <v>RQT015</v>
      </c>
      <c r="B114" s="22" t="s">
        <v>140</v>
      </c>
      <c r="C114" s="63" t="s">
        <v>165</v>
      </c>
      <c r="D114" s="27" t="s">
        <v>14</v>
      </c>
      <c r="E114" s="37"/>
      <c r="F114" s="27" t="s">
        <v>129</v>
      </c>
      <c r="G114" s="27" t="s">
        <v>129</v>
      </c>
      <c r="H114" s="19" t="s">
        <v>1</v>
      </c>
      <c r="I114" s="20"/>
      <c r="J114" s="21"/>
      <c r="K114" s="44" t="s">
        <v>377</v>
      </c>
    </row>
    <row r="115" spans="1:13" ht="26.25" customHeight="1" x14ac:dyDescent="0.2">
      <c r="A115" s="22" t="str">
        <f t="shared" si="4"/>
        <v>RQT016</v>
      </c>
      <c r="B115" s="22" t="s">
        <v>140</v>
      </c>
      <c r="C115" s="63" t="s">
        <v>166</v>
      </c>
      <c r="D115" s="27" t="s">
        <v>15</v>
      </c>
      <c r="E115" s="37"/>
      <c r="F115" s="27" t="s">
        <v>129</v>
      </c>
      <c r="G115" s="27" t="s">
        <v>129</v>
      </c>
      <c r="H115" s="19" t="s">
        <v>1</v>
      </c>
      <c r="I115" s="20"/>
      <c r="J115" s="21"/>
      <c r="K115" s="44" t="s">
        <v>377</v>
      </c>
    </row>
    <row r="116" spans="1:13" ht="38.25" x14ac:dyDescent="0.2">
      <c r="A116" s="22" t="str">
        <f t="shared" si="4"/>
        <v>RQT017</v>
      </c>
      <c r="B116" s="22" t="s">
        <v>140</v>
      </c>
      <c r="C116" s="53" t="s">
        <v>224</v>
      </c>
      <c r="D116" s="27" t="s">
        <v>15</v>
      </c>
      <c r="E116" s="37"/>
      <c r="F116" s="27" t="s">
        <v>129</v>
      </c>
      <c r="G116" s="27" t="s">
        <v>129</v>
      </c>
      <c r="H116" s="19" t="s">
        <v>0</v>
      </c>
      <c r="I116" s="20"/>
      <c r="J116" s="21"/>
      <c r="K116" s="44" t="s">
        <v>378</v>
      </c>
    </row>
    <row r="117" spans="1:13" ht="38.25" x14ac:dyDescent="0.2">
      <c r="A117" s="22" t="str">
        <f t="shared" si="4"/>
        <v>RQT018</v>
      </c>
      <c r="B117" s="22" t="s">
        <v>140</v>
      </c>
      <c r="C117" s="53" t="s">
        <v>173</v>
      </c>
      <c r="D117" s="27" t="s">
        <v>15</v>
      </c>
      <c r="E117" s="37"/>
      <c r="F117" s="27" t="s">
        <v>129</v>
      </c>
      <c r="G117" s="27" t="s">
        <v>129</v>
      </c>
      <c r="H117" s="19" t="s">
        <v>0</v>
      </c>
      <c r="I117" s="20"/>
      <c r="J117" s="21"/>
      <c r="K117" s="44" t="s">
        <v>379</v>
      </c>
    </row>
    <row r="118" spans="1:13" ht="75" customHeight="1" x14ac:dyDescent="0.2">
      <c r="A118" s="22" t="str">
        <f t="shared" si="4"/>
        <v>RQT019</v>
      </c>
      <c r="B118" s="25" t="s">
        <v>140</v>
      </c>
      <c r="C118" s="53" t="s">
        <v>155</v>
      </c>
      <c r="D118" s="27" t="s">
        <v>15</v>
      </c>
      <c r="E118" s="37"/>
      <c r="F118" s="27" t="s">
        <v>129</v>
      </c>
      <c r="G118" s="27" t="s">
        <v>129</v>
      </c>
      <c r="H118" s="19" t="s">
        <v>0</v>
      </c>
      <c r="I118" s="20"/>
      <c r="J118" s="21"/>
      <c r="K118" s="44" t="s">
        <v>380</v>
      </c>
    </row>
    <row r="119" spans="1:13" ht="64.5" customHeight="1" x14ac:dyDescent="0.2">
      <c r="A119" s="22" t="str">
        <f t="shared" si="4"/>
        <v>RQT020</v>
      </c>
      <c r="B119" s="25" t="s">
        <v>140</v>
      </c>
      <c r="C119" s="53" t="s">
        <v>309</v>
      </c>
      <c r="D119" s="27" t="s">
        <v>14</v>
      </c>
      <c r="E119" s="37"/>
      <c r="F119" s="27" t="s">
        <v>129</v>
      </c>
      <c r="G119" s="27" t="s">
        <v>129</v>
      </c>
      <c r="H119" s="19" t="s">
        <v>1</v>
      </c>
      <c r="I119" s="20"/>
      <c r="J119" s="21"/>
      <c r="K119" s="44" t="s">
        <v>381</v>
      </c>
    </row>
    <row r="120" spans="1:13" ht="114.75" x14ac:dyDescent="0.2">
      <c r="A120" s="22" t="str">
        <f t="shared" si="4"/>
        <v>RQT021</v>
      </c>
      <c r="B120" s="25" t="s">
        <v>140</v>
      </c>
      <c r="C120" s="53" t="s">
        <v>191</v>
      </c>
      <c r="D120" s="27" t="s">
        <v>15</v>
      </c>
      <c r="E120" s="37"/>
      <c r="F120" s="27" t="s">
        <v>129</v>
      </c>
      <c r="G120" s="27" t="s">
        <v>129</v>
      </c>
      <c r="H120" s="19" t="s">
        <v>95</v>
      </c>
      <c r="I120" s="20"/>
      <c r="J120" s="21"/>
      <c r="K120" s="44" t="s">
        <v>317</v>
      </c>
    </row>
    <row r="121" spans="1:13" ht="89.25" x14ac:dyDescent="0.2">
      <c r="A121" s="22" t="str">
        <f t="shared" si="4"/>
        <v>RQT022</v>
      </c>
      <c r="B121" s="25" t="s">
        <v>140</v>
      </c>
      <c r="C121" s="53" t="s">
        <v>159</v>
      </c>
      <c r="D121" s="27" t="s">
        <v>15</v>
      </c>
      <c r="E121" s="37"/>
      <c r="F121" s="27" t="s">
        <v>129</v>
      </c>
      <c r="G121" s="27" t="s">
        <v>129</v>
      </c>
      <c r="H121" s="19" t="s">
        <v>0</v>
      </c>
      <c r="I121" s="20"/>
      <c r="J121" s="21"/>
      <c r="K121" s="44" t="s">
        <v>383</v>
      </c>
    </row>
    <row r="122" spans="1:13" ht="38.25" x14ac:dyDescent="0.2">
      <c r="A122" s="22" t="str">
        <f t="shared" si="4"/>
        <v>RQT023</v>
      </c>
      <c r="B122" s="25" t="s">
        <v>140</v>
      </c>
      <c r="C122" s="53" t="s">
        <v>160</v>
      </c>
      <c r="D122" s="27" t="s">
        <v>15</v>
      </c>
      <c r="E122" s="37"/>
      <c r="F122" s="27" t="s">
        <v>129</v>
      </c>
      <c r="G122" s="27" t="s">
        <v>129</v>
      </c>
      <c r="H122" s="19" t="s">
        <v>0</v>
      </c>
      <c r="I122" s="20"/>
      <c r="J122" s="21"/>
      <c r="K122" s="44" t="s">
        <v>382</v>
      </c>
    </row>
    <row r="123" spans="1:13" ht="38.25" x14ac:dyDescent="0.2">
      <c r="A123" s="22" t="str">
        <f t="shared" si="4"/>
        <v>RQT024</v>
      </c>
      <c r="B123" s="25" t="s">
        <v>145</v>
      </c>
      <c r="C123" s="53" t="s">
        <v>288</v>
      </c>
      <c r="D123" s="27" t="s">
        <v>15</v>
      </c>
      <c r="E123" s="37"/>
      <c r="F123" s="27" t="s">
        <v>129</v>
      </c>
      <c r="G123" s="27" t="s">
        <v>129</v>
      </c>
      <c r="H123" s="19" t="s">
        <v>0</v>
      </c>
      <c r="I123" s="20"/>
      <c r="J123" s="21"/>
      <c r="K123" s="44" t="s">
        <v>384</v>
      </c>
    </row>
    <row r="124" spans="1:13" ht="38.25" x14ac:dyDescent="0.2">
      <c r="A124" s="22" t="str">
        <f t="shared" si="4"/>
        <v>RQT025</v>
      </c>
      <c r="B124" s="25" t="s">
        <v>145</v>
      </c>
      <c r="C124" s="53" t="s">
        <v>287</v>
      </c>
      <c r="D124" s="27" t="s">
        <v>15</v>
      </c>
      <c r="E124" s="37"/>
      <c r="F124" s="27" t="s">
        <v>129</v>
      </c>
      <c r="G124" s="27" t="s">
        <v>129</v>
      </c>
      <c r="H124" s="19" t="s">
        <v>0</v>
      </c>
      <c r="I124" s="20"/>
      <c r="J124" s="21"/>
      <c r="K124" s="44" t="s">
        <v>384</v>
      </c>
    </row>
    <row r="125" spans="1:13" ht="25.5" x14ac:dyDescent="0.2">
      <c r="A125" s="22" t="str">
        <f t="shared" si="4"/>
        <v>RQT026</v>
      </c>
      <c r="B125" s="25" t="s">
        <v>145</v>
      </c>
      <c r="C125" s="53" t="s">
        <v>185</v>
      </c>
      <c r="D125" s="27" t="s">
        <v>15</v>
      </c>
      <c r="E125" s="37"/>
      <c r="F125" s="27" t="s">
        <v>129</v>
      </c>
      <c r="G125" s="27" t="s">
        <v>129</v>
      </c>
      <c r="H125" s="19" t="s">
        <v>0</v>
      </c>
      <c r="I125" s="20"/>
      <c r="J125" s="21"/>
      <c r="K125" s="44" t="s">
        <v>385</v>
      </c>
    </row>
    <row r="126" spans="1:13" ht="38.25" x14ac:dyDescent="0.2">
      <c r="A126" s="22" t="str">
        <f t="shared" si="4"/>
        <v>RQT027</v>
      </c>
      <c r="B126" s="25" t="s">
        <v>145</v>
      </c>
      <c r="C126" s="53" t="s">
        <v>141</v>
      </c>
      <c r="D126" s="27" t="s">
        <v>15</v>
      </c>
      <c r="E126" s="37"/>
      <c r="F126" s="27" t="s">
        <v>129</v>
      </c>
      <c r="G126" s="27" t="s">
        <v>129</v>
      </c>
      <c r="H126" s="19" t="s">
        <v>0</v>
      </c>
      <c r="I126" s="20"/>
      <c r="J126" s="21"/>
      <c r="K126" s="44" t="s">
        <v>386</v>
      </c>
    </row>
    <row r="127" spans="1:13" ht="38.25" x14ac:dyDescent="0.2">
      <c r="A127" s="22" t="str">
        <f t="shared" si="4"/>
        <v>RQT028</v>
      </c>
      <c r="B127" s="25" t="s">
        <v>145</v>
      </c>
      <c r="C127" s="53" t="s">
        <v>186</v>
      </c>
      <c r="D127" s="27" t="s">
        <v>15</v>
      </c>
      <c r="E127" s="37"/>
      <c r="F127" s="27" t="s">
        <v>129</v>
      </c>
      <c r="G127" s="27" t="s">
        <v>129</v>
      </c>
      <c r="H127" s="19" t="s">
        <v>0</v>
      </c>
      <c r="I127" s="20"/>
      <c r="J127" s="21"/>
      <c r="K127" s="44" t="s">
        <v>387</v>
      </c>
    </row>
    <row r="128" spans="1:13" ht="25.5" x14ac:dyDescent="0.2">
      <c r="A128" s="22" t="str">
        <f t="shared" si="4"/>
        <v>RQT029</v>
      </c>
      <c r="B128" s="25" t="s">
        <v>145</v>
      </c>
      <c r="C128" s="53" t="s">
        <v>167</v>
      </c>
      <c r="D128" s="27" t="s">
        <v>14</v>
      </c>
      <c r="E128" s="37"/>
      <c r="F128" s="27" t="s">
        <v>129</v>
      </c>
      <c r="G128" s="27" t="s">
        <v>129</v>
      </c>
      <c r="H128" s="19" t="s">
        <v>0</v>
      </c>
      <c r="I128" s="20"/>
      <c r="J128" s="21"/>
      <c r="K128" s="44" t="s">
        <v>388</v>
      </c>
      <c r="M128" s="58"/>
    </row>
    <row r="129" spans="1:13" x14ac:dyDescent="0.2">
      <c r="A129" s="22" t="str">
        <f t="shared" si="4"/>
        <v>RQT030</v>
      </c>
      <c r="B129" s="25" t="s">
        <v>145</v>
      </c>
      <c r="C129" s="53" t="s">
        <v>221</v>
      </c>
      <c r="D129" s="27" t="s">
        <v>15</v>
      </c>
      <c r="E129" s="37"/>
      <c r="F129" s="27" t="s">
        <v>129</v>
      </c>
      <c r="G129" s="27" t="s">
        <v>129</v>
      </c>
      <c r="H129" s="19" t="s">
        <v>0</v>
      </c>
      <c r="I129" s="20"/>
      <c r="J129" s="21"/>
      <c r="K129" s="44" t="s">
        <v>389</v>
      </c>
    </row>
    <row r="130" spans="1:13" x14ac:dyDescent="0.2">
      <c r="A130" s="22" t="str">
        <f t="shared" si="4"/>
        <v>RQT031</v>
      </c>
      <c r="B130" s="25" t="s">
        <v>145</v>
      </c>
      <c r="C130" s="53" t="s">
        <v>220</v>
      </c>
      <c r="D130" s="27" t="s">
        <v>15</v>
      </c>
      <c r="E130" s="37"/>
      <c r="F130" s="27" t="s">
        <v>129</v>
      </c>
      <c r="G130" s="27" t="s">
        <v>129</v>
      </c>
      <c r="H130" s="19" t="s">
        <v>0</v>
      </c>
      <c r="I130" s="20"/>
      <c r="J130" s="21"/>
      <c r="K130" s="44" t="s">
        <v>389</v>
      </c>
    </row>
    <row r="131" spans="1:13" x14ac:dyDescent="0.2">
      <c r="A131" s="22" t="str">
        <f t="shared" si="4"/>
        <v>RQT032</v>
      </c>
      <c r="B131" s="25" t="s">
        <v>145</v>
      </c>
      <c r="C131" s="53" t="s">
        <v>222</v>
      </c>
      <c r="D131" s="27" t="s">
        <v>15</v>
      </c>
      <c r="E131" s="37"/>
      <c r="F131" s="27" t="s">
        <v>129</v>
      </c>
      <c r="G131" s="27" t="s">
        <v>129</v>
      </c>
      <c r="H131" s="19" t="s">
        <v>0</v>
      </c>
      <c r="I131" s="20"/>
      <c r="J131" s="21"/>
      <c r="K131" s="44" t="s">
        <v>389</v>
      </c>
      <c r="M131" s="58"/>
    </row>
    <row r="132" spans="1:13" ht="38.25" x14ac:dyDescent="0.2">
      <c r="A132" s="22" t="str">
        <f t="shared" si="4"/>
        <v>RQT033</v>
      </c>
      <c r="B132" s="25" t="s">
        <v>180</v>
      </c>
      <c r="C132" s="53" t="s">
        <v>147</v>
      </c>
      <c r="D132" s="27" t="s">
        <v>14</v>
      </c>
      <c r="E132" s="37"/>
      <c r="F132" s="27" t="s">
        <v>129</v>
      </c>
      <c r="G132" s="27" t="s">
        <v>129</v>
      </c>
      <c r="H132" s="19" t="s">
        <v>1</v>
      </c>
      <c r="I132" s="20"/>
      <c r="J132" s="21"/>
      <c r="K132" s="44" t="s">
        <v>390</v>
      </c>
    </row>
    <row r="133" spans="1:13" x14ac:dyDescent="0.2">
      <c r="A133" s="22" t="str">
        <f t="shared" si="4"/>
        <v>RQT034</v>
      </c>
      <c r="B133" s="25" t="s">
        <v>180</v>
      </c>
      <c r="C133" s="53" t="s">
        <v>148</v>
      </c>
      <c r="D133" s="27" t="s">
        <v>14</v>
      </c>
      <c r="E133" s="37"/>
      <c r="F133" s="27" t="s">
        <v>129</v>
      </c>
      <c r="G133" s="27" t="s">
        <v>129</v>
      </c>
      <c r="H133" s="19" t="s">
        <v>0</v>
      </c>
      <c r="I133" s="20"/>
      <c r="J133" s="21"/>
      <c r="K133" s="26" t="s">
        <v>391</v>
      </c>
    </row>
    <row r="134" spans="1:13" ht="25.5" x14ac:dyDescent="0.2">
      <c r="A134" s="22" t="str">
        <f t="shared" si="4"/>
        <v>RQT035</v>
      </c>
      <c r="B134" s="25" t="s">
        <v>180</v>
      </c>
      <c r="C134" s="53" t="s">
        <v>149</v>
      </c>
      <c r="D134" s="27" t="s">
        <v>14</v>
      </c>
      <c r="E134" s="37"/>
      <c r="F134" s="27" t="s">
        <v>129</v>
      </c>
      <c r="G134" s="27" t="s">
        <v>129</v>
      </c>
      <c r="H134" s="19" t="s">
        <v>0</v>
      </c>
      <c r="I134" s="20"/>
      <c r="J134" s="21"/>
      <c r="K134" s="44" t="s">
        <v>392</v>
      </c>
      <c r="M134" s="58"/>
    </row>
    <row r="135" spans="1:13" ht="29.25" customHeight="1" x14ac:dyDescent="0.2">
      <c r="A135" s="22" t="str">
        <f>IF(LEFT(A134,2)="ID",CONCATENATE(MID($A$99,SEARCH(" ",$A$99)+1,10),"001"),CONCATENATE(MID($A$99,SEARCH(" ",$A$99)+1,10),TEXT(RIGHT(A134,3)+1,"000")))</f>
        <v>RQT036</v>
      </c>
      <c r="B135" s="25" t="s">
        <v>180</v>
      </c>
      <c r="C135" s="53" t="s">
        <v>154</v>
      </c>
      <c r="D135" s="27" t="s">
        <v>14</v>
      </c>
      <c r="E135" s="37"/>
      <c r="F135" s="27" t="s">
        <v>129</v>
      </c>
      <c r="G135" s="27" t="s">
        <v>129</v>
      </c>
      <c r="H135" s="19" t="s">
        <v>0</v>
      </c>
      <c r="I135" s="20"/>
      <c r="J135" s="21"/>
      <c r="K135" s="44" t="s">
        <v>393</v>
      </c>
    </row>
    <row r="136" spans="1:13" ht="38.25" x14ac:dyDescent="0.2">
      <c r="A136" s="22" t="str">
        <f>IF(LEFT(A135,2)="ID",CONCATENATE(MID($A$99,SEARCH(" ",$A$99)+1,10),"001"),CONCATENATE(MID($A$99,SEARCH(" ",$A$99)+1,10),TEXT(RIGHT(A135,3)+1,"000")))</f>
        <v>RQT037</v>
      </c>
      <c r="B136" s="25" t="s">
        <v>176</v>
      </c>
      <c r="C136" s="49" t="s">
        <v>161</v>
      </c>
      <c r="D136" s="27" t="s">
        <v>15</v>
      </c>
      <c r="E136" s="37"/>
      <c r="F136" s="27" t="s">
        <v>129</v>
      </c>
      <c r="G136" s="27" t="s">
        <v>129</v>
      </c>
      <c r="H136" s="19" t="s">
        <v>0</v>
      </c>
      <c r="I136" s="20"/>
      <c r="J136" s="21"/>
      <c r="K136" s="44" t="s">
        <v>394</v>
      </c>
    </row>
    <row r="137" spans="1:13" ht="25.5" x14ac:dyDescent="0.2">
      <c r="A137" s="22" t="str">
        <f>IF(LEFT(A136,2)="ID",CONCATENATE(MID($A$99,SEARCH(" ",$A$99)+1,10),"001"),CONCATENATE(MID($A$99,SEARCH(" ",$A$99)+1,10),TEXT(RIGHT(A136,3)+1,"000")))</f>
        <v>RQT038</v>
      </c>
      <c r="B137" s="25" t="s">
        <v>176</v>
      </c>
      <c r="C137" s="53" t="s">
        <v>190</v>
      </c>
      <c r="D137" s="27" t="s">
        <v>14</v>
      </c>
      <c r="E137" s="37"/>
      <c r="F137" s="27" t="s">
        <v>129</v>
      </c>
      <c r="G137" s="27" t="s">
        <v>129</v>
      </c>
      <c r="H137" s="19" t="s">
        <v>0</v>
      </c>
      <c r="I137" s="20"/>
      <c r="J137" s="21"/>
      <c r="K137" s="44" t="s">
        <v>394</v>
      </c>
    </row>
    <row r="138" spans="1:13" ht="28.5" customHeight="1" x14ac:dyDescent="0.2">
      <c r="A138" s="22" t="str">
        <f>IF(LEFT(A137,2)="ID",CONCATENATE(MID($A$99,SEARCH(" ",$A$99)+1,10),"001"),CONCATENATE(MID($A$99,SEARCH(" ",$A$99)+1,10),TEXT(RIGHT(A137,3)+1,"000")))</f>
        <v>RQT039</v>
      </c>
      <c r="B138" s="25" t="s">
        <v>176</v>
      </c>
      <c r="C138" s="53" t="s">
        <v>152</v>
      </c>
      <c r="D138" s="27" t="s">
        <v>15</v>
      </c>
      <c r="E138" s="37"/>
      <c r="F138" s="27" t="s">
        <v>129</v>
      </c>
      <c r="G138" s="27" t="s">
        <v>129</v>
      </c>
      <c r="H138" s="19" t="s">
        <v>0</v>
      </c>
      <c r="I138" s="20"/>
      <c r="J138" s="21"/>
      <c r="K138" s="44" t="s">
        <v>395</v>
      </c>
      <c r="M138" s="58"/>
    </row>
    <row r="139" spans="1:13" ht="51" x14ac:dyDescent="0.2">
      <c r="A139" s="22" t="str">
        <f>IF(LEFT(A138,2)="ID",CONCATENATE(MID($A$99,SEARCH(" ",$A$99)+1,10),"001"),CONCATENATE(MID($A$99,SEARCH(" ",$A$99)+1,10),TEXT(RIGHT(A138,3)+1,"000")))</f>
        <v>RQT040</v>
      </c>
      <c r="B139" s="25" t="s">
        <v>176</v>
      </c>
      <c r="C139" s="48" t="s">
        <v>187</v>
      </c>
      <c r="D139" s="27" t="s">
        <v>14</v>
      </c>
      <c r="E139" s="37"/>
      <c r="F139" s="27" t="s">
        <v>129</v>
      </c>
      <c r="G139" s="27" t="s">
        <v>129</v>
      </c>
      <c r="H139" s="19" t="s">
        <v>0</v>
      </c>
      <c r="I139" s="20"/>
      <c r="J139" s="21"/>
      <c r="K139" s="44" t="s">
        <v>396</v>
      </c>
      <c r="M139" s="58"/>
    </row>
    <row r="140" spans="1:13" ht="51" x14ac:dyDescent="0.2">
      <c r="A140" s="22" t="str">
        <f>IF(LEFT(A138,2)="ID",CONCATENATE(MID($A$99,SEARCH(" ",$A$99)+1,10),"001"),CONCATENATE(MID($A$99,SEARCH(" ",$A$99)+1,10),TEXT(RIGHT(A138,3)+1,"000")))</f>
        <v>RQT040</v>
      </c>
      <c r="B140" s="22" t="s">
        <v>176</v>
      </c>
      <c r="C140" s="48" t="s">
        <v>188</v>
      </c>
      <c r="D140" s="27" t="s">
        <v>15</v>
      </c>
      <c r="E140" s="37"/>
      <c r="F140" s="27" t="s">
        <v>129</v>
      </c>
      <c r="G140" s="27" t="s">
        <v>129</v>
      </c>
      <c r="H140" s="19" t="s">
        <v>0</v>
      </c>
      <c r="I140" s="20"/>
      <c r="J140" s="21"/>
      <c r="K140" s="44" t="s">
        <v>396</v>
      </c>
      <c r="M140" s="58"/>
    </row>
    <row r="141" spans="1:13" ht="38.25" x14ac:dyDescent="0.2">
      <c r="A141" s="22" t="str">
        <f t="shared" ref="A141:A154" si="5">IF(LEFT(A140,2)="ID",CONCATENATE(MID($A$99,SEARCH(" ",$A$99)+1,10),"001"),CONCATENATE(MID($A$99,SEARCH(" ",$A$99)+1,10),TEXT(RIGHT(A140,3)+1,"000")))</f>
        <v>RQT041</v>
      </c>
      <c r="B141" s="25" t="s">
        <v>176</v>
      </c>
      <c r="C141" s="49" t="s">
        <v>189</v>
      </c>
      <c r="D141" s="27" t="s">
        <v>15</v>
      </c>
      <c r="E141" s="37"/>
      <c r="F141" s="27" t="s">
        <v>129</v>
      </c>
      <c r="G141" s="27" t="s">
        <v>129</v>
      </c>
      <c r="H141" s="19" t="s">
        <v>0</v>
      </c>
      <c r="I141" s="20"/>
      <c r="J141" s="21"/>
      <c r="K141" s="44" t="s">
        <v>394</v>
      </c>
    </row>
    <row r="142" spans="1:13" ht="51" x14ac:dyDescent="0.2">
      <c r="A142" s="22" t="str">
        <f t="shared" si="5"/>
        <v>RQT042</v>
      </c>
      <c r="B142" s="22" t="s">
        <v>179</v>
      </c>
      <c r="C142" s="53" t="s">
        <v>195</v>
      </c>
      <c r="D142" s="27" t="s">
        <v>15</v>
      </c>
      <c r="E142" s="37"/>
      <c r="F142" s="27" t="s">
        <v>129</v>
      </c>
      <c r="G142" s="27" t="s">
        <v>129</v>
      </c>
      <c r="H142" s="19" t="s">
        <v>0</v>
      </c>
      <c r="I142" s="20"/>
      <c r="J142" s="21"/>
      <c r="K142" s="44" t="s">
        <v>397</v>
      </c>
    </row>
    <row r="143" spans="1:13" ht="38.25" x14ac:dyDescent="0.2">
      <c r="A143" s="22" t="str">
        <f t="shared" si="5"/>
        <v>RQT043</v>
      </c>
      <c r="B143" s="25" t="s">
        <v>179</v>
      </c>
      <c r="C143" s="53" t="s">
        <v>150</v>
      </c>
      <c r="D143" s="27" t="s">
        <v>14</v>
      </c>
      <c r="E143" s="37"/>
      <c r="F143" s="27" t="s">
        <v>129</v>
      </c>
      <c r="G143" s="27" t="s">
        <v>129</v>
      </c>
      <c r="H143" s="19" t="s">
        <v>0</v>
      </c>
      <c r="I143" s="20"/>
      <c r="J143" s="21"/>
      <c r="K143" s="44" t="s">
        <v>398</v>
      </c>
    </row>
    <row r="144" spans="1:13" ht="25.5" x14ac:dyDescent="0.2">
      <c r="A144" s="22" t="str">
        <f t="shared" si="5"/>
        <v>RQT044</v>
      </c>
      <c r="B144" s="25" t="s">
        <v>179</v>
      </c>
      <c r="C144" s="53" t="s">
        <v>151</v>
      </c>
      <c r="D144" s="27" t="s">
        <v>14</v>
      </c>
      <c r="E144" s="37"/>
      <c r="F144" s="27" t="s">
        <v>129</v>
      </c>
      <c r="G144" s="27" t="s">
        <v>129</v>
      </c>
      <c r="H144" s="19" t="s">
        <v>0</v>
      </c>
      <c r="I144" s="20"/>
      <c r="J144" s="21"/>
      <c r="K144" s="44" t="s">
        <v>399</v>
      </c>
    </row>
    <row r="145" spans="1:13" ht="51" x14ac:dyDescent="0.2">
      <c r="A145" s="22" t="str">
        <f t="shared" si="5"/>
        <v>RQT045</v>
      </c>
      <c r="B145" s="22" t="s">
        <v>179</v>
      </c>
      <c r="C145" s="63" t="s">
        <v>163</v>
      </c>
      <c r="D145" s="27" t="s">
        <v>14</v>
      </c>
      <c r="E145" s="37"/>
      <c r="F145" s="27" t="s">
        <v>129</v>
      </c>
      <c r="G145" s="27" t="s">
        <v>129</v>
      </c>
      <c r="H145" s="19" t="s">
        <v>94</v>
      </c>
      <c r="I145" s="20" t="s">
        <v>5</v>
      </c>
      <c r="J145" s="21">
        <v>0.15</v>
      </c>
      <c r="K145" s="60" t="s">
        <v>318</v>
      </c>
    </row>
    <row r="146" spans="1:13" ht="38.25" x14ac:dyDescent="0.2">
      <c r="A146" s="22" t="str">
        <f t="shared" si="5"/>
        <v>RQT046</v>
      </c>
      <c r="B146" s="22" t="s">
        <v>178</v>
      </c>
      <c r="C146" s="64" t="s">
        <v>275</v>
      </c>
      <c r="D146" s="27" t="s">
        <v>15</v>
      </c>
      <c r="E146" s="37"/>
      <c r="F146" s="27" t="s">
        <v>129</v>
      </c>
      <c r="G146" s="27" t="s">
        <v>129</v>
      </c>
      <c r="H146" s="19" t="s">
        <v>0</v>
      </c>
      <c r="I146" s="20"/>
      <c r="J146" s="21"/>
      <c r="K146" s="44" t="s">
        <v>400</v>
      </c>
    </row>
    <row r="147" spans="1:13" ht="25.5" x14ac:dyDescent="0.2">
      <c r="A147" s="22" t="str">
        <f t="shared" si="5"/>
        <v>RQT047</v>
      </c>
      <c r="B147" s="22" t="s">
        <v>178</v>
      </c>
      <c r="C147" s="48" t="s">
        <v>169</v>
      </c>
      <c r="D147" s="27" t="s">
        <v>14</v>
      </c>
      <c r="E147" s="37"/>
      <c r="F147" s="27" t="s">
        <v>129</v>
      </c>
      <c r="G147" s="27" t="s">
        <v>129</v>
      </c>
      <c r="H147" s="19" t="s">
        <v>0</v>
      </c>
      <c r="I147" s="20"/>
      <c r="J147" s="21"/>
      <c r="K147" s="44" t="s">
        <v>401</v>
      </c>
      <c r="M147" s="58"/>
    </row>
    <row r="148" spans="1:13" ht="30" customHeight="1" x14ac:dyDescent="0.2">
      <c r="A148" s="22" t="str">
        <f t="shared" si="5"/>
        <v>RQT048</v>
      </c>
      <c r="B148" s="25" t="s">
        <v>178</v>
      </c>
      <c r="C148" s="53" t="s">
        <v>300</v>
      </c>
      <c r="D148" s="27" t="s">
        <v>15</v>
      </c>
      <c r="E148" s="37" t="s">
        <v>292</v>
      </c>
      <c r="F148" s="27" t="s">
        <v>129</v>
      </c>
      <c r="G148" s="27" t="s">
        <v>129</v>
      </c>
      <c r="H148" s="19" t="s">
        <v>0</v>
      </c>
      <c r="I148" s="20"/>
      <c r="J148" s="21"/>
      <c r="K148" s="26" t="s">
        <v>344</v>
      </c>
    </row>
    <row r="149" spans="1:13" ht="25.5" x14ac:dyDescent="0.2">
      <c r="A149" s="22" t="str">
        <f t="shared" si="5"/>
        <v>RQT049</v>
      </c>
      <c r="B149" s="25" t="s">
        <v>178</v>
      </c>
      <c r="C149" s="53" t="s">
        <v>299</v>
      </c>
      <c r="D149" s="27" t="s">
        <v>15</v>
      </c>
      <c r="E149" s="37" t="s">
        <v>292</v>
      </c>
      <c r="F149" s="27" t="s">
        <v>129</v>
      </c>
      <c r="G149" s="27" t="s">
        <v>129</v>
      </c>
      <c r="H149" s="19" t="s">
        <v>0</v>
      </c>
      <c r="I149" s="20"/>
      <c r="J149" s="21"/>
      <c r="K149" s="26" t="s">
        <v>344</v>
      </c>
    </row>
    <row r="150" spans="1:13" ht="38.25" x14ac:dyDescent="0.2">
      <c r="A150" s="22" t="str">
        <f t="shared" si="5"/>
        <v>RQT050</v>
      </c>
      <c r="B150" s="25" t="s">
        <v>178</v>
      </c>
      <c r="C150" s="53" t="s">
        <v>192</v>
      </c>
      <c r="D150" s="27" t="s">
        <v>15</v>
      </c>
      <c r="E150" s="37" t="s">
        <v>292</v>
      </c>
      <c r="F150" s="27" t="s">
        <v>129</v>
      </c>
      <c r="G150" s="27" t="s">
        <v>129</v>
      </c>
      <c r="H150" s="19" t="s">
        <v>0</v>
      </c>
      <c r="I150" s="20"/>
      <c r="J150" s="21"/>
      <c r="K150" s="26" t="s">
        <v>344</v>
      </c>
    </row>
    <row r="151" spans="1:13" ht="25.5" x14ac:dyDescent="0.2">
      <c r="A151" s="22" t="str">
        <f t="shared" si="5"/>
        <v>RQT051</v>
      </c>
      <c r="B151" s="25" t="s">
        <v>178</v>
      </c>
      <c r="C151" s="53" t="s">
        <v>290</v>
      </c>
      <c r="D151" s="27" t="s">
        <v>15</v>
      </c>
      <c r="E151" s="37" t="s">
        <v>292</v>
      </c>
      <c r="F151" s="27" t="s">
        <v>129</v>
      </c>
      <c r="G151" s="27" t="s">
        <v>129</v>
      </c>
      <c r="H151" s="19" t="s">
        <v>0</v>
      </c>
      <c r="I151" s="20"/>
      <c r="J151" s="21"/>
      <c r="K151" s="26" t="s">
        <v>344</v>
      </c>
    </row>
    <row r="152" spans="1:13" ht="25.5" x14ac:dyDescent="0.2">
      <c r="A152" s="22" t="str">
        <f t="shared" si="5"/>
        <v>RQT052</v>
      </c>
      <c r="B152" s="25" t="s">
        <v>178</v>
      </c>
      <c r="C152" s="63" t="s">
        <v>162</v>
      </c>
      <c r="D152" s="27" t="s">
        <v>15</v>
      </c>
      <c r="E152" s="37"/>
      <c r="F152" s="27" t="s">
        <v>129</v>
      </c>
      <c r="G152" s="27" t="s">
        <v>129</v>
      </c>
      <c r="H152" s="19" t="s">
        <v>1</v>
      </c>
      <c r="I152" s="20"/>
      <c r="J152" s="21"/>
      <c r="K152" s="44" t="s">
        <v>402</v>
      </c>
      <c r="M152" s="58"/>
    </row>
    <row r="153" spans="1:13" ht="38.25" x14ac:dyDescent="0.2">
      <c r="A153" s="22" t="str">
        <f t="shared" si="5"/>
        <v>RQT053</v>
      </c>
      <c r="B153" s="25" t="s">
        <v>177</v>
      </c>
      <c r="C153" s="53" t="s">
        <v>193</v>
      </c>
      <c r="D153" s="27" t="s">
        <v>15</v>
      </c>
      <c r="E153" s="37"/>
      <c r="F153" s="27" t="s">
        <v>129</v>
      </c>
      <c r="G153" s="27" t="s">
        <v>129</v>
      </c>
      <c r="H153" s="19" t="s">
        <v>0</v>
      </c>
      <c r="I153" s="20"/>
      <c r="J153" s="21"/>
      <c r="K153" s="44" t="s">
        <v>400</v>
      </c>
    </row>
    <row r="154" spans="1:13" ht="38.25" x14ac:dyDescent="0.2">
      <c r="A154" s="22" t="str">
        <f t="shared" si="5"/>
        <v>RQT054</v>
      </c>
      <c r="B154" s="25" t="s">
        <v>177</v>
      </c>
      <c r="C154" s="53" t="s">
        <v>194</v>
      </c>
      <c r="D154" s="27" t="s">
        <v>15</v>
      </c>
      <c r="E154" s="37"/>
      <c r="F154" s="27" t="s">
        <v>129</v>
      </c>
      <c r="G154" s="27" t="s">
        <v>129</v>
      </c>
      <c r="H154" s="19" t="s">
        <v>0</v>
      </c>
      <c r="I154" s="20"/>
      <c r="J154" s="21"/>
      <c r="K154" s="44" t="s">
        <v>400</v>
      </c>
    </row>
    <row r="155" spans="1:13" x14ac:dyDescent="0.2">
      <c r="K155"/>
    </row>
    <row r="156" spans="1:13" ht="13.5" thickBot="1" x14ac:dyDescent="0.25">
      <c r="A156" s="14"/>
      <c r="B156" s="14"/>
      <c r="C156" s="7" t="s">
        <v>9</v>
      </c>
      <c r="D156" s="31"/>
      <c r="E156" s="31"/>
      <c r="F156" s="31"/>
      <c r="G156" s="31"/>
      <c r="H156" s="7" t="s">
        <v>10</v>
      </c>
      <c r="I156" s="5"/>
      <c r="J156" s="5"/>
      <c r="K156" s="5"/>
    </row>
    <row r="157" spans="1:13" ht="26.25" thickBot="1" x14ac:dyDescent="0.25">
      <c r="A157" s="8" t="s">
        <v>16</v>
      </c>
      <c r="B157" s="8" t="s">
        <v>17</v>
      </c>
      <c r="C157" s="10" t="s">
        <v>259</v>
      </c>
      <c r="D157" s="24" t="s">
        <v>82</v>
      </c>
      <c r="E157" s="24" t="s">
        <v>291</v>
      </c>
      <c r="F157" s="24" t="s">
        <v>196</v>
      </c>
      <c r="G157" s="24" t="s">
        <v>91</v>
      </c>
      <c r="H157" s="9" t="s">
        <v>218</v>
      </c>
      <c r="I157" s="9" t="s">
        <v>2</v>
      </c>
      <c r="J157" s="10" t="s">
        <v>12</v>
      </c>
      <c r="K157" s="9" t="s">
        <v>13</v>
      </c>
    </row>
    <row r="158" spans="1:13" ht="38.25" x14ac:dyDescent="0.2">
      <c r="A158" s="22" t="str">
        <f>IF(LEFT(A157,2)="ID",CONCATENATE(MID($A$157,SEARCH(" ",$A$157)+1,10),"001"),CONCATENATE(MID($A$157,SEARCH(" ",$A$157)+1,10),TEXT(RIGHT(A157,3)+1,"000")))</f>
        <v>RQS001</v>
      </c>
      <c r="B158" s="25" t="s">
        <v>21</v>
      </c>
      <c r="C158" s="54" t="s">
        <v>80</v>
      </c>
      <c r="D158" s="27" t="s">
        <v>15</v>
      </c>
      <c r="E158" s="37"/>
      <c r="F158" s="27" t="s">
        <v>129</v>
      </c>
      <c r="G158" s="27" t="s">
        <v>129</v>
      </c>
      <c r="H158" s="19" t="s">
        <v>0</v>
      </c>
      <c r="I158" s="20"/>
      <c r="J158" s="21"/>
      <c r="K158" s="23" t="s">
        <v>328</v>
      </c>
    </row>
    <row r="159" spans="1:13" ht="38.25" x14ac:dyDescent="0.2">
      <c r="A159" s="22" t="str">
        <f t="shared" ref="A159:A220" si="6">IF(LEFT(A158,2)="ID",CONCATENATE(MID($A$157,SEARCH(" ",$A$157)+1,10),"001"),CONCATENATE(MID($A$157,SEARCH(" ",$A$157)+1,10),TEXT(RIGHT(A158,3)+1,"000")))</f>
        <v>RQS002</v>
      </c>
      <c r="B159" s="25" t="s">
        <v>89</v>
      </c>
      <c r="C159" s="65" t="s">
        <v>79</v>
      </c>
      <c r="D159" s="27" t="s">
        <v>15</v>
      </c>
      <c r="E159" s="37"/>
      <c r="F159" s="27" t="s">
        <v>129</v>
      </c>
      <c r="G159" s="27" t="s">
        <v>129</v>
      </c>
      <c r="H159" s="19" t="s">
        <v>0</v>
      </c>
      <c r="I159" s="20"/>
      <c r="J159" s="21"/>
      <c r="K159" s="26" t="s">
        <v>403</v>
      </c>
    </row>
    <row r="160" spans="1:13" ht="54.75" customHeight="1" x14ac:dyDescent="0.2">
      <c r="A160" s="22" t="str">
        <f t="shared" si="6"/>
        <v>RQS003</v>
      </c>
      <c r="B160" s="25" t="s">
        <v>19</v>
      </c>
      <c r="C160" s="65" t="s">
        <v>25</v>
      </c>
      <c r="D160" s="27" t="s">
        <v>15</v>
      </c>
      <c r="E160" s="37"/>
      <c r="F160" s="27" t="s">
        <v>129</v>
      </c>
      <c r="G160" s="27" t="s">
        <v>129</v>
      </c>
      <c r="H160" s="19" t="s">
        <v>0</v>
      </c>
      <c r="I160" s="20"/>
      <c r="J160" s="21"/>
      <c r="K160" s="26" t="s">
        <v>403</v>
      </c>
    </row>
    <row r="161" spans="1:13" ht="38.25" x14ac:dyDescent="0.2">
      <c r="A161" s="22" t="str">
        <f t="shared" si="6"/>
        <v>RQS004</v>
      </c>
      <c r="B161" s="25" t="s">
        <v>89</v>
      </c>
      <c r="C161" s="65" t="s">
        <v>26</v>
      </c>
      <c r="D161" s="27" t="s">
        <v>15</v>
      </c>
      <c r="E161" s="37"/>
      <c r="F161" s="27" t="s">
        <v>129</v>
      </c>
      <c r="G161" s="27" t="s">
        <v>129</v>
      </c>
      <c r="H161" s="19" t="s">
        <v>0</v>
      </c>
      <c r="I161" s="20"/>
      <c r="J161" s="21"/>
      <c r="K161" s="26" t="s">
        <v>406</v>
      </c>
    </row>
    <row r="162" spans="1:13" ht="38.25" x14ac:dyDescent="0.2">
      <c r="A162" s="22" t="str">
        <f t="shared" si="6"/>
        <v>RQS005</v>
      </c>
      <c r="B162" s="25" t="s">
        <v>20</v>
      </c>
      <c r="C162" s="65" t="s">
        <v>81</v>
      </c>
      <c r="D162" s="27" t="s">
        <v>15</v>
      </c>
      <c r="E162" s="37"/>
      <c r="F162" s="27" t="s">
        <v>129</v>
      </c>
      <c r="G162" s="27" t="s">
        <v>129</v>
      </c>
      <c r="H162" s="19" t="s">
        <v>0</v>
      </c>
      <c r="I162" s="20"/>
      <c r="J162" s="21"/>
      <c r="K162" s="26" t="s">
        <v>403</v>
      </c>
    </row>
    <row r="163" spans="1:13" ht="38.25" x14ac:dyDescent="0.2">
      <c r="A163" s="22" t="str">
        <f t="shared" si="6"/>
        <v>RQS006</v>
      </c>
      <c r="B163" s="25" t="s">
        <v>20</v>
      </c>
      <c r="C163" s="65" t="s">
        <v>27</v>
      </c>
      <c r="D163" s="27" t="s">
        <v>15</v>
      </c>
      <c r="E163" s="37"/>
      <c r="F163" s="27" t="s">
        <v>129</v>
      </c>
      <c r="G163" s="27" t="s">
        <v>129</v>
      </c>
      <c r="H163" s="19" t="s">
        <v>1</v>
      </c>
      <c r="I163" s="20"/>
      <c r="J163" s="21"/>
      <c r="K163" s="44" t="s">
        <v>404</v>
      </c>
      <c r="M163" s="58"/>
    </row>
    <row r="164" spans="1:13" ht="38.25" x14ac:dyDescent="0.2">
      <c r="A164" s="22" t="str">
        <f t="shared" si="6"/>
        <v>RQS007</v>
      </c>
      <c r="B164" s="25" t="s">
        <v>20</v>
      </c>
      <c r="C164" s="65" t="s">
        <v>28</v>
      </c>
      <c r="D164" s="27" t="s">
        <v>15</v>
      </c>
      <c r="E164" s="37"/>
      <c r="F164" s="27" t="s">
        <v>129</v>
      </c>
      <c r="G164" s="27" t="s">
        <v>129</v>
      </c>
      <c r="H164" s="19" t="s">
        <v>0</v>
      </c>
      <c r="I164" s="20"/>
      <c r="J164" s="21"/>
      <c r="K164" s="44" t="s">
        <v>405</v>
      </c>
      <c r="M164" s="58"/>
    </row>
    <row r="165" spans="1:13" ht="327.75" customHeight="1" x14ac:dyDescent="0.2">
      <c r="A165" s="22" t="str">
        <f t="shared" si="6"/>
        <v>RQS008</v>
      </c>
      <c r="B165" s="25" t="s">
        <v>20</v>
      </c>
      <c r="C165" s="65" t="s">
        <v>29</v>
      </c>
      <c r="D165" s="27" t="s">
        <v>15</v>
      </c>
      <c r="E165" s="37"/>
      <c r="F165" s="27" t="s">
        <v>129</v>
      </c>
      <c r="G165" s="27" t="s">
        <v>129</v>
      </c>
      <c r="H165" s="19" t="s">
        <v>94</v>
      </c>
      <c r="I165" s="20" t="s">
        <v>4</v>
      </c>
      <c r="J165" s="21">
        <v>0.05</v>
      </c>
      <c r="K165" s="44" t="s">
        <v>407</v>
      </c>
    </row>
    <row r="166" spans="1:13" ht="51" x14ac:dyDescent="0.2">
      <c r="A166" s="22" t="str">
        <f t="shared" si="6"/>
        <v>RQS009</v>
      </c>
      <c r="B166" s="25" t="s">
        <v>21</v>
      </c>
      <c r="C166" s="65" t="s">
        <v>30</v>
      </c>
      <c r="D166" s="27" t="s">
        <v>15</v>
      </c>
      <c r="E166" s="37"/>
      <c r="F166" s="27" t="s">
        <v>129</v>
      </c>
      <c r="G166" s="27" t="s">
        <v>129</v>
      </c>
      <c r="H166" s="19" t="s">
        <v>94</v>
      </c>
      <c r="I166" s="20" t="s">
        <v>5</v>
      </c>
      <c r="J166" s="21">
        <v>0.1</v>
      </c>
      <c r="K166" s="44" t="s">
        <v>319</v>
      </c>
    </row>
    <row r="167" spans="1:13" ht="38.25" x14ac:dyDescent="0.2">
      <c r="A167" s="22" t="str">
        <f t="shared" si="6"/>
        <v>RQS010</v>
      </c>
      <c r="B167" s="25" t="s">
        <v>21</v>
      </c>
      <c r="C167" s="65" t="s">
        <v>31</v>
      </c>
      <c r="D167" s="27" t="s">
        <v>15</v>
      </c>
      <c r="E167" s="37"/>
      <c r="F167" s="27" t="s">
        <v>129</v>
      </c>
      <c r="G167" s="27" t="s">
        <v>129</v>
      </c>
      <c r="H167" s="19" t="s">
        <v>0</v>
      </c>
      <c r="I167" s="20"/>
      <c r="J167" s="21"/>
      <c r="K167" s="44" t="s">
        <v>408</v>
      </c>
    </row>
    <row r="168" spans="1:13" ht="38.25" x14ac:dyDescent="0.2">
      <c r="A168" s="22" t="str">
        <f t="shared" si="6"/>
        <v>RQS011</v>
      </c>
      <c r="B168" s="25" t="s">
        <v>21</v>
      </c>
      <c r="C168" s="65" t="s">
        <v>32</v>
      </c>
      <c r="D168" s="27" t="s">
        <v>15</v>
      </c>
      <c r="E168" s="37"/>
      <c r="F168" s="27" t="s">
        <v>129</v>
      </c>
      <c r="G168" s="27" t="s">
        <v>129</v>
      </c>
      <c r="H168" s="19" t="s">
        <v>0</v>
      </c>
      <c r="I168" s="20"/>
      <c r="J168" s="21"/>
      <c r="K168" s="44" t="s">
        <v>409</v>
      </c>
      <c r="M168" s="58"/>
    </row>
    <row r="169" spans="1:13" ht="51" x14ac:dyDescent="0.2">
      <c r="A169" s="22" t="str">
        <f t="shared" si="6"/>
        <v>RQS012</v>
      </c>
      <c r="B169" s="25" t="s">
        <v>21</v>
      </c>
      <c r="C169" s="65" t="s">
        <v>33</v>
      </c>
      <c r="D169" s="27" t="s">
        <v>15</v>
      </c>
      <c r="E169" s="37"/>
      <c r="F169" s="27" t="s">
        <v>129</v>
      </c>
      <c r="G169" s="27" t="s">
        <v>129</v>
      </c>
      <c r="H169" s="19" t="s">
        <v>0</v>
      </c>
      <c r="I169" s="20"/>
      <c r="J169" s="21"/>
      <c r="K169" s="44" t="s">
        <v>384</v>
      </c>
    </row>
    <row r="170" spans="1:13" ht="38.25" x14ac:dyDescent="0.2">
      <c r="A170" s="22" t="str">
        <f t="shared" si="6"/>
        <v>RQS013</v>
      </c>
      <c r="B170" s="25" t="s">
        <v>21</v>
      </c>
      <c r="C170" s="65" t="s">
        <v>34</v>
      </c>
      <c r="D170" s="27" t="s">
        <v>15</v>
      </c>
      <c r="E170" s="37"/>
      <c r="F170" s="27" t="s">
        <v>129</v>
      </c>
      <c r="G170" s="27" t="s">
        <v>129</v>
      </c>
      <c r="H170" s="19" t="s">
        <v>0</v>
      </c>
      <c r="I170" s="20"/>
      <c r="J170" s="21"/>
      <c r="K170" s="44" t="s">
        <v>410</v>
      </c>
    </row>
    <row r="171" spans="1:13" ht="38.25" x14ac:dyDescent="0.2">
      <c r="A171" s="22" t="str">
        <f t="shared" si="6"/>
        <v>RQS014</v>
      </c>
      <c r="B171" s="25" t="s">
        <v>21</v>
      </c>
      <c r="C171" s="65" t="s">
        <v>35</v>
      </c>
      <c r="D171" s="27" t="s">
        <v>15</v>
      </c>
      <c r="E171" s="37"/>
      <c r="F171" s="27" t="s">
        <v>129</v>
      </c>
      <c r="G171" s="27" t="s">
        <v>129</v>
      </c>
      <c r="H171" s="19" t="s">
        <v>0</v>
      </c>
      <c r="I171" s="20"/>
      <c r="J171" s="21"/>
      <c r="K171" s="44" t="s">
        <v>411</v>
      </c>
    </row>
    <row r="172" spans="1:13" ht="38.25" x14ac:dyDescent="0.2">
      <c r="A172" s="22" t="str">
        <f t="shared" si="6"/>
        <v>RQS015</v>
      </c>
      <c r="B172" s="25" t="s">
        <v>21</v>
      </c>
      <c r="C172" s="65" t="s">
        <v>36</v>
      </c>
      <c r="D172" s="27" t="s">
        <v>15</v>
      </c>
      <c r="E172" s="37"/>
      <c r="F172" s="27" t="s">
        <v>129</v>
      </c>
      <c r="G172" s="27" t="s">
        <v>129</v>
      </c>
      <c r="H172" s="19" t="s">
        <v>0</v>
      </c>
      <c r="I172" s="20"/>
      <c r="J172" s="21"/>
      <c r="K172" s="26" t="s">
        <v>403</v>
      </c>
    </row>
    <row r="173" spans="1:13" ht="110.25" customHeight="1" x14ac:dyDescent="0.2">
      <c r="A173" s="22" t="str">
        <f t="shared" si="6"/>
        <v>RQS016</v>
      </c>
      <c r="B173" s="25" t="s">
        <v>21</v>
      </c>
      <c r="C173" s="65" t="s">
        <v>83</v>
      </c>
      <c r="D173" s="27" t="s">
        <v>15</v>
      </c>
      <c r="E173" s="37"/>
      <c r="F173" s="27" t="s">
        <v>129</v>
      </c>
      <c r="G173" s="27" t="s">
        <v>129</v>
      </c>
      <c r="H173" s="19" t="s">
        <v>0</v>
      </c>
      <c r="I173" s="20"/>
      <c r="J173" s="21"/>
      <c r="K173" s="44" t="s">
        <v>316</v>
      </c>
      <c r="M173" s="58"/>
    </row>
    <row r="174" spans="1:13" ht="38.25" x14ac:dyDescent="0.2">
      <c r="A174" s="22" t="str">
        <f t="shared" si="6"/>
        <v>RQS017</v>
      </c>
      <c r="B174" s="25" t="s">
        <v>21</v>
      </c>
      <c r="C174" s="65" t="s">
        <v>37</v>
      </c>
      <c r="D174" s="27" t="s">
        <v>15</v>
      </c>
      <c r="E174" s="37"/>
      <c r="F174" s="27" t="s">
        <v>129</v>
      </c>
      <c r="G174" s="27" t="s">
        <v>129</v>
      </c>
      <c r="H174" s="19" t="s">
        <v>0</v>
      </c>
      <c r="I174" s="20"/>
      <c r="J174" s="21"/>
      <c r="K174" s="44" t="s">
        <v>316</v>
      </c>
      <c r="M174" s="58"/>
    </row>
    <row r="175" spans="1:13" ht="54.75" customHeight="1" x14ac:dyDescent="0.2">
      <c r="A175" s="22" t="str">
        <f t="shared" si="6"/>
        <v>RQS018</v>
      </c>
      <c r="B175" s="25" t="s">
        <v>21</v>
      </c>
      <c r="C175" s="65" t="s">
        <v>38</v>
      </c>
      <c r="D175" s="27" t="s">
        <v>15</v>
      </c>
      <c r="E175" s="37"/>
      <c r="F175" s="27" t="s">
        <v>129</v>
      </c>
      <c r="G175" s="27" t="s">
        <v>129</v>
      </c>
      <c r="H175" s="19" t="s">
        <v>0</v>
      </c>
      <c r="I175" s="20"/>
      <c r="J175" s="21"/>
      <c r="K175" s="44" t="s">
        <v>316</v>
      </c>
    </row>
    <row r="176" spans="1:13" ht="38.25" x14ac:dyDescent="0.2">
      <c r="A176" s="22" t="str">
        <f t="shared" si="6"/>
        <v>RQS019</v>
      </c>
      <c r="B176" s="25" t="s">
        <v>21</v>
      </c>
      <c r="C176" s="65" t="s">
        <v>39</v>
      </c>
      <c r="D176" s="27" t="s">
        <v>15</v>
      </c>
      <c r="E176" s="37"/>
      <c r="F176" s="27" t="s">
        <v>129</v>
      </c>
      <c r="G176" s="27" t="s">
        <v>129</v>
      </c>
      <c r="H176" s="19" t="s">
        <v>0</v>
      </c>
      <c r="I176" s="20"/>
      <c r="J176" s="21"/>
      <c r="K176" s="44" t="s">
        <v>316</v>
      </c>
    </row>
    <row r="177" spans="1:13" ht="38.25" x14ac:dyDescent="0.2">
      <c r="A177" s="22" t="str">
        <f t="shared" si="6"/>
        <v>RQS020</v>
      </c>
      <c r="B177" s="25" t="s">
        <v>21</v>
      </c>
      <c r="C177" s="65" t="s">
        <v>40</v>
      </c>
      <c r="D177" s="27" t="s">
        <v>15</v>
      </c>
      <c r="E177" s="37"/>
      <c r="F177" s="27" t="s">
        <v>129</v>
      </c>
      <c r="G177" s="27" t="s">
        <v>129</v>
      </c>
      <c r="H177" s="19" t="s">
        <v>0</v>
      </c>
      <c r="I177" s="20"/>
      <c r="J177" s="21"/>
      <c r="K177" s="44" t="s">
        <v>412</v>
      </c>
    </row>
    <row r="178" spans="1:13" ht="38.25" x14ac:dyDescent="0.2">
      <c r="A178" s="22" t="str">
        <f t="shared" si="6"/>
        <v>RQS021</v>
      </c>
      <c r="B178" s="25" t="s">
        <v>21</v>
      </c>
      <c r="C178" s="65" t="s">
        <v>41</v>
      </c>
      <c r="D178" s="27" t="s">
        <v>15</v>
      </c>
      <c r="E178" s="37"/>
      <c r="F178" s="27" t="s">
        <v>129</v>
      </c>
      <c r="G178" s="27" t="s">
        <v>129</v>
      </c>
      <c r="H178" s="19" t="s">
        <v>0</v>
      </c>
      <c r="I178" s="20"/>
      <c r="J178" s="21"/>
      <c r="K178" s="26" t="s">
        <v>403</v>
      </c>
    </row>
    <row r="179" spans="1:13" ht="38.25" x14ac:dyDescent="0.2">
      <c r="A179" s="22" t="str">
        <f t="shared" si="6"/>
        <v>RQS022</v>
      </c>
      <c r="B179" s="25" t="s">
        <v>21</v>
      </c>
      <c r="C179" s="65" t="s">
        <v>42</v>
      </c>
      <c r="D179" s="27" t="s">
        <v>15</v>
      </c>
      <c r="E179" s="37"/>
      <c r="F179" s="27" t="s">
        <v>129</v>
      </c>
      <c r="G179" s="27" t="s">
        <v>129</v>
      </c>
      <c r="H179" s="19" t="s">
        <v>0</v>
      </c>
      <c r="I179" s="20"/>
      <c r="J179" s="21"/>
      <c r="K179" s="26" t="s">
        <v>403</v>
      </c>
    </row>
    <row r="180" spans="1:13" ht="38.25" x14ac:dyDescent="0.2">
      <c r="A180" s="22" t="str">
        <f t="shared" si="6"/>
        <v>RQS023</v>
      </c>
      <c r="B180" s="25" t="s">
        <v>21</v>
      </c>
      <c r="C180" s="65" t="s">
        <v>43</v>
      </c>
      <c r="D180" s="27" t="s">
        <v>15</v>
      </c>
      <c r="E180" s="37"/>
      <c r="F180" s="27" t="s">
        <v>129</v>
      </c>
      <c r="G180" s="27" t="s">
        <v>129</v>
      </c>
      <c r="H180" s="19" t="s">
        <v>0</v>
      </c>
      <c r="I180" s="20"/>
      <c r="J180" s="21"/>
      <c r="K180" s="44" t="s">
        <v>328</v>
      </c>
    </row>
    <row r="181" spans="1:13" ht="38.25" x14ac:dyDescent="0.2">
      <c r="A181" s="22" t="str">
        <f t="shared" si="6"/>
        <v>RQS024</v>
      </c>
      <c r="B181" s="25" t="s">
        <v>21</v>
      </c>
      <c r="C181" s="65" t="s">
        <v>44</v>
      </c>
      <c r="D181" s="27" t="s">
        <v>15</v>
      </c>
      <c r="E181" s="37"/>
      <c r="F181" s="27" t="s">
        <v>129</v>
      </c>
      <c r="G181" s="27" t="s">
        <v>129</v>
      </c>
      <c r="H181" s="19" t="s">
        <v>0</v>
      </c>
      <c r="I181" s="20"/>
      <c r="J181" s="21"/>
      <c r="K181" s="44" t="s">
        <v>413</v>
      </c>
    </row>
    <row r="182" spans="1:13" ht="38.25" x14ac:dyDescent="0.2">
      <c r="A182" s="22" t="str">
        <f t="shared" si="6"/>
        <v>RQS025</v>
      </c>
      <c r="B182" s="25" t="s">
        <v>21</v>
      </c>
      <c r="C182" s="65" t="s">
        <v>45</v>
      </c>
      <c r="D182" s="27" t="s">
        <v>15</v>
      </c>
      <c r="E182" s="37"/>
      <c r="F182" s="27" t="s">
        <v>129</v>
      </c>
      <c r="G182" s="27" t="s">
        <v>129</v>
      </c>
      <c r="H182" s="19" t="s">
        <v>0</v>
      </c>
      <c r="I182" s="20"/>
      <c r="J182" s="21"/>
      <c r="K182" s="26" t="s">
        <v>403</v>
      </c>
    </row>
    <row r="183" spans="1:13" ht="38.25" x14ac:dyDescent="0.2">
      <c r="A183" s="22" t="str">
        <f t="shared" si="6"/>
        <v>RQS026</v>
      </c>
      <c r="B183" s="25" t="s">
        <v>21</v>
      </c>
      <c r="C183" s="65" t="s">
        <v>46</v>
      </c>
      <c r="D183" s="27" t="s">
        <v>15</v>
      </c>
      <c r="E183" s="37"/>
      <c r="F183" s="27" t="s">
        <v>129</v>
      </c>
      <c r="G183" s="27" t="s">
        <v>129</v>
      </c>
      <c r="H183" s="19" t="s">
        <v>0</v>
      </c>
      <c r="I183" s="20"/>
      <c r="J183" s="21"/>
      <c r="K183" s="44" t="s">
        <v>414</v>
      </c>
    </row>
    <row r="184" spans="1:13" ht="63.75" x14ac:dyDescent="0.2">
      <c r="A184" s="22" t="str">
        <f t="shared" si="6"/>
        <v>RQS027</v>
      </c>
      <c r="B184" s="25" t="s">
        <v>21</v>
      </c>
      <c r="C184" s="65" t="s">
        <v>47</v>
      </c>
      <c r="D184" s="27" t="s">
        <v>15</v>
      </c>
      <c r="E184" s="37"/>
      <c r="F184" s="27" t="s">
        <v>129</v>
      </c>
      <c r="G184" s="27" t="s">
        <v>129</v>
      </c>
      <c r="H184" s="19" t="s">
        <v>0</v>
      </c>
      <c r="I184" s="20"/>
      <c r="J184" s="21"/>
      <c r="K184" s="26" t="s">
        <v>403</v>
      </c>
    </row>
    <row r="185" spans="1:13" ht="51" x14ac:dyDescent="0.2">
      <c r="A185" s="22" t="str">
        <f t="shared" si="6"/>
        <v>RQS028</v>
      </c>
      <c r="B185" s="25" t="s">
        <v>21</v>
      </c>
      <c r="C185" s="65" t="s">
        <v>48</v>
      </c>
      <c r="D185" s="27" t="s">
        <v>15</v>
      </c>
      <c r="E185" s="37"/>
      <c r="F185" s="27" t="s">
        <v>129</v>
      </c>
      <c r="G185" s="27" t="s">
        <v>129</v>
      </c>
      <c r="H185" s="19" t="s">
        <v>0</v>
      </c>
      <c r="I185" s="20"/>
      <c r="J185" s="21"/>
      <c r="K185" s="26" t="s">
        <v>403</v>
      </c>
    </row>
    <row r="186" spans="1:13" ht="38.25" x14ac:dyDescent="0.2">
      <c r="A186" s="22" t="str">
        <f t="shared" si="6"/>
        <v>RQS029</v>
      </c>
      <c r="B186" s="25" t="s">
        <v>21</v>
      </c>
      <c r="C186" s="65" t="s">
        <v>49</v>
      </c>
      <c r="D186" s="27" t="s">
        <v>15</v>
      </c>
      <c r="E186" s="37"/>
      <c r="F186" s="27" t="s">
        <v>129</v>
      </c>
      <c r="G186" s="27" t="s">
        <v>129</v>
      </c>
      <c r="H186" s="19" t="s">
        <v>0</v>
      </c>
      <c r="I186" s="20"/>
      <c r="J186" s="21"/>
      <c r="K186" s="26" t="s">
        <v>403</v>
      </c>
    </row>
    <row r="187" spans="1:13" ht="38.25" x14ac:dyDescent="0.2">
      <c r="A187" s="22" t="str">
        <f t="shared" si="6"/>
        <v>RQS030</v>
      </c>
      <c r="B187" s="25" t="s">
        <v>21</v>
      </c>
      <c r="C187" s="65" t="s">
        <v>50</v>
      </c>
      <c r="D187" s="27" t="s">
        <v>15</v>
      </c>
      <c r="E187" s="37"/>
      <c r="F187" s="27" t="s">
        <v>129</v>
      </c>
      <c r="G187" s="27" t="s">
        <v>129</v>
      </c>
      <c r="H187" s="19" t="s">
        <v>0</v>
      </c>
      <c r="I187" s="20"/>
      <c r="J187" s="21"/>
      <c r="K187" s="26" t="s">
        <v>403</v>
      </c>
    </row>
    <row r="188" spans="1:13" ht="38.25" x14ac:dyDescent="0.2">
      <c r="A188" s="22" t="str">
        <f t="shared" si="6"/>
        <v>RQS031</v>
      </c>
      <c r="B188" s="25" t="s">
        <v>21</v>
      </c>
      <c r="C188" s="65" t="s">
        <v>51</v>
      </c>
      <c r="D188" s="27" t="s">
        <v>15</v>
      </c>
      <c r="E188" s="37"/>
      <c r="F188" s="27" t="s">
        <v>129</v>
      </c>
      <c r="G188" s="27" t="s">
        <v>129</v>
      </c>
      <c r="H188" s="19" t="s">
        <v>0</v>
      </c>
      <c r="I188" s="20"/>
      <c r="J188" s="21"/>
      <c r="K188" s="26" t="s">
        <v>403</v>
      </c>
    </row>
    <row r="189" spans="1:13" ht="119.25" customHeight="1" x14ac:dyDescent="0.2">
      <c r="A189" s="22" t="str">
        <f t="shared" si="6"/>
        <v>RQS032</v>
      </c>
      <c r="B189" s="25" t="s">
        <v>21</v>
      </c>
      <c r="C189" s="65" t="s">
        <v>52</v>
      </c>
      <c r="D189" s="27" t="s">
        <v>15</v>
      </c>
      <c r="E189" s="37"/>
      <c r="F189" s="27" t="s">
        <v>129</v>
      </c>
      <c r="G189" s="27" t="s">
        <v>129</v>
      </c>
      <c r="H189" s="19" t="s">
        <v>0</v>
      </c>
      <c r="I189" s="20"/>
      <c r="J189" s="21"/>
      <c r="K189" s="44" t="s">
        <v>320</v>
      </c>
      <c r="M189" s="58"/>
    </row>
    <row r="190" spans="1:13" ht="38.25" x14ac:dyDescent="0.2">
      <c r="A190" s="22" t="str">
        <f t="shared" si="6"/>
        <v>RQS033</v>
      </c>
      <c r="B190" s="25" t="s">
        <v>21</v>
      </c>
      <c r="C190" s="65" t="s">
        <v>53</v>
      </c>
      <c r="D190" s="27" t="s">
        <v>15</v>
      </c>
      <c r="E190" s="37"/>
      <c r="F190" s="27" t="s">
        <v>129</v>
      </c>
      <c r="G190" s="27" t="s">
        <v>129</v>
      </c>
      <c r="H190" s="19" t="s">
        <v>0</v>
      </c>
      <c r="I190" s="20"/>
      <c r="J190" s="21"/>
      <c r="K190" s="44" t="s">
        <v>313</v>
      </c>
    </row>
    <row r="191" spans="1:13" ht="38.25" x14ac:dyDescent="0.2">
      <c r="A191" s="22" t="str">
        <f t="shared" si="6"/>
        <v>RQS034</v>
      </c>
      <c r="B191" s="25" t="s">
        <v>21</v>
      </c>
      <c r="C191" s="66" t="s">
        <v>54</v>
      </c>
      <c r="D191" s="27" t="s">
        <v>15</v>
      </c>
      <c r="E191" s="37"/>
      <c r="F191" s="27" t="s">
        <v>129</v>
      </c>
      <c r="G191" s="27" t="s">
        <v>129</v>
      </c>
      <c r="H191" s="19" t="s">
        <v>0</v>
      </c>
      <c r="I191" s="20"/>
      <c r="J191" s="21"/>
      <c r="K191" s="26" t="s">
        <v>403</v>
      </c>
    </row>
    <row r="192" spans="1:13" ht="38.25" x14ac:dyDescent="0.2">
      <c r="A192" s="22" t="str">
        <f t="shared" si="6"/>
        <v>RQS035</v>
      </c>
      <c r="B192" s="25" t="s">
        <v>21</v>
      </c>
      <c r="C192" s="65" t="s">
        <v>84</v>
      </c>
      <c r="D192" s="27" t="s">
        <v>15</v>
      </c>
      <c r="E192" s="37"/>
      <c r="F192" s="27" t="s">
        <v>129</v>
      </c>
      <c r="G192" s="27" t="s">
        <v>129</v>
      </c>
      <c r="H192" s="19" t="s">
        <v>0</v>
      </c>
      <c r="I192" s="20"/>
      <c r="J192" s="21"/>
      <c r="K192" s="26" t="s">
        <v>403</v>
      </c>
    </row>
    <row r="193" spans="1:13" ht="51" x14ac:dyDescent="0.2">
      <c r="A193" s="22" t="str">
        <f t="shared" si="6"/>
        <v>RQS036</v>
      </c>
      <c r="B193" s="25" t="s">
        <v>21</v>
      </c>
      <c r="C193" s="65" t="s">
        <v>55</v>
      </c>
      <c r="D193" s="27" t="s">
        <v>15</v>
      </c>
      <c r="E193" s="37"/>
      <c r="F193" s="27" t="s">
        <v>129</v>
      </c>
      <c r="G193" s="27" t="s">
        <v>129</v>
      </c>
      <c r="H193" s="19" t="s">
        <v>0</v>
      </c>
      <c r="I193" s="20"/>
      <c r="J193" s="21"/>
      <c r="K193" s="26" t="s">
        <v>403</v>
      </c>
    </row>
    <row r="194" spans="1:13" ht="118.5" customHeight="1" x14ac:dyDescent="0.2">
      <c r="A194" s="22" t="str">
        <f t="shared" si="6"/>
        <v>RQS037</v>
      </c>
      <c r="B194" s="25" t="s">
        <v>21</v>
      </c>
      <c r="C194" s="65" t="s">
        <v>56</v>
      </c>
      <c r="D194" s="27" t="s">
        <v>15</v>
      </c>
      <c r="E194" s="37"/>
      <c r="F194" s="27" t="s">
        <v>129</v>
      </c>
      <c r="G194" s="27" t="s">
        <v>129</v>
      </c>
      <c r="H194" s="19" t="s">
        <v>1</v>
      </c>
      <c r="I194" s="20"/>
      <c r="J194" s="21"/>
      <c r="K194" s="44" t="s">
        <v>415</v>
      </c>
      <c r="M194" s="58"/>
    </row>
    <row r="195" spans="1:13" ht="76.5" x14ac:dyDescent="0.2">
      <c r="A195" s="22" t="str">
        <f t="shared" si="6"/>
        <v>RQS038</v>
      </c>
      <c r="B195" s="25" t="s">
        <v>89</v>
      </c>
      <c r="C195" s="65" t="s">
        <v>57</v>
      </c>
      <c r="D195" s="27" t="s">
        <v>15</v>
      </c>
      <c r="E195" s="37"/>
      <c r="F195" s="27" t="s">
        <v>129</v>
      </c>
      <c r="G195" s="27" t="s">
        <v>129</v>
      </c>
      <c r="H195" s="19" t="s">
        <v>0</v>
      </c>
      <c r="I195" s="20"/>
      <c r="J195" s="21"/>
      <c r="K195" s="26" t="s">
        <v>403</v>
      </c>
    </row>
    <row r="196" spans="1:13" ht="38.25" x14ac:dyDescent="0.2">
      <c r="A196" s="22" t="str">
        <f t="shared" si="6"/>
        <v>RQS039</v>
      </c>
      <c r="B196" s="25" t="s">
        <v>89</v>
      </c>
      <c r="C196" s="65" t="s">
        <v>58</v>
      </c>
      <c r="D196" s="27" t="s">
        <v>15</v>
      </c>
      <c r="E196" s="37"/>
      <c r="F196" s="27" t="s">
        <v>129</v>
      </c>
      <c r="G196" s="27" t="s">
        <v>129</v>
      </c>
      <c r="H196" s="19" t="s">
        <v>0</v>
      </c>
      <c r="I196" s="20"/>
      <c r="J196" s="21"/>
      <c r="K196" s="44" t="s">
        <v>416</v>
      </c>
    </row>
    <row r="197" spans="1:13" ht="38.25" x14ac:dyDescent="0.2">
      <c r="A197" s="22" t="str">
        <f t="shared" si="6"/>
        <v>RQS040</v>
      </c>
      <c r="B197" s="25" t="s">
        <v>89</v>
      </c>
      <c r="C197" s="65" t="s">
        <v>59</v>
      </c>
      <c r="D197" s="27" t="s">
        <v>15</v>
      </c>
      <c r="E197" s="37"/>
      <c r="F197" s="27" t="s">
        <v>129</v>
      </c>
      <c r="G197" s="27" t="s">
        <v>129</v>
      </c>
      <c r="H197" s="19" t="s">
        <v>0</v>
      </c>
      <c r="I197" s="20"/>
      <c r="J197" s="21"/>
      <c r="K197" s="26" t="s">
        <v>403</v>
      </c>
    </row>
    <row r="198" spans="1:13" ht="159" customHeight="1" x14ac:dyDescent="0.2">
      <c r="A198" s="22" t="str">
        <f t="shared" si="6"/>
        <v>RQS041</v>
      </c>
      <c r="B198" s="25" t="s">
        <v>89</v>
      </c>
      <c r="C198" s="65" t="s">
        <v>60</v>
      </c>
      <c r="D198" s="27" t="s">
        <v>15</v>
      </c>
      <c r="E198" s="37"/>
      <c r="F198" s="27" t="s">
        <v>129</v>
      </c>
      <c r="G198" s="27" t="s">
        <v>129</v>
      </c>
      <c r="H198" s="19" t="s">
        <v>0</v>
      </c>
      <c r="I198" s="20"/>
      <c r="J198" s="21"/>
      <c r="K198" s="44" t="s">
        <v>417</v>
      </c>
    </row>
    <row r="199" spans="1:13" ht="51" x14ac:dyDescent="0.2">
      <c r="A199" s="22" t="str">
        <f t="shared" si="6"/>
        <v>RQS042</v>
      </c>
      <c r="B199" s="25" t="s">
        <v>22</v>
      </c>
      <c r="C199" s="65" t="s">
        <v>61</v>
      </c>
      <c r="D199" s="27" t="s">
        <v>15</v>
      </c>
      <c r="E199" s="37"/>
      <c r="F199" s="27" t="s">
        <v>129</v>
      </c>
      <c r="G199" s="27" t="s">
        <v>129</v>
      </c>
      <c r="H199" s="19" t="s">
        <v>0</v>
      </c>
      <c r="I199" s="20"/>
      <c r="J199" s="21"/>
      <c r="K199" s="44" t="s">
        <v>417</v>
      </c>
    </row>
    <row r="200" spans="1:13" ht="60.75" customHeight="1" x14ac:dyDescent="0.2">
      <c r="A200" s="22" t="str">
        <f t="shared" si="6"/>
        <v>RQS043</v>
      </c>
      <c r="B200" s="25" t="s">
        <v>22</v>
      </c>
      <c r="C200" s="65" t="s">
        <v>62</v>
      </c>
      <c r="D200" s="27" t="s">
        <v>15</v>
      </c>
      <c r="E200" s="37"/>
      <c r="F200" s="27" t="s">
        <v>129</v>
      </c>
      <c r="G200" s="27" t="s">
        <v>129</v>
      </c>
      <c r="H200" s="19" t="s">
        <v>0</v>
      </c>
      <c r="I200" s="20"/>
      <c r="J200" s="21"/>
      <c r="K200" s="44" t="s">
        <v>417</v>
      </c>
    </row>
    <row r="201" spans="1:13" ht="51" x14ac:dyDescent="0.2">
      <c r="A201" s="22" t="str">
        <f t="shared" si="6"/>
        <v>RQS044</v>
      </c>
      <c r="B201" s="25" t="s">
        <v>22</v>
      </c>
      <c r="C201" s="65" t="s">
        <v>63</v>
      </c>
      <c r="D201" s="27" t="s">
        <v>15</v>
      </c>
      <c r="E201" s="37"/>
      <c r="F201" s="27" t="s">
        <v>129</v>
      </c>
      <c r="G201" s="27" t="s">
        <v>129</v>
      </c>
      <c r="H201" s="19" t="s">
        <v>0</v>
      </c>
      <c r="I201" s="20"/>
      <c r="J201" s="21"/>
      <c r="K201" s="26" t="s">
        <v>403</v>
      </c>
    </row>
    <row r="202" spans="1:13" ht="56.25" customHeight="1" x14ac:dyDescent="0.2">
      <c r="A202" s="22" t="str">
        <f t="shared" si="6"/>
        <v>RQS045</v>
      </c>
      <c r="B202" s="25" t="s">
        <v>22</v>
      </c>
      <c r="C202" s="65" t="s">
        <v>85</v>
      </c>
      <c r="D202" s="27" t="s">
        <v>15</v>
      </c>
      <c r="E202" s="37"/>
      <c r="F202" s="27" t="s">
        <v>129</v>
      </c>
      <c r="G202" s="27" t="s">
        <v>129</v>
      </c>
      <c r="H202" s="19" t="s">
        <v>0</v>
      </c>
      <c r="I202" s="20"/>
      <c r="J202" s="21"/>
      <c r="K202" s="44" t="s">
        <v>418</v>
      </c>
    </row>
    <row r="203" spans="1:13" ht="51" x14ac:dyDescent="0.2">
      <c r="A203" s="22" t="str">
        <f t="shared" si="6"/>
        <v>RQS046</v>
      </c>
      <c r="B203" s="25" t="s">
        <v>22</v>
      </c>
      <c r="C203" s="65" t="s">
        <v>64</v>
      </c>
      <c r="D203" s="27" t="s">
        <v>15</v>
      </c>
      <c r="E203" s="37"/>
      <c r="F203" s="27" t="s">
        <v>129</v>
      </c>
      <c r="G203" s="27" t="s">
        <v>129</v>
      </c>
      <c r="H203" s="19" t="s">
        <v>0</v>
      </c>
      <c r="I203" s="20"/>
      <c r="J203" s="21"/>
      <c r="K203" s="26" t="s">
        <v>419</v>
      </c>
    </row>
    <row r="204" spans="1:13" ht="51" x14ac:dyDescent="0.2">
      <c r="A204" s="22" t="str">
        <f t="shared" si="6"/>
        <v>RQS047</v>
      </c>
      <c r="B204" s="25" t="s">
        <v>22</v>
      </c>
      <c r="C204" s="65" t="s">
        <v>65</v>
      </c>
      <c r="D204" s="27" t="s">
        <v>15</v>
      </c>
      <c r="E204" s="37"/>
      <c r="F204" s="27" t="s">
        <v>129</v>
      </c>
      <c r="G204" s="27" t="s">
        <v>129</v>
      </c>
      <c r="H204" s="19" t="s">
        <v>0</v>
      </c>
      <c r="I204" s="20"/>
      <c r="J204" s="21"/>
      <c r="K204" s="44" t="s">
        <v>420</v>
      </c>
    </row>
    <row r="205" spans="1:13" ht="51" x14ac:dyDescent="0.2">
      <c r="A205" s="22" t="str">
        <f t="shared" si="6"/>
        <v>RQS048</v>
      </c>
      <c r="B205" s="25" t="s">
        <v>22</v>
      </c>
      <c r="C205" s="65" t="s">
        <v>66</v>
      </c>
      <c r="D205" s="27" t="s">
        <v>15</v>
      </c>
      <c r="E205" s="37"/>
      <c r="F205" s="27" t="s">
        <v>129</v>
      </c>
      <c r="G205" s="27" t="s">
        <v>129</v>
      </c>
      <c r="H205" s="19" t="s">
        <v>0</v>
      </c>
      <c r="I205" s="20"/>
      <c r="J205" s="21"/>
      <c r="K205" s="26" t="s">
        <v>403</v>
      </c>
    </row>
    <row r="206" spans="1:13" ht="54" customHeight="1" x14ac:dyDescent="0.2">
      <c r="A206" s="22" t="str">
        <f t="shared" si="6"/>
        <v>RQS049</v>
      </c>
      <c r="B206" s="25" t="s">
        <v>22</v>
      </c>
      <c r="C206" s="65" t="s">
        <v>67</v>
      </c>
      <c r="D206" s="27" t="s">
        <v>15</v>
      </c>
      <c r="E206" s="37"/>
      <c r="F206" s="27" t="s">
        <v>129</v>
      </c>
      <c r="G206" s="27" t="s">
        <v>129</v>
      </c>
      <c r="H206" s="19" t="s">
        <v>0</v>
      </c>
      <c r="I206" s="20"/>
      <c r="J206" s="21"/>
      <c r="K206" s="26" t="s">
        <v>403</v>
      </c>
    </row>
    <row r="207" spans="1:13" ht="55.5" customHeight="1" x14ac:dyDescent="0.2">
      <c r="A207" s="22" t="str">
        <f t="shared" si="6"/>
        <v>RQS050</v>
      </c>
      <c r="B207" s="25" t="s">
        <v>22</v>
      </c>
      <c r="C207" s="65" t="s">
        <v>68</v>
      </c>
      <c r="D207" s="27" t="s">
        <v>15</v>
      </c>
      <c r="E207" s="37"/>
      <c r="F207" s="27" t="s">
        <v>129</v>
      </c>
      <c r="G207" s="27" t="s">
        <v>129</v>
      </c>
      <c r="H207" s="19" t="s">
        <v>0</v>
      </c>
      <c r="I207" s="20"/>
      <c r="J207" s="21"/>
      <c r="K207" s="26" t="s">
        <v>403</v>
      </c>
    </row>
    <row r="208" spans="1:13" ht="114.75" x14ac:dyDescent="0.2">
      <c r="A208" s="22" t="str">
        <f t="shared" si="6"/>
        <v>RQS051</v>
      </c>
      <c r="B208" s="25" t="s">
        <v>22</v>
      </c>
      <c r="C208" s="65" t="s">
        <v>69</v>
      </c>
      <c r="D208" s="27" t="s">
        <v>15</v>
      </c>
      <c r="E208" s="37"/>
      <c r="F208" s="27" t="s">
        <v>129</v>
      </c>
      <c r="G208" s="27" t="s">
        <v>129</v>
      </c>
      <c r="H208" s="19" t="s">
        <v>0</v>
      </c>
      <c r="I208" s="20"/>
      <c r="J208" s="21"/>
      <c r="K208" s="26" t="s">
        <v>403</v>
      </c>
    </row>
    <row r="209" spans="1:13" ht="174" customHeight="1" x14ac:dyDescent="0.2">
      <c r="A209" s="22" t="str">
        <f t="shared" si="6"/>
        <v>RQS052</v>
      </c>
      <c r="B209" s="25" t="s">
        <v>22</v>
      </c>
      <c r="C209" s="65" t="s">
        <v>70</v>
      </c>
      <c r="D209" s="27" t="s">
        <v>15</v>
      </c>
      <c r="E209" s="37"/>
      <c r="F209" s="27" t="s">
        <v>129</v>
      </c>
      <c r="G209" s="27" t="s">
        <v>129</v>
      </c>
      <c r="H209" s="19" t="s">
        <v>0</v>
      </c>
      <c r="I209" s="20"/>
      <c r="J209" s="21"/>
      <c r="K209" s="26" t="s">
        <v>421</v>
      </c>
    </row>
    <row r="210" spans="1:13" ht="51" x14ac:dyDescent="0.2">
      <c r="A210" s="22" t="str">
        <f t="shared" si="6"/>
        <v>RQS053</v>
      </c>
      <c r="B210" s="25" t="s">
        <v>22</v>
      </c>
      <c r="C210" s="65" t="s">
        <v>71</v>
      </c>
      <c r="D210" s="27" t="s">
        <v>15</v>
      </c>
      <c r="E210" s="37"/>
      <c r="F210" s="27" t="s">
        <v>129</v>
      </c>
      <c r="G210" s="27" t="s">
        <v>129</v>
      </c>
      <c r="H210" s="19" t="s">
        <v>0</v>
      </c>
      <c r="I210" s="20"/>
      <c r="J210" s="21"/>
      <c r="K210" s="26" t="s">
        <v>421</v>
      </c>
      <c r="M210" s="58"/>
    </row>
    <row r="211" spans="1:13" ht="51" x14ac:dyDescent="0.2">
      <c r="A211" s="22" t="str">
        <f t="shared" si="6"/>
        <v>RQS054</v>
      </c>
      <c r="B211" s="25" t="s">
        <v>22</v>
      </c>
      <c r="C211" s="65" t="s">
        <v>72</v>
      </c>
      <c r="D211" s="27" t="s">
        <v>15</v>
      </c>
      <c r="E211" s="37"/>
      <c r="F211" s="27" t="s">
        <v>129</v>
      </c>
      <c r="G211" s="27" t="s">
        <v>129</v>
      </c>
      <c r="H211" s="19" t="s">
        <v>0</v>
      </c>
      <c r="I211" s="20"/>
      <c r="J211" s="21"/>
      <c r="K211" s="26" t="s">
        <v>403</v>
      </c>
    </row>
    <row r="212" spans="1:13" ht="51" x14ac:dyDescent="0.2">
      <c r="A212" s="22" t="str">
        <f t="shared" si="6"/>
        <v>RQS055</v>
      </c>
      <c r="B212" s="25" t="s">
        <v>22</v>
      </c>
      <c r="C212" s="65" t="s">
        <v>73</v>
      </c>
      <c r="D212" s="27" t="s">
        <v>15</v>
      </c>
      <c r="E212" s="37"/>
      <c r="F212" s="27" t="s">
        <v>129</v>
      </c>
      <c r="G212" s="27" t="s">
        <v>129</v>
      </c>
      <c r="H212" s="19" t="s">
        <v>0</v>
      </c>
      <c r="I212" s="20"/>
      <c r="J212" s="21"/>
      <c r="K212" s="44" t="s">
        <v>422</v>
      </c>
    </row>
    <row r="213" spans="1:13" ht="54" customHeight="1" x14ac:dyDescent="0.2">
      <c r="A213" s="22" t="str">
        <f t="shared" si="6"/>
        <v>RQS056</v>
      </c>
      <c r="B213" s="25" t="s">
        <v>23</v>
      </c>
      <c r="C213" s="65" t="s">
        <v>74</v>
      </c>
      <c r="D213" s="27" t="s">
        <v>15</v>
      </c>
      <c r="E213" s="37"/>
      <c r="F213" s="27" t="s">
        <v>129</v>
      </c>
      <c r="G213" s="27" t="s">
        <v>129</v>
      </c>
      <c r="H213" s="19" t="s">
        <v>0</v>
      </c>
      <c r="I213" s="20"/>
      <c r="J213" s="21"/>
      <c r="K213" s="44" t="s">
        <v>422</v>
      </c>
    </row>
    <row r="214" spans="1:13" ht="25.5" x14ac:dyDescent="0.2">
      <c r="A214" s="22" t="str">
        <f t="shared" si="6"/>
        <v>RQS057</v>
      </c>
      <c r="B214" s="25" t="s">
        <v>89</v>
      </c>
      <c r="C214" s="65" t="s">
        <v>75</v>
      </c>
      <c r="D214" s="27" t="s">
        <v>15</v>
      </c>
      <c r="E214" s="37"/>
      <c r="F214" s="27" t="s">
        <v>129</v>
      </c>
      <c r="G214" s="27" t="s">
        <v>129</v>
      </c>
      <c r="H214" s="19" t="s">
        <v>0</v>
      </c>
      <c r="I214" s="20"/>
      <c r="J214" s="21"/>
      <c r="K214" s="26" t="s">
        <v>403</v>
      </c>
    </row>
    <row r="215" spans="1:13" ht="51" x14ac:dyDescent="0.2">
      <c r="A215" s="22" t="str">
        <f t="shared" si="6"/>
        <v>RQS058</v>
      </c>
      <c r="B215" s="25" t="s">
        <v>89</v>
      </c>
      <c r="C215" s="65" t="s">
        <v>76</v>
      </c>
      <c r="D215" s="27" t="s">
        <v>15</v>
      </c>
      <c r="E215" s="37"/>
      <c r="F215" s="27" t="s">
        <v>129</v>
      </c>
      <c r="G215" s="27" t="s">
        <v>129</v>
      </c>
      <c r="H215" s="19" t="s">
        <v>0</v>
      </c>
      <c r="I215" s="20"/>
      <c r="J215" s="21"/>
      <c r="K215" s="26" t="s">
        <v>403</v>
      </c>
    </row>
    <row r="216" spans="1:13" ht="51" x14ac:dyDescent="0.2">
      <c r="A216" s="22" t="str">
        <f t="shared" si="6"/>
        <v>RQS059</v>
      </c>
      <c r="B216" s="25" t="s">
        <v>89</v>
      </c>
      <c r="C216" s="65" t="s">
        <v>77</v>
      </c>
      <c r="D216" s="27" t="s">
        <v>15</v>
      </c>
      <c r="E216" s="37"/>
      <c r="F216" s="27" t="s">
        <v>129</v>
      </c>
      <c r="G216" s="27" t="s">
        <v>129</v>
      </c>
      <c r="H216" s="19" t="s">
        <v>0</v>
      </c>
      <c r="I216" s="20"/>
      <c r="J216" s="21"/>
      <c r="K216" s="26" t="s">
        <v>403</v>
      </c>
    </row>
    <row r="217" spans="1:13" ht="25.5" x14ac:dyDescent="0.2">
      <c r="A217" s="22" t="str">
        <f t="shared" si="6"/>
        <v>RQS060</v>
      </c>
      <c r="B217" s="25" t="s">
        <v>89</v>
      </c>
      <c r="C217" s="65" t="s">
        <v>78</v>
      </c>
      <c r="D217" s="27" t="s">
        <v>15</v>
      </c>
      <c r="E217" s="37"/>
      <c r="F217" s="27" t="s">
        <v>129</v>
      </c>
      <c r="G217" s="27" t="s">
        <v>129</v>
      </c>
      <c r="H217" s="19" t="s">
        <v>0</v>
      </c>
      <c r="I217" s="20"/>
      <c r="J217" s="21"/>
      <c r="K217" s="26" t="s">
        <v>403</v>
      </c>
    </row>
    <row r="218" spans="1:13" x14ac:dyDescent="0.2">
      <c r="A218" s="22" t="str">
        <f t="shared" si="6"/>
        <v>RQS061</v>
      </c>
      <c r="B218" s="25" t="s">
        <v>89</v>
      </c>
      <c r="C218" s="65" t="s">
        <v>86</v>
      </c>
      <c r="D218" s="27" t="s">
        <v>15</v>
      </c>
      <c r="E218" s="37"/>
      <c r="F218" s="27" t="s">
        <v>129</v>
      </c>
      <c r="G218" s="27" t="s">
        <v>129</v>
      </c>
      <c r="H218" s="19" t="s">
        <v>0</v>
      </c>
      <c r="I218" s="20"/>
      <c r="J218" s="21"/>
      <c r="K218" s="26" t="s">
        <v>403</v>
      </c>
    </row>
    <row r="219" spans="1:13" ht="98.25" customHeight="1" x14ac:dyDescent="0.2">
      <c r="A219" s="22" t="str">
        <f t="shared" si="6"/>
        <v>RQS062</v>
      </c>
      <c r="B219" s="25" t="s">
        <v>89</v>
      </c>
      <c r="C219" s="65" t="s">
        <v>87</v>
      </c>
      <c r="D219" s="27" t="s">
        <v>15</v>
      </c>
      <c r="E219" s="37"/>
      <c r="F219" s="27" t="s">
        <v>129</v>
      </c>
      <c r="G219" s="27" t="s">
        <v>129</v>
      </c>
      <c r="H219" s="19" t="s">
        <v>1</v>
      </c>
      <c r="I219" s="20"/>
      <c r="J219" s="21"/>
      <c r="K219" s="44" t="s">
        <v>423</v>
      </c>
    </row>
    <row r="220" spans="1:13" ht="38.25" x14ac:dyDescent="0.2">
      <c r="A220" s="22" t="str">
        <f t="shared" si="6"/>
        <v>RQS063</v>
      </c>
      <c r="B220" s="25" t="s">
        <v>24</v>
      </c>
      <c r="C220" s="65" t="s">
        <v>88</v>
      </c>
      <c r="D220" s="27" t="s">
        <v>15</v>
      </c>
      <c r="E220" s="37"/>
      <c r="F220" s="27" t="s">
        <v>129</v>
      </c>
      <c r="G220" s="27" t="s">
        <v>129</v>
      </c>
      <c r="H220" s="19" t="s">
        <v>0</v>
      </c>
      <c r="I220" s="20"/>
      <c r="J220" s="21"/>
      <c r="K220" s="26" t="s">
        <v>403</v>
      </c>
    </row>
    <row r="221" spans="1:13" x14ac:dyDescent="0.2">
      <c r="K221"/>
    </row>
    <row r="222" spans="1:13" x14ac:dyDescent="0.2">
      <c r="A222" s="14"/>
      <c r="B222" s="14"/>
      <c r="C222" s="7" t="s">
        <v>9</v>
      </c>
      <c r="D222" s="31"/>
      <c r="E222" s="31"/>
      <c r="F222" s="31"/>
      <c r="G222" s="31"/>
      <c r="H222" s="7" t="s">
        <v>10</v>
      </c>
      <c r="I222" s="5"/>
      <c r="J222" s="5"/>
      <c r="K222" s="5"/>
    </row>
  </sheetData>
  <autoFilter ref="A7:R222"/>
  <dataValidations count="4">
    <dataValidation type="list" allowBlank="1" showInputMessage="1" showErrorMessage="1" sqref="H100:H154 H8:H96 H158:H220">
      <formula1>$P$2:$P$5</formula1>
    </dataValidation>
    <dataValidation type="list" allowBlank="1" showInputMessage="1" showErrorMessage="1" sqref="D100:D154 D8:D96 D158:D220">
      <formula1>$R$2:$R$3</formula1>
    </dataValidation>
    <dataValidation type="list" allowBlank="1" showInputMessage="1" showErrorMessage="1" sqref="I158:I220 I100:I154 I8:I96">
      <formula1>$N$2:$N$6</formula1>
    </dataValidation>
    <dataValidation type="list" allowBlank="1" showInputMessage="1" showErrorMessage="1" sqref="G158:G220 G100:G145 G8:G67 G147:G154 G69:G96">
      <formula1>#REF!</formula1>
    </dataValidation>
  </dataValidations>
  <pageMargins left="0.511811024" right="0.511811024" top="0.78740157499999996" bottom="0.78740157499999996" header="0.31496062000000002" footer="0.31496062000000002"/>
  <pageSetup paperSize="9" orientation="portrait" r:id="rId1"/>
  <ignoredErrors>
    <ignoredError sqref="A145" evalError="1"/>
  </ignoredError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749F4BB575B9704D9BEC920E4BF590B1" ma:contentTypeVersion="2" ma:contentTypeDescription="Crie um novo documento." ma:contentTypeScope="" ma:versionID="e058fe7411d3f81d4dee1dcddb1d8d9d">
  <xsd:schema xmlns:xsd="http://www.w3.org/2001/XMLSchema" xmlns:xs="http://www.w3.org/2001/XMLSchema" xmlns:p="http://schemas.microsoft.com/office/2006/metadata/properties" xmlns:ns2="4147c134-c124-470b-82c5-8e3262786405" targetNamespace="http://schemas.microsoft.com/office/2006/metadata/properties" ma:root="true" ma:fieldsID="649b46373682a50546f260fdfb1b6154" ns2:_="">
    <xsd:import namespace="4147c134-c124-470b-82c5-8e3262786405"/>
    <xsd:element name="properties">
      <xsd:complexType>
        <xsd:sequence>
          <xsd:element name="documentManagement">
            <xsd:complexType>
              <xsd:all>
                <xsd:element ref="ns2:Data_x0020_de_x0020_Expira_x00e7__x00e3_o" minOccurs="0"/>
                <xsd:element ref="ns2:Aprovado_x0020_Po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147c134-c124-470b-82c5-8e3262786405" elementFormDefault="qualified">
    <xsd:import namespace="http://schemas.microsoft.com/office/2006/documentManagement/types"/>
    <xsd:import namespace="http://schemas.microsoft.com/office/infopath/2007/PartnerControls"/>
    <xsd:element name="Data_x0020_de_x0020_Expira_x00e7__x00e3_o" ma:index="8" nillable="true" ma:displayName="Data de Expiração" ma:format="DateOnly" ma:internalName="Data_x0020_de_x0020_Expira_x00e7__x00e3_o">
      <xsd:simpleType>
        <xsd:restriction base="dms:DateTime"/>
      </xsd:simpleType>
    </xsd:element>
    <xsd:element name="Aprovado_x0020_Por" ma:index="9" nillable="true" ma:displayName="Aprovado Por" ma:list="UserInfo" ma:SharePointGroup="0" ma:internalName="Aprovado_x0020_Po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LongProperties xmlns="http://schemas.microsoft.com/office/2006/metadata/longProperties"/>
</file>

<file path=customXml/item4.xml><?xml version="1.0" encoding="utf-8"?>
<p:properties xmlns:p="http://schemas.microsoft.com/office/2006/metadata/properties" xmlns:xsi="http://www.w3.org/2001/XMLSchema-instance" xmlns:pc="http://schemas.microsoft.com/office/infopath/2007/PartnerControls">
  <documentManagement>
    <Data_x0020_de_x0020_Expira_x00e7__x00e3_o xmlns="4147c134-c124-470b-82c5-8e3262786405">2016-12-31T02:00:00+00:00</Data_x0020_de_x0020_Expira_x00e7__x00e3_o>
    <Aprovado_x0020_Por xmlns="4147c134-c124-470b-82c5-8e3262786405">
      <UserInfo>
        <DisplayName>Leandro Monteiro De Barros Moura</DisplayName>
        <AccountId>761</AccountId>
        <AccountType/>
      </UserInfo>
    </Aprovado_x0020_Por>
  </documentManagement>
</p:properties>
</file>

<file path=customXml/itemProps1.xml><?xml version="1.0" encoding="utf-8"?>
<ds:datastoreItem xmlns:ds="http://schemas.openxmlformats.org/officeDocument/2006/customXml" ds:itemID="{79F311C6-CE43-43E8-8665-5F30173DB58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147c134-c124-470b-82c5-8e326278640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15257B5-DA78-43F2-B698-61C860DB83B5}">
  <ds:schemaRefs>
    <ds:schemaRef ds:uri="http://schemas.microsoft.com/sharepoint/v3/contenttype/forms"/>
  </ds:schemaRefs>
</ds:datastoreItem>
</file>

<file path=customXml/itemProps3.xml><?xml version="1.0" encoding="utf-8"?>
<ds:datastoreItem xmlns:ds="http://schemas.openxmlformats.org/officeDocument/2006/customXml" ds:itemID="{28126B4A-4165-4538-8CEF-2D90CDBCA119}">
  <ds:schemaRefs>
    <ds:schemaRef ds:uri="http://schemas.microsoft.com/office/2006/metadata/longProperties"/>
  </ds:schemaRefs>
</ds:datastoreItem>
</file>

<file path=customXml/itemProps4.xml><?xml version="1.0" encoding="utf-8"?>
<ds:datastoreItem xmlns:ds="http://schemas.openxmlformats.org/officeDocument/2006/customXml" ds:itemID="{A1C22D80-3F4B-4A93-9560-B112F7DABE99}">
  <ds:schemaRefs>
    <ds:schemaRef ds:uri="http://www.w3.org/XML/1998/namespace"/>
    <ds:schemaRef ds:uri="http://schemas.microsoft.com/office/2006/metadata/properties"/>
    <ds:schemaRef ds:uri="http://schemas.microsoft.com/office/2006/documentManagement/types"/>
    <ds:schemaRef ds:uri="http://purl.org/dc/elements/1.1/"/>
    <ds:schemaRef ds:uri="http://purl.org/dc/dcmitype/"/>
    <ds:schemaRef ds:uri="4147c134-c124-470b-82c5-8e3262786405"/>
    <ds:schemaRef ds:uri="http://purl.org/dc/terms/"/>
    <ds:schemaRef ds:uri="http://schemas.microsoft.com/office/infopath/2007/PartnerControl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Capa</vt:lpstr>
      <vt:lpstr>Instruções</vt:lpstr>
      <vt:lpstr>Requisitos</vt:lpstr>
      <vt:lpstr>Capa!Print_Area</vt:lpstr>
    </vt:vector>
  </TitlesOfParts>
  <Company>Telebahia Celular</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Planilha de Avaliação de Fornecedores</dc:title>
  <dc:creator>Oi/Telemar</dc:creator>
  <cp:lastModifiedBy>André Jacomino</cp:lastModifiedBy>
  <cp:lastPrinted>2012-10-17T18:48:07Z</cp:lastPrinted>
  <dcterms:created xsi:type="dcterms:W3CDTF">2002-08-13T14:20:59Z</dcterms:created>
  <dcterms:modified xsi:type="dcterms:W3CDTF">2017-01-17T23:52:58Z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0x010100749F4BB575B9704D9BEC920E4BF590B1</vt:lpwstr>
  </property>
  <property fmtid="{D5CDD505-2E9C-101B-9397-08002B2CF9AE}" pid="3" name="ContentType">
    <vt:lpwstr>Documento</vt:lpwstr>
  </property>
</Properties>
</file>