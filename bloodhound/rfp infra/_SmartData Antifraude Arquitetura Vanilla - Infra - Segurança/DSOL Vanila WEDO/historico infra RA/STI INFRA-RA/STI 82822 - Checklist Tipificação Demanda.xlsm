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defaultThemeVersion="124226"/>
  <bookViews>
    <workbookView xWindow="240" yWindow="330" windowWidth="19440" windowHeight="7815"/>
  </bookViews>
  <sheets>
    <sheet name="Tipificação" sheetId="6" r:id="rId1"/>
    <sheet name="Versionamento" sheetId="9" r:id="rId2"/>
  </sheets>
  <calcPr calcId="145621"/>
</workbook>
</file>

<file path=xl/calcChain.xml><?xml version="1.0" encoding="utf-8"?>
<calcChain xmlns="http://schemas.openxmlformats.org/spreadsheetml/2006/main">
  <c r="F53" i="6" l="1"/>
  <c r="F54" i="6"/>
  <c r="F55" i="6"/>
  <c r="F56" i="6"/>
  <c r="F57" i="6"/>
  <c r="F58" i="6"/>
  <c r="F59" i="6"/>
  <c r="F60" i="6"/>
  <c r="F61" i="6"/>
  <c r="F62" i="6"/>
  <c r="F63" i="6"/>
  <c r="F64" i="6"/>
  <c r="F65" i="6"/>
  <c r="F66" i="6"/>
  <c r="F67" i="6"/>
  <c r="F68" i="6"/>
  <c r="F69" i="6"/>
  <c r="F70" i="6"/>
  <c r="F71" i="6"/>
  <c r="F72" i="6"/>
  <c r="F73" i="6"/>
  <c r="F74" i="6"/>
  <c r="F75" i="6"/>
  <c r="F76" i="6"/>
  <c r="F51" i="6" l="1"/>
  <c r="F47" i="6"/>
  <c r="F52" i="6"/>
  <c r="F49" i="6"/>
  <c r="F50" i="6"/>
  <c r="F48" i="6"/>
  <c r="F46" i="6"/>
  <c r="F45" i="6"/>
  <c r="F44" i="6"/>
  <c r="F43" i="6"/>
  <c r="F39" i="6" l="1"/>
  <c r="F40" i="6"/>
  <c r="F42" i="6"/>
  <c r="F41" i="6"/>
  <c r="F38" i="6"/>
  <c r="F37" i="6"/>
  <c r="F35" i="6"/>
  <c r="F34" i="6"/>
  <c r="F33" i="6"/>
  <c r="F31" i="6" l="1"/>
  <c r="F28" i="6"/>
  <c r="F29" i="6"/>
  <c r="F30" i="6"/>
  <c r="F32" i="6"/>
  <c r="F27" i="6" l="1"/>
  <c r="F26" i="6"/>
  <c r="F25" i="6"/>
  <c r="F89" i="6" l="1"/>
  <c r="F88" i="6"/>
  <c r="F87" i="6"/>
  <c r="F86" i="6"/>
  <c r="F85" i="6"/>
  <c r="F84" i="6"/>
  <c r="F83" i="6"/>
  <c r="F82" i="6"/>
  <c r="F90" i="6" s="1"/>
  <c r="F24" i="6"/>
  <c r="F23" i="6"/>
  <c r="F22" i="6"/>
  <c r="F21" i="6"/>
  <c r="F20" i="6"/>
  <c r="F19" i="6"/>
  <c r="F18" i="6"/>
  <c r="F17" i="6"/>
  <c r="F16" i="6"/>
  <c r="F15" i="6"/>
  <c r="F14" i="6"/>
  <c r="F12" i="6"/>
  <c r="F11" i="6"/>
  <c r="F10" i="6"/>
  <c r="F9" i="6"/>
  <c r="F8" i="6"/>
  <c r="F7" i="6"/>
  <c r="F13" i="6" l="1"/>
  <c r="F77" i="6" s="1"/>
</calcChain>
</file>

<file path=xl/sharedStrings.xml><?xml version="1.0" encoding="utf-8"?>
<sst xmlns="http://schemas.openxmlformats.org/spreadsheetml/2006/main" count="334" uniqueCount="152">
  <si>
    <t>S/N</t>
  </si>
  <si>
    <t>Numérico</t>
  </si>
  <si>
    <t>Se a resposta for sim, assumir o valor do peso como pontuação</t>
  </si>
  <si>
    <t xml:space="preserve">Item </t>
  </si>
  <si>
    <t>Domínio</t>
  </si>
  <si>
    <t>Peso</t>
  </si>
  <si>
    <t>Total de Pontos</t>
  </si>
  <si>
    <t>Observação</t>
  </si>
  <si>
    <t>Exemplos</t>
  </si>
  <si>
    <t>Infra estrutura</t>
  </si>
  <si>
    <t>Critério</t>
  </si>
  <si>
    <t>Resposta</t>
  </si>
  <si>
    <t>Será  multiplicado o numero de sistemas pelo valor do peso para determinar a pontuação que posteriormente será traduzido em horas de esforço de infra</t>
  </si>
  <si>
    <t>Solução Requer infraestrutura Intensiva?</t>
  </si>
  <si>
    <t>Neste caso o ponto focal de infraestrutura deverá ser contatado para auxiliar na estimativa de esforço</t>
  </si>
  <si>
    <t>Trade-in storage, implementação de PAs em Call Center, migração de Robô, projeto de virtualização, migração de versão de SW/HW em Massa.</t>
  </si>
  <si>
    <t>Solução será suportada por infraestrutura posteriormente?</t>
  </si>
  <si>
    <t>Solução terá monitoração de negócio?</t>
  </si>
  <si>
    <t>Solução ira possuir jobs sobre o Controle da Produção?</t>
  </si>
  <si>
    <t>Solução requer infraestrutura core?</t>
  </si>
  <si>
    <t>Servidores, storage, licenças SWs básicos, etc.</t>
  </si>
  <si>
    <t>Solução é de Missão Critíca?</t>
  </si>
  <si>
    <t>Necessita de Alta disponibilidade, contingência em caso de desastre, etc.</t>
  </si>
  <si>
    <t>A demanda é Multi Sistema com Teste Integrado?</t>
  </si>
  <si>
    <t>A demanda é Multi Sistema no ambiente mainframe?</t>
  </si>
  <si>
    <t>É necessária internalização de novas soluções / tecnologias?</t>
  </si>
  <si>
    <t>É necessário teste de conta para a fixa?</t>
  </si>
  <si>
    <t>É necessário executar um ciclo completo de faturamento da fixa?</t>
  </si>
  <si>
    <t>É necessário criação de bolso na Plataforma de Pré-Pago?</t>
  </si>
  <si>
    <t>É necessário alteração na tarifação da fixa?</t>
  </si>
  <si>
    <t>É necessário UAT presencial e executado?</t>
  </si>
  <si>
    <t>É necessária realização de treinamento?</t>
  </si>
  <si>
    <t>É necessário tratamento de backlog?</t>
  </si>
  <si>
    <t>É necessário executar Business Simulation?</t>
  </si>
  <si>
    <t>É necessário teste de performance?</t>
  </si>
  <si>
    <t>S</t>
  </si>
  <si>
    <t>Número de Sistemas Envolvidos</t>
  </si>
  <si>
    <t>Inclui algum novo sistema</t>
  </si>
  <si>
    <t>N</t>
  </si>
  <si>
    <t>Item</t>
  </si>
  <si>
    <t>Desenvolvimento</t>
  </si>
  <si>
    <r>
      <rPr>
        <b/>
        <sz val="11"/>
        <color theme="1"/>
        <rFont val="Calibri"/>
        <family val="2"/>
        <scheme val="minor"/>
      </rPr>
      <t>Check List - Tipificação de Demanda</t>
    </r>
    <r>
      <rPr>
        <sz val="11"/>
        <color theme="1"/>
        <rFont val="Calibri"/>
        <family val="2"/>
        <scheme val="minor"/>
      </rPr>
      <t xml:space="preserve"> (Demanda menor ou maior que 300h)</t>
    </r>
  </si>
  <si>
    <t>Demanda &gt; 300h</t>
  </si>
  <si>
    <r>
      <t>Resposta</t>
    </r>
    <r>
      <rPr>
        <sz val="11"/>
        <color theme="1"/>
        <rFont val="Calibri"/>
        <family val="2"/>
        <scheme val="minor"/>
      </rPr>
      <t xml:space="preserve"> (S/N)</t>
    </r>
  </si>
  <si>
    <t>Versão</t>
  </si>
  <si>
    <t>Data</t>
  </si>
  <si>
    <t>Descrição</t>
  </si>
  <si>
    <t>Autor</t>
  </si>
  <si>
    <t>1.0</t>
  </si>
  <si>
    <t>Criação do check list</t>
  </si>
  <si>
    <t>Elvio Amaral</t>
  </si>
  <si>
    <t>Embasamento</t>
  </si>
  <si>
    <t>Este tipo de necessidade requer avaliação da solução, contratação, realização de POC, aquisição de licenças, aquisição de hardware, configuração de ambiente, etc.</t>
  </si>
  <si>
    <t>Este tipo de necessidade possui maior complexidade em especificar e executar a massa de dados.</t>
  </si>
  <si>
    <t>Este tipo de necessidade requer  alteração / teste em 3 sistemas (BLL, DW,  Integração).</t>
  </si>
  <si>
    <t>Este tipo de necessidade requer execução de um ciclo de faturamento completo.</t>
  </si>
  <si>
    <t>Demanda esforço maior da equipe de teste.
Gera concorrência entre ambientes.
Pode demandar novos cenários de teste que não estavam previstos.</t>
  </si>
  <si>
    <t>Demanda elaboração de material.
Demanda contratação da fábrica para realizar treinamento.</t>
  </si>
  <si>
    <t>O tratamento do backlog exige um desenvolvimento específico.
Demanda alteração massiva de dados no sistema.
Pode ser necessária execução em várias janelas.</t>
  </si>
  <si>
    <t>Este tipo de necessidade requer suporte dedicado da fábrica durante o período de execução do business simulation.</t>
  </si>
  <si>
    <t>Este tipo de necessidade requer a realização de testes adicionais para garantir a performance desejada.</t>
  </si>
  <si>
    <t>É necessário nova categoria contábil no Pré-Pago?</t>
  </si>
  <si>
    <t>Este tipo de necessidade requer  alteração / teste em 3 sistemas (BLL, Integração, SAP).</t>
  </si>
  <si>
    <t>É necessário criação/alteração de OS's na Plataforma de Pré-Pago?</t>
  </si>
  <si>
    <t>Este tipo de necessidade requer  alteração / teste em 4 sistemas (BLL, Integração, CRM, SIS).</t>
  </si>
  <si>
    <t>É necessário criar novo parceiro de recarga?</t>
  </si>
  <si>
    <t>Caso seja criação de Distribuidor em um Integrador existente, marcar "N".</t>
  </si>
  <si>
    <t>É necessária a inclusão de novas informações no DW?</t>
  </si>
  <si>
    <t>Este tipo de necessidade pode implicar em: criação ou alteração de tabelas e do modelo de dados do DW para inclusão de novos campos e alteração do processo de carga dos dados nas camadas Relacional, Dimensional e Apresentação (ferramenta SAS ou BO); mapeamento de novas fontes de informação; inclusão de novo assunto não abordado atualmente.</t>
  </si>
  <si>
    <r>
      <rPr>
        <b/>
        <sz val="12"/>
        <color theme="1"/>
        <rFont val="Calibri"/>
        <family val="2"/>
        <scheme val="minor"/>
      </rPr>
      <t>Check List - Tipificação de Demanda</t>
    </r>
    <r>
      <rPr>
        <sz val="12"/>
        <color theme="1"/>
        <rFont val="Calibri"/>
        <family val="2"/>
        <scheme val="minor"/>
      </rPr>
      <t xml:space="preserve"> (Demanda menor ou maior que 300h)</t>
    </r>
  </si>
  <si>
    <t>Nº STI</t>
  </si>
  <si>
    <t>XXXXX</t>
  </si>
  <si>
    <t>Título</t>
  </si>
  <si>
    <t xml:space="preserve">É necessário levantamento ou definição de regra de negocio relacionada a Sistema Legado ou R2? </t>
  </si>
  <si>
    <t>2.0</t>
  </si>
  <si>
    <t>Revisão do Checklist de Tipificação</t>
  </si>
  <si>
    <t xml:space="preserve">Envolve alteração de fatura (dados, apresentação...) ou no SSO (cadastramento e/ou autenticação de usuário)? </t>
  </si>
  <si>
    <t xml:space="preserve">Envolve alteração em 3 ou mais funcionalidades do portal? </t>
  </si>
  <si>
    <t>Houve outras demandas semelhantes maiores que 300h?</t>
  </si>
  <si>
    <t>Neste caso requer integração entre sistemas e criação de massa de dados e/ou integração com plataformas de Operações de Rede / Engenharia.</t>
  </si>
  <si>
    <t xml:space="preserve">Tem criação / Alteração de Produto/ Serviço ? </t>
  </si>
  <si>
    <t xml:space="preserve">Tem criação / Alteração de Interfaces com Outros Sistemas? </t>
  </si>
  <si>
    <t>Altera Configuração/Regras de Produto Existente?</t>
  </si>
  <si>
    <t>Criação / Alteração de Regras de Campanha?</t>
  </si>
  <si>
    <t>Altera Interoperação?</t>
  </si>
  <si>
    <t>É necessário a criação do produto convergente para TV?</t>
  </si>
  <si>
    <t>Este tipo de necessidade requer desenvolvimento no SINN( client e Web ) e no SIEBEL.</t>
  </si>
  <si>
    <t>É necessário testes com bancos</t>
  </si>
  <si>
    <t>Este tipo de necessidade necessita de envio de arquivo para banco</t>
  </si>
  <si>
    <t>É necessário a integração do SINN  com outros sistemas?</t>
  </si>
  <si>
    <t>Este tipo de necessidade requer desenvolvimento no SINN e em outros Sistemas</t>
  </si>
  <si>
    <t>É necessario alteração na cadeia de aprovisionamento do SINN?</t>
  </si>
  <si>
    <t>Este tipo de necessidade requer alteração na cadeia de aprovisionamento do SINN</t>
  </si>
  <si>
    <t>É necessário executar um ciclo completo de faturamento da TV  na fase de testes?</t>
  </si>
  <si>
    <t>É necessário alteração da 2 via da fatura portal da TV ?</t>
  </si>
  <si>
    <t>Este tipo de necessidade requer alteração no portal da TV segunda via da fatura.</t>
  </si>
  <si>
    <t>É necessário alteração na régua de cobrança da TV?</t>
  </si>
  <si>
    <t>Este tipo de necessidade requer alteração na régua de cobrança da TV.</t>
  </si>
  <si>
    <t xml:space="preserve">É necessário envolvimento de parceiro externo na solução (parceiros e fornecedores que não são de TI.)?  </t>
  </si>
  <si>
    <t>Neste caso requer envolvimento de outros parceiros no projeto ex: Contax, programadoras de TV</t>
  </si>
  <si>
    <t xml:space="preserve">É necessário integração com sistemas da URA? </t>
  </si>
  <si>
    <t>Este tipo de necessidade requer desenvolvimento na URA de TV</t>
  </si>
  <si>
    <t>É necessário desenvolvimento de requisitos de segurança?</t>
  </si>
  <si>
    <t>Este tipo de necessidade requer desenvolvimento para atender itens da segurança da informação</t>
  </si>
  <si>
    <t>Cria uma nova funcionalidade Web?</t>
  </si>
  <si>
    <t>Novas funcionalidades web necessitam de adequação à normas de Segurança de Informação, bem como teste de segurança (ex. sql inject). Exemplo de sistemas web: Portal Oi, GDBO, CDR View.</t>
  </si>
  <si>
    <t>Requer envolvimento de Segurança de Informação?</t>
  </si>
  <si>
    <t>Exemplo de envolvimento de Segurança de Informação: integração com NDS ou iChain.</t>
  </si>
  <si>
    <t>Cria Hook específico ou nova chamada a Bureau para Análise de Crédito pelo Transact ?</t>
  </si>
  <si>
    <t>Criação de novas tabelas e processos de carga de dados com informações pertinentes a análise de crédito</t>
  </si>
  <si>
    <t>Altera processos de Agencias de cobrança, parcelamento e campanhas de débito?</t>
  </si>
  <si>
    <t>Avaliar possibilidade de alteração do Core do produto, neste caso tornando alteração de complexidade alta</t>
  </si>
  <si>
    <t>Cria nova regra para ações de cobrança ou monitoramento de crédito?</t>
  </si>
  <si>
    <t>Altera Cálculo da PDD?</t>
  </si>
  <si>
    <t>Haverá alteração em regra de negócio na Mediação?</t>
  </si>
  <si>
    <t>Esse tipo de necessidade depende: Quantidade de número de saídas impactadas x Quantidade de regra de negócio.
Envolvendo uma regra de negócio e afeta um sistema cliente, a demanda pode se tornar mais simples (&lt; 300 horas)
Envolvendo mais que uma regra de negócio a demanda se torna mais complexa (&gt; 300 horas)
Envolvendo uma regra de negócio e mais que um sistema impactado a demanda se torna mais complexa (&gt; 700 horas)</t>
  </si>
  <si>
    <t>Haverá uma nova saída (cliente) na Mediação?</t>
  </si>
  <si>
    <t>Esse tipo de necessidade depende: Quantidade de número de saídas (clientes) x Quantidade de regra de negócio
Envolvendo mais que uma saída, porém é somente uma cópia de arquivos já enviados para outros sistemas, a demanda fica mais simples (&lt; 300 horas)
Envolvendo uma nova saída porém com regra de negócio nova a demanda se torna mais complexa (&gt; 700 horas)</t>
  </si>
  <si>
    <t>Haverá alteração em formato de entrada ou saída (cliente) na Mediação?</t>
  </si>
  <si>
    <t>Esse tipo de demanda é complexa (&gt; 700 horas) 
Envolvendo saída de cliente deve verificar se existe outro sistema cliente que recebe a cópia desses arquivos e consequentemente é afetado
Envolvendo formato de entrada deve verificar todas as saídas e módulos impactados</t>
  </si>
  <si>
    <t>Extração da ANATEL na Mediação?</t>
  </si>
  <si>
    <t xml:space="preserve">Esse tipo de necessidade depende: Período de Pesquisa x Dados/Voz x Em disco/Não em disco
A Mediação deve ser envolvida somente ser for extração de dados brutos da rede, sem nenhum filtro. Caso necessite, por exemplo, de chamadas completadas
existem outros sistemas que podem dar essa informação através de ferramenta.
O período solicitado para a pesquisa exceder 1 mês e/ou os CDRs não estiverem em disco (necessidade de restore), a demanda pode tornar complexa (&gt; 300 horas) </t>
  </si>
  <si>
    <t>Haverá novo elemento de rede/produto na Mediação?</t>
  </si>
  <si>
    <t>Esse tipo de demanda é complexa (&gt; 700 horas) e deve verificar quais saída de sistemas clientes é necessário
Envolvendo CDRVIEW deve considerar compra de licença</t>
  </si>
  <si>
    <t>Está sendo solicitado a criação de um produto novo no Siebel 8?</t>
  </si>
  <si>
    <t>Está sendo solicitado a criação de novas funcionalidades no Siebel 8?</t>
  </si>
  <si>
    <t>Está sendo solicitado a alteração na estrutura do Produto no Siebel 8?</t>
  </si>
  <si>
    <t>Haverá necessidade de alterar Workflows de Pedido no Siebel 8?</t>
  </si>
  <si>
    <t>Haverá necessidade de incluir novos itens na Árvore de Reparo no Siebel 8?</t>
  </si>
  <si>
    <t>Haverá necessidade e configurar novos SLAs para atendimento no Siebel 8?</t>
  </si>
  <si>
    <t>O bloqueio/desbloqueio de cobrança e Fraude será por produto no Siebel 8?</t>
  </si>
  <si>
    <t>A análise de crédito será aplicada por produto no CRM?</t>
  </si>
  <si>
    <t>Haverá necessidade de alterar o Workflow de portabilidade no CRM?</t>
  </si>
  <si>
    <t>Haverá necessidade de alterar a personalização dos produtos no Siebel 8?</t>
  </si>
  <si>
    <t>Haverá alteração no fluxo de vendas do WLL no Siebel 8?</t>
  </si>
  <si>
    <t>Haverá a necessidade de identificar modelo/equipamento no Siebel 8?</t>
  </si>
  <si>
    <t>Haverá necessidade de criar/alterar mais de três relatórios do Siebel 8?</t>
  </si>
  <si>
    <t>Haverá necessidade de criar/alterar um processo de carga massiva no Siebel 8?</t>
  </si>
  <si>
    <t>Este tipo de necessidade possui maior esforço de desenvolvimento</t>
  </si>
  <si>
    <t>Este tipo de necessidade possui maior complexidade de desenvolvimento</t>
  </si>
  <si>
    <t xml:space="preserve">Este tipo de necessidade requer  alteração / teste em mais de um sistema </t>
  </si>
  <si>
    <t>Será necessário criar novo incentivo para comissionamento?</t>
  </si>
  <si>
    <t>Será necessário o envio de novas informações dos CRMs  para comissionamento?</t>
  </si>
  <si>
    <t>Será necessário rodar um ciclo de comissionamento para teste de calculo?</t>
  </si>
  <si>
    <t>Será necessário adicionar parâmetros na consulta ao protocolo UNIPRO?</t>
  </si>
  <si>
    <t>Será necessário adicionar parâmetros na comunicação entre OPL Oi e provedores / CRMs?</t>
  </si>
  <si>
    <t>Será necessário alterar abertura / fechamento de ticket no CGS?</t>
  </si>
  <si>
    <t>Será necessário alterar interface da Oi Atende com outros sistemas?</t>
  </si>
  <si>
    <t>Será necessário alterações na estrutura de publicação da Oi Atende?</t>
  </si>
  <si>
    <t>Será necessário alterações na estrutura de segmentação por operação da Oi Atende?</t>
  </si>
  <si>
    <t>Será necessário alterações na estrutura de perfil de acesso da Oi Atende?</t>
  </si>
  <si>
    <t>Projetos com desenvolvimento em um dos CRM e no Faturamento caracterizam projetos maiores que 300 horas.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</si>
</sst>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12"/>
      <color theme="1"/>
      <name val="Calibri"/>
      <family val="2"/>
      <scheme val="minor"/>
    </font>
    <font>
      <sz val="11"/>
      <color rgb="FF006100"/>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2"/>
      <name val="Calibri"/>
      <family val="2"/>
      <scheme val="minor"/>
    </font>
  </fonts>
  <fills count="5">
    <fill>
      <patternFill patternType="none"/>
    </fill>
    <fill>
      <patternFill patternType="gray125"/>
    </fill>
    <fill>
      <patternFill patternType="solid">
        <fgColor rgb="FF92D050"/>
        <bgColor indexed="64"/>
      </patternFill>
    </fill>
    <fill>
      <patternFill patternType="solid">
        <fgColor theme="0" tint="-0.249977111117893"/>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3" fillId="4" borderId="0" applyNumberFormat="0" applyBorder="0" applyAlignment="0" applyProtection="0"/>
  </cellStyleXfs>
  <cellXfs count="62">
    <xf numFmtId="0" fontId="0" fillId="0" borderId="0" xfId="0"/>
    <xf numFmtId="0" fontId="0" fillId="0" borderId="1" xfId="0" applyBorder="1" applyAlignment="1">
      <alignment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1" xfId="0" applyBorder="1"/>
    <xf numFmtId="0" fontId="0" fillId="0" borderId="1" xfId="0" applyFill="1" applyBorder="1" applyAlignment="1">
      <alignment vertical="center"/>
    </xf>
    <xf numFmtId="0" fontId="0" fillId="0" borderId="1" xfId="0" applyFill="1" applyBorder="1" applyAlignment="1">
      <alignment horizontal="center" vertical="center"/>
    </xf>
    <xf numFmtId="0" fontId="0" fillId="0" borderId="2" xfId="0" applyBorder="1" applyAlignment="1">
      <alignment vertical="center" wrapText="1"/>
    </xf>
    <xf numFmtId="0" fontId="1" fillId="3" borderId="3" xfId="0" applyFont="1" applyFill="1" applyBorder="1" applyAlignment="1">
      <alignment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3" borderId="4" xfId="0" applyFont="1" applyFill="1" applyBorder="1" applyAlignment="1">
      <alignment vertical="center" wrapText="1"/>
    </xf>
    <xf numFmtId="0" fontId="0" fillId="0" borderId="2" xfId="0" applyBorder="1" applyAlignment="1">
      <alignment vertical="center"/>
    </xf>
    <xf numFmtId="0" fontId="0" fillId="0" borderId="7" xfId="0" applyBorder="1"/>
    <xf numFmtId="0" fontId="0" fillId="0" borderId="8" xfId="0" applyBorder="1"/>
    <xf numFmtId="0" fontId="0" fillId="0" borderId="9" xfId="0" applyBorder="1"/>
    <xf numFmtId="0" fontId="1" fillId="3" borderId="1" xfId="0" applyFont="1" applyFill="1" applyBorder="1" applyAlignment="1">
      <alignment horizontal="center"/>
    </xf>
    <xf numFmtId="0" fontId="0" fillId="0" borderId="10" xfId="0" applyBorder="1"/>
    <xf numFmtId="14" fontId="0" fillId="0" borderId="1" xfId="0" applyNumberFormat="1" applyBorder="1" applyAlignment="1">
      <alignment horizontal="center"/>
    </xf>
    <xf numFmtId="0" fontId="0" fillId="0" borderId="1" xfId="0" applyBorder="1" applyAlignment="1">
      <alignment horizontal="center"/>
    </xf>
    <xf numFmtId="0" fontId="0" fillId="0" borderId="11" xfId="0" applyBorder="1"/>
    <xf numFmtId="0" fontId="3" fillId="4" borderId="1" xfId="1" applyBorder="1" applyAlignment="1">
      <alignment horizontal="center" vertical="center"/>
    </xf>
    <xf numFmtId="0" fontId="3" fillId="4" borderId="1" xfId="1" applyBorder="1"/>
    <xf numFmtId="0" fontId="1" fillId="0" borderId="1" xfId="0" applyFont="1" applyFill="1" applyBorder="1" applyAlignment="1">
      <alignment vertical="top"/>
    </xf>
    <xf numFmtId="0" fontId="1" fillId="0" borderId="6" xfId="0" applyFont="1" applyFill="1" applyBorder="1" applyAlignment="1">
      <alignment vertical="top"/>
    </xf>
    <xf numFmtId="0" fontId="0" fillId="0" borderId="12" xfId="0" applyBorder="1" applyAlignment="1">
      <alignment vertical="center" wrapText="1"/>
    </xf>
    <xf numFmtId="0" fontId="1" fillId="0" borderId="12" xfId="0" applyFont="1" applyFill="1" applyBorder="1" applyAlignment="1">
      <alignment vertical="top"/>
    </xf>
    <xf numFmtId="0" fontId="1" fillId="0" borderId="13" xfId="0" applyFont="1" applyFill="1" applyBorder="1" applyAlignment="1">
      <alignment vertical="top"/>
    </xf>
    <xf numFmtId="0" fontId="1" fillId="0" borderId="17" xfId="0" applyFont="1" applyFill="1" applyBorder="1" applyAlignment="1">
      <alignment vertical="top"/>
    </xf>
    <xf numFmtId="0" fontId="1" fillId="3" borderId="12" xfId="0" applyFont="1" applyFill="1" applyBorder="1" applyAlignment="1">
      <alignment vertical="center" wrapText="1"/>
    </xf>
    <xf numFmtId="0" fontId="1" fillId="2" borderId="13" xfId="0" applyFont="1" applyFill="1" applyBorder="1" applyAlignment="1">
      <alignment vertical="center" readingOrder="1"/>
    </xf>
    <xf numFmtId="0" fontId="1" fillId="2" borderId="17" xfId="0" applyFont="1" applyFill="1" applyBorder="1" applyAlignment="1">
      <alignment vertical="center" readingOrder="1"/>
    </xf>
    <xf numFmtId="0" fontId="1" fillId="2" borderId="13" xfId="0" applyFont="1" applyFill="1" applyBorder="1" applyAlignment="1">
      <alignment vertical="center"/>
    </xf>
    <xf numFmtId="0" fontId="1" fillId="2" borderId="17" xfId="0" applyFont="1" applyFill="1" applyBorder="1" applyAlignment="1">
      <alignment vertical="center"/>
    </xf>
    <xf numFmtId="0" fontId="2" fillId="0" borderId="0" xfId="0" applyFont="1"/>
    <xf numFmtId="0" fontId="2" fillId="0" borderId="1" xfId="0" applyFont="1" applyBorder="1" applyAlignment="1">
      <alignment horizontal="left" vertical="center" wrapText="1" readingOrder="1"/>
    </xf>
    <xf numFmtId="0" fontId="0" fillId="0" borderId="12" xfId="0" applyBorder="1" applyAlignment="1">
      <alignment horizontal="left" vertical="top" wrapText="1"/>
    </xf>
    <xf numFmtId="0" fontId="2" fillId="0" borderId="1" xfId="0" applyFont="1" applyFill="1" applyBorder="1" applyAlignment="1">
      <alignment horizontal="left" vertical="center" wrapText="1" readingOrder="1"/>
    </xf>
    <xf numFmtId="0" fontId="0" fillId="0" borderId="1" xfId="0" applyFill="1" applyBorder="1" applyAlignment="1">
      <alignment vertical="center" wrapText="1"/>
    </xf>
    <xf numFmtId="0" fontId="1" fillId="3" borderId="1" xfId="0" applyFont="1" applyFill="1" applyBorder="1" applyAlignment="1">
      <alignment vertical="center" wrapText="1"/>
    </xf>
    <xf numFmtId="0" fontId="0" fillId="0" borderId="0" xfId="0" applyAlignment="1">
      <alignment wrapText="1"/>
    </xf>
    <xf numFmtId="0" fontId="2" fillId="0" borderId="18" xfId="0" applyFont="1" applyBorder="1" applyAlignment="1">
      <alignment horizontal="left" vertical="center" wrapText="1" readingOrder="1"/>
    </xf>
    <xf numFmtId="0" fontId="3" fillId="4" borderId="17" xfId="1" applyBorder="1"/>
    <xf numFmtId="0" fontId="0" fillId="0" borderId="1" xfId="0" applyFill="1" applyBorder="1"/>
    <xf numFmtId="0" fontId="0" fillId="0" borderId="12" xfId="0" applyFill="1" applyBorder="1" applyAlignment="1">
      <alignment vertical="center" wrapText="1"/>
    </xf>
    <xf numFmtId="0" fontId="2" fillId="0" borderId="12" xfId="0" applyFont="1" applyFill="1" applyBorder="1" applyAlignment="1">
      <alignment horizontal="left" vertical="center" wrapText="1" readingOrder="1"/>
    </xf>
    <xf numFmtId="0" fontId="6" fillId="2" borderId="12" xfId="0" applyFont="1" applyFill="1" applyBorder="1" applyAlignment="1">
      <alignment vertical="center" readingOrder="1"/>
    </xf>
    <xf numFmtId="0" fontId="6" fillId="2" borderId="12" xfId="0" applyFont="1" applyFill="1" applyBorder="1" applyAlignment="1">
      <alignment vertical="center"/>
    </xf>
    <xf numFmtId="0" fontId="6" fillId="0" borderId="1" xfId="0" applyFont="1" applyFill="1" applyBorder="1" applyAlignment="1">
      <alignment vertical="top"/>
    </xf>
    <xf numFmtId="0" fontId="6" fillId="0" borderId="17" xfId="0" applyFont="1" applyFill="1" applyBorder="1" applyAlignment="1">
      <alignment vertical="top"/>
    </xf>
    <xf numFmtId="0" fontId="2" fillId="0" borderId="18" xfId="0" applyFont="1" applyFill="1" applyBorder="1" applyAlignment="1">
      <alignment horizontal="left" vertical="center" wrapText="1" readingOrder="1"/>
    </xf>
    <xf numFmtId="0" fontId="7" fillId="0" borderId="18" xfId="0" applyFont="1" applyBorder="1" applyAlignment="1">
      <alignment horizontal="left" vertical="center" wrapText="1" readingOrder="1"/>
    </xf>
    <xf numFmtId="0" fontId="5" fillId="0" borderId="1" xfId="0" applyFont="1" applyBorder="1"/>
    <xf numFmtId="0" fontId="5" fillId="4" borderId="1" xfId="1" applyFont="1" applyBorder="1"/>
    <xf numFmtId="0" fontId="5" fillId="0" borderId="1" xfId="0" applyFont="1" applyBorder="1" applyAlignment="1">
      <alignment vertical="center"/>
    </xf>
    <xf numFmtId="0" fontId="5" fillId="0" borderId="1" xfId="0" applyFont="1" applyBorder="1" applyAlignment="1">
      <alignment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4" xfId="0" applyFont="1" applyBorder="1" applyAlignment="1">
      <alignment horizontal="center" vertical="center"/>
    </xf>
    <xf numFmtId="0" fontId="0" fillId="0" borderId="15" xfId="0" applyFont="1" applyBorder="1" applyAlignment="1">
      <alignment horizontal="center" vertical="center"/>
    </xf>
    <xf numFmtId="0" fontId="0" fillId="0" borderId="16" xfId="0" applyFont="1" applyBorder="1" applyAlignment="1">
      <alignment horizontal="center" vertical="center"/>
    </xf>
  </cellXfs>
  <cellStyles count="2">
    <cellStyle name="Bom" xfId="1" builtinId="26"/>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47625</xdr:rowOff>
    </xdr:from>
    <xdr:to>
      <xdr:col>0</xdr:col>
      <xdr:colOff>790575</xdr:colOff>
      <xdr:row>4</xdr:row>
      <xdr:rowOff>12726</xdr:rowOff>
    </xdr:to>
    <xdr:pic>
      <xdr:nvPicPr>
        <xdr:cNvPr id="2" name="Imagem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47625"/>
          <a:ext cx="742950" cy="738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495300</xdr:colOff>
      <xdr:row>0</xdr:row>
      <xdr:rowOff>123825</xdr:rowOff>
    </xdr:from>
    <xdr:to>
      <xdr:col>1</xdr:col>
      <xdr:colOff>628650</xdr:colOff>
      <xdr:row>4</xdr:row>
      <xdr:rowOff>100132</xdr:rowOff>
    </xdr:to>
    <xdr:pic>
      <xdr:nvPicPr>
        <xdr:cNvPr id="2" name="Imagem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5300" y="123825"/>
          <a:ext cx="742950" cy="738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2:AA90"/>
  <sheetViews>
    <sheetView showGridLines="0" tabSelected="1" zoomScale="80" zoomScaleNormal="80" workbookViewId="0">
      <selection activeCell="B6" sqref="B6"/>
    </sheetView>
  </sheetViews>
  <sheetFormatPr defaultRowHeight="15" x14ac:dyDescent="0.25"/>
  <cols>
    <col min="1" max="1" width="17.5703125" customWidth="1"/>
    <col min="2" max="2" width="60" customWidth="1"/>
    <col min="3" max="3" width="9.85546875" bestFit="1" customWidth="1"/>
    <col min="4" max="4" width="5.28515625" bestFit="1" customWidth="1"/>
    <col min="5" max="5" width="10.140625" customWidth="1"/>
    <col min="6" max="6" width="8.42578125" customWidth="1"/>
    <col min="7" max="7" width="33.42578125" customWidth="1"/>
    <col min="8" max="8" width="109.7109375" customWidth="1"/>
    <col min="9" max="9" width="5.7109375" customWidth="1"/>
  </cols>
  <sheetData>
    <row r="2" spans="1:27" ht="15.75" x14ac:dyDescent="0.25">
      <c r="B2" s="34" t="s">
        <v>69</v>
      </c>
      <c r="F2" s="4" t="s">
        <v>70</v>
      </c>
      <c r="G2" s="4" t="s">
        <v>71</v>
      </c>
    </row>
    <row r="3" spans="1:27" x14ac:dyDescent="0.25">
      <c r="F3" s="4" t="s">
        <v>72</v>
      </c>
      <c r="G3" s="4" t="s">
        <v>71</v>
      </c>
    </row>
    <row r="6" spans="1:27" s="40" customFormat="1" ht="30" x14ac:dyDescent="0.25">
      <c r="A6" s="39" t="s">
        <v>39</v>
      </c>
      <c r="B6" s="39" t="s">
        <v>10</v>
      </c>
      <c r="C6" s="39" t="s">
        <v>4</v>
      </c>
      <c r="D6" s="39" t="s">
        <v>5</v>
      </c>
      <c r="E6" s="39" t="s">
        <v>43</v>
      </c>
      <c r="F6" s="39" t="s">
        <v>6</v>
      </c>
      <c r="G6" s="39" t="s">
        <v>7</v>
      </c>
      <c r="H6" s="39" t="s">
        <v>51</v>
      </c>
    </row>
    <row r="7" spans="1:27" ht="30" customHeight="1" x14ac:dyDescent="0.25">
      <c r="A7" s="59" t="s">
        <v>40</v>
      </c>
      <c r="B7" s="35" t="s">
        <v>78</v>
      </c>
      <c r="C7" s="2" t="s">
        <v>0</v>
      </c>
      <c r="D7" s="4">
        <v>100</v>
      </c>
      <c r="E7" s="22"/>
      <c r="F7" s="1">
        <f t="shared" ref="F7:F12" si="0">IF(E7="S",D7,0)</f>
        <v>0</v>
      </c>
      <c r="G7" s="25" t="s">
        <v>2</v>
      </c>
      <c r="H7" s="3"/>
    </row>
    <row r="8" spans="1:27" ht="30" x14ac:dyDescent="0.25">
      <c r="A8" s="60"/>
      <c r="B8" s="35" t="s">
        <v>23</v>
      </c>
      <c r="C8" s="2" t="s">
        <v>0</v>
      </c>
      <c r="D8" s="4">
        <v>100</v>
      </c>
      <c r="E8" s="22"/>
      <c r="F8" s="1">
        <f t="shared" si="0"/>
        <v>0</v>
      </c>
      <c r="G8" s="25" t="s">
        <v>2</v>
      </c>
      <c r="H8" s="3" t="s">
        <v>79</v>
      </c>
    </row>
    <row r="9" spans="1:27" ht="30" x14ac:dyDescent="0.25">
      <c r="A9" s="60"/>
      <c r="B9" s="35" t="s">
        <v>24</v>
      </c>
      <c r="C9" s="2" t="s">
        <v>0</v>
      </c>
      <c r="D9" s="4">
        <v>100</v>
      </c>
      <c r="E9" s="22"/>
      <c r="F9" s="1">
        <f t="shared" si="0"/>
        <v>0</v>
      </c>
      <c r="G9" s="25" t="s">
        <v>2</v>
      </c>
      <c r="H9" s="1" t="s">
        <v>151</v>
      </c>
    </row>
    <row r="10" spans="1:27" ht="30" x14ac:dyDescent="0.25">
      <c r="A10" s="60"/>
      <c r="B10" s="35" t="s">
        <v>25</v>
      </c>
      <c r="C10" s="2" t="s">
        <v>0</v>
      </c>
      <c r="D10" s="4">
        <v>100</v>
      </c>
      <c r="E10" s="22"/>
      <c r="F10" s="1">
        <f t="shared" si="0"/>
        <v>0</v>
      </c>
      <c r="G10" s="25" t="s">
        <v>2</v>
      </c>
      <c r="H10" s="3" t="s">
        <v>52</v>
      </c>
      <c r="AA10" t="s">
        <v>35</v>
      </c>
    </row>
    <row r="11" spans="1:27" ht="30" x14ac:dyDescent="0.25">
      <c r="A11" s="60"/>
      <c r="B11" s="35" t="s">
        <v>26</v>
      </c>
      <c r="C11" s="2" t="s">
        <v>0</v>
      </c>
      <c r="D11" s="4">
        <v>100</v>
      </c>
      <c r="E11" s="22"/>
      <c r="F11" s="1">
        <f t="shared" si="0"/>
        <v>0</v>
      </c>
      <c r="G11" s="25" t="s">
        <v>2</v>
      </c>
      <c r="H11" s="1" t="s">
        <v>53</v>
      </c>
      <c r="AA11" t="s">
        <v>38</v>
      </c>
    </row>
    <row r="12" spans="1:27" ht="31.5" x14ac:dyDescent="0.25">
      <c r="A12" s="60"/>
      <c r="B12" s="35" t="s">
        <v>27</v>
      </c>
      <c r="C12" s="2" t="s">
        <v>0</v>
      </c>
      <c r="D12" s="4">
        <v>100</v>
      </c>
      <c r="E12" s="22"/>
      <c r="F12" s="1">
        <f t="shared" si="0"/>
        <v>0</v>
      </c>
      <c r="G12" s="25" t="s">
        <v>2</v>
      </c>
      <c r="H12" s="1" t="s">
        <v>53</v>
      </c>
    </row>
    <row r="13" spans="1:27" ht="30" x14ac:dyDescent="0.25">
      <c r="A13" s="60"/>
      <c r="B13" s="35" t="s">
        <v>29</v>
      </c>
      <c r="C13" s="2" t="s">
        <v>0</v>
      </c>
      <c r="D13" s="4">
        <v>100</v>
      </c>
      <c r="E13" s="22"/>
      <c r="F13" s="1">
        <f t="shared" ref="F13" si="1">IF(E13="S",D13,0)</f>
        <v>0</v>
      </c>
      <c r="G13" s="25" t="s">
        <v>2</v>
      </c>
      <c r="H13" s="1" t="s">
        <v>55</v>
      </c>
    </row>
    <row r="14" spans="1:27" ht="30" x14ac:dyDescent="0.25">
      <c r="A14" s="60"/>
      <c r="B14" s="35" t="s">
        <v>28</v>
      </c>
      <c r="C14" s="2" t="s">
        <v>0</v>
      </c>
      <c r="D14" s="4">
        <v>100</v>
      </c>
      <c r="E14" s="22"/>
      <c r="F14" s="1">
        <f>IF(E14="S",D14,0)</f>
        <v>0</v>
      </c>
      <c r="G14" s="25" t="s">
        <v>2</v>
      </c>
      <c r="H14" s="1" t="s">
        <v>54</v>
      </c>
    </row>
    <row r="15" spans="1:27" ht="30" x14ac:dyDescent="0.25">
      <c r="A15" s="60"/>
      <c r="B15" s="37" t="s">
        <v>61</v>
      </c>
      <c r="C15" s="2" t="s">
        <v>0</v>
      </c>
      <c r="D15" s="4">
        <v>100</v>
      </c>
      <c r="E15" s="22"/>
      <c r="F15" s="1">
        <f t="shared" ref="F15:F25" si="2">IF(E15="S",D15,0)</f>
        <v>0</v>
      </c>
      <c r="G15" s="25" t="s">
        <v>2</v>
      </c>
      <c r="H15" s="1" t="s">
        <v>62</v>
      </c>
    </row>
    <row r="16" spans="1:27" ht="31.5" x14ac:dyDescent="0.25">
      <c r="A16" s="60"/>
      <c r="B16" s="37" t="s">
        <v>63</v>
      </c>
      <c r="C16" s="2" t="s">
        <v>0</v>
      </c>
      <c r="D16" s="4">
        <v>100</v>
      </c>
      <c r="E16" s="22"/>
      <c r="F16" s="1">
        <f t="shared" si="2"/>
        <v>0</v>
      </c>
      <c r="G16" s="25" t="s">
        <v>2</v>
      </c>
      <c r="H16" s="1" t="s">
        <v>64</v>
      </c>
    </row>
    <row r="17" spans="1:8" ht="30" x14ac:dyDescent="0.25">
      <c r="A17" s="60"/>
      <c r="B17" s="37" t="s">
        <v>65</v>
      </c>
      <c r="C17" s="2" t="s">
        <v>0</v>
      </c>
      <c r="D17" s="4">
        <v>100</v>
      </c>
      <c r="E17" s="22"/>
      <c r="F17" s="1">
        <f t="shared" si="2"/>
        <v>0</v>
      </c>
      <c r="G17" s="25" t="s">
        <v>2</v>
      </c>
      <c r="H17" s="1" t="s">
        <v>66</v>
      </c>
    </row>
    <row r="18" spans="1:8" ht="45" x14ac:dyDescent="0.25">
      <c r="A18" s="60"/>
      <c r="B18" s="35" t="s">
        <v>30</v>
      </c>
      <c r="C18" s="2" t="s">
        <v>0</v>
      </c>
      <c r="D18" s="4">
        <v>100</v>
      </c>
      <c r="E18" s="22"/>
      <c r="F18" s="1">
        <f t="shared" si="2"/>
        <v>0</v>
      </c>
      <c r="G18" s="25" t="s">
        <v>2</v>
      </c>
      <c r="H18" s="3" t="s">
        <v>56</v>
      </c>
    </row>
    <row r="19" spans="1:8" ht="31.5" x14ac:dyDescent="0.25">
      <c r="A19" s="60"/>
      <c r="B19" s="35" t="s">
        <v>73</v>
      </c>
      <c r="C19" s="2" t="s">
        <v>0</v>
      </c>
      <c r="D19" s="4">
        <v>100</v>
      </c>
      <c r="E19" s="22"/>
      <c r="F19" s="1">
        <f t="shared" si="2"/>
        <v>0</v>
      </c>
      <c r="G19" s="25" t="s">
        <v>2</v>
      </c>
      <c r="H19" s="3"/>
    </row>
    <row r="20" spans="1:8" ht="30" x14ac:dyDescent="0.25">
      <c r="A20" s="60"/>
      <c r="B20" s="35" t="s">
        <v>31</v>
      </c>
      <c r="C20" s="2" t="s">
        <v>0</v>
      </c>
      <c r="D20" s="4">
        <v>100</v>
      </c>
      <c r="E20" s="22"/>
      <c r="F20" s="1">
        <f t="shared" si="2"/>
        <v>0</v>
      </c>
      <c r="G20" s="25" t="s">
        <v>2</v>
      </c>
      <c r="H20" s="3" t="s">
        <v>57</v>
      </c>
    </row>
    <row r="21" spans="1:8" ht="45" x14ac:dyDescent="0.25">
      <c r="A21" s="60"/>
      <c r="B21" s="35" t="s">
        <v>32</v>
      </c>
      <c r="C21" s="2" t="s">
        <v>0</v>
      </c>
      <c r="D21" s="4">
        <v>100</v>
      </c>
      <c r="E21" s="22"/>
      <c r="F21" s="1">
        <f t="shared" si="2"/>
        <v>0</v>
      </c>
      <c r="G21" s="25" t="s">
        <v>2</v>
      </c>
      <c r="H21" s="3" t="s">
        <v>58</v>
      </c>
    </row>
    <row r="22" spans="1:8" ht="30" x14ac:dyDescent="0.25">
      <c r="A22" s="60"/>
      <c r="B22" s="35" t="s">
        <v>33</v>
      </c>
      <c r="C22" s="2" t="s">
        <v>0</v>
      </c>
      <c r="D22" s="4">
        <v>100</v>
      </c>
      <c r="E22" s="22"/>
      <c r="F22" s="1">
        <f t="shared" si="2"/>
        <v>0</v>
      </c>
      <c r="G22" s="25" t="s">
        <v>2</v>
      </c>
      <c r="H22" s="1" t="s">
        <v>59</v>
      </c>
    </row>
    <row r="23" spans="1:8" ht="30" x14ac:dyDescent="0.25">
      <c r="A23" s="60"/>
      <c r="B23" s="35" t="s">
        <v>34</v>
      </c>
      <c r="C23" s="2" t="s">
        <v>0</v>
      </c>
      <c r="D23" s="4">
        <v>100</v>
      </c>
      <c r="E23" s="22"/>
      <c r="F23" s="1">
        <f t="shared" si="2"/>
        <v>0</v>
      </c>
      <c r="G23" s="25" t="s">
        <v>2</v>
      </c>
      <c r="H23" s="3" t="s">
        <v>60</v>
      </c>
    </row>
    <row r="24" spans="1:8" ht="60" x14ac:dyDescent="0.25">
      <c r="A24" s="60"/>
      <c r="B24" s="41" t="s">
        <v>67</v>
      </c>
      <c r="C24" s="2" t="s">
        <v>0</v>
      </c>
      <c r="D24" s="4">
        <v>100</v>
      </c>
      <c r="E24" s="22"/>
      <c r="F24" s="1">
        <f t="shared" si="2"/>
        <v>0</v>
      </c>
      <c r="G24" s="3" t="s">
        <v>2</v>
      </c>
      <c r="H24" s="3" t="s">
        <v>68</v>
      </c>
    </row>
    <row r="25" spans="1:8" ht="31.5" x14ac:dyDescent="0.25">
      <c r="A25" s="60"/>
      <c r="B25" s="41" t="s">
        <v>76</v>
      </c>
      <c r="C25" s="2" t="s">
        <v>0</v>
      </c>
      <c r="D25" s="4">
        <v>100</v>
      </c>
      <c r="E25" s="22"/>
      <c r="F25" s="1">
        <f t="shared" si="2"/>
        <v>0</v>
      </c>
      <c r="G25" s="3" t="s">
        <v>2</v>
      </c>
      <c r="H25" s="3"/>
    </row>
    <row r="26" spans="1:8" ht="30" x14ac:dyDescent="0.25">
      <c r="A26" s="60"/>
      <c r="B26" s="41" t="s">
        <v>77</v>
      </c>
      <c r="C26" s="2" t="s">
        <v>0</v>
      </c>
      <c r="D26" s="4">
        <v>100</v>
      </c>
      <c r="E26" s="22"/>
      <c r="F26" s="1">
        <f t="shared" ref="F26" si="3">IF(E26="S",D26,0)</f>
        <v>0</v>
      </c>
      <c r="G26" s="3" t="s">
        <v>2</v>
      </c>
      <c r="H26" s="3"/>
    </row>
    <row r="27" spans="1:8" ht="30" x14ac:dyDescent="0.25">
      <c r="A27" s="60"/>
      <c r="B27" s="41" t="s">
        <v>104</v>
      </c>
      <c r="C27" s="2" t="s">
        <v>0</v>
      </c>
      <c r="D27" s="4">
        <v>100</v>
      </c>
      <c r="E27" s="22"/>
      <c r="F27" s="1">
        <f t="shared" ref="F27:F35" si="4">IF(E27="S",D27,0)</f>
        <v>0</v>
      </c>
      <c r="G27" s="3" t="s">
        <v>2</v>
      </c>
      <c r="H27" s="3" t="s">
        <v>105</v>
      </c>
    </row>
    <row r="28" spans="1:8" ht="30" x14ac:dyDescent="0.25">
      <c r="A28" s="60"/>
      <c r="B28" s="35" t="s">
        <v>80</v>
      </c>
      <c r="C28" s="2" t="s">
        <v>0</v>
      </c>
      <c r="D28" s="4">
        <v>100</v>
      </c>
      <c r="E28" s="42"/>
      <c r="F28" s="1">
        <f t="shared" si="4"/>
        <v>0</v>
      </c>
      <c r="G28" s="3" t="s">
        <v>2</v>
      </c>
      <c r="H28" s="3"/>
    </row>
    <row r="29" spans="1:8" ht="30" x14ac:dyDescent="0.25">
      <c r="A29" s="60"/>
      <c r="B29" s="35" t="s">
        <v>81</v>
      </c>
      <c r="C29" s="2" t="s">
        <v>0</v>
      </c>
      <c r="D29" s="4">
        <v>100</v>
      </c>
      <c r="E29" s="42"/>
      <c r="F29" s="1">
        <f t="shared" si="4"/>
        <v>0</v>
      </c>
      <c r="G29" s="3" t="s">
        <v>2</v>
      </c>
      <c r="H29" s="3"/>
    </row>
    <row r="30" spans="1:8" ht="30" x14ac:dyDescent="0.25">
      <c r="A30" s="60"/>
      <c r="B30" s="35" t="s">
        <v>82</v>
      </c>
      <c r="C30" s="2" t="s">
        <v>0</v>
      </c>
      <c r="D30" s="4">
        <v>100</v>
      </c>
      <c r="E30" s="42"/>
      <c r="F30" s="1">
        <f t="shared" si="4"/>
        <v>0</v>
      </c>
      <c r="G30" s="3" t="s">
        <v>2</v>
      </c>
      <c r="H30" s="3"/>
    </row>
    <row r="31" spans="1:8" ht="30" x14ac:dyDescent="0.25">
      <c r="A31" s="60"/>
      <c r="B31" s="35" t="s">
        <v>83</v>
      </c>
      <c r="C31" s="2" t="s">
        <v>0</v>
      </c>
      <c r="D31" s="4">
        <v>100</v>
      </c>
      <c r="E31" s="42"/>
      <c r="F31" s="1">
        <f>IF(E31="S",D31,0)</f>
        <v>0</v>
      </c>
      <c r="G31" s="3" t="s">
        <v>2</v>
      </c>
      <c r="H31" s="3"/>
    </row>
    <row r="32" spans="1:8" ht="30" x14ac:dyDescent="0.25">
      <c r="A32" s="60"/>
      <c r="B32" s="35" t="s">
        <v>84</v>
      </c>
      <c r="C32" s="2" t="s">
        <v>0</v>
      </c>
      <c r="D32" s="4">
        <v>100</v>
      </c>
      <c r="E32" s="42"/>
      <c r="F32" s="1">
        <f t="shared" si="4"/>
        <v>0</v>
      </c>
      <c r="G32" s="3" t="s">
        <v>2</v>
      </c>
      <c r="H32" s="3"/>
    </row>
    <row r="33" spans="1:8" ht="30" x14ac:dyDescent="0.25">
      <c r="A33" s="60"/>
      <c r="B33" s="37" t="s">
        <v>85</v>
      </c>
      <c r="C33" s="6" t="s">
        <v>0</v>
      </c>
      <c r="D33" s="43">
        <v>100</v>
      </c>
      <c r="E33" s="42"/>
      <c r="F33" s="5">
        <f t="shared" si="4"/>
        <v>0</v>
      </c>
      <c r="G33" s="38" t="s">
        <v>2</v>
      </c>
      <c r="H33" s="3" t="s">
        <v>86</v>
      </c>
    </row>
    <row r="34" spans="1:8" ht="30" x14ac:dyDescent="0.25">
      <c r="A34" s="60"/>
      <c r="B34" s="37" t="s">
        <v>87</v>
      </c>
      <c r="C34" s="6" t="s">
        <v>0</v>
      </c>
      <c r="D34" s="43">
        <v>100</v>
      </c>
      <c r="E34" s="42"/>
      <c r="F34" s="5">
        <f t="shared" si="4"/>
        <v>0</v>
      </c>
      <c r="G34" s="38" t="s">
        <v>2</v>
      </c>
      <c r="H34" s="3" t="s">
        <v>88</v>
      </c>
    </row>
    <row r="35" spans="1:8" ht="30" x14ac:dyDescent="0.25">
      <c r="A35" s="60"/>
      <c r="B35" s="37" t="s">
        <v>89</v>
      </c>
      <c r="C35" s="6" t="s">
        <v>0</v>
      </c>
      <c r="D35" s="43">
        <v>100</v>
      </c>
      <c r="E35" s="42"/>
      <c r="F35" s="5">
        <f t="shared" si="4"/>
        <v>0</v>
      </c>
      <c r="G35" s="38" t="s">
        <v>2</v>
      </c>
      <c r="H35" s="3" t="s">
        <v>90</v>
      </c>
    </row>
    <row r="36" spans="1:8" ht="31.5" x14ac:dyDescent="0.25">
      <c r="A36" s="60"/>
      <c r="B36" s="37" t="s">
        <v>91</v>
      </c>
      <c r="C36" s="6" t="s">
        <v>0</v>
      </c>
      <c r="D36" s="43">
        <v>100</v>
      </c>
      <c r="E36" s="42"/>
      <c r="F36" s="5">
        <v>0</v>
      </c>
      <c r="G36" s="38" t="s">
        <v>2</v>
      </c>
      <c r="H36" s="3" t="s">
        <v>92</v>
      </c>
    </row>
    <row r="37" spans="1:8" ht="31.5" x14ac:dyDescent="0.25">
      <c r="A37" s="60"/>
      <c r="B37" s="37" t="s">
        <v>93</v>
      </c>
      <c r="C37" s="6" t="s">
        <v>0</v>
      </c>
      <c r="D37" s="43">
        <v>100</v>
      </c>
      <c r="E37" s="42"/>
      <c r="F37" s="5">
        <f t="shared" ref="F37:F42" si="5">IF(E37="S",D37,0)</f>
        <v>0</v>
      </c>
      <c r="G37" s="44" t="s">
        <v>2</v>
      </c>
      <c r="H37" s="1" t="s">
        <v>53</v>
      </c>
    </row>
    <row r="38" spans="1:8" ht="30" x14ac:dyDescent="0.25">
      <c r="A38" s="60"/>
      <c r="B38" s="37" t="s">
        <v>94</v>
      </c>
      <c r="C38" s="6" t="s">
        <v>0</v>
      </c>
      <c r="D38" s="43">
        <v>100</v>
      </c>
      <c r="E38" s="42"/>
      <c r="F38" s="5">
        <f t="shared" si="5"/>
        <v>0</v>
      </c>
      <c r="G38" s="44" t="s">
        <v>2</v>
      </c>
      <c r="H38" s="1" t="s">
        <v>95</v>
      </c>
    </row>
    <row r="39" spans="1:8" ht="30" x14ac:dyDescent="0.25">
      <c r="A39" s="60"/>
      <c r="B39" s="45" t="s">
        <v>96</v>
      </c>
      <c r="C39" s="6" t="s">
        <v>0</v>
      </c>
      <c r="D39" s="43">
        <v>100</v>
      </c>
      <c r="E39" s="42"/>
      <c r="F39" s="5">
        <f>IF(E39="S",D39,0)</f>
        <v>0</v>
      </c>
      <c r="G39" s="44" t="s">
        <v>2</v>
      </c>
      <c r="H39" s="1" t="s">
        <v>97</v>
      </c>
    </row>
    <row r="40" spans="1:8" ht="31.5" x14ac:dyDescent="0.25">
      <c r="A40" s="60"/>
      <c r="B40" s="37" t="s">
        <v>98</v>
      </c>
      <c r="C40" s="6" t="s">
        <v>0</v>
      </c>
      <c r="D40" s="43">
        <v>100</v>
      </c>
      <c r="E40" s="42"/>
      <c r="F40" s="5">
        <f>IF(E40="S",D40,0)</f>
        <v>0</v>
      </c>
      <c r="G40" s="44" t="s">
        <v>2</v>
      </c>
      <c r="H40" s="1" t="s">
        <v>99</v>
      </c>
    </row>
    <row r="41" spans="1:8" ht="30" x14ac:dyDescent="0.25">
      <c r="A41" s="60"/>
      <c r="B41" s="37" t="s">
        <v>100</v>
      </c>
      <c r="C41" s="6" t="s">
        <v>0</v>
      </c>
      <c r="D41" s="43">
        <v>100</v>
      </c>
      <c r="E41" s="42"/>
      <c r="F41" s="5">
        <f t="shared" si="5"/>
        <v>0</v>
      </c>
      <c r="G41" s="44" t="s">
        <v>2</v>
      </c>
      <c r="H41" s="1" t="s">
        <v>101</v>
      </c>
    </row>
    <row r="42" spans="1:8" ht="30" x14ac:dyDescent="0.25">
      <c r="A42" s="60"/>
      <c r="B42" s="37" t="s">
        <v>102</v>
      </c>
      <c r="C42" s="6" t="s">
        <v>0</v>
      </c>
      <c r="D42" s="43">
        <v>100</v>
      </c>
      <c r="E42" s="42"/>
      <c r="F42" s="5">
        <f t="shared" si="5"/>
        <v>0</v>
      </c>
      <c r="G42" s="44" t="s">
        <v>2</v>
      </c>
      <c r="H42" s="1" t="s">
        <v>103</v>
      </c>
    </row>
    <row r="43" spans="1:8" ht="30" x14ac:dyDescent="0.25">
      <c r="A43" s="60"/>
      <c r="B43" s="50" t="s">
        <v>106</v>
      </c>
      <c r="C43" s="6" t="s">
        <v>0</v>
      </c>
      <c r="D43" s="43">
        <v>70</v>
      </c>
      <c r="E43" s="42"/>
      <c r="F43" s="5">
        <f t="shared" ref="F43:F52" si="6">IF(E43="S",D43,0)</f>
        <v>0</v>
      </c>
      <c r="G43" s="38" t="s">
        <v>2</v>
      </c>
      <c r="H43" s="38" t="s">
        <v>107</v>
      </c>
    </row>
    <row r="44" spans="1:8" ht="31.5" x14ac:dyDescent="0.25">
      <c r="A44" s="60"/>
      <c r="B44" s="51" t="s">
        <v>108</v>
      </c>
      <c r="C44" s="6" t="s">
        <v>0</v>
      </c>
      <c r="D44" s="52">
        <v>100</v>
      </c>
      <c r="E44" s="53"/>
      <c r="F44" s="54">
        <f t="shared" si="6"/>
        <v>0</v>
      </c>
      <c r="G44" s="55" t="s">
        <v>2</v>
      </c>
      <c r="H44" s="55" t="s">
        <v>109</v>
      </c>
    </row>
    <row r="45" spans="1:8" ht="31.5" x14ac:dyDescent="0.25">
      <c r="A45" s="60"/>
      <c r="B45" s="51" t="s">
        <v>110</v>
      </c>
      <c r="C45" s="6" t="s">
        <v>0</v>
      </c>
      <c r="D45" s="52">
        <v>100</v>
      </c>
      <c r="E45" s="53"/>
      <c r="F45" s="54">
        <f t="shared" si="6"/>
        <v>0</v>
      </c>
      <c r="G45" s="55" t="s">
        <v>2</v>
      </c>
      <c r="H45" s="55" t="s">
        <v>111</v>
      </c>
    </row>
    <row r="46" spans="1:8" ht="31.5" x14ac:dyDescent="0.25">
      <c r="A46" s="60"/>
      <c r="B46" s="51" t="s">
        <v>112</v>
      </c>
      <c r="C46" s="6" t="s">
        <v>0</v>
      </c>
      <c r="D46" s="52">
        <v>100</v>
      </c>
      <c r="E46" s="53"/>
      <c r="F46" s="54">
        <f t="shared" si="6"/>
        <v>0</v>
      </c>
      <c r="G46" s="55" t="s">
        <v>2</v>
      </c>
      <c r="H46" s="55" t="s">
        <v>111</v>
      </c>
    </row>
    <row r="47" spans="1:8" ht="30" x14ac:dyDescent="0.25">
      <c r="A47" s="60"/>
      <c r="B47" s="51" t="s">
        <v>113</v>
      </c>
      <c r="C47" s="6" t="s">
        <v>0</v>
      </c>
      <c r="D47" s="52">
        <v>100</v>
      </c>
      <c r="E47" s="53"/>
      <c r="F47" s="54">
        <f t="shared" si="6"/>
        <v>0</v>
      </c>
      <c r="G47" s="55" t="s">
        <v>2</v>
      </c>
      <c r="H47" s="55"/>
    </row>
    <row r="48" spans="1:8" ht="60" x14ac:dyDescent="0.25">
      <c r="A48" s="60"/>
      <c r="B48" s="51" t="s">
        <v>114</v>
      </c>
      <c r="C48" s="6" t="s">
        <v>0</v>
      </c>
      <c r="D48" s="52">
        <v>100</v>
      </c>
      <c r="E48" s="53"/>
      <c r="F48" s="54">
        <f t="shared" si="6"/>
        <v>0</v>
      </c>
      <c r="G48" s="55" t="s">
        <v>2</v>
      </c>
      <c r="H48" s="55" t="s">
        <v>115</v>
      </c>
    </row>
    <row r="49" spans="1:8" ht="60" x14ac:dyDescent="0.25">
      <c r="A49" s="60"/>
      <c r="B49" s="51" t="s">
        <v>116</v>
      </c>
      <c r="C49" s="6" t="s">
        <v>0</v>
      </c>
      <c r="D49" s="52">
        <v>100</v>
      </c>
      <c r="E49" s="53"/>
      <c r="F49" s="54">
        <f t="shared" si="6"/>
        <v>0</v>
      </c>
      <c r="G49" s="55" t="s">
        <v>2</v>
      </c>
      <c r="H49" s="55" t="s">
        <v>117</v>
      </c>
    </row>
    <row r="50" spans="1:8" ht="60" x14ac:dyDescent="0.25">
      <c r="A50" s="60"/>
      <c r="B50" s="51" t="s">
        <v>118</v>
      </c>
      <c r="C50" s="6" t="s">
        <v>0</v>
      </c>
      <c r="D50" s="52">
        <v>100</v>
      </c>
      <c r="E50" s="53"/>
      <c r="F50" s="54">
        <f t="shared" si="6"/>
        <v>0</v>
      </c>
      <c r="G50" s="55" t="s">
        <v>2</v>
      </c>
      <c r="H50" s="55" t="s">
        <v>119</v>
      </c>
    </row>
    <row r="51" spans="1:8" ht="90" x14ac:dyDescent="0.25">
      <c r="A51" s="60"/>
      <c r="B51" s="51" t="s">
        <v>120</v>
      </c>
      <c r="C51" s="6" t="s">
        <v>0</v>
      </c>
      <c r="D51" s="52">
        <v>100</v>
      </c>
      <c r="E51" s="53"/>
      <c r="F51" s="54">
        <f t="shared" si="6"/>
        <v>0</v>
      </c>
      <c r="G51" s="55" t="s">
        <v>2</v>
      </c>
      <c r="H51" s="55" t="s">
        <v>121</v>
      </c>
    </row>
    <row r="52" spans="1:8" ht="30" x14ac:dyDescent="0.25">
      <c r="A52" s="60"/>
      <c r="B52" s="51" t="s">
        <v>122</v>
      </c>
      <c r="C52" s="6" t="s">
        <v>0</v>
      </c>
      <c r="D52" s="52">
        <v>100</v>
      </c>
      <c r="E52" s="53"/>
      <c r="F52" s="54">
        <f t="shared" si="6"/>
        <v>0</v>
      </c>
      <c r="G52" s="55" t="s">
        <v>2</v>
      </c>
      <c r="H52" s="55" t="s">
        <v>123</v>
      </c>
    </row>
    <row r="53" spans="1:8" ht="31.5" x14ac:dyDescent="0.25">
      <c r="A53" s="60"/>
      <c r="B53" s="51" t="s">
        <v>124</v>
      </c>
      <c r="C53" s="6" t="s">
        <v>0</v>
      </c>
      <c r="D53" s="52">
        <v>100</v>
      </c>
      <c r="E53" s="53"/>
      <c r="F53" s="54">
        <f t="shared" ref="F53:F76" si="7">IF(E53="S",D53,0)</f>
        <v>0</v>
      </c>
      <c r="G53" s="55" t="s">
        <v>2</v>
      </c>
      <c r="H53" s="55" t="s">
        <v>138</v>
      </c>
    </row>
    <row r="54" spans="1:8" ht="31.5" x14ac:dyDescent="0.25">
      <c r="A54" s="60"/>
      <c r="B54" s="51" t="s">
        <v>125</v>
      </c>
      <c r="C54" s="6" t="s">
        <v>0</v>
      </c>
      <c r="D54" s="52">
        <v>100</v>
      </c>
      <c r="E54" s="53"/>
      <c r="F54" s="54">
        <f t="shared" si="7"/>
        <v>0</v>
      </c>
      <c r="G54" s="55" t="s">
        <v>2</v>
      </c>
      <c r="H54" s="55" t="s">
        <v>138</v>
      </c>
    </row>
    <row r="55" spans="1:8" ht="31.5" x14ac:dyDescent="0.25">
      <c r="A55" s="60"/>
      <c r="B55" s="51" t="s">
        <v>126</v>
      </c>
      <c r="C55" s="6" t="s">
        <v>0</v>
      </c>
      <c r="D55" s="52">
        <v>100</v>
      </c>
      <c r="E55" s="53"/>
      <c r="F55" s="54">
        <f t="shared" si="7"/>
        <v>0</v>
      </c>
      <c r="G55" s="55" t="s">
        <v>2</v>
      </c>
      <c r="H55" s="55" t="s">
        <v>139</v>
      </c>
    </row>
    <row r="56" spans="1:8" ht="31.5" x14ac:dyDescent="0.25">
      <c r="A56" s="60"/>
      <c r="B56" s="51" t="s">
        <v>127</v>
      </c>
      <c r="C56" s="6" t="s">
        <v>0</v>
      </c>
      <c r="D56" s="52">
        <v>100</v>
      </c>
      <c r="E56" s="53"/>
      <c r="F56" s="54">
        <f t="shared" si="7"/>
        <v>0</v>
      </c>
      <c r="G56" s="55" t="s">
        <v>2</v>
      </c>
      <c r="H56" s="55" t="s">
        <v>139</v>
      </c>
    </row>
    <row r="57" spans="1:8" ht="31.5" x14ac:dyDescent="0.25">
      <c r="A57" s="60"/>
      <c r="B57" s="51" t="s">
        <v>128</v>
      </c>
      <c r="C57" s="6" t="s">
        <v>0</v>
      </c>
      <c r="D57" s="52">
        <v>100</v>
      </c>
      <c r="E57" s="53"/>
      <c r="F57" s="54">
        <f t="shared" si="7"/>
        <v>0</v>
      </c>
      <c r="G57" s="55" t="s">
        <v>2</v>
      </c>
      <c r="H57" s="55" t="s">
        <v>138</v>
      </c>
    </row>
    <row r="58" spans="1:8" ht="31.5" x14ac:dyDescent="0.25">
      <c r="A58" s="60"/>
      <c r="B58" s="51" t="s">
        <v>129</v>
      </c>
      <c r="C58" s="6" t="s">
        <v>0</v>
      </c>
      <c r="D58" s="52">
        <v>100</v>
      </c>
      <c r="E58" s="53"/>
      <c r="F58" s="54">
        <f t="shared" si="7"/>
        <v>0</v>
      </c>
      <c r="G58" s="55" t="s">
        <v>2</v>
      </c>
      <c r="H58" s="55" t="s">
        <v>139</v>
      </c>
    </row>
    <row r="59" spans="1:8" ht="31.5" x14ac:dyDescent="0.25">
      <c r="A59" s="60"/>
      <c r="B59" s="51" t="s">
        <v>130</v>
      </c>
      <c r="C59" s="6" t="s">
        <v>0</v>
      </c>
      <c r="D59" s="52">
        <v>100</v>
      </c>
      <c r="E59" s="53"/>
      <c r="F59" s="54">
        <f t="shared" si="7"/>
        <v>0</v>
      </c>
      <c r="G59" s="55" t="s">
        <v>2</v>
      </c>
      <c r="H59" s="55" t="s">
        <v>139</v>
      </c>
    </row>
    <row r="60" spans="1:8" ht="30" x14ac:dyDescent="0.25">
      <c r="A60" s="60"/>
      <c r="B60" s="51" t="s">
        <v>131</v>
      </c>
      <c r="C60" s="6" t="s">
        <v>0</v>
      </c>
      <c r="D60" s="52">
        <v>100</v>
      </c>
      <c r="E60" s="53"/>
      <c r="F60" s="54">
        <f t="shared" si="7"/>
        <v>0</v>
      </c>
      <c r="G60" s="55" t="s">
        <v>2</v>
      </c>
      <c r="H60" s="55" t="s">
        <v>139</v>
      </c>
    </row>
    <row r="61" spans="1:8" ht="31.5" x14ac:dyDescent="0.25">
      <c r="A61" s="60"/>
      <c r="B61" s="51" t="s">
        <v>132</v>
      </c>
      <c r="C61" s="6" t="s">
        <v>0</v>
      </c>
      <c r="D61" s="52">
        <v>100</v>
      </c>
      <c r="E61" s="53"/>
      <c r="F61" s="54">
        <f t="shared" si="7"/>
        <v>0</v>
      </c>
      <c r="G61" s="55" t="s">
        <v>2</v>
      </c>
      <c r="H61" s="55" t="s">
        <v>139</v>
      </c>
    </row>
    <row r="62" spans="1:8" ht="31.5" x14ac:dyDescent="0.25">
      <c r="A62" s="60"/>
      <c r="B62" s="51" t="s">
        <v>133</v>
      </c>
      <c r="C62" s="6" t="s">
        <v>0</v>
      </c>
      <c r="D62" s="52">
        <v>100</v>
      </c>
      <c r="E62" s="53"/>
      <c r="F62" s="54">
        <f t="shared" si="7"/>
        <v>0</v>
      </c>
      <c r="G62" s="55" t="s">
        <v>2</v>
      </c>
      <c r="H62" s="55" t="s">
        <v>139</v>
      </c>
    </row>
    <row r="63" spans="1:8" ht="30" x14ac:dyDescent="0.25">
      <c r="A63" s="60"/>
      <c r="B63" s="51" t="s">
        <v>134</v>
      </c>
      <c r="C63" s="6" t="s">
        <v>0</v>
      </c>
      <c r="D63" s="52">
        <v>100</v>
      </c>
      <c r="E63" s="53"/>
      <c r="F63" s="54">
        <f t="shared" si="7"/>
        <v>0</v>
      </c>
      <c r="G63" s="55" t="s">
        <v>2</v>
      </c>
      <c r="H63" s="55" t="s">
        <v>139</v>
      </c>
    </row>
    <row r="64" spans="1:8" ht="31.5" x14ac:dyDescent="0.25">
      <c r="A64" s="60"/>
      <c r="B64" s="51" t="s">
        <v>135</v>
      </c>
      <c r="C64" s="6" t="s">
        <v>0</v>
      </c>
      <c r="D64" s="52">
        <v>100</v>
      </c>
      <c r="E64" s="53"/>
      <c r="F64" s="54">
        <f t="shared" si="7"/>
        <v>0</v>
      </c>
      <c r="G64" s="55" t="s">
        <v>2</v>
      </c>
      <c r="H64" s="55" t="s">
        <v>139</v>
      </c>
    </row>
    <row r="65" spans="1:8" ht="31.5" x14ac:dyDescent="0.25">
      <c r="A65" s="60"/>
      <c r="B65" s="51" t="s">
        <v>136</v>
      </c>
      <c r="C65" s="6" t="s">
        <v>0</v>
      </c>
      <c r="D65" s="52">
        <v>100</v>
      </c>
      <c r="E65" s="53"/>
      <c r="F65" s="54">
        <f t="shared" si="7"/>
        <v>0</v>
      </c>
      <c r="G65" s="55" t="s">
        <v>2</v>
      </c>
      <c r="H65" s="55" t="s">
        <v>138</v>
      </c>
    </row>
    <row r="66" spans="1:8" ht="31.5" x14ac:dyDescent="0.25">
      <c r="A66" s="60"/>
      <c r="B66" s="51" t="s">
        <v>137</v>
      </c>
      <c r="C66" s="6" t="s">
        <v>0</v>
      </c>
      <c r="D66" s="52">
        <v>100</v>
      </c>
      <c r="E66" s="53"/>
      <c r="F66" s="54">
        <f t="shared" si="7"/>
        <v>0</v>
      </c>
      <c r="G66" s="55" t="s">
        <v>2</v>
      </c>
      <c r="H66" s="55" t="s">
        <v>138</v>
      </c>
    </row>
    <row r="67" spans="1:8" ht="30" x14ac:dyDescent="0.25">
      <c r="A67" s="60"/>
      <c r="B67" s="51" t="s">
        <v>141</v>
      </c>
      <c r="C67" s="6" t="s">
        <v>0</v>
      </c>
      <c r="D67" s="52">
        <v>100</v>
      </c>
      <c r="E67" s="53"/>
      <c r="F67" s="54">
        <f t="shared" si="7"/>
        <v>0</v>
      </c>
      <c r="G67" s="55" t="s">
        <v>2</v>
      </c>
      <c r="H67" s="55" t="s">
        <v>53</v>
      </c>
    </row>
    <row r="68" spans="1:8" ht="31.5" x14ac:dyDescent="0.25">
      <c r="A68" s="60"/>
      <c r="B68" s="51" t="s">
        <v>142</v>
      </c>
      <c r="C68" s="6" t="s">
        <v>0</v>
      </c>
      <c r="D68" s="52">
        <v>100</v>
      </c>
      <c r="E68" s="53"/>
      <c r="F68" s="54">
        <f t="shared" si="7"/>
        <v>0</v>
      </c>
      <c r="G68" s="55" t="s">
        <v>2</v>
      </c>
      <c r="H68" s="55" t="s">
        <v>140</v>
      </c>
    </row>
    <row r="69" spans="1:8" ht="31.5" x14ac:dyDescent="0.25">
      <c r="A69" s="60"/>
      <c r="B69" s="51" t="s">
        <v>143</v>
      </c>
      <c r="C69" s="6" t="s">
        <v>0</v>
      </c>
      <c r="D69" s="52">
        <v>100</v>
      </c>
      <c r="E69" s="53"/>
      <c r="F69" s="54">
        <f t="shared" si="7"/>
        <v>0</v>
      </c>
      <c r="G69" s="55" t="s">
        <v>2</v>
      </c>
      <c r="H69" s="55" t="s">
        <v>53</v>
      </c>
    </row>
    <row r="70" spans="1:8" ht="31.5" x14ac:dyDescent="0.25">
      <c r="A70" s="60"/>
      <c r="B70" s="51" t="s">
        <v>144</v>
      </c>
      <c r="C70" s="6" t="s">
        <v>0</v>
      </c>
      <c r="D70" s="52">
        <v>100</v>
      </c>
      <c r="E70" s="53"/>
      <c r="F70" s="54">
        <f t="shared" si="7"/>
        <v>0</v>
      </c>
      <c r="G70" s="55" t="s">
        <v>2</v>
      </c>
      <c r="H70" s="55" t="s">
        <v>140</v>
      </c>
    </row>
    <row r="71" spans="1:8" ht="31.5" x14ac:dyDescent="0.25">
      <c r="A71" s="60"/>
      <c r="B71" s="51" t="s">
        <v>145</v>
      </c>
      <c r="C71" s="6" t="s">
        <v>0</v>
      </c>
      <c r="D71" s="52">
        <v>100</v>
      </c>
      <c r="E71" s="53"/>
      <c r="F71" s="54">
        <f t="shared" si="7"/>
        <v>0</v>
      </c>
      <c r="G71" s="55" t="s">
        <v>2</v>
      </c>
      <c r="H71" s="55" t="s">
        <v>140</v>
      </c>
    </row>
    <row r="72" spans="1:8" ht="31.5" x14ac:dyDescent="0.25">
      <c r="A72" s="60"/>
      <c r="B72" s="51" t="s">
        <v>146</v>
      </c>
      <c r="C72" s="6" t="s">
        <v>0</v>
      </c>
      <c r="D72" s="52">
        <v>100</v>
      </c>
      <c r="E72" s="53"/>
      <c r="F72" s="54">
        <f t="shared" si="7"/>
        <v>0</v>
      </c>
      <c r="G72" s="55" t="s">
        <v>2</v>
      </c>
      <c r="H72" s="55" t="s">
        <v>140</v>
      </c>
    </row>
    <row r="73" spans="1:8" ht="31.5" x14ac:dyDescent="0.25">
      <c r="A73" s="60"/>
      <c r="B73" s="51" t="s">
        <v>147</v>
      </c>
      <c r="C73" s="6" t="s">
        <v>0</v>
      </c>
      <c r="D73" s="52">
        <v>100</v>
      </c>
      <c r="E73" s="53"/>
      <c r="F73" s="54">
        <f t="shared" si="7"/>
        <v>0</v>
      </c>
      <c r="G73" s="55" t="s">
        <v>2</v>
      </c>
      <c r="H73" s="55" t="s">
        <v>140</v>
      </c>
    </row>
    <row r="74" spans="1:8" ht="31.5" x14ac:dyDescent="0.25">
      <c r="A74" s="60"/>
      <c r="B74" s="51" t="s">
        <v>148</v>
      </c>
      <c r="C74" s="6" t="s">
        <v>0</v>
      </c>
      <c r="D74" s="52">
        <v>100</v>
      </c>
      <c r="E74" s="53"/>
      <c r="F74" s="54">
        <f t="shared" si="7"/>
        <v>0</v>
      </c>
      <c r="G74" s="55" t="s">
        <v>2</v>
      </c>
      <c r="H74" s="55" t="s">
        <v>139</v>
      </c>
    </row>
    <row r="75" spans="1:8" ht="31.5" x14ac:dyDescent="0.25">
      <c r="A75" s="60"/>
      <c r="B75" s="51" t="s">
        <v>149</v>
      </c>
      <c r="C75" s="6" t="s">
        <v>0</v>
      </c>
      <c r="D75" s="52">
        <v>100</v>
      </c>
      <c r="E75" s="53"/>
      <c r="F75" s="54">
        <f t="shared" si="7"/>
        <v>0</v>
      </c>
      <c r="G75" s="55" t="s">
        <v>2</v>
      </c>
      <c r="H75" s="55" t="s">
        <v>139</v>
      </c>
    </row>
    <row r="76" spans="1:8" ht="31.5" x14ac:dyDescent="0.25">
      <c r="A76" s="60"/>
      <c r="B76" s="51" t="s">
        <v>150</v>
      </c>
      <c r="C76" s="6" t="s">
        <v>0</v>
      </c>
      <c r="D76" s="52">
        <v>100</v>
      </c>
      <c r="E76" s="53"/>
      <c r="F76" s="54">
        <f t="shared" si="7"/>
        <v>0</v>
      </c>
      <c r="G76" s="55" t="s">
        <v>2</v>
      </c>
      <c r="H76" s="55" t="s">
        <v>139</v>
      </c>
    </row>
    <row r="77" spans="1:8" ht="19.5" thickBot="1" x14ac:dyDescent="0.3">
      <c r="A77" s="61"/>
      <c r="B77" s="46" t="s">
        <v>42</v>
      </c>
      <c r="C77" s="30"/>
      <c r="D77" s="30"/>
      <c r="E77" s="31"/>
      <c r="F77" s="48" t="str">
        <f>IF(SUM(F7:F76)&gt;=100,"Sim","Não")</f>
        <v>Não</v>
      </c>
      <c r="G77" s="27"/>
      <c r="H77" s="23"/>
    </row>
    <row r="80" spans="1:8" ht="15.75" thickBot="1" x14ac:dyDescent="0.3"/>
    <row r="81" spans="1:9" ht="30" x14ac:dyDescent="0.25">
      <c r="A81" s="8" t="s">
        <v>3</v>
      </c>
      <c r="B81" s="9" t="s">
        <v>10</v>
      </c>
      <c r="C81" s="9" t="s">
        <v>4</v>
      </c>
      <c r="D81" s="9" t="s">
        <v>5</v>
      </c>
      <c r="E81" s="9" t="s">
        <v>11</v>
      </c>
      <c r="F81" s="11" t="s">
        <v>6</v>
      </c>
      <c r="G81" s="29" t="s">
        <v>7</v>
      </c>
      <c r="H81" s="10" t="s">
        <v>8</v>
      </c>
    </row>
    <row r="82" spans="1:9" ht="75" x14ac:dyDescent="0.25">
      <c r="A82" s="56" t="s">
        <v>9</v>
      </c>
      <c r="B82" s="3" t="s">
        <v>36</v>
      </c>
      <c r="C82" s="2" t="s">
        <v>1</v>
      </c>
      <c r="D82" s="1">
        <v>10</v>
      </c>
      <c r="E82" s="21"/>
      <c r="F82" s="1">
        <f>E82*D82</f>
        <v>0</v>
      </c>
      <c r="G82" s="36" t="s">
        <v>12</v>
      </c>
      <c r="H82" s="12"/>
    </row>
    <row r="83" spans="1:9" ht="30" x14ac:dyDescent="0.25">
      <c r="A83" s="57"/>
      <c r="B83" s="3" t="s">
        <v>37</v>
      </c>
      <c r="C83" s="2" t="s">
        <v>0</v>
      </c>
      <c r="D83" s="1">
        <v>50</v>
      </c>
      <c r="E83" s="22"/>
      <c r="F83" s="1">
        <f t="shared" ref="F83:F89" si="8">IF(E83="S",D83,0)</f>
        <v>0</v>
      </c>
      <c r="G83" s="36" t="s">
        <v>2</v>
      </c>
      <c r="H83" s="12"/>
    </row>
    <row r="84" spans="1:9" ht="60" x14ac:dyDescent="0.25">
      <c r="A84" s="57"/>
      <c r="B84" s="38" t="s">
        <v>13</v>
      </c>
      <c r="C84" s="6" t="s">
        <v>0</v>
      </c>
      <c r="D84" s="5">
        <v>300</v>
      </c>
      <c r="E84" s="22"/>
      <c r="F84" s="1">
        <f t="shared" si="8"/>
        <v>0</v>
      </c>
      <c r="G84" s="36" t="s">
        <v>14</v>
      </c>
      <c r="H84" s="7" t="s">
        <v>15</v>
      </c>
    </row>
    <row r="85" spans="1:9" ht="30" x14ac:dyDescent="0.25">
      <c r="A85" s="57"/>
      <c r="B85" s="38" t="s">
        <v>16</v>
      </c>
      <c r="C85" s="6" t="s">
        <v>0</v>
      </c>
      <c r="D85" s="5">
        <v>100</v>
      </c>
      <c r="E85" s="22"/>
      <c r="F85" s="1">
        <f t="shared" si="8"/>
        <v>0</v>
      </c>
      <c r="G85" s="36" t="s">
        <v>2</v>
      </c>
      <c r="H85" s="12"/>
    </row>
    <row r="86" spans="1:9" ht="30" x14ac:dyDescent="0.25">
      <c r="A86" s="57"/>
      <c r="B86" s="38" t="s">
        <v>17</v>
      </c>
      <c r="C86" s="6" t="s">
        <v>0</v>
      </c>
      <c r="D86" s="5">
        <v>100</v>
      </c>
      <c r="E86" s="22"/>
      <c r="F86" s="1">
        <f t="shared" si="8"/>
        <v>0</v>
      </c>
      <c r="G86" s="36" t="s">
        <v>2</v>
      </c>
      <c r="H86" s="12"/>
    </row>
    <row r="87" spans="1:9" ht="30" x14ac:dyDescent="0.25">
      <c r="A87" s="57"/>
      <c r="B87" s="38" t="s">
        <v>18</v>
      </c>
      <c r="C87" s="6" t="s">
        <v>0</v>
      </c>
      <c r="D87" s="5">
        <v>50</v>
      </c>
      <c r="E87" s="22"/>
      <c r="F87" s="1">
        <f t="shared" si="8"/>
        <v>0</v>
      </c>
      <c r="G87" s="36" t="s">
        <v>2</v>
      </c>
      <c r="H87" s="12"/>
    </row>
    <row r="88" spans="1:9" ht="30" x14ac:dyDescent="0.25">
      <c r="A88" s="57"/>
      <c r="B88" s="38" t="s">
        <v>19</v>
      </c>
      <c r="C88" s="6" t="s">
        <v>0</v>
      </c>
      <c r="D88" s="5">
        <v>20</v>
      </c>
      <c r="E88" s="22"/>
      <c r="F88" s="1">
        <f t="shared" si="8"/>
        <v>0</v>
      </c>
      <c r="G88" s="36" t="s">
        <v>2</v>
      </c>
      <c r="H88" s="12" t="s">
        <v>20</v>
      </c>
    </row>
    <row r="89" spans="1:9" ht="30" x14ac:dyDescent="0.25">
      <c r="A89" s="57"/>
      <c r="B89" s="38" t="s">
        <v>21</v>
      </c>
      <c r="C89" s="6" t="s">
        <v>0</v>
      </c>
      <c r="D89" s="5">
        <v>100</v>
      </c>
      <c r="E89" s="22"/>
      <c r="F89" s="1">
        <f t="shared" si="8"/>
        <v>0</v>
      </c>
      <c r="G89" s="36" t="s">
        <v>2</v>
      </c>
      <c r="H89" s="12" t="s">
        <v>22</v>
      </c>
    </row>
    <row r="90" spans="1:9" ht="19.5" thickBot="1" x14ac:dyDescent="0.3">
      <c r="A90" s="58"/>
      <c r="B90" s="47" t="s">
        <v>42</v>
      </c>
      <c r="C90" s="32"/>
      <c r="D90" s="32"/>
      <c r="E90" s="33"/>
      <c r="F90" s="49" t="str">
        <f>IF(SUM(F82:F89)&gt;=100,"Sim", "Não")</f>
        <v>Não</v>
      </c>
      <c r="G90" s="26"/>
      <c r="H90" s="28"/>
      <c r="I90" s="24"/>
    </row>
  </sheetData>
  <mergeCells count="2">
    <mergeCell ref="A82:A90"/>
    <mergeCell ref="A7:A77"/>
  </mergeCells>
  <conditionalFormatting sqref="F90">
    <cfRule type="containsText" dxfId="1" priority="2" operator="containsText" text="Sim">
      <formula>NOT(ISERROR(SEARCH("Sim",F90)))</formula>
    </cfRule>
  </conditionalFormatting>
  <conditionalFormatting sqref="F77">
    <cfRule type="containsText" dxfId="0" priority="1" operator="containsText" text="Sim">
      <formula>NOT(ISERROR(SEARCH("Sim",F77)))</formula>
    </cfRule>
  </conditionalFormatting>
  <dataValidations count="1">
    <dataValidation type="list" allowBlank="1" showInputMessage="1" showErrorMessage="1" sqref="E83:E89 E7:E76">
      <formula1>$AA$10:$AA$11</formula1>
    </dataValidation>
  </dataValidation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3:F17"/>
  <sheetViews>
    <sheetView workbookViewId="0">
      <selection activeCell="E9" sqref="E9"/>
    </sheetView>
  </sheetViews>
  <sheetFormatPr defaultRowHeight="15" x14ac:dyDescent="0.25"/>
  <cols>
    <col min="1" max="1" width="9.140625" style="13"/>
    <col min="2" max="2" width="9.5703125" style="13" customWidth="1"/>
    <col min="3" max="3" width="13.7109375" style="13" customWidth="1"/>
    <col min="4" max="4" width="58.42578125" style="13" customWidth="1"/>
    <col min="5" max="5" width="23" style="13" customWidth="1"/>
    <col min="6" max="16384" width="9.140625" style="13"/>
  </cols>
  <sheetData>
    <row r="3" spans="1:6" x14ac:dyDescent="0.25">
      <c r="C3" t="s">
        <v>41</v>
      </c>
    </row>
    <row r="6" spans="1:6" x14ac:dyDescent="0.25">
      <c r="B6" s="14"/>
      <c r="C6" s="14"/>
      <c r="D6" s="14"/>
      <c r="E6" s="14"/>
    </row>
    <row r="7" spans="1:6" x14ac:dyDescent="0.25">
      <c r="A7" s="15"/>
      <c r="B7" s="16" t="s">
        <v>44</v>
      </c>
      <c r="C7" s="16" t="s">
        <v>45</v>
      </c>
      <c r="D7" s="16" t="s">
        <v>46</v>
      </c>
      <c r="E7" s="16" t="s">
        <v>47</v>
      </c>
      <c r="F7" s="17"/>
    </row>
    <row r="8" spans="1:6" x14ac:dyDescent="0.25">
      <c r="A8" s="15"/>
      <c r="B8" s="4" t="s">
        <v>48</v>
      </c>
      <c r="C8" s="18">
        <v>40830</v>
      </c>
      <c r="D8" s="4" t="s">
        <v>49</v>
      </c>
      <c r="E8" s="4" t="s">
        <v>50</v>
      </c>
      <c r="F8" s="17"/>
    </row>
    <row r="9" spans="1:6" x14ac:dyDescent="0.25">
      <c r="A9" s="15"/>
      <c r="B9" s="4" t="s">
        <v>74</v>
      </c>
      <c r="C9" s="18">
        <v>41354</v>
      </c>
      <c r="D9" s="4" t="s">
        <v>75</v>
      </c>
      <c r="E9" s="4"/>
      <c r="F9" s="17"/>
    </row>
    <row r="10" spans="1:6" x14ac:dyDescent="0.25">
      <c r="A10" s="15"/>
      <c r="B10" s="4"/>
      <c r="C10" s="19"/>
      <c r="D10" s="4"/>
      <c r="E10" s="4"/>
      <c r="F10" s="17"/>
    </row>
    <row r="11" spans="1:6" x14ac:dyDescent="0.25">
      <c r="A11" s="15"/>
      <c r="B11" s="4"/>
      <c r="C11" s="19"/>
      <c r="D11" s="4"/>
      <c r="E11" s="4"/>
      <c r="F11" s="17"/>
    </row>
    <row r="12" spans="1:6" x14ac:dyDescent="0.25">
      <c r="A12" s="15"/>
      <c r="B12" s="4"/>
      <c r="C12" s="19"/>
      <c r="D12" s="4"/>
      <c r="E12" s="4"/>
      <c r="F12" s="17"/>
    </row>
    <row r="13" spans="1:6" x14ac:dyDescent="0.25">
      <c r="A13" s="15"/>
      <c r="B13" s="4"/>
      <c r="C13" s="19"/>
      <c r="D13" s="4"/>
      <c r="E13" s="4"/>
      <c r="F13" s="17"/>
    </row>
    <row r="14" spans="1:6" x14ac:dyDescent="0.25">
      <c r="A14" s="15"/>
      <c r="B14" s="4"/>
      <c r="C14" s="19"/>
      <c r="D14" s="4"/>
      <c r="E14" s="4"/>
      <c r="F14" s="17"/>
    </row>
    <row r="15" spans="1:6" x14ac:dyDescent="0.25">
      <c r="A15" s="15"/>
      <c r="B15" s="4"/>
      <c r="C15" s="19"/>
      <c r="D15" s="4"/>
      <c r="E15" s="4"/>
      <c r="F15" s="17"/>
    </row>
    <row r="16" spans="1:6" x14ac:dyDescent="0.25">
      <c r="A16" s="15"/>
      <c r="B16" s="4"/>
      <c r="C16" s="19"/>
      <c r="D16" s="4"/>
      <c r="E16" s="4"/>
      <c r="F16" s="17"/>
    </row>
    <row r="17" spans="2:5" x14ac:dyDescent="0.25">
      <c r="B17" s="20"/>
      <c r="C17" s="20"/>
      <c r="D17" s="20"/>
      <c r="E17" s="20"/>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0" ma:contentTypeDescription="Crie um novo documento." ma:contentTypeScope="" ma:versionID="c7c39eed5af8abfe503e5577f4525caf">
  <xsd:schema xmlns:xsd="http://www.w3.org/2001/XMLSchema" xmlns:p="http://schemas.microsoft.com/office/2006/metadata/properties" targetNamespace="http://schemas.microsoft.com/office/2006/metadata/properties" ma:root="true" ma:fieldsID="834597303d62dd03ddcd59f56325a213">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ma:readOnly="true"/>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236FD196-9B5A-4A69-9AC5-983793C49C55}">
  <ds:schemaRefs>
    <ds:schemaRef ds:uri="http://schemas.microsoft.com/sharepoint/v3/contenttype/forms"/>
  </ds:schemaRefs>
</ds:datastoreItem>
</file>

<file path=customXml/itemProps2.xml><?xml version="1.0" encoding="utf-8"?>
<ds:datastoreItem xmlns:ds="http://schemas.openxmlformats.org/officeDocument/2006/customXml" ds:itemID="{1C4F43DC-9C94-4933-A2D6-135874E6676F}">
  <ds:schemaRefs>
    <ds:schemaRef ds:uri="http://www.w3.org/XML/1998/namespace"/>
    <ds:schemaRef ds:uri="http://purl.org/dc/terms/"/>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purl.org/dc/elements/1.1/"/>
  </ds:schemaRefs>
</ds:datastoreItem>
</file>

<file path=customXml/itemProps3.xml><?xml version="1.0" encoding="utf-8"?>
<ds:datastoreItem xmlns:ds="http://schemas.openxmlformats.org/officeDocument/2006/customXml" ds:itemID="{C6B09541-741C-4A47-868E-9CB29E434BF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Tipificação</vt:lpstr>
      <vt:lpstr>Versionamento</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profile</dc:creator>
  <cp:lastModifiedBy>Profile</cp:lastModifiedBy>
  <dcterms:created xsi:type="dcterms:W3CDTF">2011-10-04T19:03:40Z</dcterms:created>
  <dcterms:modified xsi:type="dcterms:W3CDTF">2013-06-13T19:58:26Z</dcterms:modified>
  <cp:contentType>Documento</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