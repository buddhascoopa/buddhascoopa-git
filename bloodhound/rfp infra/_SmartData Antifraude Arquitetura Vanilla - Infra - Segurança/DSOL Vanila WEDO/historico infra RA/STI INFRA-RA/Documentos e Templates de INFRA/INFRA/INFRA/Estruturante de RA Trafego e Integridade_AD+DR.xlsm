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90" windowWidth="18195" windowHeight="9015"/>
  </bookViews>
  <sheets>
    <sheet name="DR" sheetId="1" r:id="rId1"/>
  </sheets>
  <calcPr calcId="145621"/>
</workbook>
</file>

<file path=xl/calcChain.xml><?xml version="1.0" encoding="utf-8"?>
<calcChain xmlns="http://schemas.openxmlformats.org/spreadsheetml/2006/main">
  <c r="H45" i="1" l="1"/>
  <c r="G45" i="1"/>
  <c r="F45" i="1"/>
  <c r="H44" i="1"/>
  <c r="G44" i="1"/>
  <c r="F44" i="1"/>
  <c r="H43" i="1"/>
  <c r="G43" i="1"/>
  <c r="F43" i="1"/>
  <c r="H42" i="1"/>
  <c r="G42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B22" i="1" l="1"/>
  <c r="M2" i="1" l="1"/>
  <c r="G30" i="1" l="1"/>
  <c r="C14" i="1" l="1"/>
  <c r="F30" i="1" s="1"/>
</calcChain>
</file>

<file path=xl/sharedStrings.xml><?xml version="1.0" encoding="utf-8"?>
<sst xmlns="http://schemas.openxmlformats.org/spreadsheetml/2006/main" count="77" uniqueCount="40">
  <si>
    <t>Módulo</t>
  </si>
  <si>
    <t>RTO</t>
  </si>
  <si>
    <t>Coluna</t>
  </si>
  <si>
    <t>Informar o nome do módulo da aplicação. Por módulo entende-se conjunto de funcionalidades relativas a um assunto de relevância dentro da aplicação.</t>
  </si>
  <si>
    <t>Instrução para preenchimento</t>
  </si>
  <si>
    <t>Política de DR</t>
  </si>
  <si>
    <t>Descritivo da política de DR</t>
  </si>
  <si>
    <t>N/A</t>
  </si>
  <si>
    <t>Não há necessidade de política de DR para o módulo.</t>
  </si>
  <si>
    <t>0 (zero) hora</t>
  </si>
  <si>
    <t>Código</t>
  </si>
  <si>
    <t>Políticas de Recuperação de Desastre (DR - Desaster Recovery)</t>
  </si>
  <si>
    <t>Em caso de desastre o módulo não pode ter perda de dados e deve ter a operação retomada em no máximo 4 (quatro) horas.</t>
  </si>
  <si>
    <t>Em caso de desastre o módulo não pode ter perda de dados e deve ter a operação retomada em no máximo 24 (vinte e quatro) horas.</t>
  </si>
  <si>
    <t>Em caso de desastre o módulo pode ter até 24 (vinte e quatro) horas de perda de dados e deve ter a operação retomada em no máximo 24 (vinte e quatro) horas.</t>
  </si>
  <si>
    <t>Em caso de desastre o módulo não pode ter perda de dados e deve ter a operação retomada em no máximo 7 (sete) dias.</t>
  </si>
  <si>
    <t>Em caso de desastre o módulo pode ter até 24 (vinte e quatro) horas de perda de dados e deve ter a operação retomada em no máximo 7 (sete) dias.</t>
  </si>
  <si>
    <t>Objetivo</t>
  </si>
  <si>
    <t>Introdução</t>
  </si>
  <si>
    <t>4 (quatro) horas</t>
  </si>
  <si>
    <t>24 (vinte e quatro) horas</t>
  </si>
  <si>
    <t>7 (sete) dias</t>
  </si>
  <si>
    <t>CORE</t>
  </si>
  <si>
    <t>Descritivo da Política de DR</t>
  </si>
  <si>
    <t>Data:</t>
  </si>
  <si>
    <t>Projeto Estruturante:</t>
  </si>
  <si>
    <t>Política
de DR</t>
  </si>
  <si>
    <t xml:space="preserve">Preencher a coluna com o código correspondente a política de DR, entre as acima listadas, que atende aos requisitos de continuidade para o módulo em questão. O ideal é que a política escolhida atenda a janela máxima de indisponibilidade que esse módulo suporta sem impactar significativamente o atendimento a clientes ou causar perda de receita. </t>
  </si>
  <si>
    <t>Respondido  por:</t>
  </si>
  <si>
    <r>
      <t xml:space="preserve">Este instrumento tem por finalidade a coleta de dados relativos à Recuperação de Desastre (DR-Disaster Recovery) para os projetos estruturantes. Os dados aqui informados serão utilizados para compor o anexo </t>
    </r>
    <r>
      <rPr>
        <b/>
        <u/>
        <sz val="11"/>
        <color theme="1"/>
        <rFont val="Calibri"/>
        <family val="2"/>
        <scheme val="minor"/>
      </rPr>
      <t>Solução e Serviços de Disponibilidade de Infraestrutura de TI</t>
    </r>
    <r>
      <rPr>
        <sz val="11"/>
        <color theme="1"/>
        <rFont val="Calibri"/>
        <family val="2"/>
        <scheme val="minor"/>
      </rPr>
      <t>. A escolha da política deve ser cuidadosamente analisada, considerando os requisitos e a relevância da aplicação para a continuidade de negócios da Oi.</t>
    </r>
  </si>
  <si>
    <t>Tipo Módulo</t>
  </si>
  <si>
    <t>Tipo
Módulo</t>
  </si>
  <si>
    <t>Não CORE</t>
  </si>
  <si>
    <t xml:space="preserve">Informar se o TIPO DE MÓDULO é CORE ou NÃO CORE.
Por módulo CORE entende-se o módulo de importância fundamental para a continuidade de negócio da empresa e por isso deverá ser coberto por uma Política de DR para garantir a continuidade dos negócios dentre um uma Política de DR acordada.
Módulo NÃO CORE é aquele que tem seu peso para a companhia, porém em caso de alguma catástrofe ou inoperância do datacenter ao qual está instalado, a sua restauração aguardará a restauração do datacenter, o que poderá durar horas, dias ou meses de acordo com o grau da catástrofe. Esse módulo não é coberto por Política e/ou implementação de DR.
</t>
  </si>
  <si>
    <t>Selecione</t>
  </si>
  <si>
    <r>
      <t xml:space="preserve">A política de Recuperação de Desastre (DR-Desaster Recovery) define as diretrizes de retorno à normalidade e perda de dados para uma dada aplicação. É constituída a partir de três parâmetros básicos:
</t>
    </r>
    <r>
      <rPr>
        <u/>
        <sz val="11"/>
        <color theme="1"/>
        <rFont val="Calibri"/>
        <family val="2"/>
        <scheme val="minor"/>
      </rPr>
      <t>RPO (Recovery Point Objective)</t>
    </r>
    <r>
      <rPr>
        <sz val="11"/>
        <color theme="1"/>
        <rFont val="Calibri"/>
        <family val="2"/>
        <scheme val="minor"/>
      </rPr>
      <t xml:space="preserve">: é  o intervalo máximo de perda de informações antes da falha do ambiente de produção no datacenter primário,  especifica portanto o maior intervalo de tempo de perda de dados que a aplicação/módulo suporta, em caso de desastre;
</t>
    </r>
    <r>
      <rPr>
        <u/>
        <sz val="11"/>
        <color theme="1"/>
        <rFont val="Calibri"/>
        <family val="2"/>
        <scheme val="minor"/>
      </rPr>
      <t>RTO (Recovery Time Objective)</t>
    </r>
    <r>
      <rPr>
        <sz val="11"/>
        <color theme="1"/>
        <rFont val="Calibri"/>
        <family val="2"/>
        <scheme val="minor"/>
      </rPr>
      <t xml:space="preserve">:  é o prazo permitido para que a aplicação retorne a operação normal,  especifica portanto o maior intervalo de tempo transcorrido entre o desastre e o retorno operacional da aplicação/módulo;
</t>
    </r>
    <r>
      <rPr>
        <u/>
        <sz val="11"/>
        <color theme="1"/>
        <rFont val="Calibri"/>
        <family val="2"/>
        <scheme val="minor"/>
      </rPr>
      <t>MBCO (Minimun Business Continuity Objective)</t>
    </r>
    <r>
      <rPr>
        <sz val="11"/>
        <color theme="1"/>
        <rFont val="Calibri"/>
        <family val="2"/>
        <scheme val="minor"/>
      </rPr>
      <t>: especifica a capacidade mínima que a aplicação suporta quando operando no ambiente de D.R. Por diretriz da Oi  o desempenho da aplicação operando em situação de desastre deverá ser o mesmo de quando operando em situação de normalidade, portanto o MBCO é  de 100% (cento por cento).
 Este documento oferece 6 opções de políticas que devem ser avaliadas e escolhidas de acordo com os requisitos de cada módulo da aplicação em questão, conforme quadro abaixo:</t>
    </r>
  </si>
  <si>
    <t>Estruturante de RA Tráfego e Integridade</t>
  </si>
  <si>
    <t>Leandro Frossard</t>
  </si>
  <si>
    <t>RAID TRÁFEGO</t>
  </si>
  <si>
    <t>RAID INTEGRIDADE DE PLATAFORMAS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</si>
</sst>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Font="1"/>
    <xf numFmtId="0" fontId="0" fillId="0" borderId="8" xfId="0" applyFont="1" applyBorder="1"/>
    <xf numFmtId="0" fontId="0" fillId="0" borderId="9" xfId="0" applyFont="1" applyBorder="1"/>
    <xf numFmtId="0" fontId="0" fillId="0" borderId="10" xfId="0" applyFont="1" applyBorder="1"/>
    <xf numFmtId="0" fontId="0" fillId="0" borderId="1" xfId="0" applyFont="1" applyBorder="1" applyAlignment="1">
      <alignment horizontal="center" vertical="center"/>
    </xf>
    <xf numFmtId="0" fontId="0" fillId="0" borderId="0" xfId="0" applyFont="1" applyBorder="1" applyAlignment="1">
      <alignment horizontal="left" vertical="center" wrapText="1" indent="1"/>
    </xf>
    <xf numFmtId="0" fontId="3" fillId="0" borderId="1" xfId="0" applyFont="1" applyBorder="1" applyAlignment="1">
      <alignment horizontal="left" vertical="center" indent="1"/>
    </xf>
    <xf numFmtId="0" fontId="0" fillId="0" borderId="0" xfId="0" applyFont="1" applyFill="1" applyBorder="1" applyAlignment="1">
      <alignment horizontal="left" vertical="center" wrapText="1" indent="1"/>
    </xf>
    <xf numFmtId="0" fontId="2" fillId="0" borderId="0" xfId="0" applyFont="1"/>
    <xf numFmtId="0" fontId="1" fillId="2" borderId="1" xfId="0" applyFont="1" applyFill="1" applyBorder="1" applyAlignment="1">
      <alignment horizontal="center" vertical="center" wrapText="1"/>
    </xf>
    <xf numFmtId="0" fontId="1" fillId="2" borderId="1" xfId="0" quotePrefix="1" applyFont="1" applyFill="1" applyBorder="1" applyAlignment="1">
      <alignment horizontal="center" vertical="center" wrapText="1"/>
    </xf>
    <xf numFmtId="0" fontId="2" fillId="2" borderId="0" xfId="0" applyFont="1" applyFill="1"/>
    <xf numFmtId="0" fontId="2" fillId="3" borderId="0" xfId="0" applyFont="1" applyFill="1" applyAlignment="1">
      <alignment horizontal="left" vertical="center" indent="1"/>
    </xf>
    <xf numFmtId="0" fontId="0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 indent="1"/>
    </xf>
    <xf numFmtId="0" fontId="6" fillId="0" borderId="1" xfId="0" applyFont="1" applyBorder="1" applyAlignment="1">
      <alignment horizontal="center" vertical="center" wrapText="1"/>
    </xf>
    <xf numFmtId="0" fontId="0" fillId="0" borderId="0" xfId="0" applyFont="1" applyAlignment="1"/>
    <xf numFmtId="0" fontId="5" fillId="2" borderId="1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 wrapText="1" indent="1"/>
    </xf>
    <xf numFmtId="0" fontId="6" fillId="0" borderId="16" xfId="0" applyFont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0" fillId="0" borderId="0" xfId="0" quotePrefix="1" applyFont="1"/>
    <xf numFmtId="0" fontId="10" fillId="0" borderId="0" xfId="0" quotePrefix="1" applyFont="1"/>
    <xf numFmtId="0" fontId="10" fillId="0" borderId="0" xfId="0" applyFont="1"/>
    <xf numFmtId="0" fontId="10" fillId="0" borderId="0" xfId="0" applyFont="1" applyFill="1" applyBorder="1"/>
    <xf numFmtId="0" fontId="5" fillId="2" borderId="12" xfId="0" applyFont="1" applyFill="1" applyBorder="1" applyAlignment="1">
      <alignment horizontal="center" vertical="center"/>
    </xf>
    <xf numFmtId="0" fontId="11" fillId="0" borderId="14" xfId="0" applyFont="1" applyBorder="1" applyAlignment="1" applyProtection="1">
      <alignment horizontal="center" vertical="center" wrapText="1"/>
      <protection locked="0"/>
    </xf>
    <xf numFmtId="0" fontId="11" fillId="0" borderId="1" xfId="0" quotePrefix="1" applyFont="1" applyBorder="1" applyAlignment="1" applyProtection="1">
      <alignment horizontal="center" vertical="center" wrapText="1"/>
    </xf>
    <xf numFmtId="0" fontId="11" fillId="0" borderId="15" xfId="0" applyFont="1" applyBorder="1" applyAlignment="1" applyProtection="1">
      <alignment horizontal="center" vertical="center" wrapText="1"/>
      <protection locked="0"/>
    </xf>
    <xf numFmtId="0" fontId="11" fillId="0" borderId="16" xfId="0" quotePrefix="1" applyFont="1" applyBorder="1" applyAlignment="1" applyProtection="1">
      <alignment horizontal="center" vertical="center" wrapText="1"/>
    </xf>
    <xf numFmtId="14" fontId="2" fillId="2" borderId="3" xfId="0" applyNumberFormat="1" applyFont="1" applyFill="1" applyBorder="1" applyAlignment="1">
      <alignment horizontal="left" vertical="center"/>
    </xf>
    <xf numFmtId="14" fontId="2" fillId="2" borderId="4" xfId="0" applyNumberFormat="1" applyFont="1" applyFill="1" applyBorder="1" applyAlignment="1">
      <alignment horizontal="left" vertical="center"/>
    </xf>
    <xf numFmtId="0" fontId="7" fillId="4" borderId="3" xfId="0" applyFont="1" applyFill="1" applyBorder="1" applyAlignment="1" applyProtection="1">
      <alignment horizontal="center" vertical="center" wrapText="1"/>
      <protection locked="0"/>
    </xf>
    <xf numFmtId="0" fontId="7" fillId="4" borderId="4" xfId="0" applyFont="1" applyFill="1" applyBorder="1" applyAlignment="1" applyProtection="1">
      <alignment horizontal="center" vertical="center" wrapText="1"/>
      <protection locked="0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9" fillId="5" borderId="7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 indent="1"/>
    </xf>
    <xf numFmtId="0" fontId="0" fillId="0" borderId="3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0" fillId="0" borderId="1" xfId="0" applyFont="1" applyFill="1" applyBorder="1" applyAlignment="1">
      <alignment horizontal="left" vertical="center" wrapText="1" indent="1"/>
    </xf>
    <xf numFmtId="0" fontId="1" fillId="2" borderId="1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left" vertical="center" indent="1"/>
      <protection locked="0"/>
    </xf>
    <xf numFmtId="0" fontId="6" fillId="0" borderId="16" xfId="0" applyFont="1" applyBorder="1" applyAlignment="1" applyProtection="1">
      <alignment horizontal="left" vertical="center" indent="1"/>
      <protection locked="0"/>
    </xf>
    <xf numFmtId="0" fontId="5" fillId="2" borderId="1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 wrapText="1" indent="1"/>
    </xf>
    <xf numFmtId="0" fontId="6" fillId="0" borderId="3" xfId="0" applyFont="1" applyBorder="1" applyAlignment="1">
      <alignment horizontal="left" vertical="center" wrapText="1" indent="1"/>
    </xf>
    <xf numFmtId="0" fontId="6" fillId="0" borderId="17" xfId="0" applyFont="1" applyBorder="1" applyAlignment="1">
      <alignment horizontal="left" vertical="center" wrapText="1" indent="1"/>
    </xf>
    <xf numFmtId="0" fontId="1" fillId="6" borderId="1" xfId="0" applyFont="1" applyFill="1" applyBorder="1" applyAlignment="1">
      <alignment horizontal="center" vertical="center" wrapText="1"/>
    </xf>
    <xf numFmtId="0" fontId="6" fillId="0" borderId="18" xfId="0" applyFont="1" applyBorder="1" applyAlignment="1">
      <alignment horizontal="left" vertical="center" wrapText="1" indent="1"/>
    </xf>
    <xf numFmtId="0" fontId="6" fillId="0" borderId="19" xfId="0" applyFont="1" applyBorder="1" applyAlignment="1">
      <alignment horizontal="left" vertical="center" wrapText="1" indent="1"/>
    </xf>
    <xf numFmtId="0" fontId="6" fillId="0" borderId="20" xfId="0" applyFont="1" applyBorder="1" applyAlignment="1">
      <alignment horizontal="left" vertical="center" wrapText="1" indent="1"/>
    </xf>
    <xf numFmtId="0" fontId="5" fillId="2" borderId="13" xfId="0" applyFont="1" applyFill="1" applyBorder="1" applyAlignment="1">
      <alignment horizontal="center" vertical="center"/>
    </xf>
    <xf numFmtId="0" fontId="11" fillId="0" borderId="1" xfId="0" quotePrefix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Q69"/>
  <sheetViews>
    <sheetView showGridLines="0" tabSelected="1" topLeftCell="A26" zoomScale="85" zoomScaleNormal="85" workbookViewId="0">
      <selection activeCell="D34" sqref="D34:E34"/>
    </sheetView>
  </sheetViews>
  <sheetFormatPr defaultColWidth="0" defaultRowHeight="15" zeroHeight="1" x14ac:dyDescent="0.25"/>
  <cols>
    <col min="1" max="1" width="0.85546875" style="1" customWidth="1"/>
    <col min="2" max="2" width="13" style="1" customWidth="1"/>
    <col min="3" max="3" width="15" style="1" customWidth="1"/>
    <col min="4" max="4" width="36.5703125" style="1" customWidth="1"/>
    <col min="5" max="5" width="16.85546875" style="1" customWidth="1"/>
    <col min="6" max="6" width="22.28515625" style="1" customWidth="1"/>
    <col min="7" max="7" width="26.85546875" style="1" customWidth="1"/>
    <col min="8" max="13" width="9.140625" style="1" customWidth="1"/>
    <col min="14" max="14" width="13.42578125" style="1" customWidth="1"/>
    <col min="15" max="15" width="2.42578125" style="1" customWidth="1"/>
    <col min="16" max="17" width="9.140625" style="1" hidden="1" customWidth="1"/>
    <col min="18" max="16384" width="9.140625" style="1" hidden="1"/>
  </cols>
  <sheetData>
    <row r="1" spans="2:16" ht="5.25" customHeight="1" x14ac:dyDescent="0.25"/>
    <row r="2" spans="2:16" ht="39.75" customHeight="1" x14ac:dyDescent="0.25">
      <c r="B2" s="39" t="s">
        <v>25</v>
      </c>
      <c r="C2" s="40"/>
      <c r="D2" s="34" t="s">
        <v>36</v>
      </c>
      <c r="E2" s="35"/>
      <c r="F2" s="20" t="s">
        <v>28</v>
      </c>
      <c r="G2" s="34" t="s">
        <v>37</v>
      </c>
      <c r="H2" s="34"/>
      <c r="I2" s="34"/>
      <c r="J2" s="34"/>
      <c r="K2" s="35"/>
      <c r="L2" s="20" t="s">
        <v>24</v>
      </c>
      <c r="M2" s="32">
        <f ca="1">TODAY()</f>
        <v>41534</v>
      </c>
      <c r="N2" s="33"/>
      <c r="O2" s="17"/>
    </row>
    <row r="3" spans="2:16" ht="5.25" customHeight="1" x14ac:dyDescent="0.25"/>
    <row r="4" spans="2:16" ht="15" customHeight="1" x14ac:dyDescent="0.3">
      <c r="B4" s="12" t="s">
        <v>17</v>
      </c>
    </row>
    <row r="5" spans="2:16" ht="4.5" customHeight="1" x14ac:dyDescent="0.25"/>
    <row r="6" spans="2:16" ht="51.75" customHeight="1" x14ac:dyDescent="0.25">
      <c r="B6" s="41" t="s">
        <v>29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3"/>
    </row>
    <row r="7" spans="2:16" ht="5.25" customHeight="1" x14ac:dyDescent="0.25"/>
    <row r="8" spans="2:16" ht="15" customHeight="1" x14ac:dyDescent="0.3">
      <c r="B8" s="12" t="s">
        <v>18</v>
      </c>
    </row>
    <row r="9" spans="2:16" ht="3.75" customHeight="1" x14ac:dyDescent="0.3">
      <c r="B9" s="9"/>
    </row>
    <row r="10" spans="2:16" ht="144.75" customHeight="1" x14ac:dyDescent="0.25">
      <c r="B10" s="41" t="s">
        <v>35</v>
      </c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3"/>
    </row>
    <row r="11" spans="2:16" ht="4.5" customHeight="1" x14ac:dyDescent="0.25"/>
    <row r="12" spans="2:16" ht="18.75" x14ac:dyDescent="0.3">
      <c r="B12" s="36" t="s">
        <v>11</v>
      </c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8"/>
    </row>
    <row r="13" spans="2:16" ht="5.25" customHeight="1" x14ac:dyDescent="0.25">
      <c r="B13" s="2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4"/>
    </row>
    <row r="14" spans="2:16" ht="18" customHeight="1" x14ac:dyDescent="0.25">
      <c r="B14" s="10" t="s">
        <v>10</v>
      </c>
      <c r="C14" s="11" t="str">
        <f>"RPO"</f>
        <v>RPO</v>
      </c>
      <c r="D14" s="10" t="s">
        <v>1</v>
      </c>
      <c r="E14" s="45" t="s">
        <v>6</v>
      </c>
      <c r="F14" s="45"/>
      <c r="G14" s="45"/>
      <c r="H14" s="45"/>
      <c r="I14" s="45"/>
      <c r="J14" s="45"/>
      <c r="K14" s="45"/>
      <c r="L14" s="45"/>
      <c r="M14" s="45"/>
      <c r="N14" s="45"/>
      <c r="O14" s="24"/>
      <c r="P14" s="25"/>
    </row>
    <row r="15" spans="2:16" ht="18" customHeight="1" x14ac:dyDescent="0.25">
      <c r="B15" s="5">
        <v>1</v>
      </c>
      <c r="C15" s="14" t="s">
        <v>9</v>
      </c>
      <c r="D15" s="14" t="s">
        <v>19</v>
      </c>
      <c r="E15" s="44" t="s">
        <v>12</v>
      </c>
      <c r="F15" s="44"/>
      <c r="G15" s="44"/>
      <c r="H15" s="44"/>
      <c r="I15" s="44"/>
      <c r="J15" s="44"/>
      <c r="K15" s="44"/>
      <c r="L15" s="44"/>
      <c r="M15" s="44"/>
      <c r="N15" s="44"/>
      <c r="O15" s="25"/>
      <c r="P15" s="25"/>
    </row>
    <row r="16" spans="2:16" ht="34.5" customHeight="1" x14ac:dyDescent="0.25">
      <c r="B16" s="5">
        <v>2</v>
      </c>
      <c r="C16" s="14" t="s">
        <v>9</v>
      </c>
      <c r="D16" s="14" t="s">
        <v>20</v>
      </c>
      <c r="E16" s="44" t="s">
        <v>13</v>
      </c>
      <c r="F16" s="44"/>
      <c r="G16" s="44"/>
      <c r="H16" s="44"/>
      <c r="I16" s="44"/>
      <c r="J16" s="44"/>
      <c r="K16" s="44"/>
      <c r="L16" s="44"/>
      <c r="M16" s="44"/>
      <c r="N16" s="44"/>
      <c r="O16" s="25"/>
      <c r="P16" s="25"/>
    </row>
    <row r="17" spans="2:17" ht="30.75" customHeight="1" x14ac:dyDescent="0.25">
      <c r="B17" s="5">
        <v>3</v>
      </c>
      <c r="C17" s="14" t="s">
        <v>9</v>
      </c>
      <c r="D17" s="14" t="s">
        <v>21</v>
      </c>
      <c r="E17" s="44" t="s">
        <v>15</v>
      </c>
      <c r="F17" s="44"/>
      <c r="G17" s="44"/>
      <c r="H17" s="44"/>
      <c r="I17" s="44"/>
      <c r="J17" s="44"/>
      <c r="K17" s="44"/>
      <c r="L17" s="44"/>
      <c r="M17" s="44"/>
      <c r="N17" s="44"/>
      <c r="O17" s="25"/>
      <c r="P17" s="25"/>
    </row>
    <row r="18" spans="2:17" ht="37.5" customHeight="1" x14ac:dyDescent="0.25">
      <c r="B18" s="5">
        <v>4</v>
      </c>
      <c r="C18" s="14" t="s">
        <v>20</v>
      </c>
      <c r="D18" s="14" t="s">
        <v>20</v>
      </c>
      <c r="E18" s="44" t="s">
        <v>14</v>
      </c>
      <c r="F18" s="44"/>
      <c r="G18" s="44"/>
      <c r="H18" s="44"/>
      <c r="I18" s="44"/>
      <c r="J18" s="44"/>
      <c r="K18" s="44"/>
      <c r="L18" s="44"/>
      <c r="M18" s="44"/>
      <c r="N18" s="44"/>
      <c r="O18" s="25"/>
      <c r="P18" s="25"/>
    </row>
    <row r="19" spans="2:17" ht="37.5" customHeight="1" x14ac:dyDescent="0.25">
      <c r="B19" s="5">
        <v>5</v>
      </c>
      <c r="C19" s="14" t="s">
        <v>20</v>
      </c>
      <c r="D19" s="14" t="s">
        <v>21</v>
      </c>
      <c r="E19" s="44" t="s">
        <v>16</v>
      </c>
      <c r="F19" s="44"/>
      <c r="G19" s="44"/>
      <c r="H19" s="44"/>
      <c r="I19" s="44"/>
      <c r="J19" s="44"/>
      <c r="K19" s="44"/>
      <c r="L19" s="44"/>
      <c r="M19" s="44"/>
      <c r="N19" s="44"/>
      <c r="O19" s="25"/>
      <c r="P19" s="25"/>
    </row>
    <row r="20" spans="2:17" ht="18" customHeight="1" x14ac:dyDescent="0.25">
      <c r="B20" s="5">
        <v>6</v>
      </c>
      <c r="C20" s="14" t="s">
        <v>7</v>
      </c>
      <c r="D20" s="14" t="s">
        <v>7</v>
      </c>
      <c r="E20" s="44" t="s">
        <v>8</v>
      </c>
      <c r="F20" s="44"/>
      <c r="G20" s="44"/>
      <c r="H20" s="44"/>
      <c r="I20" s="44"/>
      <c r="J20" s="44"/>
      <c r="K20" s="44"/>
      <c r="L20" s="44"/>
      <c r="M20" s="44"/>
      <c r="N20" s="44"/>
      <c r="O20" s="25"/>
      <c r="P20" s="25"/>
    </row>
    <row r="21" spans="2:17" ht="6" customHeight="1" x14ac:dyDescent="0.25">
      <c r="F21" s="6"/>
      <c r="O21" s="24"/>
      <c r="P21" s="25"/>
    </row>
    <row r="22" spans="2:17" ht="18.75" x14ac:dyDescent="0.3">
      <c r="B22" s="36" t="str">
        <f>"Dados do Projeto "&amp;D2</f>
        <v>Dados do Projeto Estruturante de RA Tráfego e Integridade</v>
      </c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8"/>
      <c r="O22" s="26">
        <v>6</v>
      </c>
      <c r="P22" s="25"/>
    </row>
    <row r="23" spans="2:17" ht="5.25" customHeight="1" x14ac:dyDescent="0.25">
      <c r="B23" s="13"/>
      <c r="C23" s="13"/>
      <c r="D23" s="13"/>
      <c r="F23" s="6"/>
      <c r="O23" s="25"/>
      <c r="P23" s="25"/>
    </row>
    <row r="24" spans="2:17" ht="19.5" customHeight="1" x14ac:dyDescent="0.25">
      <c r="B24" s="19" t="s">
        <v>2</v>
      </c>
      <c r="C24" s="52" t="s">
        <v>4</v>
      </c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25"/>
      <c r="P24" s="25"/>
    </row>
    <row r="25" spans="2:17" ht="131.25" customHeight="1" x14ac:dyDescent="0.25">
      <c r="B25" s="7" t="s">
        <v>30</v>
      </c>
      <c r="C25" s="44" t="s">
        <v>33</v>
      </c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</row>
    <row r="26" spans="2:17" ht="48" customHeight="1" x14ac:dyDescent="0.25">
      <c r="B26" s="15" t="s">
        <v>5</v>
      </c>
      <c r="C26" s="44" t="s">
        <v>27</v>
      </c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</row>
    <row r="27" spans="2:17" ht="19.5" customHeight="1" x14ac:dyDescent="0.25">
      <c r="B27" s="7" t="s">
        <v>0</v>
      </c>
      <c r="C27" s="44" t="s">
        <v>3</v>
      </c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</row>
    <row r="28" spans="2:17" ht="3.75" customHeight="1" x14ac:dyDescent="0.25">
      <c r="F28" s="8"/>
      <c r="G28" s="8"/>
      <c r="H28" s="8"/>
      <c r="I28" s="8"/>
      <c r="J28" s="8"/>
      <c r="K28" s="8"/>
      <c r="L28" s="8"/>
      <c r="M28" s="8"/>
      <c r="N28" s="8"/>
    </row>
    <row r="29" spans="2:17" ht="5.25" customHeight="1" thickBot="1" x14ac:dyDescent="0.3">
      <c r="B29" s="13"/>
      <c r="C29" s="13"/>
      <c r="D29" s="13"/>
      <c r="F29" s="6"/>
    </row>
    <row r="30" spans="2:17" ht="42.75" customHeight="1" x14ac:dyDescent="0.25">
      <c r="B30" s="18" t="s">
        <v>31</v>
      </c>
      <c r="C30" s="22" t="s">
        <v>26</v>
      </c>
      <c r="D30" s="48" t="s">
        <v>0</v>
      </c>
      <c r="E30" s="48"/>
      <c r="F30" s="27" t="str">
        <f>C14</f>
        <v>RPO</v>
      </c>
      <c r="G30" s="27" t="str">
        <f>D14</f>
        <v>RTO</v>
      </c>
      <c r="H30" s="48" t="s">
        <v>23</v>
      </c>
      <c r="I30" s="48"/>
      <c r="J30" s="48"/>
      <c r="K30" s="48"/>
      <c r="L30" s="48"/>
      <c r="M30" s="48"/>
      <c r="N30" s="56"/>
    </row>
    <row r="31" spans="2:17" ht="93.75" customHeight="1" x14ac:dyDescent="0.25">
      <c r="B31" s="28" t="s">
        <v>22</v>
      </c>
      <c r="C31" s="57">
        <v>3</v>
      </c>
      <c r="D31" s="46" t="s">
        <v>38</v>
      </c>
      <c r="E31" s="46"/>
      <c r="F31" s="16" t="str">
        <f t="shared" ref="F31:F45" si="0">IF(AND(B31&lt;&gt;"Selecione",C31&lt;&gt;"Selecione",C31&lt;&gt;""),VLOOKUP(C31,$B$14:$N$20,2,FALSE()),"")</f>
        <v>0 (zero) hora</v>
      </c>
      <c r="G31" s="16" t="str">
        <f t="shared" ref="G31:G45" si="1">IF(AND(B31&lt;&gt;"Selecione",C31&lt;&gt;"Selecione",C31&lt;&gt;""),VLOOKUP(C31,$B$14:$N$20,3,FALSE()),"")</f>
        <v>7 (sete) dias</v>
      </c>
      <c r="H31" s="49" t="str">
        <f t="shared" ref="H31:H45" si="2">IF(AND(B31&lt;&gt;"Selecione",C31&lt;&gt;"Selecione",C31&lt;&gt;""),VLOOKUP(C31,$B$14:$N$20,4,FALSE()),IF(D31="","","Favor informar Tipo de Módulo (CORE ou não CORE) e Política de DR"))</f>
        <v>Em caso de desastre o módulo não pode ter perda de dados e deve ter a operação retomada em no máximo 7 (sete) dias.</v>
      </c>
      <c r="I31" s="50"/>
      <c r="J31" s="50"/>
      <c r="K31" s="50"/>
      <c r="L31" s="50"/>
      <c r="M31" s="50"/>
      <c r="N31" s="51"/>
      <c r="P31" s="24" t="s">
        <v>34</v>
      </c>
    </row>
    <row r="32" spans="2:17" ht="94.5" customHeight="1" x14ac:dyDescent="0.25">
      <c r="B32" s="28" t="s">
        <v>22</v>
      </c>
      <c r="C32" s="57">
        <v>2</v>
      </c>
      <c r="D32" s="46" t="s">
        <v>39</v>
      </c>
      <c r="E32" s="46"/>
      <c r="F32" s="16" t="str">
        <f t="shared" si="0"/>
        <v>0 (zero) hora</v>
      </c>
      <c r="G32" s="16" t="str">
        <f t="shared" si="1"/>
        <v>24 (vinte e quatro) horas</v>
      </c>
      <c r="H32" s="49" t="str">
        <f t="shared" si="2"/>
        <v>Em caso de desastre o módulo não pode ter perda de dados e deve ter a operação retomada em no máximo 24 (vinte e quatro) horas.</v>
      </c>
      <c r="I32" s="50"/>
      <c r="J32" s="50"/>
      <c r="K32" s="50"/>
      <c r="L32" s="50"/>
      <c r="M32" s="50"/>
      <c r="N32" s="51"/>
      <c r="P32" s="24" t="s">
        <v>22</v>
      </c>
      <c r="Q32" s="23"/>
    </row>
    <row r="33" spans="2:16" ht="54" customHeight="1" x14ac:dyDescent="0.25">
      <c r="B33" s="28" t="s">
        <v>34</v>
      </c>
      <c r="C33" s="29" t="s">
        <v>34</v>
      </c>
      <c r="D33" s="46"/>
      <c r="E33" s="46"/>
      <c r="F33" s="16" t="str">
        <f t="shared" si="0"/>
        <v/>
      </c>
      <c r="G33" s="16" t="str">
        <f t="shared" si="1"/>
        <v/>
      </c>
      <c r="H33" s="49" t="str">
        <f t="shared" si="2"/>
        <v/>
      </c>
      <c r="I33" s="50"/>
      <c r="J33" s="50"/>
      <c r="K33" s="50"/>
      <c r="L33" s="50"/>
      <c r="M33" s="50"/>
      <c r="N33" s="51"/>
      <c r="P33" s="25" t="s">
        <v>32</v>
      </c>
    </row>
    <row r="34" spans="2:16" ht="40.5" customHeight="1" x14ac:dyDescent="0.25">
      <c r="B34" s="28" t="s">
        <v>34</v>
      </c>
      <c r="C34" s="29" t="s">
        <v>34</v>
      </c>
      <c r="D34" s="46"/>
      <c r="E34" s="46"/>
      <c r="F34" s="16" t="str">
        <f t="shared" si="0"/>
        <v/>
      </c>
      <c r="G34" s="16" t="str">
        <f t="shared" si="1"/>
        <v/>
      </c>
      <c r="H34" s="49" t="str">
        <f t="shared" si="2"/>
        <v/>
      </c>
      <c r="I34" s="50"/>
      <c r="J34" s="50"/>
      <c r="K34" s="50"/>
      <c r="L34" s="50"/>
      <c r="M34" s="50"/>
      <c r="N34" s="51"/>
      <c r="P34" s="24"/>
    </row>
    <row r="35" spans="2:16" ht="40.5" customHeight="1" x14ac:dyDescent="0.25">
      <c r="B35" s="28" t="s">
        <v>34</v>
      </c>
      <c r="C35" s="29" t="s">
        <v>34</v>
      </c>
      <c r="D35" s="46"/>
      <c r="E35" s="46"/>
      <c r="F35" s="16" t="str">
        <f t="shared" si="0"/>
        <v/>
      </c>
      <c r="G35" s="16" t="str">
        <f t="shared" si="1"/>
        <v/>
      </c>
      <c r="H35" s="49" t="str">
        <f t="shared" si="2"/>
        <v/>
      </c>
      <c r="I35" s="50"/>
      <c r="J35" s="50"/>
      <c r="K35" s="50"/>
      <c r="L35" s="50"/>
      <c r="M35" s="50"/>
      <c r="N35" s="51"/>
      <c r="P35" s="25" t="s">
        <v>32</v>
      </c>
    </row>
    <row r="36" spans="2:16" ht="40.5" customHeight="1" x14ac:dyDescent="0.25">
      <c r="B36" s="28" t="s">
        <v>34</v>
      </c>
      <c r="C36" s="29" t="s">
        <v>34</v>
      </c>
      <c r="D36" s="46"/>
      <c r="E36" s="46"/>
      <c r="F36" s="16" t="str">
        <f t="shared" si="0"/>
        <v/>
      </c>
      <c r="G36" s="16" t="str">
        <f t="shared" si="1"/>
        <v/>
      </c>
      <c r="H36" s="49" t="str">
        <f t="shared" si="2"/>
        <v/>
      </c>
      <c r="I36" s="50"/>
      <c r="J36" s="50"/>
      <c r="K36" s="50"/>
      <c r="L36" s="50"/>
      <c r="M36" s="50"/>
      <c r="N36" s="51"/>
      <c r="P36" s="25"/>
    </row>
    <row r="37" spans="2:16" ht="40.5" customHeight="1" x14ac:dyDescent="0.25">
      <c r="B37" s="28" t="s">
        <v>34</v>
      </c>
      <c r="C37" s="29" t="s">
        <v>34</v>
      </c>
      <c r="D37" s="46"/>
      <c r="E37" s="46"/>
      <c r="F37" s="16" t="str">
        <f t="shared" si="0"/>
        <v/>
      </c>
      <c r="G37" s="16" t="str">
        <f t="shared" si="1"/>
        <v/>
      </c>
      <c r="H37" s="49" t="str">
        <f t="shared" si="2"/>
        <v/>
      </c>
      <c r="I37" s="50"/>
      <c r="J37" s="50"/>
      <c r="K37" s="50"/>
      <c r="L37" s="50"/>
      <c r="M37" s="50"/>
      <c r="N37" s="51"/>
      <c r="P37" s="25"/>
    </row>
    <row r="38" spans="2:16" ht="40.5" customHeight="1" x14ac:dyDescent="0.25">
      <c r="B38" s="28" t="s">
        <v>34</v>
      </c>
      <c r="C38" s="29" t="s">
        <v>34</v>
      </c>
      <c r="D38" s="46"/>
      <c r="E38" s="46"/>
      <c r="F38" s="16" t="str">
        <f t="shared" si="0"/>
        <v/>
      </c>
      <c r="G38" s="16" t="str">
        <f t="shared" si="1"/>
        <v/>
      </c>
      <c r="H38" s="49" t="str">
        <f t="shared" si="2"/>
        <v/>
      </c>
      <c r="I38" s="50"/>
      <c r="J38" s="50"/>
      <c r="K38" s="50"/>
      <c r="L38" s="50"/>
      <c r="M38" s="50"/>
      <c r="N38" s="51"/>
    </row>
    <row r="39" spans="2:16" ht="40.5" customHeight="1" x14ac:dyDescent="0.25">
      <c r="B39" s="28" t="s">
        <v>34</v>
      </c>
      <c r="C39" s="29" t="s">
        <v>34</v>
      </c>
      <c r="D39" s="46"/>
      <c r="E39" s="46"/>
      <c r="F39" s="16" t="str">
        <f t="shared" si="0"/>
        <v/>
      </c>
      <c r="G39" s="16" t="str">
        <f t="shared" si="1"/>
        <v/>
      </c>
      <c r="H39" s="49" t="str">
        <f t="shared" si="2"/>
        <v/>
      </c>
      <c r="I39" s="50"/>
      <c r="J39" s="50"/>
      <c r="K39" s="50"/>
      <c r="L39" s="50"/>
      <c r="M39" s="50"/>
      <c r="N39" s="51"/>
    </row>
    <row r="40" spans="2:16" ht="40.5" customHeight="1" x14ac:dyDescent="0.25">
      <c r="B40" s="28" t="s">
        <v>34</v>
      </c>
      <c r="C40" s="29" t="s">
        <v>34</v>
      </c>
      <c r="D40" s="46"/>
      <c r="E40" s="46"/>
      <c r="F40" s="16" t="str">
        <f t="shared" si="0"/>
        <v/>
      </c>
      <c r="G40" s="16" t="str">
        <f t="shared" si="1"/>
        <v/>
      </c>
      <c r="H40" s="49" t="str">
        <f t="shared" si="2"/>
        <v/>
      </c>
      <c r="I40" s="50"/>
      <c r="J40" s="50"/>
      <c r="K40" s="50"/>
      <c r="L40" s="50"/>
      <c r="M40" s="50"/>
      <c r="N40" s="51"/>
    </row>
    <row r="41" spans="2:16" ht="40.5" customHeight="1" x14ac:dyDescent="0.25">
      <c r="B41" s="28" t="s">
        <v>34</v>
      </c>
      <c r="C41" s="29" t="s">
        <v>34</v>
      </c>
      <c r="D41" s="46"/>
      <c r="E41" s="46"/>
      <c r="F41" s="16" t="str">
        <f t="shared" si="0"/>
        <v/>
      </c>
      <c r="G41" s="16" t="str">
        <f t="shared" si="1"/>
        <v/>
      </c>
      <c r="H41" s="49" t="str">
        <f t="shared" si="2"/>
        <v/>
      </c>
      <c r="I41" s="50"/>
      <c r="J41" s="50"/>
      <c r="K41" s="50"/>
      <c r="L41" s="50"/>
      <c r="M41" s="50"/>
      <c r="N41" s="51"/>
    </row>
    <row r="42" spans="2:16" ht="40.5" customHeight="1" x14ac:dyDescent="0.25">
      <c r="B42" s="28" t="s">
        <v>34</v>
      </c>
      <c r="C42" s="29" t="s">
        <v>34</v>
      </c>
      <c r="D42" s="46"/>
      <c r="E42" s="46"/>
      <c r="F42" s="16" t="str">
        <f t="shared" si="0"/>
        <v/>
      </c>
      <c r="G42" s="16" t="str">
        <f t="shared" si="1"/>
        <v/>
      </c>
      <c r="H42" s="49" t="str">
        <f t="shared" si="2"/>
        <v/>
      </c>
      <c r="I42" s="50"/>
      <c r="J42" s="50"/>
      <c r="K42" s="50"/>
      <c r="L42" s="50"/>
      <c r="M42" s="50"/>
      <c r="N42" s="51"/>
    </row>
    <row r="43" spans="2:16" ht="40.5" customHeight="1" x14ac:dyDescent="0.25">
      <c r="B43" s="28" t="s">
        <v>34</v>
      </c>
      <c r="C43" s="29" t="s">
        <v>34</v>
      </c>
      <c r="D43" s="46"/>
      <c r="E43" s="46"/>
      <c r="F43" s="16" t="str">
        <f t="shared" si="0"/>
        <v/>
      </c>
      <c r="G43" s="16" t="str">
        <f t="shared" si="1"/>
        <v/>
      </c>
      <c r="H43" s="49" t="str">
        <f t="shared" si="2"/>
        <v/>
      </c>
      <c r="I43" s="50"/>
      <c r="J43" s="50"/>
      <c r="K43" s="50"/>
      <c r="L43" s="50"/>
      <c r="M43" s="50"/>
      <c r="N43" s="51"/>
    </row>
    <row r="44" spans="2:16" ht="40.5" customHeight="1" x14ac:dyDescent="0.25">
      <c r="B44" s="28" t="s">
        <v>34</v>
      </c>
      <c r="C44" s="29" t="s">
        <v>34</v>
      </c>
      <c r="D44" s="46"/>
      <c r="E44" s="46"/>
      <c r="F44" s="16" t="str">
        <f t="shared" si="0"/>
        <v/>
      </c>
      <c r="G44" s="16" t="str">
        <f t="shared" si="1"/>
        <v/>
      </c>
      <c r="H44" s="49" t="str">
        <f t="shared" si="2"/>
        <v/>
      </c>
      <c r="I44" s="50"/>
      <c r="J44" s="50"/>
      <c r="K44" s="50"/>
      <c r="L44" s="50"/>
      <c r="M44" s="50"/>
      <c r="N44" s="51"/>
    </row>
    <row r="45" spans="2:16" ht="40.5" customHeight="1" thickBot="1" x14ac:dyDescent="0.3">
      <c r="B45" s="30" t="s">
        <v>34</v>
      </c>
      <c r="C45" s="31" t="s">
        <v>34</v>
      </c>
      <c r="D45" s="47"/>
      <c r="E45" s="47"/>
      <c r="F45" s="21" t="str">
        <f t="shared" si="0"/>
        <v/>
      </c>
      <c r="G45" s="21" t="str">
        <f t="shared" si="1"/>
        <v/>
      </c>
      <c r="H45" s="53" t="str">
        <f t="shared" si="2"/>
        <v/>
      </c>
      <c r="I45" s="54"/>
      <c r="J45" s="54"/>
      <c r="K45" s="54"/>
      <c r="L45" s="54"/>
      <c r="M45" s="54"/>
      <c r="N45" s="55"/>
    </row>
    <row r="46" spans="2:16" x14ac:dyDescent="0.25"/>
    <row r="47" spans="2:16" hidden="1" x14ac:dyDescent="0.25"/>
    <row r="48" spans="2:16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</sheetData>
  <sheetProtection password="CF49" sheet="1" objects="1" scenarios="1" selectLockedCells="1"/>
  <mergeCells count="51">
    <mergeCell ref="C27:N27"/>
    <mergeCell ref="C24:N24"/>
    <mergeCell ref="H38:N38"/>
    <mergeCell ref="H39:N39"/>
    <mergeCell ref="H45:N45"/>
    <mergeCell ref="H40:N40"/>
    <mergeCell ref="H41:N41"/>
    <mergeCell ref="H42:N42"/>
    <mergeCell ref="H43:N43"/>
    <mergeCell ref="H44:N44"/>
    <mergeCell ref="D42:E42"/>
    <mergeCell ref="C25:N25"/>
    <mergeCell ref="C26:N26"/>
    <mergeCell ref="H30:N30"/>
    <mergeCell ref="H31:N31"/>
    <mergeCell ref="H32:N32"/>
    <mergeCell ref="H33:N33"/>
    <mergeCell ref="H34:N34"/>
    <mergeCell ref="H35:N35"/>
    <mergeCell ref="H36:N36"/>
    <mergeCell ref="H37:N37"/>
    <mergeCell ref="D43:E43"/>
    <mergeCell ref="D44:E44"/>
    <mergeCell ref="B6:N6"/>
    <mergeCell ref="D45:E45"/>
    <mergeCell ref="D30:E30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M2:N2"/>
    <mergeCell ref="G2:K2"/>
    <mergeCell ref="B22:N22"/>
    <mergeCell ref="B2:C2"/>
    <mergeCell ref="D2:E2"/>
    <mergeCell ref="B10:N10"/>
    <mergeCell ref="B12:N12"/>
    <mergeCell ref="E18:N18"/>
    <mergeCell ref="E17:N17"/>
    <mergeCell ref="E14:N14"/>
    <mergeCell ref="E15:N15"/>
    <mergeCell ref="E16:N16"/>
    <mergeCell ref="E19:N19"/>
    <mergeCell ref="E20:N20"/>
  </mergeCells>
  <conditionalFormatting sqref="D31:E45">
    <cfRule type="expression" dxfId="0" priority="7">
      <formula>OR(AND($D31&lt;&gt;"",$B31="Selecione"),AND($D31&lt;&gt;"",$C31="Selecione"),AND(D31="",OR(B31&lt;&gt;"Selecione",C31&lt;&gt;"Selecione")))</formula>
    </cfRule>
  </conditionalFormatting>
  <dataValidations count="3">
    <dataValidation type="list" allowBlank="1" showInputMessage="1" showErrorMessage="1" sqref="B31:B45">
      <formula1>$P$31:$P$33</formula1>
    </dataValidation>
    <dataValidation type="list" allowBlank="1" showInputMessage="1" showErrorMessage="1" sqref="C31">
      <formula1>$B$15:$B$19</formula1>
    </dataValidation>
    <dataValidation type="list" allowBlank="1" showInputMessage="1" showErrorMessage="1" sqref="C32">
      <formula1>$B$15:$B$19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54E5B8C7964A949B835F4F38FD31F99" ma:contentTypeVersion="2" ma:contentTypeDescription="Crie um novo documento." ma:contentTypeScope="" ma:versionID="99e819cdb6d6f702e0bbe88c36d55ae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e078010f886becc52d8153076464ff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4171CC7-C3D6-401C-9F63-7B39B063592E}">
  <ds:schemaRefs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A5E4786B-74EA-4232-A861-63425FCFCEA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EC11422-82BB-4089-965E-10F654FF6F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profile</cp:lastModifiedBy>
  <dcterms:created xsi:type="dcterms:W3CDTF">2012-02-15T23:29:32Z</dcterms:created>
  <dcterms:modified xsi:type="dcterms:W3CDTF">2013-09-17T19:36:34Z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0x010100154E5B8C7964A949B835F4F38FD31F99</vt:lpwstr>
  </property>
</Properties>
</file>