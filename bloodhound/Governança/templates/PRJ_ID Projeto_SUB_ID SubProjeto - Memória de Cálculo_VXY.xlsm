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EstaPasta_de_trabalho" hidePivotFieldList="1"/>
  <bookViews>
    <workbookView xWindow="0" yWindow="0" windowWidth="20490" windowHeight="7755" tabRatio="711"/>
  </bookViews>
  <sheets>
    <sheet name="Macro" sheetId="2" r:id="rId1"/>
    <sheet name="Sistemas" sheetId="3" r:id="rId2"/>
    <sheet name="DW" sheetId="4" r:id="rId3"/>
    <sheet name="Resultado" sheetId="5" r:id="rId4"/>
    <sheet name="Sobre a planilha" sheetId="6" r:id="rId5"/>
    <sheet name="Dados" sheetId="7" state="hidden" r:id="rId6"/>
    <sheet name="Forum Especializado" sheetId="8" r:id="rId7"/>
    <sheet name="Versões" sheetId="9" r:id="rId8"/>
  </sheets>
  <definedNames>
    <definedName name="_xlnm._FilterDatabase" localSheetId="2" hidden="1">DW!$B$3:$C$13</definedName>
    <definedName name="_xlnm._FilterDatabase" localSheetId="0" hidden="1">Macro!$A$5:$C$1006</definedName>
    <definedName name="_xlnm.Print_Area" localSheetId="0">Macro!$A$1:$N$1009</definedName>
    <definedName name="_xlnm.Print_Area" localSheetId="3">Resultado!$A$1:$D$30</definedName>
    <definedName name="Consulta_de_STI" localSheetId="5" hidden="1">Dados!$G$1:$I$1008</definedName>
    <definedName name="Fornecedor">TabelaFornecedor[Fornecedor]</definedName>
    <definedName name="Lista_Sistemas">Tabela_Consulta_de_STI67[Sistema]</definedName>
  </definedNames>
  <calcPr calcId="145621"/>
  <pivotCaches>
    <pivotCache cacheId="0"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76" i="2" l="1"/>
  <c r="F917" i="2" l="1"/>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16" i="2"/>
  <c r="A2" i="3" l="1"/>
  <c r="A1" i="3"/>
  <c r="B4" i="8"/>
  <c r="A4" i="8"/>
  <c r="F982" i="2"/>
  <c r="D24" i="5" s="1"/>
  <c r="F983" i="2"/>
  <c r="F984" i="2"/>
  <c r="F985" i="2"/>
  <c r="F246" i="2"/>
  <c r="F481" i="2"/>
  <c r="F649" i="2"/>
  <c r="F658" i="2"/>
  <c r="F686" i="2"/>
  <c r="F710" i="2"/>
  <c r="F716" i="2"/>
  <c r="F734" i="2"/>
  <c r="F746" i="2"/>
  <c r="F862" i="2"/>
  <c r="F952" i="2"/>
  <c r="F961" i="2"/>
  <c r="F976" i="2"/>
  <c r="F980" i="2"/>
  <c r="F1005" i="2"/>
  <c r="D29" i="5"/>
  <c r="D28" i="5"/>
  <c r="C28" i="5"/>
  <c r="B28" i="5"/>
  <c r="C26" i="5"/>
  <c r="B26" i="5"/>
  <c r="D25" i="5"/>
  <c r="C25" i="5"/>
  <c r="B25" i="5"/>
  <c r="C24" i="5"/>
  <c r="B24" i="5"/>
  <c r="D23" i="5"/>
  <c r="C23" i="5"/>
  <c r="B23"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6" i="5"/>
  <c r="A6" i="5"/>
  <c r="B5" i="5"/>
  <c r="B4" i="5"/>
  <c r="F5" i="2"/>
  <c r="D7" i="5"/>
  <c r="C7" i="5"/>
  <c r="B7" i="5"/>
  <c r="B8" i="5"/>
  <c r="J1006" i="2"/>
  <c r="J1005" i="2"/>
  <c r="F1004" i="2"/>
  <c r="F1003" i="2"/>
  <c r="F1002" i="2"/>
  <c r="F1001" i="2"/>
  <c r="F1000" i="2"/>
  <c r="F999" i="2"/>
  <c r="F998" i="2"/>
  <c r="F997" i="2"/>
  <c r="F996" i="2"/>
  <c r="F995" i="2"/>
  <c r="F994" i="2"/>
  <c r="F993" i="2"/>
  <c r="F992" i="2"/>
  <c r="F991" i="2"/>
  <c r="F990" i="2"/>
  <c r="J988" i="2"/>
  <c r="D988" i="2"/>
  <c r="F978" i="2"/>
  <c r="F979" i="2"/>
  <c r="D980" i="2" s="1"/>
  <c r="F963" i="2"/>
  <c r="F964" i="2"/>
  <c r="F965" i="2"/>
  <c r="F966" i="2"/>
  <c r="F967" i="2"/>
  <c r="F968" i="2"/>
  <c r="F969" i="2"/>
  <c r="F970" i="2"/>
  <c r="F971" i="2"/>
  <c r="F972" i="2"/>
  <c r="F973" i="2"/>
  <c r="F974" i="2"/>
  <c r="F975" i="2"/>
  <c r="J961" i="2"/>
  <c r="F954" i="2"/>
  <c r="F955" i="2"/>
  <c r="F956" i="2"/>
  <c r="F957" i="2"/>
  <c r="F958" i="2"/>
  <c r="F959" i="2"/>
  <c r="F960" i="2"/>
  <c r="D961" i="2"/>
  <c r="J952"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2" i="2"/>
  <c r="F903" i="2"/>
  <c r="F904" i="2"/>
  <c r="F905" i="2"/>
  <c r="F906" i="2"/>
  <c r="F907" i="2"/>
  <c r="F908" i="2"/>
  <c r="F909" i="2"/>
  <c r="F910" i="2"/>
  <c r="F911" i="2"/>
  <c r="F912" i="2"/>
  <c r="F913" i="2"/>
  <c r="F914" i="2"/>
  <c r="J862" i="2"/>
  <c r="D749" i="2"/>
  <c r="F749" i="2" s="1"/>
  <c r="D750" i="2"/>
  <c r="F750" i="2" s="1"/>
  <c r="D751" i="2"/>
  <c r="F751" i="2" s="1"/>
  <c r="D752" i="2"/>
  <c r="F752" i="2" s="1"/>
  <c r="D753" i="2"/>
  <c r="F753" i="2" s="1"/>
  <c r="D754" i="2"/>
  <c r="F754" i="2" s="1"/>
  <c r="D757" i="2"/>
  <c r="F757" i="2" s="1"/>
  <c r="D758" i="2"/>
  <c r="F758" i="2" s="1"/>
  <c r="D759" i="2"/>
  <c r="F759" i="2" s="1"/>
  <c r="D760" i="2"/>
  <c r="F760" i="2" s="1"/>
  <c r="D761" i="2"/>
  <c r="F761" i="2" s="1"/>
  <c r="D762" i="2"/>
  <c r="F762" i="2" s="1"/>
  <c r="D763" i="2"/>
  <c r="F763" i="2" s="1"/>
  <c r="D764" i="2"/>
  <c r="F764" i="2" s="1"/>
  <c r="D765" i="2"/>
  <c r="F765" i="2" s="1"/>
  <c r="D766" i="2"/>
  <c r="F766" i="2" s="1"/>
  <c r="D767" i="2"/>
  <c r="F767" i="2" s="1"/>
  <c r="D768" i="2"/>
  <c r="F768" i="2" s="1"/>
  <c r="D769" i="2"/>
  <c r="F769" i="2" s="1"/>
  <c r="D770" i="2"/>
  <c r="F770" i="2" s="1"/>
  <c r="D771" i="2"/>
  <c r="F771" i="2" s="1"/>
  <c r="D773" i="2"/>
  <c r="F773" i="2" s="1"/>
  <c r="D774" i="2"/>
  <c r="F774" i="2" s="1"/>
  <c r="D775" i="2"/>
  <c r="F775" i="2" s="1"/>
  <c r="D776" i="2"/>
  <c r="F776" i="2" s="1"/>
  <c r="D777" i="2"/>
  <c r="F777" i="2" s="1"/>
  <c r="D779" i="2"/>
  <c r="F779" i="2" s="1"/>
  <c r="D780" i="2"/>
  <c r="F780" i="2" s="1"/>
  <c r="F782" i="2"/>
  <c r="F783" i="2"/>
  <c r="F784" i="2"/>
  <c r="F785" i="2"/>
  <c r="F786" i="2"/>
  <c r="D787" i="2"/>
  <c r="F787" i="2"/>
  <c r="D788" i="2"/>
  <c r="F788" i="2"/>
  <c r="D789" i="2"/>
  <c r="F789" i="2"/>
  <c r="D790" i="2"/>
  <c r="F790" i="2"/>
  <c r="D791" i="2"/>
  <c r="F791" i="2"/>
  <c r="D792" i="2"/>
  <c r="F792" i="2"/>
  <c r="F793" i="2"/>
  <c r="F794" i="2"/>
  <c r="F795" i="2"/>
  <c r="F796" i="2"/>
  <c r="F797" i="2"/>
  <c r="F798" i="2"/>
  <c r="D799" i="2"/>
  <c r="F799" i="2"/>
  <c r="D800" i="2"/>
  <c r="F800" i="2"/>
  <c r="D801" i="2"/>
  <c r="F801" i="2"/>
  <c r="F803" i="2"/>
  <c r="D804" i="2"/>
  <c r="F804" i="2" s="1"/>
  <c r="D805" i="2"/>
  <c r="F805" i="2" s="1"/>
  <c r="F807" i="2"/>
  <c r="F808" i="2"/>
  <c r="F809" i="2"/>
  <c r="F810" i="2"/>
  <c r="F811" i="2"/>
  <c r="F812" i="2"/>
  <c r="F813" i="2"/>
  <c r="F814" i="2"/>
  <c r="F815" i="2"/>
  <c r="F816" i="2"/>
  <c r="F818" i="2"/>
  <c r="F819" i="2"/>
  <c r="F820" i="2"/>
  <c r="F821" i="2"/>
  <c r="F822" i="2"/>
  <c r="F823" i="2"/>
  <c r="F824" i="2"/>
  <c r="F825" i="2"/>
  <c r="F826" i="2"/>
  <c r="F827" i="2"/>
  <c r="F828" i="2"/>
  <c r="F829" i="2"/>
  <c r="F830" i="2"/>
  <c r="F832" i="2"/>
  <c r="F833" i="2"/>
  <c r="F834" i="2"/>
  <c r="F835" i="2"/>
  <c r="F836" i="2"/>
  <c r="F837" i="2"/>
  <c r="F838" i="2"/>
  <c r="F839" i="2"/>
  <c r="F840" i="2"/>
  <c r="F841" i="2"/>
  <c r="F842" i="2"/>
  <c r="F843" i="2"/>
  <c r="F845" i="2"/>
  <c r="F846" i="2"/>
  <c r="F848" i="2"/>
  <c r="F849" i="2"/>
  <c r="F850" i="2"/>
  <c r="F851" i="2"/>
  <c r="F852" i="2"/>
  <c r="F853" i="2"/>
  <c r="F854" i="2"/>
  <c r="F855" i="2"/>
  <c r="F856" i="2"/>
  <c r="F857" i="2"/>
  <c r="F858" i="2"/>
  <c r="F859" i="2"/>
  <c r="F860" i="2"/>
  <c r="F861" i="2"/>
  <c r="D756" i="2"/>
  <c r="D755" i="2"/>
  <c r="J748" i="2"/>
  <c r="J746" i="2"/>
  <c r="F737" i="2"/>
  <c r="F738" i="2"/>
  <c r="D746" i="2" s="1"/>
  <c r="F739" i="2"/>
  <c r="F740" i="2"/>
  <c r="F741" i="2"/>
  <c r="F743" i="2"/>
  <c r="F744" i="2"/>
  <c r="F745" i="2"/>
  <c r="J734" i="2"/>
  <c r="F718" i="2"/>
  <c r="F719" i="2"/>
  <c r="D734" i="2" s="1"/>
  <c r="F720" i="2"/>
  <c r="F721" i="2"/>
  <c r="F722" i="2"/>
  <c r="F723" i="2"/>
  <c r="F724" i="2"/>
  <c r="F725" i="2"/>
  <c r="F726" i="2"/>
  <c r="F727" i="2"/>
  <c r="F728" i="2"/>
  <c r="F729" i="2"/>
  <c r="F730" i="2"/>
  <c r="F731" i="2"/>
  <c r="F732" i="2"/>
  <c r="F733" i="2"/>
  <c r="J733" i="2"/>
  <c r="J732" i="2"/>
  <c r="J728" i="2"/>
  <c r="J727" i="2"/>
  <c r="J726" i="2"/>
  <c r="J725" i="2"/>
  <c r="J724" i="2"/>
  <c r="J723" i="2"/>
  <c r="J722" i="2"/>
  <c r="J721" i="2"/>
  <c r="J720" i="2"/>
  <c r="J719" i="2"/>
  <c r="J718" i="2"/>
  <c r="J717" i="2"/>
  <c r="J716" i="2"/>
  <c r="F712" i="2"/>
  <c r="F713" i="2"/>
  <c r="F714" i="2"/>
  <c r="D715" i="2"/>
  <c r="F715" i="2" s="1"/>
  <c r="J710" i="2"/>
  <c r="D688" i="2"/>
  <c r="F688" i="2"/>
  <c r="D689" i="2"/>
  <c r="F689" i="2"/>
  <c r="F690" i="2"/>
  <c r="F691" i="2"/>
  <c r="F692" i="2"/>
  <c r="D693" i="2"/>
  <c r="F693" i="2" s="1"/>
  <c r="F694" i="2"/>
  <c r="D695" i="2"/>
  <c r="F695" i="2"/>
  <c r="D696" i="2"/>
  <c r="F696" i="2"/>
  <c r="D697" i="2"/>
  <c r="F697" i="2"/>
  <c r="D698" i="2"/>
  <c r="F698" i="2"/>
  <c r="F700" i="2"/>
  <c r="F701" i="2"/>
  <c r="F702" i="2"/>
  <c r="F703" i="2"/>
  <c r="F704" i="2"/>
  <c r="F705" i="2"/>
  <c r="F706" i="2"/>
  <c r="F707" i="2"/>
  <c r="F708" i="2"/>
  <c r="F709" i="2"/>
  <c r="D694" i="2"/>
  <c r="J686" i="2"/>
  <c r="F678" i="2"/>
  <c r="D679" i="2"/>
  <c r="F679" i="2" s="1"/>
  <c r="D686" i="2" s="1"/>
  <c r="D680" i="2"/>
  <c r="F680" i="2" s="1"/>
  <c r="F681" i="2"/>
  <c r="F682" i="2"/>
  <c r="F683" i="2"/>
  <c r="D684" i="2"/>
  <c r="F684" i="2"/>
  <c r="D685" i="2"/>
  <c r="F685" i="2"/>
  <c r="D682" i="2"/>
  <c r="D681" i="2"/>
  <c r="J676" i="2"/>
  <c r="F660" i="2"/>
  <c r="F661" i="2"/>
  <c r="D676" i="2" s="1"/>
  <c r="F662" i="2"/>
  <c r="F663" i="2"/>
  <c r="F664" i="2"/>
  <c r="F665" i="2"/>
  <c r="F666" i="2"/>
  <c r="F667" i="2"/>
  <c r="F668" i="2"/>
  <c r="F669" i="2"/>
  <c r="F670" i="2"/>
  <c r="F671" i="2"/>
  <c r="F672" i="2"/>
  <c r="F673" i="2"/>
  <c r="F674" i="2"/>
  <c r="F675" i="2"/>
  <c r="J658" i="2"/>
  <c r="F651" i="2"/>
  <c r="F652" i="2"/>
  <c r="F653" i="2"/>
  <c r="F654" i="2"/>
  <c r="F655" i="2"/>
  <c r="F656" i="2"/>
  <c r="F657" i="2"/>
  <c r="J649"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1" i="2"/>
  <c r="F542" i="2"/>
  <c r="F543" i="2"/>
  <c r="F544" i="2"/>
  <c r="F545" i="2"/>
  <c r="F546" i="2"/>
  <c r="F547" i="2"/>
  <c r="F548" i="2"/>
  <c r="F549" i="2"/>
  <c r="F551" i="2"/>
  <c r="F552" i="2"/>
  <c r="F553" i="2"/>
  <c r="F554" i="2"/>
  <c r="F555" i="2"/>
  <c r="F556" i="2"/>
  <c r="F557" i="2"/>
  <c r="F558" i="2"/>
  <c r="F559" i="2"/>
  <c r="F560" i="2"/>
  <c r="F561" i="2"/>
  <c r="F562" i="2"/>
  <c r="F563" i="2"/>
  <c r="F564" i="2"/>
  <c r="F565" i="2"/>
  <c r="F566"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9" i="2"/>
  <c r="F600" i="2"/>
  <c r="F601" i="2"/>
  <c r="F602" i="2"/>
  <c r="F603" i="2"/>
  <c r="F604" i="2"/>
  <c r="F605" i="2"/>
  <c r="F606" i="2"/>
  <c r="F607" i="2"/>
  <c r="F608" i="2"/>
  <c r="F609" i="2"/>
  <c r="F610" i="2"/>
  <c r="F611" i="2"/>
  <c r="F613" i="2"/>
  <c r="F614" i="2"/>
  <c r="F616" i="2"/>
  <c r="F617" i="2"/>
  <c r="F618" i="2"/>
  <c r="F619" i="2"/>
  <c r="F620" i="2"/>
  <c r="F621" i="2"/>
  <c r="F622" i="2"/>
  <c r="F623" i="2"/>
  <c r="F624" i="2"/>
  <c r="F625" i="2"/>
  <c r="F626" i="2"/>
  <c r="F628" i="2"/>
  <c r="F629" i="2"/>
  <c r="F630" i="2"/>
  <c r="F631" i="2"/>
  <c r="F632" i="2"/>
  <c r="F633" i="2"/>
  <c r="F634" i="2"/>
  <c r="F635" i="2"/>
  <c r="F636" i="2"/>
  <c r="F637" i="2"/>
  <c r="F638" i="2"/>
  <c r="F639" i="2"/>
  <c r="F640" i="2"/>
  <c r="F641" i="2"/>
  <c r="F643" i="2"/>
  <c r="F644" i="2"/>
  <c r="F645" i="2"/>
  <c r="F646" i="2"/>
  <c r="F647" i="2"/>
  <c r="F648" i="2"/>
  <c r="D649" i="2"/>
  <c r="J481" i="2"/>
  <c r="F250" i="2"/>
  <c r="F251" i="2"/>
  <c r="F252" i="2"/>
  <c r="F253" i="2"/>
  <c r="F254" i="2"/>
  <c r="F255" i="2"/>
  <c r="F256" i="2"/>
  <c r="F258" i="2"/>
  <c r="F259" i="2"/>
  <c r="F260" i="2"/>
  <c r="F261" i="2"/>
  <c r="F263" i="2"/>
  <c r="F264" i="2"/>
  <c r="F265" i="2"/>
  <c r="F266" i="2"/>
  <c r="F268" i="2"/>
  <c r="F269" i="2"/>
  <c r="F270" i="2"/>
  <c r="F271" i="2"/>
  <c r="F273" i="2"/>
  <c r="F274" i="2"/>
  <c r="F275" i="2"/>
  <c r="F276" i="2"/>
  <c r="F278" i="2"/>
  <c r="F279" i="2"/>
  <c r="F280" i="2"/>
  <c r="F281" i="2"/>
  <c r="F283" i="2"/>
  <c r="F284" i="2"/>
  <c r="F285" i="2"/>
  <c r="F286" i="2"/>
  <c r="F288" i="2"/>
  <c r="F289" i="2"/>
  <c r="F290" i="2"/>
  <c r="F291" i="2"/>
  <c r="F294" i="2"/>
  <c r="F295" i="2"/>
  <c r="F296" i="2"/>
  <c r="F297" i="2"/>
  <c r="F298" i="2"/>
  <c r="F299" i="2"/>
  <c r="F300" i="2"/>
  <c r="F301" i="2"/>
  <c r="F302" i="2"/>
  <c r="F303" i="2"/>
  <c r="F304" i="2"/>
  <c r="F305" i="2"/>
  <c r="F306" i="2"/>
  <c r="F307" i="2"/>
  <c r="F308" i="2"/>
  <c r="F309" i="2"/>
  <c r="F310" i="2"/>
  <c r="F311" i="2"/>
  <c r="F312" i="2"/>
  <c r="F315" i="2"/>
  <c r="F316" i="2"/>
  <c r="F317" i="2"/>
  <c r="F318" i="2"/>
  <c r="F319" i="2"/>
  <c r="F320" i="2"/>
  <c r="F321" i="2"/>
  <c r="F322" i="2"/>
  <c r="F325" i="2"/>
  <c r="F326" i="2"/>
  <c r="F327" i="2"/>
  <c r="F328" i="2"/>
  <c r="F329" i="2"/>
  <c r="F330" i="2"/>
  <c r="F331" i="2"/>
  <c r="F332" i="2"/>
  <c r="F335" i="2"/>
  <c r="F336" i="2"/>
  <c r="F337" i="2"/>
  <c r="F338" i="2"/>
  <c r="F339" i="2"/>
  <c r="F340" i="2"/>
  <c r="F341" i="2"/>
  <c r="F342" i="2"/>
  <c r="F343" i="2"/>
  <c r="F344" i="2"/>
  <c r="F345" i="2"/>
  <c r="F346" i="2"/>
  <c r="F347" i="2"/>
  <c r="F348" i="2"/>
  <c r="F349"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80" i="2"/>
  <c r="F381" i="2"/>
  <c r="F382" i="2"/>
  <c r="F383" i="2"/>
  <c r="F384" i="2"/>
  <c r="F385" i="2"/>
  <c r="F386" i="2"/>
  <c r="F388" i="2"/>
  <c r="F389" i="2"/>
  <c r="F390" i="2"/>
  <c r="F391" i="2"/>
  <c r="F393" i="2"/>
  <c r="F394" i="2"/>
  <c r="F395" i="2"/>
  <c r="F396" i="2"/>
  <c r="F398" i="2"/>
  <c r="F399" i="2"/>
  <c r="F400" i="2"/>
  <c r="F401" i="2"/>
  <c r="F403" i="2"/>
  <c r="F404" i="2"/>
  <c r="F405" i="2"/>
  <c r="F406" i="2"/>
  <c r="F408" i="2"/>
  <c r="F409" i="2"/>
  <c r="F410" i="2"/>
  <c r="F411" i="2"/>
  <c r="F413" i="2"/>
  <c r="F414" i="2"/>
  <c r="F415" i="2"/>
  <c r="F416" i="2"/>
  <c r="F418" i="2"/>
  <c r="F419" i="2"/>
  <c r="F420" i="2"/>
  <c r="F421" i="2"/>
  <c r="F424" i="2"/>
  <c r="F425" i="2"/>
  <c r="F426" i="2"/>
  <c r="F427" i="2"/>
  <c r="F428" i="2"/>
  <c r="F431" i="2"/>
  <c r="F432" i="2"/>
  <c r="F433" i="2"/>
  <c r="F434" i="2"/>
  <c r="F435" i="2"/>
  <c r="F437" i="2"/>
  <c r="F438" i="2"/>
  <c r="F439" i="2"/>
  <c r="F440" i="2"/>
  <c r="F442" i="2"/>
  <c r="F443" i="2"/>
  <c r="F444" i="2"/>
  <c r="F445" i="2"/>
  <c r="F447" i="2"/>
  <c r="F448" i="2"/>
  <c r="F449" i="2"/>
  <c r="F450" i="2"/>
  <c r="F452" i="2"/>
  <c r="F453" i="2"/>
  <c r="F454" i="2"/>
  <c r="F455" i="2"/>
  <c r="F457" i="2"/>
  <c r="F458" i="2"/>
  <c r="F459" i="2"/>
  <c r="F460" i="2"/>
  <c r="F461" i="2"/>
  <c r="F462" i="2"/>
  <c r="F463" i="2"/>
  <c r="F464" i="2"/>
  <c r="F465" i="2"/>
  <c r="F466" i="2"/>
  <c r="F467" i="2"/>
  <c r="F468" i="2"/>
  <c r="F469" i="2"/>
  <c r="F470" i="2"/>
  <c r="F471" i="2"/>
  <c r="F472" i="2"/>
  <c r="F473" i="2"/>
  <c r="F474" i="2"/>
  <c r="F476" i="2"/>
  <c r="F477" i="2"/>
  <c r="F478" i="2"/>
  <c r="F479" i="2"/>
  <c r="F480" i="2"/>
  <c r="D458" i="2"/>
  <c r="J246" i="2"/>
  <c r="F10" i="2"/>
  <c r="F11" i="2"/>
  <c r="F12" i="2"/>
  <c r="F13" i="2"/>
  <c r="F14" i="2"/>
  <c r="F15" i="2"/>
  <c r="F16" i="2"/>
  <c r="F18" i="2"/>
  <c r="F19" i="2"/>
  <c r="F20" i="2"/>
  <c r="F21" i="2"/>
  <c r="F23" i="2"/>
  <c r="F24" i="2"/>
  <c r="F25" i="2"/>
  <c r="F26" i="2"/>
  <c r="F28" i="2"/>
  <c r="F29" i="2"/>
  <c r="F30" i="2"/>
  <c r="F31" i="2"/>
  <c r="F33" i="2"/>
  <c r="F35" i="2"/>
  <c r="F36" i="2"/>
  <c r="F37" i="2"/>
  <c r="F38" i="2"/>
  <c r="F40" i="2"/>
  <c r="F41" i="2"/>
  <c r="F42" i="2"/>
  <c r="F43" i="2"/>
  <c r="F45" i="2"/>
  <c r="F46" i="2"/>
  <c r="F47" i="2"/>
  <c r="F48" i="2"/>
  <c r="F50" i="2"/>
  <c r="F51" i="2"/>
  <c r="F52" i="2"/>
  <c r="F53" i="2"/>
  <c r="F55" i="2"/>
  <c r="F56" i="2"/>
  <c r="F57" i="2"/>
  <c r="F58" i="2"/>
  <c r="F61" i="2"/>
  <c r="F62" i="2"/>
  <c r="F63" i="2"/>
  <c r="F64" i="2"/>
  <c r="F65" i="2"/>
  <c r="F66" i="2"/>
  <c r="F67" i="2"/>
  <c r="F69" i="2"/>
  <c r="F70" i="2"/>
  <c r="F71" i="2"/>
  <c r="F72" i="2"/>
  <c r="F74" i="2"/>
  <c r="F75" i="2"/>
  <c r="F76" i="2"/>
  <c r="F77" i="2"/>
  <c r="F79" i="2"/>
  <c r="F80" i="2"/>
  <c r="F81" i="2"/>
  <c r="F82" i="2"/>
  <c r="F84" i="2"/>
  <c r="F85" i="2"/>
  <c r="F86" i="2"/>
  <c r="F87" i="2"/>
  <c r="F89" i="2"/>
  <c r="F90" i="2"/>
  <c r="F91" i="2"/>
  <c r="F92" i="2"/>
  <c r="F94" i="2"/>
  <c r="F95" i="2"/>
  <c r="F96" i="2"/>
  <c r="F97" i="2"/>
  <c r="F99" i="2"/>
  <c r="F100" i="2"/>
  <c r="F101" i="2"/>
  <c r="F102" i="2"/>
  <c r="F104" i="2"/>
  <c r="F105" i="2"/>
  <c r="F106" i="2"/>
  <c r="F107" i="2"/>
  <c r="F110" i="2"/>
  <c r="F111" i="2"/>
  <c r="F112" i="2"/>
  <c r="F113" i="2"/>
  <c r="F114" i="2"/>
  <c r="F115" i="2"/>
  <c r="F116" i="2"/>
  <c r="F118" i="2"/>
  <c r="F119" i="2"/>
  <c r="F120" i="2"/>
  <c r="F121" i="2"/>
  <c r="F123" i="2"/>
  <c r="F124" i="2"/>
  <c r="F125" i="2"/>
  <c r="F126" i="2"/>
  <c r="F128" i="2"/>
  <c r="F129" i="2"/>
  <c r="F130" i="2"/>
  <c r="F131" i="2"/>
  <c r="F133" i="2"/>
  <c r="F134" i="2"/>
  <c r="F135" i="2"/>
  <c r="F136" i="2"/>
  <c r="F138" i="2"/>
  <c r="F139" i="2"/>
  <c r="F140" i="2"/>
  <c r="F141" i="2"/>
  <c r="F143" i="2"/>
  <c r="F144" i="2"/>
  <c r="F145" i="2"/>
  <c r="F146" i="2"/>
  <c r="F148" i="2"/>
  <c r="F149" i="2"/>
  <c r="F150" i="2"/>
  <c r="F151" i="2"/>
  <c r="F153" i="2"/>
  <c r="F154" i="2"/>
  <c r="F155" i="2"/>
  <c r="F156" i="2"/>
  <c r="F158" i="2"/>
  <c r="F159" i="2"/>
  <c r="F160" i="2"/>
  <c r="F163" i="2"/>
  <c r="F164" i="2"/>
  <c r="F165" i="2"/>
  <c r="F166" i="2"/>
  <c r="F167" i="2"/>
  <c r="F168" i="2"/>
  <c r="F169" i="2"/>
  <c r="F171" i="2"/>
  <c r="F172" i="2"/>
  <c r="F173" i="2"/>
  <c r="F174" i="2"/>
  <c r="F176" i="2"/>
  <c r="F177" i="2"/>
  <c r="F178" i="2"/>
  <c r="F179" i="2"/>
  <c r="F181" i="2"/>
  <c r="F182" i="2"/>
  <c r="F183" i="2"/>
  <c r="F184" i="2"/>
  <c r="F186" i="2"/>
  <c r="F188" i="2"/>
  <c r="F189" i="2"/>
  <c r="F190" i="2"/>
  <c r="F191" i="2"/>
  <c r="F193" i="2"/>
  <c r="F194" i="2"/>
  <c r="F195" i="2"/>
  <c r="F196" i="2"/>
  <c r="F198" i="2"/>
  <c r="F199" i="2"/>
  <c r="F200" i="2"/>
  <c r="F201" i="2"/>
  <c r="F203" i="2"/>
  <c r="F204" i="2"/>
  <c r="F205" i="2"/>
  <c r="F206" i="2"/>
  <c r="F208" i="2"/>
  <c r="F209" i="2"/>
  <c r="F210" i="2"/>
  <c r="F211" i="2"/>
  <c r="F213" i="2"/>
  <c r="F214" i="2"/>
  <c r="F215" i="2"/>
  <c r="F216" i="2"/>
  <c r="F218" i="2"/>
  <c r="F219" i="2"/>
  <c r="F220" i="2"/>
  <c r="F221" i="2"/>
  <c r="F223" i="2"/>
  <c r="F224" i="2"/>
  <c r="F225" i="2"/>
  <c r="F226" i="2"/>
  <c r="F227" i="2"/>
  <c r="F228" i="2"/>
  <c r="F229" i="2"/>
  <c r="F230" i="2"/>
  <c r="F232" i="2"/>
  <c r="F233" i="2"/>
  <c r="F234" i="2"/>
  <c r="F235" i="2"/>
  <c r="F237" i="2"/>
  <c r="F238" i="2"/>
  <c r="F239" i="2"/>
  <c r="F240" i="2"/>
  <c r="F242" i="2"/>
  <c r="F243" i="2"/>
  <c r="F244" i="2"/>
  <c r="F245" i="2"/>
  <c r="J6" i="2"/>
  <c r="D952" i="2" l="1"/>
  <c r="D862" i="2"/>
  <c r="D246" i="2"/>
  <c r="D658" i="2"/>
  <c r="D716" i="2"/>
  <c r="D481" i="2"/>
  <c r="D710" i="2"/>
  <c r="D976" i="2"/>
  <c r="F988" i="2"/>
  <c r="D27" i="5" s="1"/>
  <c r="D22" i="5"/>
  <c r="F1008" i="2" l="1"/>
  <c r="C30" i="5" s="1"/>
  <c r="G2" i="2" l="1"/>
</calcChain>
</file>

<file path=xl/comments1.xml><?xml version="1.0" encoding="utf-8"?>
<comments xmlns="http://schemas.openxmlformats.org/spreadsheetml/2006/main">
  <authors>
    <author>Daniel Lima</author>
    <author>Daniel</author>
  </authors>
  <commentList>
    <comment ref="B3" authorId="0">
      <text>
        <r>
          <rPr>
            <b/>
            <sz val="9"/>
            <color indexed="81"/>
            <rFont val="Tahoma"/>
            <family val="2"/>
          </rPr>
          <t>Digite o número do STI para a Macro Estimativa</t>
        </r>
      </text>
    </comment>
    <comment ref="D3" authorId="0">
      <text>
        <r>
          <rPr>
            <b/>
            <sz val="9"/>
            <color indexed="81"/>
            <rFont val="Tahoma"/>
            <family val="2"/>
          </rPr>
          <t>Digite o título do STI para a Macro Estimativa</t>
        </r>
      </text>
    </comment>
    <comment ref="H4" authorId="1">
      <text>
        <r>
          <rPr>
            <b/>
            <sz val="9"/>
            <color indexed="81"/>
            <rFont val="Tahoma"/>
            <family val="2"/>
          </rPr>
          <t>Considerando Desenvolvimento, TI/UAT e Implantação</t>
        </r>
      </text>
    </comment>
    <comment ref="K4" authorId="0">
      <text>
        <r>
          <rPr>
            <b/>
            <sz val="9"/>
            <color indexed="81"/>
            <rFont val="Tahoma"/>
            <family val="2"/>
          </rPr>
          <t xml:space="preserve">Coluna reservada para informações/observações que o Analista de Negócios deseja inserir.
</t>
        </r>
      </text>
    </comment>
    <comment ref="D5" authorId="0">
      <text>
        <r>
          <rPr>
            <b/>
            <sz val="9"/>
            <color indexed="81"/>
            <rFont val="Tahoma"/>
            <family val="2"/>
          </rPr>
          <t>Digite o valor da solicitação neste campo.</t>
        </r>
      </text>
    </comment>
  </commentList>
</comments>
</file>

<file path=xl/comments2.xml><?xml version="1.0" encoding="utf-8"?>
<comments xmlns="http://schemas.openxmlformats.org/spreadsheetml/2006/main">
  <authors>
    <author>160380</author>
  </authors>
  <commentList>
    <comment ref="D26" authorId="0">
      <text>
        <r>
          <rPr>
            <sz val="8"/>
            <color indexed="81"/>
            <rFont val="Tahoma"/>
            <family val="2"/>
          </rPr>
          <t xml:space="preserve">O custo é conhecido somente em tempo de Proposta. O cliente apenas estará ciente de que haverá esse custo.
</t>
        </r>
      </text>
    </comment>
  </commentList>
</comments>
</file>

<file path=xl/connections.xml><?xml version="1.0" encoding="utf-8"?>
<connections xmlns="http://schemas.openxmlformats.org/spreadsheetml/2006/main">
  <connection id="1" name="SISTEMAS 2" type="1" refreshedVersion="5" savePassword="1" background="1" saveData="1">
    <dbPr connection="DRIVER={Oracle em OraDb11g_home1};SERVER=STIHISTBCV;UID=STICONSULTA;PWD=STICONSULTA;DBQ=STIHISTBCV;DBA=W;APA=T;EXC=F;XSM=Default;FEN=T;QTO=T;FRC=10;FDL=10;LOB=T;RST=T;BTD=F;BNF=F;BAM=IfAllSuccessful;NUM=NLS;DPM=F;MTS=T;MDI=Me;CSR=F;FWC=F;FBS=60000;TLO=O;MLD=0;ODA=F;" command="select _x000d__x000a_s.sis_id, s.nm_sistema as &quot;Sistema&quot;, s.fg_visivel_x000d__x000a__x000d__x000a_from pmo_sistema s_x000d__x000a__x000d__x000a_where_x000d__x000a_s.fg_visivel IS NULL_x000d__x000a__x000d__x000a__x000d__x000a_order by_x000d__x000a_ s.nm_sistema"/>
  </connection>
</connections>
</file>

<file path=xl/sharedStrings.xml><?xml version="1.0" encoding="utf-8"?>
<sst xmlns="http://schemas.openxmlformats.org/spreadsheetml/2006/main" count="3431" uniqueCount="2031">
  <si>
    <t>Macro Estimativa (Memória de Cálculo)</t>
  </si>
  <si>
    <r>
      <t xml:space="preserve">Preencha SOMENTE os campos em </t>
    </r>
    <r>
      <rPr>
        <b/>
        <sz val="14"/>
        <color rgb="FF00B050"/>
        <rFont val="Calibri"/>
        <family val="2"/>
        <scheme val="minor"/>
      </rPr>
      <t>VERDE</t>
    </r>
  </si>
  <si>
    <t>Soma de valores da ME (Em R$ K)</t>
  </si>
  <si>
    <t>Digite abaixo o Tempo Total de Desenvolvimento</t>
  </si>
  <si>
    <t>Nº STI</t>
  </si>
  <si>
    <t>Título</t>
  </si>
  <si>
    <t>Status</t>
  </si>
  <si>
    <t>Impactos</t>
  </si>
  <si>
    <t>Tipos de dados</t>
  </si>
  <si>
    <t>Valor Parcial (Em R$ K)</t>
  </si>
  <si>
    <t>Critério</t>
  </si>
  <si>
    <t>Resultado (Soma dos valores)</t>
  </si>
  <si>
    <t>Sistema Correspondente</t>
  </si>
  <si>
    <t>Tempo de Desenvolv. (Meses)</t>
  </si>
  <si>
    <t>Fornecedor</t>
  </si>
  <si>
    <t>Fundamentações</t>
  </si>
  <si>
    <t>Observações do Analista de Negócios</t>
  </si>
  <si>
    <t>Existe Solicitação muito semelhante já implementada? (Se sim, Informar o custo e marcar ao lado com a letra S)</t>
  </si>
  <si>
    <t>S/N</t>
  </si>
  <si>
    <t>Impacta Estruturante</t>
  </si>
  <si>
    <t>Impacta Arrecadação</t>
  </si>
  <si>
    <t xml:space="preserve">SAG </t>
  </si>
  <si>
    <t>Manutençoes</t>
  </si>
  <si>
    <t>Extração ou geração de um novo arquivo</t>
  </si>
  <si>
    <t>QTD</t>
  </si>
  <si>
    <t xml:space="preserve">Alteração de regra simples </t>
  </si>
  <si>
    <t>Alteração de regra complexa</t>
  </si>
  <si>
    <t>Manutenção de tela simples</t>
  </si>
  <si>
    <t>Manutenção de tela complexa</t>
  </si>
  <si>
    <t>Geração de um relatório simples - um arquivo</t>
  </si>
  <si>
    <t>Geração de um relatório complexo - mais de um arquivo</t>
  </si>
  <si>
    <t xml:space="preserve">Interface Externa (outras empresas)  </t>
  </si>
  <si>
    <t>Nova Interface de arquivo único</t>
  </si>
  <si>
    <t>Alteração de Interface de arquivo único</t>
  </si>
  <si>
    <t xml:space="preserve">Nova Interface de mais de um arquivo </t>
  </si>
  <si>
    <t>Alteração de Interface de mais de um arquivo</t>
  </si>
  <si>
    <t>Interface Interna (sistemas da OI )</t>
  </si>
  <si>
    <t xml:space="preserve">Processos de Baixa </t>
  </si>
  <si>
    <t>Tratar uma baixa simples</t>
  </si>
  <si>
    <t>Tratar mais de uma baixa simples</t>
  </si>
  <si>
    <t>Tratar uma baixa complexa</t>
  </si>
  <si>
    <t>Tratar mais de uma baixa complexa</t>
  </si>
  <si>
    <t xml:space="preserve">Processos de Débito Automatico </t>
  </si>
  <si>
    <t xml:space="preserve">Inclusão de convênio em modelo Ficha de Compensação </t>
  </si>
  <si>
    <t xml:space="preserve">Processos de Recarga </t>
  </si>
  <si>
    <t>Tratar uma recarga simples</t>
  </si>
  <si>
    <t>Tratar mais de uma recarga simples</t>
  </si>
  <si>
    <t>Tratar uma recarga complexa</t>
  </si>
  <si>
    <t>Tratar mais de uma recarga complexa</t>
  </si>
  <si>
    <t xml:space="preserve">Processos de Carga / Limpeza no Contas a Receber </t>
  </si>
  <si>
    <t xml:space="preserve"> </t>
  </si>
  <si>
    <t>Tratar um novo processo de carga/limpeza</t>
  </si>
  <si>
    <t>Tratar mais de um novo proceso de carga/limpeza</t>
  </si>
  <si>
    <t>Alterar uma regra para um processo de carga/limpeza</t>
  </si>
  <si>
    <t>Alterar mais de uma regra para um processo de carga/limpeza</t>
  </si>
  <si>
    <t xml:space="preserve">Serviço </t>
  </si>
  <si>
    <t xml:space="preserve">Nova cobrança de serviço Simples </t>
  </si>
  <si>
    <t xml:space="preserve">Alteração de cobrança de serviço Simples </t>
  </si>
  <si>
    <t>Nova cobrança de serviço Complexo</t>
  </si>
  <si>
    <t>Alteração de cobrança de serviço Complexo</t>
  </si>
  <si>
    <t>Plano</t>
  </si>
  <si>
    <t xml:space="preserve">Novo plano - Simples </t>
  </si>
  <si>
    <t xml:space="preserve">Alteração de plano - Simples </t>
  </si>
  <si>
    <t xml:space="preserve">Novo plano - Complexo </t>
  </si>
  <si>
    <t xml:space="preserve">Alteração de plano - Complexo </t>
  </si>
  <si>
    <t xml:space="preserve">Produto </t>
  </si>
  <si>
    <t xml:space="preserve">Novo produto - Simples </t>
  </si>
  <si>
    <t xml:space="preserve">Alteração de produto - Simples </t>
  </si>
  <si>
    <t xml:space="preserve">Novo produto - Complexo </t>
  </si>
  <si>
    <t xml:space="preserve">Alteração de produto - Complexo </t>
  </si>
  <si>
    <t>SAF</t>
  </si>
  <si>
    <t xml:space="preserve">Processos de Parcelamento </t>
  </si>
  <si>
    <t>Tratar um parcelamento simples</t>
  </si>
  <si>
    <t>Tratar mais de um parcelamento simples</t>
  </si>
  <si>
    <t>Tratar um parcelamento complexo</t>
  </si>
  <si>
    <t>Tratar mais de um parcelamento complexo</t>
  </si>
  <si>
    <t>Processos de Contestação (SAF)</t>
  </si>
  <si>
    <t>Tratar uma contestação simples</t>
  </si>
  <si>
    <t>Tratar mais de uma contestação simples</t>
  </si>
  <si>
    <t>Tratar uma contestação complexa</t>
  </si>
  <si>
    <t>Tratar mais de uma contestação complexa</t>
  </si>
  <si>
    <t>Processos de Segunda Via / Extrato</t>
  </si>
  <si>
    <t xml:space="preserve">Tratar um novo processo de segunda via / extrato </t>
  </si>
  <si>
    <t xml:space="preserve">Tratar mais de um novo proceso de segunda via / extrato </t>
  </si>
  <si>
    <t xml:space="preserve">Alterar uma regra para um processo de segunda via / extrato </t>
  </si>
  <si>
    <t xml:space="preserve">Alterar mais de uma regra para um processo de segunda via / extrato </t>
  </si>
  <si>
    <t>Serviço</t>
  </si>
  <si>
    <t xml:space="preserve">Plano </t>
  </si>
  <si>
    <t>Produto</t>
  </si>
  <si>
    <t>SCB</t>
  </si>
  <si>
    <t xml:space="preserve">Processos de Cobrança </t>
  </si>
  <si>
    <t>Tratar uma ação de cobrança simples</t>
  </si>
  <si>
    <t>Tratar mais de uma ação de cobrança simples</t>
  </si>
  <si>
    <t>Tratar uma ação de cobrança complexa</t>
  </si>
  <si>
    <t>Tratar mais de uma ação de cobrança complexa</t>
  </si>
  <si>
    <t xml:space="preserve">Processos de Negativação / Positivação </t>
  </si>
  <si>
    <t>Tratar um novo órgão de proteção ao crédito</t>
  </si>
  <si>
    <t>Tratar mais de um novo órgão de proteção ao crédito</t>
  </si>
  <si>
    <t>Alterar uma regra para um órgão de proteção ao crédito</t>
  </si>
  <si>
    <t>Alterar mais de uma regra para um órgão de proteção ao crédito</t>
  </si>
  <si>
    <t>Processos de Cobrança Terceirizada</t>
  </si>
  <si>
    <t>Tratar um escritório de cobrança</t>
  </si>
  <si>
    <t>Tratar mais de um escritório de cobrança</t>
  </si>
  <si>
    <t>Alterar uma regra para um escritório de cobrança</t>
  </si>
  <si>
    <t>Alterar mais de uma regra para um escritório de cobrança</t>
  </si>
  <si>
    <t>Processos de Cartas - Print Center</t>
  </si>
  <si>
    <t>Tratar uma carta de cobrança</t>
  </si>
  <si>
    <t>Tratar mais de uma carta de cobrança</t>
  </si>
  <si>
    <t>Tratar um print center</t>
  </si>
  <si>
    <t>Tratar mais de um print center</t>
  </si>
  <si>
    <t>SISRAF (Cobrança, Atendimento, Arrecadação)</t>
  </si>
  <si>
    <t>Pequenas Manutenções</t>
  </si>
  <si>
    <t>Processos de Baixa (SISRAF - Arrecadação)</t>
  </si>
  <si>
    <t>Processos de Débito Automatico (SISRAF - Arrecadação)</t>
  </si>
  <si>
    <t xml:space="preserve">Inclusão de agente novo </t>
  </si>
  <si>
    <t>Processos de Parcelamento (SISRAF - Parcelamento)</t>
  </si>
  <si>
    <t>Processos de Recarga (SISRAF - Arrecadação)</t>
  </si>
  <si>
    <t>Processos de Cobrança (SISRAF - Cobrança)</t>
  </si>
  <si>
    <t>Processos de Contestação (SISRAF - Contestação)</t>
  </si>
  <si>
    <t>Processos de Negativação / Positivação (SISRAF - Cobrança)</t>
  </si>
  <si>
    <t>Processos de Carga / Limpeza no Contas a Receber (SISRAF - Arrecadação)</t>
  </si>
  <si>
    <t>Processos de Segunda Via / Extrato (SISRAF - Atendimento / Segunda Via / PARC / SEDO)</t>
  </si>
  <si>
    <t>Processos de Cobrança Terceirizada (SISRAF - Cobrança)</t>
  </si>
  <si>
    <t>Serviço (SISRAF - Arrecadação / Cobrança / Atendimento)</t>
  </si>
  <si>
    <t>Plano (SISRAF - Arrecadação / Cobrança / Atendimento)</t>
  </si>
  <si>
    <t>Produto   (SISRAF - Arrecadação / Cobrança / Atendimento)</t>
  </si>
  <si>
    <t>Só formataçao de layout</t>
  </si>
  <si>
    <t>Impacta Faturamento</t>
  </si>
  <si>
    <t>Fat Fixa SFA</t>
  </si>
  <si>
    <t>Extração de arquivos</t>
  </si>
  <si>
    <t>Alteracao de regras simples existentes</t>
  </si>
  <si>
    <t>Alteracao de regras complexas existentes</t>
  </si>
  <si>
    <t>Alteração de mensagem em conta</t>
  </si>
  <si>
    <t>Altera Mock UP (layout)</t>
  </si>
  <si>
    <t xml:space="preserve">Inclui novas Info no Mock up </t>
  </si>
  <si>
    <t>Disponibilizar info nas telas on line</t>
  </si>
  <si>
    <t xml:space="preserve">Entrada Externa (arquivos de outras empresas)  </t>
  </si>
  <si>
    <t>Nova Entrada de Externa Simples</t>
  </si>
  <si>
    <t xml:space="preserve">Recebe e trata novo arquivo com 01 serviço para valoração e cobrança/credito  em conta </t>
  </si>
  <si>
    <t>Alteração  de Entrada Externa Simples</t>
  </si>
  <si>
    <t xml:space="preserve">Alterar regras no tratamento do novo arquivo com 01 serviço para valoração e cobrança/credito  em conta </t>
  </si>
  <si>
    <t>Nova Entrada de Externa Complexa</t>
  </si>
  <si>
    <t xml:space="preserve">Recebe e trata novo arquivo com vários serviços para valoração e cobrança/credito  em conta </t>
  </si>
  <si>
    <t>Alteração  de Entrada Externa Complexa</t>
  </si>
  <si>
    <t xml:space="preserve">Alterar regras no tratamento do  novo arquivo com vários serviços para valoração e cobrança/credito  em conta </t>
  </si>
  <si>
    <t xml:space="preserve">Entrada Interna (arquivos de sistemas da OI  </t>
  </si>
  <si>
    <t xml:space="preserve">Nova Entrada Interna  </t>
  </si>
  <si>
    <t xml:space="preserve">Alteração de  Entrada Interna </t>
  </si>
  <si>
    <t xml:space="preserve">Nova Entrada Complexa  </t>
  </si>
  <si>
    <t xml:space="preserve">Recebe e trata novo arquivo com vários de serviços para valoração e cobrança/credito  em conta </t>
  </si>
  <si>
    <t xml:space="preserve">Alteração de  Entrada Complexa </t>
  </si>
  <si>
    <t xml:space="preserve">Alterar regras no tratamento do  novo arquivo com varios de serviços para valoração e cobrança/credito  em conta </t>
  </si>
  <si>
    <t xml:space="preserve">Saída Externa  (envio para outras empresas) </t>
  </si>
  <si>
    <t xml:space="preserve">Nova Saída  Externa  Simples </t>
  </si>
  <si>
    <t xml:space="preserve">Trata, gera e envia arquivo com 01 serviço para outras empresa </t>
  </si>
  <si>
    <t>Alteração de Saída Externa Simples</t>
  </si>
  <si>
    <t xml:space="preserve">Altera o Tratamento, gera e envia arquivo com 01 serviço para outras empresa </t>
  </si>
  <si>
    <t xml:space="preserve">Nova Saída  Externa  Complexa  </t>
  </si>
  <si>
    <t xml:space="preserve">Trata, gera e envia arquivo com +1 serviço para outras empresa </t>
  </si>
  <si>
    <t xml:space="preserve">Alteração de Saída Complexa </t>
  </si>
  <si>
    <t xml:space="preserve">Altera o Tratamento, gera e envia arquivo com +1 serviço para outras empresa </t>
  </si>
  <si>
    <t xml:space="preserve">Saída Interna  (envio para sistemas da OI) </t>
  </si>
  <si>
    <t xml:space="preserve">Nova Saída  Interna  Simples </t>
  </si>
  <si>
    <t xml:space="preserve">Trata, gera e envia arquivo com 01 serviço para sistema da empresa </t>
  </si>
  <si>
    <t>Alteração de Saída Interna Simples</t>
  </si>
  <si>
    <t xml:space="preserve">Altera o Tratamento, gera e envia arquivo com 01 serviço para sistema da empresa </t>
  </si>
  <si>
    <t xml:space="preserve">Nova Saída  Interna  Complexa  </t>
  </si>
  <si>
    <t xml:space="preserve">Trata, gera e envia arquivo com +1 serviço para sistema da empresa </t>
  </si>
  <si>
    <t xml:space="preserve">Alteração de Saída Interna Complexa </t>
  </si>
  <si>
    <t xml:space="preserve">Altera o Tratamento, gera e envia arquivo com +1 serviço para sistema da empresa </t>
  </si>
  <si>
    <t xml:space="preserve">Serviços / Micro serviço </t>
  </si>
  <si>
    <t xml:space="preserve">Nova cobrança de serviço  Simples </t>
  </si>
  <si>
    <t xml:space="preserve">Registra e cria configuração do serviço e realiza a  valoração e cobrança/credito/desconto </t>
  </si>
  <si>
    <t xml:space="preserve">Alteração de cobrança de serviço  Simples </t>
  </si>
  <si>
    <t xml:space="preserve">Altera funções de registrar e configurar do serviço e altera a  valoração e cobrança/credito/desconto </t>
  </si>
  <si>
    <t>Nova cobrança de serviço  Complexa</t>
  </si>
  <si>
    <t>Alteração de cobrança de serviço  Complexa</t>
  </si>
  <si>
    <t xml:space="preserve">Plano (trafego, mensalidades, etc..)  </t>
  </si>
  <si>
    <t xml:space="preserve">Registra e cria configuração do plano e serviço e realiza a  valoração e cobrança/credito/desconto </t>
  </si>
  <si>
    <t xml:space="preserve">Alteração plano - Simples </t>
  </si>
  <si>
    <t xml:space="preserve">Altera funções de registrar e configurar do plano e do serviço e altera a  valoração e cobrança/credito/desconto </t>
  </si>
  <si>
    <t xml:space="preserve">Novo plano - Complexa </t>
  </si>
  <si>
    <t xml:space="preserve">Registra e cria configuração do Plano e do serviço e realiza a  valoração e cobrança/credito/desconto </t>
  </si>
  <si>
    <t xml:space="preserve">Alteração plano - Complexa </t>
  </si>
  <si>
    <t xml:space="preserve">Altera funções de registrar e configurar o plano e do serviço e altera a  valoração e cobrança/credito/desconto </t>
  </si>
  <si>
    <t xml:space="preserve">Produto  </t>
  </si>
  <si>
    <t xml:space="preserve">Registra e cria configuração do Produto plano e serviço e realiza a  valoração e cobrança/credito/desconto </t>
  </si>
  <si>
    <t xml:space="preserve">Alteração produto - Simples </t>
  </si>
  <si>
    <t xml:space="preserve">Altera funções de registrar e configurar produto e plano e do serviço e altera a  valoração e cobrança/credito/desconto </t>
  </si>
  <si>
    <t xml:space="preserve">Novo produto - Complexa </t>
  </si>
  <si>
    <t xml:space="preserve">Registra e cria configuração do produto e  Plano e do serviço e realiza a  valoração e cobrança/credito/desconto </t>
  </si>
  <si>
    <t xml:space="preserve">Alteração produto - Complexa </t>
  </si>
  <si>
    <t xml:space="preserve">GENEVA </t>
  </si>
  <si>
    <t xml:space="preserve"> Manutenções</t>
  </si>
  <si>
    <t xml:space="preserve"> Manutenção Core (CAM/Billing Account Maintenance/Rate Plan Maintenance)</t>
  </si>
  <si>
    <t xml:space="preserve"> Manutenção Core (FID/BG/Rate/BDW/CAT) simples</t>
  </si>
  <si>
    <t xml:space="preserve"> Manutenção Core (FID/BG/Rate/BDW/CAT) complexa</t>
  </si>
  <si>
    <t xml:space="preserve"> Manutenção Não Core (RCP/Limpeza/Conversor/TCO6/Quality/Polvo/Franquias) simples</t>
  </si>
  <si>
    <t xml:space="preserve"> Manutenção Não Core (RCP/Limpeza/Conversor/TCO6/Quality/Polvo/Franquias) complexa</t>
  </si>
  <si>
    <t xml:space="preserve"> Criação de plano simples</t>
  </si>
  <si>
    <t xml:space="preserve"> Criação de plano complexa</t>
  </si>
  <si>
    <t xml:space="preserve"> Manutenção de plano simples</t>
  </si>
  <si>
    <t xml:space="preserve"> Manutenção de plano complexa</t>
  </si>
  <si>
    <t xml:space="preserve"> Manutenção interface Complementar Fixa Simples</t>
  </si>
  <si>
    <t xml:space="preserve"> Manutenção interface Complementar Fixa Complexa</t>
  </si>
  <si>
    <t xml:space="preserve"> Manutenção interface SMP simples</t>
  </si>
  <si>
    <t xml:space="preserve"> Manutenção interface SMP complexa</t>
  </si>
  <si>
    <t xml:space="preserve"> Manutenção de modelo de dados simples</t>
  </si>
  <si>
    <t xml:space="preserve"> Manutenção de modelo de dados complexa</t>
  </si>
  <si>
    <t xml:space="preserve"> Manutenção de extração (Tvas/RATURBO/DW)</t>
  </si>
  <si>
    <t xml:space="preserve"> Criação de extração simples</t>
  </si>
  <si>
    <t xml:space="preserve"> Criação de extração complexa</t>
  </si>
  <si>
    <t>Suporte a teste Integrado 1 ciclo de faturamento, 15 dias</t>
  </si>
  <si>
    <t xml:space="preserve">DOC-1 </t>
  </si>
  <si>
    <t>Inclusão/Alteração de mensagem em conta/fatura</t>
  </si>
  <si>
    <t>Inclui novas Info no Mock up</t>
  </si>
  <si>
    <t>Incluir novos subtipos</t>
  </si>
  <si>
    <t>Suporte a teste Integrado 1 ciclo de faturamento</t>
  </si>
  <si>
    <t xml:space="preserve">EBILLING </t>
  </si>
  <si>
    <t>Incluir novas subseções (blocos)</t>
  </si>
  <si>
    <t>DETRAF</t>
  </si>
  <si>
    <t xml:space="preserve"> Criação de formulários simples</t>
  </si>
  <si>
    <t xml:space="preserve"> Criação de formulários complexa</t>
  </si>
  <si>
    <t xml:space="preserve"> Manutenção de formulários simples</t>
  </si>
  <si>
    <t xml:space="preserve"> Manutenção de formulários complexa</t>
  </si>
  <si>
    <t xml:space="preserve"> Manutenção CriticaEnvios simples</t>
  </si>
  <si>
    <t xml:space="preserve"> Manutenção CriticaEnvios complexa</t>
  </si>
  <si>
    <t xml:space="preserve"> Manutenção ProcessaDetraf simples </t>
  </si>
  <si>
    <t xml:space="preserve"> Manutenção ProcessaDetraf complexa</t>
  </si>
  <si>
    <t xml:space="preserve"> Manutenção JuntarTCO / Agrupar simples</t>
  </si>
  <si>
    <t xml:space="preserve"> Manutenção JuntarTCO complexa</t>
  </si>
  <si>
    <t xml:space="preserve"> Manutenção AGRUPAR TCO</t>
  </si>
  <si>
    <t xml:space="preserve"> Manutenção extrações (Tvas/RATURBO/SCO/DW)</t>
  </si>
  <si>
    <t xml:space="preserve">C P M </t>
  </si>
  <si>
    <t xml:space="preserve"> Canutenção de formulários simples</t>
  </si>
  <si>
    <t xml:space="preserve"> Mriação de layouts simples</t>
  </si>
  <si>
    <t xml:space="preserve"> Mriação de layouts complexa</t>
  </si>
  <si>
    <t xml:space="preserve"> Manutenção de layouts simples</t>
  </si>
  <si>
    <t xml:space="preserve"> Manutenção de layouts complexa</t>
  </si>
  <si>
    <t xml:space="preserve"> Manutenção crítica movel simples</t>
  </si>
  <si>
    <t xml:space="preserve"> Manutenção crítica movel complexa</t>
  </si>
  <si>
    <t xml:space="preserve"> Manutenção recrítica movel simples</t>
  </si>
  <si>
    <t xml:space="preserve"> Manutenção recrítica movel complexa</t>
  </si>
  <si>
    <t xml:space="preserve"> Manutenção crítica fixa simples</t>
  </si>
  <si>
    <t xml:space="preserve"> Manutenção crítica fixa complexa</t>
  </si>
  <si>
    <t xml:space="preserve"> Manutenção recrítica fixa simples</t>
  </si>
  <si>
    <t xml:space="preserve"> Manutenção recrítica fixa complexa</t>
  </si>
  <si>
    <t xml:space="preserve"> Manutenção extração de pendencias simples</t>
  </si>
  <si>
    <t xml:space="preserve"> Manutenção extração de pendencias complexa</t>
  </si>
  <si>
    <t xml:space="preserve"> Manutenção agruparSFA fixa simplexa</t>
  </si>
  <si>
    <t xml:space="preserve"> Manutenção agruparSFA fixa complexa</t>
  </si>
  <si>
    <t xml:space="preserve"> Manutenção de extração (Tvas/RATURBO/SCO/DW)</t>
  </si>
  <si>
    <t xml:space="preserve"> Mriação de extração simples</t>
  </si>
  <si>
    <t xml:space="preserve"> Mriação de extração complexa</t>
  </si>
  <si>
    <t>Fat SISRAF</t>
  </si>
  <si>
    <t>Apropriaçao / SCIV / Mediador de negócio</t>
  </si>
  <si>
    <t>SCF1 / Mediador de Terceiros / IIU</t>
  </si>
  <si>
    <t>Fat Móvel Arbor</t>
  </si>
  <si>
    <t>Criação de uma única seção na fatura</t>
  </si>
  <si>
    <t>Configuração de nova estrutura na fatura e Impacto no DOC1</t>
  </si>
  <si>
    <t>Alteração de nome de seção</t>
  </si>
  <si>
    <t>Configuração de conta contabil comum</t>
  </si>
  <si>
    <t>Pouca configuração mas necessidade de teste com varias areas</t>
  </si>
  <si>
    <t>Configuração de tabela contabil convergente</t>
  </si>
  <si>
    <t>Criação de uso de VAS</t>
  </si>
  <si>
    <t>Nova estrutura de tarifação</t>
  </si>
  <si>
    <t>Criaçao de unidade de credito (Ex. Franquia) com novas tarifas</t>
  </si>
  <si>
    <t>Nova estrutura de tarifação e fraquias</t>
  </si>
  <si>
    <t>Solicitações que envolvam levantamento de estudo pela fabrica</t>
  </si>
  <si>
    <t>Estudo de regras com avaliação dos programas e elaboração de documentação</t>
  </si>
  <si>
    <t>Novos Relatórios Batch (ambito do Arbor)</t>
  </si>
  <si>
    <t>Performance e join das informações solicitadas</t>
  </si>
  <si>
    <t>Alteração de views para inclusão de  novos campos</t>
  </si>
  <si>
    <t>Performance e join das informações solicitadas - são interfaces do Arbor com outros ambients (DW, Co-Billing, Repasse, etc)</t>
  </si>
  <si>
    <t>Alteração que envolvam o core do produto (avaliação conjunta CSol)</t>
  </si>
  <si>
    <t>Alteração critica em componentes complexos, com necessidade de muitos cenarios de testes e regressão  ( a Comverse tem que desenvolver)</t>
  </si>
  <si>
    <t>Alteração nos processos do BIF (Formatador de Conta)</t>
  </si>
  <si>
    <t>Modulo que gera fatura e armazenar varias logisticas para impressao da mesma. Impacto no DOC1</t>
  </si>
  <si>
    <t>Criação de novas franquias para planos OCT via fabrica, ou outros planos nível instância ou nível conta</t>
  </si>
  <si>
    <t>Criação de nova estrutura de configuração de produtos, no caso do oct envolve varias sistemas para integração do mesmo e teste</t>
  </si>
  <si>
    <t>Criação de novas franquias para planos FLEX, ou outros planos nível instância ou nível conta</t>
  </si>
  <si>
    <t>Criação de novas franquias para planos #P´s, ou outros planos nível instância ou nível conta</t>
  </si>
  <si>
    <t>Criação de novas franquias para FIBRA/WLL, ou outros planos nível instância ou nível conta</t>
  </si>
  <si>
    <t>Migrações/Tratamento de Backlog</t>
  </si>
  <si>
    <t>Alteração "Batimento Siebel X Arbor" e "Batimento Arbor X Arbor"</t>
  </si>
  <si>
    <t>Alteração no módulo do Consulta Saldo</t>
  </si>
  <si>
    <t>Alteração/Configuração "Configurador de Benefícios"</t>
  </si>
  <si>
    <t>Projetos que envolvam criação de novas ferramentas, como por exemplo Automação VAS, telas no ToolKit</t>
  </si>
  <si>
    <t>Novas regras, envolvimento de desenho e construção do zero com interface não batch</t>
  </si>
  <si>
    <t>Alteração no modulo do Controle de Custo (avaliação conjunta CSol)</t>
  </si>
  <si>
    <t xml:space="preserve">Modulo com interação com diversas funcionalidades dentro do Arbor </t>
  </si>
  <si>
    <t>Alteração nos extratores de co-billing</t>
  </si>
  <si>
    <t>Necessidade de alteração em 12 modulos com teste entre Arbor e Repasse</t>
  </si>
  <si>
    <t>Novas funcionalidades como Termo de Quitação, Convenio IN86</t>
  </si>
  <si>
    <t>Alteração na estrutura da fatura como o Flat (alteração porte médio)</t>
  </si>
  <si>
    <t>Configuração de nova estrutura na fatura e Impacto no DOC1 - alterações de totalizadores, descrição de Itens, novas linhas na fatura, campo novo, etc)</t>
  </si>
  <si>
    <t>CRM</t>
  </si>
  <si>
    <t>CRM Móvel (Siebel 6.3)</t>
  </si>
  <si>
    <t>Criação/Alteração de Plano de Voz Varejo/Corporativo (não flexível)</t>
  </si>
  <si>
    <t>Solicitação de criação ou alteração de planos de voz. Deve ser incluido quantidade de planos solicitados. Tanto para pós-pago quanto uma opção do plano pré-pago</t>
  </si>
  <si>
    <t>Criação/Alteração de Estrutura Plano Flexível</t>
  </si>
  <si>
    <t>Solicitação de criação ou alteração de planos de voz. Item restrito ao Corporativo. Deve ser incluido quantidade de planos solicitados.  Tanto para pós-pago quanto uma opção do plano pré-pago</t>
  </si>
  <si>
    <t>Criação/Alteração de Plano de Dados Varejo/Corporativo</t>
  </si>
  <si>
    <t>Solicitação de criação ou alteração de planos de dados. Deve ser incluido quantidade de planos solicitados.  Tanto para pós-pago quanto uma opção do plano pré-pago</t>
  </si>
  <si>
    <t>Criação/Alteração de Benefícios/Serviço(criação de produtos diretamente no SBL 6.3)</t>
  </si>
  <si>
    <t>Solicitação de criação ou alteração de benefícios como taxas, descontos fixos que por causa de prazo do cliente interno não serão desenvolvidos no Configurador de benefícios. Ou de serviços, como uma caixa-postal, siga-me, envio de torpedo, Oi Gestor. Deve ser incluido quantidade de Benefícios somado ao de serviços solicitados.  Tanto para pós-pago quanto uma opção do plano pré-pago</t>
  </si>
  <si>
    <t>Alteração do processo de Pedido de Venda</t>
  </si>
  <si>
    <t>Restrito ao corporativo.Exemplos de alteração: Indicar, no detalhe do pedido, qual a empresa de logistica que irá atender; Permitir pedido de venda simultâneo para um mesmo cliente.</t>
  </si>
  <si>
    <t>Alteração em Retenção Varejo</t>
  </si>
  <si>
    <t>Quando existe necessidade de mudança no fluxo de retenção. Exemplos: Alteração de telas, sequenciamento de telas (workflow de aprovação). Restrito Varejo. Somente pós.</t>
  </si>
  <si>
    <t>Criação/Alteração de um obtejo BC (Objeto para mapear dados de várias entidades)</t>
  </si>
  <si>
    <t>Aplica-se quando há necessidade de criar um elemento que mapeará dados de diversas entidades, por exemplo: Se for necessário a criação de um objeto que mapeie dados de cadastro de um cliente e seu endereço.</t>
  </si>
  <si>
    <t>Criação/Alteração de um tipo de Oi Chamado</t>
  </si>
  <si>
    <t>Criação/Alteração de Oi Chamado</t>
  </si>
  <si>
    <t>Criação/Alteração de um obtejo BS (Objeto para execução de uma subrotina interna)</t>
  </si>
  <si>
    <t>Aplica-se quando há necessidade de criar uma validação ou execução interna, por exemplo: Validar o conteúdo de uma OS, gerar uma registro após escolher e confirmar alguma opção.</t>
  </si>
  <si>
    <t>Criação/Alteração de uma rotina BATCH (EIM)</t>
  </si>
  <si>
    <t>Solicitação de criação de um processo para execução BACTH baseado no preenchimento de tabelas de interface do CRM para posterior carga nas tabelas de produção. IMPORTANTE: Cada execução de EIM pode processar até 50 mil registros.  Para processar mais é necessário paralelizar estas execuções.  Esse paralelizmo não implica em aumento de custo. Deve ser negociado com PCP Siebel e GA.</t>
  </si>
  <si>
    <t>Criação/Alteração de uma rotina BATCH/Online (Workflow)</t>
  </si>
  <si>
    <t>Solicitação de criação de um processo para execução BACTH/Online baseado na criação de Workflows.</t>
  </si>
  <si>
    <t>Criação/Alteração de uma Modelo (novo tipo) de benefício (desconto ou elemento de crédito)</t>
  </si>
  <si>
    <t>Necessário quando for criado um novo tipo de Beneficio no Configurador de beneficio - Esta linha refere-se ao custo para distribuir no Siebel 6.3.  Para orçar o valor de implementar na ferramenta no siebel MKT, você deverá marcar a opção na sessão Siebel Marketing.</t>
  </si>
  <si>
    <t>Criação/Alteração de uma nova tela (View de aplicação) - Mapeando até 3 entidades</t>
  </si>
  <si>
    <t>Necessário quando deseja-se criar uma nova Tela (View) no Siebel, exibindo registros da base de dados na aplicação siebel client.</t>
  </si>
  <si>
    <t>Alteração em Retenção Corporativo</t>
  </si>
  <si>
    <t>Quando existe necessidade de mudança no fluxo de retenção. Exemplos: Alteração de telas, sequenciamento de telas (workflow de aprovação). Restrito Corporativo e empresarial. Somente pós.</t>
  </si>
  <si>
    <t>Alteração em VPN</t>
  </si>
  <si>
    <t>Restrito corporativo e empresarial. Na solicitação virá escrito que necessita alteração VPN</t>
  </si>
  <si>
    <t>Alteração em Parcelamento de Handset</t>
  </si>
  <si>
    <t>Restrito corporativo e empresarial. Na solicitação virá escrito sobre parcelamento de handset</t>
  </si>
  <si>
    <t>Alteração na Pré-Ativação</t>
  </si>
  <si>
    <t>Restrito Pré-pago. Deve ser informado no requerimento.</t>
  </si>
  <si>
    <t>Carga de Arquivo / Tratamento de backlog</t>
  </si>
  <si>
    <t>Migração de oferta/campanha e benefício, migração de corporativo para reajuste de tarifa onde recebemos lista com CNPJ dos clientes e plano de destino, prorrogação de benefício, carga de campanha batch, carga de adesões de pré-pago via IN, carga de novo HLR quando muda na Engenharia.
Aprovisionamento em massa para varejo ou que não valha a pena alterar o processo de aprovisionamento em massa do corporativo, de serviços, troca de campanha, benefícios e etc...
Toda vez que for necessário ajustar a base de dados (RETROATIVA).  Quando é necessário abrir OS para realizar o acerto, é fundamental informar o volume previsto.  Se depender de janela do Arbor, deverá ser alinhado antes (ex: tratamento de backlog no dia do corte do faturamento.  Tem que casar com o ciclo do faturamento).</t>
  </si>
  <si>
    <t>Ressubmissão de Eventos (Tratamento de Erros)</t>
  </si>
  <si>
    <t>Necessidade de uma nova Integração do Siebel 6.3  com sistema.  Exemplo: Plano completo que  precisa integrar Siebel 6.3 com SINN. Atualmente não temos essa integração.</t>
  </si>
  <si>
    <t>Alteração na tela de Contas</t>
  </si>
  <si>
    <t>Inclusão de um novo campo, por exemplo incluir um flag de inadimplência</t>
  </si>
  <si>
    <t>Alteração na tela de  Contatos</t>
  </si>
  <si>
    <t>Inclusão de um novo campo, por exemplo incluir um email, alerta.</t>
  </si>
  <si>
    <t>Alteração em Smart Script (Reparo/Cadastro de Pré-pago)</t>
  </si>
  <si>
    <t>Reparo - Pré e Pós (mudança nas perguntas caso o cliente solicite um atendimento dizendo que seu aparelho não está funcionando). Cadastro/desbloqueio é Restrito pré-pago. Exemplo uma mudança em um processo de desbloqueio (mais dados do que o existente)</t>
  </si>
  <si>
    <t xml:space="preserve">Alteração em Trouble Ticket </t>
  </si>
  <si>
    <t>TT, Trouble ticket = Oi chamado. Todo atendimento gera pelo menos um TT. Precisa ser solicitado no STI. Exemplo - se atualmente temos um TT para reparo e quer que seja quebrado em Reparo Varejo e reparo corporativo será necessário alteração.</t>
  </si>
  <si>
    <t>Impacto no Siebel 6.3 devido a alterações no CTI</t>
  </si>
  <si>
    <t>No STI deverá vir solicitações de mudanças no sistema (CTI) que faz intermediação com a plataforma de telefonia e o Siebel. Pode vir falando sobre a Contax.</t>
  </si>
  <si>
    <t>Identificação de Parceiros (PDV)</t>
  </si>
  <si>
    <t>Quando precisa identificar no siebel que o logista fez alguma ação que não seja na ativação. Exemplo: necessidade de um comissionamento na loja. Hoje é comissionado na ativação.</t>
  </si>
  <si>
    <t>Alteração na tela de meio de acesso (OS - client)</t>
  </si>
  <si>
    <t xml:space="preserve"> Inclusão de mais informações. Exemplo: Incluir na tela de alteração de meio de acesso (tela de OS) campo contrato, que não existia para o corporativo. Tela valida para todos produutos e segmentos.</t>
  </si>
  <si>
    <t>Alteração no processo/tela de Oi Família/OCT (client)</t>
  </si>
  <si>
    <t>cliente solicita uma alteração na tela ou no especificamente.</t>
  </si>
  <si>
    <t>Alteração no processo/tela de Ativação Pós (E-channel)</t>
  </si>
  <si>
    <t xml:space="preserve">Restrito Varejo. Restrito a pós-pago. Quando altera o processo de ativação. Exemplo: Criação de um campo novo na tela de meio de acesso. </t>
  </si>
  <si>
    <t>Alteração no processo/tela de Troca de Plano Pós-Pós (E-channel)</t>
  </si>
  <si>
    <t xml:space="preserve">Restrito Varejo. Restrito a pós-pago. Quando altera o processo de migração pós-pós Exemplo: Na atual migração de planos não existe necessidade de nova análise de crédito. No STI está solicitando que seja feita. </t>
  </si>
  <si>
    <t>Alteração no processo/tela de Troca de Plano Pré-Pós (E-channel)</t>
  </si>
  <si>
    <t xml:space="preserve">Restrito Varejo. Quando altera o processo de migração pós-pós Exemplo: Na atual migração de planos não existe necessidade de nova análise de crédito. No STI está solicitando que seja feita. </t>
  </si>
  <si>
    <t>Alteração no processo/tela de Ativação Oi Família (E-channel)</t>
  </si>
  <si>
    <t>Restrito Varejo. Caso tenha alteração no client deverá inserir como S.</t>
  </si>
  <si>
    <t>Alteração no processo/tela de Ativação OCT (E-channel)</t>
  </si>
  <si>
    <t>Alteração processo/tela de  Contestação</t>
  </si>
  <si>
    <t>Todos segmentos. Somente pós-pago. Inclusão de novo campo, novos motivos de contestação</t>
  </si>
  <si>
    <t>Alteração em Numeração (MSISDN)/SIMCARD</t>
  </si>
  <si>
    <t>Alteração do processo de criação de MSISDN/ solicitação de SIMCARD. Para mudança nesses processos deverá estar claramente descrito no requerimento.</t>
  </si>
  <si>
    <t>Alteração processo de aprovisionamento em Massa</t>
  </si>
  <si>
    <t>Restrito corporativo. Necessidade de inclusao de novos campos ou modificação na forma que é executado o aprovisionamento em massa. Precisa estar claro no requerimento essa necessidade.</t>
  </si>
  <si>
    <t>Automatizar processamento batch (quando for recorrente)</t>
  </si>
  <si>
    <t>Idem ao item 109, a diferença é que neste caso, será criado um processo de carga recorrente, cadeia no Control-M, com periodicidade de execução, volume a ser definido, janela de processo, que poderá ser automático ou sob demanda do cliente.  O item 109 é para uma carga pontual, sem precisar criar rotina a ser reaproveitada futuramente.</t>
  </si>
  <si>
    <t>Alteração/Criação de Regras de Convivência</t>
  </si>
  <si>
    <t>Deverá estar explícito no documento a necessidade de alteração/criação da regra. Atentar para quantidade. Ex: Criação de um novo grupo de benefícios</t>
  </si>
  <si>
    <t>Alteração no Desbloqueio em Confiança</t>
  </si>
  <si>
    <t>Deverá estar explícito no documento a necessidade de alteraçãodo do processo de desbloqueio em confiança. O Desbloqueio em confiança existe para B2C e B2B. Ex: Alteração de regras para solicitação de desbloqueio em confiança</t>
  </si>
  <si>
    <t xml:space="preserve">Regras de Controle de Acesso (por Cargos, Responsabilidades,...) </t>
  </si>
  <si>
    <t>Deverá estar explícito no documento a necessidade de acesso restrito. Ex: Tela exclusiva para aprovar análise de crédito ou insenção de taxa restrito a alguns cargos</t>
  </si>
  <si>
    <t>Impacto nas telas de dados históricos (Base Morna)</t>
  </si>
  <si>
    <t>Base Morna =  Dados da base com mais de 6 meses (aprox). Toda inclusão de informação(campos) que compõe a tela de meio de acesso deve ser refletida nas telas de dados históricos</t>
  </si>
  <si>
    <t>Impacto na estrutura de tabela de dados históricos (Base Morna)</t>
  </si>
  <si>
    <t>Toda alteração de estrutura de tabelas que compõe a OS, deve ser refletida na estrutura de tabelas do base morna</t>
  </si>
  <si>
    <t>Impacto em comissionamento</t>
  </si>
  <si>
    <t>Necessidade demandada pela equipe de comissionamento, pois somente uma mudança no processo atual justifica uma alteração no que existe atualmente.</t>
  </si>
  <si>
    <t>Impacto na Análise de Crédito</t>
  </si>
  <si>
    <t>Necessidade demandada pela equipe de análise de crédito pois somente uma mudança no processo atual justifica uma alteração no que existe atualmente. Alterações em regras de negócio para ativação/migração não devem ser consideradas como impacto na análise, e sim deve ser considerado criação/alteração de regra de negócio. Ex: Toda ativação deverá ser feito uma nova análise de crédito.</t>
  </si>
  <si>
    <t xml:space="preserve">Inclusão de nova Funcionalidade no Echannel </t>
  </si>
  <si>
    <t>Ex: Ativação, Migração, Cancelamento de linha, Consulta de HLR do MSISDN para resgate de número em quarentena</t>
  </si>
  <si>
    <t>Alteração no Bloqueio por Roubo</t>
  </si>
  <si>
    <t>O bloqueio por roubo é feito informando o MSISDN. Caso seja solicitada alguma regra diferente, deverá ser marcada esta opção. Ex: Consulta do meio de acesso por outro campo que não o atual(MSISDN)</t>
  </si>
  <si>
    <t>Alteração no Desbloqueio de Pré</t>
  </si>
  <si>
    <t>Se o desbloqueio do pré-pago for feito por outros canais de atendimento, como Portal e se tiver regras diferentes das atuais. Ex: Consulta do meio de acesso por outro campo que não o atual(MSISDN) DAS</t>
  </si>
  <si>
    <t>Alteração no Processo de Cobrança</t>
  </si>
  <si>
    <t>Alteração no processo de cobrança Ex: Ações de cobrança passarem a ser por MSISDN, ou hierarquia de bloqueios</t>
  </si>
  <si>
    <t>Alteração de Conta Fatura (segunda via, tipo de mídia, data de corte, DACC...)</t>
  </si>
  <si>
    <t>Deverá estar explicito no documento. Ex: Considerar envio de segunda via caso pelo menos um item de contestação seja procedente, ou incluir novas datas de corte e ciclo de faturamento.</t>
  </si>
  <si>
    <t>Alteraçao no Batimento Siebel x Arbor</t>
  </si>
  <si>
    <t>Criação de novos serviços(produtos) que tenham cobrança recorrente e não recorrente</t>
  </si>
  <si>
    <t>Impacto em query/serviço da URA</t>
  </si>
  <si>
    <t>Deverá estar explicito que existe alteração na URA quando na seleção de informações de antendimento. Ex: Segmentação do cliente, plano, opção de dados, Oi Chamados e etc...</t>
  </si>
  <si>
    <t>Impacto no Programa de Relacionamento</t>
  </si>
  <si>
    <t>Esta necessidade virá do sistema de relacionamento e deverá estar explicito esta necessidade. Ex: Cobrar taxa de resgate de pontos</t>
  </si>
  <si>
    <t>Impacto em Portabilidade</t>
  </si>
  <si>
    <t>Alteração na numeração impacta a BDO, alterações no processo de portabilidade</t>
  </si>
  <si>
    <t>Criação/Alteração de Relatórios Informacionais</t>
  </si>
  <si>
    <t>Criação -  Toda necessidade de extração de informações do siebel que possa ser em D-1 Ex: Contestações realizadas, ativações, migrações  etc..
Alteração - Quando a solicitação for para extrações existentes no informacional. Ex: Bove</t>
  </si>
  <si>
    <t>Criação/Alteração de Interface Online</t>
  </si>
  <si>
    <t>Necessidade de resposta online. Ex: Consultar elegibilidade do fixo para ativação de oferta OCT</t>
  </si>
  <si>
    <t>Treinamento (dias)</t>
  </si>
  <si>
    <t>Deverá estar explicito esta necessidade, porém é aconselhável que seja ministrado treinamento quando é criado uma funcionalidade/tela nova.</t>
  </si>
  <si>
    <t>UAT/Critérios de Aceitação (até 5 cenários)</t>
  </si>
  <si>
    <t>Deverá estar explicito esta necessidade.</t>
  </si>
  <si>
    <t>CRM  (Siebel MKT)</t>
  </si>
  <si>
    <t>Configurador de Beneficios: Criação/Alteração de Modelo</t>
  </si>
  <si>
    <t>Solicitação de criação ou alteração de planos de Modelos para o configurador - Implica em código e alteração do WebService de distribuição das configurações.</t>
  </si>
  <si>
    <t>Configurador de Beneficios: Criação/Alteração de Template</t>
  </si>
  <si>
    <t>Solicitação de criação ou alteração de Templates: Implica apenas em configuração, ou seja, não altera o código ou serviço de distribuição da ferramenta</t>
  </si>
  <si>
    <t>Configurador de Beneficios: Audit Trail/Fluxo de Aprovação/Alteração na lógica do Calendário de distribuição</t>
  </si>
  <si>
    <t>Criação/Alteração de registros de histórico (Audit Trail) ou mudança na lógica de aprovação de beneficios ou no calendário de distribuição.</t>
  </si>
  <si>
    <t>Campanha e Oferta: Criação de Campanha/Oferta</t>
  </si>
  <si>
    <t>Solicitação de criação de Campanha e Oferta para o lançamento em conjunto com escopo de alguma demanda</t>
  </si>
  <si>
    <t>Campanha e Oferta: Audit Trail/Fluxo de Aprovação</t>
  </si>
  <si>
    <t>Criação/Alteração de registros de histórico (Audit Trail) ou mudança na lógica de aprovação.</t>
  </si>
  <si>
    <t>Campanha e Oferta: Criação/Alteração de Relatório</t>
  </si>
  <si>
    <t>Solicitação de criação ou alteração deRelatório.</t>
  </si>
  <si>
    <t>Campanha e Oferta: Inclusão de Regras de Critica/Elegibilidade/Workflow Police</t>
  </si>
  <si>
    <t>Criação/Alteração de Regras criticas que envolvam: Codificação, validação de regras sob campos, geração de Workflow para validações com resultado em geração automatica de registros</t>
  </si>
  <si>
    <t>Campanha e Oferta: Criação de Campo incluindo envio para outros sistemas</t>
  </si>
  <si>
    <t>Criação de novos campos nas entidades de Campanha/Oferta que deverão ser propagados em outros sistemas de destino.</t>
  </si>
  <si>
    <t>Campanha e Oferta: Criação/Alteração de Interface online</t>
  </si>
  <si>
    <t>Criação/Alteração de Web Service para envio de dados do Siebel MKT para outros sistemas</t>
  </si>
  <si>
    <t>Oi Vende</t>
  </si>
  <si>
    <t>Criação de Menu</t>
  </si>
  <si>
    <t>Funcionalidades e Interfaces.</t>
  </si>
  <si>
    <t>Alteração de Menu</t>
  </si>
  <si>
    <t>Criação de Relatórios</t>
  </si>
  <si>
    <t>Toda necessidade de extração de informações do Oi Vende.</t>
  </si>
  <si>
    <t>Alteração de Relatórios</t>
  </si>
  <si>
    <t>Criação/Alteração de views do CMS (novo incentivo)</t>
  </si>
  <si>
    <t>Criação/Alteração de serviço no processo de Venda/Migração de Fixo/Velox/Oi Mix</t>
  </si>
  <si>
    <t>Criação/Alteração no campos de Venda de Fixo/Velox/Oi Mix</t>
  </si>
  <si>
    <t>Impacto no fluxo de venda de velox.</t>
  </si>
  <si>
    <t>Criação/Alteração de serviço no processo de Upgrade de Velox</t>
  </si>
  <si>
    <t>Impacto no fluxo de migração de velox.</t>
  </si>
  <si>
    <t>Criação/Alteração no campos de Upgrade de Velox</t>
  </si>
  <si>
    <t>Alteração no processo/tela de Venda plano P</t>
  </si>
  <si>
    <t>Impacto no fluxo de P.</t>
  </si>
  <si>
    <t>Criação/Alteração de Trilha de Auditoria</t>
  </si>
  <si>
    <t>Log de consulta, time out, insucesso na consulta, reserva e cancelamento (trilha de auditoria).</t>
  </si>
  <si>
    <t>Criação/Alteração script</t>
  </si>
  <si>
    <t>Criação/Alteração de Consulta viabilidade</t>
  </si>
  <si>
    <t>Alteração da consulta de viabilidade por terminal/endereço (para incluir reserva).</t>
  </si>
  <si>
    <t>Criação/Alteração de JOBs</t>
  </si>
  <si>
    <t>Criação/Alteração de funcionalidade de conteúdo</t>
  </si>
  <si>
    <t>Criação/Alteração de Interface</t>
  </si>
  <si>
    <t>CRM WLL/Fibra (Siebel 8)</t>
  </si>
  <si>
    <t>Extratores - (somente Extração)</t>
  </si>
  <si>
    <t>Extrações simples baseadas em informações já existentes no Siebel, não requer transformação de dados.</t>
  </si>
  <si>
    <t>Extrator - (com lógica e/ou batimentos)</t>
  </si>
  <si>
    <t>Inclui transformações (cálculos, enriquecimento do dado).</t>
  </si>
  <si>
    <t>Disponibilização de informações on line para outros sistemas</t>
  </si>
  <si>
    <t>Para cada grupo funcional de informações será considerado como 1 consulta (Ex.: contato, cliente, endereço, perfil de faturamento, etc)</t>
  </si>
  <si>
    <t>Criação PDV e/ou Canal de Venda</t>
  </si>
  <si>
    <t>Informar apenas se há criação de novo PDV e/ou canal de venda. O Valor independe da quantidade.</t>
  </si>
  <si>
    <t>Configuração de responsabilidade e/ou posição</t>
  </si>
  <si>
    <t>Configuração de responsabilidade e/ou posição por perfil de acesso. Exemplo: Configurar o acesso de um determinado perfil a uma tela, botão, funcionalidade do sistema, etc)</t>
  </si>
  <si>
    <t>Criação de Tipos de Oi Chamados</t>
  </si>
  <si>
    <t xml:space="preserve">Criação de uma nova categoria, subcategoria quando esse tipod e chamado é gerado automaticamente associado a algum processo. </t>
  </si>
  <si>
    <t xml:space="preserve">Parametrizações Solicitadas </t>
  </si>
  <si>
    <t>Mudança de qualquer item parametrizavel, não necessita de desenvolvimento.</t>
  </si>
  <si>
    <t>Criação de Benefícios (ex.: Descontos)</t>
  </si>
  <si>
    <t>Criação de 1 benefício (nova taxa, desconto)</t>
  </si>
  <si>
    <t>Alteração Análise de Crédito</t>
  </si>
  <si>
    <t>Alteração de dados via interface</t>
  </si>
  <si>
    <t xml:space="preserve">Alterações de dados cadastrais de cliente e terminais realizada por outro canal (Portal, URA) ou para outro sistema legado (exemplo: atualização cadastral do Siebel 8 para o STC - ex.: faixa de numeração no STC; status do terminal; etc) </t>
  </si>
  <si>
    <t>Alteração no processo de Reparo</t>
  </si>
  <si>
    <t>Qualquer alteração no processo de reparo existente no Siebel 8</t>
  </si>
  <si>
    <t>Alteração de árvore de abertura</t>
  </si>
  <si>
    <t>Alteração Cadastral</t>
  </si>
  <si>
    <t>Alteração das funções de cadastro do CRM (cliente, endereço, contato)</t>
  </si>
  <si>
    <t>Alteração Perfil Faturamento</t>
  </si>
  <si>
    <t>Alteração na estrutura da funcionalidade de perfil de faturamento.</t>
  </si>
  <si>
    <t>Integração com UNIPRO</t>
  </si>
  <si>
    <t>Atualmente não existe a funcionalidade/integração  Siebel 8  X Unipro.                                                                                     Caso seja solicitado a criação desta funcionalidade será complexa com custo de 458K.
Após implementado a funcionalidade, uma solicitação de alteração simples terá o custo de 160,43K.</t>
  </si>
  <si>
    <t>Integração CDI (inclusao de novos campos)</t>
  </si>
  <si>
    <t>Inclusão de novos campos e disponibiliza-los em tela.</t>
  </si>
  <si>
    <t>Criação de Plano</t>
  </si>
  <si>
    <t>Criação de 1 plano.</t>
  </si>
  <si>
    <t>Criação de Serviços Inteligentes</t>
  </si>
  <si>
    <t>Exemplos de Serviços Inteligentes: Caixa Postal, Chamada em espera, Siga-me, Bina Identificador de Chamadas, etc.)</t>
  </si>
  <si>
    <t>Solicitação de criação de um processo para execução BACTH baseado no preenchimento de tabelas de interface do CRM para posterior carga nas tabelas de produção. IMPORTANTE: Cada execução de EIM pode processar até 50 mil registros.  Para processar mais é necessário paralelizar estas execuções.  Esse paralelismo não implica em aumento de custo. Deve ser negociado com PCP Siebel e GA.</t>
  </si>
  <si>
    <t>Alteração no Configurador Produto (ex.: layout, exibiçao, inclusão de campos)</t>
  </si>
  <si>
    <t>Alterações dentro da Tela de Personalizar chamada dentro da Ordem de Serviço. Inclusão de novos campos e/ou Abas.</t>
  </si>
  <si>
    <t>Integração com STC/Siebel 6.3</t>
  </si>
  <si>
    <t>Ação de Cobrança</t>
  </si>
  <si>
    <t>Alteração no processo de abertura das ordens de ação de cobrança.</t>
  </si>
  <si>
    <t>Integração com SOM/GOS (implementação)</t>
  </si>
  <si>
    <t xml:space="preserve">Exemplos: Criação de nova taxa (cobrança de aparelho com taxa podendo ser parcelada, recarga eventual). </t>
  </si>
  <si>
    <t>Integração com NDS</t>
  </si>
  <si>
    <t>Alteração na Integração com NDS</t>
  </si>
  <si>
    <t>Tratamento de Erro</t>
  </si>
  <si>
    <t>Alteração na funcionalidade (processo) já existente de tratamento de erro.</t>
  </si>
  <si>
    <t>Alteração no Processo de Portabilidade</t>
  </si>
  <si>
    <t>Qualquer alteração no processo de Portabilidade.</t>
  </si>
  <si>
    <t>Alteração na estrutura do Pedido</t>
  </si>
  <si>
    <t>Criação de um novo produto (Oi Fixo, Oi Velox, etc), novas informações a serem enviadas no pedido, novas regras de validação.</t>
  </si>
  <si>
    <t>2a via, prorrogação vencimento</t>
  </si>
  <si>
    <t>Alteração de regras referentes ao processo. Alteração de campos é mais simples (somente será simples se o campo não mudar a regra)</t>
  </si>
  <si>
    <t>Contestação</t>
  </si>
  <si>
    <t>Alteração de regras referentes ao processos. Alteração de campos é mais simples (somente será simples se o campo não mudar a regra)</t>
  </si>
  <si>
    <r>
      <rPr>
        <b/>
        <sz val="11"/>
        <rFont val="Calibri"/>
        <family val="2"/>
        <scheme val="minor"/>
      </rPr>
      <t xml:space="preserve">CRM Fixa R1 - </t>
    </r>
    <r>
      <rPr>
        <sz val="11"/>
        <rFont val="Calibri"/>
        <family val="2"/>
        <scheme val="minor"/>
      </rPr>
      <t>(STC VOZ / STC DADOS / SISRAF CADASTRO)</t>
    </r>
  </si>
  <si>
    <t xml:space="preserve">Modelos de Dados - Complexidade Baixa </t>
  </si>
  <si>
    <t>ALI - Criação e/ou alteração de banco de dados ADABAS dentro do STC - Complexidade Baixa</t>
  </si>
  <si>
    <t>Modelos de Dados - Complexidade Média</t>
  </si>
  <si>
    <t>ALI - Criação e/ou alteração de banco de dados ADABAS dentro do STC - Complexidade Média</t>
  </si>
  <si>
    <t>Modelos de Dados - Complexidade Alta</t>
  </si>
  <si>
    <t>ALI - Criação e/ou alteração de banco de dados ADABAS dentro do STC - Complexidade Alta</t>
  </si>
  <si>
    <t>Serviços de Dados - Complexidade Baixa</t>
  </si>
  <si>
    <t>AIE - Criação e/ou alteração de função de dados do STC que alimenta um ADABAS em outro sistema - Complexidade Baixa</t>
  </si>
  <si>
    <t>Serviços de Dados - Complexidade Média</t>
  </si>
  <si>
    <t>AIE - Criação e/ou alteração de função de dados do STC que alimenta um ADABAS em outro sistema - Complexidade Média</t>
  </si>
  <si>
    <t>Serviços de Dados - Complexidade Alta</t>
  </si>
  <si>
    <t>AIE - Criação e/ou alteração de função de dados do STC que alimenta um ADABAS em outro sistema - Complexidade Alta</t>
  </si>
  <si>
    <t>Funções de Entrada/Saída sem lógica de processamento - Complexidade Baixa</t>
  </si>
  <si>
    <t>EE - Tela ou arquivo de dados que insere informações dentro do STC - Complexidade Baixa
CE - Tela ou arquivo de dados que exibe informações armazenadas no STC. Não contém fórmula matemática ou cálculo em sua lógica - Complexidade Baixa</t>
  </si>
  <si>
    <t>Funções de Entrada/Saída sem lógica de processamento - Complexidade Média</t>
  </si>
  <si>
    <t>EE - Tela ou arquivo de dados que insere informações dentro do STC - Complexidade Média
CE - Tela ou arquivo de dados que exibe informações armazenadas no STC. Não contém fórmula matemática ou cálculo em sua lógica - Complexidade Média</t>
  </si>
  <si>
    <t>Funções de Entrada/Saída sem lógica de processamento - Complexidade Alta</t>
  </si>
  <si>
    <t>EE - Tela ou arquivo de dados que insere informações dentro do STC - Complexidade Alta
CE - Tela ou arquivo de dados que exibe informações armazenadas no STC. Não contém fórmula matemática ou cálculo em sua lógica - Complexidade Alta</t>
  </si>
  <si>
    <t>Funções de Entrada/Saída com lógica de processamento - Complexidade Baixa</t>
  </si>
  <si>
    <t>SE - Tela ou arquivo de dados que exibe informações armazenadas no STC. Contém fórmula matemática ou cálculo, e/ou lógica de processamento adicional - Complexidade Baixa</t>
  </si>
  <si>
    <t>Funções de Entrada/Saída com lógica de processamento - Complexidade Média</t>
  </si>
  <si>
    <t>SE - Tela ou arquivo de dados que exibe informações armazenadas no STC. Contém fórmula matemática ou cálculo, e/ou lógica de processamento adicional - Complexidade Média</t>
  </si>
  <si>
    <t>Funções de Entrada/Saída com lógica de processamento - Complexidade Alta</t>
  </si>
  <si>
    <t>Cobranças eventuais em Homem Hora</t>
  </si>
  <si>
    <t>Estimativa de cobranças eventuais em Homem Hora. Preencher a justificativa / Racional.</t>
  </si>
  <si>
    <r>
      <rPr>
        <b/>
        <sz val="11"/>
        <rFont val="Calibri"/>
        <family val="2"/>
        <scheme val="minor"/>
      </rPr>
      <t xml:space="preserve">CRM Fixa R1 </t>
    </r>
    <r>
      <rPr>
        <sz val="11"/>
        <rFont val="Calibri"/>
        <family val="2"/>
        <scheme val="minor"/>
      </rPr>
      <t>(TCE / CADOP)</t>
    </r>
  </si>
  <si>
    <t>Atualização de Dados em Lote/Massa</t>
  </si>
  <si>
    <t>Responder S se for necessária a execução de atualização de registros em massa.
Exemplo: Reprossessamento de envio de arquivo para outras operadoras, alteração de dados cadastrais, etc …</t>
  </si>
  <si>
    <t>Quantidade de Regras de Negócio a serem Implantadas / Alteradas</t>
  </si>
  <si>
    <t>Quantidade de regras de negócio a serem implentadas nos extratores.</t>
  </si>
  <si>
    <t>CRM Fixa (SAC)</t>
  </si>
  <si>
    <t>Criação / Alteração em Tabelas</t>
  </si>
  <si>
    <t>Tabelas internar Criada ou Alteradas.  Responder a quantidade de Tabelas mantidas pelo SAC.</t>
  </si>
  <si>
    <t>Criação / Alteração em Telas</t>
  </si>
  <si>
    <t>Telas percebidas pelo usuário.  Quantidade total de telas no projeto (Inc/Alt/Exc)</t>
  </si>
  <si>
    <t>Criação / Alteração em Relatórios / Consultas</t>
  </si>
  <si>
    <t>Relatórios, Consultas e, até, exportação de dados que não sejam interfaces.</t>
  </si>
  <si>
    <t>Criação / Alteração de Interfaces</t>
  </si>
  <si>
    <t>Interfaces usadas dentro do projeto em questão.</t>
  </si>
  <si>
    <t>Alterações no processo de Portabilidade</t>
  </si>
  <si>
    <t>Qualquer alteração direta no Processo de Portabilidade.</t>
  </si>
  <si>
    <t>Criação de Produtos com Combos</t>
  </si>
  <si>
    <t>Produtos com Combos sugerem criações específicas e complexas.</t>
  </si>
  <si>
    <t>Alteração de Produtos com Combos</t>
  </si>
  <si>
    <t>idem</t>
  </si>
  <si>
    <t>Criação de Produtos sem Combos</t>
  </si>
  <si>
    <t>Produtos sem Comboms sugerem criações gerais.</t>
  </si>
  <si>
    <t>Alteração de Produtos sem Combos</t>
  </si>
  <si>
    <t>Criação em funcionalidades do Catálogo Combos</t>
  </si>
  <si>
    <t>Catálogos sugerem, por si, criações específicas com um grau de complexidade específico.</t>
  </si>
  <si>
    <t>Alteração em funcionalidades do Catálogo Combos</t>
  </si>
  <si>
    <t>CRM Móvel, Dados e Voz Avançada (Clarify)</t>
  </si>
  <si>
    <t>Criação / Alteração  de Tabelas</t>
  </si>
  <si>
    <t>Tabelas internar Criada ou Alteradas.  Responder a quantidade de Tabelas mantidas pelo CLY</t>
  </si>
  <si>
    <t>Criação / Alteração  de Telas</t>
  </si>
  <si>
    <t>Criação / Alteração  de Relatórios / Consultas</t>
  </si>
  <si>
    <t>Criação / Alteração  de Interfaces</t>
  </si>
  <si>
    <t>Criação de Novos Produtos GSM Móvel ou Voz Básica</t>
  </si>
  <si>
    <t>Produtos GSM Móvel e Voz Básicas deverão seguir regras do Siebel ou SAC.</t>
  </si>
  <si>
    <t>Alteração de Novos Produtos GSM Móvel ou Voz Básica</t>
  </si>
  <si>
    <t>Criação de Novos Produtos de Dados ou Voz Avançada</t>
  </si>
  <si>
    <t>Produtos de Dados ou Voz Avançada têm complexidade reconhecidamente alta.</t>
  </si>
  <si>
    <t>Alteração de Novos Produtos de Dados ou Voz Avançada</t>
  </si>
  <si>
    <t>CRM Contratos (GeCo)</t>
  </si>
  <si>
    <t>Criação de Produtos Modelo</t>
  </si>
  <si>
    <t>Produtos Modelo são criados a partir do Catálogo do Clarify</t>
  </si>
  <si>
    <t>Alteração de Produtos Modelo</t>
  </si>
  <si>
    <t>Impacta CRM</t>
  </si>
  <si>
    <t>Impacta DW</t>
  </si>
  <si>
    <r>
      <t xml:space="preserve">Novo Data Mart, com novo sistema transacional fonte envolvido 
</t>
    </r>
    <r>
      <rPr>
        <b/>
        <u/>
        <sz val="11"/>
        <rFont val="Calibri"/>
        <family val="2"/>
        <scheme val="minor"/>
      </rPr>
      <t>OBS. Se for selecionado este item não pode ser selecionado nenhum outro deste grupo</t>
    </r>
  </si>
  <si>
    <r>
      <t xml:space="preserve"> Implica na criação de tabelas, alteração do modelo de dados para inclusão de novos campos e alteração do processo de carga dos dados nas camadas Relacional, Dimensional e Apresentação (ferramenta OLAP). </t>
    </r>
    <r>
      <rPr>
        <b/>
        <u/>
        <sz val="11"/>
        <color theme="1"/>
        <rFont val="Calibri"/>
        <family val="2"/>
        <scheme val="minor"/>
      </rPr>
      <t>Exemplo: Novo Data Mart do Call Center implantado em Novembro/2011</t>
    </r>
  </si>
  <si>
    <t>Novas informações no DW, a partir de interface do sistema fonte JÁ recebida pelo DW</t>
  </si>
  <si>
    <t xml:space="preserve">Implica na criação ou alteração de tabelas e do modelo de dados para inclusão de novos campos e alteração do processo de carga dos dados nas camadas Relacional, Dimensional e Apresentação (ferramenta OLAP); 
Indique a quantidade de SISTEMAS DE ORIGEM envolvidos que será multiplicada pelo valor unitário preenchido para apurar o valor total. </t>
  </si>
  <si>
    <r>
      <t xml:space="preserve">Novas informações no DW, a partir de interface do sistema fonte AINDA NÃO enviada ao DW (não é um novo Data Mart) - </t>
    </r>
    <r>
      <rPr>
        <u/>
        <sz val="11"/>
        <rFont val="Calibri"/>
        <family val="2"/>
        <scheme val="minor"/>
      </rPr>
      <t>ALTA COMPLEXIDADE</t>
    </r>
  </si>
  <si>
    <r>
      <t xml:space="preserve">Implica no mapeamento de interface do sistema fonte; na criação ou alteração de tabelas e do modelo de dados para inclusão de novos campos e alteração do processo de carga dos dados nas camadas Relacional, Dimensional e Apresentação (ferramenta OLAP); 
Indique a quantidade de SISTEMAS DE ORIGEM envolvidos que será multiplicada pelo valor unitário preenchido para apurar o valor total. </t>
    </r>
    <r>
      <rPr>
        <b/>
        <u/>
        <sz val="11"/>
        <color theme="1"/>
        <rFont val="Calibri"/>
        <family val="2"/>
        <scheme val="minor"/>
      </rPr>
      <t>Exemplo: Incluir as informação de Cliente da R2 no Data Mart de Cliente atual, que só tem Clientes da R1 - o DW terá que ler o Sistema Origem SAC</t>
    </r>
    <r>
      <rPr>
        <sz val="11"/>
        <color theme="1"/>
        <rFont val="Calibri"/>
        <family val="2"/>
        <scheme val="minor"/>
      </rPr>
      <t xml:space="preserve"> </t>
    </r>
  </si>
  <si>
    <r>
      <t xml:space="preserve">Novas informações no DW, a partir de interface do sistema fonte AINDA NÃO enviada ao DW (não é um novo Data Mart) - </t>
    </r>
    <r>
      <rPr>
        <u/>
        <sz val="11"/>
        <rFont val="Calibri"/>
        <family val="2"/>
        <scheme val="minor"/>
      </rPr>
      <t>BAIXA COMPLEXIDADE</t>
    </r>
  </si>
  <si>
    <r>
      <t xml:space="preserve">Implica no mapeamento de interface do sistema fonte; na criação ou alteração de tabelas e do modelo de dados para inclusão de novos campos e alteração do processo de carga dos dados nas camadas Relacional, Dimensional e Apresentação (ferramenta OLAP); 
Indique a quantidade de SISTEMAS DE ORIGEM envolvidos que será multiplicada pelo valor unitário preenchido para apurar o valor total. </t>
    </r>
    <r>
      <rPr>
        <b/>
        <u/>
        <sz val="11"/>
        <color theme="1"/>
        <rFont val="Calibri"/>
        <family val="2"/>
        <scheme val="minor"/>
      </rPr>
      <t>Exemplo:  Sistemas menores, poucas novas interfaces;</t>
    </r>
  </si>
  <si>
    <t>Alteração regra de negócio implementada</t>
  </si>
  <si>
    <t>Implica na solicitação de uma alteração na regra de negócio implementada no DW;
Indique a quantidade de regras de negócio alteradas  que será multiplicada pelo valor unitário preenchido para apurar o valor total. Exemplo: O cliente pode pedir para excluir um tipo de Cliente do somatório produzido pelo DW atualmente.</t>
  </si>
  <si>
    <t>Criação de Relatórios na ferramenta de Apresentação com dados já existentes</t>
  </si>
  <si>
    <t>Implica na criação de um novo objeto da Apresentação (ferramenta SAS ou BO); Indique a quantidade de relatórios pré-definidos novos que será multiplicada pelo valor unitário preenchido para apurar o valor total.</t>
  </si>
  <si>
    <t>Criação de Extrator (arquivo texto) a partir de informações já existentes no DW</t>
  </si>
  <si>
    <t>Implica em criação e automatização de processo de carga e criação de estrutura de controle de carga para cada Extrator disponibilizado; Indique a quantidade de extratores novos que será multiplicada pelo valor unitário preenchido para apurar o valor total.</t>
  </si>
  <si>
    <t>Impacta Pré-Pago</t>
  </si>
  <si>
    <t>Criação de Bolso</t>
  </si>
  <si>
    <r>
      <t xml:space="preserve">Configuração e testes com DW. </t>
    </r>
    <r>
      <rPr>
        <b/>
        <sz val="11"/>
        <rFont val="Calibri"/>
        <family val="2"/>
        <scheme val="minor"/>
      </rPr>
      <t>Instrução: O Analista de Negócio deve perguntar se tem Bolso e a quantidade de bolsos novos.</t>
    </r>
  </si>
  <si>
    <t>Alteração em categoria existente na contabilidade</t>
  </si>
  <si>
    <t>Alto esforço de testes com massa de um dia de produção</t>
  </si>
  <si>
    <t>Criação de nova categoria contábil</t>
  </si>
  <si>
    <t>Criação de OS's (para calculo de Interfaces) CRM -&gt; Sistema de Pré-pago -&gt; Plataforma de Pré-pago</t>
  </si>
  <si>
    <t>Há necessidade de trafegar informações do CRM para a Plataforma de Pré-pago - Desenvolvimento envolvendo criação de duas interfaces (uma de entrada para ser consumida pelo SIS e uma de saída com a Plataforma)</t>
  </si>
  <si>
    <t>Alteração de OS's (para calculo de Interfaces) CRM -&gt; Sistema de Pré-pago -&gt; Plataforma de Pré-pago</t>
  </si>
  <si>
    <t xml:space="preserve">Criação de relatórios  (para calculo de extratores para DW) </t>
  </si>
  <si>
    <t xml:space="preserve">Para o DW implica na alteração da Camada ODS (estrutura de tabelas) e da Camada de Apresentação (Universo BO (Business Objects)) e na alteração do processo de carga de dados; </t>
  </si>
  <si>
    <t>Alteração de relatórios (para calculo de extratores para DW)</t>
  </si>
  <si>
    <t>Para o DW implica no mapeamento da nova interface; na alteração da Camada ODS (estrutura de tabelas) e da Camada de Apresentação (Universo BO (Business Objects)) e na alteração do processo de carga de dados</t>
  </si>
  <si>
    <t>Alteração de interface com o Cobilling/Repasse</t>
  </si>
  <si>
    <t>Exemplo: M4U, WDG</t>
  </si>
  <si>
    <t>Criação de novo parceiro de recarga</t>
  </si>
  <si>
    <t>Desenvolvimento e contratação de link</t>
  </si>
  <si>
    <t>Alteração no faturamento de parceiro de recarga</t>
  </si>
  <si>
    <t>Alto esforço de testes envolvendo Integração e SAP</t>
  </si>
  <si>
    <t>Criação de relatório no ServCel</t>
  </si>
  <si>
    <t>Normalmente o cliente explicita no requerimento</t>
  </si>
  <si>
    <t>Alteração de relatório no ServCel</t>
  </si>
  <si>
    <t>Criação de relatório no Monitor BLL ou ADM Voucher</t>
  </si>
  <si>
    <t>Alteração de relatório na Monitor BLL ou ADM Voucher</t>
  </si>
  <si>
    <t>Criação de seção no detalhamento de chamadas do pré-pago</t>
  </si>
  <si>
    <t>Alteração no detalhamento de chamadas do pré-pago</t>
  </si>
  <si>
    <t>Impacta Pré-pago</t>
  </si>
  <si>
    <t>Impacta SA3</t>
  </si>
  <si>
    <t>Somente Extração</t>
  </si>
  <si>
    <t>Extrações baseadas em informações já existentes em telas do sistema;  Indique a quantidade de extratores novos que será multiplicada pelo valor unitário preenchido para apurar o valor total.</t>
  </si>
  <si>
    <t>Extrator - somente 1 extrator com lógica e/ou batimentos</t>
  </si>
  <si>
    <t>Envolve transformações de dados.  Indique a quantidade de extratores novos que será multiplicada pelo valor unitário preenchido para apurar o valor total.</t>
  </si>
  <si>
    <t>Tratamento BackLog</t>
  </si>
  <si>
    <t>Exemplo: alteração no domínio de um campo. Baseado em histórico de outros STI's</t>
  </si>
  <si>
    <t>Redirecionamento em lote</t>
  </si>
  <si>
    <t xml:space="preserve">Necessidade do cliente fazer bypass de regras (de direcionamento de clientes/parceiros) já estabelecidas no sistema. Exemplo: redirecionamento de um lote de clientes a determinados parceiros, </t>
  </si>
  <si>
    <t>Incluir filtro em relatório (PL/SQL gerando arquivo .csv)</t>
  </si>
  <si>
    <t>Alteração de um relatório já existente com a inclusão de um campo (ex: inclusão do Nome Fantasia em relatório). Baseado em histórico de outros STI's</t>
  </si>
  <si>
    <t xml:space="preserve">Criação de Campos tramitados entre SA3 e SFAWeb. </t>
  </si>
  <si>
    <t>Quando for necessário que campos novos sejam criados em ambos os Sistemas. Indique a quantidade de campos novos que será multiplicada pelo valor unitário preenchido para apurar o valor total. Este valor já inclui o custo do SFAWeb.</t>
  </si>
  <si>
    <t>Criação de Flag tramitado entre SA3 e SFAWeb</t>
  </si>
  <si>
    <t>O flag implica também na criação de um novo fluxo.  Indique a quantidade de flags novos que será multiplicada pelo valor unitário preenchido para apurar o valor total. Este valor contempla apenas o SA3.</t>
  </si>
  <si>
    <t>Criação de Pool</t>
  </si>
  <si>
    <t xml:space="preserve">Informar a quantidade  de pools que serão  criados,  que será multiplicada pelo valor unitário preenchido para apurar o valor total. </t>
  </si>
  <si>
    <t>Impacta SFA Web</t>
  </si>
  <si>
    <t>Extratores - 1 extrator, somente Extração</t>
  </si>
  <si>
    <t>Extrações baseadas em informações já existentes em telas do sistema. Indique a quantidade de extratores novos que será multiplicada pelo valor unitário preenchido para apurar o valor total.</t>
  </si>
  <si>
    <t>Criação de Extrator - somente 1 extrator com lógica e/ou batimentos</t>
  </si>
  <si>
    <t>Inclui transformações (Ex.: Conversão de valores); Indique a quantidade de extratores novos que será multiplicada pelo valor unitário preenchido para apurar o valor total.</t>
  </si>
  <si>
    <t>Criação de Novo Módulo do Sistema</t>
  </si>
  <si>
    <t>Quando for necessário que novas abas sejam criadas no SFA. Normalmente será solicitada no máximo uma nova aba em cada STI (Exemplo Aba Conta, Oportunidade). Valor baseado em histórico de outros STI's.</t>
  </si>
  <si>
    <t>Criação de Flag de prioridade tramitado entre SA3 e SFAWeb</t>
  </si>
  <si>
    <t>Neste caso não deverá ser preenchido o item "Criação de Campos tramitados entre SA3 e SFAWeb" pois apesar de ser um campo, o flag implica também na criação de um novo fluxo.</t>
  </si>
  <si>
    <t>Integração SFAWeb com STC</t>
  </si>
  <si>
    <t>Informar a quantidade de campos novos na interface do SFAWeb com o STC.</t>
  </si>
  <si>
    <t>Integração CDI com SFAWeb</t>
  </si>
  <si>
    <t>Informar a quantidade de campos novos na interface do CDI com SFAWeb.</t>
  </si>
  <si>
    <t>Tratamento de Backlog</t>
  </si>
  <si>
    <t>Exemplo: alteração no domínio de um campo</t>
  </si>
  <si>
    <t>Novo relatório no Analytcs</t>
  </si>
  <si>
    <t>Baseado em histórico de outros STI's</t>
  </si>
  <si>
    <t>Inclusão de campos em Pick-List (até 5 campos)</t>
  </si>
  <si>
    <t>Informar a quantidade de 1 a cada 5 campos incluídos na picklist. Exemplo: Inclusão de 10 campos, informar quantidade igual a 2)</t>
  </si>
  <si>
    <t>Criação de um novo Pool com nova Regra de encaminhamento</t>
  </si>
  <si>
    <t>Informar a quantidade de acordo com quantidade de pools que estào sendo criados.</t>
  </si>
  <si>
    <t>Incluir regras com mensagem de erro impeditiva</t>
  </si>
  <si>
    <t>Regras de validação (Exemplo:  para o produto X não é permitido vender sem contrato)</t>
  </si>
  <si>
    <t>Impacta SFA Estruturante</t>
  </si>
  <si>
    <t>Integração SFA com STC</t>
  </si>
  <si>
    <t>Informar a quantidade de campos novos na interface do SFA com o STC.</t>
  </si>
  <si>
    <t>Integração CDI com SFA</t>
  </si>
  <si>
    <t>Informar a quantidade de campos novos na interface do CDI com SFA.</t>
  </si>
  <si>
    <t>Regras de validação (Exemplo: Para o produto X não é permitido vender sem contrato)</t>
  </si>
  <si>
    <t>Impacta SFA Web/ SFA Siebel 8 Estruturante</t>
  </si>
  <si>
    <t>Impacta Mediação</t>
  </si>
  <si>
    <t>Impacta Mediação - Extratores ANATEL - Criação (informar quantidade de interfaces criadas)</t>
  </si>
  <si>
    <t xml:space="preserve">Normalmente o cliente explicita no requerimento. </t>
  </si>
  <si>
    <t>Impacta Mediação - Interfaces - Criação (informar quantidade de interfaces criados)</t>
  </si>
  <si>
    <t>Impacta Mediação - Interfaces - Alteração (informar quantidade de interfaces criados alterados)</t>
  </si>
  <si>
    <t xml:space="preserve">O Analista de Negócio deve consultar o CSol. </t>
  </si>
  <si>
    <t>Impacta Mediação - Elementos de Rede (informar quantidade de elementos de rede alterados ou criados - valor unitário inclui a Licença de CDR View)</t>
  </si>
  <si>
    <t>Normalmente o cliente explicita no requerimento. 80% das demandas que impactam Mediação são tratadas de forma simplificada (média de 1000 horas). Para este cálculo foi utilizado 1000 horas x Hora média de Fábrica (R$ 76,46)</t>
  </si>
  <si>
    <t>Impacta SAP</t>
  </si>
  <si>
    <t>Criação de empresa somente com FI/CO</t>
  </si>
  <si>
    <t>Criação de empresa com outros módulos</t>
  </si>
  <si>
    <t>Criação de centro logístico</t>
  </si>
  <si>
    <t>Criação de banco/cta corrente</t>
  </si>
  <si>
    <t xml:space="preserve">Criação de relatórios </t>
  </si>
  <si>
    <t>Criação de cubos no BW</t>
  </si>
  <si>
    <t>Criação de ordem de venda</t>
  </si>
  <si>
    <t>Criação de cargas ou extratores (interfaces)</t>
  </si>
  <si>
    <t>Criação de produtos no CFM</t>
  </si>
  <si>
    <t>Criação de tipo de pedido de compras</t>
  </si>
  <si>
    <t>Criação de canais de venda</t>
  </si>
  <si>
    <t>Alteração de configuração simples</t>
  </si>
  <si>
    <t>Alteração de configuração média</t>
  </si>
  <si>
    <t>Alteração de configuração complexa</t>
  </si>
  <si>
    <t>Desenvolvimento de Exits/Regras</t>
  </si>
  <si>
    <t>Treinamento</t>
  </si>
  <si>
    <t xml:space="preserve">Impacto Inventário de Rede </t>
  </si>
  <si>
    <t>[Granite] Sistema Inventário R1</t>
  </si>
  <si>
    <t>Migração Objetos  (Tipo de Objetos)</t>
  </si>
  <si>
    <t>Migração de Dados em diversos tipos de Objetos do sistema Granite</t>
  </si>
  <si>
    <t>Modelagem de Objetos (QTD de Objetos)</t>
  </si>
  <si>
    <t>Modelagem de Objetos no Sistema (Objetos,  atributos, UDA's, etc)</t>
  </si>
  <si>
    <t>Alteração de relatórios</t>
  </si>
  <si>
    <t xml:space="preserve">Modificação dos plugins de Validação </t>
  </si>
  <si>
    <t>Alteração no elementos responsáveis pelas validações internas do sistemas</t>
  </si>
  <si>
    <t>Alteração na Regra de Designação</t>
  </si>
  <si>
    <t>Alteração no processo responsável pela designação de portas</t>
  </si>
  <si>
    <t>[Objectel] Sistema Inventário R2</t>
  </si>
  <si>
    <t>Alteração de Package</t>
  </si>
  <si>
    <t>Migrar os DSLAM's, disponibilizados da gerência antiga para a nova</t>
  </si>
  <si>
    <t>Criar Nova Gerência na Picklist de Equipamento Funional</t>
  </si>
  <si>
    <t>Alterar a trigger para atualizar o ASAP quando migrar DSLAM</t>
  </si>
  <si>
    <t>Testes</t>
  </si>
  <si>
    <t>Cadastrar a Nova Gerência e configurar para convive</t>
  </si>
  <si>
    <t>Impacto de OSS Aprovisionamento</t>
  </si>
  <si>
    <t>[SIS-ATIVACAO] Sistema Aprovisionamento</t>
  </si>
  <si>
    <t>Desenvolvimento - Conectores (Simples)</t>
  </si>
  <si>
    <t>Os calculos são baseados em (valor construcao * hora gestao * valor contratual)</t>
  </si>
  <si>
    <t>Desenvolvimento - Conectores (Medio)</t>
  </si>
  <si>
    <t>Desenvolvimento - Conectores (Complexo)</t>
  </si>
  <si>
    <t>Desenvolvimento - Adaptadores (Simples)</t>
  </si>
  <si>
    <t>Desenvolvimento - Adaptadores (Medio)</t>
  </si>
  <si>
    <t>Desenvolvimento - Adaptadores (Complexo)</t>
  </si>
  <si>
    <t>Desenvolvimento - Regras Tradução/Enriq./Validação (Simples)</t>
  </si>
  <si>
    <t>Desenvolvimento - Regras Workflow (Simples)</t>
  </si>
  <si>
    <t>Desenvolvimento - Regras Tradução/Enriq./Validação (Medio)</t>
  </si>
  <si>
    <t>Desenvolvimento - Regras Workflow (Medio)</t>
  </si>
  <si>
    <t>Desenvolvimento - Regras Tradução/Enriq./Validação (Complexo)</t>
  </si>
  <si>
    <t>Desenvolvimento - Regras Workflow (Complexo)</t>
  </si>
  <si>
    <t>Configuração de Serviços (Simples)</t>
  </si>
  <si>
    <t>Configuração de Serviços (Medio)</t>
  </si>
  <si>
    <t>Configuração de Serviços (Complexo)</t>
  </si>
  <si>
    <t>Criação de Serviços (Simples)</t>
  </si>
  <si>
    <t>Criação de Serviços (Medio)</t>
  </si>
  <si>
    <t>Criação de Serviços (Complexo)</t>
  </si>
  <si>
    <t>Teste de Sistema</t>
  </si>
  <si>
    <t>Teste Integrado</t>
  </si>
  <si>
    <t>UAT</t>
  </si>
  <si>
    <t>Teste de Performance</t>
  </si>
  <si>
    <t>Suporte a testes</t>
  </si>
  <si>
    <t>[Consulta Plataformas] Sistema de consulta de números/chip</t>
  </si>
  <si>
    <t>Inclusão de Plataformas</t>
  </si>
  <si>
    <t>Inclusão de campos (Simples)</t>
  </si>
  <si>
    <t>Inclusão de campos (Médio)</t>
  </si>
  <si>
    <t>Inclusão de campos (Complexo)</t>
  </si>
  <si>
    <t>[MNO] Sistema de Designação de Números (MSISDN)</t>
  </si>
  <si>
    <t>Configuração de base</t>
  </si>
  <si>
    <t>Testes (TS, TI, UAT e TP)</t>
  </si>
  <si>
    <t>[ASAP-Móvel] Sistema de Aprovisionamento Móvel R2</t>
  </si>
  <si>
    <t>Configurar nova Plataforma</t>
  </si>
  <si>
    <t>Criar novo conector de rede</t>
  </si>
  <si>
    <t>Elaborar Script (simples)</t>
  </si>
  <si>
    <t>Elaborar Script (médio)</t>
  </si>
  <si>
    <t>Elaborar Script (complexo)</t>
  </si>
  <si>
    <t>Inclusão de novos comandos (simples)</t>
  </si>
  <si>
    <t>Conta é relacionado aos dias de testes (2 horas por dia * quantidade de dias)</t>
  </si>
  <si>
    <t>Inclusão de novos comandos (médio)</t>
  </si>
  <si>
    <t>Inclusão de novos comandos (complexo)</t>
  </si>
  <si>
    <t>Alteração de comandos (simples)</t>
  </si>
  <si>
    <t>Alteração de comandos (médio)</t>
  </si>
  <si>
    <t>Alteração de comandos (complexo)</t>
  </si>
  <si>
    <t>[MASC] Sistema de Aprovisionamento de Fixa R2</t>
  </si>
  <si>
    <t>Desenvolvimento Conectores</t>
  </si>
  <si>
    <t>[Activator] Sistema de Aprovisionamento de Dados R1</t>
  </si>
  <si>
    <t>Criar TechPack</t>
  </si>
  <si>
    <t>Criar Service Pack</t>
  </si>
  <si>
    <t>Alterar Script TechPack</t>
  </si>
  <si>
    <t>Alterar Script Service Pack (simples)</t>
  </si>
  <si>
    <t>Alterar Script Service Pack (médio)</t>
  </si>
  <si>
    <t>Alterar Script Service Pack (complexo)</t>
  </si>
  <si>
    <t>Alterar data Bundle</t>
  </si>
  <si>
    <t>Alterar regras de validação</t>
  </si>
  <si>
    <t>Alteração runtime</t>
  </si>
  <si>
    <t>Testar serviços de Aprovisionamento</t>
  </si>
  <si>
    <t>[ASAP-Dados] Sistema de Aprovisionamento de Dados R2</t>
  </si>
  <si>
    <t>Configurar nova Gerência</t>
  </si>
  <si>
    <t>Testar liberaçao de DSLAM</t>
  </si>
  <si>
    <t>[ASAP-FCR] Sistema de Aprovisionamento de Dados R2 Para TT</t>
  </si>
  <si>
    <t>Desenvolvimento Conecteores</t>
  </si>
  <si>
    <t>[SRDT] Sistema de Reconciliação R2</t>
  </si>
  <si>
    <t>Modificar nova regra de batimento (simples)</t>
  </si>
  <si>
    <t>Modificar nova regra de batimento (medio)</t>
  </si>
  <si>
    <t>Modificar nova regra de batimento (complexo)</t>
  </si>
  <si>
    <t>Executar Teste com a Gerencia</t>
  </si>
  <si>
    <t>Executar Teste com o Inventário</t>
  </si>
  <si>
    <t>Validar Relatórios de Batimento</t>
  </si>
  <si>
    <t>Impacto OSS Aprovisionamento</t>
  </si>
  <si>
    <t>Impacto Workflow de Dados</t>
  </si>
  <si>
    <t>[Expediter] Sistema de Workflow R1</t>
  </si>
  <si>
    <t>Criação de Interface - Complexidade Alta</t>
  </si>
  <si>
    <t>Criação de Interface - Complexidade Média</t>
  </si>
  <si>
    <t>Criação de Interface - Complexidade Baixa</t>
  </si>
  <si>
    <t>Alteração ou Remoção de Interface - Complexidade Alta</t>
  </si>
  <si>
    <t>Alteração ou Remoção de Interface - Complexidade Média</t>
  </si>
  <si>
    <t>Alteração ou Remoção de Interface - Complexidade Baixa</t>
  </si>
  <si>
    <t>Criação de Fluxo - Complexidade Alta</t>
  </si>
  <si>
    <t>Criação de Fluxo - Complexidade Média</t>
  </si>
  <si>
    <t>Criação de Fluxo - Complexidade Baixa</t>
  </si>
  <si>
    <t>Alteração ou Remoção de Fluxo - Complexidade Alta</t>
  </si>
  <si>
    <t>Alteração ou Remoção de Fluxo - Complexidade Média</t>
  </si>
  <si>
    <t>Alteração ou Remoção de Fluxo - Complexidade Baixa</t>
  </si>
  <si>
    <t>Criação de Regra / Validação - Complexidade Alta</t>
  </si>
  <si>
    <t>Criação de Regra / Validação - Complexidade Média</t>
  </si>
  <si>
    <t>Criação de Regra / Validação - Complexidade Baixa</t>
  </si>
  <si>
    <t>Alteração ou Remoção de Regra / Validação - Complexidade Alta</t>
  </si>
  <si>
    <t>Alteração ou Remoção de Regra / Validação - Complexidade Média</t>
  </si>
  <si>
    <t>Alteração ou Remoção de Regra / Validação - Complexidade Baixa</t>
  </si>
  <si>
    <t>Criação de Tela / Relatório - Complexidade Alta</t>
  </si>
  <si>
    <t>Criação de Tela / Relatório - Complexidade Média</t>
  </si>
  <si>
    <t>Criação de Tela / Relatório - Complexidade Baixa</t>
  </si>
  <si>
    <t>Alteração ou Remoção de Tela / Relatório - Complexidade Alta</t>
  </si>
  <si>
    <t>Alteração ou Remoção de Tela / Relatório - Complexidade Média</t>
  </si>
  <si>
    <t>Alteração ou Remoção de Tela / Relatório - Complexidade Baixa</t>
  </si>
  <si>
    <t>Criação de Formulário - Complexidade Alta</t>
  </si>
  <si>
    <t>Criação de Formulário - Complexidade Média</t>
  </si>
  <si>
    <t>Criação de Formulário - Complexidade Baixa</t>
  </si>
  <si>
    <t>Alteração ou Remoção de Formulário - Complexidade Alta</t>
  </si>
  <si>
    <t>Alteração ou Remoção de Formulário - Complexidade Média</t>
  </si>
  <si>
    <t>Alteração ou Remoção de Formulário - Complexidade Baixa</t>
  </si>
  <si>
    <t>Criação de Estruturas da Ordem  - Complexidade Alta</t>
  </si>
  <si>
    <t>Criação de Estruturas da Ordem - Complexidade Média</t>
  </si>
  <si>
    <t>Criação de Estruturas da Ordem - Complexidade Baixa</t>
  </si>
  <si>
    <t>Alteração ou Remoção de Estruturas da Ordem - Complexidade Alta</t>
  </si>
  <si>
    <t>Alteração ou Remoção de Estruturas da Ordem - Complexidade Média</t>
  </si>
  <si>
    <t>Alteração ou Remoção de Estruturas da Ordem - Complexidade Baixa</t>
  </si>
  <si>
    <t>[OMS] Sistema de Workflow R2</t>
  </si>
  <si>
    <t>Alteração de Fluxo - Complexidade Alta</t>
  </si>
  <si>
    <t>Alteração de Fluxo - Complexidade Média</t>
  </si>
  <si>
    <t>Alteração de Fluxo - Complexidade Baixa</t>
  </si>
  <si>
    <t>Criar Notificação de Interface</t>
  </si>
  <si>
    <t>Criação de Regra - Complexidade Alta</t>
  </si>
  <si>
    <t>Criação de Regra - Complexidade Média</t>
  </si>
  <si>
    <t>Criação de Regra - Complexidade Baixa</t>
  </si>
  <si>
    <t>Alteração nos elementos de dados</t>
  </si>
  <si>
    <t>Alteração de relatórios - Complexidade Alta</t>
  </si>
  <si>
    <t>Alteração de relatórios - Complexidade Média</t>
  </si>
  <si>
    <t>Alteração de relatórios - Complexidade Baixa</t>
  </si>
  <si>
    <t>Criação e validação de instância da aplicação do OMS</t>
  </si>
  <si>
    <t>Criar documentação para montagem do ambiente do OMS</t>
  </si>
  <si>
    <t>Impacto OSS Workflow de Dados</t>
  </si>
  <si>
    <t>Impacta Cobrança e Crédito</t>
  </si>
  <si>
    <t>Inclusão de Hook no Transact</t>
  </si>
  <si>
    <t>Testes analise de credito Transact</t>
  </si>
  <si>
    <t>Qtde de dias de teste</t>
  </si>
  <si>
    <t>Testes cenário de cobrança/parcelamento ICS</t>
  </si>
  <si>
    <t>Inclusão de carta de cobrança - Printcenter</t>
  </si>
  <si>
    <t>Qtde de cartas</t>
  </si>
  <si>
    <t xml:space="preserve">Inclusão de variável de estratégia - contexto cenário </t>
  </si>
  <si>
    <t>Qtde de variaveis</t>
  </si>
  <si>
    <t>Inclusão de variável de estratégia - todos contextos ICS</t>
  </si>
  <si>
    <t>Extração/Interface novas de Inadimplencia no ICS</t>
  </si>
  <si>
    <t>Qualquer outro sistema além dos descritos acima</t>
  </si>
  <si>
    <r>
      <rPr>
        <b/>
        <sz val="11"/>
        <rFont val="Calibri"/>
        <family val="2"/>
        <scheme val="minor"/>
      </rPr>
      <t>EXPANDA O ITEM</t>
    </r>
    <r>
      <rPr>
        <sz val="11"/>
        <rFont val="Calibri"/>
        <family val="2"/>
        <scheme val="minor"/>
      </rPr>
      <t xml:space="preserve"> e insira os sistemas com seus respectivos valores</t>
    </r>
  </si>
  <si>
    <t>Impacta Integração (SOA/Informática, etc)</t>
  </si>
  <si>
    <t>Trocas de dados / integrações mapeadas</t>
  </si>
  <si>
    <t>Nº de Integrações x 250h. (média/hora Fábrica = R$ 100,00). Caso não tenha conhecimento do número de integrações, informe no campo abaixo o número de Sistemas.</t>
  </si>
  <si>
    <t>Por Sistemas (Caso não informe o campo acima)</t>
  </si>
  <si>
    <t>Escolher conforme opções oferecidas. Se for menor ou igual a 3, será somado 20% do valor total do desenvolvimento, se for igual a 4, será somado 15% do valor total do desenvolvimento e se for maior ou igual a 5, será somado 13% do valor total do desenvolvimento.</t>
  </si>
  <si>
    <t>Implica na garantia de fluxo de informações entre sistemas. Se sim, expanda o item.</t>
  </si>
  <si>
    <r>
      <t xml:space="preserve">Sistemas efetuando Teste Integrado.
</t>
    </r>
    <r>
      <rPr>
        <b/>
        <sz val="11"/>
        <rFont val="Calibri"/>
        <family val="2"/>
        <scheme val="minor"/>
      </rPr>
      <t>Não</t>
    </r>
    <r>
      <rPr>
        <sz val="11"/>
        <rFont val="Calibri"/>
        <family val="2"/>
        <scheme val="minor"/>
      </rPr>
      <t xml:space="preserve"> preeencher para DW.</t>
    </r>
  </si>
  <si>
    <t>Se a demanda envolver mais de um sistema, preencher Sim. Será acrescentado 20% do valor do desenvolvimento.</t>
  </si>
  <si>
    <t>Testes com URA</t>
  </si>
  <si>
    <t>URA não é sistema de responsabilidade de TI, cada serviço que deva ser testado, consome 16 horas</t>
  </si>
  <si>
    <t>Critérios de aceitação adicionais</t>
  </si>
  <si>
    <t>Cenários de UAT fora do escopo da demanda. Consultar equipe da Gestão de Testes</t>
  </si>
  <si>
    <t>Testes em sistemas de Segurança da Informação</t>
  </si>
  <si>
    <t>Haverá aquisição de ferramentas via Suprimentos?</t>
  </si>
  <si>
    <t>Se houver, digite S. Entretanto, não há como calcular estimativa, pois o custo da ferramenta pode variar e não é possível o uso de base histórica. O custo é conhecido somente em tempo de Proposta. O cliente apenas estará ciente de que haverá esse custo.</t>
  </si>
  <si>
    <t>Infraestrutura</t>
  </si>
  <si>
    <t>Qtde. Servidor(s) Entry Level</t>
  </si>
  <si>
    <t>Será multiplicado o numero de servidores pelo valor do peso para indicar a pontuação que posteriormente será traduzida em valores monetários.</t>
  </si>
  <si>
    <t>Qtde. Servidor(s) Mid Range</t>
  </si>
  <si>
    <t>Qtde. Servidor(s) High End</t>
  </si>
  <si>
    <t>Cores RISC</t>
  </si>
  <si>
    <t xml:space="preserve">1 TB de Storage </t>
  </si>
  <si>
    <t>Qtde Licença(s) CITRIX</t>
  </si>
  <si>
    <t>Alta Disponibilidade</t>
  </si>
  <si>
    <t>Dobrar o número de servidores e demais recursos</t>
  </si>
  <si>
    <t>Disaster Recovery</t>
  </si>
  <si>
    <t>somar 200</t>
  </si>
  <si>
    <t>SWs de uso controlado - licenciado a parte</t>
  </si>
  <si>
    <t>Aquisição de licenças interfere diretamente no custo do projeto.</t>
  </si>
  <si>
    <t>Solução requer uso de certificado digital ?</t>
  </si>
  <si>
    <t>Monitoração de Negócio</t>
  </si>
  <si>
    <t>Operação da Solução</t>
  </si>
  <si>
    <t>Acompanhamento da Produção</t>
  </si>
  <si>
    <t>Construção de Cadeias de Transmissão/Execução automatizada</t>
  </si>
  <si>
    <t>Neste caso o ponto focal de infraestrutura deverá ser contatado para auxiliar na estimativa de esforço</t>
  </si>
  <si>
    <t>Envolver Integração de Infraestrutura e Operação</t>
  </si>
  <si>
    <t>Valor (Em R$ K)</t>
  </si>
  <si>
    <t>Impacta Infraestrutura?</t>
  </si>
  <si>
    <t>Valor Final (Em R$ K)</t>
  </si>
  <si>
    <t>Atenção! A solicitação passou de 500K. É necessário o preenchimento da aba "Fórum Especializado". Clique ao lado &gt;</t>
  </si>
  <si>
    <t>Sistema Principal</t>
  </si>
  <si>
    <t>Líder Técnico Envolvido</t>
  </si>
  <si>
    <t>Sistemas Impactados</t>
  </si>
  <si>
    <t>Responsáveis Técnicos Envolvidos</t>
  </si>
  <si>
    <t>Soma de Resultado (Soma dos valores)</t>
  </si>
  <si>
    <t>Máx de Tempo de Desenvolv. (Meses)</t>
  </si>
  <si>
    <t>Total Geral</t>
  </si>
  <si>
    <t>DW e Sistemas fonte</t>
  </si>
  <si>
    <t>Critérios - DW</t>
  </si>
  <si>
    <t>Sistemas fonte</t>
  </si>
  <si>
    <t>Visão unificada do cliente e endereço  (fixa, móvel e dados).  Possui a posição atual e histórica do cliente e meio do acesso (dados pessoais, segmentação, ativação, cancelamento, migrações de plano, etc).</t>
  </si>
  <si>
    <t>Siebel 6.3, Siebel 8, STC e CDI</t>
  </si>
  <si>
    <t>Ordens de serviço e reparo de Fixo e Circuitos.</t>
  </si>
  <si>
    <t>STC</t>
  </si>
  <si>
    <t>Histórico de adesão de planos e contratos de longa distância, status do contrato e beneficiários do contrato</t>
  </si>
  <si>
    <t>MPN</t>
  </si>
  <si>
    <t>Controle de estoque de chip e aparelhos nos PDVs.</t>
  </si>
  <si>
    <t>SAP</t>
  </si>
  <si>
    <t>Histórico Portabilidade  Numérica das Operadoras</t>
  </si>
  <si>
    <t>BDO</t>
  </si>
  <si>
    <t>Tráfego de chamadas de voz que cursaram (entrante e sainte) nas redes Fixa e Móvel</t>
  </si>
  <si>
    <t>Mediação</t>
  </si>
  <si>
    <t>Tráfego de Dados (SMS/MMS e conexões GPRS cursadas na rede móvel, tráfego de dados de conexões na rede fixa e tráfego de dados Velox e Dial IP)</t>
  </si>
  <si>
    <t>Derivação, a partir do tráfego cursado, da planta da concorrência (Terminais por Direção). Indicadores de ativação e cancelamento da concorrência.</t>
  </si>
  <si>
    <t>DW</t>
  </si>
  <si>
    <t>Visão única (fixa e móvel) de faturamento e de arrecadação</t>
  </si>
  <si>
    <t>Arbor, SISRAF e SISRED</t>
  </si>
  <si>
    <t>Tráfego faturado de fixo e móvel, com segregação do que ficou dentro e fora da franquia (pós pagos) e do que consumiu de bônus (Pré-Pago)</t>
  </si>
  <si>
    <t>Arbor, SISRAF e BLL</t>
  </si>
  <si>
    <t>Recargas, saldos, taxas pagas e bônus concedidos a Pré-Pagos e Oi Controles (Móvel)</t>
  </si>
  <si>
    <t>BLL</t>
  </si>
  <si>
    <t>Receita e Despesa de Roaming e Interconexão da Móvel</t>
  </si>
  <si>
    <t>Histórico de faturas retidas por motivo de inadimplência recorrente</t>
  </si>
  <si>
    <t>SISRAF</t>
  </si>
  <si>
    <t>Contestações e Parcelamento Dívida de clientes da Fixa</t>
  </si>
  <si>
    <t>Arbor e SISRAF</t>
  </si>
  <si>
    <t>Histórico das chamadas da URA (Atendimento Eletrônico) dos Call Logs  *880, *144, 10331 e 0800</t>
  </si>
  <si>
    <t>Call Logs  *880, *144, 10331 e 0800</t>
  </si>
  <si>
    <t>Histórico dos processos jurídicos e suas fases (Cadastro e Digitalização, Apuração, Estratificação, Cumprimento, Encerramento, Pagamento e Contingência) do Juizado Especial Cível (JEC) e do Cível Consumidor (CC)</t>
  </si>
  <si>
    <t>SIJUR</t>
  </si>
  <si>
    <t>Resultado do checklist de Macro Estimativa (Memória de Cálculo)</t>
  </si>
  <si>
    <t>STI</t>
  </si>
  <si>
    <t>Resposta</t>
  </si>
  <si>
    <t>Valor (Em K R$)</t>
  </si>
  <si>
    <t>Desenvolvimento</t>
  </si>
  <si>
    <t>Valor de desenvolvimento (K R$)</t>
  </si>
  <si>
    <t>Valor de infra (K R$)</t>
  </si>
  <si>
    <t>Resultado final:</t>
  </si>
  <si>
    <t>Detalhes técnicos sobre a planilha de Macro Estimativa (Memória de Cálculo)</t>
  </si>
  <si>
    <t>Os campos com * são considerados importantes</t>
  </si>
  <si>
    <t>Todos os campos que o usuário deve preencher deverão estar em verde.</t>
  </si>
  <si>
    <t>Para alterar um botão (Apagar, Resultado, Enviar e-mail, etc.) clique com o botão direito em cima do mesmo e, "Atribuir Macro" e verifique a Macro correspondente para as edições/alterações.</t>
  </si>
  <si>
    <t>Os botões foram implementados em VBA (Visual Basic For Aplications).</t>
  </si>
  <si>
    <t>A soma dos valores estão referenciados na coluna F, e geram resultados na parte final da planilha</t>
  </si>
  <si>
    <t xml:space="preserve">Na aba "Resultado", são informados os valores finais (resumidos) </t>
  </si>
  <si>
    <t>*</t>
  </si>
  <si>
    <r>
      <t xml:space="preserve">Não preencher nada informativo ao usuário na </t>
    </r>
    <r>
      <rPr>
        <u/>
        <sz val="11"/>
        <color theme="1"/>
        <rFont val="Calibri"/>
        <family val="2"/>
        <scheme val="minor"/>
      </rPr>
      <t>linha E</t>
    </r>
    <r>
      <rPr>
        <sz val="11"/>
        <color theme="1"/>
        <rFont val="Calibri"/>
        <family val="2"/>
        <scheme val="minor"/>
      </rPr>
      <t>, a mesma está dentro de uma Macro que, ao pressionar o botão "Apagar Respostas" apagarão todos os dados da linha. A linha funciona para preenchimento de respostas (S/N, ou QTD) por parte do usuário e geração de resultados na Macro Estimativa.</t>
    </r>
  </si>
  <si>
    <t>Para agrupar/desagrupar um item (Aparecer o + e - em subitens) selecione a linha que deseja agrupar/desagrupar, clique no Menu Dados, Agrupar / desagrupar</t>
  </si>
  <si>
    <t>Os itens de dropdown que estão na planilha foram implementados através do Menu Dados, Validação de Dados e foram realizadas as configurações necessárias.</t>
  </si>
  <si>
    <t>Os valores estão sempre em K (*1000), portanto, se a célula tiver na coluna de valores (K R$) com o valor 10, entende-se que é R$ 10.000,00. Quantidades e não valores, será mostrado no campo "Tipos de dados" com valor QTD</t>
  </si>
  <si>
    <t>Ao implementar uma nova versão, verifique as fórmulas nas células e as referências nas criações de novas linhas, com a finalidade de evitar inconsistências nos resultados.</t>
  </si>
  <si>
    <r>
      <rPr>
        <b/>
        <sz val="11"/>
        <color theme="1"/>
        <rFont val="Calibri"/>
        <family val="2"/>
        <scheme val="minor"/>
      </rPr>
      <t>Lembre-se</t>
    </r>
    <r>
      <rPr>
        <sz val="11"/>
        <color theme="1"/>
        <rFont val="Calibri"/>
        <family val="2"/>
        <scheme val="minor"/>
      </rPr>
      <t>: Sempre que baixar a planilha, não se esqueça de Habilitar Edição e Habilitar as Macros (Faixa amarela na parte superior da planilha). Assim, evitarão erros futuros com a não permissão de inserção de dados.</t>
    </r>
  </si>
  <si>
    <t>S</t>
  </si>
  <si>
    <t>CSOL</t>
  </si>
  <si>
    <t>&lt;=3</t>
  </si>
  <si>
    <t>SIS_ID</t>
  </si>
  <si>
    <t>Sistema</t>
  </si>
  <si>
    <t>FG_VISIVEL</t>
  </si>
  <si>
    <t>N</t>
  </si>
  <si>
    <t>AN/CSOL</t>
  </si>
  <si>
    <t>AAF</t>
  </si>
  <si>
    <t>Accenture Torre II CRM/Fat e Integração</t>
  </si>
  <si>
    <t>AN</t>
  </si>
  <si>
    <t>&gt;=5</t>
  </si>
  <si>
    <t>ABC / ABD</t>
  </si>
  <si>
    <t>Accenture torre IV OSS</t>
  </si>
  <si>
    <t>ACCESS MANAGER</t>
  </si>
  <si>
    <t>IBM Torre I CICLO DA RECEITA E MEDIACAO</t>
  </si>
  <si>
    <t>ACM</t>
  </si>
  <si>
    <t>IBM Torre VII - BI</t>
  </si>
  <si>
    <t>ADMDADOS</t>
  </si>
  <si>
    <t>CPM Braxis</t>
  </si>
  <si>
    <t>ADMINISTRADOR DE TARIFAS MÓVEL</t>
  </si>
  <si>
    <t>Metatron</t>
  </si>
  <si>
    <t>AGENDA COMPARTILHADA</t>
  </si>
  <si>
    <t>WEDO</t>
  </si>
  <si>
    <t>AIS Auditoria</t>
  </si>
  <si>
    <t>OBJECTIVE SERVICOS DE TI LTDA</t>
  </si>
  <si>
    <t>Angra</t>
  </si>
  <si>
    <t>SYNOS CONSULTORIA E INFORMATICA LTDA (ALGAR)</t>
  </si>
  <si>
    <t>Angra - DS TI</t>
  </si>
  <si>
    <t>PTI</t>
  </si>
  <si>
    <t>Anti-Fraude (FMS/SIS)</t>
  </si>
  <si>
    <t>3CON</t>
  </si>
  <si>
    <t>Applicare</t>
  </si>
  <si>
    <t>Aitec do Brasil SA</t>
  </si>
  <si>
    <t>Arbor</t>
  </si>
  <si>
    <t>ASGA</t>
  </si>
  <si>
    <t>Arbor &gt; Abono</t>
  </si>
  <si>
    <t>Cleartech</t>
  </si>
  <si>
    <t>Arbor &gt; Ajuste Genérico</t>
  </si>
  <si>
    <t>Comverse</t>
  </si>
  <si>
    <t>Arbor &gt; Archive</t>
  </si>
  <si>
    <t>CPqD Projetos</t>
  </si>
  <si>
    <t>Arbor &gt; Arrecadação</t>
  </si>
  <si>
    <t>CSC BRASIL - Fabrica de software</t>
  </si>
  <si>
    <t>Arbor &gt; Atf</t>
  </si>
  <si>
    <t>EJH</t>
  </si>
  <si>
    <t>Arbor &gt; Bifweb Arbor</t>
  </si>
  <si>
    <t>Ericsson</t>
  </si>
  <si>
    <t>Arbor &gt; Conta Única</t>
  </si>
  <si>
    <t>Experian</t>
  </si>
  <si>
    <t>Arbor &gt; Contabilidade</t>
  </si>
  <si>
    <t>FIXTI - Soluções em Tecnologia da Informação LTDA</t>
  </si>
  <si>
    <t>Arbor &gt; Contestação</t>
  </si>
  <si>
    <t>Global Web</t>
  </si>
  <si>
    <t>Arbor &gt; Controle De Custos</t>
  </si>
  <si>
    <t>Grupo Meta</t>
  </si>
  <si>
    <t>Arbor &gt; Cotar</t>
  </si>
  <si>
    <t>HP Brasil</t>
  </si>
  <si>
    <t>Arbor &gt; Customer Center</t>
  </si>
  <si>
    <t>Kyros</t>
  </si>
  <si>
    <t>Arbor &gt; Decurso De Prazo</t>
  </si>
  <si>
    <t>LG Sistemas</t>
  </si>
  <si>
    <t>Arbor - DS TI</t>
  </si>
  <si>
    <t>Maxprocess</t>
  </si>
  <si>
    <t>Arbor &gt; Faturamento</t>
  </si>
  <si>
    <t>Neogrid</t>
  </si>
  <si>
    <t>Arbor &gt; Impostos E Taxas</t>
  </si>
  <si>
    <t>NEWCOM</t>
  </si>
  <si>
    <t>Arbor &gt; Loader</t>
  </si>
  <si>
    <t>Nilram Engenharia Consultiva Ltda</t>
  </si>
  <si>
    <t>Arbor &gt; Multas E Juros</t>
  </si>
  <si>
    <t>NTT Data Brasil.</t>
  </si>
  <si>
    <t>Arbor &gt; Oi Controle</t>
  </si>
  <si>
    <t>Oracle</t>
  </si>
  <si>
    <t>Arbor &gt; Relatórios Arbor</t>
  </si>
  <si>
    <t>OSX Telecom - Visent</t>
  </si>
  <si>
    <t>Arbor &gt; Seleção Proforma</t>
  </si>
  <si>
    <t>PERLINK</t>
  </si>
  <si>
    <t>Arbor &gt; Tarifação</t>
  </si>
  <si>
    <t>Procwork</t>
  </si>
  <si>
    <t>Arbor &gt; Write Off</t>
  </si>
  <si>
    <t>PROOF</t>
  </si>
  <si>
    <t>Arbor &gt; 2ª Via</t>
  </si>
  <si>
    <t>Royal Consultores Ltda</t>
  </si>
  <si>
    <t>Arbor Extratores do Repasse</t>
  </si>
  <si>
    <t>SENIOR</t>
  </si>
  <si>
    <t>Arbor Fixa</t>
  </si>
  <si>
    <t>Software Express</t>
  </si>
  <si>
    <t>Arbor Móvel</t>
  </si>
  <si>
    <t>SQUADRA</t>
  </si>
  <si>
    <t>Arbor Móvel-Fixa</t>
  </si>
  <si>
    <t>Suntech</t>
  </si>
  <si>
    <t>Arbor Suporte</t>
  </si>
  <si>
    <t>Takenet</t>
  </si>
  <si>
    <t>ARGUS</t>
  </si>
  <si>
    <t>Teclan Engenharia de Software Ltda.</t>
  </si>
  <si>
    <t>Arquitetura</t>
  </si>
  <si>
    <t>Teradata</t>
  </si>
  <si>
    <t>Arquitetura e Tecnologia</t>
  </si>
  <si>
    <t>TRIAD Systems</t>
  </si>
  <si>
    <t>ARS</t>
  </si>
  <si>
    <t>ARS - Mudanças</t>
  </si>
  <si>
    <t>ARS CGS</t>
  </si>
  <si>
    <t>Autorizados</t>
  </si>
  <si>
    <t>BAC</t>
  </si>
  <si>
    <t>BAO - BMC ATRIUM ORCHESTRATION</t>
  </si>
  <si>
    <t>BASE FRIA AC</t>
  </si>
  <si>
    <t>BATIMENTO SIEBELxARBOR</t>
  </si>
  <si>
    <t>BDA-OI</t>
  </si>
  <si>
    <t>BEWEB BRTCC</t>
  </si>
  <si>
    <t>BEWEB-OI</t>
  </si>
  <si>
    <t>Bll &gt; Aprovisionamento</t>
  </si>
  <si>
    <t>Bll &gt; Aprovisionamento Oi Gestor (Wsbll)</t>
  </si>
  <si>
    <t>Bll &gt; Atualização De Saldo (Batch E On-Line)</t>
  </si>
  <si>
    <t>Bll &gt; Co-Billing</t>
  </si>
  <si>
    <t>Bll &gt; Consulta Saldo - Gcc</t>
  </si>
  <si>
    <t>Bll &gt; Consulta Web</t>
  </si>
  <si>
    <t>Bll &gt; Conta Detalhada</t>
  </si>
  <si>
    <t>Bll &gt; Contabilização</t>
  </si>
  <si>
    <t>Bll &gt; Convênio 55</t>
  </si>
  <si>
    <t>Bll &gt; Envio Sms</t>
  </si>
  <si>
    <t>Bll &gt; Expurgo De Dados E Voucher</t>
  </si>
  <si>
    <t>Bll &gt; Extrações</t>
  </si>
  <si>
    <t>Bll &gt; Geração De Vouchers</t>
  </si>
  <si>
    <t>Bll &gt; Monitoramento Bll</t>
  </si>
  <si>
    <t>Bll &gt; Painel De Acompanhamento De Transações On-Line</t>
  </si>
  <si>
    <t>Bll &gt; Promoções</t>
  </si>
  <si>
    <t>Bll &gt; Troca De Senha</t>
  </si>
  <si>
    <t>Bo Detraf</t>
  </si>
  <si>
    <t>BO DW</t>
  </si>
  <si>
    <t>BO INTERCONEXÃO</t>
  </si>
  <si>
    <t>Boa</t>
  </si>
  <si>
    <t>BO-DW</t>
  </si>
  <si>
    <t>BROADCAST VAS &gt; BROADCAST BATCH</t>
  </si>
  <si>
    <t>BROADCAST VAS &gt; BROADCAST WEB</t>
  </si>
  <si>
    <t>BRS - BMC Reporting Service</t>
  </si>
  <si>
    <t>BUSCA 102</t>
  </si>
  <si>
    <t>Business Object</t>
  </si>
  <si>
    <t>BW</t>
  </si>
  <si>
    <t>BW BPS</t>
  </si>
  <si>
    <t>CACTI</t>
  </si>
  <si>
    <t>Cadop</t>
  </si>
  <si>
    <t>CANAL DE DENÚNCIAS - ADMINSTRATIVO</t>
  </si>
  <si>
    <t>CAPE - GESTÃO DE ANÁLISE DE DESEMPENHO</t>
  </si>
  <si>
    <t>Carga-BV</t>
  </si>
  <si>
    <t>CBILL</t>
  </si>
  <si>
    <t>Cbill &gt; Tarifação Local Bilhetado</t>
  </si>
  <si>
    <t>Cbill &gt; Tarifação Longa Distância</t>
  </si>
  <si>
    <t>Cbill &gt; Tarifação Serviços Especiais</t>
  </si>
  <si>
    <t>Ccmis</t>
  </si>
  <si>
    <t>CCURE-SAFE</t>
  </si>
  <si>
    <t>CDI</t>
  </si>
  <si>
    <t>Central CDR</t>
  </si>
  <si>
    <t>CENTRAL IPDR</t>
  </si>
  <si>
    <t>Central Ipdr</t>
  </si>
  <si>
    <t>Cequal</t>
  </si>
  <si>
    <t>CFM</t>
  </si>
  <si>
    <t>CGS DADOS</t>
  </si>
  <si>
    <t>CHC</t>
  </si>
  <si>
    <t>Cic - Escadinha</t>
  </si>
  <si>
    <t>CIREX</t>
  </si>
  <si>
    <t>Ciscoworks</t>
  </si>
  <si>
    <t>CLA - CONTROLE DE LIBERAÇÃO DE ARQUIVOS</t>
  </si>
  <si>
    <t>ClarityPPM</t>
  </si>
  <si>
    <t>CLICK</t>
  </si>
  <si>
    <t>CLOUD</t>
  </si>
  <si>
    <t>CLY</t>
  </si>
  <si>
    <t>Cly</t>
  </si>
  <si>
    <t>CMDB - INTERFACE</t>
  </si>
  <si>
    <t>CMDB - PORTAL</t>
  </si>
  <si>
    <t>CMS</t>
  </si>
  <si>
    <t>CO - Controladoria</t>
  </si>
  <si>
    <t>CO-BILLING FIXA - SGR</t>
  </si>
  <si>
    <t>Co-Billing Mainframe</t>
  </si>
  <si>
    <t>Co-Billing Suporte</t>
  </si>
  <si>
    <t>Co-Billing_Plataforma_Baixa</t>
  </si>
  <si>
    <t>COMPONENTE VAS</t>
  </si>
  <si>
    <t>Conector portabilidade</t>
  </si>
  <si>
    <t>ConfBib</t>
  </si>
  <si>
    <t>CONSELHO DE ADMINISTRAÇÃO</t>
  </si>
  <si>
    <t>Consulta CDR</t>
  </si>
  <si>
    <t>Consulta Plataformas</t>
  </si>
  <si>
    <t>CONSULTA SMS JURIDICO</t>
  </si>
  <si>
    <t>CONTA EMPRESA</t>
  </si>
  <si>
    <t>Conta Empresa</t>
  </si>
  <si>
    <t>Contratação Recurso de Teste</t>
  </si>
  <si>
    <t>Control-D</t>
  </si>
  <si>
    <t>Controle de Ativos</t>
  </si>
  <si>
    <t>Controleprod</t>
  </si>
  <si>
    <t>Control-O</t>
  </si>
  <si>
    <t>Control-R</t>
  </si>
  <si>
    <t>Control-T</t>
  </si>
  <si>
    <t>CORRESPONDÊNCIA</t>
  </si>
  <si>
    <t>Cotar</t>
  </si>
  <si>
    <t>CPL</t>
  </si>
  <si>
    <t>CRB</t>
  </si>
  <si>
    <t>Crédito por interrupção de dados - DS TI</t>
  </si>
  <si>
    <t>Crédito por interrupção de voz - DS TI</t>
  </si>
  <si>
    <t>CRM Móvel e Portais</t>
  </si>
  <si>
    <t>CRM Unificado</t>
  </si>
  <si>
    <t>C2TI</t>
  </si>
  <si>
    <t>DAF</t>
  </si>
  <si>
    <t>DATACARE</t>
  </si>
  <si>
    <t>DEVCONTAS</t>
  </si>
  <si>
    <t>DIG</t>
  </si>
  <si>
    <t>Dimensions</t>
  </si>
  <si>
    <t>Dimensions - Legado</t>
  </si>
  <si>
    <t>Dimensions/PVCS</t>
  </si>
  <si>
    <t>Dino Explorer</t>
  </si>
  <si>
    <t>DM Validation</t>
  </si>
  <si>
    <t>Dns</t>
  </si>
  <si>
    <t>DW CADASTRO</t>
  </si>
  <si>
    <t>Dw Cadastro &gt; Dw - Atendimento</t>
  </si>
  <si>
    <t>Dw Cadastro &gt; Dw - Cliente Único</t>
  </si>
  <si>
    <t>Dw Cadastro &gt; Dw - Clm</t>
  </si>
  <si>
    <t>Dw Cadastro &gt; Dw - Datacare</t>
  </si>
  <si>
    <t>Dw Cadastro &gt; Dw - Mpn</t>
  </si>
  <si>
    <t>Dw Faturamento</t>
  </si>
  <si>
    <t>DW FINANCEIRO</t>
  </si>
  <si>
    <t>Dw Financeiro &gt; Dw - Arrecadação</t>
  </si>
  <si>
    <t>Dw Financeiro &gt; Dw - Faturamento</t>
  </si>
  <si>
    <t>Dw Financeiro &gt; Dw - Pré-Pago</t>
  </si>
  <si>
    <t>Dw Financeiro &gt; Dw - Rentabilidade</t>
  </si>
  <si>
    <t>Dw Financeiro &gt; Pil</t>
  </si>
  <si>
    <t>DW GESTÃO AMBIENTE</t>
  </si>
  <si>
    <t>DW TRÁFEGO</t>
  </si>
  <si>
    <t>Dw Tráfego &gt; Dados Fixa</t>
  </si>
  <si>
    <t>Dw Tráfego &gt; Dados Móvel</t>
  </si>
  <si>
    <t>Dw Tráfego &gt; Terminais Por Direção</t>
  </si>
  <si>
    <t>Dw Tráfego &gt; Voz Fixa</t>
  </si>
  <si>
    <t>Dw Tráfego &gt; Voz Móvel</t>
  </si>
  <si>
    <t>DW-Outros</t>
  </si>
  <si>
    <t>DW-Qualidade e Investigações</t>
  </si>
  <si>
    <t>DW-Suporte BO e Aplicações</t>
  </si>
  <si>
    <t>EASY-IRPJ</t>
  </si>
  <si>
    <t>e-CDR</t>
  </si>
  <si>
    <t>E-Health AR</t>
  </si>
  <si>
    <t>EMISSÃO DE 2º VIA NO PORTAL</t>
  </si>
  <si>
    <t>Engenharia - Tadig</t>
  </si>
  <si>
    <t>Entirex</t>
  </si>
  <si>
    <t>Erwin</t>
  </si>
  <si>
    <t>ESCOBS / SD2</t>
  </si>
  <si>
    <t>Escobs / Sd2</t>
  </si>
  <si>
    <t>ESPAÇO JÓIA</t>
  </si>
  <si>
    <t>ESTRATÉGIA ONLINE</t>
  </si>
  <si>
    <t>EWTRIB</t>
  </si>
  <si>
    <t>Expediter</t>
  </si>
  <si>
    <t>Fábrica RAID</t>
  </si>
  <si>
    <t>Fábrica RMS</t>
  </si>
  <si>
    <t>FAP - Filtro de Alta Performance</t>
  </si>
  <si>
    <t>FATBB</t>
  </si>
  <si>
    <t>FATBB - DS TI</t>
  </si>
  <si>
    <t>FATBB - Outsourcing BB</t>
  </si>
  <si>
    <t>FATBB - Outsourcing BB - DS TI</t>
  </si>
  <si>
    <t>FERRAMENTA DE RECUPERAÇÃO</t>
  </si>
  <si>
    <t>FGC - ARRECADAÇÃO</t>
  </si>
  <si>
    <t>FGC - CONTESTAÇÃO</t>
  </si>
  <si>
    <t>FGC - Faturamento</t>
  </si>
  <si>
    <t>FGP - Oi</t>
  </si>
  <si>
    <t>FI - AM Ativos Fixos</t>
  </si>
  <si>
    <t>FI - AP Contas a Pagar</t>
  </si>
  <si>
    <t>FI - AR Contas a Receber</t>
  </si>
  <si>
    <t>FI - BT Viagens e Fundo Fixo</t>
  </si>
  <si>
    <t>FI - GL Contabilidade</t>
  </si>
  <si>
    <t>Ficha Financeira</t>
  </si>
  <si>
    <t>Firewall_Corp_Mg</t>
  </si>
  <si>
    <t>Firewall_Corp_Rj</t>
  </si>
  <si>
    <t>Firewall_Portais_Mg</t>
  </si>
  <si>
    <t>FITI</t>
  </si>
  <si>
    <t>FI-TR-CM Tesouraria Fluxo de Caixa</t>
  </si>
  <si>
    <t>FLEXLM</t>
  </si>
  <si>
    <t>FM Disponibilidade Orçamentária</t>
  </si>
  <si>
    <t>FME Server</t>
  </si>
  <si>
    <t>FMS</t>
  </si>
  <si>
    <t>Fortuna</t>
  </si>
  <si>
    <t>FPW</t>
  </si>
  <si>
    <t>FPW PONTO</t>
  </si>
  <si>
    <t>FPW PONTO BRTCC</t>
  </si>
  <si>
    <t>FPWBI QIVIEW</t>
  </si>
  <si>
    <t>FTM - CONTROLE DE AÇÕES</t>
  </si>
  <si>
    <t>Gaap</t>
  </si>
  <si>
    <t>GAD</t>
  </si>
  <si>
    <t>GATEWAY DE PORTABILIDADE</t>
  </si>
  <si>
    <t>GCOB</t>
  </si>
  <si>
    <t>GCR</t>
  </si>
  <si>
    <t>Gcr</t>
  </si>
  <si>
    <t>GDE</t>
  </si>
  <si>
    <t>GEFI</t>
  </si>
  <si>
    <t>Geneva - DS TI</t>
  </si>
  <si>
    <t>GEOPLEX</t>
  </si>
  <si>
    <t>Ger. Ambiente E Plataformas</t>
  </si>
  <si>
    <t>Ger Arquitetura de Dados</t>
  </si>
  <si>
    <t>Ger Arrecadação e Cobrança</t>
  </si>
  <si>
    <t>Ger. Atendimento</t>
  </si>
  <si>
    <t>Ger. Capacidade Performance E Niveis De Servico</t>
  </si>
  <si>
    <t>Ger Co-Billing Fraude e Repasse</t>
  </si>
  <si>
    <t>Ger Cobrança</t>
  </si>
  <si>
    <t>Ger. Controle Operação TI</t>
  </si>
  <si>
    <t>Ger CRM RII</t>
  </si>
  <si>
    <t>Ger. Cyber Sudeste</t>
  </si>
  <si>
    <t>Ger. Cyber Sul</t>
  </si>
  <si>
    <t>Ger. Data Center E Engenharia</t>
  </si>
  <si>
    <t>Ger Desempenho de TI</t>
  </si>
  <si>
    <t>Ger DW</t>
  </si>
  <si>
    <t>Ger Faturamento</t>
  </si>
  <si>
    <t>Ger Gestao de Ambientes e Configuracao</t>
  </si>
  <si>
    <t>Ger. Integracao</t>
  </si>
  <si>
    <t>Ger Mediação, ITX e Roaming</t>
  </si>
  <si>
    <t>Ger. Monitoracao E Controles</t>
  </si>
  <si>
    <t>Ger. Operacao E Producao</t>
  </si>
  <si>
    <t>Ger Orçamento</t>
  </si>
  <si>
    <t>Ger OSS Service Assurance</t>
  </si>
  <si>
    <t>Ger Planejamento TI e Infra</t>
  </si>
  <si>
    <t>Ger Portabilidade</t>
  </si>
  <si>
    <t>Ger Portais</t>
  </si>
  <si>
    <t>Ger Processos</t>
  </si>
  <si>
    <t>Ger Release</t>
  </si>
  <si>
    <t>Ger SAP</t>
  </si>
  <si>
    <t>Ger Segurança da Informação</t>
  </si>
  <si>
    <t>Ger. Solucoes Infraestrutura</t>
  </si>
  <si>
    <t>Ger. Suporte A Software E Rede</t>
  </si>
  <si>
    <t>Ger Testes</t>
  </si>
  <si>
    <t>GERÊNCIA CHECKPOINT CONNECTRA</t>
  </si>
  <si>
    <t>Gerenciador de Interface Mainframe</t>
  </si>
  <si>
    <t>Gerencial Faturamento - DS TI</t>
  </si>
  <si>
    <t>Gestão da Capacidade TI</t>
  </si>
  <si>
    <t>GESTÃO DE TARIFAÇÃO FIXA (GTF)</t>
  </si>
  <si>
    <t>GESTÃO DE TERMINAIS DA FIXA</t>
  </si>
  <si>
    <t>GESTÃO DE TREINAMENTO</t>
  </si>
  <si>
    <t>GF</t>
  </si>
  <si>
    <t>GI</t>
  </si>
  <si>
    <t>GIC</t>
  </si>
  <si>
    <t>GIM</t>
  </si>
  <si>
    <t>GPM</t>
  </si>
  <si>
    <t>GPS WEB</t>
  </si>
  <si>
    <t>Granite</t>
  </si>
  <si>
    <t>GRIF</t>
  </si>
  <si>
    <t>Grif &gt; Base De Dados</t>
  </si>
  <si>
    <t>GRIF - DS TI</t>
  </si>
  <si>
    <t>Grif &gt; Extratores</t>
  </si>
  <si>
    <t>Grif &gt; Script Carga</t>
  </si>
  <si>
    <t>GRP</t>
  </si>
  <si>
    <t>Homologa ADM</t>
  </si>
  <si>
    <t>Hp Openview</t>
  </si>
  <si>
    <t>Hpfms</t>
  </si>
  <si>
    <t>Hpfms Fixa</t>
  </si>
  <si>
    <t>Hyperion - Grac</t>
  </si>
  <si>
    <t>Hyperion - Sigma</t>
  </si>
  <si>
    <t>Hyperion (Módulo de planejamento receita das UNs)</t>
  </si>
  <si>
    <t>Hyperion Nova Oi</t>
  </si>
  <si>
    <t>Hyperion Nova Oi &gt; Consolidação Contábil</t>
  </si>
  <si>
    <t>HYPERION NOVA OI- ORÇAMENTO CONTROLADORIA</t>
  </si>
  <si>
    <t>HYPERION NOVA OI- ORÇAMENTO CORPORATIVO</t>
  </si>
  <si>
    <t>Hyper-V</t>
  </si>
  <si>
    <t>IASOX</t>
  </si>
  <si>
    <t>IBM-OPTIM</t>
  </si>
  <si>
    <t>IBPMS</t>
  </si>
  <si>
    <t>IC ENTERPRISE</t>
  </si>
  <si>
    <t>IC SENTINEL - XFB</t>
  </si>
  <si>
    <t>ICS - Base de Faturas</t>
  </si>
  <si>
    <t>ICS - Cobrança</t>
  </si>
  <si>
    <t>Ics &gt; Limite De Crédito</t>
  </si>
  <si>
    <t>Igf</t>
  </si>
  <si>
    <t>IM Investidores</t>
  </si>
  <si>
    <t>Imc</t>
  </si>
  <si>
    <t>INFORMÁTICA - DW</t>
  </si>
  <si>
    <t>INFORMÁTICA - INTEGRAÇÃO</t>
  </si>
  <si>
    <t>INFORME DE RENDIMENTOS</t>
  </si>
  <si>
    <t>Infra - Adm Ambiente de Aplicacao</t>
  </si>
  <si>
    <t>Infra - Capac. e Performance</t>
  </si>
  <si>
    <t>Infra - Monitoração</t>
  </si>
  <si>
    <t>Infra - Produção</t>
  </si>
  <si>
    <t>Infra - Rede e Micro Informatica</t>
  </si>
  <si>
    <t>Infra - Suporte Sistemas Operacionais</t>
  </si>
  <si>
    <t>Infra - Suporte WEB</t>
  </si>
  <si>
    <t>Infra Arbor</t>
  </si>
  <si>
    <t>Infra Siebel</t>
  </si>
  <si>
    <t>Infra Soluções de Rede</t>
  </si>
  <si>
    <t>Infra Vas/WEB</t>
  </si>
  <si>
    <t>Infra Vendas/SFA</t>
  </si>
  <si>
    <t>Insite</t>
  </si>
  <si>
    <t>Integridade das Plataformas</t>
  </si>
  <si>
    <t>Interativa</t>
  </si>
  <si>
    <t>Interconexão</t>
  </si>
  <si>
    <t>INTERCONNECT (ITX)</t>
  </si>
  <si>
    <t>Interconnect (Itx) &gt; Ivr (Interviewer)</t>
  </si>
  <si>
    <t>Interconnect (Itx) &gt; Prep (Intermediate)</t>
  </si>
  <si>
    <t>IN68</t>
  </si>
  <si>
    <t>ITSM</t>
  </si>
  <si>
    <t>Japago</t>
  </si>
  <si>
    <t>JMAP</t>
  </si>
  <si>
    <t>Legados Mainframe</t>
  </si>
  <si>
    <t>LISA</t>
  </si>
  <si>
    <t>Loader Blacklist</t>
  </si>
  <si>
    <t>LOADRUNNER</t>
  </si>
  <si>
    <t>MapaRI</t>
  </si>
  <si>
    <t>Marketing Agora</t>
  </si>
  <si>
    <t>MART</t>
  </si>
  <si>
    <t>Mediação Auxílio a Lista(102) - ITA3</t>
  </si>
  <si>
    <t>Mediação Controle de Qualidade CDRs</t>
  </si>
  <si>
    <t>Mediação Disque Turismo(131) - OIFO</t>
  </si>
  <si>
    <t>MEDIAÇÃO FIXA - CALL COMPLETE (ITA3)</t>
  </si>
  <si>
    <t>MEDIAÇÃO FIXA - CALLING CARD - SCF7</t>
  </si>
  <si>
    <t>MEDIAÇÃO FIXA - COMUNICAÇÃO DE DADOS</t>
  </si>
  <si>
    <t>MEDIAÇÃO FIXA - LD MANUAL MG/ES</t>
  </si>
  <si>
    <t>MEDIAÇÃO FIXA - LDI (SCF4)</t>
  </si>
  <si>
    <t>MEDIAÇÃO FIXA - LDN (SCF2)</t>
  </si>
  <si>
    <t>MEDIAÇÃO FIXA - LOCAL (UBL2)</t>
  </si>
  <si>
    <t>MEDIAÇÃO FIXA - MM</t>
  </si>
  <si>
    <t>MEDIAÇÃO FIXA - PRÉ-FILTRO</t>
  </si>
  <si>
    <t>MEDIAÇÃO FIXA - REDE INTELIGENTE (SCF3)</t>
  </si>
  <si>
    <t>MEDIAÇÃO FIXA - REDE MULTISERVIÇOS (DIAL IP)</t>
  </si>
  <si>
    <t>MEDIAÇÃO FIXA - REDE MULTISERVIÇOS (RMS)</t>
  </si>
  <si>
    <t>MEDIAÇÃO FIXA - REDE MULTISERVIÇOS (VELOX PROV)</t>
  </si>
  <si>
    <t>MEDIAÇÃO FIXA - SERVIÇO MEDIDO (IFF1)</t>
  </si>
  <si>
    <t>MEDIAÇÃO FIXA - 102</t>
  </si>
  <si>
    <t>MEDIAÇÃO FIXA - 134 (OIFO)</t>
  </si>
  <si>
    <t>Mediacao Fixa - 144</t>
  </si>
  <si>
    <t>MEDIAÇÃO FIXA DE NEGÓCIOS</t>
  </si>
  <si>
    <t>MEDIAÇÃO FIXA DE TERCEIROS (MAINFRAME)</t>
  </si>
  <si>
    <t>MEDIAÇÃO FIXA DE TERCEIROS (PLATAFORMA BAIXA)</t>
  </si>
  <si>
    <t>MEDIAÇÃO MÓVEL - ACRS</t>
  </si>
  <si>
    <t>MEDIAÇÃO MÓVEL - MM</t>
  </si>
  <si>
    <t>Mediação Móvel - Mm &gt; Distribuição</t>
  </si>
  <si>
    <t>Mediação Móvel - Mm &gt; Normalização</t>
  </si>
  <si>
    <t>MEDIAÇÃO MÓVEL - OI COLETAS</t>
  </si>
  <si>
    <t>MEDIAÇÃO MÓVEL - PRE-FILTRO</t>
  </si>
  <si>
    <t>Mediação Serviço de Terceiros - IFF3</t>
  </si>
  <si>
    <t>MESOX</t>
  </si>
  <si>
    <t>Metadata Manager</t>
  </si>
  <si>
    <t>Metodologia TI</t>
  </si>
  <si>
    <t>Microsoft Analysis Services</t>
  </si>
  <si>
    <t>Microsoft Integration Services</t>
  </si>
  <si>
    <t>MM Materiais</t>
  </si>
  <si>
    <t>Monitoração de Serviços</t>
  </si>
  <si>
    <t>Nagios</t>
  </si>
  <si>
    <t>Nddigital</t>
  </si>
  <si>
    <t>NDS</t>
  </si>
  <si>
    <t>NDS - ARVORE CLIENTE</t>
  </si>
  <si>
    <t>NDS - ARVORE DIRCORP</t>
  </si>
  <si>
    <t>NDS - ARVORE INTERNA (CORPORATIVO)</t>
  </si>
  <si>
    <t>NDS - ARVORE MINHA OI (SSO)</t>
  </si>
  <si>
    <t>Nemesis</t>
  </si>
  <si>
    <t>Netviz</t>
  </si>
  <si>
    <t>NETWIN</t>
  </si>
  <si>
    <t>NF Pré-Pago</t>
  </si>
  <si>
    <t>NSITOC</t>
  </si>
  <si>
    <t>Nsitoc</t>
  </si>
  <si>
    <t>NSureAudit</t>
  </si>
  <si>
    <t>OCFS2</t>
  </si>
  <si>
    <t>OCS</t>
  </si>
  <si>
    <t>Oi Atende</t>
  </si>
  <si>
    <t>OI CARTÃO</t>
  </si>
  <si>
    <t>Oi Gestor</t>
  </si>
  <si>
    <t>Oi Legal</t>
  </si>
  <si>
    <t>(OI R2) ACCESS7</t>
  </si>
  <si>
    <t>(OI R2) ACESSO AO SAP</t>
  </si>
  <si>
    <t>(Oi R2) Acesso as centrais via WEB</t>
  </si>
  <si>
    <t>(OI R2) ACL - Sistema de auxílio à conciliação fiscal</t>
  </si>
  <si>
    <t>(OI R2) ACW</t>
  </si>
  <si>
    <t>(OI R2) ALGE</t>
  </si>
  <si>
    <t>(Oi R2) ARCOB</t>
  </si>
  <si>
    <t>(OI R2) ASAP</t>
  </si>
  <si>
    <t>(Oi R2) Auditoria de Aprovisionamento</t>
  </si>
  <si>
    <t>(OI R2) AVALIACAO DE CREDITO</t>
  </si>
  <si>
    <t>(Oi R2) BrTJur</t>
  </si>
  <si>
    <t>(OI R2) CADASTRO DE VEÍCULOS</t>
  </si>
  <si>
    <t>(OI R2) CCA - CUSTOS</t>
  </si>
  <si>
    <t>(OI R2) CCOD</t>
  </si>
  <si>
    <t>(Oi R2) Cdr Builder</t>
  </si>
  <si>
    <t>(OI R2) CDR-VIEW</t>
  </si>
  <si>
    <t>(OI R2) CIINPP</t>
  </si>
  <si>
    <t>(OI R2) Clarify - Ambiente Movel Convergente (Projetos)</t>
  </si>
  <si>
    <t>(Oi R2) Clarify - Ambiente Open</t>
  </si>
  <si>
    <t>(Oi R2) Clarify - Ambiente Open FIXA</t>
  </si>
  <si>
    <t>(Oi R2) Clarify - Ambiente Open MOVEL</t>
  </si>
  <si>
    <t>(Oi R2) Clarify - Ambiente Open Sustentação</t>
  </si>
  <si>
    <t>(Oi R2) Clarify - Ambiente Web</t>
  </si>
  <si>
    <t>(Oi R2) Clarify - Ambiente Web MOVEL</t>
  </si>
  <si>
    <t>(Oi R2) Clarify - Ambiente Web FIXA</t>
  </si>
  <si>
    <t>(Oi R2) Clarify - Ambiente Web Sustentação</t>
  </si>
  <si>
    <t>(OI R2) COBILLING</t>
  </si>
  <si>
    <t>(Oi R2) Convenio 115</t>
  </si>
  <si>
    <t>(Oi R2) CPM</t>
  </si>
  <si>
    <t>(Oi R2) CRE</t>
  </si>
  <si>
    <t>(OI R2) CTEC</t>
  </si>
  <si>
    <t>(Oi R2) Cupom Fiscal</t>
  </si>
  <si>
    <t>(OI R2) DAME</t>
  </si>
  <si>
    <t>(OI R2) DETRAF</t>
  </si>
  <si>
    <t>(Oi R2) DETRAF</t>
  </si>
  <si>
    <t>(Oi R2) Detraf WEB</t>
  </si>
  <si>
    <t>(Oi R2) DOC1</t>
  </si>
  <si>
    <t>(OI R2) DW</t>
  </si>
  <si>
    <t>(Oi R2) EAI</t>
  </si>
  <si>
    <t>(Oi R2) e-Billing</t>
  </si>
  <si>
    <t>(Oi R2) EBPP</t>
  </si>
  <si>
    <t>(OI R2) E-HEALTH</t>
  </si>
  <si>
    <t>(OI R2) E-NF</t>
  </si>
  <si>
    <t>(Oi R2) Ers - Roaming</t>
  </si>
  <si>
    <t>(Oi R2) Firewall</t>
  </si>
  <si>
    <t>(OI R2) FIX</t>
  </si>
  <si>
    <t>(OI R2) FPW BRTCC</t>
  </si>
  <si>
    <t>(Oi R2) Fretes</t>
  </si>
  <si>
    <t>(OI R2) GD</t>
  </si>
  <si>
    <t>(OI R2) GDBO</t>
  </si>
  <si>
    <t>(Oi R2) Geco</t>
  </si>
  <si>
    <t>(Oi R2) GECO FIXA</t>
  </si>
  <si>
    <t>(Oi R2) GECO Sustentação</t>
  </si>
  <si>
    <t>(Oi R2) GED</t>
  </si>
  <si>
    <t>(OI R2) GENEVA - MÓDULO DE CONVERSOR</t>
  </si>
  <si>
    <t>(OI R2) GENEVA - MÓDULO DE INTERFACE COMPLEMENTAR</t>
  </si>
  <si>
    <t>(OI R2) GENEVA - MÓDULO DE INTERFACE SMP</t>
  </si>
  <si>
    <t>(OI R2) GENEVA - TARIFAÇÃO E FATURAMENTO</t>
  </si>
  <si>
    <t>(OI R2) GPAB</t>
  </si>
  <si>
    <t>(Oi R2) Gpp</t>
  </si>
  <si>
    <t>(OI R2) GRV</t>
  </si>
  <si>
    <t>(OI R2) ICHAIN</t>
  </si>
  <si>
    <t>(Oi R2) Iddf - Indicadores</t>
  </si>
  <si>
    <t>(OI R2) IND</t>
  </si>
  <si>
    <t>(Oi R2) Infoportal</t>
  </si>
  <si>
    <t>(OI R2) ISS</t>
  </si>
  <si>
    <t>(OI R2) ITAIPU - BANCO DE DADOS</t>
  </si>
  <si>
    <t>(OI R2) LEGADOS FT</t>
  </si>
  <si>
    <t>(OI R2) MASC</t>
  </si>
  <si>
    <t>(Oi R2) Mds</t>
  </si>
  <si>
    <t>(Oi R2) MDS - EVENT LINK</t>
  </si>
  <si>
    <t>(Oi R2) Microsiga</t>
  </si>
  <si>
    <t>(OI R2) MULTICONFERÊNCIA</t>
  </si>
  <si>
    <t>(OI R2) MULTICONFERÊNCIAS - TVFONE EMPRESAS</t>
  </si>
  <si>
    <t>(Oi R2) MXDR</t>
  </si>
  <si>
    <t>(Oi R2) Mxdr - Acrs</t>
  </si>
  <si>
    <t>(Oi R2) Mxdr - Bmp</t>
  </si>
  <si>
    <t>(Oi R2) Mxdr - Portal De Falhas De Bilhetes</t>
  </si>
  <si>
    <t>(Oi R2) Mxdr - Portal De Regras E Volumetria</t>
  </si>
  <si>
    <t>(Oi R2) NORMA</t>
  </si>
  <si>
    <t>(OI R2) NORMA - CIAP</t>
  </si>
  <si>
    <t>(OI R2) NORMA - IN86/SGAD</t>
  </si>
  <si>
    <t>(OI R2) NORMA - LIVROS FISCAIS</t>
  </si>
  <si>
    <t>(OI R2) NORMA - SPED CONTABIL</t>
  </si>
  <si>
    <t>(OI R2) NORMA - SPED FISCAL</t>
  </si>
  <si>
    <t>(Oi R2) Notanet Nf-E</t>
  </si>
  <si>
    <t>(OI R2) OBJECTEL</t>
  </si>
  <si>
    <t>(Oi R2) OIC</t>
  </si>
  <si>
    <t>(OI R2) OMS</t>
  </si>
  <si>
    <t>(Oi R2) PJUD</t>
  </si>
  <si>
    <t>(Oi R2) Planopweb</t>
  </si>
  <si>
    <t>(Oi R2) Planweb</t>
  </si>
  <si>
    <t>(OI R2) PORTABILIDADE NUMERICA</t>
  </si>
  <si>
    <t>(OI R2) PORTAL CONVERGENTE</t>
  </si>
  <si>
    <t>(OI R2) PORTAL DE GOVERNANÇA</t>
  </si>
  <si>
    <t>(OI R2) PORTAL DE OUVIDORIA</t>
  </si>
  <si>
    <t>(Oi R2) Portal De Tributos</t>
  </si>
  <si>
    <t>(Oi R2) Portal EILD</t>
  </si>
  <si>
    <t>(OI R2) PORTAL GID</t>
  </si>
  <si>
    <t>(OI R2) PORTAL RH BRTCC</t>
  </si>
  <si>
    <t>(OI R2) PREÇOS E TARIFAS - PET</t>
  </si>
  <si>
    <t>(Oi R2) Procont</t>
  </si>
  <si>
    <t>(OI R2) RAID EC</t>
  </si>
  <si>
    <t>(Oi R2) Raid PI</t>
  </si>
  <si>
    <t>(OI R2) ROAMING</t>
  </si>
  <si>
    <t>(Oi R2) ROAMING - HUR</t>
  </si>
  <si>
    <t>(Oi R2) ROAMING - PORTAL</t>
  </si>
  <si>
    <t>(Oi R2) ROAMING -TADIG</t>
  </si>
  <si>
    <t>(OI R2) SABRE</t>
  </si>
  <si>
    <t>(OI R2) SAC</t>
  </si>
  <si>
    <t>(Oi R2) Sac</t>
  </si>
  <si>
    <t>(Oi R2) SAF</t>
  </si>
  <si>
    <t>(OI R2) SAG</t>
  </si>
  <si>
    <t>(Oi R2) SAG</t>
  </si>
  <si>
    <t>(Oi R2) Sap &gt; Ais</t>
  </si>
  <si>
    <t>(Oi R2) Sap &gt; Basis</t>
  </si>
  <si>
    <t>(Oi R2) Sap &gt; Cfm</t>
  </si>
  <si>
    <t>(Oi R2) Sap &gt; Co</t>
  </si>
  <si>
    <t>(Oi R2) Sap &gt; Fi-Aa</t>
  </si>
  <si>
    <t>(Oi R2) Sap &gt; Fi-Ap</t>
  </si>
  <si>
    <t>(Oi R2) Sap &gt; Fi-Ar</t>
  </si>
  <si>
    <t>(Oi R2) Sap &gt; Fi-Eccs</t>
  </si>
  <si>
    <t>(Oi R2) Sap &gt; Fi-Ecpca</t>
  </si>
  <si>
    <t>(Oi R2) Sap &gt; Fi-Gl</t>
  </si>
  <si>
    <t>(Oi R2) Sap &gt; Fi-Tm</t>
  </si>
  <si>
    <t>(Oi R2) Sap &gt; Fi-Tr</t>
  </si>
  <si>
    <t>(Oi R2) Sap &gt; Fi-Tv</t>
  </si>
  <si>
    <t>(Oi R2) Sap &gt; Fm</t>
  </si>
  <si>
    <t>(Oi R2) Sap &gt; Ftm-Ca</t>
  </si>
  <si>
    <t>(Oi R2) Sap &gt; Im</t>
  </si>
  <si>
    <t>(Oi R2) Sap &gt; Its</t>
  </si>
  <si>
    <t>(Oi R2) Sap &gt; Me</t>
  </si>
  <si>
    <t>(Oi R2) Sap &gt; Mm</t>
  </si>
  <si>
    <t>(Oi R2) Sap &gt; Netweaver</t>
  </si>
  <si>
    <t>(Oi R2) Sap &gt; Perfil</t>
  </si>
  <si>
    <t>(Oi R2) Sap &gt; Pp</t>
  </si>
  <si>
    <t>(Oi R2) Sap &gt; Ps</t>
  </si>
  <si>
    <t>(Oi R2) Sap &gt; Real Estate</t>
  </si>
  <si>
    <t>(Oi R2) Sap &gt; Sd</t>
  </si>
  <si>
    <t>(Oi R2) Sap &gt; Sem-Bps</t>
  </si>
  <si>
    <t>(Oi R2) Sap &gt; Sm</t>
  </si>
  <si>
    <t>(Oi R2) Sap &gt; Workflow</t>
  </si>
  <si>
    <t>(Oi R2) SAP R/3 - MM/PP/DELF/ME</t>
  </si>
  <si>
    <t>(Oi R2) SAP R/3-CO/FM/BT/AM/RE</t>
  </si>
  <si>
    <t>(OI R2) SAS - ABM</t>
  </si>
  <si>
    <t>(OI R2) SAT</t>
  </si>
  <si>
    <t>(Oi R2) SCB</t>
  </si>
  <si>
    <t>(Oi R2) Scbr</t>
  </si>
  <si>
    <t>(OI R2) SCI - SOLICITAÇÃO DE CADASTRO DE ITEM</t>
  </si>
  <si>
    <t>(OI R2) SCO</t>
  </si>
  <si>
    <t>(Oi R2) Sco</t>
  </si>
  <si>
    <t>(Oi R2) SCPARC</t>
  </si>
  <si>
    <t>(OI R2) SCR</t>
  </si>
  <si>
    <t>(OI R2) SCT</t>
  </si>
  <si>
    <t>(Oi R2) SCT</t>
  </si>
  <si>
    <t>(OI R2) SCT - SISTEMA DE CONCILIAÇÃO DE TRAFEGO</t>
  </si>
  <si>
    <t>(Oi R2) SCVR</t>
  </si>
  <si>
    <t>(OI R2) SFA</t>
  </si>
  <si>
    <t>(Oi R2) SFA</t>
  </si>
  <si>
    <t>(Oi R2) SFA DS TI</t>
  </si>
  <si>
    <t>(OI R2) SGF</t>
  </si>
  <si>
    <t>(Oi R2) SGFT</t>
  </si>
  <si>
    <t>(Oi R2) Sgft &gt; Lince</t>
  </si>
  <si>
    <t>(Oi R2) Sgft &gt; Weblince</t>
  </si>
  <si>
    <t>(Oi R2) Sgft &gt; Workforce Web</t>
  </si>
  <si>
    <t>(OI R2) SGFT - WWF</t>
  </si>
  <si>
    <t>(Oi R2) Sgft &gt; Zap</t>
  </si>
  <si>
    <t>(OI R2) SGFT - ZAPWEB</t>
  </si>
  <si>
    <t>(OI R2) SGRO</t>
  </si>
  <si>
    <t>(OI R2) SGTP</t>
  </si>
  <si>
    <t>(Oi R2) SGTP</t>
  </si>
  <si>
    <t>(Oi R2) SIAC</t>
  </si>
  <si>
    <t>(Oi R2) SICE</t>
  </si>
  <si>
    <t>(Oi R2) SID</t>
  </si>
  <si>
    <t>(OI R2) SIM</t>
  </si>
  <si>
    <t>(Oi R2) Sim</t>
  </si>
  <si>
    <t>(OI R2) SIMULADOR RETENCAO</t>
  </si>
  <si>
    <t>(OI R2) SINTEGRA</t>
  </si>
  <si>
    <t>(OI R2) SISGEN</t>
  </si>
  <si>
    <t>(OI R2) SISTEMA FIRST CALL RESOLUTION</t>
  </si>
  <si>
    <t>(OI R2) SISTRIB</t>
  </si>
  <si>
    <t>(OI R2) SISWEB</t>
  </si>
  <si>
    <t>(OI R2) SLM</t>
  </si>
  <si>
    <t>(OI R2) SOF</t>
  </si>
  <si>
    <t>(OI R2) SPART</t>
  </si>
  <si>
    <t>(OI R2) SPR-IE</t>
  </si>
  <si>
    <t>(OI R2) SQAF</t>
  </si>
  <si>
    <t>(OI R2) SRA</t>
  </si>
  <si>
    <t>(OI R2) SRE</t>
  </si>
  <si>
    <t>(OI R2) SSR</t>
  </si>
  <si>
    <t>(OI R2) STR</t>
  </si>
  <si>
    <t>(OI R2) STRAUSS</t>
  </si>
  <si>
    <t>(Oi R2) Terus</t>
  </si>
  <si>
    <t>(Oi R2) TRANSACT</t>
  </si>
  <si>
    <t>(Oi R2) Ultrasearch</t>
  </si>
  <si>
    <t>(Oi R2) UNIPRO</t>
  </si>
  <si>
    <t>(Oi R2) Vignette</t>
  </si>
  <si>
    <t>(Oi R2) VIP CNG</t>
  </si>
  <si>
    <t>(OI R2) VIP REPORT</t>
  </si>
  <si>
    <t>(Oi R2) Wpp</t>
  </si>
  <si>
    <t>(OI R2) 102 - LISTAS DAQUI - SEGURANÇA PUBLICA</t>
  </si>
  <si>
    <t>(Oi R2) 102 - Online</t>
  </si>
  <si>
    <t>(Oi R2) 102 - Plus</t>
  </si>
  <si>
    <t>(Oi R2) 102 Exclusivo</t>
  </si>
  <si>
    <t>Oi Torpedo</t>
  </si>
  <si>
    <t>OI-RECYCLAR</t>
  </si>
  <si>
    <t>OM</t>
  </si>
  <si>
    <t>OMR</t>
  </si>
  <si>
    <t>OP_APROVISIONAMENTO</t>
  </si>
  <si>
    <t>OP_ATENDIMENTO/VENDAS E PORTAIS</t>
  </si>
  <si>
    <t>OP_COBILLING REPASSE</t>
  </si>
  <si>
    <t>OP_COBRANÇA OITV</t>
  </si>
  <si>
    <t>OP_CRM (SBL 6.3/8 - WLL e Fibra,CDI,MKT,Infor.,SFA</t>
  </si>
  <si>
    <t>OP_DW</t>
  </si>
  <si>
    <t>OPENLM</t>
  </si>
  <si>
    <t>Operadora - Tadig</t>
  </si>
  <si>
    <t>OP_FATURAMENTO MÓVEL</t>
  </si>
  <si>
    <t>OP_FERRAMENTAS DE OPERAÇÃO</t>
  </si>
  <si>
    <t>OP_INTEGRAÇÃO E PORTABILIDADE</t>
  </si>
  <si>
    <t>OPL OI</t>
  </si>
  <si>
    <t>OP_MEDIACAO ROAMING</t>
  </si>
  <si>
    <t>OP_MONITORAÇÃO DE SERVIÇOS</t>
  </si>
  <si>
    <t>OP_PRÉ-PAGO/SVA</t>
  </si>
  <si>
    <t>OP_SAP</t>
  </si>
  <si>
    <t>OP_SISTEMAS CRM E FATURAMENTO R1</t>
  </si>
  <si>
    <t>OP_SISTEMAS CRM E FATURAMENTO R2</t>
  </si>
  <si>
    <t>OP_SISTEMAS CRM E TARIFAÇÃO PLATAFORMA OPEN</t>
  </si>
  <si>
    <t>OP_TRIBUTÁRIO E APOIO</t>
  </si>
  <si>
    <t>OP_WORKFORCE - FORÇA TAREFA</t>
  </si>
  <si>
    <t>Oracle Bam</t>
  </si>
  <si>
    <t>Oracle WCC</t>
  </si>
  <si>
    <t>PAC</t>
  </si>
  <si>
    <t>PAC - TARIFAÇÃO REDE PACOTES</t>
  </si>
  <si>
    <t>Pada</t>
  </si>
  <si>
    <t>PAINEL_IN86</t>
  </si>
  <si>
    <t>PARC</t>
  </si>
  <si>
    <t>Pcco</t>
  </si>
  <si>
    <t>PCTDados</t>
  </si>
  <si>
    <t>PEOPLE SOFT - BUDGET</t>
  </si>
  <si>
    <t>Performance</t>
  </si>
  <si>
    <t>PFTI - Adm e Finanças</t>
  </si>
  <si>
    <t>PFTI - DRC</t>
  </si>
  <si>
    <t>PFTI - Gente e Apoio</t>
  </si>
  <si>
    <t>PFTI - Infra</t>
  </si>
  <si>
    <t>PFTI - Mercado</t>
  </si>
  <si>
    <t>PFTI - OiTV</t>
  </si>
  <si>
    <t>PFTI - Operações</t>
  </si>
  <si>
    <t>PFTI - Produtos</t>
  </si>
  <si>
    <t>PFTI - Tecnologia</t>
  </si>
  <si>
    <t>PFTI - Vendas</t>
  </si>
  <si>
    <t>PIL</t>
  </si>
  <si>
    <t>PNET</t>
  </si>
  <si>
    <t>Portal Corporativo</t>
  </si>
  <si>
    <t>Portal CSC</t>
  </si>
  <si>
    <t>PORTAL DA ARQUITETURA</t>
  </si>
  <si>
    <t>PORTAL DE EVIDÊNCIAS DE TESTES</t>
  </si>
  <si>
    <t>PORTAL DE GENTE</t>
  </si>
  <si>
    <t>PORTAL DE MIGRAÇÃO BRT</t>
  </si>
  <si>
    <t>Portal De Projetos - Producao</t>
  </si>
  <si>
    <t>Portal De Ti</t>
  </si>
  <si>
    <t>Portal Gep</t>
  </si>
  <si>
    <t>PORTAL INDICADORES PRODUÇÃO</t>
  </si>
  <si>
    <t>Portal Mediação e Tarifação</t>
  </si>
  <si>
    <t>Portal Metas</t>
  </si>
  <si>
    <t>PORTAL MUDANÇAS PRODUÇÃO</t>
  </si>
  <si>
    <t>PORTAL OI</t>
  </si>
  <si>
    <t>Portal OI</t>
  </si>
  <si>
    <t>PORTAL OI LOJA</t>
  </si>
  <si>
    <t>Portal Pool de Disco</t>
  </si>
  <si>
    <t>Portal Ra</t>
  </si>
  <si>
    <t>Portal RA - DS TI</t>
  </si>
  <si>
    <t>Portal RH PeopleSoft</t>
  </si>
  <si>
    <t>PORTAL ROBÔ</t>
  </si>
  <si>
    <t>Portal SLA</t>
  </si>
  <si>
    <t>Portal SLA Adm Financeira</t>
  </si>
  <si>
    <t>POSIÇÃO ACIONÁRIA</t>
  </si>
  <si>
    <t>PP Produção</t>
  </si>
  <si>
    <t>Pré Validação de Faturamento</t>
  </si>
  <si>
    <t>PREDICT</t>
  </si>
  <si>
    <t>Predict</t>
  </si>
  <si>
    <t>PRÉ-PAGO / SVA</t>
  </si>
  <si>
    <t>PRÉ-PAGO AMAZONIA</t>
  </si>
  <si>
    <t>Pré-Pago Amazonia</t>
  </si>
  <si>
    <t>PRIDE</t>
  </si>
  <si>
    <t>PRISMA</t>
  </si>
  <si>
    <t>Projeto Estruturante BSS</t>
  </si>
  <si>
    <t>Projeto Estruturante OSS</t>
  </si>
  <si>
    <t>Projetos Especiais ¿ Área Negócio</t>
  </si>
  <si>
    <t>Projetos Estruturantes</t>
  </si>
  <si>
    <t>PS Projetos</t>
  </si>
  <si>
    <t>PSB - Pagamento sem Boleto</t>
  </si>
  <si>
    <t>Publishing Engine</t>
  </si>
  <si>
    <t>Pva</t>
  </si>
  <si>
    <t>PVCS</t>
  </si>
  <si>
    <t>PW. SPED PIS COFINS</t>
  </si>
  <si>
    <t>PW. Sped Pis Cofins</t>
  </si>
  <si>
    <t>pw.SATI Soluções Fiscais</t>
  </si>
  <si>
    <t>PW.SPED CONTÁBIL</t>
  </si>
  <si>
    <t>pw.SPED Fiscal</t>
  </si>
  <si>
    <t>pw.SVA - IN86</t>
  </si>
  <si>
    <t>QCALM11</t>
  </si>
  <si>
    <t>Racf</t>
  </si>
  <si>
    <t>RAID FR FIXA</t>
  </si>
  <si>
    <t>Raid Fr Fixa</t>
  </si>
  <si>
    <t>RAID FR MÓVEL</t>
  </si>
  <si>
    <t>RAID IP FIXA</t>
  </si>
  <si>
    <t>RAID IP MÓVEL</t>
  </si>
  <si>
    <t>RAID-PI</t>
  </si>
  <si>
    <t>RAID-RC</t>
  </si>
  <si>
    <t>RAID-UC</t>
  </si>
  <si>
    <t>Rational Composer</t>
  </si>
  <si>
    <t>RATV</t>
  </si>
  <si>
    <t>RATV - DS TI</t>
  </si>
  <si>
    <t>RDBT</t>
  </si>
  <si>
    <t>RE Real Estate</t>
  </si>
  <si>
    <t>Recarga</t>
  </si>
  <si>
    <t>RECARGA AUTOMÁTICA</t>
  </si>
  <si>
    <t>RECORRÊNCIA ANATEL</t>
  </si>
  <si>
    <t>Rede Corporativa</t>
  </si>
  <si>
    <t>Relop</t>
  </si>
  <si>
    <t>Repasse</t>
  </si>
  <si>
    <t>Repasse &gt; Repasse De Faturado</t>
  </si>
  <si>
    <t>Repasse &gt; Repasse Faturado</t>
  </si>
  <si>
    <t>REPASSE DE ARRECADAÇÃO</t>
  </si>
  <si>
    <t>REPASSE FIXA SGR</t>
  </si>
  <si>
    <t>REPASSE MÓVEL</t>
  </si>
  <si>
    <t>Repasse Suporte</t>
  </si>
  <si>
    <t>REPASSE VAS</t>
  </si>
  <si>
    <t>Requisite Pro</t>
  </si>
  <si>
    <t>RIP</t>
  </si>
  <si>
    <t>RITA</t>
  </si>
  <si>
    <t>RMS - TARIFAÇÃO DE REDE MULTISERVIÇO</t>
  </si>
  <si>
    <t>ROAMBROKER</t>
  </si>
  <si>
    <t>Roaming (Rms) &gt; Alarm Manager</t>
  </si>
  <si>
    <t>Roaming (Rms) &gt; Consulta Web (Application Browser) Roaming Rms</t>
  </si>
  <si>
    <t>Roaming (Rms) &gt; File Input Loader</t>
  </si>
  <si>
    <t>Roaming (Rms) &gt; File Output Writer</t>
  </si>
  <si>
    <t>Roaming (Rms) &gt; Rating Engine</t>
  </si>
  <si>
    <t>Roaming (Rms) &gt; Sender</t>
  </si>
  <si>
    <t>Roaming (Rms) &gt; Syncronizer</t>
  </si>
  <si>
    <t>Ronda Acesso</t>
  </si>
  <si>
    <t>RTC</t>
  </si>
  <si>
    <t>Saat</t>
  </si>
  <si>
    <t>Sad</t>
  </si>
  <si>
    <t>SANA</t>
  </si>
  <si>
    <t>SAOSC</t>
  </si>
  <si>
    <t>SAP - FI-GL (Módulo de contabilidade geral)</t>
  </si>
  <si>
    <t>SAP - MM (Módulo de administração de materiais)</t>
  </si>
  <si>
    <t>SAP - PM (Módulo de gerenciamento da planta)</t>
  </si>
  <si>
    <t>Sap &gt; Sap - Ais Auditoria</t>
  </si>
  <si>
    <t>Sap &gt; Sap - Basis</t>
  </si>
  <si>
    <t>Sap &gt; Sap - Cfm</t>
  </si>
  <si>
    <t>Sap &gt; Sap - Co</t>
  </si>
  <si>
    <t>Sap &gt; Sap - Fi-Aa</t>
  </si>
  <si>
    <t>Sap &gt; Sap - Fi-Ap</t>
  </si>
  <si>
    <t>Sap &gt; Sap - Fi-Ar</t>
  </si>
  <si>
    <t>Sap &gt; Sap - Fi-Eccs</t>
  </si>
  <si>
    <t>Sap &gt; Sap - Fi-Ecpca</t>
  </si>
  <si>
    <t>Sap &gt; Sap - Fi-Gl</t>
  </si>
  <si>
    <t>Sap &gt; Sap - Fi-Tr</t>
  </si>
  <si>
    <t>Sap &gt; Sap - Fi-Tv</t>
  </si>
  <si>
    <t>Sap &gt; Sap - Fm</t>
  </si>
  <si>
    <t>Sap &gt; Sap - Ftm-Ca</t>
  </si>
  <si>
    <t>Sap &gt; Sap - Im</t>
  </si>
  <si>
    <t>Sap &gt; Sap - Its</t>
  </si>
  <si>
    <t>Sap &gt; Sap - Mm</t>
  </si>
  <si>
    <t>Sap &gt; Sap - Netweaver</t>
  </si>
  <si>
    <t>Sap &gt; Sap - Perfil</t>
  </si>
  <si>
    <t>Sap &gt; Sap - Pp</t>
  </si>
  <si>
    <t>Sap &gt; Sap - Ps</t>
  </si>
  <si>
    <t>Sap &gt; Sap - Real Estate</t>
  </si>
  <si>
    <t>Sap &gt; Sap - Sd</t>
  </si>
  <si>
    <t>Sap &gt; Sap - Sem-Bps</t>
  </si>
  <si>
    <t>Sap &gt; Sap - Sm</t>
  </si>
  <si>
    <t>Sap &gt; Sap - Workflow</t>
  </si>
  <si>
    <t>SAP - SEM-BPS (Módulo consolidador de informações)</t>
  </si>
  <si>
    <t>SAP - Workflow (Módulo de gerenciamento de fluxos)</t>
  </si>
  <si>
    <t>SAP-BW</t>
  </si>
  <si>
    <t>SAP-PORTAL</t>
  </si>
  <si>
    <t>SAP-SPP</t>
  </si>
  <si>
    <t>Sas - Acesso 31</t>
  </si>
  <si>
    <t>Sas - Bi Dw</t>
  </si>
  <si>
    <t>Sas - Cep</t>
  </si>
  <si>
    <t>SAS CAMPAIGN</t>
  </si>
  <si>
    <t>SAS-BI</t>
  </si>
  <si>
    <t>SA3</t>
  </si>
  <si>
    <t>SBD</t>
  </si>
  <si>
    <t>SCA</t>
  </si>
  <si>
    <t>SCFTUP</t>
  </si>
  <si>
    <t>SCF1</t>
  </si>
  <si>
    <t>Scf1</t>
  </si>
  <si>
    <t>SCF3</t>
  </si>
  <si>
    <t>SCP</t>
  </si>
  <si>
    <t>SCP - SISTEMA CONTROLE DE PROCESSOS E PADRÕES</t>
  </si>
  <si>
    <t>SCPO</t>
  </si>
  <si>
    <t>SCT - SISTEMA DE CONTROLE DE TAREFAS</t>
  </si>
  <si>
    <t>SD Vendas e Distribuição</t>
  </si>
  <si>
    <t>SEDO</t>
  </si>
  <si>
    <t>SEFE</t>
  </si>
  <si>
    <t>SEI</t>
  </si>
  <si>
    <t>Senha Única &gt; Senha Única</t>
  </si>
  <si>
    <t>Serena Business Mashups</t>
  </si>
  <si>
    <t>SERVCEL</t>
  </si>
  <si>
    <t>Servcel &gt; Conciliação</t>
  </si>
  <si>
    <t>Servcel &gt; Recarga Online - Servcel</t>
  </si>
  <si>
    <t>SFA-SIEBEL8</t>
  </si>
  <si>
    <t>SGA</t>
  </si>
  <si>
    <t>SGAT</t>
  </si>
  <si>
    <t>SGC - TARIFAÇÃO CIRCUITOS</t>
  </si>
  <si>
    <t>SGD</t>
  </si>
  <si>
    <t>SGD &gt; COLETA</t>
  </si>
  <si>
    <t>SGD &gt; WEB - SGD</t>
  </si>
  <si>
    <t>SGDC</t>
  </si>
  <si>
    <t>SGE PLANTA EXTERNA</t>
  </si>
  <si>
    <t>Sgf</t>
  </si>
  <si>
    <t>SGID</t>
  </si>
  <si>
    <t>SGIS</t>
  </si>
  <si>
    <t>SGR (ALTA)</t>
  </si>
  <si>
    <t>SGVS</t>
  </si>
  <si>
    <t>SIA</t>
  </si>
  <si>
    <t>SIAF</t>
  </si>
  <si>
    <t>SIDARA</t>
  </si>
  <si>
    <t>SIEBEL</t>
  </si>
  <si>
    <t>Siebel Informacional</t>
  </si>
  <si>
    <t>Siebel Marketing</t>
  </si>
  <si>
    <t>Siebel Sfa Web &gt; Solicitações Sfa</t>
  </si>
  <si>
    <t>Siebel 8</t>
  </si>
  <si>
    <t>SIGA</t>
  </si>
  <si>
    <t>Sigi</t>
  </si>
  <si>
    <t>SIGNS</t>
  </si>
  <si>
    <t>SIGRI - SISTEMA DE GESTÃO DE RELACIONAMENTO INSTITUCIONAL</t>
  </si>
  <si>
    <t>Simab</t>
  </si>
  <si>
    <t>SIMPROC</t>
  </si>
  <si>
    <t>Simproc &gt; Mf - Mainframe</t>
  </si>
  <si>
    <t>Simproc &gt; Pd - Plataforma Distribuída</t>
  </si>
  <si>
    <t>SINN DTH</t>
  </si>
  <si>
    <t>SINNWEB</t>
  </si>
  <si>
    <t>SINODC</t>
  </si>
  <si>
    <t>SIS ATIVAÇÃO FIXA</t>
  </si>
  <si>
    <t>Sis Falhas</t>
  </si>
  <si>
    <t>SIS MÓVEL</t>
  </si>
  <si>
    <t>SISCONFIG</t>
  </si>
  <si>
    <t>SISJUR - SISTEMA JURÍDICO</t>
  </si>
  <si>
    <t>SISPROC - SISTEMA DE PROCURAÇÕES</t>
  </si>
  <si>
    <t>SISRAF - APROPRIAÇÃO</t>
  </si>
  <si>
    <t>SISRAF - Apropriação - DS TI</t>
  </si>
  <si>
    <t>SISRAF - ARRECADAÇÃO</t>
  </si>
  <si>
    <t>SISRAF - Atendimento de Conta</t>
  </si>
  <si>
    <t>SISRAF - Cadastro de Faturamento</t>
  </si>
  <si>
    <t>SISRAF - CO-BILLING FISCAL</t>
  </si>
  <si>
    <t>SISRAF - Co-Billing Fiscal</t>
  </si>
  <si>
    <t>SISRAF - COBRANÇA</t>
  </si>
  <si>
    <t>Sisraf - Conta Customizada</t>
  </si>
  <si>
    <t>SISRAF - CONTABILIZAÇÃO</t>
  </si>
  <si>
    <t>SISRAF - CONTESTAÇÃO</t>
  </si>
  <si>
    <t>SISRAF - Desmembramento de contas</t>
  </si>
  <si>
    <t>Sisraf - Faturamento</t>
  </si>
  <si>
    <t>SISRAF - Faturamento - DS TI</t>
  </si>
  <si>
    <t>SISRAF - FATURAMENTO CÂMARA DE RETENÇÃO</t>
  </si>
  <si>
    <t>SISRAF - Faturamento Câmara de Retenção - DS TI</t>
  </si>
  <si>
    <t>SISRAF - Faturamento Projetos</t>
  </si>
  <si>
    <t>SISRAF - Fiscal</t>
  </si>
  <si>
    <t>SISRAF - MPN</t>
  </si>
  <si>
    <t>SISRAF - MPN - DS TI</t>
  </si>
  <si>
    <t>SISRAF - Parcelamento</t>
  </si>
  <si>
    <t>SISRAF - Rejeitados da Apropriação - DS TI</t>
  </si>
  <si>
    <t>SISRAF - Segunda via de conta</t>
  </si>
  <si>
    <t>SISRAF - TARIFAÇÃO</t>
  </si>
  <si>
    <t>SISRAF - Tarifação Serviço Medido</t>
  </si>
  <si>
    <t>SISRAF Faturamento - DS TI</t>
  </si>
  <si>
    <t>SISRED</t>
  </si>
  <si>
    <t>Sistema Apoio Itoc</t>
  </si>
  <si>
    <t>SISTEMA APOIO OPERAÇÃO</t>
  </si>
  <si>
    <t>Sistema Apoio Problemas</t>
  </si>
  <si>
    <t>Sistema de Apoio ao Sati</t>
  </si>
  <si>
    <t>SISTERM</t>
  </si>
  <si>
    <t>Sniffer De Rede</t>
  </si>
  <si>
    <t>SOA - Integração</t>
  </si>
  <si>
    <t>SOLMAN</t>
  </si>
  <si>
    <t>Spg</t>
  </si>
  <si>
    <t>SPJ</t>
  </si>
  <si>
    <t>SPJ - Pesquisa Judicial - DS TI</t>
  </si>
  <si>
    <t>SPOTFIRE</t>
  </si>
  <si>
    <t>Spread</t>
  </si>
  <si>
    <t>SRT</t>
  </si>
  <si>
    <t>SSR</t>
  </si>
  <si>
    <t>Status Report Ti</t>
  </si>
  <si>
    <t>Stc Dados</t>
  </si>
  <si>
    <t>STC (Tabelas Corporativas)</t>
  </si>
  <si>
    <t>STC Voz</t>
  </si>
  <si>
    <t>STI NOVO</t>
  </si>
  <si>
    <t>STI Original</t>
  </si>
  <si>
    <t>STPCI</t>
  </si>
  <si>
    <t>STV</t>
  </si>
  <si>
    <t>SUBSCRITORES</t>
  </si>
  <si>
    <t>Subscritores</t>
  </si>
  <si>
    <t>SVA &gt; Barramento VAS</t>
  </si>
  <si>
    <t>SVA &gt; Base Única</t>
  </si>
  <si>
    <t>SVA &gt; Campanhas</t>
  </si>
  <si>
    <t>SVA &gt; Componente VAS</t>
  </si>
  <si>
    <t>SVA &gt; Ferramenta SVA</t>
  </si>
  <si>
    <t>SVA &gt; Gestao OptIn</t>
  </si>
  <si>
    <t>SVA &gt; GIA</t>
  </si>
  <si>
    <t>SVA &gt; Kannel</t>
  </si>
  <si>
    <t>SVA &gt; Loja de Serviços</t>
  </si>
  <si>
    <t>SVA &gt; MegaPromo</t>
  </si>
  <si>
    <t>SVA &gt; Mensageria</t>
  </si>
  <si>
    <t>SVA &gt; Menu Oi</t>
  </si>
  <si>
    <t>SVA &gt; OCS</t>
  </si>
  <si>
    <t>SVA &gt; Portal VAS</t>
  </si>
  <si>
    <t>SVA &gt; Quiz SMS</t>
  </si>
  <si>
    <t>SVA &gt; Senha Única</t>
  </si>
  <si>
    <t>SVA &gt; VAS Proxy</t>
  </si>
  <si>
    <t>SVOi</t>
  </si>
  <si>
    <t>System Architect - Sa &gt; Sa Compare</t>
  </si>
  <si>
    <t>System Architect - Sa &gt; Sa Publisher</t>
  </si>
  <si>
    <t>TAB</t>
  </si>
  <si>
    <t>TAD - SISTEMA DE CONTROLE DE TERMINAIS ADMINISTRATIVOS</t>
  </si>
  <si>
    <t>TANGRAM</t>
  </si>
  <si>
    <t>Tarifação  - CBILL - DS TI</t>
  </si>
  <si>
    <t>Tarifação - DS TI</t>
  </si>
  <si>
    <t>Tarifação - GTF - DS TI</t>
  </si>
  <si>
    <t>Tarifação da Rede de Pacotes - RPAC</t>
  </si>
  <si>
    <t>Tarifação da Rede de Pacotes - RPAC - DS TI</t>
  </si>
  <si>
    <t>Tarifação da Rede MultiServico - RMS</t>
  </si>
  <si>
    <t>Tarifação Local Bilhetado Cbill</t>
  </si>
  <si>
    <t>Tarifação Longa Distância - SCF1</t>
  </si>
  <si>
    <t>Tarifação Longa Distância - SCF1 - DS TI</t>
  </si>
  <si>
    <t>Tarifação Longa Distância Cbill</t>
  </si>
  <si>
    <t>Tarifação Longa Distância Cbill - DS TI</t>
  </si>
  <si>
    <t>TARIFAÇÃO REDE INTELIGENTE</t>
  </si>
  <si>
    <t>Tarifação Rede Inteligente - RI</t>
  </si>
  <si>
    <t>Tarifação Rede Inteligente - RI - DS TI</t>
  </si>
  <si>
    <t>Tarifação Rede Pacotes - PAC - DS TI</t>
  </si>
  <si>
    <t>TCE</t>
  </si>
  <si>
    <t>TERADATA INTERCONEXÃO</t>
  </si>
  <si>
    <t>TERUS - TARIFAÇÃO</t>
  </si>
  <si>
    <t>Terus - Terminais</t>
  </si>
  <si>
    <t>THS</t>
  </si>
  <si>
    <t>Ths &gt; Atendimento</t>
  </si>
  <si>
    <t>TMART</t>
  </si>
  <si>
    <t>Toolkit &gt; Toolkit Abono</t>
  </si>
  <si>
    <t>Toolkit &gt; Toolkit Configurador De Células</t>
  </si>
  <si>
    <t>Toolkit &gt; Toolkit Configurador De Planos</t>
  </si>
  <si>
    <t>Toolkit &gt; Toolkit Conta Única</t>
  </si>
  <si>
    <t>Toolkit &gt; Toolkit Cotar</t>
  </si>
  <si>
    <t>Toolkit &gt; Toolkit Fraude</t>
  </si>
  <si>
    <t>Toolkit &gt; Toolkit Invoice Zero</t>
  </si>
  <si>
    <t>Toolkit &gt; Toolkit Multas E Juros</t>
  </si>
  <si>
    <t>Toolkit &gt; Toolkit Oi Controle</t>
  </si>
  <si>
    <t>Toolkit &gt; Toolkit 2ª Via</t>
  </si>
  <si>
    <t>TRADUTOR</t>
  </si>
  <si>
    <t>Tradutoras</t>
  </si>
  <si>
    <t>TRANSACT</t>
  </si>
  <si>
    <t>TRUSTY</t>
  </si>
  <si>
    <t>Tup.Com</t>
  </si>
  <si>
    <t>TVAS</t>
  </si>
  <si>
    <t>UnaWeb</t>
  </si>
  <si>
    <t>UNITE</t>
  </si>
  <si>
    <t>Ura Fixa</t>
  </si>
  <si>
    <t>Usuário - Tadig</t>
  </si>
  <si>
    <t>Velox Checkup</t>
  </si>
  <si>
    <t>VIA 102</t>
  </si>
  <si>
    <t>VÍDEO CONFERÊNCIA</t>
  </si>
  <si>
    <t>VIGIA</t>
  </si>
  <si>
    <t>Vignette</t>
  </si>
  <si>
    <t>Vitria</t>
  </si>
  <si>
    <t>Vozoss</t>
  </si>
  <si>
    <t>Vpn</t>
  </si>
  <si>
    <t>Vpn Para Pdas</t>
  </si>
  <si>
    <t>102 Atendimento</t>
  </si>
  <si>
    <t>2A. VIA DE CONTA OI</t>
  </si>
  <si>
    <t>Ao concluir o preenchimento, favor enviar para LD-Capacidade-TI</t>
  </si>
  <si>
    <t>Descrição da Necessidade / Solução</t>
  </si>
  <si>
    <t>UN</t>
  </si>
  <si>
    <t>Gerente de Relacionamento (PFTI)</t>
  </si>
  <si>
    <t>Gestor N4 CSol</t>
  </si>
  <si>
    <t>Gestor N5 CSol</t>
  </si>
  <si>
    <t>SISTEMAS 
IMPACTADOS</t>
  </si>
  <si>
    <t>VALORES POR SISTEMA</t>
  </si>
  <si>
    <t>FORNECEDOR POR SISTEMA</t>
  </si>
  <si>
    <t>JUSTIFICATIVA POR SISTEMA IMPACTADO</t>
  </si>
  <si>
    <t>TEMPO DE DESENVOLVIMENTO (Mês)</t>
  </si>
  <si>
    <t>OBSERVAÇÃO</t>
  </si>
  <si>
    <t>Parecer do Fórum</t>
  </si>
  <si>
    <t>Documento confidencial e de propriedade da Oi</t>
  </si>
  <si>
    <t>Memória de Cálculo (Macro estimativa)</t>
  </si>
  <si>
    <t>Histórico de Versões</t>
  </si>
  <si>
    <t>Versão</t>
  </si>
  <si>
    <t>Data</t>
  </si>
  <si>
    <t>Descrição</t>
  </si>
  <si>
    <t>Solicitado por</t>
  </si>
  <si>
    <t>Criação do Documento</t>
  </si>
  <si>
    <t>Khalil Pereira</t>
  </si>
  <si>
    <t>Atualização (Funcionalidades Siebel 6.3 e Siebel Marketing)</t>
  </si>
  <si>
    <t>Wilson Souza Antunes</t>
  </si>
  <si>
    <t>Atualização (Funcionalidades Arbor)</t>
  </si>
  <si>
    <t xml:space="preserve">Marcio Caroso </t>
  </si>
  <si>
    <t>Atualização SAP e Ciclo da Receita</t>
  </si>
  <si>
    <t>Regina Marcia e Dirlei Melo</t>
  </si>
  <si>
    <t>Atualização Faturamento</t>
  </si>
  <si>
    <t>Dirlei Melo</t>
  </si>
  <si>
    <t xml:space="preserve">• Revisamos as fórmulas e os preenchimentos, com as informações atualizadas;
• Incluímos as colunas Sistema Correspondente, Tempo de Desenvolvimento e Fornecedor, nas colunas G, H e I, respectivamente;
• Nas colunas de Sistemas, criamos uma combo com o nome de todos os sistemas ativos do STI;
• Incluímos uma formatação condicional, onde, caso seja informado que há impacto (incluindo S ou algum valor) e o campo Sistema Correspondente não for preenchido, a linha de sistema ficará marcada em vermelho;
• Na linha 854, “Qualquer outro sistema além dos descritos acima”, fizemos a expansão desta linha com o nome do sistema a ser incluído (através da combo) e o valor que o sistema tem na ME;
• Na aba “Sistemas”, incluímos as combos dos sistemas e os RTs e LT da solicitação.
</t>
  </si>
  <si>
    <t>Ger. Capacidade</t>
  </si>
  <si>
    <t>Inclusão da funcionalidade do Fórum Especializado</t>
  </si>
  <si>
    <t>Inclusão de informações de CRM Fixa RI</t>
  </si>
  <si>
    <t>8.1</t>
  </si>
  <si>
    <t>Correção e informações sobre a planilha enviada anteriormente</t>
  </si>
  <si>
    <t>Inclusão da linha 608 - Homem-hora</t>
  </si>
  <si>
    <t>Leonardo Corgosinho Amaro</t>
  </si>
  <si>
    <t>Inclusão das linhas 569 e 598 (Siebel)</t>
  </si>
  <si>
    <t xml:space="preserve">Sylvia e Khalil </t>
  </si>
  <si>
    <t>Correção nas linhas de "Qualquer outro sist." - Inclusão de Formatação Condicional em linhas de sistemas e Fornecedor</t>
  </si>
  <si>
    <t>Inclusão de 3 linhas do SAP - Alteração de configuração Simples, média e complexa (Linhas 719 a 721)</t>
  </si>
  <si>
    <t>Elisangela Martins da Silva</t>
  </si>
  <si>
    <t>Atualização de Sistemas na lista</t>
  </si>
  <si>
    <t>Inclusão da memoria de calculo para o sistema SFA Siebel 8 (Criada linhas de 700 a 710, e alterada linha 711) - Solicitado por CRM</t>
  </si>
  <si>
    <t>Victor Hugo Duarte Nascimento Silva</t>
  </si>
  <si>
    <t>Inclusão da dinâmica com os sistemas impactados selecionados na aba Macro para a aba Sistema e atualização da base do STI</t>
  </si>
  <si>
    <t>Inclusão do campo de Tempo total em Meses</t>
  </si>
  <si>
    <t>Melhorias na planilha e resolução de erros ocorridos no VBA</t>
  </si>
  <si>
    <t>[OM-R] Sistema de Workflow</t>
  </si>
  <si>
    <t>Inclusão dos elementos de OSS Workflow (Linhas 915 a 951)</t>
  </si>
  <si>
    <t>Leon Luiz</t>
  </si>
  <si>
    <r>
      <t xml:space="preserve">Se esta linha for preenchida não precisa preencher mais nenhuma. </t>
    </r>
    <r>
      <rPr>
        <b/>
        <sz val="11"/>
        <rFont val="Calibri"/>
        <family val="2"/>
        <scheme val="minor"/>
      </rPr>
      <t xml:space="preserve">
Informe o Numero do PRJ da Solicitação semelhante</t>
    </r>
    <r>
      <rPr>
        <sz val="11"/>
        <rFont val="Calibri"/>
        <family val="2"/>
        <scheme val="minor"/>
      </rPr>
      <t>: ______</t>
    </r>
  </si>
  <si>
    <t>Retirada do termo STI na aba Macro</t>
  </si>
  <si>
    <t>Paula de Almeida Corrêa Gonçalves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</si>
</sst>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quot;R$&quot;* #,##0.00_);_(&quot;R$&quot;* \(#,##0.00\);_(&quot;R$&quot;* &quot;-&quot;??_);_(@_)"/>
    <numFmt numFmtId="165" formatCode="0.0"/>
  </numFmts>
  <fonts count="39" x14ac:knownFonts="1">
    <font>
      <sz val="11"/>
      <color theme="1"/>
      <name val="Calibri"/>
      <family val="2"/>
      <scheme val="minor"/>
    </font>
    <font>
      <sz val="11"/>
      <color theme="1"/>
      <name val="Calibri"/>
      <family val="2"/>
      <scheme val="minor"/>
    </font>
    <font>
      <sz val="11"/>
      <color rgb="FF0061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2"/>
      <color rgb="FF000000"/>
      <name val="Calibri"/>
      <family val="2"/>
    </font>
    <font>
      <b/>
      <sz val="11"/>
      <color rgb="FF000000"/>
      <name val="Calibri"/>
      <family val="2"/>
    </font>
    <font>
      <b/>
      <sz val="16"/>
      <color theme="1"/>
      <name val="Calibri"/>
      <family val="2"/>
      <scheme val="minor"/>
    </font>
    <font>
      <b/>
      <sz val="14"/>
      <color theme="1"/>
      <name val="Calibri"/>
      <family val="2"/>
      <scheme val="minor"/>
    </font>
    <font>
      <b/>
      <sz val="14"/>
      <color rgb="FF00B050"/>
      <name val="Calibri"/>
      <family val="2"/>
      <scheme val="minor"/>
    </font>
    <font>
      <b/>
      <sz val="12"/>
      <name val="Calibri"/>
      <family val="2"/>
      <scheme val="minor"/>
    </font>
    <font>
      <b/>
      <sz val="14"/>
      <name val="Calibri"/>
      <family val="2"/>
      <scheme val="minor"/>
    </font>
    <font>
      <b/>
      <sz val="11"/>
      <name val="Calibri"/>
      <family val="2"/>
      <scheme val="minor"/>
    </font>
    <font>
      <sz val="11"/>
      <name val="Calibri"/>
      <family val="2"/>
      <scheme val="minor"/>
    </font>
    <font>
      <sz val="11"/>
      <color theme="1"/>
      <name val="Calibri"/>
      <family val="2"/>
    </font>
    <font>
      <sz val="11"/>
      <color rgb="FF000000"/>
      <name val="Calibri"/>
      <family val="2"/>
      <scheme val="minor"/>
    </font>
    <font>
      <b/>
      <sz val="11"/>
      <color rgb="FFFF0000"/>
      <name val="Calibri"/>
      <family val="2"/>
      <scheme val="minor"/>
    </font>
    <font>
      <b/>
      <u/>
      <sz val="11"/>
      <name val="Calibri"/>
      <family val="2"/>
      <scheme val="minor"/>
    </font>
    <font>
      <b/>
      <u/>
      <sz val="11"/>
      <color theme="1"/>
      <name val="Calibri"/>
      <family val="2"/>
      <scheme val="minor"/>
    </font>
    <font>
      <u/>
      <sz val="11"/>
      <name val="Calibri"/>
      <family val="2"/>
      <scheme val="minor"/>
    </font>
    <font>
      <b/>
      <sz val="16"/>
      <color theme="0"/>
      <name val="Calibri"/>
      <family val="2"/>
      <scheme val="minor"/>
    </font>
    <font>
      <sz val="12"/>
      <color theme="0"/>
      <name val="Calibri"/>
      <family val="2"/>
      <scheme val="minor"/>
    </font>
    <font>
      <b/>
      <sz val="12"/>
      <color theme="0"/>
      <name val="Calibri"/>
      <family val="2"/>
      <scheme val="minor"/>
    </font>
    <font>
      <sz val="14"/>
      <color theme="1"/>
      <name val="Calibri"/>
      <family val="2"/>
      <scheme val="minor"/>
    </font>
    <font>
      <b/>
      <sz val="14"/>
      <color theme="0"/>
      <name val="Calibri"/>
      <family val="2"/>
      <scheme val="minor"/>
    </font>
    <font>
      <sz val="14"/>
      <color theme="0" tint="-0.249977111117893"/>
      <name val="Calibri"/>
      <family val="2"/>
      <scheme val="minor"/>
    </font>
    <font>
      <b/>
      <sz val="9"/>
      <color indexed="81"/>
      <name val="Tahoma"/>
      <family val="2"/>
    </font>
    <font>
      <b/>
      <sz val="14"/>
      <color rgb="FF000000"/>
      <name val="Calibri"/>
      <family val="2"/>
    </font>
    <font>
      <sz val="12"/>
      <name val="Calibri"/>
      <family val="2"/>
      <scheme val="minor"/>
    </font>
    <font>
      <sz val="12"/>
      <color theme="1"/>
      <name val="Calibri"/>
      <family val="2"/>
      <scheme val="minor"/>
    </font>
    <font>
      <sz val="8"/>
      <color indexed="81"/>
      <name val="Tahoma"/>
      <family val="2"/>
    </font>
    <font>
      <i/>
      <sz val="9"/>
      <color theme="1"/>
      <name val="Calibri"/>
      <family val="2"/>
      <scheme val="minor"/>
    </font>
    <font>
      <u/>
      <sz val="11"/>
      <color theme="1"/>
      <name val="Calibri"/>
      <family val="2"/>
      <scheme val="minor"/>
    </font>
    <font>
      <b/>
      <sz val="12"/>
      <color theme="1"/>
      <name val="Calibri"/>
      <family val="2"/>
      <scheme val="minor"/>
    </font>
    <font>
      <sz val="10"/>
      <color rgb="FF0070C0"/>
      <name val="Symbol"/>
      <family val="1"/>
      <charset val="2"/>
    </font>
    <font>
      <i/>
      <sz val="11"/>
      <color theme="1"/>
      <name val="Calibri"/>
      <family val="2"/>
      <scheme val="minor"/>
    </font>
    <font>
      <b/>
      <sz val="11"/>
      <color rgb="FF006100"/>
      <name val="Calibri"/>
      <family val="2"/>
      <scheme val="minor"/>
    </font>
  </fonts>
  <fills count="23">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14999847407452621"/>
        <bgColor indexed="64"/>
      </patternFill>
    </fill>
    <fill>
      <patternFill patternType="solid">
        <fgColor theme="1"/>
        <bgColor indexed="64"/>
      </patternFill>
    </fill>
    <fill>
      <patternFill patternType="solid">
        <fgColor theme="4" tint="0.79998168889431442"/>
        <bgColor indexed="64"/>
      </patternFill>
    </fill>
    <fill>
      <patternFill patternType="solid">
        <fgColor rgb="FFFFFFFF"/>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1"/>
        <bgColor theme="1"/>
      </patternFill>
    </fill>
    <fill>
      <patternFill patternType="solid">
        <fgColor rgb="FFFFFF00"/>
        <bgColor theme="1"/>
      </patternFill>
    </fill>
    <fill>
      <patternFill patternType="solid">
        <fgColor rgb="FF00B050"/>
        <bgColor indexed="64"/>
      </patternFill>
    </fill>
    <fill>
      <patternFill patternType="solid">
        <fgColor theme="0"/>
        <bgColor theme="0" tint="-0.34998626667073579"/>
      </patternFill>
    </fill>
  </fills>
  <borders count="2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thin">
        <color theme="0"/>
      </top>
      <bottom style="thin">
        <color theme="0"/>
      </bottom>
      <diagonal/>
    </border>
    <border>
      <left style="double">
        <color theme="0" tint="-0.24994659260841701"/>
      </left>
      <right/>
      <top style="double">
        <color theme="0" tint="-0.24994659260841701"/>
      </top>
      <bottom style="double">
        <color theme="0" tint="-0.24994659260841701"/>
      </bottom>
      <diagonal/>
    </border>
    <border>
      <left/>
      <right/>
      <top style="double">
        <color theme="0" tint="-0.24994659260841701"/>
      </top>
      <bottom style="double">
        <color theme="0" tint="-0.24994659260841701"/>
      </bottom>
      <diagonal/>
    </border>
    <border>
      <left style="double">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double">
        <color theme="0" tint="-0.24994659260841701"/>
      </right>
      <top/>
      <bottom style="thin">
        <color theme="0" tint="-0.24994659260841701"/>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double">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s>
  <cellStyleXfs count="3">
    <xf numFmtId="0" fontId="0" fillId="0" borderId="0"/>
    <xf numFmtId="0" fontId="2" fillId="2" borderId="0" applyNumberFormat="0" applyBorder="0" applyAlignment="0" applyProtection="0"/>
    <xf numFmtId="164" fontId="1" fillId="0" borderId="0" applyFont="0" applyFill="0" applyBorder="0" applyAlignment="0" applyProtection="0"/>
  </cellStyleXfs>
  <cellXfs count="245">
    <xf numFmtId="0" fontId="0" fillId="0" borderId="0" xfId="0"/>
    <xf numFmtId="0" fontId="5" fillId="0" borderId="1" xfId="0" applyFont="1" applyFill="1" applyBorder="1" applyAlignment="1" applyProtection="1">
      <alignment horizontal="center" vertical="center" wrapText="1"/>
    </xf>
    <xf numFmtId="0" fontId="5" fillId="3" borderId="1" xfId="0" applyFont="1" applyFill="1" applyBorder="1" applyAlignment="1" applyProtection="1">
      <alignment horizontal="center" vertical="center" wrapText="1"/>
    </xf>
    <xf numFmtId="0" fontId="5" fillId="0" borderId="2" xfId="0" applyFont="1" applyBorder="1" applyAlignment="1" applyProtection="1">
      <alignment horizontal="left" vertical="center" wrapText="1"/>
    </xf>
    <xf numFmtId="0" fontId="0" fillId="0" borderId="0" xfId="0" applyFont="1" applyProtection="1"/>
    <xf numFmtId="0" fontId="10" fillId="0" borderId="1" xfId="0" applyFont="1" applyFill="1" applyBorder="1" applyAlignment="1" applyProtection="1">
      <alignment horizontal="center" vertical="center" wrapText="1"/>
    </xf>
    <xf numFmtId="0" fontId="0" fillId="4" borderId="1" xfId="0" applyFont="1" applyFill="1" applyBorder="1" applyAlignment="1" applyProtection="1">
      <alignment horizontal="center" vertical="center"/>
    </xf>
    <xf numFmtId="0" fontId="10" fillId="5" borderId="1" xfId="0" applyFont="1" applyFill="1" applyBorder="1" applyAlignment="1" applyProtection="1">
      <alignment horizontal="center" vertical="center"/>
    </xf>
    <xf numFmtId="0" fontId="12" fillId="4" borderId="1" xfId="1" applyFont="1" applyFill="1" applyBorder="1" applyAlignment="1" applyProtection="1">
      <alignment horizontal="left" vertical="center"/>
    </xf>
    <xf numFmtId="0" fontId="13" fillId="5" borderId="1" xfId="0" applyFont="1" applyFill="1" applyBorder="1" applyAlignment="1" applyProtection="1">
      <alignment vertical="center" wrapText="1"/>
    </xf>
    <xf numFmtId="0" fontId="3" fillId="6" borderId="4" xfId="0" applyFont="1" applyFill="1" applyBorder="1" applyAlignment="1" applyProtection="1">
      <alignment horizontal="center" vertical="center"/>
    </xf>
    <xf numFmtId="0" fontId="3" fillId="6" borderId="4" xfId="0" applyFont="1" applyFill="1" applyBorder="1" applyAlignment="1" applyProtection="1">
      <alignment horizontal="center" vertical="center" wrapText="1"/>
    </xf>
    <xf numFmtId="0" fontId="3" fillId="6" borderId="5" xfId="0" applyFont="1" applyFill="1" applyBorder="1" applyAlignment="1" applyProtection="1">
      <alignment horizontal="center" vertical="center" wrapText="1"/>
    </xf>
    <xf numFmtId="0" fontId="3" fillId="6" borderId="6" xfId="0" applyFont="1" applyFill="1" applyBorder="1" applyAlignment="1" applyProtection="1">
      <alignment horizontal="center" vertical="center" wrapText="1"/>
    </xf>
    <xf numFmtId="0" fontId="3" fillId="6" borderId="1" xfId="0" applyFont="1" applyFill="1" applyBorder="1" applyAlignment="1" applyProtection="1">
      <alignment horizontal="center" vertical="center" wrapText="1"/>
    </xf>
    <xf numFmtId="0" fontId="14" fillId="7" borderId="1" xfId="0" applyFont="1" applyFill="1" applyBorder="1" applyAlignment="1" applyProtection="1">
      <alignment horizontal="left" vertical="center" wrapText="1"/>
    </xf>
    <xf numFmtId="0" fontId="15" fillId="8" borderId="1" xfId="0" applyFont="1" applyFill="1" applyBorder="1" applyAlignment="1" applyProtection="1">
      <alignment horizontal="center" vertical="center"/>
    </xf>
    <xf numFmtId="0" fontId="14" fillId="4" borderId="1" xfId="1" applyFont="1" applyFill="1" applyBorder="1" applyAlignment="1" applyProtection="1">
      <alignment horizontal="center" vertical="center"/>
    </xf>
    <xf numFmtId="0" fontId="15" fillId="4" borderId="1" xfId="1" applyFont="1" applyFill="1" applyBorder="1" applyAlignment="1" applyProtection="1">
      <alignment horizontal="center" vertical="center"/>
    </xf>
    <xf numFmtId="0" fontId="0" fillId="7" borderId="1" xfId="0" applyNumberFormat="1" applyFont="1" applyFill="1" applyBorder="1" applyAlignment="1" applyProtection="1">
      <alignment horizontal="center" vertical="center"/>
    </xf>
    <xf numFmtId="0" fontId="0" fillId="7" borderId="4" xfId="0" applyNumberFormat="1" applyFont="1" applyFill="1" applyBorder="1" applyAlignment="1" applyProtection="1">
      <alignment horizontal="center" vertical="center"/>
    </xf>
    <xf numFmtId="0" fontId="15" fillId="8" borderId="4" xfId="0" applyFont="1" applyFill="1" applyBorder="1" applyAlignment="1" applyProtection="1">
      <alignment horizontal="left" vertical="center" wrapText="1"/>
    </xf>
    <xf numFmtId="0" fontId="0" fillId="0" borderId="1" xfId="0" applyFont="1" applyBorder="1" applyProtection="1"/>
    <xf numFmtId="0" fontId="14" fillId="5" borderId="1" xfId="0" applyFont="1" applyFill="1" applyBorder="1" applyAlignment="1" applyProtection="1">
      <alignment horizontal="center" vertical="center"/>
    </xf>
    <xf numFmtId="0" fontId="15" fillId="4" borderId="4" xfId="1" applyFont="1" applyFill="1" applyBorder="1" applyAlignment="1" applyProtection="1">
      <alignment horizontal="center" vertical="center"/>
    </xf>
    <xf numFmtId="0" fontId="0" fillId="8" borderId="1" xfId="0" applyFont="1" applyFill="1" applyBorder="1" applyAlignment="1" applyProtection="1">
      <alignment horizontal="center" vertical="center"/>
    </xf>
    <xf numFmtId="0" fontId="3" fillId="9" borderId="4" xfId="0" applyFont="1" applyFill="1" applyBorder="1" applyAlignment="1" applyProtection="1">
      <alignment horizontal="left" vertical="center" wrapText="1"/>
    </xf>
    <xf numFmtId="0" fontId="3" fillId="9" borderId="4" xfId="0" applyFont="1" applyFill="1" applyBorder="1" applyAlignment="1" applyProtection="1">
      <alignment horizontal="center" vertical="center" wrapText="1"/>
    </xf>
    <xf numFmtId="0" fontId="6" fillId="10" borderId="1" xfId="0" applyFont="1" applyFill="1" applyBorder="1" applyAlignment="1" applyProtection="1">
      <alignment horizontal="left" vertical="center" wrapText="1"/>
    </xf>
    <xf numFmtId="16" fontId="5" fillId="8" borderId="0" xfId="0" applyNumberFormat="1" applyFont="1" applyFill="1" applyProtection="1"/>
    <xf numFmtId="0" fontId="15" fillId="7" borderId="1" xfId="0" applyFont="1" applyFill="1" applyBorder="1" applyAlignment="1" applyProtection="1">
      <alignment horizontal="left" vertical="center" wrapText="1"/>
    </xf>
    <xf numFmtId="0" fontId="15" fillId="7" borderId="1" xfId="0" applyFont="1" applyFill="1" applyBorder="1" applyAlignment="1" applyProtection="1">
      <alignment horizontal="center" vertical="center" wrapText="1"/>
    </xf>
    <xf numFmtId="0" fontId="15" fillId="7" borderId="1" xfId="0" applyFont="1" applyFill="1" applyBorder="1" applyAlignment="1" applyProtection="1">
      <alignment horizontal="center" vertical="center"/>
    </xf>
    <xf numFmtId="0" fontId="5" fillId="11" borderId="1" xfId="0" applyFont="1" applyFill="1" applyBorder="1" applyAlignment="1" applyProtection="1">
      <alignment wrapText="1"/>
    </xf>
    <xf numFmtId="0" fontId="5" fillId="11" borderId="1" xfId="0" applyFont="1" applyFill="1" applyBorder="1" applyAlignment="1" applyProtection="1">
      <alignment horizontal="center" vertical="center" wrapText="1"/>
    </xf>
    <xf numFmtId="0" fontId="5" fillId="11" borderId="1" xfId="0" applyFont="1" applyFill="1" applyBorder="1" applyAlignment="1" applyProtection="1">
      <alignment horizontal="center" wrapText="1"/>
    </xf>
    <xf numFmtId="0" fontId="0" fillId="0" borderId="0" xfId="0" applyProtection="1"/>
    <xf numFmtId="0" fontId="15" fillId="8" borderId="1" xfId="0" applyFont="1" applyFill="1" applyBorder="1" applyAlignment="1" applyProtection="1">
      <alignment horizontal="left" vertical="center" wrapText="1"/>
    </xf>
    <xf numFmtId="0" fontId="0" fillId="0" borderId="1" xfId="0" applyBorder="1" applyAlignment="1" applyProtection="1">
      <alignment horizontal="center" vertical="center"/>
    </xf>
    <xf numFmtId="0" fontId="0" fillId="8" borderId="1" xfId="0" applyFill="1" applyBorder="1" applyAlignment="1" applyProtection="1">
      <alignment horizontal="center" vertical="center"/>
    </xf>
    <xf numFmtId="0" fontId="15" fillId="7" borderId="1" xfId="0" applyFont="1" applyFill="1" applyBorder="1" applyAlignment="1" applyProtection="1">
      <alignment horizontal="right" vertical="center"/>
    </xf>
    <xf numFmtId="0" fontId="5" fillId="8" borderId="1" xfId="0" applyFont="1" applyFill="1" applyBorder="1" applyAlignment="1" applyProtection="1">
      <alignment wrapText="1"/>
    </xf>
    <xf numFmtId="0" fontId="5" fillId="8" borderId="1" xfId="0" applyFont="1" applyFill="1" applyBorder="1" applyAlignment="1" applyProtection="1">
      <alignment horizontal="center" vertical="center" wrapText="1"/>
    </xf>
    <xf numFmtId="0" fontId="5" fillId="8" borderId="1" xfId="0" applyFont="1" applyFill="1" applyBorder="1" applyAlignment="1" applyProtection="1">
      <alignment horizontal="center" wrapText="1"/>
    </xf>
    <xf numFmtId="0" fontId="15" fillId="7" borderId="1" xfId="0" applyFont="1" applyFill="1" applyBorder="1" applyAlignment="1" applyProtection="1">
      <alignment horizontal="left" vertical="center" wrapText="1"/>
      <protection hidden="1"/>
    </xf>
    <xf numFmtId="0" fontId="15" fillId="7" borderId="1" xfId="0" applyFont="1" applyFill="1" applyBorder="1" applyAlignment="1" applyProtection="1">
      <alignment horizontal="right" vertical="center"/>
      <protection hidden="1"/>
    </xf>
    <xf numFmtId="0" fontId="15" fillId="7" borderId="1" xfId="0" applyFont="1" applyFill="1" applyBorder="1" applyAlignment="1" applyProtection="1">
      <alignment horizontal="center" vertical="center"/>
      <protection hidden="1"/>
    </xf>
    <xf numFmtId="0" fontId="5" fillId="11" borderId="1" xfId="0" applyFont="1" applyFill="1" applyBorder="1" applyAlignment="1" applyProtection="1">
      <alignment horizontal="right" wrapText="1"/>
    </xf>
    <xf numFmtId="0" fontId="0" fillId="0" borderId="1" xfId="0" applyBorder="1"/>
    <xf numFmtId="0" fontId="15" fillId="8" borderId="1" xfId="0" applyFont="1" applyFill="1" applyBorder="1" applyAlignment="1" applyProtection="1">
      <alignment horizontal="center" vertical="center"/>
      <protection hidden="1"/>
    </xf>
    <xf numFmtId="0" fontId="16" fillId="0" borderId="1" xfId="0" applyFont="1" applyFill="1" applyBorder="1" applyAlignment="1" applyProtection="1">
      <alignment horizontal="center" vertical="center"/>
    </xf>
    <xf numFmtId="0" fontId="0" fillId="0" borderId="1" xfId="0" applyBorder="1" applyAlignment="1">
      <alignment horizontal="center" vertical="center"/>
    </xf>
    <xf numFmtId="0" fontId="0" fillId="0" borderId="1" xfId="0" applyFill="1" applyBorder="1" applyAlignment="1">
      <alignment horizontal="center" vertical="center"/>
    </xf>
    <xf numFmtId="0" fontId="15" fillId="7" borderId="1" xfId="0" applyFont="1" applyFill="1" applyBorder="1" applyAlignment="1" applyProtection="1">
      <alignment horizontal="center" vertical="center" wrapText="1"/>
      <protection hidden="1"/>
    </xf>
    <xf numFmtId="0" fontId="15" fillId="7" borderId="1" xfId="0" applyFont="1" applyFill="1" applyBorder="1" applyAlignment="1" applyProtection="1">
      <alignment horizontal="right" vertical="center" wrapText="1"/>
      <protection hidden="1"/>
    </xf>
    <xf numFmtId="0" fontId="16" fillId="12" borderId="1" xfId="0" applyFont="1" applyFill="1" applyBorder="1" applyAlignment="1">
      <alignment vertical="center" wrapText="1"/>
    </xf>
    <xf numFmtId="0" fontId="15" fillId="7" borderId="1" xfId="0" applyFont="1" applyFill="1" applyBorder="1" applyAlignment="1" applyProtection="1">
      <alignment horizontal="right" vertical="center" wrapText="1"/>
    </xf>
    <xf numFmtId="0" fontId="14" fillId="8" borderId="1" xfId="0" applyFont="1" applyFill="1" applyBorder="1" applyAlignment="1" applyProtection="1">
      <alignment horizontal="left" vertical="center" wrapText="1"/>
    </xf>
    <xf numFmtId="0" fontId="14" fillId="8" borderId="1" xfId="0" applyFont="1" applyFill="1" applyBorder="1" applyAlignment="1" applyProtection="1">
      <alignment horizontal="center" vertical="center"/>
    </xf>
    <xf numFmtId="0" fontId="3" fillId="9" borderId="1" xfId="0" applyFont="1" applyFill="1" applyBorder="1" applyAlignment="1" applyProtection="1">
      <alignment horizontal="left" vertical="center" wrapText="1"/>
    </xf>
    <xf numFmtId="0" fontId="15" fillId="0" borderId="1" xfId="0" applyFont="1" applyFill="1" applyBorder="1" applyAlignment="1" applyProtection="1">
      <alignment horizontal="left" vertical="center" wrapText="1"/>
    </xf>
    <xf numFmtId="0" fontId="15" fillId="0" borderId="1" xfId="0" applyFont="1" applyFill="1"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Font="1" applyFill="1" applyBorder="1" applyAlignment="1" applyProtection="1">
      <alignment horizontal="center" vertical="center"/>
    </xf>
    <xf numFmtId="0" fontId="0" fillId="0" borderId="1" xfId="0" applyFont="1" applyFill="1" applyBorder="1" applyProtection="1"/>
    <xf numFmtId="0" fontId="0" fillId="0" borderId="0" xfId="0" applyFont="1" applyFill="1" applyProtection="1"/>
    <xf numFmtId="0" fontId="0" fillId="0" borderId="1" xfId="0" applyBorder="1" applyAlignment="1" applyProtection="1">
      <alignment horizontal="right"/>
    </xf>
    <xf numFmtId="0" fontId="0" fillId="0" borderId="2" xfId="0" applyBorder="1" applyProtection="1"/>
    <xf numFmtId="0" fontId="0" fillId="0" borderId="0" xfId="0" applyBorder="1" applyProtection="1"/>
    <xf numFmtId="0" fontId="0" fillId="0" borderId="0" xfId="0" applyFont="1" applyBorder="1" applyProtection="1"/>
    <xf numFmtId="0" fontId="0" fillId="0" borderId="0" xfId="0" applyBorder="1" applyAlignment="1" applyProtection="1">
      <alignment vertical="center"/>
    </xf>
    <xf numFmtId="0" fontId="15" fillId="7" borderId="1" xfId="0" applyFont="1" applyFill="1" applyBorder="1" applyAlignment="1" applyProtection="1">
      <alignment vertical="center" wrapText="1"/>
      <protection hidden="1"/>
    </xf>
    <xf numFmtId="0" fontId="15" fillId="7" borderId="1" xfId="0" applyFont="1" applyFill="1" applyBorder="1" applyAlignment="1" applyProtection="1">
      <alignment vertical="center" wrapText="1"/>
    </xf>
    <xf numFmtId="0" fontId="14" fillId="7" borderId="1" xfId="2" applyNumberFormat="1" applyFont="1" applyFill="1" applyBorder="1" applyAlignment="1" applyProtection="1">
      <alignment horizontal="center" vertical="center" wrapText="1"/>
    </xf>
    <xf numFmtId="0" fontId="14" fillId="7" borderId="1" xfId="0" applyNumberFormat="1" applyFont="1" applyFill="1" applyBorder="1" applyAlignment="1" applyProtection="1">
      <alignment horizontal="left" vertical="center" wrapText="1"/>
    </xf>
    <xf numFmtId="0" fontId="0" fillId="0" borderId="1" xfId="0" applyBorder="1" applyAlignment="1" applyProtection="1">
      <alignment vertical="center"/>
    </xf>
    <xf numFmtId="0" fontId="0" fillId="0" borderId="1" xfId="0" applyBorder="1" applyAlignment="1">
      <alignment horizontal="left" vertical="center"/>
    </xf>
    <xf numFmtId="0" fontId="17" fillId="0" borderId="1" xfId="0" applyFont="1" applyBorder="1" applyAlignment="1">
      <alignment horizontal="center" vertical="center"/>
    </xf>
    <xf numFmtId="1" fontId="0" fillId="0" borderId="1" xfId="2" applyNumberFormat="1" applyFont="1" applyBorder="1" applyAlignment="1">
      <alignment horizontal="center" vertical="center"/>
    </xf>
    <xf numFmtId="0" fontId="0" fillId="4" borderId="1" xfId="2" applyNumberFormat="1" applyFont="1" applyFill="1" applyBorder="1" applyAlignment="1" applyProtection="1">
      <alignment horizontal="center" vertical="center"/>
    </xf>
    <xf numFmtId="165" fontId="0" fillId="4" borderId="1" xfId="2" applyNumberFormat="1" applyFont="1" applyFill="1" applyBorder="1" applyAlignment="1" applyProtection="1">
      <alignment horizontal="center" vertical="center"/>
    </xf>
    <xf numFmtId="0" fontId="0" fillId="0" borderId="1" xfId="0" applyNumberFormat="1" applyBorder="1" applyAlignment="1">
      <alignment vertical="center" wrapText="1"/>
    </xf>
    <xf numFmtId="0" fontId="0" fillId="0" borderId="1" xfId="0" applyBorder="1" applyAlignment="1">
      <alignment horizontal="left" vertical="center" wrapText="1"/>
    </xf>
    <xf numFmtId="0" fontId="18" fillId="0" borderId="1" xfId="0" applyNumberFormat="1" applyFont="1" applyBorder="1" applyAlignment="1">
      <alignment vertical="center" wrapText="1"/>
    </xf>
    <xf numFmtId="0" fontId="0" fillId="0" borderId="1" xfId="0" applyBorder="1" applyAlignment="1" applyProtection="1">
      <alignment vertical="center" wrapText="1"/>
    </xf>
    <xf numFmtId="0" fontId="17" fillId="0" borderId="1" xfId="0" applyFont="1" applyBorder="1" applyAlignment="1" applyProtection="1">
      <alignment horizontal="center" vertical="center"/>
    </xf>
    <xf numFmtId="0" fontId="0" fillId="0" borderId="1" xfId="2" applyNumberFormat="1" applyFont="1" applyBorder="1" applyAlignment="1" applyProtection="1">
      <alignment horizontal="center" vertical="center"/>
    </xf>
    <xf numFmtId="0" fontId="0" fillId="0" borderId="1" xfId="0" applyNumberFormat="1" applyBorder="1" applyAlignment="1" applyProtection="1">
      <alignment vertical="center" wrapText="1"/>
    </xf>
    <xf numFmtId="0" fontId="17" fillId="0" borderId="1" xfId="0" applyFont="1" applyBorder="1" applyAlignment="1" applyProtection="1">
      <alignment vertical="center" wrapText="1"/>
    </xf>
    <xf numFmtId="0" fontId="0" fillId="0" borderId="0" xfId="0" applyFill="1" applyBorder="1" applyAlignment="1" applyProtection="1">
      <alignment vertical="center"/>
    </xf>
    <xf numFmtId="0" fontId="14" fillId="7" borderId="1" xfId="0" applyFont="1" applyFill="1" applyBorder="1" applyAlignment="1" applyProtection="1">
      <alignment vertical="center" wrapText="1"/>
    </xf>
    <xf numFmtId="0" fontId="0" fillId="0" borderId="4" xfId="0" applyFill="1" applyBorder="1" applyAlignment="1" applyProtection="1">
      <alignment vertical="center" wrapText="1"/>
    </xf>
    <xf numFmtId="0" fontId="17" fillId="0" borderId="4" xfId="0" applyFont="1" applyBorder="1" applyAlignment="1" applyProtection="1">
      <alignment horizontal="center" vertical="center"/>
    </xf>
    <xf numFmtId="0" fontId="0" fillId="0" borderId="4" xfId="2" applyNumberFormat="1" applyFont="1" applyBorder="1" applyAlignment="1" applyProtection="1">
      <alignment horizontal="center" vertical="center"/>
    </xf>
    <xf numFmtId="1" fontId="0" fillId="0" borderId="1" xfId="0" applyNumberFormat="1" applyBorder="1" applyAlignment="1" applyProtection="1">
      <alignment horizontal="center"/>
    </xf>
    <xf numFmtId="1" fontId="0" fillId="4" borderId="4" xfId="0" applyNumberFormat="1" applyFill="1" applyBorder="1" applyAlignment="1" applyProtection="1">
      <alignment horizontal="center"/>
    </xf>
    <xf numFmtId="0" fontId="0" fillId="0" borderId="4" xfId="0" applyNumberFormat="1" applyBorder="1" applyAlignment="1" applyProtection="1">
      <alignment vertical="center" wrapText="1"/>
    </xf>
    <xf numFmtId="0" fontId="0" fillId="4" borderId="4" xfId="0" applyNumberFormat="1" applyFill="1" applyBorder="1" applyAlignment="1" applyProtection="1">
      <alignment horizontal="center" vertical="center"/>
    </xf>
    <xf numFmtId="0" fontId="14" fillId="9" borderId="4" xfId="0" applyFont="1" applyFill="1" applyBorder="1" applyAlignment="1" applyProtection="1">
      <alignment horizontal="left" vertical="center" wrapText="1"/>
    </xf>
    <xf numFmtId="0" fontId="0" fillId="0" borderId="1" xfId="0" applyBorder="1" applyAlignment="1" applyProtection="1">
      <alignment horizontal="left" wrapText="1"/>
    </xf>
    <xf numFmtId="0" fontId="0" fillId="8" borderId="1" xfId="0" applyFont="1" applyFill="1" applyBorder="1" applyAlignment="1" applyProtection="1">
      <alignment horizontal="left" vertical="center" wrapText="1"/>
    </xf>
    <xf numFmtId="0" fontId="3" fillId="10" borderId="1" xfId="0" applyFont="1" applyFill="1" applyBorder="1" applyAlignment="1" applyProtection="1">
      <alignment horizontal="left" vertical="center" wrapText="1"/>
    </xf>
    <xf numFmtId="0" fontId="15" fillId="0" borderId="1" xfId="0" applyFont="1" applyFill="1" applyBorder="1" applyAlignment="1" applyProtection="1">
      <alignment horizontal="center" vertical="center" wrapText="1"/>
    </xf>
    <xf numFmtId="0" fontId="18" fillId="9" borderId="4" xfId="0" applyFont="1" applyFill="1" applyBorder="1" applyAlignment="1" applyProtection="1">
      <alignment horizontal="left" vertical="center" wrapText="1"/>
    </xf>
    <xf numFmtId="0" fontId="18" fillId="9" borderId="4" xfId="0" applyFont="1" applyFill="1" applyBorder="1" applyAlignment="1" applyProtection="1">
      <alignment horizontal="center" vertical="center" wrapText="1"/>
    </xf>
    <xf numFmtId="0" fontId="18" fillId="10" borderId="1" xfId="0" applyFont="1" applyFill="1" applyBorder="1" applyAlignment="1" applyProtection="1">
      <alignment horizontal="left" vertical="center" wrapText="1"/>
    </xf>
    <xf numFmtId="0" fontId="14" fillId="5" borderId="4" xfId="0" applyFont="1" applyFill="1" applyBorder="1" applyAlignment="1" applyProtection="1">
      <alignment horizontal="center" vertical="center"/>
    </xf>
    <xf numFmtId="0" fontId="0" fillId="0" borderId="1" xfId="0" applyFont="1" applyBorder="1" applyAlignment="1" applyProtection="1">
      <alignment horizontal="center" vertical="center"/>
    </xf>
    <xf numFmtId="0" fontId="15" fillId="3" borderId="1" xfId="0" applyFont="1" applyFill="1" applyBorder="1" applyAlignment="1" applyProtection="1">
      <alignment horizontal="left" vertical="center" wrapText="1"/>
    </xf>
    <xf numFmtId="0" fontId="15" fillId="0" borderId="4" xfId="0" applyFont="1" applyFill="1" applyBorder="1" applyAlignment="1" applyProtection="1">
      <alignment horizontal="center" vertical="center" wrapText="1"/>
    </xf>
    <xf numFmtId="0" fontId="0" fillId="4" borderId="4" xfId="0" applyFont="1" applyFill="1" applyBorder="1" applyAlignment="1" applyProtection="1">
      <alignment horizontal="center" vertical="center"/>
    </xf>
    <xf numFmtId="0" fontId="0" fillId="0" borderId="4" xfId="0" applyBorder="1" applyAlignment="1" applyProtection="1">
      <alignment horizontal="left" wrapText="1"/>
    </xf>
    <xf numFmtId="0" fontId="15" fillId="3" borderId="1" xfId="0" applyFont="1" applyFill="1" applyBorder="1" applyAlignment="1" applyProtection="1">
      <alignment horizontal="left" vertical="center" wrapText="1"/>
      <protection hidden="1"/>
    </xf>
    <xf numFmtId="0" fontId="15" fillId="3"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left" vertical="center" wrapText="1"/>
      <protection hidden="1"/>
    </xf>
    <xf numFmtId="0" fontId="15" fillId="4" borderId="1" xfId="0" applyFont="1" applyFill="1" applyBorder="1" applyAlignment="1" applyProtection="1">
      <alignment horizontal="center" vertical="center" wrapText="1"/>
    </xf>
    <xf numFmtId="0" fontId="15" fillId="8" borderId="1" xfId="0" applyFont="1" applyFill="1" applyBorder="1" applyAlignment="1" applyProtection="1">
      <alignment horizontal="left" vertical="center" wrapText="1"/>
      <protection hidden="1"/>
    </xf>
    <xf numFmtId="0" fontId="15" fillId="0" borderId="1" xfId="0" applyFont="1" applyFill="1" applyBorder="1" applyAlignment="1" applyProtection="1">
      <alignment horizontal="center" vertical="center" wrapText="1"/>
      <protection hidden="1"/>
    </xf>
    <xf numFmtId="0" fontId="0" fillId="8" borderId="1" xfId="0" applyFont="1" applyFill="1" applyBorder="1" applyAlignment="1" applyProtection="1">
      <alignment horizontal="center" vertical="center"/>
      <protection hidden="1"/>
    </xf>
    <xf numFmtId="0" fontId="0" fillId="8" borderId="1" xfId="0" applyFill="1" applyBorder="1" applyAlignment="1" applyProtection="1">
      <alignment horizontal="center" vertical="center"/>
      <protection hidden="1"/>
    </xf>
    <xf numFmtId="0" fontId="4" fillId="0" borderId="1" xfId="0" applyFont="1" applyBorder="1" applyProtection="1"/>
    <xf numFmtId="0" fontId="4" fillId="0" borderId="0" xfId="0" applyFont="1" applyProtection="1"/>
    <xf numFmtId="0" fontId="15" fillId="4" borderId="1" xfId="0" applyFont="1" applyFill="1" applyBorder="1" applyAlignment="1" applyProtection="1">
      <alignment horizontal="center" vertical="center"/>
    </xf>
    <xf numFmtId="0" fontId="14" fillId="13" borderId="1" xfId="0" applyFont="1" applyFill="1" applyBorder="1" applyAlignment="1" applyProtection="1">
      <alignment horizontal="left" vertical="center" wrapText="1"/>
    </xf>
    <xf numFmtId="0" fontId="15" fillId="8" borderId="4" xfId="0" applyFont="1" applyFill="1" applyBorder="1" applyAlignment="1" applyProtection="1">
      <alignment horizontal="center" vertical="center"/>
    </xf>
    <xf numFmtId="9" fontId="5" fillId="8" borderId="1" xfId="0" applyNumberFormat="1" applyFont="1" applyFill="1" applyBorder="1" applyAlignment="1" applyProtection="1">
      <alignment horizontal="center" vertical="center" wrapText="1"/>
    </xf>
    <xf numFmtId="0" fontId="4" fillId="8" borderId="1" xfId="0" applyFont="1" applyFill="1" applyBorder="1" applyAlignment="1" applyProtection="1">
      <alignment horizontal="left" vertical="center" wrapText="1"/>
    </xf>
    <xf numFmtId="0" fontId="4" fillId="5" borderId="1" xfId="0" applyFont="1" applyFill="1" applyBorder="1" applyAlignment="1" applyProtection="1">
      <alignment horizontal="center" vertical="center"/>
    </xf>
    <xf numFmtId="0" fontId="14" fillId="7" borderId="1" xfId="0" applyFont="1" applyFill="1" applyBorder="1" applyAlignment="1" applyProtection="1">
      <alignment horizontal="center" vertical="center" wrapText="1"/>
    </xf>
    <xf numFmtId="0" fontId="5" fillId="9" borderId="1" xfId="0" applyFont="1" applyFill="1" applyBorder="1" applyAlignment="1" applyProtection="1">
      <alignment horizontal="center" vertical="center" wrapText="1"/>
    </xf>
    <xf numFmtId="0" fontId="22" fillId="9" borderId="1" xfId="0" applyFont="1" applyFill="1" applyBorder="1" applyAlignment="1" applyProtection="1">
      <alignment horizontal="center" vertical="center"/>
    </xf>
    <xf numFmtId="0" fontId="3" fillId="9" borderId="1" xfId="0" applyFont="1" applyFill="1" applyBorder="1" applyAlignment="1" applyProtection="1">
      <alignment horizontal="center" vertical="center" wrapText="1"/>
    </xf>
    <xf numFmtId="0" fontId="23" fillId="9" borderId="7" xfId="0" applyFont="1" applyFill="1" applyBorder="1" applyAlignment="1" applyProtection="1">
      <alignment horizontal="center" vertical="center" wrapText="1"/>
    </xf>
    <xf numFmtId="0" fontId="24" fillId="9" borderId="8" xfId="0" applyFont="1" applyFill="1" applyBorder="1" applyAlignment="1" applyProtection="1">
      <alignment vertical="center" wrapText="1"/>
    </xf>
    <xf numFmtId="0" fontId="24" fillId="9" borderId="9" xfId="0" applyFont="1" applyFill="1" applyBorder="1" applyAlignment="1" applyProtection="1">
      <alignment horizontal="center" vertical="center" wrapText="1"/>
    </xf>
    <xf numFmtId="0" fontId="25" fillId="9" borderId="1" xfId="0" applyFont="1" applyFill="1" applyBorder="1" applyAlignment="1" applyProtection="1">
      <alignment horizontal="center" vertical="center"/>
    </xf>
    <xf numFmtId="0" fontId="3" fillId="9" borderId="1" xfId="0" applyFont="1" applyFill="1" applyBorder="1" applyAlignment="1" applyProtection="1">
      <alignment horizontal="left" vertical="top" wrapText="1"/>
    </xf>
    <xf numFmtId="0" fontId="0" fillId="8" borderId="1" xfId="0" applyFont="1" applyFill="1" applyBorder="1" applyAlignment="1" applyProtection="1">
      <alignment vertical="center" wrapText="1"/>
    </xf>
    <xf numFmtId="0" fontId="0" fillId="9" borderId="1" xfId="0" applyFont="1" applyFill="1" applyBorder="1" applyAlignment="1" applyProtection="1">
      <alignment vertical="center" wrapText="1"/>
    </xf>
    <xf numFmtId="0" fontId="0" fillId="9" borderId="1" xfId="0" applyFont="1" applyFill="1" applyBorder="1" applyAlignment="1" applyProtection="1">
      <alignment horizontal="center" vertical="center"/>
    </xf>
    <xf numFmtId="0" fontId="3" fillId="6" borderId="1" xfId="0" applyFont="1" applyFill="1" applyBorder="1" applyAlignment="1" applyProtection="1">
      <alignment horizontal="center" vertical="center"/>
    </xf>
    <xf numFmtId="0" fontId="13" fillId="13" borderId="11" xfId="0" applyFont="1" applyFill="1" applyBorder="1" applyAlignment="1" applyProtection="1">
      <alignment vertical="center"/>
    </xf>
    <xf numFmtId="0" fontId="15" fillId="13" borderId="1" xfId="0" applyFont="1" applyFill="1" applyBorder="1" applyAlignment="1" applyProtection="1">
      <alignment horizontal="center" vertical="center"/>
    </xf>
    <xf numFmtId="0" fontId="24" fillId="13" borderId="1" xfId="0" applyFont="1" applyFill="1" applyBorder="1" applyAlignment="1" applyProtection="1">
      <alignment horizontal="center" vertical="center"/>
    </xf>
    <xf numFmtId="0" fontId="15" fillId="8" borderId="1" xfId="0" applyFont="1" applyFill="1" applyBorder="1" applyAlignment="1" applyProtection="1">
      <alignment horizontal="left" vertical="top" wrapText="1"/>
    </xf>
    <xf numFmtId="0" fontId="5" fillId="9" borderId="1" xfId="0" applyFont="1" applyFill="1" applyBorder="1" applyAlignment="1" applyProtection="1">
      <alignment vertical="center" wrapText="1"/>
    </xf>
    <xf numFmtId="0" fontId="2" fillId="9" borderId="1" xfId="1" applyFont="1" applyFill="1" applyBorder="1" applyAlignment="1" applyProtection="1">
      <alignment horizontal="center" vertical="center"/>
    </xf>
    <xf numFmtId="0" fontId="5" fillId="8" borderId="1" xfId="0" applyFont="1" applyFill="1" applyBorder="1" applyAlignment="1" applyProtection="1">
      <alignment vertical="center" wrapText="1"/>
    </xf>
    <xf numFmtId="0" fontId="0" fillId="9" borderId="1" xfId="0" applyFont="1" applyFill="1" applyBorder="1" applyAlignment="1" applyProtection="1">
      <alignment horizontal="center"/>
    </xf>
    <xf numFmtId="0" fontId="26" fillId="8" borderId="1" xfId="0" applyFont="1" applyFill="1" applyBorder="1" applyAlignment="1" applyProtection="1">
      <alignment horizontal="center" wrapText="1"/>
    </xf>
    <xf numFmtId="0" fontId="27" fillId="5" borderId="0" xfId="0" applyFont="1" applyFill="1" applyAlignment="1" applyProtection="1">
      <alignment horizontal="center" vertical="center" wrapText="1"/>
    </xf>
    <xf numFmtId="0" fontId="0" fillId="0" borderId="0" xfId="0" applyFont="1" applyAlignment="1" applyProtection="1">
      <alignment horizontal="center" vertical="center"/>
    </xf>
    <xf numFmtId="0" fontId="0" fillId="0" borderId="0" xfId="0" applyFont="1" applyAlignment="1" applyProtection="1">
      <alignment horizontal="center"/>
    </xf>
    <xf numFmtId="0" fontId="0" fillId="0" borderId="0" xfId="0" applyFont="1" applyAlignment="1" applyProtection="1">
      <alignment wrapText="1"/>
    </xf>
    <xf numFmtId="0" fontId="12" fillId="14" borderId="1" xfId="0" applyFont="1" applyFill="1" applyBorder="1" applyAlignment="1">
      <alignment horizontal="left"/>
    </xf>
    <xf numFmtId="0" fontId="3" fillId="6" borderId="1" xfId="0" applyFont="1" applyFill="1" applyBorder="1" applyAlignment="1" applyProtection="1">
      <alignment horizontal="center" vertical="center"/>
      <protection hidden="1"/>
    </xf>
    <xf numFmtId="0" fontId="3" fillId="15" borderId="1" xfId="0" applyFont="1" applyFill="1" applyBorder="1" applyAlignment="1" applyProtection="1">
      <alignment horizontal="center" vertical="center"/>
      <protection hidden="1"/>
    </xf>
    <xf numFmtId="0" fontId="30" fillId="16" borderId="1" xfId="1" applyFont="1" applyFill="1" applyBorder="1" applyAlignment="1" applyProtection="1">
      <alignment horizontal="center" vertical="center"/>
    </xf>
    <xf numFmtId="0" fontId="3" fillId="6" borderId="4" xfId="0" applyFont="1" applyFill="1" applyBorder="1" applyAlignment="1" applyProtection="1">
      <alignment horizontal="center" vertical="center"/>
      <protection hidden="1"/>
    </xf>
    <xf numFmtId="0" fontId="3" fillId="15" borderId="4" xfId="0" applyFont="1" applyFill="1" applyBorder="1" applyAlignment="1" applyProtection="1">
      <alignment horizontal="center" vertical="center"/>
      <protection hidden="1"/>
    </xf>
    <xf numFmtId="0" fontId="0" fillId="0" borderId="0" xfId="0" applyAlignment="1">
      <alignment wrapText="1"/>
    </xf>
    <xf numFmtId="0" fontId="0" fillId="0" borderId="0" xfId="0" applyAlignment="1">
      <alignment horizontal="left"/>
    </xf>
    <xf numFmtId="0" fontId="0" fillId="0" borderId="0" xfId="0" applyNumberFormat="1"/>
    <xf numFmtId="0" fontId="10" fillId="0" borderId="0" xfId="0" applyFont="1" applyAlignment="1">
      <alignment horizontal="center"/>
    </xf>
    <xf numFmtId="0" fontId="6" fillId="9" borderId="1" xfId="0" applyFont="1" applyFill="1" applyBorder="1" applyAlignment="1" applyProtection="1">
      <alignment horizontal="center" vertical="center" wrapText="1"/>
      <protection hidden="1"/>
    </xf>
    <xf numFmtId="0" fontId="0" fillId="0" borderId="0" xfId="0" applyFont="1" applyProtection="1">
      <protection hidden="1"/>
    </xf>
    <xf numFmtId="0" fontId="14" fillId="17" borderId="1" xfId="0" applyFont="1" applyFill="1" applyBorder="1" applyAlignment="1" applyProtection="1">
      <alignment horizontal="left" vertical="center" wrapText="1"/>
      <protection hidden="1"/>
    </xf>
    <xf numFmtId="0" fontId="0" fillId="0" borderId="0" xfId="0" applyAlignment="1">
      <alignment horizontal="center" vertical="center"/>
    </xf>
    <xf numFmtId="0" fontId="15" fillId="14" borderId="0" xfId="0" applyFont="1" applyFill="1"/>
    <xf numFmtId="0" fontId="12" fillId="14" borderId="11" xfId="0" applyFont="1" applyFill="1" applyBorder="1" applyAlignment="1">
      <alignment horizontal="center"/>
    </xf>
    <xf numFmtId="0" fontId="12" fillId="14" borderId="3" xfId="0" applyFont="1" applyFill="1" applyBorder="1" applyAlignment="1">
      <alignment horizontal="center"/>
    </xf>
    <xf numFmtId="0" fontId="12" fillId="14" borderId="1" xfId="0" applyFont="1" applyFill="1" applyBorder="1" applyAlignment="1">
      <alignment horizontal="center"/>
    </xf>
    <xf numFmtId="0" fontId="12" fillId="14" borderId="1" xfId="0" applyFont="1" applyFill="1" applyBorder="1" applyAlignment="1">
      <alignment horizontal="center" vertical="center"/>
    </xf>
    <xf numFmtId="0" fontId="12" fillId="8" borderId="3" xfId="0" applyFont="1" applyFill="1" applyBorder="1" applyAlignment="1">
      <alignment horizontal="center"/>
    </xf>
    <xf numFmtId="0" fontId="5" fillId="8" borderId="1" xfId="0" applyFont="1" applyFill="1" applyBorder="1" applyAlignment="1">
      <alignment horizontal="center" vertical="center"/>
    </xf>
    <xf numFmtId="0" fontId="0" fillId="8" borderId="1" xfId="0" applyNumberFormat="1" applyFill="1" applyBorder="1" applyAlignment="1">
      <alignment horizontal="center" vertical="center"/>
    </xf>
    <xf numFmtId="0" fontId="14" fillId="14" borderId="1" xfId="0" applyFont="1" applyFill="1" applyBorder="1" applyAlignment="1" applyProtection="1">
      <alignment horizontal="left" vertical="center" wrapText="1"/>
      <protection hidden="1"/>
    </xf>
    <xf numFmtId="0" fontId="14" fillId="5" borderId="1" xfId="0" applyFont="1" applyFill="1" applyBorder="1" applyAlignment="1">
      <alignment horizontal="center" vertical="center"/>
    </xf>
    <xf numFmtId="0" fontId="0" fillId="8" borderId="1" xfId="0" applyFill="1" applyBorder="1" applyAlignment="1">
      <alignment horizontal="center" vertical="center"/>
    </xf>
    <xf numFmtId="0" fontId="31" fillId="0" borderId="12" xfId="0" applyFont="1" applyBorder="1" applyAlignment="1">
      <alignment horizontal="center" vertical="center"/>
    </xf>
    <xf numFmtId="0" fontId="26" fillId="18" borderId="5" xfId="0" applyFont="1" applyFill="1" applyBorder="1"/>
    <xf numFmtId="0" fontId="26" fillId="18" borderId="11" xfId="0" applyFont="1" applyFill="1" applyBorder="1" applyAlignment="1">
      <alignment horizontal="center" vertical="center"/>
    </xf>
    <xf numFmtId="0" fontId="26" fillId="18" borderId="1" xfId="0" applyFont="1" applyFill="1" applyBorder="1" applyAlignment="1">
      <alignment horizontal="center" vertical="center"/>
    </xf>
    <xf numFmtId="0" fontId="31" fillId="0" borderId="3" xfId="0" applyFont="1" applyBorder="1" applyAlignment="1">
      <alignment horizontal="center" vertical="center"/>
    </xf>
    <xf numFmtId="0" fontId="14" fillId="14" borderId="1" xfId="0" applyFont="1" applyFill="1" applyBorder="1" applyAlignment="1" applyProtection="1">
      <alignment horizontal="left" vertical="center"/>
      <protection hidden="1"/>
    </xf>
    <xf numFmtId="0" fontId="26" fillId="18" borderId="11" xfId="0" applyFont="1" applyFill="1" applyBorder="1"/>
    <xf numFmtId="0" fontId="26" fillId="10" borderId="11" xfId="0" applyFont="1" applyFill="1" applyBorder="1"/>
    <xf numFmtId="0" fontId="0" fillId="0" borderId="0" xfId="0" applyAlignment="1">
      <alignment horizontal="center"/>
    </xf>
    <xf numFmtId="0" fontId="10" fillId="0" borderId="3" xfId="0" applyFont="1" applyBorder="1" applyAlignment="1">
      <alignment horizontal="center" wrapText="1"/>
    </xf>
    <xf numFmtId="0" fontId="33" fillId="0" borderId="3" xfId="0" applyFont="1" applyBorder="1" applyAlignment="1">
      <alignment wrapText="1"/>
    </xf>
    <xf numFmtId="0" fontId="0" fillId="0" borderId="4" xfId="0" applyBorder="1" applyAlignment="1">
      <alignment wrapText="1"/>
    </xf>
    <xf numFmtId="0" fontId="0" fillId="0" borderId="4" xfId="0" applyBorder="1" applyAlignment="1">
      <alignment horizontal="left" wrapText="1"/>
    </xf>
    <xf numFmtId="0" fontId="0" fillId="0" borderId="1" xfId="0" applyBorder="1" applyAlignment="1">
      <alignment horizontal="left" wrapText="1"/>
    </xf>
    <xf numFmtId="0" fontId="0" fillId="0" borderId="1" xfId="0" applyBorder="1" applyAlignment="1">
      <alignment horizontal="left" vertical="top" wrapText="1"/>
    </xf>
    <xf numFmtId="49" fontId="0" fillId="0" borderId="0" xfId="0" applyNumberFormat="1"/>
    <xf numFmtId="0" fontId="35" fillId="0" borderId="0" xfId="0" applyFont="1"/>
    <xf numFmtId="0" fontId="3" fillId="19" borderId="13" xfId="0" applyFont="1" applyFill="1" applyBorder="1" applyAlignment="1">
      <alignment horizontal="center" vertical="center" wrapText="1"/>
    </xf>
    <xf numFmtId="0" fontId="3" fillId="19" borderId="14" xfId="0" applyFont="1" applyFill="1" applyBorder="1" applyAlignment="1">
      <alignment horizontal="center" vertical="center" wrapText="1"/>
    </xf>
    <xf numFmtId="0" fontId="5" fillId="20" borderId="14" xfId="0" applyFont="1" applyFill="1" applyBorder="1" applyAlignment="1">
      <alignment horizontal="center" vertical="center" wrapText="1"/>
    </xf>
    <xf numFmtId="0" fontId="5" fillId="20" borderId="15" xfId="0" applyFont="1" applyFill="1" applyBorder="1" applyAlignment="1">
      <alignment horizontal="center" vertical="center" wrapText="1"/>
    </xf>
    <xf numFmtId="0" fontId="5" fillId="20" borderId="0" xfId="0" applyFont="1" applyFill="1" applyBorder="1" applyAlignment="1">
      <alignment horizontal="center" vertical="center" wrapText="1"/>
    </xf>
    <xf numFmtId="0" fontId="5" fillId="21" borderId="0" xfId="0" applyFont="1" applyFill="1" applyAlignment="1">
      <alignment horizontal="center" vertical="center" wrapText="1"/>
    </xf>
    <xf numFmtId="0" fontId="0" fillId="0" borderId="0" xfId="0" applyAlignment="1">
      <alignment horizontal="center" vertical="center" wrapText="1"/>
    </xf>
    <xf numFmtId="0" fontId="0" fillId="0" borderId="4" xfId="0" applyBorder="1" applyAlignment="1">
      <alignment vertical="center" wrapText="1"/>
    </xf>
    <xf numFmtId="0" fontId="0" fillId="0" borderId="4" xfId="0" applyBorder="1" applyAlignment="1">
      <alignment horizontal="center" vertical="center" wrapText="1"/>
    </xf>
    <xf numFmtId="0" fontId="0" fillId="22"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0" fillId="0" borderId="1" xfId="0" applyBorder="1" applyAlignment="1">
      <alignment vertical="center" wrapText="1"/>
    </xf>
    <xf numFmtId="0" fontId="0" fillId="0" borderId="0" xfId="0" applyAlignment="1">
      <alignment vertical="center"/>
    </xf>
    <xf numFmtId="0" fontId="0" fillId="0" borderId="0" xfId="0" applyAlignment="1">
      <alignment vertical="center" wrapText="1"/>
    </xf>
    <xf numFmtId="0" fontId="36" fillId="0" borderId="0" xfId="0" applyFont="1" applyAlignment="1">
      <alignment horizontal="justify"/>
    </xf>
    <xf numFmtId="0" fontId="37" fillId="0" borderId="0" xfId="0" applyFont="1"/>
    <xf numFmtId="0" fontId="5" fillId="0" borderId="16" xfId="0" applyFont="1" applyBorder="1" applyAlignment="1">
      <alignment horizontal="center" vertical="top"/>
    </xf>
    <xf numFmtId="0" fontId="35" fillId="0" borderId="16" xfId="0" applyFont="1" applyBorder="1" applyAlignment="1">
      <alignment horizontal="center"/>
    </xf>
    <xf numFmtId="0" fontId="38" fillId="2" borderId="19" xfId="1" applyFont="1" applyBorder="1" applyAlignment="1">
      <alignment horizontal="center"/>
    </xf>
    <xf numFmtId="0" fontId="38" fillId="2" borderId="20" xfId="1" applyFont="1" applyBorder="1" applyAlignment="1">
      <alignment horizontal="center"/>
    </xf>
    <xf numFmtId="0" fontId="38" fillId="2" borderId="21" xfId="1" applyFont="1" applyBorder="1" applyAlignment="1">
      <alignment horizontal="center"/>
    </xf>
    <xf numFmtId="0" fontId="0" fillId="0" borderId="22" xfId="0" applyBorder="1" applyAlignment="1">
      <alignment horizontal="center"/>
    </xf>
    <xf numFmtId="14" fontId="0" fillId="0" borderId="23" xfId="0" applyNumberFormat="1" applyBorder="1" applyAlignment="1">
      <alignment horizontal="center"/>
    </xf>
    <xf numFmtId="0" fontId="0" fillId="0" borderId="23" xfId="0" applyBorder="1" applyAlignment="1">
      <alignment horizontal="left"/>
    </xf>
    <xf numFmtId="0" fontId="0" fillId="0" borderId="24" xfId="0" applyBorder="1" applyAlignment="1">
      <alignment horizontal="center"/>
    </xf>
    <xf numFmtId="14" fontId="0" fillId="0" borderId="25" xfId="0" applyNumberFormat="1" applyBorder="1" applyAlignment="1">
      <alignment horizontal="center"/>
    </xf>
    <xf numFmtId="0" fontId="0" fillId="0" borderId="25" xfId="0" applyBorder="1" applyAlignment="1">
      <alignment horizontal="left"/>
    </xf>
    <xf numFmtId="0" fontId="0" fillId="0" borderId="0" xfId="0" pivotButton="1" applyAlignment="1">
      <alignment wrapText="1"/>
    </xf>
    <xf numFmtId="0" fontId="15" fillId="17" borderId="1" xfId="0" applyFont="1" applyFill="1" applyBorder="1" applyAlignment="1" applyProtection="1">
      <alignment horizontal="left" vertical="center" wrapText="1"/>
      <protection hidden="1"/>
    </xf>
    <xf numFmtId="0" fontId="9" fillId="8" borderId="10" xfId="0" applyFont="1" applyFill="1" applyBorder="1" applyAlignment="1" applyProtection="1">
      <alignment horizontal="center" vertical="center" textRotation="90" wrapText="1"/>
    </xf>
    <xf numFmtId="0" fontId="9" fillId="8" borderId="4" xfId="0" applyFont="1" applyFill="1" applyBorder="1" applyAlignment="1" applyProtection="1">
      <alignment horizontal="center" vertical="center" textRotation="90" wrapText="1"/>
    </xf>
    <xf numFmtId="0" fontId="0" fillId="0" borderId="0" xfId="0" applyFont="1" applyAlignment="1" applyProtection="1">
      <alignment horizontal="center"/>
    </xf>
    <xf numFmtId="0" fontId="0" fillId="0" borderId="0" xfId="0" applyFont="1" applyBorder="1" applyAlignment="1" applyProtection="1">
      <alignment horizontal="center"/>
    </xf>
    <xf numFmtId="0" fontId="9" fillId="0" borderId="1" xfId="0" applyFont="1" applyBorder="1" applyAlignment="1" applyProtection="1">
      <alignment horizontal="center" vertical="center" wrapText="1"/>
    </xf>
    <xf numFmtId="0" fontId="9" fillId="0" borderId="3" xfId="0" applyFont="1" applyBorder="1" applyAlignment="1" applyProtection="1">
      <alignment horizontal="center" vertical="center" wrapText="1"/>
    </xf>
    <xf numFmtId="0" fontId="0" fillId="0" borderId="0" xfId="0" applyFont="1" applyAlignment="1" applyProtection="1">
      <alignment horizontal="left" vertical="top" wrapText="1"/>
    </xf>
    <xf numFmtId="0" fontId="0" fillId="0" borderId="0" xfId="0" applyFont="1" applyBorder="1" applyAlignment="1" applyProtection="1">
      <alignment horizontal="left" vertical="top" wrapText="1"/>
    </xf>
    <xf numFmtId="0" fontId="10" fillId="0" borderId="0" xfId="0" applyFont="1" applyBorder="1" applyAlignment="1" applyProtection="1">
      <alignment horizontal="left" vertical="center" wrapText="1"/>
    </xf>
    <xf numFmtId="0" fontId="10" fillId="0" borderId="2" xfId="0" applyFont="1" applyBorder="1" applyAlignment="1" applyProtection="1">
      <alignment horizontal="left" vertical="center" wrapText="1"/>
    </xf>
    <xf numFmtId="0" fontId="12" fillId="4" borderId="1" xfId="1" applyFont="1" applyFill="1" applyBorder="1" applyAlignment="1" applyProtection="1">
      <alignment horizontal="center" vertical="center"/>
    </xf>
    <xf numFmtId="0" fontId="31" fillId="0" borderId="3" xfId="0" applyFont="1" applyBorder="1" applyAlignment="1">
      <alignment horizontal="center" vertical="center"/>
    </xf>
    <xf numFmtId="0" fontId="31" fillId="0" borderId="10" xfId="0" applyFont="1" applyBorder="1" applyAlignment="1">
      <alignment horizontal="center" vertical="center"/>
    </xf>
    <xf numFmtId="0" fontId="26" fillId="10" borderId="4" xfId="0" applyFont="1" applyFill="1" applyBorder="1" applyAlignment="1">
      <alignment horizontal="center"/>
    </xf>
    <xf numFmtId="0" fontId="0" fillId="0" borderId="0" xfId="0" applyAlignment="1">
      <alignment horizontal="center"/>
    </xf>
    <xf numFmtId="0" fontId="14" fillId="14" borderId="1" xfId="0" applyFont="1" applyFill="1" applyBorder="1" applyAlignment="1">
      <alignment horizontal="center"/>
    </xf>
    <xf numFmtId="0" fontId="12" fillId="14" borderId="1" xfId="0" applyFont="1" applyFill="1" applyBorder="1" applyAlignment="1">
      <alignment horizontal="center"/>
    </xf>
    <xf numFmtId="0" fontId="12" fillId="14" borderId="1" xfId="0" applyFont="1" applyFill="1" applyBorder="1" applyAlignment="1">
      <alignment horizontal="left"/>
    </xf>
    <xf numFmtId="0" fontId="38" fillId="2" borderId="17" xfId="1" applyFont="1" applyBorder="1" applyAlignment="1">
      <alignment horizontal="center"/>
    </xf>
    <xf numFmtId="0" fontId="38" fillId="2" borderId="18" xfId="1" applyFont="1" applyBorder="1" applyAlignment="1">
      <alignment horizontal="center"/>
    </xf>
  </cellXfs>
  <cellStyles count="3">
    <cellStyle name="Bom" xfId="1" builtinId="26"/>
    <cellStyle name="Moeda 2" xfId="2"/>
    <cellStyle name="Normal" xfId="0" builtinId="0"/>
  </cellStyles>
  <dxfs count="22">
    <dxf>
      <alignment horizontal="left"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alignment horizontal="left"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numFmt numFmtId="19" formatCode="dd/mm/yyyy"/>
      <alignment horizontal="center"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alignment horizontal="center" vertical="bottom" textRotation="0" wrapText="0" indent="0" justifyLastLine="0" shrinkToFit="0" readingOrder="0"/>
      <border diagonalUp="0" diagonalDown="0">
        <left style="double">
          <color theme="0" tint="-0.499984740745262"/>
        </left>
        <right style="thin">
          <color theme="0" tint="-0.499984740745262"/>
        </right>
        <top style="thin">
          <color theme="0" tint="-0.499984740745262"/>
        </top>
        <bottom style="thin">
          <color theme="0" tint="-0.499984740745262"/>
        </bottom>
        <vertical/>
        <horizontal/>
      </border>
    </dxf>
    <dxf>
      <border outline="0">
        <top style="thin">
          <color theme="0" tint="-0.499984740745262"/>
        </top>
      </border>
    </dxf>
    <dxf>
      <border outline="0">
        <top style="double">
          <color theme="0" tint="-0.24994659260841701"/>
        </top>
        <bottom style="double">
          <color theme="0" tint="-0.499984740745262"/>
        </bottom>
      </border>
    </dxf>
    <dxf>
      <border outline="0">
        <bottom style="thin">
          <color theme="0" tint="-0.24994659260841701"/>
        </bottom>
      </border>
    </dxf>
    <dxf>
      <font>
        <b/>
        <i val="0"/>
        <strike val="0"/>
        <condense val="0"/>
        <extend val="0"/>
        <outline val="0"/>
        <shadow val="0"/>
        <u val="none"/>
        <vertAlign val="baseline"/>
        <sz val="11"/>
        <color rgb="FF006100"/>
        <name val="Calibri"/>
        <scheme val="minor"/>
      </font>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alignment wrapText="1" readingOrder="0"/>
    </dxf>
    <dxf>
      <alignment wrapText="1" readingOrder="0"/>
    </dxf>
    <dxf>
      <font>
        <color theme="0"/>
      </font>
      <fill>
        <patternFill>
          <bgColor rgb="FFFF0000"/>
        </patternFill>
      </fill>
    </dxf>
    <dxf>
      <fill>
        <gradientFill degree="90">
          <stop position="0">
            <color rgb="FFFF0000"/>
          </stop>
          <stop position="1">
            <color rgb="FFC00000"/>
          </stop>
        </gradientFill>
      </fill>
    </dxf>
    <dxf>
      <font>
        <b/>
        <i val="0"/>
      </font>
      <fill>
        <gradientFill degree="90">
          <stop position="0">
            <color rgb="FFFF0000"/>
          </stop>
          <stop position="1">
            <color theme="5" tint="-0.25098422193060094"/>
          </stop>
        </gradientFill>
      </fill>
    </dxf>
    <dxf>
      <fill>
        <gradientFill degree="90">
          <stop position="0">
            <color rgb="FFFF0000"/>
          </stop>
          <stop position="1">
            <color rgb="FFC00000"/>
          </stop>
        </gradientFill>
      </fill>
    </dxf>
    <dxf>
      <font>
        <b/>
        <i val="0"/>
      </font>
      <fill>
        <gradientFill degree="90">
          <stop position="0">
            <color rgb="FFFF0000"/>
          </stop>
          <stop position="1">
            <color theme="5" tint="-0.25098422193060094"/>
          </stop>
        </gradientFill>
      </fill>
    </dxf>
    <dxf>
      <font>
        <b/>
        <i val="0"/>
      </font>
      <fill>
        <gradientFill degree="90">
          <stop position="0">
            <color rgb="FFFF0000"/>
          </stop>
          <stop position="1">
            <color theme="5" tint="-0.25098422193060094"/>
          </stop>
        </gradientFill>
      </fill>
    </dxf>
    <dxf>
      <font>
        <b/>
        <i val="0"/>
      </font>
      <fill>
        <gradientFill degree="90">
          <stop position="0">
            <color rgb="FFFF0000"/>
          </stop>
          <stop position="1">
            <color theme="5" tint="-0.25098422193060094"/>
          </stop>
        </gradientFill>
      </fill>
    </dxf>
    <dxf>
      <font>
        <b/>
        <i val="0"/>
      </font>
      <fill>
        <gradientFill degree="90">
          <stop position="0">
            <color rgb="FFFF0000"/>
          </stop>
          <stop position="1">
            <color theme="5" tint="-0.25098422193060094"/>
          </stop>
        </gradientFill>
      </fill>
    </dxf>
    <dxf>
      <font>
        <b/>
        <i val="0"/>
      </font>
      <fill>
        <gradientFill degree="90">
          <stop position="0">
            <color rgb="FFFF0000"/>
          </stop>
          <stop position="1">
            <color theme="5" tint="-0.25098422193060094"/>
          </stop>
        </gradientFill>
      </fill>
    </dxf>
    <dxf>
      <font>
        <b/>
        <i val="0"/>
      </font>
      <fill>
        <gradientFill degree="90">
          <stop position="0">
            <color rgb="FFFF0000"/>
          </stop>
          <stop position="1">
            <color theme="5" tint="-0.25098422193060094"/>
          </stop>
        </gradientFill>
      </fill>
    </dxf>
    <dxf>
      <font>
        <b/>
        <i val="0"/>
        <color theme="0"/>
      </font>
      <fill>
        <gradientFill degree="90">
          <stop position="0">
            <color theme="8" tint="-0.25098422193060094"/>
          </stop>
          <stop position="1">
            <color rgb="FF002060"/>
          </stop>
        </gradientFill>
      </fill>
    </dxf>
    <dxf>
      <font>
        <b/>
        <i val="0"/>
      </font>
      <fill>
        <gradientFill degree="90">
          <stop position="0">
            <color rgb="FFFF0000"/>
          </stop>
          <stop position="1">
            <color theme="5" tint="-0.25098422193060094"/>
          </stop>
        </gradient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44823</xdr:colOff>
      <xdr:row>0</xdr:row>
      <xdr:rowOff>44824</xdr:rowOff>
    </xdr:from>
    <xdr:to>
      <xdr:col>0</xdr:col>
      <xdr:colOff>431171</xdr:colOff>
      <xdr:row>1</xdr:row>
      <xdr:rowOff>18055</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23" y="44824"/>
          <a:ext cx="386348" cy="4113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304800</xdr:colOff>
          <xdr:row>1008</xdr:row>
          <xdr:rowOff>200025</xdr:rowOff>
        </xdr:from>
        <xdr:to>
          <xdr:col>4</xdr:col>
          <xdr:colOff>495300</xdr:colOff>
          <xdr:row>1008</xdr:row>
          <xdr:rowOff>628650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Ao concluir, clique aqui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123825</xdr:rowOff>
        </xdr:from>
        <xdr:to>
          <xdr:col>3</xdr:col>
          <xdr:colOff>809625</xdr:colOff>
          <xdr:row>1</xdr:row>
          <xdr:rowOff>190500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Apagar Respostas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733425</xdr:colOff>
          <xdr:row>1010</xdr:row>
          <xdr:rowOff>19050</xdr:rowOff>
        </xdr:from>
        <xdr:to>
          <xdr:col>1</xdr:col>
          <xdr:colOff>2657475</xdr:colOff>
          <xdr:row>1012</xdr:row>
          <xdr:rowOff>66675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Detalhes e sistemas fonte de DW, clique aqui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1009</xdr:row>
          <xdr:rowOff>47625</xdr:rowOff>
        </xdr:from>
        <xdr:to>
          <xdr:col>8</xdr:col>
          <xdr:colOff>390525</xdr:colOff>
          <xdr:row>1009</xdr:row>
          <xdr:rowOff>485775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Clique para preencher os Sistemas Impactados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1323975</xdr:colOff>
          <xdr:row>0</xdr:row>
          <xdr:rowOff>114300</xdr:rowOff>
        </xdr:from>
        <xdr:to>
          <xdr:col>2</xdr:col>
          <xdr:colOff>66675</xdr:colOff>
          <xdr:row>2</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Voltar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337271</xdr:colOff>
      <xdr:row>1</xdr:row>
      <xdr:rowOff>123825</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37271" cy="36195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3552825</xdr:colOff>
          <xdr:row>19</xdr:row>
          <xdr:rowOff>104775</xdr:rowOff>
        </xdr:from>
        <xdr:to>
          <xdr:col>1</xdr:col>
          <xdr:colOff>4419600</xdr:colOff>
          <xdr:row>21</xdr:row>
          <xdr:rowOff>19050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Voltar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78441</xdr:colOff>
      <xdr:row>0</xdr:row>
      <xdr:rowOff>67235</xdr:rowOff>
    </xdr:from>
    <xdr:to>
      <xdr:col>0</xdr:col>
      <xdr:colOff>464789</xdr:colOff>
      <xdr:row>2</xdr:row>
      <xdr:rowOff>100853</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441" y="67235"/>
          <a:ext cx="386348" cy="41461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19050</xdr:colOff>
          <xdr:row>3</xdr:row>
          <xdr:rowOff>9525</xdr:rowOff>
        </xdr:from>
        <xdr:to>
          <xdr:col>6</xdr:col>
          <xdr:colOff>285750</xdr:colOff>
          <xdr:row>4</xdr:row>
          <xdr:rowOff>104775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30</xdr:row>
          <xdr:rowOff>114300</xdr:rowOff>
        </xdr:from>
        <xdr:to>
          <xdr:col>3</xdr:col>
          <xdr:colOff>733425</xdr:colOff>
          <xdr:row>32</xdr:row>
          <xdr:rowOff>28575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Imprimir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386348</xdr:colOff>
      <xdr:row>1</xdr:row>
      <xdr:rowOff>224118</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86348" cy="414618"/>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3371850</xdr:colOff>
          <xdr:row>15</xdr:row>
          <xdr:rowOff>180975</xdr:rowOff>
        </xdr:from>
        <xdr:to>
          <xdr:col>1</xdr:col>
          <xdr:colOff>4219575</xdr:colOff>
          <xdr:row>17</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Voltar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15</xdr:row>
          <xdr:rowOff>76200</xdr:rowOff>
        </xdr:from>
        <xdr:to>
          <xdr:col>0</xdr:col>
          <xdr:colOff>1076325</xdr:colOff>
          <xdr:row>16</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rPr>
                <a:t>Voltar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104775</xdr:rowOff>
    </xdr:from>
    <xdr:to>
      <xdr:col>1</xdr:col>
      <xdr:colOff>180975</xdr:colOff>
      <xdr:row>4</xdr:row>
      <xdr:rowOff>55469</xdr:rowOff>
    </xdr:to>
    <xdr:pic>
      <xdr:nvPicPr>
        <xdr:cNvPr id="2" name="Imagem 1" descr="Oi_mass_logo_3_1c"/>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104775"/>
          <a:ext cx="723900" cy="722219"/>
        </a:xfrm>
        <a:prstGeom prst="rect">
          <a:avLst/>
        </a:prstGeom>
        <a:noFill/>
        <a:ln>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niel" refreshedDate="41922.505106249999" createdVersion="5" refreshedVersion="5" minRefreshableVersion="3" recordCount="967">
  <cacheSource type="worksheet">
    <worksheetSource ref="B4:I1008" sheet="Macro"/>
  </cacheSource>
  <cacheFields count="8">
    <cacheField name="Impactos" numFmtId="0">
      <sharedItems containsBlank="1"/>
    </cacheField>
    <cacheField name="Tipos de dados" numFmtId="0">
      <sharedItems containsBlank="1"/>
    </cacheField>
    <cacheField name="Valor Parcial (Em R$ K)" numFmtId="0">
      <sharedItems containsBlank="1" containsMixedTypes="1" containsNumber="1" minValue="0" maxValue="1000"/>
    </cacheField>
    <cacheField name="Critério" numFmtId="0">
      <sharedItems containsNonDate="0" containsString="0" containsBlank="1"/>
    </cacheField>
    <cacheField name="Resultado (Soma dos valores)" numFmtId="0">
      <sharedItems containsBlank="1" containsMixedTypes="1" containsNumber="1" containsInteger="1" minValue="0" maxValue="0"/>
    </cacheField>
    <cacheField name="Sistema Correspondente" numFmtId="0">
      <sharedItems containsNonDate="0" containsString="0" containsBlank="1" count="1">
        <m/>
      </sharedItems>
    </cacheField>
    <cacheField name="Tempo de Desenvolv. (Meses)" numFmtId="0">
      <sharedItems containsNonDate="0" containsString="0" containsBlank="1"/>
    </cacheField>
    <cacheField name="Fornecedo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7">
  <r>
    <s v="Existe Solicitação muito semelhante já implementada? (Se sim, Informar o custo e marcar ao lado com a letra S)"/>
    <s v="S/N"/>
    <m/>
    <m/>
    <n v="0"/>
    <x v="0"/>
    <m/>
    <m/>
  </r>
  <r>
    <s v="Impacta Estruturante"/>
    <s v="S/N"/>
    <m/>
    <m/>
    <m/>
    <x v="0"/>
    <m/>
    <m/>
  </r>
  <r>
    <s v="Impacta Arrecadação"/>
    <m/>
    <m/>
    <m/>
    <m/>
    <x v="0"/>
    <m/>
    <m/>
  </r>
  <r>
    <s v="SAG "/>
    <m/>
    <m/>
    <m/>
    <m/>
    <x v="0"/>
    <m/>
    <m/>
  </r>
  <r>
    <s v="Manutençoes"/>
    <m/>
    <m/>
    <m/>
    <m/>
    <x v="0"/>
    <m/>
    <m/>
  </r>
  <r>
    <s v="Extração ou geração de um novo arquivo"/>
    <s v="QTD"/>
    <n v="50"/>
    <m/>
    <n v="0"/>
    <x v="0"/>
    <m/>
    <m/>
  </r>
  <r>
    <s v="Alteração de regra simples "/>
    <s v="QTD"/>
    <n v="50"/>
    <m/>
    <n v="0"/>
    <x v="0"/>
    <m/>
    <m/>
  </r>
  <r>
    <s v="Alteração de regra complexa"/>
    <s v="QTD"/>
    <n v="100"/>
    <m/>
    <n v="0"/>
    <x v="0"/>
    <m/>
    <m/>
  </r>
  <r>
    <s v="Manutenção de tela simples"/>
    <s v="QTD"/>
    <n v="50"/>
    <m/>
    <n v="0"/>
    <x v="0"/>
    <m/>
    <m/>
  </r>
  <r>
    <s v="Manutenção de tela complexa"/>
    <s v="QTD"/>
    <n v="100"/>
    <m/>
    <n v="0"/>
    <x v="0"/>
    <m/>
    <m/>
  </r>
  <r>
    <s v="Geração de um relatório simples - um arquivo"/>
    <s v="QTD"/>
    <n v="50"/>
    <m/>
    <n v="0"/>
    <x v="0"/>
    <m/>
    <m/>
  </r>
  <r>
    <s v="Geração de um relatório complexo - mais de um arquivo"/>
    <s v="QTD"/>
    <n v="100"/>
    <m/>
    <n v="0"/>
    <x v="0"/>
    <m/>
    <m/>
  </r>
  <r>
    <s v="Interface Externa (outras empresas)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Interface Interna (sistemas da OI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Processos de Baixa "/>
    <m/>
    <m/>
    <m/>
    <m/>
    <x v="0"/>
    <m/>
    <m/>
  </r>
  <r>
    <s v="Tratar uma baixa simples"/>
    <s v="QTD"/>
    <n v="200"/>
    <m/>
    <n v="0"/>
    <x v="0"/>
    <m/>
    <m/>
  </r>
  <r>
    <s v="Tratar mais de uma baixa simples"/>
    <s v="QTD"/>
    <n v="400"/>
    <m/>
    <n v="0"/>
    <x v="0"/>
    <m/>
    <m/>
  </r>
  <r>
    <s v="Tratar uma baixa complexa"/>
    <s v="QTD"/>
    <n v="300"/>
    <m/>
    <n v="0"/>
    <x v="0"/>
    <m/>
    <m/>
  </r>
  <r>
    <s v="Tratar mais de uma baixa complexa"/>
    <s v="QTD"/>
    <n v="600"/>
    <m/>
    <n v="0"/>
    <x v="0"/>
    <m/>
    <m/>
  </r>
  <r>
    <s v="Processos de Débito Automatico "/>
    <m/>
    <m/>
    <m/>
    <m/>
    <x v="0"/>
    <m/>
    <m/>
  </r>
  <r>
    <s v="Inclusão de convênio em modelo Ficha de Compensação "/>
    <s v="QTD"/>
    <n v="300"/>
    <m/>
    <n v="0"/>
    <x v="0"/>
    <m/>
    <m/>
  </r>
  <r>
    <s v="Processos de Recarga "/>
    <m/>
    <m/>
    <m/>
    <m/>
    <x v="0"/>
    <m/>
    <m/>
  </r>
  <r>
    <s v="Tratar uma recarga simples"/>
    <s v="QTD"/>
    <n v="100"/>
    <m/>
    <n v="0"/>
    <x v="0"/>
    <m/>
    <m/>
  </r>
  <r>
    <s v="Tratar mais de uma recarga simples"/>
    <s v="QTD"/>
    <n v="200"/>
    <m/>
    <n v="0"/>
    <x v="0"/>
    <m/>
    <m/>
  </r>
  <r>
    <s v="Tratar uma recarga complexa"/>
    <s v="QTD"/>
    <n v="300"/>
    <m/>
    <n v="0"/>
    <x v="0"/>
    <m/>
    <m/>
  </r>
  <r>
    <s v="Tratar mais de uma recarga complexa"/>
    <s v="QTD"/>
    <n v="500"/>
    <m/>
    <n v="0"/>
    <x v="0"/>
    <m/>
    <m/>
  </r>
  <r>
    <s v="Processos de Carga / Limpeza no Contas a Receber "/>
    <s v=" "/>
    <s v=" "/>
    <m/>
    <m/>
    <x v="0"/>
    <m/>
    <m/>
  </r>
  <r>
    <s v="Tratar um novo processo de carga/limpeza"/>
    <s v="QTD"/>
    <n v="100"/>
    <m/>
    <n v="0"/>
    <x v="0"/>
    <m/>
    <m/>
  </r>
  <r>
    <s v="Tratar mais de um novo proceso de carga/limpeza"/>
    <s v="QTD"/>
    <n v="200"/>
    <m/>
    <n v="0"/>
    <x v="0"/>
    <m/>
    <m/>
  </r>
  <r>
    <s v="Alterar uma regra para um processo de carga/limpeza"/>
    <s v="QTD"/>
    <n v="100"/>
    <m/>
    <n v="0"/>
    <x v="0"/>
    <m/>
    <m/>
  </r>
  <r>
    <s v="Alterar mais de uma regra para um processo de carga/limpeza"/>
    <s v="QTD"/>
    <n v="200"/>
    <m/>
    <n v="0"/>
    <x v="0"/>
    <m/>
    <m/>
  </r>
  <r>
    <s v="Serviço "/>
    <m/>
    <m/>
    <m/>
    <m/>
    <x v="0"/>
    <m/>
    <m/>
  </r>
  <r>
    <s v="Nova cobrança de serviço Simples "/>
    <s v="QTD"/>
    <n v="300"/>
    <m/>
    <n v="0"/>
    <x v="0"/>
    <m/>
    <m/>
  </r>
  <r>
    <s v="Alteração de cobrança de serviço Simples "/>
    <s v="QTD"/>
    <n v="300"/>
    <m/>
    <n v="0"/>
    <x v="0"/>
    <m/>
    <m/>
  </r>
  <r>
    <s v="Nova cobrança de serviço Complexo"/>
    <s v="QTD"/>
    <n v="600"/>
    <m/>
    <n v="0"/>
    <x v="0"/>
    <m/>
    <m/>
  </r>
  <r>
    <s v="Alteração de cobrança de serviço Complexo"/>
    <s v="QTD"/>
    <n v="600"/>
    <m/>
    <n v="0"/>
    <x v="0"/>
    <m/>
    <m/>
  </r>
  <r>
    <s v="Plano"/>
    <m/>
    <m/>
    <m/>
    <m/>
    <x v="0"/>
    <m/>
    <m/>
  </r>
  <r>
    <s v="Novo plano - Simples "/>
    <s v="QTD"/>
    <n v="300"/>
    <m/>
    <n v="0"/>
    <x v="0"/>
    <m/>
    <m/>
  </r>
  <r>
    <s v="Alteração de plano - Simples "/>
    <s v="QTD"/>
    <n v="300"/>
    <m/>
    <n v="0"/>
    <x v="0"/>
    <m/>
    <m/>
  </r>
  <r>
    <s v="Novo plano - Complexo "/>
    <s v="QTD"/>
    <n v="600"/>
    <m/>
    <n v="0"/>
    <x v="0"/>
    <m/>
    <m/>
  </r>
  <r>
    <s v="Alteração de plano - Complexo "/>
    <s v="QTD"/>
    <n v="600"/>
    <m/>
    <n v="0"/>
    <x v="0"/>
    <m/>
    <m/>
  </r>
  <r>
    <s v="Produto "/>
    <m/>
    <m/>
    <m/>
    <m/>
    <x v="0"/>
    <m/>
    <m/>
  </r>
  <r>
    <s v="Novo produto - Simples "/>
    <s v="QTD"/>
    <n v="300"/>
    <m/>
    <n v="0"/>
    <x v="0"/>
    <m/>
    <m/>
  </r>
  <r>
    <s v="Alteração de produto - Simples "/>
    <s v="QTD"/>
    <n v="300"/>
    <m/>
    <n v="0"/>
    <x v="0"/>
    <m/>
    <m/>
  </r>
  <r>
    <s v="Novo produto - Complexo "/>
    <s v="QTD"/>
    <n v="600"/>
    <m/>
    <n v="0"/>
    <x v="0"/>
    <m/>
    <m/>
  </r>
  <r>
    <s v="Alteração de produto - Complexo "/>
    <s v="QTD"/>
    <n v="600"/>
    <m/>
    <n v="0"/>
    <x v="0"/>
    <m/>
    <m/>
  </r>
  <r>
    <s v="SAF"/>
    <m/>
    <m/>
    <m/>
    <m/>
    <x v="0"/>
    <m/>
    <m/>
  </r>
  <r>
    <s v="Manutençoes"/>
    <m/>
    <m/>
    <m/>
    <m/>
    <x v="0"/>
    <m/>
    <m/>
  </r>
  <r>
    <s v="Extração ou geração de um novo arquivo"/>
    <s v="QTD"/>
    <n v="50"/>
    <m/>
    <n v="0"/>
    <x v="0"/>
    <m/>
    <m/>
  </r>
  <r>
    <s v="Alteração de regra simples "/>
    <s v="QTD"/>
    <n v="50"/>
    <m/>
    <n v="0"/>
    <x v="0"/>
    <m/>
    <m/>
  </r>
  <r>
    <s v="Alteração de regra complexa"/>
    <s v="QTD"/>
    <n v="100"/>
    <m/>
    <n v="0"/>
    <x v="0"/>
    <m/>
    <m/>
  </r>
  <r>
    <s v="Manutenção de tela simples"/>
    <s v="QTD"/>
    <n v="50"/>
    <m/>
    <n v="0"/>
    <x v="0"/>
    <m/>
    <m/>
  </r>
  <r>
    <s v="Manutenção de tela complexa"/>
    <s v="QTD"/>
    <n v="100"/>
    <m/>
    <n v="0"/>
    <x v="0"/>
    <m/>
    <m/>
  </r>
  <r>
    <s v="Geração de um relatório simples - um arquivo"/>
    <s v="QTD"/>
    <n v="50"/>
    <m/>
    <n v="0"/>
    <x v="0"/>
    <m/>
    <m/>
  </r>
  <r>
    <s v="Geração de um relatório complexo - mais de um arquivo"/>
    <s v="QTD"/>
    <n v="100"/>
    <m/>
    <n v="0"/>
    <x v="0"/>
    <m/>
    <m/>
  </r>
  <r>
    <s v="Interface Externa (outras empresas)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Interface Interna (sistemas da OI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Processos de Parcelamento "/>
    <m/>
    <m/>
    <m/>
    <m/>
    <x v="0"/>
    <m/>
    <m/>
  </r>
  <r>
    <s v="Tratar um parcelamento simples"/>
    <s v="QTD"/>
    <n v="200"/>
    <m/>
    <n v="0"/>
    <x v="0"/>
    <m/>
    <m/>
  </r>
  <r>
    <s v="Tratar mais de um parcelamento simples"/>
    <s v="QTD"/>
    <n v="400"/>
    <m/>
    <n v="0"/>
    <x v="0"/>
    <m/>
    <m/>
  </r>
  <r>
    <s v="Tratar um parcelamento complexo"/>
    <s v="QTD"/>
    <n v="300"/>
    <m/>
    <n v="0"/>
    <x v="0"/>
    <m/>
    <m/>
  </r>
  <r>
    <s v="Tratar mais de um parcelamento complexo"/>
    <s v="QTD"/>
    <n v="600"/>
    <m/>
    <n v="0"/>
    <x v="0"/>
    <m/>
    <m/>
  </r>
  <r>
    <s v="Processos de Contestação (SAF)"/>
    <m/>
    <m/>
    <m/>
    <m/>
    <x v="0"/>
    <m/>
    <m/>
  </r>
  <r>
    <s v="Tratar uma contestação simples"/>
    <s v="QTD"/>
    <n v="150"/>
    <m/>
    <n v="0"/>
    <x v="0"/>
    <m/>
    <m/>
  </r>
  <r>
    <s v="Tratar mais de uma contestação simples"/>
    <s v="QTD"/>
    <n v="300"/>
    <m/>
    <n v="0"/>
    <x v="0"/>
    <m/>
    <m/>
  </r>
  <r>
    <s v="Tratar uma contestação complexa"/>
    <s v="QTD"/>
    <n v="300"/>
    <m/>
    <n v="0"/>
    <x v="0"/>
    <m/>
    <m/>
  </r>
  <r>
    <s v="Tratar mais de uma contestação complexa"/>
    <s v="QTD"/>
    <n v="500"/>
    <m/>
    <n v="0"/>
    <x v="0"/>
    <m/>
    <m/>
  </r>
  <r>
    <s v="Processos de Segunda Via / Extrato"/>
    <s v=" "/>
    <s v=" "/>
    <m/>
    <m/>
    <x v="0"/>
    <m/>
    <m/>
  </r>
  <r>
    <s v="Tratar um novo processo de segunda via / extrato "/>
    <s v="QTD"/>
    <n v="200"/>
    <m/>
    <n v="0"/>
    <x v="0"/>
    <m/>
    <m/>
  </r>
  <r>
    <s v="Tratar mais de um novo proceso de segunda via / extrato "/>
    <s v="QTD"/>
    <n v="400"/>
    <m/>
    <n v="0"/>
    <x v="0"/>
    <m/>
    <m/>
  </r>
  <r>
    <s v="Alterar uma regra para um processo de segunda via / extrato "/>
    <s v="QTD"/>
    <n v="200"/>
    <m/>
    <n v="0"/>
    <x v="0"/>
    <m/>
    <m/>
  </r>
  <r>
    <s v="Alterar mais de uma regra para um processo de segunda via / extrato "/>
    <s v="QTD"/>
    <n v="400"/>
    <m/>
    <n v="0"/>
    <x v="0"/>
    <m/>
    <m/>
  </r>
  <r>
    <s v="Serviço"/>
    <m/>
    <m/>
    <m/>
    <m/>
    <x v="0"/>
    <m/>
    <m/>
  </r>
  <r>
    <s v="Nova cobrança de serviço Simples "/>
    <s v="QTD"/>
    <n v="300"/>
    <m/>
    <n v="0"/>
    <x v="0"/>
    <m/>
    <m/>
  </r>
  <r>
    <s v="Alteração de cobrança de serviço Simples "/>
    <s v="QTD"/>
    <n v="300"/>
    <m/>
    <n v="0"/>
    <x v="0"/>
    <m/>
    <m/>
  </r>
  <r>
    <s v="Nova cobrança de serviço Complexo"/>
    <s v="QTD"/>
    <n v="600"/>
    <m/>
    <n v="0"/>
    <x v="0"/>
    <m/>
    <m/>
  </r>
  <r>
    <s v="Alteração de cobrança de serviço Complexo"/>
    <s v="QTD"/>
    <n v="600"/>
    <m/>
    <n v="0"/>
    <x v="0"/>
    <m/>
    <m/>
  </r>
  <r>
    <s v="Plano "/>
    <m/>
    <m/>
    <m/>
    <m/>
    <x v="0"/>
    <m/>
    <m/>
  </r>
  <r>
    <s v="Novo plano - Simples "/>
    <s v="QTD"/>
    <n v="300"/>
    <m/>
    <n v="0"/>
    <x v="0"/>
    <m/>
    <m/>
  </r>
  <r>
    <s v="Alteração de plano - Simples "/>
    <s v="QTD"/>
    <n v="300"/>
    <m/>
    <n v="0"/>
    <x v="0"/>
    <m/>
    <m/>
  </r>
  <r>
    <s v="Novo plano - Complexo "/>
    <s v="QTD"/>
    <n v="600"/>
    <m/>
    <n v="0"/>
    <x v="0"/>
    <m/>
    <m/>
  </r>
  <r>
    <s v="Alteração de plano - Complexo "/>
    <s v="QTD"/>
    <n v="600"/>
    <m/>
    <n v="0"/>
    <x v="0"/>
    <m/>
    <m/>
  </r>
  <r>
    <s v="Produto"/>
    <m/>
    <m/>
    <m/>
    <m/>
    <x v="0"/>
    <m/>
    <m/>
  </r>
  <r>
    <s v="Novo produto - Simples "/>
    <s v="QTD"/>
    <n v="300"/>
    <m/>
    <n v="0"/>
    <x v="0"/>
    <m/>
    <m/>
  </r>
  <r>
    <s v="Alteração de produto - Simples "/>
    <s v="QTD"/>
    <n v="300"/>
    <m/>
    <n v="0"/>
    <x v="0"/>
    <m/>
    <m/>
  </r>
  <r>
    <s v="Novo produto - Complexo "/>
    <s v="QTD"/>
    <n v="600"/>
    <m/>
    <n v="0"/>
    <x v="0"/>
    <m/>
    <m/>
  </r>
  <r>
    <s v="Alteração de produto - Complexo "/>
    <s v="QTD"/>
    <n v="600"/>
    <m/>
    <n v="0"/>
    <x v="0"/>
    <m/>
    <m/>
  </r>
  <r>
    <s v="SCB"/>
    <m/>
    <m/>
    <m/>
    <m/>
    <x v="0"/>
    <m/>
    <m/>
  </r>
  <r>
    <s v="Manutençoes"/>
    <m/>
    <m/>
    <m/>
    <m/>
    <x v="0"/>
    <m/>
    <m/>
  </r>
  <r>
    <s v="Extração ou geração de um novo arquivo"/>
    <s v="QTD"/>
    <n v="50"/>
    <m/>
    <n v="0"/>
    <x v="0"/>
    <m/>
    <m/>
  </r>
  <r>
    <s v="Alteração de regra simples "/>
    <s v="QTD"/>
    <n v="50"/>
    <m/>
    <n v="0"/>
    <x v="0"/>
    <m/>
    <m/>
  </r>
  <r>
    <s v="Alteração de regra complexa"/>
    <s v="QTD"/>
    <n v="100"/>
    <m/>
    <n v="0"/>
    <x v="0"/>
    <m/>
    <m/>
  </r>
  <r>
    <s v="Manutenção de tela simples"/>
    <s v="QTD"/>
    <n v="50"/>
    <m/>
    <n v="0"/>
    <x v="0"/>
    <m/>
    <m/>
  </r>
  <r>
    <s v="Manutenção de tela complexa"/>
    <s v="QTD"/>
    <n v="100"/>
    <m/>
    <n v="0"/>
    <x v="0"/>
    <m/>
    <m/>
  </r>
  <r>
    <s v="Geração de um relatório simples - um arquivo"/>
    <s v="QTD"/>
    <n v="50"/>
    <m/>
    <n v="0"/>
    <x v="0"/>
    <m/>
    <m/>
  </r>
  <r>
    <s v="Geração de um relatório complexo - mais de um arquivo"/>
    <s v="QTD"/>
    <n v="100"/>
    <m/>
    <n v="0"/>
    <x v="0"/>
    <m/>
    <m/>
  </r>
  <r>
    <s v="Interface Externa (outras empresas)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Interface Interna (sistemas da OI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Processos de Cobrança "/>
    <m/>
    <m/>
    <m/>
    <m/>
    <x v="0"/>
    <m/>
    <m/>
  </r>
  <r>
    <s v="Tratar uma ação de cobrança simples"/>
    <s v="QTD"/>
    <n v="200"/>
    <m/>
    <n v="0"/>
    <x v="0"/>
    <m/>
    <m/>
  </r>
  <r>
    <s v="Tratar mais de uma ação de cobrança simples"/>
    <s v="QTD"/>
    <n v="400"/>
    <m/>
    <n v="0"/>
    <x v="0"/>
    <m/>
    <m/>
  </r>
  <r>
    <s v="Tratar uma ação de cobrança complexa"/>
    <s v="QTD"/>
    <n v="300"/>
    <m/>
    <n v="0"/>
    <x v="0"/>
    <m/>
    <m/>
  </r>
  <r>
    <s v="Tratar mais de uma ação de cobrança complexa"/>
    <s v="QTD"/>
    <n v="600"/>
    <m/>
    <n v="0"/>
    <x v="0"/>
    <m/>
    <m/>
  </r>
  <r>
    <s v="Processos de Negativação / Positivação "/>
    <s v=" "/>
    <s v=" "/>
    <m/>
    <m/>
    <x v="0"/>
    <m/>
    <m/>
  </r>
  <r>
    <s v="Tratar um novo órgão de proteção ao crédito"/>
    <s v="QTD"/>
    <n v="200"/>
    <m/>
    <n v="0"/>
    <x v="0"/>
    <m/>
    <m/>
  </r>
  <r>
    <s v="Tratar mais de um novo órgão de proteção ao crédito"/>
    <s v="QTD"/>
    <n v="400"/>
    <m/>
    <n v="0"/>
    <x v="0"/>
    <m/>
    <m/>
  </r>
  <r>
    <s v="Alterar uma regra para um órgão de proteção ao crédito"/>
    <s v="QTD"/>
    <n v="100"/>
    <m/>
    <n v="0"/>
    <x v="0"/>
    <m/>
    <m/>
  </r>
  <r>
    <s v="Alterar mais de uma regra para um órgão de proteção ao crédito"/>
    <s v="QTD"/>
    <n v="200"/>
    <m/>
    <n v="0"/>
    <x v="0"/>
    <m/>
    <m/>
  </r>
  <r>
    <s v="Processos de Cobrança Terceirizada"/>
    <m/>
    <m/>
    <m/>
    <m/>
    <x v="0"/>
    <m/>
    <m/>
  </r>
  <r>
    <s v="Tratar um escritório de cobrança"/>
    <s v="QTD"/>
    <n v="200"/>
    <m/>
    <n v="0"/>
    <x v="0"/>
    <m/>
    <m/>
  </r>
  <r>
    <s v="Tratar mais de um escritório de cobrança"/>
    <s v="QTD"/>
    <n v="400"/>
    <m/>
    <n v="0"/>
    <x v="0"/>
    <m/>
    <m/>
  </r>
  <r>
    <s v="Alterar uma regra para um escritório de cobrança"/>
    <s v="QTD"/>
    <n v="200"/>
    <m/>
    <n v="0"/>
    <x v="0"/>
    <m/>
    <m/>
  </r>
  <r>
    <s v="Alterar mais de uma regra para um escritório de cobrança"/>
    <s v="QTD"/>
    <n v="400"/>
    <m/>
    <n v="0"/>
    <x v="0"/>
    <m/>
    <m/>
  </r>
  <r>
    <s v="Processos de Cartas - Print Center"/>
    <m/>
    <m/>
    <m/>
    <m/>
    <x v="0"/>
    <m/>
    <m/>
  </r>
  <r>
    <s v="Tratar uma carta de cobrança"/>
    <s v="QTD"/>
    <n v="200"/>
    <m/>
    <n v="0"/>
    <x v="0"/>
    <m/>
    <m/>
  </r>
  <r>
    <s v="Tratar mais de uma carta de cobrança"/>
    <s v="QTD"/>
    <n v="400"/>
    <m/>
    <n v="0"/>
    <x v="0"/>
    <m/>
    <m/>
  </r>
  <r>
    <s v="Tratar um print center"/>
    <s v="QTD"/>
    <n v="200"/>
    <m/>
    <n v="0"/>
    <x v="0"/>
    <m/>
    <m/>
  </r>
  <r>
    <s v="Tratar mais de um print center"/>
    <s v="QTD"/>
    <n v="400"/>
    <m/>
    <n v="0"/>
    <x v="0"/>
    <m/>
    <m/>
  </r>
  <r>
    <s v="Serviço"/>
    <m/>
    <m/>
    <m/>
    <m/>
    <x v="0"/>
    <m/>
    <m/>
  </r>
  <r>
    <s v="Nova cobrança de serviço Simples "/>
    <s v="QTD"/>
    <n v="300"/>
    <m/>
    <n v="0"/>
    <x v="0"/>
    <m/>
    <m/>
  </r>
  <r>
    <s v="Alteração de cobrança de serviço Simples "/>
    <s v="QTD"/>
    <n v="300"/>
    <m/>
    <n v="0"/>
    <x v="0"/>
    <m/>
    <m/>
  </r>
  <r>
    <s v="Nova cobrança de serviço Complexo"/>
    <s v="QTD"/>
    <n v="600"/>
    <m/>
    <n v="0"/>
    <x v="0"/>
    <m/>
    <m/>
  </r>
  <r>
    <s v="Alteração de cobrança de serviço Complexo"/>
    <s v="QTD"/>
    <n v="600"/>
    <m/>
    <n v="0"/>
    <x v="0"/>
    <m/>
    <m/>
  </r>
  <r>
    <s v="Plano "/>
    <m/>
    <m/>
    <m/>
    <m/>
    <x v="0"/>
    <m/>
    <m/>
  </r>
  <r>
    <s v="Novo plano - Simples "/>
    <s v="QTD"/>
    <n v="300"/>
    <m/>
    <n v="0"/>
    <x v="0"/>
    <m/>
    <m/>
  </r>
  <r>
    <s v="Alteração de plano - Simples "/>
    <s v="QTD"/>
    <n v="300"/>
    <m/>
    <n v="0"/>
    <x v="0"/>
    <m/>
    <m/>
  </r>
  <r>
    <s v="Novo plano - Complexo "/>
    <s v="QTD"/>
    <n v="600"/>
    <m/>
    <n v="0"/>
    <x v="0"/>
    <m/>
    <m/>
  </r>
  <r>
    <s v="Alteração de plano - Complexo "/>
    <s v="QTD"/>
    <n v="600"/>
    <m/>
    <n v="0"/>
    <x v="0"/>
    <m/>
    <m/>
  </r>
  <r>
    <s v="Produto "/>
    <m/>
    <m/>
    <m/>
    <m/>
    <x v="0"/>
    <m/>
    <m/>
  </r>
  <r>
    <s v="Novo produto - Simples "/>
    <s v="QTD"/>
    <n v="300"/>
    <m/>
    <n v="0"/>
    <x v="0"/>
    <m/>
    <m/>
  </r>
  <r>
    <s v="Alteração de produto - Simples "/>
    <s v="QTD"/>
    <n v="300"/>
    <m/>
    <n v="0"/>
    <x v="0"/>
    <m/>
    <m/>
  </r>
  <r>
    <s v="Novo produto - Complexo "/>
    <s v="QTD"/>
    <n v="600"/>
    <m/>
    <n v="0"/>
    <x v="0"/>
    <m/>
    <m/>
  </r>
  <r>
    <s v="SISRAF (Cobrança, Atendimento, Arrecadação)"/>
    <m/>
    <m/>
    <m/>
    <m/>
    <x v="0"/>
    <m/>
    <m/>
  </r>
  <r>
    <s v="Pequenas Manutenções"/>
    <s v=" "/>
    <s v=" "/>
    <m/>
    <m/>
    <x v="0"/>
    <m/>
    <m/>
  </r>
  <r>
    <s v="Extração ou geração de um novo arquivo"/>
    <s v="QTD"/>
    <n v="50"/>
    <m/>
    <n v="0"/>
    <x v="0"/>
    <m/>
    <m/>
  </r>
  <r>
    <s v="Alteração de regra simples "/>
    <s v="QTD"/>
    <n v="50"/>
    <m/>
    <n v="0"/>
    <x v="0"/>
    <m/>
    <m/>
  </r>
  <r>
    <s v="Alteração de regra complexa"/>
    <s v="QTD"/>
    <n v="100"/>
    <m/>
    <n v="0"/>
    <x v="0"/>
    <m/>
    <m/>
  </r>
  <r>
    <s v="Manutenção de tela simples"/>
    <s v="QTD"/>
    <n v="50"/>
    <m/>
    <n v="0"/>
    <x v="0"/>
    <m/>
    <m/>
  </r>
  <r>
    <s v="Manutenção de tela complexa"/>
    <s v="QTD"/>
    <n v="100"/>
    <m/>
    <n v="0"/>
    <x v="0"/>
    <m/>
    <m/>
  </r>
  <r>
    <s v="Geração de um relatório simples - um arquivo"/>
    <s v="QTD"/>
    <n v="50"/>
    <m/>
    <n v="0"/>
    <x v="0"/>
    <m/>
    <m/>
  </r>
  <r>
    <s v="Geração de um relatório complexo - mais de um arquivo"/>
    <s v="QTD"/>
    <n v="100"/>
    <m/>
    <n v="0"/>
    <x v="0"/>
    <m/>
    <m/>
  </r>
  <r>
    <s v="Interface Externa (outras empresas)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Interface Interna (sistemas da OI )"/>
    <m/>
    <m/>
    <m/>
    <m/>
    <x v="0"/>
    <m/>
    <m/>
  </r>
  <r>
    <s v="Nova Interface de arquivo único"/>
    <s v="QTD"/>
    <n v="50"/>
    <m/>
    <n v="0"/>
    <x v="0"/>
    <m/>
    <m/>
  </r>
  <r>
    <s v="Alteração de Interface de arquivo único"/>
    <s v="QTD"/>
    <n v="50"/>
    <m/>
    <n v="0"/>
    <x v="0"/>
    <m/>
    <m/>
  </r>
  <r>
    <s v="Nova Interface de mais de um arquivo "/>
    <s v="QTD"/>
    <n v="100"/>
    <m/>
    <n v="0"/>
    <x v="0"/>
    <m/>
    <m/>
  </r>
  <r>
    <s v="Alteração de Interface de mais de um arquivo"/>
    <s v="QTD"/>
    <n v="100"/>
    <m/>
    <n v="0"/>
    <x v="0"/>
    <m/>
    <m/>
  </r>
  <r>
    <s v="Processos de Baixa (SISRAF - Arrecadação)"/>
    <m/>
    <m/>
    <m/>
    <m/>
    <x v="0"/>
    <m/>
    <m/>
  </r>
  <r>
    <s v="Tratar uma baixa simples"/>
    <s v="QTD"/>
    <n v="200"/>
    <m/>
    <n v="0"/>
    <x v="0"/>
    <m/>
    <m/>
  </r>
  <r>
    <s v="Tratar mais de uma baixa simples"/>
    <s v="QTD"/>
    <n v="400"/>
    <m/>
    <n v="0"/>
    <x v="0"/>
    <m/>
    <m/>
  </r>
  <r>
    <s v="Tratar uma baixa complexa"/>
    <s v="QTD"/>
    <n v="300"/>
    <m/>
    <n v="0"/>
    <x v="0"/>
    <m/>
    <m/>
  </r>
  <r>
    <s v="Tratar mais de uma baixa complexa"/>
    <s v="QTD"/>
    <n v="600"/>
    <m/>
    <n v="0"/>
    <x v="0"/>
    <m/>
    <m/>
  </r>
  <r>
    <s v="Processos de Débito Automatico (SISRAF - Arrecadação)"/>
    <m/>
    <m/>
    <m/>
    <m/>
    <x v="0"/>
    <m/>
    <m/>
  </r>
  <r>
    <s v="Inclusão de agente novo "/>
    <s v="QTD"/>
    <n v="200"/>
    <m/>
    <n v="0"/>
    <x v="0"/>
    <m/>
    <m/>
  </r>
  <r>
    <s v="Processos de Parcelamento (SISRAF - Parcelamento)"/>
    <m/>
    <m/>
    <m/>
    <m/>
    <x v="0"/>
    <m/>
    <m/>
  </r>
  <r>
    <s v="Tratar um parcelamento simples"/>
    <s v="QTD"/>
    <n v="200"/>
    <m/>
    <n v="0"/>
    <x v="0"/>
    <m/>
    <m/>
  </r>
  <r>
    <s v="Tratar mais de um parcelamento simples"/>
    <s v="QTD"/>
    <n v="400"/>
    <m/>
    <n v="0"/>
    <x v="0"/>
    <m/>
    <m/>
  </r>
  <r>
    <s v="Tratar um parcelamento complexo"/>
    <s v="QTD"/>
    <n v="300"/>
    <m/>
    <n v="0"/>
    <x v="0"/>
    <m/>
    <m/>
  </r>
  <r>
    <s v="Tratar mais de um parcelamento complexo"/>
    <s v="QTD"/>
    <n v="600"/>
    <m/>
    <n v="0"/>
    <x v="0"/>
    <m/>
    <m/>
  </r>
  <r>
    <s v="Processos de Recarga (SISRAF - Arrecadação)"/>
    <m/>
    <m/>
    <m/>
    <m/>
    <x v="0"/>
    <m/>
    <m/>
  </r>
  <r>
    <s v="Tratar uma recarga simples"/>
    <s v="QTD"/>
    <n v="100"/>
    <m/>
    <n v="0"/>
    <x v="0"/>
    <m/>
    <m/>
  </r>
  <r>
    <s v="Tratar mais de uma recarga simples"/>
    <s v="QTD"/>
    <n v="200"/>
    <m/>
    <n v="0"/>
    <x v="0"/>
    <m/>
    <m/>
  </r>
  <r>
    <s v="Tratar uma recarga complexa"/>
    <s v="QTD"/>
    <n v="300"/>
    <m/>
    <n v="0"/>
    <x v="0"/>
    <m/>
    <m/>
  </r>
  <r>
    <s v="Tratar mais de uma recarga complexa"/>
    <s v="QTD"/>
    <n v="500"/>
    <m/>
    <n v="0"/>
    <x v="0"/>
    <m/>
    <m/>
  </r>
  <r>
    <s v="Processos de Cobrança (SISRAF - Cobrança)"/>
    <m/>
    <m/>
    <m/>
    <m/>
    <x v="0"/>
    <m/>
    <m/>
  </r>
  <r>
    <s v="Tratar uma ação de cobrança simples"/>
    <s v="QTD"/>
    <n v="200"/>
    <m/>
    <n v="0"/>
    <x v="0"/>
    <m/>
    <m/>
  </r>
  <r>
    <s v="Tratar mais de uma ação de cobrança simples"/>
    <s v="QTD"/>
    <n v="400"/>
    <m/>
    <n v="0"/>
    <x v="0"/>
    <m/>
    <m/>
  </r>
  <r>
    <s v="Tratar uma ação de cobrança complexa"/>
    <s v="QTD"/>
    <n v="300"/>
    <m/>
    <n v="0"/>
    <x v="0"/>
    <m/>
    <m/>
  </r>
  <r>
    <s v="Tratar mais de uma ação de cobrança complexa"/>
    <s v="QTD"/>
    <n v="600"/>
    <m/>
    <n v="0"/>
    <x v="0"/>
    <m/>
    <m/>
  </r>
  <r>
    <s v="Processos de Contestação (SISRAF - Contestação)"/>
    <m/>
    <m/>
    <m/>
    <m/>
    <x v="0"/>
    <m/>
    <m/>
  </r>
  <r>
    <s v="Tratar uma contestação simples"/>
    <s v="QTD"/>
    <n v="150"/>
    <m/>
    <n v="0"/>
    <x v="0"/>
    <m/>
    <m/>
  </r>
  <r>
    <s v="Tratar mais de uma contestação simples"/>
    <s v="QTD"/>
    <n v="300"/>
    <m/>
    <n v="0"/>
    <x v="0"/>
    <m/>
    <m/>
  </r>
  <r>
    <s v="Tratar uma contestação complexa"/>
    <s v="QTD"/>
    <n v="300"/>
    <m/>
    <n v="0"/>
    <x v="0"/>
    <m/>
    <m/>
  </r>
  <r>
    <s v="Tratar mais de uma contestação complexa"/>
    <s v="QTD"/>
    <n v="500"/>
    <m/>
    <n v="0"/>
    <x v="0"/>
    <m/>
    <m/>
  </r>
  <r>
    <s v="Processos de Negativação / Positivação (SISRAF - Cobrança)"/>
    <s v=" "/>
    <s v=" "/>
    <m/>
    <m/>
    <x v="0"/>
    <m/>
    <m/>
  </r>
  <r>
    <s v="Tratar um novo órgão de proteção ao crédito"/>
    <s v="QTD"/>
    <n v="200"/>
    <m/>
    <n v="0"/>
    <x v="0"/>
    <m/>
    <m/>
  </r>
  <r>
    <s v="Tratar mais de um novo órgão de proteção ao crédito"/>
    <s v="QTD"/>
    <n v="400"/>
    <m/>
    <n v="0"/>
    <x v="0"/>
    <m/>
    <m/>
  </r>
  <r>
    <s v="Alterar uma regra para um órgão de proteção ao crédito"/>
    <s v="QTD"/>
    <n v="100"/>
    <m/>
    <n v="0"/>
    <x v="0"/>
    <m/>
    <m/>
  </r>
  <r>
    <s v="Alterar mais de uma regra para um órgão de proteção ao crédito"/>
    <s v="QTD"/>
    <n v="200"/>
    <m/>
    <n v="0"/>
    <x v="0"/>
    <m/>
    <m/>
  </r>
  <r>
    <s v="Processos de Carga / Limpeza no Contas a Receber (SISRAF - Arrecadação)"/>
    <s v=" "/>
    <s v=" "/>
    <m/>
    <m/>
    <x v="0"/>
    <m/>
    <m/>
  </r>
  <r>
    <s v="Tratar um novo processo de carga/limpeza"/>
    <s v="QTD"/>
    <n v="100"/>
    <m/>
    <n v="0"/>
    <x v="0"/>
    <m/>
    <m/>
  </r>
  <r>
    <s v="Tratar mais de um novo proceso de carga/limpeza"/>
    <s v="QTD"/>
    <n v="200"/>
    <m/>
    <n v="0"/>
    <x v="0"/>
    <m/>
    <m/>
  </r>
  <r>
    <s v="Alterar uma regra para um processo de carga/limpeza"/>
    <s v="QTD"/>
    <n v="100"/>
    <m/>
    <n v="0"/>
    <x v="0"/>
    <m/>
    <m/>
  </r>
  <r>
    <s v="Alterar mais de uma regra para um processo de carga/limpeza"/>
    <s v="QTD"/>
    <n v="200"/>
    <m/>
    <n v="0"/>
    <x v="0"/>
    <m/>
    <m/>
  </r>
  <r>
    <s v="Processos de Segunda Via / Extrato (SISRAF - Atendimento / Segunda Via / PARC / SEDO)"/>
    <s v=" "/>
    <s v=" "/>
    <m/>
    <m/>
    <x v="0"/>
    <m/>
    <m/>
  </r>
  <r>
    <s v="Tratar um novo processo de segunda via / extrato "/>
    <s v="QTD"/>
    <n v="200"/>
    <m/>
    <n v="0"/>
    <x v="0"/>
    <m/>
    <m/>
  </r>
  <r>
    <s v="Tratar mais de um novo proceso de segunda via / extrato "/>
    <s v="QTD"/>
    <n v="400"/>
    <m/>
    <n v="0"/>
    <x v="0"/>
    <m/>
    <m/>
  </r>
  <r>
    <s v="Alterar uma regra para um processo de segunda via / extrato "/>
    <s v="QTD"/>
    <n v="200"/>
    <m/>
    <n v="0"/>
    <x v="0"/>
    <m/>
    <m/>
  </r>
  <r>
    <s v="Alterar mais de uma regra para um processo de segunda via / extrato "/>
    <s v="QTD"/>
    <n v="400"/>
    <m/>
    <n v="0"/>
    <x v="0"/>
    <m/>
    <m/>
  </r>
  <r>
    <s v="Processos de Cobrança Terceirizada (SISRAF - Cobrança)"/>
    <m/>
    <m/>
    <m/>
    <m/>
    <x v="0"/>
    <m/>
    <m/>
  </r>
  <r>
    <s v="Tratar um escritório de cobrança"/>
    <s v="QTD"/>
    <n v="200"/>
    <m/>
    <n v="0"/>
    <x v="0"/>
    <m/>
    <m/>
  </r>
  <r>
    <s v="Tratar mais de um escritório de cobrança"/>
    <s v="QTD"/>
    <n v="400"/>
    <m/>
    <n v="0"/>
    <x v="0"/>
    <m/>
    <m/>
  </r>
  <r>
    <s v="Alterar uma regra para um escritório de cobrança"/>
    <s v="QTD"/>
    <n v="200"/>
    <m/>
    <n v="0"/>
    <x v="0"/>
    <m/>
    <m/>
  </r>
  <r>
    <s v="Alterar mais de uma regra para um escritório de cobrança"/>
    <s v="QTD"/>
    <n v="400"/>
    <m/>
    <n v="0"/>
    <x v="0"/>
    <m/>
    <m/>
  </r>
  <r>
    <s v="Tratar uma carta de cobrança"/>
    <s v="QTD"/>
    <n v="200"/>
    <m/>
    <n v="0"/>
    <x v="0"/>
    <m/>
    <m/>
  </r>
  <r>
    <s v="Tratar mais de uma carta de cobrança"/>
    <s v="QTD"/>
    <n v="400"/>
    <m/>
    <n v="0"/>
    <x v="0"/>
    <m/>
    <m/>
  </r>
  <r>
    <s v="Tratar um print center"/>
    <s v="QTD"/>
    <n v="200"/>
    <m/>
    <n v="0"/>
    <x v="0"/>
    <m/>
    <m/>
  </r>
  <r>
    <s v="Tratar mais de um print center"/>
    <s v="QTD"/>
    <n v="400"/>
    <m/>
    <n v="0"/>
    <x v="0"/>
    <m/>
    <m/>
  </r>
  <r>
    <s v="Serviço (SISRAF - Arrecadação / Cobrança / Atendimento)"/>
    <m/>
    <m/>
    <m/>
    <m/>
    <x v="0"/>
    <m/>
    <m/>
  </r>
  <r>
    <s v="Nova cobrança de serviço Simples "/>
    <s v="QTD"/>
    <n v="300"/>
    <m/>
    <n v="0"/>
    <x v="0"/>
    <m/>
    <m/>
  </r>
  <r>
    <s v="Alteração de cobrança de serviço Simples "/>
    <s v="QTD"/>
    <n v="300"/>
    <m/>
    <n v="0"/>
    <x v="0"/>
    <m/>
    <m/>
  </r>
  <r>
    <s v="Nova cobrança de serviço Complexo"/>
    <s v="QTD"/>
    <n v="600"/>
    <m/>
    <n v="0"/>
    <x v="0"/>
    <m/>
    <m/>
  </r>
  <r>
    <s v="Alteração de cobrança de serviço Complexo"/>
    <s v="QTD"/>
    <n v="600"/>
    <m/>
    <n v="0"/>
    <x v="0"/>
    <m/>
    <m/>
  </r>
  <r>
    <s v="Plano (SISRAF - Arrecadação / Cobrança / Atendimento)"/>
    <m/>
    <m/>
    <m/>
    <m/>
    <x v="0"/>
    <m/>
    <m/>
  </r>
  <r>
    <s v="Novo plano - Simples "/>
    <s v="QTD"/>
    <n v="300"/>
    <m/>
    <n v="0"/>
    <x v="0"/>
    <m/>
    <m/>
  </r>
  <r>
    <s v="Alteração de plano - Simples "/>
    <s v="QTD"/>
    <n v="300"/>
    <m/>
    <n v="0"/>
    <x v="0"/>
    <m/>
    <m/>
  </r>
  <r>
    <s v="Novo plano - Complexo "/>
    <s v="QTD"/>
    <n v="600"/>
    <m/>
    <n v="0"/>
    <x v="0"/>
    <m/>
    <m/>
  </r>
  <r>
    <s v="Alteração de plano - Complexo "/>
    <s v="QTD"/>
    <n v="600"/>
    <m/>
    <n v="0"/>
    <x v="0"/>
    <m/>
    <m/>
  </r>
  <r>
    <s v="Produto   (SISRAF - Arrecadação / Cobrança / Atendimento)"/>
    <m/>
    <m/>
    <m/>
    <m/>
    <x v="0"/>
    <m/>
    <m/>
  </r>
  <r>
    <s v="Novo produto - Simples "/>
    <s v="QTD"/>
    <n v="300"/>
    <m/>
    <n v="0"/>
    <x v="0"/>
    <m/>
    <m/>
  </r>
  <r>
    <s v="Alteração de produto - Simples "/>
    <s v="QTD"/>
    <n v="300"/>
    <m/>
    <n v="0"/>
    <x v="0"/>
    <m/>
    <m/>
  </r>
  <r>
    <s v="Novo produto - Complexo "/>
    <s v="QTD"/>
    <n v="600"/>
    <m/>
    <n v="0"/>
    <x v="0"/>
    <m/>
    <m/>
  </r>
  <r>
    <s v="Alteração de produto - Complexo "/>
    <s v="QTD"/>
    <n v="600"/>
    <m/>
    <n v="0"/>
    <x v="0"/>
    <m/>
    <m/>
  </r>
  <r>
    <s v="Impacta Arrecadação"/>
    <s v="S/N"/>
    <n v="0"/>
    <m/>
    <n v="0"/>
    <x v="0"/>
    <m/>
    <m/>
  </r>
  <r>
    <s v="Impacta Faturamento"/>
    <m/>
    <m/>
    <m/>
    <m/>
    <x v="0"/>
    <m/>
    <m/>
  </r>
  <r>
    <s v="Fat Fixa SFA"/>
    <m/>
    <m/>
    <m/>
    <m/>
    <x v="0"/>
    <m/>
    <m/>
  </r>
  <r>
    <s v="Pequenas Manutenções"/>
    <s v=" "/>
    <s v=" "/>
    <m/>
    <m/>
    <x v="0"/>
    <m/>
    <m/>
  </r>
  <r>
    <s v="Extração de arquivos"/>
    <s v="QTD"/>
    <n v="30"/>
    <m/>
    <n v="0"/>
    <x v="0"/>
    <m/>
    <m/>
  </r>
  <r>
    <s v="Alteracao de regras simples existentes"/>
    <s v="QTD"/>
    <n v="25"/>
    <m/>
    <n v="0"/>
    <x v="0"/>
    <m/>
    <m/>
  </r>
  <r>
    <s v="Alteracao de regras complexas existentes"/>
    <s v="QTD"/>
    <n v="50"/>
    <m/>
    <n v="0"/>
    <x v="0"/>
    <m/>
    <m/>
  </r>
  <r>
    <s v="Alteração de mensagem em conta"/>
    <s v="QTD"/>
    <n v="20"/>
    <m/>
    <n v="0"/>
    <x v="0"/>
    <m/>
    <m/>
  </r>
  <r>
    <s v="Altera Mock UP (layout)"/>
    <s v="S/N"/>
    <n v="30"/>
    <m/>
    <n v="0"/>
    <x v="0"/>
    <m/>
    <m/>
  </r>
  <r>
    <s v="Inclui novas Info no Mock up "/>
    <s v="QTD"/>
    <n v="25"/>
    <m/>
    <n v="0"/>
    <x v="0"/>
    <m/>
    <m/>
  </r>
  <r>
    <s v="Disponibilizar info nas telas on line"/>
    <s v="QTD"/>
    <n v="15"/>
    <m/>
    <n v="0"/>
    <x v="0"/>
    <m/>
    <m/>
  </r>
  <r>
    <s v="Entrada Externa (arquivos de outras empresas)  "/>
    <m/>
    <m/>
    <m/>
    <m/>
    <x v="0"/>
    <m/>
    <m/>
  </r>
  <r>
    <s v="Nova Entrada de Externa Simples"/>
    <s v="S/N"/>
    <n v="100"/>
    <m/>
    <n v="0"/>
    <x v="0"/>
    <m/>
    <m/>
  </r>
  <r>
    <s v="Alteração  de Entrada Externa Simples"/>
    <s v="S/N"/>
    <n v="50"/>
    <m/>
    <n v="0"/>
    <x v="0"/>
    <m/>
    <m/>
  </r>
  <r>
    <s v="Nova Entrada de Externa Complexa"/>
    <s v="S/N"/>
    <n v="300"/>
    <m/>
    <n v="0"/>
    <x v="0"/>
    <m/>
    <m/>
  </r>
  <r>
    <s v="Alteração  de Entrada Externa Complexa"/>
    <s v="S/N"/>
    <n v="100"/>
    <m/>
    <n v="0"/>
    <x v="0"/>
    <m/>
    <m/>
  </r>
  <r>
    <s v="Entrada Interna (arquivos de sistemas da OI  "/>
    <m/>
    <m/>
    <m/>
    <m/>
    <x v="0"/>
    <m/>
    <m/>
  </r>
  <r>
    <s v="Nova Entrada Interna  "/>
    <s v="S/N"/>
    <n v="100"/>
    <m/>
    <n v="0"/>
    <x v="0"/>
    <m/>
    <m/>
  </r>
  <r>
    <s v="Alteração de  Entrada Interna "/>
    <s v="S/N"/>
    <n v="100"/>
    <m/>
    <n v="0"/>
    <x v="0"/>
    <m/>
    <m/>
  </r>
  <r>
    <s v="Nova Entrada Complexa  "/>
    <s v="S/N"/>
    <n v="300"/>
    <m/>
    <n v="0"/>
    <x v="0"/>
    <m/>
    <m/>
  </r>
  <r>
    <s v="Alteração de  Entrada Complexa "/>
    <s v="S/N"/>
    <n v="100"/>
    <m/>
    <n v="0"/>
    <x v="0"/>
    <m/>
    <m/>
  </r>
  <r>
    <s v="Saída Externa  (envio para outras empresas) "/>
    <m/>
    <m/>
    <m/>
    <m/>
    <x v="0"/>
    <m/>
    <m/>
  </r>
  <r>
    <s v="Nova Saída  Externa  Simples "/>
    <s v="S/N"/>
    <n v="100"/>
    <m/>
    <n v="0"/>
    <x v="0"/>
    <m/>
    <m/>
  </r>
  <r>
    <s v="Alteração de Saída Externa Simples"/>
    <s v="S/N"/>
    <n v="50"/>
    <m/>
    <n v="0"/>
    <x v="0"/>
    <m/>
    <m/>
  </r>
  <r>
    <s v="Nova Saída  Externa  Complexa  "/>
    <s v="S/N"/>
    <n v="300"/>
    <m/>
    <n v="0"/>
    <x v="0"/>
    <m/>
    <m/>
  </r>
  <r>
    <s v="Alteração de Saída Complexa "/>
    <s v="S/N"/>
    <n v="100"/>
    <m/>
    <n v="0"/>
    <x v="0"/>
    <m/>
    <m/>
  </r>
  <r>
    <s v="Saída Interna  (envio para sistemas da OI) "/>
    <m/>
    <m/>
    <m/>
    <m/>
    <x v="0"/>
    <m/>
    <m/>
  </r>
  <r>
    <s v="Nova Saída  Interna  Simples "/>
    <s v="S/N"/>
    <n v="100"/>
    <m/>
    <n v="0"/>
    <x v="0"/>
    <m/>
    <m/>
  </r>
  <r>
    <s v="Alteração de Saída Interna Simples"/>
    <s v="S/N"/>
    <n v="50"/>
    <m/>
    <n v="0"/>
    <x v="0"/>
    <m/>
    <m/>
  </r>
  <r>
    <s v="Nova Saída  Interna  Complexa  "/>
    <s v="S/N"/>
    <n v="300"/>
    <m/>
    <n v="0"/>
    <x v="0"/>
    <m/>
    <m/>
  </r>
  <r>
    <s v="Alteração de Saída Interna Complexa "/>
    <s v="S/N"/>
    <n v="150"/>
    <m/>
    <n v="0"/>
    <x v="0"/>
    <m/>
    <m/>
  </r>
  <r>
    <s v="Serviços / Micro serviço "/>
    <m/>
    <m/>
    <m/>
    <m/>
    <x v="0"/>
    <m/>
    <m/>
  </r>
  <r>
    <s v="Nova cobrança de serviço  Simples "/>
    <s v="S/N"/>
    <n v="150"/>
    <m/>
    <n v="0"/>
    <x v="0"/>
    <m/>
    <m/>
  </r>
  <r>
    <s v="Alteração de cobrança de serviço  Simples "/>
    <s v="S/N"/>
    <n v="100"/>
    <m/>
    <n v="0"/>
    <x v="0"/>
    <m/>
    <m/>
  </r>
  <r>
    <s v="Nova cobrança de serviço  Complexa"/>
    <s v="S/N"/>
    <n v="300"/>
    <m/>
    <n v="0"/>
    <x v="0"/>
    <m/>
    <m/>
  </r>
  <r>
    <s v="Alteração de cobrança de serviço  Complexa"/>
    <s v="S/N"/>
    <n v="150"/>
    <m/>
    <n v="0"/>
    <x v="0"/>
    <m/>
    <m/>
  </r>
  <r>
    <s v="Plano (trafego, mensalidades, etc..)  "/>
    <m/>
    <m/>
    <m/>
    <m/>
    <x v="0"/>
    <m/>
    <m/>
  </r>
  <r>
    <s v="Novo plano - Simples "/>
    <s v="S/N"/>
    <n v="300"/>
    <m/>
    <n v="0"/>
    <x v="0"/>
    <m/>
    <m/>
  </r>
  <r>
    <s v="Alteração plano - Simples "/>
    <s v="S/N"/>
    <n v="100"/>
    <m/>
    <n v="0"/>
    <x v="0"/>
    <m/>
    <m/>
  </r>
  <r>
    <s v="Novo plano - Complexa "/>
    <s v="S/N"/>
    <n v="500"/>
    <m/>
    <n v="0"/>
    <x v="0"/>
    <m/>
    <m/>
  </r>
  <r>
    <s v="Alteração plano - Complexa "/>
    <s v="S/N"/>
    <n v="200"/>
    <m/>
    <n v="0"/>
    <x v="0"/>
    <m/>
    <m/>
  </r>
  <r>
    <s v="Produto  "/>
    <m/>
    <m/>
    <m/>
    <m/>
    <x v="0"/>
    <m/>
    <m/>
  </r>
  <r>
    <s v="Novo produto - Simples "/>
    <s v="S/N"/>
    <n v="400"/>
    <m/>
    <n v="0"/>
    <x v="0"/>
    <m/>
    <m/>
  </r>
  <r>
    <s v="Alteração produto - Simples "/>
    <s v="S/N"/>
    <n v="200"/>
    <m/>
    <n v="0"/>
    <x v="0"/>
    <m/>
    <m/>
  </r>
  <r>
    <s v="Novo produto - Complexa "/>
    <s v="S/N"/>
    <n v="800"/>
    <m/>
    <n v="0"/>
    <x v="0"/>
    <m/>
    <m/>
  </r>
  <r>
    <s v="Alteração produto - Complexa "/>
    <s v="S/N"/>
    <n v="300"/>
    <m/>
    <n v="0"/>
    <x v="0"/>
    <m/>
    <m/>
  </r>
  <r>
    <s v="GENEVA "/>
    <m/>
    <m/>
    <m/>
    <m/>
    <x v="0"/>
    <m/>
    <m/>
  </r>
  <r>
    <s v=" Manutenções"/>
    <s v=" "/>
    <m/>
    <m/>
    <m/>
    <x v="0"/>
    <m/>
    <m/>
  </r>
  <r>
    <s v=" Manutenção Core (CAM/Billing Account Maintenance/Rate Plan Maintenance)"/>
    <s v="QTD"/>
    <n v="80"/>
    <m/>
    <n v="0"/>
    <x v="0"/>
    <m/>
    <m/>
  </r>
  <r>
    <s v=" Manutenção Core (FID/BG/Rate/BDW/CAT) simples"/>
    <s v="QTD"/>
    <n v="20"/>
    <m/>
    <n v="0"/>
    <x v="0"/>
    <m/>
    <m/>
  </r>
  <r>
    <s v=" Manutenção Core (FID/BG/Rate/BDW/CAT) complexa"/>
    <s v="QTD"/>
    <n v="40"/>
    <m/>
    <n v="0"/>
    <x v="0"/>
    <m/>
    <m/>
  </r>
  <r>
    <s v=" Manutenção Não Core (RCP/Limpeza/Conversor/TCO6/Quality/Polvo/Franquias) simples"/>
    <s v="QTD"/>
    <n v="15"/>
    <m/>
    <n v="0"/>
    <x v="0"/>
    <m/>
    <m/>
  </r>
  <r>
    <s v=" Manutenção Não Core (RCP/Limpeza/Conversor/TCO6/Quality/Polvo/Franquias) complexa"/>
    <s v="QTD"/>
    <n v="30"/>
    <m/>
    <n v="0"/>
    <x v="0"/>
    <m/>
    <m/>
  </r>
  <r>
    <s v=" Criação de plano simples"/>
    <s v="QTD"/>
    <n v="40"/>
    <m/>
    <n v="0"/>
    <x v="0"/>
    <m/>
    <m/>
  </r>
  <r>
    <s v=" Criação de plano complexa"/>
    <s v="QTD"/>
    <n v="80"/>
    <m/>
    <n v="0"/>
    <x v="0"/>
    <m/>
    <m/>
  </r>
  <r>
    <s v=" Manutenção de plano simples"/>
    <s v="QTD"/>
    <n v="20"/>
    <m/>
    <n v="0"/>
    <x v="0"/>
    <m/>
    <m/>
  </r>
  <r>
    <s v=" Manutenção de plano complexa"/>
    <s v="QTD"/>
    <n v="40"/>
    <m/>
    <n v="0"/>
    <x v="0"/>
    <m/>
    <m/>
  </r>
  <r>
    <s v=" Manutenção interface Complementar Fixa Simples"/>
    <s v="QTD"/>
    <n v="30"/>
    <m/>
    <n v="0"/>
    <x v="0"/>
    <m/>
    <m/>
  </r>
  <r>
    <s v=" Manutenção interface Complementar Fixa Complexa"/>
    <s v="QTD"/>
    <n v="60"/>
    <m/>
    <n v="0"/>
    <x v="0"/>
    <m/>
    <m/>
  </r>
  <r>
    <s v=" Manutenção interface SMP simples"/>
    <s v="QTD"/>
    <n v="15"/>
    <m/>
    <n v="0"/>
    <x v="0"/>
    <m/>
    <m/>
  </r>
  <r>
    <s v=" Manutenção interface SMP complexa"/>
    <s v="QTD"/>
    <n v="30"/>
    <m/>
    <n v="0"/>
    <x v="0"/>
    <m/>
    <m/>
  </r>
  <r>
    <s v=" Manutenção de modelo de dados simples"/>
    <s v="QTD"/>
    <n v="15"/>
    <m/>
    <n v="0"/>
    <x v="0"/>
    <m/>
    <m/>
  </r>
  <r>
    <s v=" Manutenção de modelo de dados complexa"/>
    <s v="QTD"/>
    <n v="30"/>
    <m/>
    <n v="0"/>
    <x v="0"/>
    <m/>
    <m/>
  </r>
  <r>
    <s v=" Manutenção de extração (Tvas/RATURBO/DW)"/>
    <s v="QTD"/>
    <n v="15"/>
    <m/>
    <n v="0"/>
    <x v="0"/>
    <m/>
    <m/>
  </r>
  <r>
    <s v=" Criação de extração simples"/>
    <s v="QTD"/>
    <n v="10"/>
    <m/>
    <n v="0"/>
    <x v="0"/>
    <m/>
    <m/>
  </r>
  <r>
    <s v=" Criação de extração complexa"/>
    <s v="QTD"/>
    <n v="20"/>
    <m/>
    <n v="0"/>
    <x v="0"/>
    <m/>
    <m/>
  </r>
  <r>
    <s v="Suporte a teste Integrado 1 ciclo de faturamento, 15 dias"/>
    <s v="QTD"/>
    <n v="10"/>
    <m/>
    <n v="0"/>
    <x v="0"/>
    <m/>
    <m/>
  </r>
  <r>
    <s v="DOC-1 "/>
    <m/>
    <m/>
    <m/>
    <m/>
    <x v="0"/>
    <m/>
    <m/>
  </r>
  <r>
    <s v="Manutençoes"/>
    <s v=" "/>
    <s v=" "/>
    <m/>
    <m/>
    <x v="0"/>
    <m/>
    <m/>
  </r>
  <r>
    <s v="Extração de arquivos"/>
    <s v="QTD"/>
    <n v="20"/>
    <m/>
    <n v="0"/>
    <x v="0"/>
    <m/>
    <m/>
  </r>
  <r>
    <s v="Alteracao de regras simples existentes"/>
    <s v="QTD"/>
    <n v="25"/>
    <m/>
    <n v="0"/>
    <x v="0"/>
    <m/>
    <m/>
  </r>
  <r>
    <s v="Alteracao de regras complexas existentes"/>
    <s v="QTD"/>
    <n v="30"/>
    <m/>
    <n v="0"/>
    <x v="0"/>
    <m/>
    <m/>
  </r>
  <r>
    <s v="Inclusão/Alteração de mensagem em conta/fatura"/>
    <s v="QTD"/>
    <n v="20"/>
    <m/>
    <n v="0"/>
    <x v="0"/>
    <m/>
    <m/>
  </r>
  <r>
    <s v="Altera Mock UP (layout)"/>
    <s v="QTD"/>
    <n v="35"/>
    <m/>
    <n v="0"/>
    <x v="0"/>
    <m/>
    <m/>
  </r>
  <r>
    <s v="Inclui novas Info no Mock up"/>
    <s v="QTD"/>
    <n v="25"/>
    <m/>
    <n v="0"/>
    <x v="0"/>
    <m/>
    <m/>
  </r>
  <r>
    <s v="Incluir novos subtipos"/>
    <s v="QTD"/>
    <n v="20"/>
    <m/>
    <n v="0"/>
    <x v="0"/>
    <m/>
    <m/>
  </r>
  <r>
    <s v="Suporte a teste Integrado 1 ciclo de faturamento"/>
    <s v="QTD"/>
    <n v="5"/>
    <m/>
    <n v="0"/>
    <x v="0"/>
    <m/>
    <m/>
  </r>
  <r>
    <s v="EBILLING "/>
    <m/>
    <m/>
    <m/>
    <m/>
    <x v="0"/>
    <m/>
    <m/>
  </r>
  <r>
    <s v="Manutençoes"/>
    <s v=" "/>
    <s v=" "/>
    <m/>
    <m/>
    <x v="0"/>
    <m/>
    <m/>
  </r>
  <r>
    <s v="Extração de arquivos"/>
    <s v="QTD"/>
    <n v="20"/>
    <m/>
    <n v="0"/>
    <x v="0"/>
    <m/>
    <m/>
  </r>
  <r>
    <s v="Alteracao de regras simples existentes"/>
    <s v="QTD"/>
    <n v="25"/>
    <m/>
    <n v="0"/>
    <x v="0"/>
    <m/>
    <m/>
  </r>
  <r>
    <s v="Alteracao de regras complexas existentes"/>
    <s v="QTD"/>
    <n v="30"/>
    <m/>
    <n v="0"/>
    <x v="0"/>
    <m/>
    <m/>
  </r>
  <r>
    <s v="Inclusão/Alteração de mensagem em conta/fatura"/>
    <s v="QTD"/>
    <n v="20"/>
    <m/>
    <n v="0"/>
    <x v="0"/>
    <m/>
    <m/>
  </r>
  <r>
    <s v="Altera Mock UP (layout)"/>
    <s v="QTD"/>
    <n v="35"/>
    <m/>
    <n v="0"/>
    <x v="0"/>
    <m/>
    <m/>
  </r>
  <r>
    <s v="Inclui novas Info no Mock up"/>
    <s v="QTD"/>
    <n v="25"/>
    <m/>
    <n v="0"/>
    <x v="0"/>
    <m/>
    <m/>
  </r>
  <r>
    <s v="Incluir novas subseções (blocos)"/>
    <s v="QTD"/>
    <n v="20"/>
    <m/>
    <n v="0"/>
    <x v="0"/>
    <m/>
    <m/>
  </r>
  <r>
    <s v="Suporte a teste Integrado 1 ciclo de faturamento"/>
    <s v="QTD"/>
    <n v="5"/>
    <m/>
    <n v="0"/>
    <x v="0"/>
    <m/>
    <m/>
  </r>
  <r>
    <s v="DETRAF"/>
    <m/>
    <m/>
    <m/>
    <m/>
    <x v="0"/>
    <m/>
    <m/>
  </r>
  <r>
    <s v="Manutençoes"/>
    <s v=" "/>
    <s v=" "/>
    <m/>
    <m/>
    <x v="0"/>
    <m/>
    <m/>
  </r>
  <r>
    <s v=" Criação de formulários simples"/>
    <s v="QTD"/>
    <n v="5"/>
    <m/>
    <n v="0"/>
    <x v="0"/>
    <m/>
    <m/>
  </r>
  <r>
    <s v=" Criação de formulários complexa"/>
    <s v="QTD"/>
    <n v="10"/>
    <m/>
    <n v="0"/>
    <x v="0"/>
    <m/>
    <m/>
  </r>
  <r>
    <s v=" Manutenção de formulários simples"/>
    <s v="QTD"/>
    <n v="2"/>
    <m/>
    <n v="0"/>
    <x v="0"/>
    <m/>
    <m/>
  </r>
  <r>
    <s v=" Manutenção de formulários complexa"/>
    <s v="QTD"/>
    <n v="4"/>
    <m/>
    <n v="0"/>
    <x v="0"/>
    <m/>
    <m/>
  </r>
  <r>
    <s v=" Manutenção CriticaEnvios simples"/>
    <s v="QTD"/>
    <n v="5"/>
    <m/>
    <n v="0"/>
    <x v="0"/>
    <m/>
    <m/>
  </r>
  <r>
    <s v=" Manutenção CriticaEnvios complexa"/>
    <s v="QTD"/>
    <n v="10"/>
    <m/>
    <n v="0"/>
    <x v="0"/>
    <m/>
    <m/>
  </r>
  <r>
    <s v=" Manutenção ProcessaDetraf simples "/>
    <s v="QTD"/>
    <n v="5"/>
    <m/>
    <n v="0"/>
    <x v="0"/>
    <m/>
    <m/>
  </r>
  <r>
    <s v=" Manutenção ProcessaDetraf complexa"/>
    <s v="QTD"/>
    <n v="10"/>
    <m/>
    <n v="0"/>
    <x v="0"/>
    <m/>
    <m/>
  </r>
  <r>
    <s v=" Manutenção JuntarTCO / Agrupar simples"/>
    <s v="QTD"/>
    <n v="5"/>
    <m/>
    <n v="0"/>
    <x v="0"/>
    <m/>
    <m/>
  </r>
  <r>
    <s v=" Manutenção JuntarTCO complexa"/>
    <s v="QTD"/>
    <n v="10"/>
    <m/>
    <n v="0"/>
    <x v="0"/>
    <m/>
    <m/>
  </r>
  <r>
    <s v=" Manutenção AGRUPAR TCO"/>
    <s v="QTD"/>
    <n v="5"/>
    <m/>
    <n v="0"/>
    <x v="0"/>
    <m/>
    <m/>
  </r>
  <r>
    <s v=" Manutenção extrações (Tvas/RATURBO/SCO/DW)"/>
    <s v="QTD"/>
    <n v="5"/>
    <m/>
    <n v="0"/>
    <x v="0"/>
    <m/>
    <m/>
  </r>
  <r>
    <s v=" Manutenção de modelo de dados simples"/>
    <s v="QTD"/>
    <n v="5"/>
    <m/>
    <n v="0"/>
    <x v="0"/>
    <m/>
    <m/>
  </r>
  <r>
    <s v=" Manutenção de modelo de dados complexa"/>
    <s v="QTD"/>
    <n v="10"/>
    <m/>
    <n v="0"/>
    <x v="0"/>
    <m/>
    <m/>
  </r>
  <r>
    <s v="Suporte a teste Integrado 1 ciclo de faturamento, 15 dias"/>
    <s v="QTD"/>
    <n v="7"/>
    <m/>
    <n v="0"/>
    <x v="0"/>
    <m/>
    <m/>
  </r>
  <r>
    <s v="C P M "/>
    <m/>
    <m/>
    <m/>
    <m/>
    <x v="0"/>
    <m/>
    <m/>
  </r>
  <r>
    <s v="Manutençoes"/>
    <s v=" "/>
    <m/>
    <m/>
    <m/>
    <x v="0"/>
    <m/>
    <m/>
  </r>
  <r>
    <s v=" Criação de formulários simples"/>
    <s v="QTD"/>
    <n v="5"/>
    <m/>
    <n v="0"/>
    <x v="0"/>
    <m/>
    <m/>
  </r>
  <r>
    <s v=" Criação de formulários complexa"/>
    <s v="QTD"/>
    <n v="10"/>
    <m/>
    <n v="0"/>
    <x v="0"/>
    <m/>
    <m/>
  </r>
  <r>
    <s v=" Canutenção de formulários simples"/>
    <s v="QTD"/>
    <n v="2"/>
    <m/>
    <n v="0"/>
    <x v="0"/>
    <m/>
    <m/>
  </r>
  <r>
    <s v=" Manutenção de formulários complexa"/>
    <s v="QTD"/>
    <n v="4"/>
    <m/>
    <n v="0"/>
    <x v="0"/>
    <m/>
    <m/>
  </r>
  <r>
    <s v=" Mriação de layouts simples"/>
    <s v="QTD"/>
    <n v="5"/>
    <m/>
    <n v="0"/>
    <x v="0"/>
    <m/>
    <m/>
  </r>
  <r>
    <s v=" Mriação de layouts complexa"/>
    <s v="QTD"/>
    <n v="10"/>
    <m/>
    <n v="0"/>
    <x v="0"/>
    <m/>
    <m/>
  </r>
  <r>
    <s v=" Manutenção de layouts simples"/>
    <s v="QTD"/>
    <n v="2"/>
    <m/>
    <n v="0"/>
    <x v="0"/>
    <m/>
    <m/>
  </r>
  <r>
    <s v=" Manutenção de layouts complexa"/>
    <s v="QTD"/>
    <n v="4"/>
    <m/>
    <n v="0"/>
    <x v="0"/>
    <m/>
    <m/>
  </r>
  <r>
    <s v=" Manutenção crítica movel simples"/>
    <s v="QTD"/>
    <n v="5"/>
    <m/>
    <n v="0"/>
    <x v="0"/>
    <m/>
    <m/>
  </r>
  <r>
    <s v=" Manutenção crítica movel complexa"/>
    <s v="QTD"/>
    <n v="10"/>
    <m/>
    <n v="0"/>
    <x v="0"/>
    <m/>
    <m/>
  </r>
  <r>
    <s v=" Manutenção recrítica movel simples"/>
    <s v="QTD"/>
    <n v="5"/>
    <m/>
    <n v="0"/>
    <x v="0"/>
    <m/>
    <m/>
  </r>
  <r>
    <s v=" Manutenção recrítica movel complexa"/>
    <s v="QTD"/>
    <n v="10"/>
    <m/>
    <n v="0"/>
    <x v="0"/>
    <m/>
    <m/>
  </r>
  <r>
    <s v=" Manutenção crítica fixa simples"/>
    <s v="QTD"/>
    <n v="5"/>
    <m/>
    <n v="0"/>
    <x v="0"/>
    <m/>
    <m/>
  </r>
  <r>
    <s v=" Manutenção crítica fixa complexa"/>
    <s v="QTD"/>
    <n v="10"/>
    <m/>
    <n v="0"/>
    <x v="0"/>
    <m/>
    <m/>
  </r>
  <r>
    <s v=" Manutenção recrítica fixa simples"/>
    <s v="QTD"/>
    <n v="5"/>
    <m/>
    <n v="0"/>
    <x v="0"/>
    <m/>
    <m/>
  </r>
  <r>
    <s v=" Manutenção recrítica fixa complexa"/>
    <s v="QTD"/>
    <n v="10"/>
    <m/>
    <n v="0"/>
    <x v="0"/>
    <m/>
    <m/>
  </r>
  <r>
    <s v=" Manutenção extração de pendencias simples"/>
    <s v="QTD"/>
    <n v="4"/>
    <m/>
    <n v="0"/>
    <x v="0"/>
    <m/>
    <m/>
  </r>
  <r>
    <s v=" Manutenção extração de pendencias complexa"/>
    <s v="QTD"/>
    <n v="8"/>
    <m/>
    <n v="0"/>
    <x v="0"/>
    <m/>
    <m/>
  </r>
  <r>
    <s v=" Manutenção agruparSFA fixa simplexa"/>
    <s v="QTD"/>
    <n v="5"/>
    <m/>
    <n v="0"/>
    <x v="0"/>
    <m/>
    <m/>
  </r>
  <r>
    <s v=" Manutenção agruparSFA fixa complexa"/>
    <s v="QTD"/>
    <n v="10"/>
    <m/>
    <n v="0"/>
    <x v="0"/>
    <m/>
    <m/>
  </r>
  <r>
    <s v=" Manutenção de extração (Tvas/RATURBO/SCO/DW)"/>
    <s v="QTD"/>
    <n v="5"/>
    <m/>
    <n v="0"/>
    <x v="0"/>
    <m/>
    <m/>
  </r>
  <r>
    <s v=" Mriação de extração simples"/>
    <s v="QTD"/>
    <n v="5"/>
    <m/>
    <n v="0"/>
    <x v="0"/>
    <m/>
    <m/>
  </r>
  <r>
    <s v=" Mriação de extração complexa"/>
    <s v="QTD"/>
    <n v="10"/>
    <m/>
    <n v="0"/>
    <x v="0"/>
    <m/>
    <m/>
  </r>
  <r>
    <s v=" Manutenção de modelo de dados simples"/>
    <s v="QTD"/>
    <n v="5"/>
    <m/>
    <n v="0"/>
    <x v="0"/>
    <m/>
    <m/>
  </r>
  <r>
    <s v=" Manutenção de modelo de dados complexa"/>
    <s v="QTD"/>
    <n v="10"/>
    <m/>
    <n v="0"/>
    <x v="0"/>
    <m/>
    <m/>
  </r>
  <r>
    <s v="Suporte a teste Integrado 1 ciclo de faturamento, 15 dias"/>
    <s v="QTD"/>
    <n v="7"/>
    <m/>
    <n v="0"/>
    <x v="0"/>
    <m/>
    <m/>
  </r>
  <r>
    <s v="Fat SISRAF"/>
    <m/>
    <m/>
    <m/>
    <m/>
    <x v="0"/>
    <m/>
    <m/>
  </r>
  <r>
    <s v="Manutençoes"/>
    <s v=" "/>
    <s v=" "/>
    <m/>
    <m/>
    <x v="0"/>
    <m/>
    <m/>
  </r>
  <r>
    <s v="Extração de arquivos"/>
    <s v="QTD"/>
    <n v="30"/>
    <m/>
    <n v="0"/>
    <x v="0"/>
    <m/>
    <m/>
  </r>
  <r>
    <s v="Alteracao de regras simples existentes"/>
    <s v="QTD"/>
    <n v="50"/>
    <m/>
    <n v="0"/>
    <x v="0"/>
    <m/>
    <m/>
  </r>
  <r>
    <s v="Alteracao de regras complexas existentes"/>
    <s v="QTD"/>
    <n v="100"/>
    <m/>
    <n v="0"/>
    <x v="0"/>
    <m/>
    <m/>
  </r>
  <r>
    <s v="Alteração de mensagem em conta"/>
    <s v="QTD"/>
    <n v="50"/>
    <m/>
    <n v="0"/>
    <x v="0"/>
    <m/>
    <m/>
  </r>
  <r>
    <s v="Altera Mock UP (layout)"/>
    <s v="S/N"/>
    <n v="130"/>
    <m/>
    <n v="0"/>
    <x v="0"/>
    <m/>
    <m/>
  </r>
  <r>
    <s v="Inclui novas Info no Mock up "/>
    <s v="QTD"/>
    <n v="130"/>
    <m/>
    <n v="0"/>
    <x v="0"/>
    <m/>
    <m/>
  </r>
  <r>
    <s v="Disponibilizar info nas telas on line"/>
    <s v="QTD"/>
    <n v="50"/>
    <m/>
    <n v="0"/>
    <x v="0"/>
    <m/>
    <m/>
  </r>
  <r>
    <s v="Entrada Externa (arquivos de outras empresas)  "/>
    <m/>
    <m/>
    <m/>
    <m/>
    <x v="0"/>
    <m/>
    <m/>
  </r>
  <r>
    <s v="Nova Entrada de Externa Simples"/>
    <s v="S/N"/>
    <n v="100"/>
    <m/>
    <n v="0"/>
    <x v="0"/>
    <m/>
    <m/>
  </r>
  <r>
    <s v="Alteração  de Entrada Externa Simples"/>
    <s v="S/N"/>
    <n v="50"/>
    <m/>
    <n v="0"/>
    <x v="0"/>
    <m/>
    <m/>
  </r>
  <r>
    <s v="Nova Entrada de Externa Complexa"/>
    <s v="S/N"/>
    <n v="300"/>
    <m/>
    <n v="0"/>
    <x v="0"/>
    <m/>
    <m/>
  </r>
  <r>
    <s v="Alteração  de Entrada Externa Complexa"/>
    <s v="S/N"/>
    <n v="100"/>
    <m/>
    <n v="0"/>
    <x v="0"/>
    <m/>
    <m/>
  </r>
  <r>
    <s v="Entrada Interna (arquivos de sistemas da OI  "/>
    <m/>
    <m/>
    <m/>
    <m/>
    <x v="0"/>
    <m/>
    <m/>
  </r>
  <r>
    <s v="Nova Entrada Interna  "/>
    <s v="S/N"/>
    <n v="100"/>
    <m/>
    <n v="0"/>
    <x v="0"/>
    <m/>
    <m/>
  </r>
  <r>
    <s v="Alteração de  Entrada Interna "/>
    <s v="S/N"/>
    <n v="100"/>
    <m/>
    <n v="0"/>
    <x v="0"/>
    <m/>
    <m/>
  </r>
  <r>
    <s v="Nova Entrada Complexa  "/>
    <s v="S/N"/>
    <n v="300"/>
    <m/>
    <n v="0"/>
    <x v="0"/>
    <m/>
    <m/>
  </r>
  <r>
    <s v="Alteração de  Entrada Complexa "/>
    <s v="S/N"/>
    <n v="100"/>
    <m/>
    <n v="0"/>
    <x v="0"/>
    <m/>
    <m/>
  </r>
  <r>
    <s v="Saída Externa  (envio para outras empresas) "/>
    <m/>
    <m/>
    <m/>
    <m/>
    <x v="0"/>
    <m/>
    <m/>
  </r>
  <r>
    <s v="Nova Saída  Externa  Simples "/>
    <s v="S/N"/>
    <n v="100"/>
    <m/>
    <n v="0"/>
    <x v="0"/>
    <m/>
    <m/>
  </r>
  <r>
    <s v="Alteração de Saída Externa Simples"/>
    <s v="S/N"/>
    <n v="50"/>
    <m/>
    <n v="0"/>
    <x v="0"/>
    <m/>
    <m/>
  </r>
  <r>
    <s v="Nova Saída  Externa  Complexa  "/>
    <s v="S/N"/>
    <n v="300"/>
    <m/>
    <n v="0"/>
    <x v="0"/>
    <m/>
    <m/>
  </r>
  <r>
    <s v="Alteração de Saída Complexa "/>
    <s v="S/N"/>
    <n v="100"/>
    <m/>
    <n v="0"/>
    <x v="0"/>
    <m/>
    <m/>
  </r>
  <r>
    <s v="Saída Interna  (envio para sistemas da OI) "/>
    <m/>
    <m/>
    <m/>
    <m/>
    <x v="0"/>
    <m/>
    <m/>
  </r>
  <r>
    <s v="Nova Saída  Interna  Simples "/>
    <s v="S/N"/>
    <n v="100"/>
    <m/>
    <n v="0"/>
    <x v="0"/>
    <m/>
    <m/>
  </r>
  <r>
    <s v="Alteração de Saída Interna Simples"/>
    <s v="S/N"/>
    <n v="50"/>
    <m/>
    <n v="0"/>
    <x v="0"/>
    <m/>
    <m/>
  </r>
  <r>
    <s v="Nova Saída  Interna  Complexa  "/>
    <s v="S/N"/>
    <n v="300"/>
    <m/>
    <n v="0"/>
    <x v="0"/>
    <m/>
    <m/>
  </r>
  <r>
    <s v="Alteração de Saída Interna Complexa "/>
    <s v="S/N"/>
    <n v="150"/>
    <m/>
    <n v="0"/>
    <x v="0"/>
    <m/>
    <m/>
  </r>
  <r>
    <s v="Serviços / Micro serviço "/>
    <m/>
    <m/>
    <m/>
    <m/>
    <x v="0"/>
    <m/>
    <m/>
  </r>
  <r>
    <s v="Nova cobrança de serviço  Simples "/>
    <s v="S/N"/>
    <n v="150"/>
    <m/>
    <n v="0"/>
    <x v="0"/>
    <m/>
    <m/>
  </r>
  <r>
    <s v="Alteração de cobrança de serviço  Simples "/>
    <s v="S/N"/>
    <n v="100"/>
    <m/>
    <n v="0"/>
    <x v="0"/>
    <m/>
    <m/>
  </r>
  <r>
    <s v="Nova cobrança de serviço  Complexa"/>
    <s v="S/N"/>
    <n v="300"/>
    <m/>
    <n v="0"/>
    <x v="0"/>
    <m/>
    <m/>
  </r>
  <r>
    <s v="Alteração de cobrança de serviço  Complexa"/>
    <s v="S/N"/>
    <n v="150"/>
    <m/>
    <n v="0"/>
    <x v="0"/>
    <m/>
    <m/>
  </r>
  <r>
    <s v="Plano (trafego, mensalidades, etc..)  "/>
    <m/>
    <m/>
    <m/>
    <m/>
    <x v="0"/>
    <m/>
    <m/>
  </r>
  <r>
    <s v="Novo plano - Simples "/>
    <s v="S/N"/>
    <n v="300"/>
    <m/>
    <n v="0"/>
    <x v="0"/>
    <m/>
    <m/>
  </r>
  <r>
    <s v="Alteração plano - Simples "/>
    <s v="S/N"/>
    <n v="100"/>
    <m/>
    <n v="0"/>
    <x v="0"/>
    <m/>
    <m/>
  </r>
  <r>
    <s v="Novo plano - Complexa "/>
    <s v="S/N"/>
    <n v="500"/>
    <m/>
    <n v="0"/>
    <x v="0"/>
    <m/>
    <m/>
  </r>
  <r>
    <s v="Alteração plano - Complexa "/>
    <s v="S/N"/>
    <n v="200"/>
    <m/>
    <n v="0"/>
    <x v="0"/>
    <m/>
    <m/>
  </r>
  <r>
    <s v="Produto  "/>
    <m/>
    <m/>
    <m/>
    <m/>
    <x v="0"/>
    <m/>
    <m/>
  </r>
  <r>
    <s v="Novo produto - Simples "/>
    <s v="S/N"/>
    <n v="400"/>
    <m/>
    <n v="0"/>
    <x v="0"/>
    <m/>
    <m/>
  </r>
  <r>
    <s v="Alteração produto - Simples "/>
    <s v="S/N"/>
    <n v="200"/>
    <m/>
    <n v="0"/>
    <x v="0"/>
    <m/>
    <m/>
  </r>
  <r>
    <s v="Novo produto - Complexa "/>
    <s v="S/N"/>
    <n v="800"/>
    <m/>
    <n v="0"/>
    <x v="0"/>
    <m/>
    <m/>
  </r>
  <r>
    <s v="Alteração produto - Complexa "/>
    <s v="S/N"/>
    <n v="300"/>
    <m/>
    <n v="0"/>
    <x v="0"/>
    <m/>
    <m/>
  </r>
  <r>
    <s v="Apropriaçao / SCIV / Mediador de negócio"/>
    <m/>
    <m/>
    <m/>
    <m/>
    <x v="0"/>
    <m/>
    <m/>
  </r>
  <r>
    <s v="Manutençoes"/>
    <s v=" "/>
    <s v=" "/>
    <m/>
    <m/>
    <x v="0"/>
    <m/>
    <m/>
  </r>
  <r>
    <s v="Extração de arquivos"/>
    <s v="QTD"/>
    <n v="30"/>
    <m/>
    <n v="0"/>
    <x v="0"/>
    <m/>
    <m/>
  </r>
  <r>
    <s v="Alteracao de regras simples existentes"/>
    <s v="QTD"/>
    <n v="50"/>
    <m/>
    <n v="0"/>
    <x v="0"/>
    <m/>
    <m/>
  </r>
  <r>
    <s v="Alteracao de regras complexas existentes"/>
    <s v="QTD"/>
    <n v="100"/>
    <m/>
    <n v="0"/>
    <x v="0"/>
    <m/>
    <m/>
  </r>
  <r>
    <s v="Alteração de mensagem em conta"/>
    <s v="QTD"/>
    <n v="50"/>
    <m/>
    <n v="0"/>
    <x v="0"/>
    <m/>
    <m/>
  </r>
  <r>
    <s v="Disponibilizar info nas telas on line"/>
    <s v="QTD"/>
    <n v="50"/>
    <m/>
    <n v="0"/>
    <x v="0"/>
    <m/>
    <m/>
  </r>
  <r>
    <s v="SCF1 / Mediador de Terceiros / IIU"/>
    <m/>
    <m/>
    <m/>
    <m/>
    <x v="0"/>
    <m/>
    <m/>
  </r>
  <r>
    <s v="Manutençoes"/>
    <s v=" "/>
    <s v=" "/>
    <m/>
    <m/>
    <x v="0"/>
    <m/>
    <m/>
  </r>
  <r>
    <s v="Extração de arquivos"/>
    <s v="QTD"/>
    <n v="30"/>
    <m/>
    <n v="0"/>
    <x v="0"/>
    <m/>
    <m/>
  </r>
  <r>
    <s v="Alteracao de regras simples existentes"/>
    <s v="QTD"/>
    <n v="50"/>
    <m/>
    <n v="0"/>
    <x v="0"/>
    <m/>
    <m/>
  </r>
  <r>
    <s v="Alteracao de regras complexas existentes"/>
    <s v="QTD"/>
    <n v="100"/>
    <m/>
    <n v="0"/>
    <x v="0"/>
    <m/>
    <m/>
  </r>
  <r>
    <s v="Alteração de mensagem em conta"/>
    <s v="QTD"/>
    <n v="50"/>
    <m/>
    <n v="0"/>
    <x v="0"/>
    <m/>
    <m/>
  </r>
  <r>
    <s v="Disponibilizar info nas telas on line"/>
    <s v="QTD"/>
    <n v="50"/>
    <m/>
    <n v="0"/>
    <x v="0"/>
    <m/>
    <m/>
  </r>
  <r>
    <s v="Entrada Externa (arquivos de outras empresas)  "/>
    <m/>
    <m/>
    <m/>
    <m/>
    <x v="0"/>
    <m/>
    <m/>
  </r>
  <r>
    <s v="Nova Entrada de Externa Simples"/>
    <s v="S/N"/>
    <n v="100"/>
    <m/>
    <n v="0"/>
    <x v="0"/>
    <m/>
    <m/>
  </r>
  <r>
    <s v="Alteração  de Entrada Externa Simples"/>
    <s v="S/N"/>
    <n v="50"/>
    <m/>
    <n v="0"/>
    <x v="0"/>
    <m/>
    <m/>
  </r>
  <r>
    <s v="Nova Entrada de Externa Complexa"/>
    <s v="S/N"/>
    <n v="300"/>
    <m/>
    <n v="0"/>
    <x v="0"/>
    <m/>
    <m/>
  </r>
  <r>
    <s v="Alteração  de Entrada Externa Complexa"/>
    <s v="S/N"/>
    <n v="100"/>
    <m/>
    <n v="0"/>
    <x v="0"/>
    <m/>
    <m/>
  </r>
  <r>
    <s v="Entrada Interna (arquivos de sistemas da OI  "/>
    <m/>
    <m/>
    <m/>
    <m/>
    <x v="0"/>
    <m/>
    <m/>
  </r>
  <r>
    <s v="Nova Entrada Interna  "/>
    <s v="S/N"/>
    <n v="100"/>
    <m/>
    <n v="0"/>
    <x v="0"/>
    <m/>
    <m/>
  </r>
  <r>
    <s v="Alteração de  Entrada Interna "/>
    <s v="S/N"/>
    <n v="100"/>
    <m/>
    <n v="0"/>
    <x v="0"/>
    <m/>
    <m/>
  </r>
  <r>
    <s v="Nova Entrada Complexa  "/>
    <s v="S/N"/>
    <n v="300"/>
    <m/>
    <n v="0"/>
    <x v="0"/>
    <m/>
    <m/>
  </r>
  <r>
    <s v="Alteração de  Entrada Complexa "/>
    <s v="S/N"/>
    <n v="100"/>
    <m/>
    <n v="0"/>
    <x v="0"/>
    <m/>
    <m/>
  </r>
  <r>
    <s v="Saída Externa  (envio para outras empresas) "/>
    <m/>
    <m/>
    <m/>
    <m/>
    <x v="0"/>
    <m/>
    <m/>
  </r>
  <r>
    <s v="Nova Saída  Externa  Simples "/>
    <s v="S/N"/>
    <n v="100"/>
    <m/>
    <n v="0"/>
    <x v="0"/>
    <m/>
    <m/>
  </r>
  <r>
    <s v="Alteração de Saída Externa Simples"/>
    <s v="S/N"/>
    <n v="50"/>
    <m/>
    <n v="0"/>
    <x v="0"/>
    <m/>
    <m/>
  </r>
  <r>
    <s v="Nova Saída  Externa  Complexa  "/>
    <s v="S/N"/>
    <n v="300"/>
    <m/>
    <n v="0"/>
    <x v="0"/>
    <m/>
    <m/>
  </r>
  <r>
    <s v="Alteração de Saída Complexa "/>
    <s v="S/N"/>
    <n v="100"/>
    <m/>
    <n v="0"/>
    <x v="0"/>
    <m/>
    <m/>
  </r>
  <r>
    <s v="Saída Interna  (envio para sistemas da OI) "/>
    <m/>
    <m/>
    <m/>
    <m/>
    <x v="0"/>
    <m/>
    <m/>
  </r>
  <r>
    <s v="Nova Saída  Interna  Simples "/>
    <s v="S/N"/>
    <n v="100"/>
    <m/>
    <n v="0"/>
    <x v="0"/>
    <m/>
    <m/>
  </r>
  <r>
    <s v="Alteração de Saída Interna Simples"/>
    <s v="S/N"/>
    <n v="50"/>
    <m/>
    <n v="0"/>
    <x v="0"/>
    <m/>
    <m/>
  </r>
  <r>
    <s v="Nova Saída  Interna  Complexa  "/>
    <s v="S/N"/>
    <n v="300"/>
    <m/>
    <n v="0"/>
    <x v="0"/>
    <m/>
    <m/>
  </r>
  <r>
    <s v="Alteração de Saída Interna Complexa "/>
    <s v="S/N"/>
    <n v="150"/>
    <m/>
    <n v="0"/>
    <x v="0"/>
    <m/>
    <m/>
  </r>
  <r>
    <s v="Fat Móvel Arbor"/>
    <m/>
    <m/>
    <m/>
    <m/>
    <x v="0"/>
    <m/>
    <m/>
  </r>
  <r>
    <s v="Criação de uma única seção na fatura"/>
    <s v="S/N"/>
    <n v="119"/>
    <m/>
    <n v="0"/>
    <x v="0"/>
    <m/>
    <m/>
  </r>
  <r>
    <s v="Alteração de nome de seção"/>
    <s v="S/N"/>
    <n v="45.6"/>
    <m/>
    <n v="0"/>
    <x v="0"/>
    <m/>
    <m/>
  </r>
  <r>
    <s v="Configuração de conta contabil comum"/>
    <s v="S/N"/>
    <n v="83.3"/>
    <m/>
    <n v="0"/>
    <x v="0"/>
    <m/>
    <m/>
  </r>
  <r>
    <s v="Configuração de tabela contabil convergente"/>
    <s v="S/N"/>
    <n v="83.3"/>
    <m/>
    <n v="0"/>
    <x v="0"/>
    <m/>
    <m/>
  </r>
  <r>
    <s v="Criação de uso de VAS"/>
    <s v="S/N"/>
    <n v="83.3"/>
    <m/>
    <n v="0"/>
    <x v="0"/>
    <m/>
    <m/>
  </r>
  <r>
    <s v="Criaçao de unidade de credito (Ex. Franquia) com novas tarifas"/>
    <s v="S/N"/>
    <n v="119"/>
    <m/>
    <n v="0"/>
    <x v="0"/>
    <m/>
    <m/>
  </r>
  <r>
    <s v="Solicitações que envolvam levantamento de estudo pela fabrica"/>
    <s v="S/N"/>
    <n v="83.3"/>
    <m/>
    <n v="0"/>
    <x v="0"/>
    <m/>
    <m/>
  </r>
  <r>
    <s v="Novos Relatórios Batch (ambito do Arbor)"/>
    <s v="S/N"/>
    <n v="119"/>
    <m/>
    <n v="0"/>
    <x v="0"/>
    <m/>
    <m/>
  </r>
  <r>
    <s v="Alteração de views para inclusão de  novos campos"/>
    <s v="S/N"/>
    <n v="83.3"/>
    <m/>
    <n v="0"/>
    <x v="0"/>
    <m/>
    <m/>
  </r>
  <r>
    <s v="Alteração que envolvam o core do produto (avaliação conjunta CSol)"/>
    <s v="S/N"/>
    <n v="357"/>
    <m/>
    <n v="0"/>
    <x v="0"/>
    <m/>
    <m/>
  </r>
  <r>
    <s v="Alteração nos processos do BIF (Formatador de Conta)"/>
    <s v="S/N"/>
    <n v="238"/>
    <m/>
    <n v="0"/>
    <x v="0"/>
    <m/>
    <m/>
  </r>
  <r>
    <s v="Criação de novas franquias para planos OCT via fabrica, ou outros planos nível instância ou nível conta"/>
    <s v="S/N"/>
    <n v="238"/>
    <m/>
    <n v="0"/>
    <x v="0"/>
    <m/>
    <m/>
  </r>
  <r>
    <s v="Criação de novas franquias para planos FLEX, ou outros planos nível instância ou nível conta"/>
    <s v="S/N"/>
    <n v="238"/>
    <m/>
    <n v="0"/>
    <x v="0"/>
    <m/>
    <m/>
  </r>
  <r>
    <s v="Criação de novas franquias para planos #P´s, ou outros planos nível instância ou nível conta"/>
    <s v="S/N"/>
    <n v="238"/>
    <m/>
    <n v="0"/>
    <x v="0"/>
    <m/>
    <m/>
  </r>
  <r>
    <s v="Criação de novas franquias para FIBRA/WLL, ou outros planos nível instância ou nível conta"/>
    <s v="S/N"/>
    <n v="238"/>
    <m/>
    <n v="0"/>
    <x v="0"/>
    <m/>
    <m/>
  </r>
  <r>
    <s v="Migrações/Tratamento de Backlog"/>
    <s v="S/N"/>
    <n v="200"/>
    <m/>
    <n v="0"/>
    <x v="0"/>
    <m/>
    <m/>
  </r>
  <r>
    <s v="Alteração &quot;Batimento Siebel X Arbor&quot; e &quot;Batimento Arbor X Arbor&quot;"/>
    <s v="S/N"/>
    <n v="83"/>
    <m/>
    <n v="0"/>
    <x v="0"/>
    <m/>
    <m/>
  </r>
  <r>
    <s v="Alteração no módulo do Consulta Saldo"/>
    <s v="S/N"/>
    <n v="80.5"/>
    <m/>
    <n v="0"/>
    <x v="0"/>
    <m/>
    <m/>
  </r>
  <r>
    <s v="Alteração/Configuração &quot;Configurador de Benefícios&quot;"/>
    <s v="S/N"/>
    <n v="150"/>
    <m/>
    <n v="0"/>
    <x v="0"/>
    <m/>
    <m/>
  </r>
  <r>
    <s v="Projetos que envolvam criação de novas ferramentas, como por exemplo Automação VAS, telas no ToolKit"/>
    <s v="S/N"/>
    <n v="238"/>
    <m/>
    <n v="0"/>
    <x v="0"/>
    <m/>
    <m/>
  </r>
  <r>
    <s v="Alteração no modulo do Controle de Custo (avaliação conjunta CSol)"/>
    <s v="S/N"/>
    <n v="178.5"/>
    <m/>
    <n v="0"/>
    <x v="0"/>
    <m/>
    <m/>
  </r>
  <r>
    <s v="Alteração nos extratores de co-billing"/>
    <s v="S/N"/>
    <n v="238"/>
    <m/>
    <n v="0"/>
    <x v="0"/>
    <m/>
    <m/>
  </r>
  <r>
    <s v="Novas funcionalidades como Termo de Quitação, Convenio IN86"/>
    <s v="S/N"/>
    <n v="238"/>
    <m/>
    <n v="0"/>
    <x v="0"/>
    <m/>
    <m/>
  </r>
  <r>
    <s v="Alteração na estrutura da fatura como o Flat (alteração porte médio)"/>
    <s v="S/N"/>
    <n v="178.5"/>
    <m/>
    <n v="0"/>
    <x v="0"/>
    <m/>
    <m/>
  </r>
  <r>
    <s v="Impacta Faturamento"/>
    <s v="S/N"/>
    <n v="0"/>
    <m/>
    <n v="0"/>
    <x v="0"/>
    <m/>
    <m/>
  </r>
  <r>
    <s v="CRM"/>
    <m/>
    <m/>
    <m/>
    <m/>
    <x v="0"/>
    <m/>
    <m/>
  </r>
  <r>
    <s v="CRM Móvel (Siebel 6.3)"/>
    <m/>
    <m/>
    <m/>
    <m/>
    <x v="0"/>
    <m/>
    <m/>
  </r>
  <r>
    <s v="Criação/Alteração de Plano de Voz Varejo/Corporativo (não flexível)"/>
    <s v="QTD"/>
    <n v="36"/>
    <m/>
    <n v="0"/>
    <x v="0"/>
    <m/>
    <m/>
  </r>
  <r>
    <s v="Criação/Alteração de Estrutura Plano Flexível"/>
    <s v="QTD"/>
    <n v="60"/>
    <m/>
    <n v="0"/>
    <x v="0"/>
    <m/>
    <m/>
  </r>
  <r>
    <s v="Criação/Alteração de Plano de Dados Varejo/Corporativo"/>
    <s v="QTD"/>
    <n v="36"/>
    <m/>
    <n v="0"/>
    <x v="0"/>
    <m/>
    <m/>
  </r>
  <r>
    <s v="Criação/Alteração de Benefícios/Serviço(criação de produtos diretamente no SBL 6.3)"/>
    <s v="QTD"/>
    <n v="36"/>
    <m/>
    <n v="0"/>
    <x v="0"/>
    <m/>
    <m/>
  </r>
  <r>
    <s v="Alteração do processo de Pedido de Venda"/>
    <s v="S/N"/>
    <n v="180"/>
    <m/>
    <n v="0"/>
    <x v="0"/>
    <m/>
    <m/>
  </r>
  <r>
    <s v="Alteração em Retenção Varejo"/>
    <s v="S/N"/>
    <n v="84"/>
    <m/>
    <n v="0"/>
    <x v="0"/>
    <m/>
    <m/>
  </r>
  <r>
    <s v="Criação/Alteração de um obtejo BC (Objeto para mapear dados de várias entidades)"/>
    <s v="QTD"/>
    <n v="16"/>
    <m/>
    <n v="0"/>
    <x v="0"/>
    <m/>
    <m/>
  </r>
  <r>
    <s v="Criação/Alteração de um tipo de Oi Chamado"/>
    <s v="QTD"/>
    <n v="25"/>
    <m/>
    <n v="0"/>
    <x v="0"/>
    <m/>
    <m/>
  </r>
  <r>
    <s v="Criação/Alteração de um obtejo BS (Objeto para execução de uma subrotina interna)"/>
    <s v="QTD"/>
    <n v="25"/>
    <m/>
    <n v="0"/>
    <x v="0"/>
    <m/>
    <m/>
  </r>
  <r>
    <s v="Criação/Alteração de uma rotina BATCH (EIM)"/>
    <s v="QTD"/>
    <n v="25"/>
    <m/>
    <n v="0"/>
    <x v="0"/>
    <m/>
    <m/>
  </r>
  <r>
    <s v="Criação/Alteração de uma rotina BATCH/Online (Workflow)"/>
    <s v="QTD"/>
    <n v="50"/>
    <m/>
    <n v="0"/>
    <x v="0"/>
    <m/>
    <m/>
  </r>
  <r>
    <s v="Criação/Alteração de uma Modelo (novo tipo) de benefício (desconto ou elemento de crédito)"/>
    <s v="QTD"/>
    <n v="68"/>
    <m/>
    <n v="0"/>
    <x v="0"/>
    <m/>
    <m/>
  </r>
  <r>
    <s v="Criação/Alteração de uma nova tela (View de aplicação) - Mapeando até 3 entidades"/>
    <s v="QTD"/>
    <n v="130"/>
    <m/>
    <n v="0"/>
    <x v="0"/>
    <m/>
    <m/>
  </r>
  <r>
    <s v="Alteração em Retenção Corporativo"/>
    <s v="S/N"/>
    <n v="90"/>
    <m/>
    <n v="0"/>
    <x v="0"/>
    <m/>
    <m/>
  </r>
  <r>
    <s v="Alteração em VPN"/>
    <s v="S/N"/>
    <n v="120"/>
    <m/>
    <n v="0"/>
    <x v="0"/>
    <m/>
    <m/>
  </r>
  <r>
    <s v="Alteração em Parcelamento de Handset"/>
    <s v="S/N"/>
    <n v="120"/>
    <m/>
    <n v="0"/>
    <x v="0"/>
    <m/>
    <m/>
  </r>
  <r>
    <s v="Alteração na Pré-Ativação"/>
    <s v="S/N"/>
    <n v="36"/>
    <m/>
    <n v="0"/>
    <x v="0"/>
    <m/>
    <m/>
  </r>
  <r>
    <s v="Carga de Arquivo / Tratamento de backlog"/>
    <s v="S/N"/>
    <n v="100"/>
    <m/>
    <n v="0"/>
    <x v="0"/>
    <m/>
    <m/>
  </r>
  <r>
    <s v="Ressubmissão de Eventos (Tratamento de Erros)"/>
    <s v="S/N"/>
    <n v="36"/>
    <m/>
    <n v="0"/>
    <x v="0"/>
    <m/>
    <m/>
  </r>
  <r>
    <s v="Alteração na tela de Contas"/>
    <s v="S/N"/>
    <n v="84"/>
    <m/>
    <n v="0"/>
    <x v="0"/>
    <m/>
    <m/>
  </r>
  <r>
    <s v="Alteração na tela de  Contatos"/>
    <s v="S/N"/>
    <n v="84"/>
    <m/>
    <n v="0"/>
    <x v="0"/>
    <m/>
    <m/>
  </r>
  <r>
    <s v="Alteração em Smart Script (Reparo/Cadastro de Pré-pago)"/>
    <s v="S/N"/>
    <n v="36"/>
    <m/>
    <n v="0"/>
    <x v="0"/>
    <m/>
    <m/>
  </r>
  <r>
    <s v="Alteração em Trouble Ticket "/>
    <s v="S/N"/>
    <n v="84"/>
    <m/>
    <n v="0"/>
    <x v="0"/>
    <m/>
    <m/>
  </r>
  <r>
    <s v="Impacto no Siebel 6.3 devido a alterações no CTI"/>
    <s v="S/N"/>
    <n v="36"/>
    <m/>
    <n v="0"/>
    <x v="0"/>
    <m/>
    <m/>
  </r>
  <r>
    <s v="Identificação de Parceiros (PDV)"/>
    <s v="S/N"/>
    <n v="240"/>
    <m/>
    <n v="0"/>
    <x v="0"/>
    <m/>
    <m/>
  </r>
  <r>
    <s v="Alteração na tela de meio de acesso (OS - client)"/>
    <s v="S/N"/>
    <n v="80"/>
    <m/>
    <n v="0"/>
    <x v="0"/>
    <m/>
    <m/>
  </r>
  <r>
    <s v="Alteração no processo/tela de Oi Família/OCT (client)"/>
    <s v="S/N"/>
    <n v="100"/>
    <m/>
    <n v="0"/>
    <x v="0"/>
    <m/>
    <m/>
  </r>
  <r>
    <s v="Alteração no processo/tela de Ativação Pós (E-channel)"/>
    <s v="S/N"/>
    <n v="70"/>
    <m/>
    <n v="0"/>
    <x v="0"/>
    <m/>
    <m/>
  </r>
  <r>
    <s v="Alteração no processo/tela de Troca de Plano Pós-Pós (E-channel)"/>
    <s v="S/N"/>
    <n v="50"/>
    <m/>
    <n v="0"/>
    <x v="0"/>
    <m/>
    <m/>
  </r>
  <r>
    <s v="Alteração no processo/tela de Troca de Plano Pré-Pós (E-channel)"/>
    <s v="S/N"/>
    <n v="50"/>
    <m/>
    <n v="0"/>
    <x v="0"/>
    <m/>
    <m/>
  </r>
  <r>
    <s v="Alteração no processo/tela de Ativação Oi Família (E-channel)"/>
    <s v="S/N"/>
    <n v="80"/>
    <m/>
    <n v="0"/>
    <x v="0"/>
    <m/>
    <m/>
  </r>
  <r>
    <s v="Alteração no processo/tela de Ativação OCT (E-channel)"/>
    <s v="S/N"/>
    <n v="80"/>
    <m/>
    <n v="0"/>
    <x v="0"/>
    <m/>
    <m/>
  </r>
  <r>
    <s v="Alteração processo/tela de  Contestação"/>
    <s v="S/N"/>
    <n v="120"/>
    <m/>
    <n v="0"/>
    <x v="0"/>
    <m/>
    <m/>
  </r>
  <r>
    <s v="Alteração em Numeração (MSISDN)/SIMCARD"/>
    <s v="S/N"/>
    <n v="36"/>
    <m/>
    <n v="0"/>
    <x v="0"/>
    <m/>
    <m/>
  </r>
  <r>
    <s v="Alteração processo de aprovisionamento em Massa"/>
    <s v="S/N"/>
    <n v="180"/>
    <m/>
    <n v="0"/>
    <x v="0"/>
    <m/>
    <m/>
  </r>
  <r>
    <s v="Automatizar processamento batch (quando for recorrente)"/>
    <s v="QTD"/>
    <n v="36"/>
    <m/>
    <n v="0"/>
    <x v="0"/>
    <m/>
    <m/>
  </r>
  <r>
    <s v="Alteração/Criação de Regras de Convivência"/>
    <s v="QTD"/>
    <n v="36"/>
    <m/>
    <n v="0"/>
    <x v="0"/>
    <m/>
    <m/>
  </r>
  <r>
    <s v="Alteração no Desbloqueio em Confiança"/>
    <s v="S/N"/>
    <n v="36"/>
    <m/>
    <n v="0"/>
    <x v="0"/>
    <m/>
    <m/>
  </r>
  <r>
    <s v="Regras de Controle de Acesso (por Cargos, Responsabilidades,...) "/>
    <s v="QTD"/>
    <n v="36"/>
    <m/>
    <n v="0"/>
    <x v="0"/>
    <m/>
    <m/>
  </r>
  <r>
    <s v="Impacto nas telas de dados históricos (Base Morna)"/>
    <s v="S/N"/>
    <n v="36"/>
    <m/>
    <n v="0"/>
    <x v="0"/>
    <m/>
    <m/>
  </r>
  <r>
    <s v="Impacto na estrutura de tabela de dados históricos (Base Morna)"/>
    <s v="S/N"/>
    <n v="36"/>
    <m/>
    <n v="0"/>
    <x v="0"/>
    <m/>
    <m/>
  </r>
  <r>
    <s v="Impacto em comissionamento"/>
    <s v="S/N"/>
    <n v="36"/>
    <m/>
    <n v="0"/>
    <x v="0"/>
    <m/>
    <m/>
  </r>
  <r>
    <s v="Impacto na Análise de Crédito"/>
    <s v="S/N"/>
    <n v="84"/>
    <m/>
    <n v="0"/>
    <x v="0"/>
    <m/>
    <m/>
  </r>
  <r>
    <s v="Inclusão de nova Funcionalidade no Echannel "/>
    <s v="QTD"/>
    <n v="240"/>
    <m/>
    <n v="0"/>
    <x v="0"/>
    <m/>
    <m/>
  </r>
  <r>
    <s v="Alteração no Bloqueio por Roubo"/>
    <s v="S/N"/>
    <n v="36"/>
    <m/>
    <n v="0"/>
    <x v="0"/>
    <m/>
    <m/>
  </r>
  <r>
    <s v="Alteração no Desbloqueio de Pré"/>
    <s v="S/N"/>
    <n v="36"/>
    <m/>
    <n v="0"/>
    <x v="0"/>
    <m/>
    <m/>
  </r>
  <r>
    <s v="Alteração no Processo de Cobrança"/>
    <s v="S/N"/>
    <n v="180"/>
    <m/>
    <n v="0"/>
    <x v="0"/>
    <m/>
    <m/>
  </r>
  <r>
    <s v="Alteração de Conta Fatura (segunda via, tipo de mídia, data de corte, DACC...)"/>
    <s v="S/N"/>
    <n v="36"/>
    <m/>
    <n v="0"/>
    <x v="0"/>
    <m/>
    <m/>
  </r>
  <r>
    <s v="Alteraçao no Batimento Siebel x Arbor"/>
    <s v="S/N"/>
    <n v="36"/>
    <m/>
    <n v="0"/>
    <x v="0"/>
    <m/>
    <m/>
  </r>
  <r>
    <s v="Impacto em query/serviço da URA"/>
    <s v="S/N"/>
    <n v="36"/>
    <m/>
    <n v="0"/>
    <x v="0"/>
    <m/>
    <m/>
  </r>
  <r>
    <s v="Impacto no Programa de Relacionamento"/>
    <s v="S/N"/>
    <n v="36"/>
    <m/>
    <n v="0"/>
    <x v="0"/>
    <m/>
    <m/>
  </r>
  <r>
    <s v="Impacto em Portabilidade"/>
    <s v="S/N"/>
    <n v="84"/>
    <m/>
    <n v="0"/>
    <x v="0"/>
    <m/>
    <m/>
  </r>
  <r>
    <s v="Criação/Alteração de Relatórios Informacionais"/>
    <s v="QTD"/>
    <n v="36"/>
    <m/>
    <n v="0"/>
    <x v="0"/>
    <m/>
    <m/>
  </r>
  <r>
    <s v="Criação/Alteração de Interface Online"/>
    <s v="QTD"/>
    <n v="50"/>
    <m/>
    <n v="0"/>
    <x v="0"/>
    <m/>
    <m/>
  </r>
  <r>
    <s v="Treinamento (dias)"/>
    <s v="QTD"/>
    <n v="6"/>
    <m/>
    <n v="0"/>
    <x v="0"/>
    <m/>
    <m/>
  </r>
  <r>
    <s v="UAT/Critérios de Aceitação (até 5 cenários)"/>
    <s v="QTD"/>
    <n v="4"/>
    <m/>
    <n v="0"/>
    <x v="0"/>
    <m/>
    <m/>
  </r>
  <r>
    <s v="CRM  (Siebel MKT)"/>
    <m/>
    <m/>
    <m/>
    <m/>
    <x v="0"/>
    <m/>
    <m/>
  </r>
  <r>
    <s v="Configurador de Beneficios: Criação/Alteração de Modelo"/>
    <s v="QTD"/>
    <n v="60"/>
    <m/>
    <n v="0"/>
    <x v="0"/>
    <m/>
    <m/>
  </r>
  <r>
    <s v="Configurador de Beneficios: Criação/Alteração de Template"/>
    <s v="QTD"/>
    <n v="10"/>
    <m/>
    <n v="0"/>
    <x v="0"/>
    <m/>
    <m/>
  </r>
  <r>
    <s v="Configurador de Beneficios: Audit Trail/Fluxo de Aprovação/Alteração na lógica do Calendário de distribuição"/>
    <s v="S/N"/>
    <n v="30"/>
    <m/>
    <n v="0"/>
    <x v="0"/>
    <m/>
    <m/>
  </r>
  <r>
    <s v="Campanha e Oferta: Criação de Campanha/Oferta"/>
    <s v="QTD"/>
    <n v="6"/>
    <m/>
    <n v="0"/>
    <x v="0"/>
    <m/>
    <m/>
  </r>
  <r>
    <s v="Campanha e Oferta: Audit Trail/Fluxo de Aprovação"/>
    <s v="S/N"/>
    <n v="30"/>
    <m/>
    <n v="0"/>
    <x v="0"/>
    <m/>
    <m/>
  </r>
  <r>
    <s v="Campanha e Oferta: Criação/Alteração de Relatório"/>
    <s v="QTD"/>
    <n v="40"/>
    <m/>
    <n v="0"/>
    <x v="0"/>
    <m/>
    <m/>
  </r>
  <r>
    <s v="Campanha e Oferta: Inclusão de Regras de Critica/Elegibilidade/Workflow Police"/>
    <s v="QTD"/>
    <n v="30"/>
    <m/>
    <n v="0"/>
    <x v="0"/>
    <m/>
    <m/>
  </r>
  <r>
    <s v="Campanha e Oferta: Criação de Campo incluindo envio para outros sistemas"/>
    <s v="QTD"/>
    <n v="15"/>
    <m/>
    <n v="0"/>
    <x v="0"/>
    <m/>
    <m/>
  </r>
  <r>
    <s v="Campanha e Oferta: Criação/Alteração de Interface online"/>
    <s v="QTD"/>
    <n v="35"/>
    <m/>
    <n v="0"/>
    <x v="0"/>
    <m/>
    <m/>
  </r>
  <r>
    <s v="Oi Vende"/>
    <m/>
    <m/>
    <m/>
    <m/>
    <x v="0"/>
    <m/>
    <m/>
  </r>
  <r>
    <s v="Criação de Menu"/>
    <s v="S/N"/>
    <n v="10"/>
    <m/>
    <n v="0"/>
    <x v="0"/>
    <m/>
    <m/>
  </r>
  <r>
    <s v="Alteração de Menu"/>
    <s v="S/N"/>
    <n v="5"/>
    <m/>
    <n v="0"/>
    <x v="0"/>
    <m/>
    <m/>
  </r>
  <r>
    <s v="Criação de Relatórios"/>
    <s v="QTD"/>
    <n v="20"/>
    <m/>
    <n v="0"/>
    <x v="0"/>
    <m/>
    <m/>
  </r>
  <r>
    <s v="Alteração de Relatórios"/>
    <s v="QTD"/>
    <n v="5"/>
    <m/>
    <n v="0"/>
    <x v="0"/>
    <m/>
    <m/>
  </r>
  <r>
    <s v="Criação/Alteração de views do CMS (novo incentivo)"/>
    <s v="QTD"/>
    <n v="10"/>
    <m/>
    <n v="0"/>
    <x v="0"/>
    <m/>
    <m/>
  </r>
  <r>
    <s v="Criação/Alteração de serviço no processo de Venda/Migração de Fixo/Velox/Oi Mix"/>
    <s v="QTD"/>
    <n v="20"/>
    <m/>
    <n v="0"/>
    <x v="0"/>
    <m/>
    <m/>
  </r>
  <r>
    <s v="Criação/Alteração no campos de Venda de Fixo/Velox/Oi Mix"/>
    <s v="QTD"/>
    <n v="20"/>
    <m/>
    <n v="0"/>
    <x v="0"/>
    <m/>
    <m/>
  </r>
  <r>
    <s v="Criação/Alteração de serviço no processo de Upgrade de Velox"/>
    <s v="QTD"/>
    <n v="20"/>
    <m/>
    <n v="0"/>
    <x v="0"/>
    <m/>
    <m/>
  </r>
  <r>
    <s v="Criação/Alteração no campos de Upgrade de Velox"/>
    <s v="QTD"/>
    <n v="20"/>
    <m/>
    <n v="0"/>
    <x v="0"/>
    <m/>
    <m/>
  </r>
  <r>
    <s v="Alteração no processo/tela de Venda plano P"/>
    <s v="S/N"/>
    <n v="15"/>
    <m/>
    <n v="0"/>
    <x v="0"/>
    <m/>
    <m/>
  </r>
  <r>
    <s v="Criação/Alteração de Trilha de Auditoria"/>
    <s v="S/N"/>
    <n v="15"/>
    <m/>
    <n v="0"/>
    <x v="0"/>
    <m/>
    <m/>
  </r>
  <r>
    <s v="Criação/Alteração script"/>
    <s v="QTD"/>
    <n v="5"/>
    <m/>
    <n v="0"/>
    <x v="0"/>
    <m/>
    <m/>
  </r>
  <r>
    <s v="Criação/Alteração de Consulta viabilidade"/>
    <s v="S/N"/>
    <n v="15"/>
    <m/>
    <n v="0"/>
    <x v="0"/>
    <m/>
    <m/>
  </r>
  <r>
    <s v="Criação/Alteração de JOBs"/>
    <s v="QTD"/>
    <n v="30"/>
    <m/>
    <n v="0"/>
    <x v="0"/>
    <m/>
    <m/>
  </r>
  <r>
    <s v="Criação/Alteração de funcionalidade de conteúdo"/>
    <s v="QTD"/>
    <n v="20"/>
    <m/>
    <n v="0"/>
    <x v="0"/>
    <m/>
    <m/>
  </r>
  <r>
    <s v="Criação/Alteração de Interface"/>
    <s v="QTD"/>
    <n v="10"/>
    <m/>
    <n v="0"/>
    <x v="0"/>
    <m/>
    <m/>
  </r>
  <r>
    <s v="CRM WLL/Fibra (Siebel 8)"/>
    <m/>
    <m/>
    <m/>
    <m/>
    <x v="0"/>
    <m/>
    <m/>
  </r>
  <r>
    <s v="Extratores - (somente Extração)"/>
    <s v="QTD"/>
    <n v="40"/>
    <m/>
    <n v="0"/>
    <x v="0"/>
    <m/>
    <m/>
  </r>
  <r>
    <s v="Extrator - (com lógica e/ou batimentos)"/>
    <s v="QTD"/>
    <n v="75"/>
    <m/>
    <n v="0"/>
    <x v="0"/>
    <m/>
    <m/>
  </r>
  <r>
    <s v="Disponibilização de informações on line para outros sistemas"/>
    <s v="QTD"/>
    <n v="70"/>
    <m/>
    <n v="0"/>
    <x v="0"/>
    <m/>
    <m/>
  </r>
  <r>
    <s v="Criação PDV e/ou Canal de Venda"/>
    <s v="S/N"/>
    <n v="40"/>
    <m/>
    <n v="0"/>
    <x v="0"/>
    <m/>
    <m/>
  </r>
  <r>
    <s v="Configuração de responsabilidade e/ou posição"/>
    <s v="QTD"/>
    <n v="50"/>
    <m/>
    <n v="0"/>
    <x v="0"/>
    <m/>
    <m/>
  </r>
  <r>
    <s v="Criação de Tipos de Oi Chamados"/>
    <s v="QTD"/>
    <n v="80"/>
    <m/>
    <n v="0"/>
    <x v="0"/>
    <m/>
    <m/>
  </r>
  <r>
    <s v="Parametrizações Solicitadas "/>
    <s v="QTD"/>
    <n v="30"/>
    <m/>
    <n v="0"/>
    <x v="0"/>
    <m/>
    <m/>
  </r>
  <r>
    <s v="Criação de Benefícios (ex.: Descontos)"/>
    <s v="QTD"/>
    <n v="40"/>
    <m/>
    <n v="0"/>
    <x v="0"/>
    <m/>
    <m/>
  </r>
  <r>
    <s v="Alteração Análise de Crédito"/>
    <s v="S/N"/>
    <n v="125"/>
    <m/>
    <n v="0"/>
    <x v="0"/>
    <m/>
    <m/>
  </r>
  <r>
    <s v="Alteração de dados via interface"/>
    <s v="QTD"/>
    <n v="75"/>
    <m/>
    <n v="0"/>
    <x v="0"/>
    <m/>
    <m/>
  </r>
  <r>
    <s v="Alteração no processo de Reparo"/>
    <s v="S/N"/>
    <n v="185"/>
    <m/>
    <n v="0"/>
    <x v="0"/>
    <m/>
    <m/>
  </r>
  <r>
    <s v="Alteração de árvore de abertura"/>
    <s v="QTD"/>
    <n v="30"/>
    <m/>
    <n v="0"/>
    <x v="0"/>
    <m/>
    <m/>
  </r>
  <r>
    <s v="Alteração Cadastral"/>
    <s v="S/N"/>
    <n v="75"/>
    <m/>
    <n v="0"/>
    <x v="0"/>
    <m/>
    <m/>
  </r>
  <r>
    <s v="Alteração Perfil Faturamento"/>
    <s v="S/N"/>
    <n v="180"/>
    <m/>
    <n v="0"/>
    <x v="0"/>
    <m/>
    <m/>
  </r>
  <r>
    <s v="Integração com UNIPRO"/>
    <s v="S/N"/>
    <n v="458"/>
    <m/>
    <n v="0"/>
    <x v="0"/>
    <m/>
    <m/>
  </r>
  <r>
    <s v="Integração CDI (inclusao de novos campos)"/>
    <s v="S/N"/>
    <n v="84"/>
    <m/>
    <n v="0"/>
    <x v="0"/>
    <m/>
    <m/>
  </r>
  <r>
    <s v="Criação de Plano"/>
    <s v="QTD"/>
    <n v="70"/>
    <m/>
    <n v="0"/>
    <x v="0"/>
    <m/>
    <m/>
  </r>
  <r>
    <s v="Criação de Serviços Inteligentes"/>
    <s v="QTD"/>
    <n v="245"/>
    <m/>
    <n v="0"/>
    <x v="0"/>
    <m/>
    <m/>
  </r>
  <r>
    <s v="Criação/Alteração de uma rotina BATCH (EIM)"/>
    <s v="QTD"/>
    <n v="25"/>
    <m/>
    <n v="0"/>
    <x v="0"/>
    <m/>
    <m/>
  </r>
  <r>
    <s v="Criação/Alteração de uma rotina BATCH/Online (Workflow)"/>
    <s v="QTD"/>
    <n v="50"/>
    <m/>
    <n v="0"/>
    <x v="0"/>
    <m/>
    <m/>
  </r>
  <r>
    <s v="Alteração no Configurador Produto (ex.: layout, exibiçao, inclusão de campos)"/>
    <s v="S/N"/>
    <n v="310"/>
    <m/>
    <n v="0"/>
    <x v="0"/>
    <m/>
    <m/>
  </r>
  <r>
    <s v="Integração com STC/Siebel 6.3"/>
    <s v="S/N"/>
    <n v="245"/>
    <m/>
    <n v="0"/>
    <x v="0"/>
    <m/>
    <m/>
  </r>
  <r>
    <s v="Ação de Cobrança"/>
    <s v="S/N"/>
    <n v="365"/>
    <m/>
    <n v="0"/>
    <x v="0"/>
    <m/>
    <m/>
  </r>
  <r>
    <s v="Integração com SOM/GOS (implementação)"/>
    <s v="S/N"/>
    <n v="310"/>
    <m/>
    <n v="0"/>
    <x v="0"/>
    <m/>
    <m/>
  </r>
  <r>
    <s v="Integração com NDS"/>
    <s v="S/N"/>
    <n v="365"/>
    <m/>
    <n v="0"/>
    <x v="0"/>
    <m/>
    <m/>
  </r>
  <r>
    <s v="Tratamento de Erro"/>
    <s v="S/N"/>
    <n v="180"/>
    <m/>
    <n v="0"/>
    <x v="0"/>
    <m/>
    <m/>
  </r>
  <r>
    <s v="Alteração no Processo de Portabilidade"/>
    <s v="S/N"/>
    <n v="220"/>
    <m/>
    <n v="0"/>
    <x v="0"/>
    <m/>
    <m/>
  </r>
  <r>
    <s v="Alteração na estrutura do Pedido"/>
    <s v="S/N"/>
    <n v="425"/>
    <m/>
    <n v="0"/>
    <x v="0"/>
    <m/>
    <m/>
  </r>
  <r>
    <s v="2a via, prorrogação vencimento"/>
    <s v="S/N"/>
    <n v="125"/>
    <m/>
    <n v="0"/>
    <x v="0"/>
    <m/>
    <m/>
  </r>
  <r>
    <s v="Contestação"/>
    <s v="S/N"/>
    <n v="220"/>
    <m/>
    <n v="0"/>
    <x v="0"/>
    <m/>
    <m/>
  </r>
  <r>
    <s v="CRM Fixa R1 - (STC VOZ / STC DADOS / SISRAF CADASTRO)"/>
    <m/>
    <m/>
    <m/>
    <m/>
    <x v="0"/>
    <m/>
    <m/>
  </r>
  <r>
    <s v="Modelos de Dados - Complexidade Baixa "/>
    <s v="QTD"/>
    <n v="21"/>
    <m/>
    <n v="0"/>
    <x v="0"/>
    <m/>
    <m/>
  </r>
  <r>
    <s v="Modelos de Dados - Complexidade Média"/>
    <s v="QTD"/>
    <n v="30"/>
    <m/>
    <n v="0"/>
    <x v="0"/>
    <m/>
    <m/>
  </r>
  <r>
    <s v="Modelos de Dados - Complexidade Alta"/>
    <s v="QTD"/>
    <n v="45"/>
    <m/>
    <n v="0"/>
    <x v="0"/>
    <m/>
    <m/>
  </r>
  <r>
    <s v="Serviços de Dados - Complexidade Baixa"/>
    <s v="QTD"/>
    <n v="15"/>
    <m/>
    <n v="0"/>
    <x v="0"/>
    <m/>
    <m/>
  </r>
  <r>
    <s v="Serviços de Dados - Complexidade Média"/>
    <s v="QTD"/>
    <n v="21"/>
    <m/>
    <n v="0"/>
    <x v="0"/>
    <m/>
    <m/>
  </r>
  <r>
    <s v="Serviços de Dados - Complexidade Alta"/>
    <s v="QTD"/>
    <n v="30"/>
    <m/>
    <n v="0"/>
    <x v="0"/>
    <m/>
    <m/>
  </r>
  <r>
    <s v="Funções de Entrada/Saída sem lógica de processamento - Complexidade Baixa"/>
    <s v="QTD"/>
    <n v="9"/>
    <m/>
    <n v="0"/>
    <x v="0"/>
    <m/>
    <m/>
  </r>
  <r>
    <s v="Funções de Entrada/Saída sem lógica de processamento - Complexidade Média"/>
    <s v="QTD"/>
    <n v="12"/>
    <m/>
    <n v="0"/>
    <x v="0"/>
    <m/>
    <m/>
  </r>
  <r>
    <s v="Funções de Entrada/Saída sem lógica de processamento - Complexidade Alta"/>
    <s v="QTD"/>
    <n v="18"/>
    <m/>
    <n v="0"/>
    <x v="0"/>
    <m/>
    <m/>
  </r>
  <r>
    <s v="Funções de Entrada/Saída com lógica de processamento - Complexidade Baixa"/>
    <s v="QTD"/>
    <n v="12"/>
    <m/>
    <n v="0"/>
    <x v="0"/>
    <m/>
    <m/>
  </r>
  <r>
    <s v="Funções de Entrada/Saída com lógica de processamento - Complexidade Média"/>
    <s v="QTD"/>
    <n v="15"/>
    <m/>
    <n v="0"/>
    <x v="0"/>
    <m/>
    <m/>
  </r>
  <r>
    <s v="Funções de Entrada/Saída com lógica de processamento - Complexidade Alta"/>
    <s v="QTD"/>
    <n v="21"/>
    <m/>
    <n v="0"/>
    <x v="0"/>
    <m/>
    <m/>
  </r>
  <r>
    <s v="Cobranças eventuais em Homem Hora"/>
    <s v="QTD"/>
    <n v="1"/>
    <m/>
    <n v="0"/>
    <x v="0"/>
    <m/>
    <m/>
  </r>
  <r>
    <s v="CRM Fixa R1 (TCE / CADOP)"/>
    <m/>
    <m/>
    <m/>
    <m/>
    <x v="0"/>
    <m/>
    <m/>
  </r>
  <r>
    <s v="Atualização de Dados em Lote/Massa"/>
    <s v="S/N"/>
    <n v="50"/>
    <m/>
    <n v="0"/>
    <x v="0"/>
    <m/>
    <m/>
  </r>
  <r>
    <s v="Quantidade de Regras de Negócio a serem Implantadas / Alteradas"/>
    <s v="QTD"/>
    <n v="5"/>
    <m/>
    <n v="0"/>
    <x v="0"/>
    <m/>
    <m/>
  </r>
  <r>
    <s v="CRM Fixa (SAC)"/>
    <m/>
    <m/>
    <m/>
    <m/>
    <x v="0"/>
    <m/>
    <m/>
  </r>
  <r>
    <s v="Criação / Alteração em Tabelas"/>
    <s v="QTD"/>
    <n v="65"/>
    <m/>
    <n v="0"/>
    <x v="0"/>
    <m/>
    <m/>
  </r>
  <r>
    <s v="Criação / Alteração em Telas"/>
    <s v="QTD"/>
    <n v="33"/>
    <m/>
    <n v="0"/>
    <x v="0"/>
    <m/>
    <m/>
  </r>
  <r>
    <s v="Criação / Alteração em Relatórios / Consultas"/>
    <s v="QTD"/>
    <n v="33"/>
    <m/>
    <n v="0"/>
    <x v="0"/>
    <m/>
    <m/>
  </r>
  <r>
    <s v="Criação / Alteração de Interfaces"/>
    <s v="QTD"/>
    <n v="33"/>
    <m/>
    <n v="0"/>
    <x v="0"/>
    <m/>
    <m/>
  </r>
  <r>
    <s v="Alterações no processo de Portabilidade"/>
    <s v="S/N"/>
    <n v="65"/>
    <m/>
    <n v="0"/>
    <x v="0"/>
    <m/>
    <m/>
  </r>
  <r>
    <s v="Criação de Produtos com Combos"/>
    <s v="QTD"/>
    <n v="46"/>
    <m/>
    <n v="0"/>
    <x v="0"/>
    <m/>
    <m/>
  </r>
  <r>
    <s v="Alteração de Produtos com Combos"/>
    <s v="QTD"/>
    <n v="46"/>
    <m/>
    <n v="0"/>
    <x v="0"/>
    <m/>
    <m/>
  </r>
  <r>
    <s v="Criação de Produtos sem Combos"/>
    <s v="QTD"/>
    <n v="33"/>
    <m/>
    <n v="0"/>
    <x v="0"/>
    <m/>
    <m/>
  </r>
  <r>
    <s v="Alteração de Produtos sem Combos"/>
    <s v="QTD"/>
    <n v="33"/>
    <m/>
    <n v="0"/>
    <x v="0"/>
    <m/>
    <m/>
  </r>
  <r>
    <s v="Criação em funcionalidades do Catálogo Combos"/>
    <s v="QTD"/>
    <n v="41"/>
    <m/>
    <n v="0"/>
    <x v="0"/>
    <m/>
    <m/>
  </r>
  <r>
    <s v="Alteração em funcionalidades do Catálogo Combos"/>
    <s v="QTD"/>
    <n v="33"/>
    <m/>
    <n v="0"/>
    <x v="0"/>
    <m/>
    <m/>
  </r>
  <r>
    <s v="CRM Móvel, Dados e Voz Avançada (Clarify)"/>
    <m/>
    <m/>
    <m/>
    <m/>
    <x v="0"/>
    <m/>
    <m/>
  </r>
  <r>
    <s v="Criação / Alteração  de Tabelas"/>
    <s v="QTD"/>
    <n v="107"/>
    <m/>
    <n v="0"/>
    <x v="0"/>
    <m/>
    <m/>
  </r>
  <r>
    <s v="Criação / Alteração  de Telas"/>
    <s v="QTD"/>
    <n v="47"/>
    <m/>
    <n v="0"/>
    <x v="0"/>
    <m/>
    <m/>
  </r>
  <r>
    <s v="Criação / Alteração  de Relatórios / Consultas"/>
    <s v="QTD"/>
    <n v="57"/>
    <m/>
    <n v="0"/>
    <x v="0"/>
    <m/>
    <m/>
  </r>
  <r>
    <s v="Criação / Alteração  de Interfaces"/>
    <s v="QTD"/>
    <n v="57"/>
    <m/>
    <n v="0"/>
    <x v="0"/>
    <m/>
    <m/>
  </r>
  <r>
    <s v="Criação de Produtos com Combos"/>
    <s v="QTD"/>
    <n v="79"/>
    <m/>
    <n v="0"/>
    <x v="0"/>
    <m/>
    <m/>
  </r>
  <r>
    <s v="Alteração de Produtos com Combos"/>
    <s v="QTD"/>
    <n v="79"/>
    <m/>
    <n v="0"/>
    <x v="0"/>
    <m/>
    <m/>
  </r>
  <r>
    <s v="Criação de Produtos sem Combos"/>
    <s v="QTD"/>
    <n v="57"/>
    <m/>
    <n v="0"/>
    <x v="0"/>
    <m/>
    <m/>
  </r>
  <r>
    <s v="Alteração de Produtos sem Combos"/>
    <s v="QTD"/>
    <n v="57"/>
    <m/>
    <n v="0"/>
    <x v="0"/>
    <m/>
    <m/>
  </r>
  <r>
    <s v="Criação em funcionalidades do Catálogo Combos"/>
    <s v="QTD"/>
    <n v="71"/>
    <m/>
    <n v="0"/>
    <x v="0"/>
    <m/>
    <m/>
  </r>
  <r>
    <s v="Alteração em funcionalidades do Catálogo Combos"/>
    <s v="QTD"/>
    <n v="57"/>
    <m/>
    <n v="0"/>
    <x v="0"/>
    <m/>
    <m/>
  </r>
  <r>
    <s v="Criação de Novos Produtos GSM Móvel ou Voz Básica"/>
    <s v="QTD"/>
    <n v="65"/>
    <m/>
    <n v="0"/>
    <x v="0"/>
    <m/>
    <m/>
  </r>
  <r>
    <s v="Alteração de Novos Produtos GSM Móvel ou Voz Básica"/>
    <s v="QTD"/>
    <n v="57"/>
    <m/>
    <n v="0"/>
    <x v="0"/>
    <m/>
    <m/>
  </r>
  <r>
    <s v="Criação de Novos Produtos de Dados ou Voz Avançada"/>
    <s v="QTD"/>
    <n v="65"/>
    <m/>
    <n v="0"/>
    <x v="0"/>
    <m/>
    <m/>
  </r>
  <r>
    <s v="Alteração de Novos Produtos de Dados ou Voz Avançada"/>
    <s v="QTD"/>
    <n v="57"/>
    <m/>
    <n v="0"/>
    <x v="0"/>
    <m/>
    <m/>
  </r>
  <r>
    <s v="CRM Contratos (GeCo)"/>
    <m/>
    <m/>
    <m/>
    <m/>
    <x v="0"/>
    <m/>
    <m/>
  </r>
  <r>
    <s v="Criação / Alteração  de Tabelas"/>
    <s v="QTD"/>
    <n v="107"/>
    <m/>
    <n v="0"/>
    <x v="0"/>
    <m/>
    <m/>
  </r>
  <r>
    <s v="Criação / Alteração  de Telas"/>
    <s v="QTD"/>
    <n v="47"/>
    <m/>
    <n v="0"/>
    <x v="0"/>
    <m/>
    <m/>
  </r>
  <r>
    <s v="Criação / Alteração  de Relatórios / Consultas"/>
    <s v="QTD"/>
    <n v="57"/>
    <m/>
    <n v="0"/>
    <x v="0"/>
    <m/>
    <m/>
  </r>
  <r>
    <s v="Criação / Alteração  de Interfaces"/>
    <s v="QTD"/>
    <n v="57"/>
    <m/>
    <n v="0"/>
    <x v="0"/>
    <m/>
    <m/>
  </r>
  <r>
    <s v="Criação de Produtos Modelo"/>
    <s v="QTD"/>
    <n v="57"/>
    <m/>
    <n v="0"/>
    <x v="0"/>
    <m/>
    <m/>
  </r>
  <r>
    <s v="Alteração de Produtos Modelo"/>
    <s v="QTD"/>
    <n v="57"/>
    <m/>
    <n v="0"/>
    <x v="0"/>
    <m/>
    <m/>
  </r>
  <r>
    <s v="Impacta CRM"/>
    <s v="S/N"/>
    <n v="0"/>
    <m/>
    <n v="0"/>
    <x v="0"/>
    <m/>
    <m/>
  </r>
  <r>
    <s v="Impacta DW"/>
    <m/>
    <m/>
    <m/>
    <m/>
    <x v="0"/>
    <m/>
    <m/>
  </r>
  <r>
    <s v="Novo Data Mart, com novo sistema transacional fonte envolvido _x000a_OBS. Se for selecionado este item não pode ser selecionado nenhum outro deste grupo"/>
    <s v="S/N"/>
    <n v="1000"/>
    <m/>
    <n v="0"/>
    <x v="0"/>
    <m/>
    <m/>
  </r>
  <r>
    <s v="Novas informações no DW, a partir de interface do sistema fonte JÁ recebida pelo DW"/>
    <s v="QTD"/>
    <n v="100"/>
    <m/>
    <n v="0"/>
    <x v="0"/>
    <m/>
    <m/>
  </r>
  <r>
    <s v="Novas informações no DW, a partir de interface do sistema fonte AINDA NÃO enviada ao DW (não é um novo Data Mart) - ALTA COMPLEXIDADE"/>
    <s v="QTD"/>
    <n v="300"/>
    <m/>
    <n v="0"/>
    <x v="0"/>
    <m/>
    <m/>
  </r>
  <r>
    <s v="Novas informações no DW, a partir de interface do sistema fonte AINDA NÃO enviada ao DW (não é um novo Data Mart) - BAIXA COMPLEXIDADE"/>
    <s v="QTD"/>
    <n v="100"/>
    <m/>
    <n v="0"/>
    <x v="0"/>
    <m/>
    <m/>
  </r>
  <r>
    <s v="Alteração regra de negócio implementada"/>
    <s v="QTD"/>
    <n v="15"/>
    <m/>
    <n v="0"/>
    <x v="0"/>
    <m/>
    <m/>
  </r>
  <r>
    <s v="Criação de Relatórios na ferramenta de Apresentação com dados já existentes"/>
    <s v="QTD"/>
    <n v="10"/>
    <m/>
    <n v="0"/>
    <x v="0"/>
    <m/>
    <m/>
  </r>
  <r>
    <s v="Criação de Extrator (arquivo texto) a partir de informações já existentes no DW"/>
    <s v="QTD"/>
    <n v="30"/>
    <m/>
    <n v="0"/>
    <x v="0"/>
    <m/>
    <m/>
  </r>
  <r>
    <s v="Impacta DW"/>
    <s v="S/N"/>
    <n v="0"/>
    <m/>
    <n v="0"/>
    <x v="0"/>
    <m/>
    <m/>
  </r>
  <r>
    <s v="Impacta Pré-Pago"/>
    <m/>
    <m/>
    <m/>
    <m/>
    <x v="0"/>
    <m/>
    <m/>
  </r>
  <r>
    <s v="Criação de Bolso"/>
    <s v="QTD"/>
    <n v="30"/>
    <m/>
    <n v="0"/>
    <x v="0"/>
    <m/>
    <m/>
  </r>
  <r>
    <s v="Alteração em categoria existente na contabilidade"/>
    <s v="S/N"/>
    <n v="30"/>
    <m/>
    <n v="0"/>
    <x v="0"/>
    <m/>
    <m/>
  </r>
  <r>
    <s v="Criação de nova categoria contábil"/>
    <s v="QTD"/>
    <n v="30"/>
    <m/>
    <n v="0"/>
    <x v="0"/>
    <m/>
    <m/>
  </r>
  <r>
    <s v="Criação de OS's (para calculo de Interfaces) CRM -&gt; Sistema de Pré-pago -&gt; Plataforma de Pré-pago"/>
    <s v="QTD"/>
    <n v="60"/>
    <m/>
    <n v="0"/>
    <x v="0"/>
    <m/>
    <m/>
  </r>
  <r>
    <s v="Alteração de OS's (para calculo de Interfaces) CRM -&gt; Sistema de Pré-pago -&gt; Plataforma de Pré-pago"/>
    <s v="QTD"/>
    <n v="40"/>
    <m/>
    <n v="0"/>
    <x v="0"/>
    <m/>
    <m/>
  </r>
  <r>
    <s v="Criação de relatórios  (para calculo de extratores para DW) "/>
    <s v="QTD"/>
    <n v="150"/>
    <m/>
    <n v="0"/>
    <x v="0"/>
    <m/>
    <m/>
  </r>
  <r>
    <s v="Alteração de relatórios (para calculo de extratores para DW)"/>
    <s v="QTD"/>
    <n v="90"/>
    <m/>
    <n v="0"/>
    <x v="0"/>
    <m/>
    <m/>
  </r>
  <r>
    <s v="Alteração de interface com o Cobilling/Repasse"/>
    <s v="QTD"/>
    <n v="60"/>
    <m/>
    <n v="0"/>
    <x v="0"/>
    <m/>
    <m/>
  </r>
  <r>
    <s v="Criação de novo parceiro de recarga"/>
    <s v="S/N"/>
    <n v="100"/>
    <m/>
    <n v="0"/>
    <x v="0"/>
    <m/>
    <m/>
  </r>
  <r>
    <s v="Alteração no faturamento de parceiro de recarga"/>
    <s v="S/N"/>
    <n v="80"/>
    <m/>
    <n v="0"/>
    <x v="0"/>
    <m/>
    <m/>
  </r>
  <r>
    <s v="Criação de relatório no ServCel"/>
    <s v="QTD"/>
    <n v="60"/>
    <m/>
    <n v="0"/>
    <x v="0"/>
    <m/>
    <m/>
  </r>
  <r>
    <s v="Alteração de relatório no ServCel"/>
    <s v="QTD"/>
    <n v="50"/>
    <m/>
    <n v="0"/>
    <x v="0"/>
    <m/>
    <m/>
  </r>
  <r>
    <s v="Criação de relatório no Monitor BLL ou ADM Voucher"/>
    <s v="QTD"/>
    <n v="40"/>
    <m/>
    <n v="0"/>
    <x v="0"/>
    <m/>
    <m/>
  </r>
  <r>
    <s v="Alteração de relatório na Monitor BLL ou ADM Voucher"/>
    <s v="QTD"/>
    <n v="30"/>
    <m/>
    <n v="0"/>
    <x v="0"/>
    <m/>
    <m/>
  </r>
  <r>
    <s v="Criação de seção no detalhamento de chamadas do pré-pago"/>
    <s v="S/N"/>
    <n v="30"/>
    <m/>
    <n v="0"/>
    <x v="0"/>
    <m/>
    <m/>
  </r>
  <r>
    <s v="Alteração no detalhamento de chamadas do pré-pago"/>
    <s v="S/N"/>
    <n v="20"/>
    <m/>
    <n v="0"/>
    <x v="0"/>
    <m/>
    <m/>
  </r>
  <r>
    <s v="Impacta Pré-pago"/>
    <s v="S/N"/>
    <n v="0"/>
    <m/>
    <n v="0"/>
    <x v="0"/>
    <m/>
    <m/>
  </r>
  <r>
    <s v="Impacta SA3"/>
    <m/>
    <m/>
    <m/>
    <m/>
    <x v="0"/>
    <m/>
    <m/>
  </r>
  <r>
    <s v="Somente Extração"/>
    <s v="QTD"/>
    <n v="0.5"/>
    <m/>
    <n v="0"/>
    <x v="0"/>
    <m/>
    <m/>
  </r>
  <r>
    <s v="Extrator - somente 1 extrator com lógica e/ou batimentos"/>
    <s v="QTD"/>
    <n v="1"/>
    <m/>
    <n v="0"/>
    <x v="0"/>
    <m/>
    <m/>
  </r>
  <r>
    <s v="Tratamento BackLog"/>
    <s v="QTD"/>
    <n v="1"/>
    <m/>
    <n v="0"/>
    <x v="0"/>
    <m/>
    <m/>
  </r>
  <r>
    <s v="Redirecionamento em lote"/>
    <s v="S/N"/>
    <n v="1"/>
    <m/>
    <n v="0"/>
    <x v="0"/>
    <m/>
    <m/>
  </r>
  <r>
    <s v="Incluir filtro em relatório (PL/SQL gerando arquivo .csv)"/>
    <s v="S/N"/>
    <n v="2.6"/>
    <m/>
    <n v="0"/>
    <x v="0"/>
    <m/>
    <m/>
  </r>
  <r>
    <s v="Criação de Campos tramitados entre SA3 e SFAWeb. "/>
    <s v="QTD"/>
    <n v="21.4"/>
    <m/>
    <n v="0"/>
    <x v="0"/>
    <m/>
    <m/>
  </r>
  <r>
    <s v="Criação de Flag tramitado entre SA3 e SFAWeb"/>
    <s v="QTD"/>
    <n v="56.800000000000004"/>
    <m/>
    <n v="0"/>
    <x v="0"/>
    <m/>
    <m/>
  </r>
  <r>
    <s v="Criação de Pool"/>
    <s v="QTD"/>
    <n v="14.1"/>
    <m/>
    <n v="0"/>
    <x v="0"/>
    <m/>
    <m/>
  </r>
  <r>
    <s v="Impacta SA3"/>
    <s v="S/N"/>
    <n v="0"/>
    <m/>
    <n v="0"/>
    <x v="0"/>
    <m/>
    <m/>
  </r>
  <r>
    <s v="Impacta SFA Web"/>
    <m/>
    <m/>
    <m/>
    <m/>
    <x v="0"/>
    <m/>
    <m/>
  </r>
  <r>
    <s v="Extratores - 1 extrator, somente Extração"/>
    <s v="QTD"/>
    <n v="2"/>
    <m/>
    <n v="0"/>
    <x v="0"/>
    <m/>
    <m/>
  </r>
  <r>
    <s v="Criação de Extrator - somente 1 extrator com lógica e/ou batimentos"/>
    <s v="QTD"/>
    <n v="2"/>
    <m/>
    <n v="0"/>
    <x v="0"/>
    <m/>
    <m/>
  </r>
  <r>
    <s v="Criação de Novo Módulo do Sistema"/>
    <s v="QTD"/>
    <n v="124.2"/>
    <m/>
    <n v="0"/>
    <x v="0"/>
    <m/>
    <m/>
  </r>
  <r>
    <s v="Criação de Flag de prioridade tramitado entre SA3 e SFAWeb"/>
    <s v="QTD"/>
    <n v="28"/>
    <m/>
    <n v="0"/>
    <x v="0"/>
    <m/>
    <m/>
  </r>
  <r>
    <s v="Integração SFAWeb com STC"/>
    <s v="QTD"/>
    <n v="54.9"/>
    <m/>
    <n v="0"/>
    <x v="0"/>
    <m/>
    <m/>
  </r>
  <r>
    <s v="Integração CDI com SFAWeb"/>
    <s v="QTD"/>
    <n v="2"/>
    <m/>
    <n v="0"/>
    <x v="0"/>
    <m/>
    <m/>
  </r>
  <r>
    <s v="Tratamento de Backlog"/>
    <s v="S/N"/>
    <n v="104"/>
    <m/>
    <n v="0"/>
    <x v="0"/>
    <m/>
    <m/>
  </r>
  <r>
    <s v="Novo relatório no Analytcs"/>
    <s v="QTD"/>
    <n v="14"/>
    <m/>
    <n v="0"/>
    <x v="0"/>
    <m/>
    <m/>
  </r>
  <r>
    <s v="Inclusão de campos em Pick-List (até 5 campos)"/>
    <s v="QTD"/>
    <n v="8"/>
    <m/>
    <n v="0"/>
    <x v="0"/>
    <m/>
    <m/>
  </r>
  <r>
    <s v="Criação de um novo Pool com nova Regra de encaminhamento"/>
    <s v="QTD"/>
    <n v="3"/>
    <m/>
    <n v="0"/>
    <x v="0"/>
    <m/>
    <m/>
  </r>
  <r>
    <s v="Incluir regras com mensagem de erro impeditiva"/>
    <s v="QTD"/>
    <n v="3"/>
    <m/>
    <n v="0"/>
    <x v="0"/>
    <m/>
    <m/>
  </r>
  <r>
    <s v="Impacta SFA Estruturante"/>
    <m/>
    <m/>
    <m/>
    <m/>
    <x v="0"/>
    <m/>
    <m/>
  </r>
  <r>
    <s v="Extratores - 1 extrator, somente Extração"/>
    <s v="QTD"/>
    <n v="36"/>
    <m/>
    <n v="0"/>
    <x v="0"/>
    <m/>
    <m/>
  </r>
  <r>
    <s v="Criação de Extrator - somente 1 extrator com lógica e/ou batimentos"/>
    <s v="QTD"/>
    <n v="72"/>
    <m/>
    <n v="0"/>
    <x v="0"/>
    <m/>
    <m/>
  </r>
  <r>
    <s v="Criação de Novo Módulo do Sistema"/>
    <s v="QTD"/>
    <n v="125"/>
    <m/>
    <n v="0"/>
    <x v="0"/>
    <m/>
    <m/>
  </r>
  <r>
    <s v="Integração SFA com STC"/>
    <s v="QTD"/>
    <n v="50"/>
    <m/>
    <n v="0"/>
    <x v="0"/>
    <m/>
    <m/>
  </r>
  <r>
    <s v="Integração CDI com SFA"/>
    <s v="QTD"/>
    <n v="50"/>
    <m/>
    <n v="0"/>
    <x v="0"/>
    <m/>
    <m/>
  </r>
  <r>
    <s v="Tratamento de Backlog"/>
    <s v="S/N"/>
    <n v="100"/>
    <m/>
    <n v="0"/>
    <x v="0"/>
    <m/>
    <m/>
  </r>
  <r>
    <s v="Novo relatório no Analytcs"/>
    <s v="QTD"/>
    <n v="14"/>
    <m/>
    <n v="0"/>
    <x v="0"/>
    <m/>
    <m/>
  </r>
  <r>
    <s v="Inclusão de campos em Pick-List (até 5 campos)"/>
    <s v="QTD"/>
    <n v="8"/>
    <m/>
    <n v="0"/>
    <x v="0"/>
    <m/>
    <m/>
  </r>
  <r>
    <s v="Criação de um novo Pool com nova Regra de encaminhamento"/>
    <s v="QTD"/>
    <n v="16"/>
    <m/>
    <n v="0"/>
    <x v="0"/>
    <m/>
    <m/>
  </r>
  <r>
    <s v="Incluir regras com mensagem de erro impeditiva"/>
    <s v="QTD"/>
    <n v="16"/>
    <m/>
    <n v="0"/>
    <x v="0"/>
    <m/>
    <m/>
  </r>
  <r>
    <s v="Impacta SFA Web/ SFA Siebel 8 Estruturante"/>
    <s v="S/N"/>
    <n v="0"/>
    <m/>
    <n v="0"/>
    <x v="0"/>
    <m/>
    <m/>
  </r>
  <r>
    <s v="Impacta Mediação"/>
    <m/>
    <m/>
    <m/>
    <m/>
    <x v="0"/>
    <m/>
    <m/>
  </r>
  <r>
    <s v="Impacta Mediação - Extratores ANATEL - Criação (informar quantidade de interfaces criadas)"/>
    <s v="S/N"/>
    <n v="30"/>
    <m/>
    <n v="0"/>
    <x v="0"/>
    <m/>
    <m/>
  </r>
  <r>
    <s v="Impacta Mediação - Interfaces - Criação (informar quantidade de interfaces criados)"/>
    <s v="QTD"/>
    <n v="200"/>
    <m/>
    <n v="0"/>
    <x v="0"/>
    <m/>
    <m/>
  </r>
  <r>
    <s v="Impacta Mediação - Interfaces - Alteração (informar quantidade de interfaces criados alterados)"/>
    <s v="QTD"/>
    <n v="200"/>
    <m/>
    <n v="0"/>
    <x v="0"/>
    <m/>
    <m/>
  </r>
  <r>
    <s v="Impacta Mediação - Elementos de Rede (informar quantidade de elementos de rede alterados ou criados - valor unitário inclui a Licença de CDR View)"/>
    <s v="QTD"/>
    <n v="176.45999999999998"/>
    <m/>
    <n v="0"/>
    <x v="0"/>
    <m/>
    <m/>
  </r>
  <r>
    <s v="Impacta Mediação"/>
    <s v="S/N"/>
    <n v="0"/>
    <m/>
    <n v="0"/>
    <x v="0"/>
    <m/>
    <m/>
  </r>
  <r>
    <s v="Impacta SAP"/>
    <m/>
    <m/>
    <m/>
    <m/>
    <x v="0"/>
    <m/>
    <m/>
  </r>
  <r>
    <s v="Criação de empresa somente com FI/CO"/>
    <s v="QTD"/>
    <n v="45"/>
    <m/>
    <n v="0"/>
    <x v="0"/>
    <m/>
    <m/>
  </r>
  <r>
    <s v="Criação de empresa com outros módulos"/>
    <s v="QTD"/>
    <n v="120"/>
    <m/>
    <n v="0"/>
    <x v="0"/>
    <m/>
    <m/>
  </r>
  <r>
    <s v="Criação de centro logístico"/>
    <s v="QTD"/>
    <n v="7"/>
    <m/>
    <n v="0"/>
    <x v="0"/>
    <m/>
    <m/>
  </r>
  <r>
    <s v="Criação de banco/cta corrente"/>
    <s v="QTD"/>
    <n v="5"/>
    <m/>
    <n v="0"/>
    <x v="0"/>
    <m/>
    <m/>
  </r>
  <r>
    <s v="Criação de relatórios "/>
    <s v="QTD"/>
    <n v="30"/>
    <m/>
    <n v="0"/>
    <x v="0"/>
    <m/>
    <m/>
  </r>
  <r>
    <s v="Criação de cubos no BW"/>
    <s v="QTD"/>
    <n v="100"/>
    <m/>
    <n v="0"/>
    <x v="0"/>
    <m/>
    <m/>
  </r>
  <r>
    <s v="Criação de ordem de venda"/>
    <s v="QTD"/>
    <n v="15"/>
    <m/>
    <n v="0"/>
    <x v="0"/>
    <m/>
    <m/>
  </r>
  <r>
    <s v="Criação de cargas ou extratores (interfaces)"/>
    <s v="QTD"/>
    <n v="15"/>
    <m/>
    <n v="0"/>
    <x v="0"/>
    <m/>
    <m/>
  </r>
  <r>
    <s v="Criação de produtos no CFM"/>
    <s v="QTD"/>
    <n v="20"/>
    <m/>
    <n v="0"/>
    <x v="0"/>
    <m/>
    <m/>
  </r>
  <r>
    <s v="Criação de tipo de pedido de compras"/>
    <s v="QTD"/>
    <n v="7"/>
    <m/>
    <n v="0"/>
    <x v="0"/>
    <m/>
    <m/>
  </r>
  <r>
    <s v="Criação de canais de venda"/>
    <s v="QTD"/>
    <n v="50"/>
    <m/>
    <n v="0"/>
    <x v="0"/>
    <m/>
    <m/>
  </r>
  <r>
    <s v="Alteração de configuração simples"/>
    <s v="QTD"/>
    <n v="10"/>
    <m/>
    <n v="0"/>
    <x v="0"/>
    <m/>
    <m/>
  </r>
  <r>
    <s v="Alteração de configuração média"/>
    <s v="QTD"/>
    <n v="15"/>
    <m/>
    <n v="0"/>
    <x v="0"/>
    <m/>
    <m/>
  </r>
  <r>
    <s v="Alteração de configuração complexa"/>
    <s v="QTD"/>
    <n v="30"/>
    <m/>
    <n v="0"/>
    <x v="0"/>
    <m/>
    <m/>
  </r>
  <r>
    <s v="Desenvolvimento de Exits/Regras"/>
    <s v="QTD"/>
    <n v="50"/>
    <m/>
    <n v="0"/>
    <x v="0"/>
    <m/>
    <m/>
  </r>
  <r>
    <s v="Treinamento"/>
    <s v="S/N"/>
    <n v="10"/>
    <m/>
    <n v="0"/>
    <x v="0"/>
    <m/>
    <m/>
  </r>
  <r>
    <s v="Impacta SAP"/>
    <s v="S/N"/>
    <n v="0"/>
    <m/>
    <n v="0"/>
    <x v="0"/>
    <m/>
    <m/>
  </r>
  <r>
    <s v="Impacto Inventário de Rede "/>
    <m/>
    <m/>
    <m/>
    <m/>
    <x v="0"/>
    <m/>
    <m/>
  </r>
  <r>
    <s v="[Granite] Sistema Inventário R1"/>
    <m/>
    <m/>
    <m/>
    <m/>
    <x v="0"/>
    <m/>
    <m/>
  </r>
  <r>
    <s v="Migração Objetos  (Tipo de Objetos)"/>
    <s v="QTD"/>
    <n v="12"/>
    <m/>
    <n v="0"/>
    <x v="0"/>
    <m/>
    <m/>
  </r>
  <r>
    <s v="Modelagem de Objetos (QTD de Objetos)"/>
    <s v="QTD"/>
    <n v="0"/>
    <m/>
    <n v="0"/>
    <x v="0"/>
    <m/>
    <m/>
  </r>
  <r>
    <s v="Alteração de Relatórios"/>
    <s v="QTD"/>
    <n v="0"/>
    <m/>
    <n v="0"/>
    <x v="0"/>
    <m/>
    <m/>
  </r>
  <r>
    <s v="Modificação dos plugins de Validação "/>
    <s v="QTD"/>
    <n v="0"/>
    <m/>
    <n v="0"/>
    <x v="0"/>
    <m/>
    <m/>
  </r>
  <r>
    <s v="Alteração na Regra de Designação"/>
    <s v="S/N"/>
    <n v="30"/>
    <m/>
    <n v="0"/>
    <x v="0"/>
    <m/>
    <m/>
  </r>
  <r>
    <s v="[Objectel] Sistema Inventário R2"/>
    <m/>
    <m/>
    <m/>
    <m/>
    <x v="0"/>
    <m/>
    <m/>
  </r>
  <r>
    <s v="Alteração de Package"/>
    <s v="QTD"/>
    <n v="8"/>
    <m/>
    <n v="0"/>
    <x v="0"/>
    <m/>
    <m/>
  </r>
  <r>
    <s v="Criar Nova Gerência na Picklist de Equipamento Funional"/>
    <s v="QTD"/>
    <n v="1"/>
    <m/>
    <n v="0"/>
    <x v="0"/>
    <m/>
    <m/>
  </r>
  <r>
    <s v="Testes"/>
    <s v="QTD"/>
    <n v="10"/>
    <m/>
    <n v="0"/>
    <x v="0"/>
    <m/>
    <m/>
  </r>
  <r>
    <s v="Impacto Inventário de Rede "/>
    <s v="S/N"/>
    <n v="0"/>
    <m/>
    <n v="0"/>
    <x v="0"/>
    <m/>
    <m/>
  </r>
  <r>
    <s v="Impacto de OSS Aprovisionamento"/>
    <m/>
    <m/>
    <m/>
    <m/>
    <x v="0"/>
    <m/>
    <m/>
  </r>
  <r>
    <s v="[SIS-ATIVACAO] Sistema Aprovisionamento"/>
    <m/>
    <m/>
    <m/>
    <m/>
    <x v="0"/>
    <m/>
    <m/>
  </r>
  <r>
    <s v="Desenvolvimento - Conectores (Simples)"/>
    <s v="QTD"/>
    <n v="4.8959999999999999"/>
    <m/>
    <n v="0"/>
    <x v="0"/>
    <m/>
    <m/>
  </r>
  <r>
    <s v="Desenvolvimento - Conectores (Medio)"/>
    <s v="QTD"/>
    <n v="9.7919999999999998"/>
    <m/>
    <n v="0"/>
    <x v="0"/>
    <m/>
    <m/>
  </r>
  <r>
    <s v="Desenvolvimento - Conectores (Complexo)"/>
    <s v="QTD"/>
    <n v="15.912000000000001"/>
    <m/>
    <n v="0"/>
    <x v="0"/>
    <m/>
    <m/>
  </r>
  <r>
    <s v="Desenvolvimento - Adaptadores (Simples)"/>
    <s v="QTD"/>
    <n v="4.8959999999999999"/>
    <m/>
    <n v="0"/>
    <x v="0"/>
    <m/>
    <m/>
  </r>
  <r>
    <s v="Desenvolvimento - Adaptadores (Medio)"/>
    <s v="QTD"/>
    <n v="8.5679999999999996"/>
    <m/>
    <n v="0"/>
    <x v="0"/>
    <m/>
    <m/>
  </r>
  <r>
    <s v="Desenvolvimento - Adaptadores (Complexo)"/>
    <s v="QTD"/>
    <n v="14.688000000000001"/>
    <m/>
    <n v="0"/>
    <x v="0"/>
    <m/>
    <m/>
  </r>
  <r>
    <s v="Desenvolvimento - Regras Tradução/Enriq./Validação (Simples)"/>
    <s v="QTD"/>
    <n v="2.448"/>
    <m/>
    <n v="0"/>
    <x v="0"/>
    <m/>
    <m/>
  </r>
  <r>
    <s v="Desenvolvimento - Regras Workflow (Simples)"/>
    <s v="QTD"/>
    <n v="3.6720000000000002"/>
    <m/>
    <n v="0"/>
    <x v="0"/>
    <m/>
    <m/>
  </r>
  <r>
    <s v="Desenvolvimento - Regras Tradução/Enriq./Validação (Medio)"/>
    <s v="QTD"/>
    <n v="4.8959999999999999"/>
    <m/>
    <n v="0"/>
    <x v="0"/>
    <m/>
    <m/>
  </r>
  <r>
    <s v="Desenvolvimento - Regras Workflow (Medio)"/>
    <s v="QTD"/>
    <n v="7.3440000000000003"/>
    <m/>
    <n v="0"/>
    <x v="0"/>
    <m/>
    <m/>
  </r>
  <r>
    <s v="Desenvolvimento - Regras Tradução/Enriq./Validação (Complexo)"/>
    <s v="QTD"/>
    <n v="7.3440000000000003"/>
    <m/>
    <n v="0"/>
    <x v="0"/>
    <m/>
    <m/>
  </r>
  <r>
    <s v="Desenvolvimento - Regras Workflow (Complexo)"/>
    <s v="QTD"/>
    <n v="9.7919999999999998"/>
    <m/>
    <n v="0"/>
    <x v="0"/>
    <m/>
    <m/>
  </r>
  <r>
    <s v="Configuração de Serviços (Simples)"/>
    <s v="QTD"/>
    <n v="1.224"/>
    <m/>
    <n v="0"/>
    <x v="0"/>
    <m/>
    <m/>
  </r>
  <r>
    <s v="Configuração de Serviços (Medio)"/>
    <s v="QTD"/>
    <n v="3.06"/>
    <m/>
    <n v="0"/>
    <x v="0"/>
    <m/>
    <m/>
  </r>
  <r>
    <s v="Configuração de Serviços (Complexo)"/>
    <s v="QTD"/>
    <n v="7.3440000000000003"/>
    <m/>
    <n v="0"/>
    <x v="0"/>
    <m/>
    <m/>
  </r>
  <r>
    <s v="Criação de Serviços (Simples)"/>
    <s v="QTD"/>
    <n v="12.24"/>
    <m/>
    <n v="0"/>
    <x v="0"/>
    <m/>
    <m/>
  </r>
  <r>
    <s v="Criação de Serviços (Medio)"/>
    <s v="QTD"/>
    <n v="18.36"/>
    <m/>
    <n v="0"/>
    <x v="0"/>
    <m/>
    <m/>
  </r>
  <r>
    <s v="Criação de Serviços (Complexo)"/>
    <s v="QTD"/>
    <n v="24.48"/>
    <m/>
    <n v="0"/>
    <x v="0"/>
    <m/>
    <m/>
  </r>
  <r>
    <s v="Teste de Sistema"/>
    <s v="QTD"/>
    <n v="2.448"/>
    <m/>
    <n v="0"/>
    <x v="0"/>
    <m/>
    <m/>
  </r>
  <r>
    <s v="Teste Integrado"/>
    <s v="QTD"/>
    <n v="1.224"/>
    <m/>
    <n v="0"/>
    <x v="0"/>
    <m/>
    <m/>
  </r>
  <r>
    <s v="UAT"/>
    <s v="QTD"/>
    <n v="0.61199999999999999"/>
    <m/>
    <n v="0"/>
    <x v="0"/>
    <m/>
    <m/>
  </r>
  <r>
    <s v="Teste de Performance"/>
    <s v="QTD"/>
    <n v="0.61199999999999999"/>
    <m/>
    <n v="0"/>
    <x v="0"/>
    <m/>
    <m/>
  </r>
  <r>
    <s v="Suporte a testes"/>
    <s v="QTD"/>
    <n v="0.20399999999999999"/>
    <m/>
    <n v="0"/>
    <x v="0"/>
    <m/>
    <m/>
  </r>
  <r>
    <s v="[Consulta Plataformas] Sistema de consulta de números/chip"/>
    <m/>
    <m/>
    <m/>
    <m/>
    <x v="0"/>
    <m/>
    <m/>
  </r>
  <r>
    <s v="Inclusão de Plataformas"/>
    <s v="QTD"/>
    <n v="2.448"/>
    <m/>
    <n v="0"/>
    <x v="0"/>
    <m/>
    <m/>
  </r>
  <r>
    <s v="Inclusão de campos (Simples)"/>
    <s v="QTD"/>
    <n v="7.3440000000000003"/>
    <m/>
    <n v="0"/>
    <x v="0"/>
    <m/>
    <m/>
  </r>
  <r>
    <s v="Inclusão de campos (Médio)"/>
    <s v="QTD"/>
    <n v="9.7919999999999998"/>
    <m/>
    <n v="0"/>
    <x v="0"/>
    <m/>
    <m/>
  </r>
  <r>
    <s v="Inclusão de campos (Complexo)"/>
    <s v="QTD"/>
    <n v="12.24"/>
    <m/>
    <n v="0"/>
    <x v="0"/>
    <m/>
    <m/>
  </r>
  <r>
    <s v="Teste de Sistema"/>
    <s v="QTD"/>
    <n v="1.9583999999999999"/>
    <m/>
    <n v="0"/>
    <x v="0"/>
    <m/>
    <m/>
  </r>
  <r>
    <s v="[MNO] Sistema de Designação de Números (MSISDN)"/>
    <m/>
    <m/>
    <m/>
    <m/>
    <x v="0"/>
    <m/>
    <m/>
  </r>
  <r>
    <s v="Configuração de base"/>
    <s v="QTD"/>
    <n v="1.224"/>
    <m/>
    <n v="0"/>
    <x v="0"/>
    <m/>
    <m/>
  </r>
  <r>
    <s v="Testes (TS, TI, UAT e TP)"/>
    <s v="QTD"/>
    <n v="4.8959999999999999"/>
    <m/>
    <n v="0"/>
    <x v="0"/>
    <m/>
    <m/>
  </r>
  <r>
    <s v="[ASAP-Móvel] Sistema de Aprovisionamento Móvel R2"/>
    <m/>
    <m/>
    <m/>
    <m/>
    <x v="0"/>
    <m/>
    <m/>
  </r>
  <r>
    <s v="Configurar nova Plataforma"/>
    <s v="QTD"/>
    <n v="2"/>
    <m/>
    <n v="0"/>
    <x v="0"/>
    <m/>
    <m/>
  </r>
  <r>
    <s v="Criar novo conector de rede"/>
    <s v="QTD"/>
    <n v="16"/>
    <m/>
    <n v="0"/>
    <x v="0"/>
    <m/>
    <m/>
  </r>
  <r>
    <s v="Elaborar Script (simples)"/>
    <s v="QTD"/>
    <n v="1"/>
    <m/>
    <n v="0"/>
    <x v="0"/>
    <m/>
    <m/>
  </r>
  <r>
    <s v="Elaborar Script (médio)"/>
    <s v="QTD"/>
    <n v="2.5"/>
    <m/>
    <n v="0"/>
    <x v="0"/>
    <m/>
    <m/>
  </r>
  <r>
    <s v="Elaborar Script (complexo)"/>
    <s v="QTD"/>
    <n v="4"/>
    <m/>
    <n v="0"/>
    <x v="0"/>
    <m/>
    <m/>
  </r>
  <r>
    <s v="Criação de Serviços (Simples)"/>
    <s v="QTD"/>
    <n v="12.24"/>
    <m/>
    <n v="0"/>
    <x v="0"/>
    <m/>
    <m/>
  </r>
  <r>
    <s v="Criação de Serviços (Medio)"/>
    <s v="QTD"/>
    <n v="18.36"/>
    <m/>
    <n v="0"/>
    <x v="0"/>
    <m/>
    <m/>
  </r>
  <r>
    <s v="Criação de Serviços (Complexo)"/>
    <s v="QTD"/>
    <n v="24.48"/>
    <m/>
    <n v="0"/>
    <x v="0"/>
    <m/>
    <m/>
  </r>
  <r>
    <s v="Configuração de Serviços (Simples)"/>
    <s v="QTD"/>
    <n v="1.224"/>
    <m/>
    <n v="0"/>
    <x v="0"/>
    <m/>
    <m/>
  </r>
  <r>
    <s v="Configuração de Serviços (Medio)"/>
    <s v="QTD"/>
    <n v="3.06"/>
    <m/>
    <n v="0"/>
    <x v="0"/>
    <m/>
    <m/>
  </r>
  <r>
    <s v="Configuração de Serviços (Complexo)"/>
    <s v="QTD"/>
    <n v="7.3440000000000003"/>
    <m/>
    <n v="0"/>
    <x v="0"/>
    <m/>
    <m/>
  </r>
  <r>
    <s v="Inclusão de novos comandos (simples)"/>
    <s v="QTD"/>
    <n v="0.8"/>
    <m/>
    <n v="0"/>
    <x v="0"/>
    <m/>
    <m/>
  </r>
  <r>
    <s v="Inclusão de novos comandos (médio)"/>
    <s v="QTD"/>
    <n v="1.6"/>
    <m/>
    <n v="0"/>
    <x v="0"/>
    <m/>
    <m/>
  </r>
  <r>
    <s v="Inclusão de novos comandos (complexo)"/>
    <s v="QTD"/>
    <n v="3.2"/>
    <m/>
    <n v="0"/>
    <x v="0"/>
    <m/>
    <m/>
  </r>
  <r>
    <s v="Alteração de comandos (simples)"/>
    <s v="QTD"/>
    <n v="0.4"/>
    <m/>
    <n v="0"/>
    <x v="0"/>
    <m/>
    <m/>
  </r>
  <r>
    <s v="Alteração de comandos (médio)"/>
    <s v="QTD"/>
    <n v="0.8"/>
    <m/>
    <n v="0"/>
    <x v="0"/>
    <m/>
    <m/>
  </r>
  <r>
    <s v="Alteração de comandos (complexo)"/>
    <s v="QTD"/>
    <n v="1.6"/>
    <m/>
    <n v="0"/>
    <x v="0"/>
    <m/>
    <m/>
  </r>
  <r>
    <s v="Teste de Sistema"/>
    <s v="QTD"/>
    <n v="2.448"/>
    <m/>
    <n v="0"/>
    <x v="0"/>
    <m/>
    <m/>
  </r>
  <r>
    <s v="Teste Integrado"/>
    <s v="QTD"/>
    <n v="1.224"/>
    <m/>
    <n v="0"/>
    <x v="0"/>
    <m/>
    <m/>
  </r>
  <r>
    <s v="Suporte a testes"/>
    <s v="QTD"/>
    <n v="0.20399999999999999"/>
    <m/>
    <n v="0"/>
    <x v="0"/>
    <m/>
    <m/>
  </r>
  <r>
    <s v="[MASC] Sistema de Aprovisionamento de Fixa R2"/>
    <m/>
    <m/>
    <m/>
    <m/>
    <x v="0"/>
    <m/>
    <m/>
  </r>
  <r>
    <s v="Desenvolvimento Conectores"/>
    <s v="QTD"/>
    <n v="0"/>
    <m/>
    <n v="0"/>
    <x v="0"/>
    <m/>
    <m/>
  </r>
  <r>
    <s v="Testes"/>
    <s v="QTD"/>
    <n v="4.8959999999999999"/>
    <m/>
    <n v="0"/>
    <x v="0"/>
    <m/>
    <m/>
  </r>
  <r>
    <s v="Suporte a testes"/>
    <s v="QTD"/>
    <n v="0.20399999999999999"/>
    <m/>
    <n v="0"/>
    <x v="0"/>
    <m/>
    <m/>
  </r>
  <r>
    <s v="[Activator] Sistema de Aprovisionamento de Dados R1"/>
    <m/>
    <m/>
    <m/>
    <m/>
    <x v="0"/>
    <m/>
    <m/>
  </r>
  <r>
    <s v="Criar TechPack"/>
    <s v="QTD"/>
    <n v="100"/>
    <m/>
    <n v="0"/>
    <x v="0"/>
    <m/>
    <m/>
  </r>
  <r>
    <s v="Criar Service Pack"/>
    <s v="QTD"/>
    <n v="100"/>
    <m/>
    <n v="0"/>
    <x v="0"/>
    <m/>
    <m/>
  </r>
  <r>
    <s v="Alterar Script TechPack"/>
    <s v="QTD"/>
    <n v="4"/>
    <m/>
    <n v="0"/>
    <x v="0"/>
    <m/>
    <m/>
  </r>
  <r>
    <s v="Alterar Script Service Pack (simples)"/>
    <s v="QTD"/>
    <n v="4"/>
    <m/>
    <n v="0"/>
    <x v="0"/>
    <m/>
    <m/>
  </r>
  <r>
    <s v="Alterar Script Service Pack (médio)"/>
    <s v="QTD"/>
    <n v="8"/>
    <m/>
    <n v="0"/>
    <x v="0"/>
    <m/>
    <m/>
  </r>
  <r>
    <s v="Alterar Script Service Pack (complexo)"/>
    <s v="QTD"/>
    <n v="20"/>
    <m/>
    <n v="0"/>
    <x v="0"/>
    <m/>
    <m/>
  </r>
  <r>
    <s v="Alterar data Bundle"/>
    <s v="QTD"/>
    <n v="0.8"/>
    <m/>
    <n v="0"/>
    <x v="0"/>
    <m/>
    <m/>
  </r>
  <r>
    <s v="Alterar regras de validação"/>
    <s v="QTD"/>
    <n v="0.8"/>
    <m/>
    <n v="0"/>
    <x v="0"/>
    <m/>
    <m/>
  </r>
  <r>
    <s v="Alteração runtime"/>
    <s v="QTD"/>
    <n v="0.4"/>
    <m/>
    <n v="0"/>
    <x v="0"/>
    <m/>
    <m/>
  </r>
  <r>
    <s v="Testar serviços de Aprovisionamento"/>
    <s v="QTD"/>
    <n v="1.5"/>
    <m/>
    <n v="0"/>
    <x v="0"/>
    <m/>
    <m/>
  </r>
  <r>
    <s v="[ASAP-Dados] Sistema de Aprovisionamento de Dados R2"/>
    <m/>
    <m/>
    <m/>
    <m/>
    <x v="0"/>
    <m/>
    <m/>
  </r>
  <r>
    <s v="Configurar nova Gerência"/>
    <s v="QTD"/>
    <n v="2"/>
    <m/>
    <n v="0"/>
    <x v="0"/>
    <m/>
    <m/>
  </r>
  <r>
    <s v="Criar novo conector de rede"/>
    <s v="QTD"/>
    <n v="16"/>
    <m/>
    <n v="0"/>
    <x v="0"/>
    <m/>
    <m/>
  </r>
  <r>
    <s v="Elaborar Script (simples)"/>
    <s v="QTD"/>
    <n v="1"/>
    <m/>
    <n v="0"/>
    <x v="0"/>
    <m/>
    <m/>
  </r>
  <r>
    <s v="Elaborar Script (médio)"/>
    <s v="QTD"/>
    <n v="2.5"/>
    <m/>
    <n v="0"/>
    <x v="0"/>
    <m/>
    <m/>
  </r>
  <r>
    <s v="Elaborar Script (complexo)"/>
    <s v="QTD"/>
    <n v="4"/>
    <m/>
    <n v="0"/>
    <x v="0"/>
    <m/>
    <m/>
  </r>
  <r>
    <s v="Inclusão de novos comandos (simples)"/>
    <s v="QTD"/>
    <n v="0.8"/>
    <m/>
    <n v="0"/>
    <x v="0"/>
    <m/>
    <m/>
  </r>
  <r>
    <s v="Inclusão de novos comandos (médio)"/>
    <s v="QTD"/>
    <n v="1.6"/>
    <m/>
    <n v="0"/>
    <x v="0"/>
    <m/>
    <m/>
  </r>
  <r>
    <s v="Inclusão de novos comandos (complexo)"/>
    <s v="QTD"/>
    <n v="3.2"/>
    <m/>
    <n v="0"/>
    <x v="0"/>
    <m/>
    <m/>
  </r>
  <r>
    <s v="Alteração de comandos (simples)"/>
    <s v="QTD"/>
    <n v="0.4"/>
    <m/>
    <n v="0"/>
    <x v="0"/>
    <m/>
    <m/>
  </r>
  <r>
    <s v="Alteração de comandos (médio)"/>
    <s v="QTD"/>
    <n v="0.8"/>
    <m/>
    <n v="0"/>
    <x v="0"/>
    <m/>
    <m/>
  </r>
  <r>
    <s v="Alteração de comandos (complexo)"/>
    <s v="QTD"/>
    <n v="1.6"/>
    <m/>
    <n v="0"/>
    <x v="0"/>
    <m/>
    <m/>
  </r>
  <r>
    <s v="Testar serviços de Aprovisionamento"/>
    <s v="QTD"/>
    <n v="0.3"/>
    <m/>
    <n v="0"/>
    <x v="0"/>
    <m/>
    <m/>
  </r>
  <r>
    <s v="Testar liberaçao de DSLAM"/>
    <s v="QTD"/>
    <n v="0.3"/>
    <m/>
    <n v="0"/>
    <x v="0"/>
    <m/>
    <m/>
  </r>
  <r>
    <s v="[ASAP-FCR] Sistema de Aprovisionamento de Dados R2 Para TT"/>
    <m/>
    <m/>
    <m/>
    <m/>
    <x v="0"/>
    <m/>
    <m/>
  </r>
  <r>
    <s v="Configurar nova Gerência"/>
    <s v="QTD"/>
    <n v="2"/>
    <m/>
    <n v="0"/>
    <x v="0"/>
    <m/>
    <m/>
  </r>
  <r>
    <s v="Criar novo conector de rede"/>
    <s v="QTD"/>
    <n v="16"/>
    <m/>
    <n v="0"/>
    <x v="0"/>
    <m/>
    <m/>
  </r>
  <r>
    <s v="Elaborar Script (simples)"/>
    <s v="QTD"/>
    <n v="1"/>
    <m/>
    <n v="0"/>
    <x v="0"/>
    <m/>
    <m/>
  </r>
  <r>
    <s v="Elaborar Script (médio)"/>
    <s v="QTD"/>
    <n v="2.5"/>
    <m/>
    <n v="0"/>
    <x v="0"/>
    <m/>
    <m/>
  </r>
  <r>
    <s v="Elaborar Script (complexo)"/>
    <s v="QTD"/>
    <n v="4"/>
    <m/>
    <n v="0"/>
    <x v="0"/>
    <m/>
    <m/>
  </r>
  <r>
    <s v="Inclusão de novos comandos (simples)"/>
    <s v="QTD"/>
    <n v="0.8"/>
    <m/>
    <n v="0"/>
    <x v="0"/>
    <m/>
    <m/>
  </r>
  <r>
    <s v="Inclusão de novos comandos (médio)"/>
    <s v="QTD"/>
    <n v="1.6"/>
    <m/>
    <n v="0"/>
    <x v="0"/>
    <m/>
    <m/>
  </r>
  <r>
    <s v="Inclusão de novos comandos (complexo)"/>
    <s v="QTD"/>
    <n v="3.2"/>
    <m/>
    <n v="0"/>
    <x v="0"/>
    <m/>
    <m/>
  </r>
  <r>
    <s v="Alteração de comandos (simples)"/>
    <s v="QTD"/>
    <n v="0.4"/>
    <m/>
    <n v="0"/>
    <x v="0"/>
    <m/>
    <m/>
  </r>
  <r>
    <s v="Alteração de comandos (médio)"/>
    <s v="QTD"/>
    <n v="0.8"/>
    <m/>
    <n v="0"/>
    <x v="0"/>
    <m/>
    <m/>
  </r>
  <r>
    <s v="Alteração de comandos (complexo)"/>
    <s v="QTD"/>
    <n v="1.6"/>
    <m/>
    <n v="0"/>
    <x v="0"/>
    <m/>
    <m/>
  </r>
  <r>
    <s v="Testar serviços de Aprovisionamento"/>
    <s v="QTD"/>
    <n v="0.3"/>
    <m/>
    <n v="0"/>
    <x v="0"/>
    <m/>
    <m/>
  </r>
  <r>
    <s v="[Activator] Sistema de Aprovisionamento de Dados R1"/>
    <m/>
    <m/>
    <m/>
    <m/>
    <x v="0"/>
    <m/>
    <m/>
  </r>
  <r>
    <s v="Desenvolvimento Conecteores"/>
    <s v="QTD"/>
    <m/>
    <m/>
    <n v="0"/>
    <x v="0"/>
    <m/>
    <m/>
  </r>
  <r>
    <s v="Testes"/>
    <s v="QTD"/>
    <n v="0"/>
    <m/>
    <n v="0"/>
    <x v="0"/>
    <m/>
    <m/>
  </r>
  <r>
    <s v="[SRDT] Sistema de Reconciliação R2"/>
    <m/>
    <m/>
    <m/>
    <m/>
    <x v="0"/>
    <m/>
    <m/>
  </r>
  <r>
    <s v="Configurar nova Gerência"/>
    <s v="QTD"/>
    <n v="2"/>
    <m/>
    <n v="0"/>
    <x v="0"/>
    <m/>
    <m/>
  </r>
  <r>
    <s v="Criar novo conector de rede"/>
    <s v="QTD"/>
    <n v="16"/>
    <m/>
    <n v="0"/>
    <x v="0"/>
    <m/>
    <m/>
  </r>
  <r>
    <s v="Inclusão de novos comandos (simples)"/>
    <s v="QTD"/>
    <n v="0.8"/>
    <m/>
    <n v="0"/>
    <x v="0"/>
    <m/>
    <m/>
  </r>
  <r>
    <s v="Inclusão de novos comandos (médio)"/>
    <s v="QTD"/>
    <n v="1.6"/>
    <m/>
    <n v="0"/>
    <x v="0"/>
    <m/>
    <m/>
  </r>
  <r>
    <s v="Inclusão de novos comandos (complexo)"/>
    <s v="QTD"/>
    <n v="3.2"/>
    <m/>
    <n v="0"/>
    <x v="0"/>
    <m/>
    <m/>
  </r>
  <r>
    <s v="Alteração de comandos (simples)"/>
    <s v="QTD"/>
    <n v="0.4"/>
    <m/>
    <n v="0"/>
    <x v="0"/>
    <m/>
    <m/>
  </r>
  <r>
    <s v="Alteração de comandos (médio)"/>
    <s v="QTD"/>
    <n v="0.8"/>
    <m/>
    <n v="0"/>
    <x v="0"/>
    <m/>
    <m/>
  </r>
  <r>
    <s v="Alteração de comandos (complexo)"/>
    <s v="QTD"/>
    <n v="1.6"/>
    <m/>
    <n v="0"/>
    <x v="0"/>
    <m/>
    <m/>
  </r>
  <r>
    <s v="Modificar nova regra de batimento (simples)"/>
    <s v="QTD"/>
    <n v="0.8"/>
    <m/>
    <n v="0"/>
    <x v="0"/>
    <m/>
    <m/>
  </r>
  <r>
    <s v="Modificar nova regra de batimento (medio)"/>
    <s v="QTD"/>
    <n v="1.6"/>
    <m/>
    <n v="0"/>
    <x v="0"/>
    <m/>
    <m/>
  </r>
  <r>
    <s v="Modificar nova regra de batimento (complexo)"/>
    <s v="QTD"/>
    <n v="2.5"/>
    <m/>
    <n v="0"/>
    <x v="0"/>
    <m/>
    <m/>
  </r>
  <r>
    <s v="Executar Teste com a Gerencia"/>
    <s v="QTD"/>
    <n v="4"/>
    <m/>
    <n v="0"/>
    <x v="0"/>
    <m/>
    <m/>
  </r>
  <r>
    <s v="Executar Teste com o Inventário"/>
    <s v="QTD"/>
    <n v="4"/>
    <m/>
    <n v="0"/>
    <x v="0"/>
    <m/>
    <m/>
  </r>
  <r>
    <s v="Validar Relatórios de Batimento"/>
    <s v="QTD"/>
    <n v="0.3"/>
    <m/>
    <n v="0"/>
    <x v="0"/>
    <m/>
    <m/>
  </r>
  <r>
    <s v="Impacto OSS Aprovisionamento"/>
    <s v="S/N"/>
    <n v="0"/>
    <m/>
    <n v="0"/>
    <x v="0"/>
    <m/>
    <m/>
  </r>
  <r>
    <s v="Impacto Workflow de Dados"/>
    <m/>
    <m/>
    <m/>
    <m/>
    <x v="0"/>
    <m/>
    <m/>
  </r>
  <r>
    <s v="[Expediter] Sistema de Workflow R1"/>
    <m/>
    <m/>
    <m/>
    <m/>
    <x v="0"/>
    <m/>
    <m/>
  </r>
  <r>
    <s v="Criação de Interface - Complexidade Alta"/>
    <s v="QTD"/>
    <n v="58"/>
    <m/>
    <n v="0"/>
    <x v="0"/>
    <m/>
    <m/>
  </r>
  <r>
    <s v="Criação de Interface - Complexidade Média"/>
    <s v="QTD"/>
    <n v="33"/>
    <m/>
    <n v="0"/>
    <x v="0"/>
    <m/>
    <m/>
  </r>
  <r>
    <s v="Criação de Interface - Complexidade Baixa"/>
    <s v="QTD"/>
    <n v="28"/>
    <m/>
    <n v="0"/>
    <x v="0"/>
    <m/>
    <m/>
  </r>
  <r>
    <s v="Alteração ou Remoção de Interface - Complexidade Alta"/>
    <s v="QTD"/>
    <n v="33"/>
    <m/>
    <n v="0"/>
    <x v="0"/>
    <m/>
    <m/>
  </r>
  <r>
    <s v="Alteração ou Remoção de Interface - Complexidade Média"/>
    <s v="QTD"/>
    <n v="24"/>
    <m/>
    <n v="0"/>
    <x v="0"/>
    <m/>
    <m/>
  </r>
  <r>
    <s v="Alteração ou Remoção de Interface - Complexidade Baixa"/>
    <s v="QTD"/>
    <n v="18"/>
    <m/>
    <n v="0"/>
    <x v="0"/>
    <m/>
    <m/>
  </r>
  <r>
    <s v="Criação de Fluxo - Complexidade Alta"/>
    <s v="QTD"/>
    <n v="20"/>
    <m/>
    <n v="0"/>
    <x v="0"/>
    <m/>
    <m/>
  </r>
  <r>
    <s v="Criação de Fluxo - Complexidade Média"/>
    <s v="QTD"/>
    <n v="9"/>
    <m/>
    <n v="0"/>
    <x v="0"/>
    <m/>
    <m/>
  </r>
  <r>
    <s v="Criação de Fluxo - Complexidade Baixa"/>
    <s v="QTD"/>
    <n v="5"/>
    <m/>
    <n v="0"/>
    <x v="0"/>
    <m/>
    <m/>
  </r>
  <r>
    <s v="Alteração ou Remoção de Fluxo - Complexidade Alta"/>
    <s v="QTD"/>
    <n v="8"/>
    <m/>
    <n v="0"/>
    <x v="0"/>
    <m/>
    <m/>
  </r>
  <r>
    <s v="Alteração ou Remoção de Fluxo - Complexidade Média"/>
    <s v="QTD"/>
    <n v="6"/>
    <m/>
    <n v="0"/>
    <x v="0"/>
    <m/>
    <m/>
  </r>
  <r>
    <s v="Alteração ou Remoção de Fluxo - Complexidade Baixa"/>
    <s v="QTD"/>
    <n v="4"/>
    <m/>
    <n v="0"/>
    <x v="0"/>
    <m/>
    <m/>
  </r>
  <r>
    <s v="Criação de Regra / Validação - Complexidade Alta"/>
    <s v="QTD"/>
    <n v="11"/>
    <m/>
    <n v="0"/>
    <x v="0"/>
    <m/>
    <m/>
  </r>
  <r>
    <s v="Criação de Regra / Validação - Complexidade Média"/>
    <s v="QTD"/>
    <n v="9"/>
    <m/>
    <n v="0"/>
    <x v="0"/>
    <m/>
    <m/>
  </r>
  <r>
    <s v="Criação de Regra / Validação - Complexidade Baixa"/>
    <s v="QTD"/>
    <n v="5"/>
    <m/>
    <n v="0"/>
    <x v="0"/>
    <m/>
    <m/>
  </r>
  <r>
    <s v="Alteração ou Remoção de Regra / Validação - Complexidade Alta"/>
    <s v="QTD"/>
    <n v="9"/>
    <m/>
    <n v="0"/>
    <x v="0"/>
    <m/>
    <m/>
  </r>
  <r>
    <s v="Alteração ou Remoção de Regra / Validação - Complexidade Média"/>
    <s v="QTD"/>
    <n v="7"/>
    <m/>
    <n v="0"/>
    <x v="0"/>
    <m/>
    <m/>
  </r>
  <r>
    <s v="Alteração ou Remoção de Regra / Validação - Complexidade Baixa"/>
    <s v="QTD"/>
    <n v="4"/>
    <m/>
    <n v="0"/>
    <x v="0"/>
    <m/>
    <m/>
  </r>
  <r>
    <s v="Criação de Tela / Relatório - Complexidade Alta"/>
    <s v="QTD"/>
    <n v="17"/>
    <m/>
    <n v="0"/>
    <x v="0"/>
    <m/>
    <m/>
  </r>
  <r>
    <s v="Criação de Tela / Relatório - Complexidade Média"/>
    <s v="QTD"/>
    <n v="14"/>
    <m/>
    <n v="0"/>
    <x v="0"/>
    <m/>
    <m/>
  </r>
  <r>
    <s v="Criação de Tela / Relatório - Complexidade Baixa"/>
    <s v="QTD"/>
    <n v="8"/>
    <m/>
    <n v="0"/>
    <x v="0"/>
    <m/>
    <m/>
  </r>
  <r>
    <s v="Alteração ou Remoção de Tela / Relatório - Complexidade Alta"/>
    <s v="QTD"/>
    <n v="10"/>
    <m/>
    <n v="0"/>
    <x v="0"/>
    <m/>
    <m/>
  </r>
  <r>
    <s v="Alteração ou Remoção de Tela / Relatório - Complexidade Média"/>
    <s v="QTD"/>
    <n v="4"/>
    <m/>
    <n v="0"/>
    <x v="0"/>
    <m/>
    <m/>
  </r>
  <r>
    <s v="Alteração ou Remoção de Tela / Relatório - Complexidade Baixa"/>
    <s v="QTD"/>
    <n v="1"/>
    <m/>
    <n v="0"/>
    <x v="0"/>
    <m/>
    <m/>
  </r>
  <r>
    <s v="Criação de Formulário - Complexidade Alta"/>
    <s v="QTD"/>
    <n v="19"/>
    <m/>
    <n v="0"/>
    <x v="0"/>
    <m/>
    <m/>
  </r>
  <r>
    <s v="Criação de Formulário - Complexidade Média"/>
    <s v="QTD"/>
    <n v="12"/>
    <m/>
    <n v="0"/>
    <x v="0"/>
    <m/>
    <m/>
  </r>
  <r>
    <s v="Criação de Formulário - Complexidade Baixa"/>
    <s v="QTD"/>
    <n v="7"/>
    <m/>
    <n v="0"/>
    <x v="0"/>
    <m/>
    <m/>
  </r>
  <r>
    <s v="Alteração ou Remoção de Formulário - Complexidade Alta"/>
    <s v="QTD"/>
    <n v="10"/>
    <m/>
    <n v="0"/>
    <x v="0"/>
    <m/>
    <m/>
  </r>
  <r>
    <s v="Alteração ou Remoção de Formulário - Complexidade Média"/>
    <s v="QTD"/>
    <n v="6"/>
    <m/>
    <n v="0"/>
    <x v="0"/>
    <m/>
    <m/>
  </r>
  <r>
    <s v="Alteração ou Remoção de Formulário - Complexidade Baixa"/>
    <s v="QTD"/>
    <n v="3"/>
    <m/>
    <n v="0"/>
    <x v="0"/>
    <m/>
    <m/>
  </r>
  <r>
    <s v="Criação de Estruturas da Ordem  - Complexidade Alta"/>
    <s v="QTD"/>
    <n v="6"/>
    <m/>
    <n v="0"/>
    <x v="0"/>
    <m/>
    <m/>
  </r>
  <r>
    <s v="Criação de Estruturas da Ordem - Complexidade Média"/>
    <s v="QTD"/>
    <n v="5"/>
    <m/>
    <n v="0"/>
    <x v="0"/>
    <m/>
    <m/>
  </r>
  <r>
    <s v="Criação de Estruturas da Ordem - Complexidade Baixa"/>
    <s v="QTD"/>
    <n v="3"/>
    <m/>
    <n v="0"/>
    <x v="0"/>
    <m/>
    <m/>
  </r>
  <r>
    <s v="Alteração ou Remoção de Estruturas da Ordem - Complexidade Alta"/>
    <s v="QTD"/>
    <n v="5"/>
    <m/>
    <n v="0"/>
    <x v="0"/>
    <m/>
    <m/>
  </r>
  <r>
    <s v="Alteração ou Remoção de Estruturas da Ordem - Complexidade Média"/>
    <s v="QTD"/>
    <n v="4"/>
    <m/>
    <n v="0"/>
    <x v="0"/>
    <m/>
    <m/>
  </r>
  <r>
    <s v="Alteração ou Remoção de Estruturas da Ordem - Complexidade Baixa"/>
    <s v="QTD"/>
    <n v="2"/>
    <m/>
    <n v="0"/>
    <x v="0"/>
    <m/>
    <m/>
  </r>
  <r>
    <s v="[OMS] Sistema de Workflow R2"/>
    <m/>
    <m/>
    <m/>
    <m/>
    <x v="0"/>
    <m/>
    <m/>
  </r>
  <r>
    <s v="Alteração de Fluxo - Complexidade Alta"/>
    <s v="QTD"/>
    <n v="30"/>
    <m/>
    <n v="0"/>
    <x v="0"/>
    <m/>
    <m/>
  </r>
  <r>
    <s v="Alteração de Fluxo - Complexidade Média"/>
    <s v="QTD"/>
    <n v="20"/>
    <m/>
    <n v="0"/>
    <x v="0"/>
    <m/>
    <m/>
  </r>
  <r>
    <s v="Alteração de Fluxo - Complexidade Baixa"/>
    <s v="QTD"/>
    <n v="10"/>
    <m/>
    <n v="0"/>
    <x v="0"/>
    <m/>
    <m/>
  </r>
  <r>
    <s v="Criar Notificação de Interface"/>
    <s v="QTD"/>
    <n v="10"/>
    <m/>
    <n v="0"/>
    <x v="0"/>
    <m/>
    <m/>
  </r>
  <r>
    <s v="Criação de Regra - Complexidade Alta"/>
    <s v="QTD"/>
    <n v="10"/>
    <m/>
    <n v="0"/>
    <x v="0"/>
    <m/>
    <m/>
  </r>
  <r>
    <s v="Criação de Regra - Complexidade Média"/>
    <s v="QTD"/>
    <n v="5"/>
    <m/>
    <n v="0"/>
    <x v="0"/>
    <m/>
    <m/>
  </r>
  <r>
    <s v="Criação de Regra - Complexidade Baixa"/>
    <s v="QTD"/>
    <n v="2"/>
    <m/>
    <n v="0"/>
    <x v="0"/>
    <m/>
    <m/>
  </r>
  <r>
    <s v="Alteração nos elementos de dados"/>
    <s v="QTD"/>
    <n v="2"/>
    <m/>
    <n v="0"/>
    <x v="0"/>
    <m/>
    <m/>
  </r>
  <r>
    <s v="Alteração de relatórios - Complexidade Alta"/>
    <s v="QTD"/>
    <n v="30"/>
    <m/>
    <n v="0"/>
    <x v="0"/>
    <m/>
    <m/>
  </r>
  <r>
    <s v="Alteração de relatórios - Complexidade Média"/>
    <s v="QTD"/>
    <n v="20"/>
    <m/>
    <n v="0"/>
    <x v="0"/>
    <m/>
    <m/>
  </r>
  <r>
    <s v="Alteração de relatórios - Complexidade Baixa"/>
    <s v="QTD"/>
    <n v="10"/>
    <m/>
    <n v="0"/>
    <x v="0"/>
    <m/>
    <m/>
  </r>
  <r>
    <s v="Criação e validação de instância da aplicação do OMS"/>
    <s v="S/N"/>
    <n v="24"/>
    <m/>
    <n v="0"/>
    <x v="0"/>
    <m/>
    <m/>
  </r>
  <r>
    <s v="Criar documentação para montagem do ambiente do OMS"/>
    <s v="S/N"/>
    <n v="10"/>
    <m/>
    <n v="0"/>
    <x v="0"/>
    <m/>
    <m/>
  </r>
  <r>
    <s v="Impacto OSS Workflow de Dados"/>
    <s v="S/N"/>
    <n v="0"/>
    <m/>
    <n v="0"/>
    <x v="0"/>
    <m/>
    <m/>
  </r>
  <r>
    <s v="Impacta Cobrança e Crédito"/>
    <m/>
    <m/>
    <m/>
    <m/>
    <x v="0"/>
    <m/>
    <m/>
  </r>
  <r>
    <s v="Inclusão de Hook no Transact"/>
    <s v="QTD"/>
    <n v="100"/>
    <m/>
    <n v="0"/>
    <x v="0"/>
    <m/>
    <m/>
  </r>
  <r>
    <s v="Testes analise de credito Transact"/>
    <s v="QTD"/>
    <n v="0.5"/>
    <m/>
    <n v="0"/>
    <x v="0"/>
    <m/>
    <m/>
  </r>
  <r>
    <s v="Testes cenário de cobrança/parcelamento ICS"/>
    <s v="QTD"/>
    <n v="20"/>
    <m/>
    <n v="0"/>
    <x v="0"/>
    <m/>
    <m/>
  </r>
  <r>
    <s v="Inclusão de carta de cobrança - Printcenter"/>
    <s v="QTD"/>
    <n v="25"/>
    <m/>
    <n v="0"/>
    <x v="0"/>
    <m/>
    <m/>
  </r>
  <r>
    <s v="Inclusão de variável de estratégia - contexto cenário "/>
    <s v="QTD"/>
    <n v="25"/>
    <m/>
    <n v="0"/>
    <x v="0"/>
    <m/>
    <m/>
  </r>
  <r>
    <s v="Inclusão de variável de estratégia - todos contextos ICS"/>
    <s v="QTD"/>
    <n v="250"/>
    <m/>
    <n v="0"/>
    <x v="0"/>
    <m/>
    <m/>
  </r>
  <r>
    <s v="Extração/Interface novas de Inadimplencia no ICS"/>
    <s v="QTD"/>
    <n v="200"/>
    <m/>
    <n v="0"/>
    <x v="0"/>
    <m/>
    <m/>
  </r>
  <r>
    <s v="Impacta Cobrança e Crédito"/>
    <s v="S/N"/>
    <n v="0"/>
    <m/>
    <n v="0"/>
    <x v="0"/>
    <m/>
    <m/>
  </r>
  <r>
    <s v="Qualquer outro sistema além dos descritos acima"/>
    <m/>
    <m/>
    <m/>
    <m/>
    <x v="0"/>
    <m/>
    <m/>
  </r>
  <r>
    <m/>
    <s v="S/N"/>
    <m/>
    <m/>
    <n v="0"/>
    <x v="0"/>
    <m/>
    <m/>
  </r>
  <r>
    <m/>
    <s v="S/N"/>
    <m/>
    <m/>
    <n v="0"/>
    <x v="0"/>
    <m/>
    <m/>
  </r>
  <r>
    <m/>
    <s v="S/N"/>
    <m/>
    <m/>
    <n v="0"/>
    <x v="0"/>
    <m/>
    <m/>
  </r>
  <r>
    <m/>
    <s v="S/N"/>
    <m/>
    <m/>
    <n v="0"/>
    <x v="0"/>
    <m/>
    <m/>
  </r>
  <r>
    <m/>
    <s v="S/N"/>
    <m/>
    <m/>
    <n v="0"/>
    <x v="0"/>
    <m/>
    <m/>
  </r>
  <r>
    <m/>
    <s v="S/N"/>
    <m/>
    <m/>
    <n v="0"/>
    <x v="0"/>
    <m/>
    <m/>
  </r>
  <r>
    <m/>
    <s v="S/N"/>
    <m/>
    <m/>
    <n v="0"/>
    <x v="0"/>
    <m/>
    <m/>
  </r>
  <r>
    <m/>
    <s v="S/N"/>
    <m/>
    <m/>
    <n v="0"/>
    <x v="0"/>
    <m/>
    <m/>
  </r>
  <r>
    <m/>
    <s v="S/N"/>
    <m/>
    <m/>
    <n v="0"/>
    <x v="0"/>
    <m/>
    <m/>
  </r>
  <r>
    <m/>
    <s v="S/N"/>
    <m/>
    <m/>
    <n v="0"/>
    <x v="0"/>
    <m/>
    <m/>
  </r>
  <r>
    <m/>
    <s v="S/N"/>
    <m/>
    <m/>
    <n v="0"/>
    <x v="0"/>
    <m/>
    <m/>
  </r>
  <r>
    <m/>
    <s v="S/N"/>
    <m/>
    <m/>
    <n v="0"/>
    <x v="0"/>
    <m/>
    <m/>
  </r>
  <r>
    <m/>
    <s v="S/N"/>
    <m/>
    <m/>
    <n v="0"/>
    <x v="0"/>
    <m/>
    <m/>
  </r>
  <r>
    <s v="Qualquer outro sistema além dos descritos acima"/>
    <s v="S/N"/>
    <n v="0"/>
    <m/>
    <n v="0"/>
    <x v="0"/>
    <m/>
    <m/>
  </r>
  <r>
    <s v="Impacta Integração (SOA/Informática, etc)"/>
    <m/>
    <m/>
    <m/>
    <m/>
    <x v="0"/>
    <m/>
    <m/>
  </r>
  <r>
    <s v="Trocas de dados / integrações mapeadas"/>
    <s v="QTD"/>
    <n v="25"/>
    <m/>
    <n v="0"/>
    <x v="0"/>
    <m/>
    <m/>
  </r>
  <r>
    <s v="Por Sistemas (Caso não informe o campo acima)"/>
    <s v="QTD"/>
    <m/>
    <m/>
    <s v=""/>
    <x v="0"/>
    <m/>
    <m/>
  </r>
  <r>
    <s v="Impacta Integração (SOA/Informática, etc)"/>
    <s v="S/N"/>
    <n v="0"/>
    <m/>
    <n v="0"/>
    <x v="0"/>
    <m/>
    <m/>
  </r>
  <r>
    <s v="Testes"/>
    <m/>
    <m/>
    <m/>
    <m/>
    <x v="0"/>
    <m/>
    <m/>
  </r>
  <r>
    <s v="Sistemas efetuando Teste Integrado._x000a_Não preeencher para DW."/>
    <s v="S/N"/>
    <n v="0.2"/>
    <m/>
    <n v="0"/>
    <x v="0"/>
    <m/>
    <m/>
  </r>
  <r>
    <s v="Testes com URA"/>
    <s v="S/N"/>
    <n v="25"/>
    <m/>
    <n v="0"/>
    <x v="0"/>
    <m/>
    <m/>
  </r>
  <r>
    <s v="Critérios de aceitação adicionais"/>
    <s v="QTD"/>
    <m/>
    <m/>
    <n v="0"/>
    <x v="0"/>
    <m/>
    <m/>
  </r>
  <r>
    <s v="Testes em sistemas de Segurança da Informação"/>
    <s v="S/N"/>
    <n v="25"/>
    <m/>
    <n v="0"/>
    <x v="0"/>
    <m/>
    <m/>
  </r>
  <r>
    <s v="Testes"/>
    <s v="S/N"/>
    <m/>
    <m/>
    <m/>
    <x v="0"/>
    <m/>
    <m/>
  </r>
  <r>
    <s v="Haverá aquisição de ferramentas via Suprimentos?"/>
    <s v="S/N"/>
    <m/>
    <m/>
    <m/>
    <x v="0"/>
    <m/>
    <m/>
  </r>
  <r>
    <m/>
    <m/>
    <s v="Valor sem Teste Integrado (Em R$ K)"/>
    <m/>
    <n v="0"/>
    <x v="0"/>
    <m/>
    <m/>
  </r>
  <r>
    <s v="Infraestrutura"/>
    <m/>
    <m/>
    <m/>
    <m/>
    <x v="0"/>
    <m/>
    <m/>
  </r>
  <r>
    <s v="Qtde. Servidor(s) Entry Level"/>
    <s v="QTD"/>
    <n v="15"/>
    <m/>
    <n v="0"/>
    <x v="0"/>
    <m/>
    <m/>
  </r>
  <r>
    <s v="Qtde. Servidor(s) Mid Range"/>
    <s v="QTD"/>
    <n v="20"/>
    <m/>
    <n v="0"/>
    <x v="0"/>
    <m/>
    <m/>
  </r>
  <r>
    <s v="Qtde. Servidor(s) High End"/>
    <s v="QTD"/>
    <n v="80"/>
    <m/>
    <n v="0"/>
    <x v="0"/>
    <m/>
    <m/>
  </r>
  <r>
    <s v="Cores RISC"/>
    <s v="QTD"/>
    <n v="200"/>
    <m/>
    <n v="0"/>
    <x v="0"/>
    <m/>
    <m/>
  </r>
  <r>
    <s v="1 TB de Storage "/>
    <s v="QTD"/>
    <n v="30"/>
    <m/>
    <n v="0"/>
    <x v="0"/>
    <m/>
    <m/>
  </r>
  <r>
    <s v="Qtde Licença(s) CITRIX"/>
    <s v="QTD"/>
    <n v="3"/>
    <m/>
    <n v="0"/>
    <x v="0"/>
    <m/>
    <m/>
  </r>
  <r>
    <s v="Alta Disponibilidade"/>
    <s v="S/N"/>
    <n v="200"/>
    <m/>
    <n v="0"/>
    <x v="0"/>
    <m/>
    <m/>
  </r>
  <r>
    <s v="Disaster Recovery"/>
    <s v="S/N"/>
    <n v="100"/>
    <m/>
    <n v="0"/>
    <x v="0"/>
    <m/>
    <m/>
  </r>
  <r>
    <s v="SWs de uso controlado - licenciado a parte"/>
    <s v="S/N"/>
    <m/>
    <m/>
    <n v="0"/>
    <x v="0"/>
    <m/>
    <m/>
  </r>
  <r>
    <s v="Solução requer uso de certificado digital ?"/>
    <s v="S/N"/>
    <m/>
    <m/>
    <n v="0"/>
    <x v="0"/>
    <m/>
    <m/>
  </r>
  <r>
    <s v="Monitoração de Negócio"/>
    <s v="S/N"/>
    <m/>
    <m/>
    <n v="0"/>
    <x v="0"/>
    <m/>
    <m/>
  </r>
  <r>
    <s v="Operação da Solução"/>
    <s v="S/N"/>
    <m/>
    <m/>
    <n v="0"/>
    <x v="0"/>
    <m/>
    <m/>
  </r>
  <r>
    <s v="Acompanhamento da Produção"/>
    <s v="S/N"/>
    <m/>
    <m/>
    <n v="0"/>
    <x v="0"/>
    <m/>
    <m/>
  </r>
  <r>
    <s v="Construção de Cadeias de Transmissão/Execução automatizada"/>
    <s v="S/N"/>
    <m/>
    <m/>
    <n v="0"/>
    <x v="0"/>
    <m/>
    <m/>
  </r>
  <r>
    <s v="Envolver Integração de Infraestrutura e Operação"/>
    <s v="S/N"/>
    <m/>
    <m/>
    <n v="0"/>
    <x v="0"/>
    <m/>
    <m/>
  </r>
  <r>
    <m/>
    <m/>
    <s v="Valor (Em R$ K)"/>
    <m/>
    <n v="0"/>
    <x v="0"/>
    <m/>
    <m/>
  </r>
  <r>
    <s v="Impacta Infraestrutura?"/>
    <s v="S/N"/>
    <m/>
    <m/>
    <m/>
    <x v="0"/>
    <m/>
    <m/>
  </r>
  <r>
    <m/>
    <m/>
    <m/>
    <m/>
    <m/>
    <x v="0"/>
    <m/>
    <m/>
  </r>
  <r>
    <m/>
    <m/>
    <s v="Valor Final (Em R$ K)"/>
    <m/>
    <n v="0"/>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istemasImpactados" cacheId="0" applyNumberFormats="0" applyBorderFormats="0" applyFontFormats="0" applyPatternFormats="0" applyAlignmentFormats="0" applyWidthHeightFormats="1" dataCaption="Valores" updatedVersion="5" minRefreshableVersion="3" itemPrintTitles="1" createdVersion="5" indent="0" outline="1" outlineData="1" multipleFieldFilters="0" rowHeaderCaption="Sistemas Impactados">
  <location ref="D7:F8" firstHeaderRow="0" firstDataRow="1" firstDataCol="1"/>
  <pivotFields count="8">
    <pivotField showAll="0"/>
    <pivotField showAll="0"/>
    <pivotField showAll="0"/>
    <pivotField showAll="0" defaultSubtotal="0"/>
    <pivotField dataField="1"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dataField="1" showAll="0"/>
    <pivotField showAll="0"/>
  </pivotFields>
  <rowFields count="1">
    <field x="5"/>
  </rowFields>
  <rowItems count="1">
    <i t="grand">
      <x/>
    </i>
  </rowItems>
  <colFields count="1">
    <field x="-2"/>
  </colFields>
  <colItems count="2">
    <i>
      <x/>
    </i>
    <i i="1">
      <x v="1"/>
    </i>
  </colItems>
  <dataFields count="2">
    <dataField name="Soma de Resultado (Soma dos valores)" fld="4" baseField="5" baseItem="0"/>
    <dataField name="Máx de Tempo de Desenvolv. (Meses)" fld="6" subtotal="max" baseField="5" baseItem="6"/>
  </dataFields>
  <formats count="2">
    <format dxfId="9">
      <pivotArea field="5" type="button" dataOnly="0" labelOnly="1" outline="0" axis="axisRow" fieldPosition="0"/>
    </format>
    <format dxfId="8">
      <pivotArea dataOnly="0" labelOnly="1" outline="0" fieldPosition="0">
        <references count="1">
          <reference field="4294967294" count="2">
            <x v="0"/>
            <x v="1"/>
          </reference>
        </references>
      </pivotArea>
    </format>
  </formats>
  <pivotTableStyleInfo name="PivotStyleLight18" showRowHeaders="1" showColHeaders="1" showRowStripes="0" showColStripes="0" showLastColumn="1"/>
  <filters count="1">
    <filter fld="5" type="captionNotEqual" evalOrder="-1" id="5" stringValue1="(vazio)">
      <autoFilter ref="A1">
        <filterColumn colId="0">
          <customFilters>
            <customFilter operator="notEqual" val="(vazio)"/>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 STI" adjustColumnWidth="0" connectionId="1" autoFormatId="16" applyNumberFormats="0" applyBorderFormats="0" applyFontFormats="0" applyPatternFormats="0" applyAlignmentFormats="0" applyWidthHeightFormats="0">
  <queryTableRefresh nextId="14">
    <queryTableFields count="3">
      <queryTableField id="10" name="SIS_ID" tableColumnId="4"/>
      <queryTableField id="12" name="Sistema" tableColumnId="6"/>
      <queryTableField id="13" name="FG_VISIVEL"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ela_Consulta_de_STI67" displayName="Tabela_Consulta_de_STI67" ref="G1:I1008" tableType="queryTable" totalsRowShown="0">
  <autoFilter ref="G1:I1008"/>
  <tableColumns count="3">
    <tableColumn id="4" uniqueName="4" name="SIS_ID" queryTableFieldId="10"/>
    <tableColumn id="6" uniqueName="6" name="Sistema" queryTableFieldId="12"/>
    <tableColumn id="7" uniqueName="7" name="FG_VISIVEL" queryTableFieldId="13"/>
  </tableColumns>
  <tableStyleInfo showFirstColumn="0" showLastColumn="0" showRowStripes="1" showColumnStripes="0"/>
</table>
</file>

<file path=xl/tables/table2.xml><?xml version="1.0" encoding="utf-8"?>
<table xmlns="http://schemas.openxmlformats.org/spreadsheetml/2006/main" id="2" name="TabelaFornecedor" displayName="TabelaFornecedor" ref="L1:L46" totalsRowShown="0">
  <autoFilter ref="L1:L46"/>
  <tableColumns count="1">
    <tableColumn id="1" name="Fornecedor"/>
  </tableColumns>
  <tableStyleInfo name="TableStyleMedium2" showFirstColumn="0" showLastColumn="0" showRowStripes="1" showColumnStripes="0"/>
</table>
</file>

<file path=xl/tables/table3.xml><?xml version="1.0" encoding="utf-8"?>
<table xmlns="http://schemas.openxmlformats.org/spreadsheetml/2006/main" id="3" name="Tabela3" displayName="Tabela3" ref="A7:D35" totalsRowShown="0" headerRowDxfId="7" headerRowBorderDxfId="6" tableBorderDxfId="5" totalsRowBorderDxfId="4" headerRowCellStyle="Bom">
  <autoFilter ref="A7:D35"/>
  <tableColumns count="4">
    <tableColumn id="1" name="Versão" dataDxfId="3"/>
    <tableColumn id="2" name="Data" dataDxfId="2"/>
    <tableColumn id="3" name="Descrição" dataDxfId="1"/>
    <tableColumn id="4" name="Solicitado por" dataDxfId="0"/>
  </tableColumns>
  <tableStyleInfo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externalLinkPath" Target="http://sharepoint2007/Users/Antonio%20Rodrigues/AppData/Local/Microsoft/Windows/Temporary%20Internet%20Files/Low/Content.IE5/4LVQBVVZ/Checklist_-_Macro_estimativa_-_v5.1%5b1%5d.xls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K1010"/>
  <sheetViews>
    <sheetView showGridLines="0" tabSelected="1" zoomScale="85" zoomScaleNormal="85" workbookViewId="0">
      <pane ySplit="4" topLeftCell="A980" activePane="bottomLeft" state="frozen"/>
      <selection pane="bottomLeft" activeCell="J5" sqref="J5"/>
    </sheetView>
  </sheetViews>
  <sheetFormatPr defaultRowHeight="15" outlineLevelRow="1" x14ac:dyDescent="0.25"/>
  <cols>
    <col min="1" max="1" width="9.7109375" style="4" customWidth="1"/>
    <col min="2" max="2" width="54" style="4" customWidth="1"/>
    <col min="3" max="3" width="10.42578125" style="4" customWidth="1"/>
    <col min="4" max="4" width="15.42578125" style="151" customWidth="1"/>
    <col min="5" max="5" width="9.85546875" style="152" customWidth="1"/>
    <col min="6" max="6" width="18.28515625" style="152" customWidth="1"/>
    <col min="7" max="7" width="19.7109375" style="152" customWidth="1"/>
    <col min="8" max="8" width="23.5703125" style="152" customWidth="1"/>
    <col min="9" max="9" width="20.5703125" style="152" customWidth="1"/>
    <col min="10" max="10" width="80" style="153" customWidth="1"/>
    <col min="11" max="11" width="36.140625" style="4" customWidth="1"/>
    <col min="12" max="16384" width="9.140625" style="4"/>
  </cols>
  <sheetData>
    <row r="1" spans="1:11" ht="34.5" customHeight="1" x14ac:dyDescent="0.25">
      <c r="A1" s="227"/>
      <c r="B1" s="229" t="s">
        <v>0</v>
      </c>
      <c r="C1" s="231"/>
      <c r="D1" s="231"/>
      <c r="E1" s="233" t="s">
        <v>1</v>
      </c>
      <c r="F1" s="234"/>
      <c r="G1" s="1" t="s">
        <v>2</v>
      </c>
      <c r="H1" s="2" t="s">
        <v>3</v>
      </c>
      <c r="I1" s="3"/>
      <c r="J1" s="4"/>
    </row>
    <row r="2" spans="1:11" ht="27" customHeight="1" x14ac:dyDescent="0.25">
      <c r="A2" s="228"/>
      <c r="B2" s="230"/>
      <c r="C2" s="232"/>
      <c r="D2" s="232"/>
      <c r="E2" s="233"/>
      <c r="F2" s="234"/>
      <c r="G2" s="5">
        <f>$F$1008</f>
        <v>0</v>
      </c>
      <c r="H2" s="6"/>
      <c r="I2" s="3"/>
      <c r="J2" s="4"/>
    </row>
    <row r="3" spans="1:11" ht="22.5" customHeight="1" x14ac:dyDescent="0.25">
      <c r="A3" s="7" t="s">
        <v>4</v>
      </c>
      <c r="B3" s="8"/>
      <c r="C3" s="9" t="s">
        <v>5</v>
      </c>
      <c r="D3" s="235"/>
      <c r="E3" s="235"/>
      <c r="F3" s="235"/>
      <c r="G3" s="235"/>
      <c r="H3" s="235"/>
      <c r="I3" s="235"/>
      <c r="J3" s="4"/>
    </row>
    <row r="4" spans="1:11" ht="33.75" customHeight="1" x14ac:dyDescent="0.25">
      <c r="A4" s="10" t="s">
        <v>6</v>
      </c>
      <c r="B4" s="10" t="s">
        <v>7</v>
      </c>
      <c r="C4" s="11" t="s">
        <v>8</v>
      </c>
      <c r="D4" s="12" t="s">
        <v>9</v>
      </c>
      <c r="E4" s="13" t="s">
        <v>10</v>
      </c>
      <c r="F4" s="11" t="s">
        <v>11</v>
      </c>
      <c r="G4" s="11" t="s">
        <v>12</v>
      </c>
      <c r="H4" s="11" t="s">
        <v>13</v>
      </c>
      <c r="I4" s="11" t="s">
        <v>14</v>
      </c>
      <c r="J4" s="14" t="s">
        <v>15</v>
      </c>
      <c r="K4" s="14" t="s">
        <v>16</v>
      </c>
    </row>
    <row r="5" spans="1:11" ht="30" x14ac:dyDescent="0.25">
      <c r="B5" s="15" t="s">
        <v>17</v>
      </c>
      <c r="C5" s="16" t="s">
        <v>18</v>
      </c>
      <c r="D5" s="17"/>
      <c r="E5" s="18"/>
      <c r="F5" s="19">
        <f>IF(E5="S",D5,0)</f>
        <v>0</v>
      </c>
      <c r="G5" s="20"/>
      <c r="H5" s="20"/>
      <c r="I5" s="20"/>
      <c r="J5" s="21" t="s">
        <v>2028</v>
      </c>
      <c r="K5" s="22"/>
    </row>
    <row r="6" spans="1:11" ht="15" customHeight="1" x14ac:dyDescent="0.25">
      <c r="B6" s="15" t="s">
        <v>19</v>
      </c>
      <c r="C6" s="16" t="s">
        <v>18</v>
      </c>
      <c r="D6" s="23"/>
      <c r="E6" s="24"/>
      <c r="F6" s="25"/>
      <c r="G6" s="6"/>
      <c r="H6" s="6"/>
      <c r="I6" s="6"/>
      <c r="J6" s="21" t="str">
        <f>IF(E6="S","Impacta Estruturante",IF(E6="N","Não impacta Estruturante",IF(E6="","Favor informar se impacta ou não Estruturante")))</f>
        <v>Favor informar se impacta ou não Estruturante</v>
      </c>
      <c r="K6" s="22"/>
    </row>
    <row r="7" spans="1:11" hidden="1" outlineLevel="1" x14ac:dyDescent="0.25">
      <c r="B7" s="26" t="s">
        <v>20</v>
      </c>
      <c r="C7" s="26"/>
      <c r="D7" s="27"/>
      <c r="E7" s="27"/>
      <c r="F7" s="27"/>
      <c r="G7" s="27"/>
      <c r="H7" s="27"/>
      <c r="I7" s="27"/>
      <c r="J7" s="28"/>
      <c r="K7" s="22"/>
    </row>
    <row r="8" spans="1:11" ht="15" hidden="1" customHeight="1" outlineLevel="1" x14ac:dyDescent="0.25">
      <c r="A8" s="29"/>
      <c r="B8" s="30" t="s">
        <v>21</v>
      </c>
      <c r="C8" s="30"/>
      <c r="D8" s="31"/>
      <c r="E8" s="31"/>
      <c r="F8" s="31"/>
      <c r="G8" s="32"/>
      <c r="H8" s="32"/>
      <c r="I8" s="32"/>
      <c r="J8" s="15"/>
      <c r="K8" s="22"/>
    </row>
    <row r="9" spans="1:11" ht="15" hidden="1" customHeight="1" outlineLevel="1" x14ac:dyDescent="0.25">
      <c r="B9" s="33" t="s">
        <v>22</v>
      </c>
      <c r="C9" s="33"/>
      <c r="D9" s="34"/>
      <c r="E9" s="35"/>
      <c r="F9" s="35"/>
      <c r="G9" s="35"/>
      <c r="H9" s="35"/>
      <c r="I9" s="35"/>
      <c r="J9" s="33"/>
      <c r="K9" s="22"/>
    </row>
    <row r="10" spans="1:11" ht="15" hidden="1" customHeight="1" outlineLevel="1" x14ac:dyDescent="0.25">
      <c r="A10" s="36"/>
      <c r="B10" s="37" t="s">
        <v>23</v>
      </c>
      <c r="C10" s="16" t="s">
        <v>24</v>
      </c>
      <c r="D10" s="38">
        <v>50</v>
      </c>
      <c r="E10" s="18"/>
      <c r="F10" s="25">
        <f t="shared" ref="F10:F16" si="0">E10*D10</f>
        <v>0</v>
      </c>
      <c r="G10" s="6"/>
      <c r="H10" s="6"/>
      <c r="I10" s="6"/>
      <c r="J10" s="37"/>
      <c r="K10" s="22"/>
    </row>
    <row r="11" spans="1:11" ht="15" hidden="1" customHeight="1" outlineLevel="1" x14ac:dyDescent="0.25">
      <c r="A11" s="36"/>
      <c r="B11" s="37" t="s">
        <v>25</v>
      </c>
      <c r="C11" s="16" t="s">
        <v>24</v>
      </c>
      <c r="D11" s="38">
        <v>50</v>
      </c>
      <c r="E11" s="18"/>
      <c r="F11" s="25">
        <f t="shared" si="0"/>
        <v>0</v>
      </c>
      <c r="G11" s="6"/>
      <c r="H11" s="6"/>
      <c r="I11" s="6"/>
      <c r="J11" s="37"/>
      <c r="K11" s="22"/>
    </row>
    <row r="12" spans="1:11" ht="15" hidden="1" customHeight="1" outlineLevel="1" x14ac:dyDescent="0.25">
      <c r="A12" s="36"/>
      <c r="B12" s="37" t="s">
        <v>26</v>
      </c>
      <c r="C12" s="16" t="s">
        <v>24</v>
      </c>
      <c r="D12" s="38">
        <v>100</v>
      </c>
      <c r="E12" s="18"/>
      <c r="F12" s="25">
        <f t="shared" si="0"/>
        <v>0</v>
      </c>
      <c r="G12" s="6"/>
      <c r="H12" s="6"/>
      <c r="I12" s="6"/>
      <c r="J12" s="37"/>
      <c r="K12" s="22"/>
    </row>
    <row r="13" spans="1:11" ht="15" hidden="1" customHeight="1" outlineLevel="1" x14ac:dyDescent="0.25">
      <c r="A13" s="36"/>
      <c r="B13" s="37" t="s">
        <v>27</v>
      </c>
      <c r="C13" s="16" t="s">
        <v>24</v>
      </c>
      <c r="D13" s="38">
        <v>50</v>
      </c>
      <c r="E13" s="18"/>
      <c r="F13" s="25">
        <f t="shared" si="0"/>
        <v>0</v>
      </c>
      <c r="G13" s="6"/>
      <c r="H13" s="6"/>
      <c r="I13" s="6"/>
      <c r="J13" s="37"/>
      <c r="K13" s="22"/>
    </row>
    <row r="14" spans="1:11" ht="15" hidden="1" customHeight="1" outlineLevel="1" x14ac:dyDescent="0.25">
      <c r="A14" s="36"/>
      <c r="B14" s="37" t="s">
        <v>28</v>
      </c>
      <c r="C14" s="16" t="s">
        <v>24</v>
      </c>
      <c r="D14" s="38">
        <v>100</v>
      </c>
      <c r="E14" s="18"/>
      <c r="F14" s="25">
        <f t="shared" si="0"/>
        <v>0</v>
      </c>
      <c r="G14" s="6"/>
      <c r="H14" s="6"/>
      <c r="I14" s="6"/>
      <c r="J14" s="37"/>
      <c r="K14" s="22"/>
    </row>
    <row r="15" spans="1:11" ht="15" hidden="1" customHeight="1" outlineLevel="1" x14ac:dyDescent="0.25">
      <c r="A15" s="36"/>
      <c r="B15" s="37" t="s">
        <v>29</v>
      </c>
      <c r="C15" s="16" t="s">
        <v>24</v>
      </c>
      <c r="D15" s="38">
        <v>50</v>
      </c>
      <c r="E15" s="18"/>
      <c r="F15" s="25">
        <f t="shared" si="0"/>
        <v>0</v>
      </c>
      <c r="G15" s="6"/>
      <c r="H15" s="6"/>
      <c r="I15" s="6"/>
      <c r="J15" s="37"/>
      <c r="K15" s="22"/>
    </row>
    <row r="16" spans="1:11" ht="15" hidden="1" customHeight="1" outlineLevel="1" x14ac:dyDescent="0.25">
      <c r="A16" s="36"/>
      <c r="B16" s="37" t="s">
        <v>30</v>
      </c>
      <c r="C16" s="16" t="s">
        <v>24</v>
      </c>
      <c r="D16" s="38">
        <v>100</v>
      </c>
      <c r="E16" s="18"/>
      <c r="F16" s="25">
        <f t="shared" si="0"/>
        <v>0</v>
      </c>
      <c r="G16" s="6"/>
      <c r="H16" s="6"/>
      <c r="I16" s="6"/>
      <c r="J16" s="37"/>
      <c r="K16" s="22"/>
    </row>
    <row r="17" spans="1:11" ht="15" hidden="1" customHeight="1" outlineLevel="1" x14ac:dyDescent="0.25">
      <c r="A17" s="36"/>
      <c r="B17" s="33" t="s">
        <v>31</v>
      </c>
      <c r="C17" s="33"/>
      <c r="D17" s="34"/>
      <c r="E17" s="35"/>
      <c r="F17" s="35"/>
      <c r="G17" s="6"/>
      <c r="H17" s="6"/>
      <c r="I17" s="6"/>
      <c r="J17" s="37"/>
      <c r="K17" s="22"/>
    </row>
    <row r="18" spans="1:11" ht="15" hidden="1" customHeight="1" outlineLevel="1" x14ac:dyDescent="0.25">
      <c r="A18" s="36"/>
      <c r="B18" s="37" t="s">
        <v>32</v>
      </c>
      <c r="C18" s="16" t="s">
        <v>24</v>
      </c>
      <c r="D18" s="38">
        <v>50</v>
      </c>
      <c r="E18" s="18"/>
      <c r="F18" s="25">
        <f t="shared" ref="F18:F48" si="1">E18*D18</f>
        <v>0</v>
      </c>
      <c r="G18" s="6"/>
      <c r="H18" s="6"/>
      <c r="I18" s="6"/>
      <c r="J18" s="37"/>
      <c r="K18" s="22"/>
    </row>
    <row r="19" spans="1:11" ht="15" hidden="1" customHeight="1" outlineLevel="1" x14ac:dyDescent="0.25">
      <c r="A19" s="36"/>
      <c r="B19" s="37" t="s">
        <v>33</v>
      </c>
      <c r="C19" s="16" t="s">
        <v>24</v>
      </c>
      <c r="D19" s="38">
        <v>50</v>
      </c>
      <c r="E19" s="18"/>
      <c r="F19" s="25">
        <f t="shared" si="1"/>
        <v>0</v>
      </c>
      <c r="G19" s="6"/>
      <c r="H19" s="6"/>
      <c r="I19" s="6"/>
      <c r="J19" s="37"/>
      <c r="K19" s="22"/>
    </row>
    <row r="20" spans="1:11" ht="15" hidden="1" customHeight="1" outlineLevel="1" x14ac:dyDescent="0.25">
      <c r="A20" s="36"/>
      <c r="B20" s="37" t="s">
        <v>34</v>
      </c>
      <c r="C20" s="16" t="s">
        <v>24</v>
      </c>
      <c r="D20" s="38">
        <v>100</v>
      </c>
      <c r="E20" s="18"/>
      <c r="F20" s="25">
        <f t="shared" si="1"/>
        <v>0</v>
      </c>
      <c r="G20" s="6"/>
      <c r="H20" s="6"/>
      <c r="I20" s="6"/>
      <c r="J20" s="37"/>
      <c r="K20" s="22"/>
    </row>
    <row r="21" spans="1:11" ht="15" hidden="1" customHeight="1" outlineLevel="1" x14ac:dyDescent="0.25">
      <c r="A21" s="36"/>
      <c r="B21" s="37" t="s">
        <v>35</v>
      </c>
      <c r="C21" s="16" t="s">
        <v>24</v>
      </c>
      <c r="D21" s="38">
        <v>100</v>
      </c>
      <c r="E21" s="18"/>
      <c r="F21" s="25">
        <f t="shared" si="1"/>
        <v>0</v>
      </c>
      <c r="G21" s="6"/>
      <c r="H21" s="6"/>
      <c r="I21" s="6"/>
      <c r="J21" s="37"/>
      <c r="K21" s="22"/>
    </row>
    <row r="22" spans="1:11" ht="15" hidden="1" customHeight="1" outlineLevel="1" x14ac:dyDescent="0.25">
      <c r="A22" s="36"/>
      <c r="B22" s="33" t="s">
        <v>36</v>
      </c>
      <c r="C22" s="33"/>
      <c r="D22" s="34"/>
      <c r="E22" s="35"/>
      <c r="F22" s="35"/>
      <c r="G22" s="6"/>
      <c r="H22" s="6"/>
      <c r="I22" s="6"/>
      <c r="J22" s="37"/>
      <c r="K22" s="22"/>
    </row>
    <row r="23" spans="1:11" ht="15" hidden="1" customHeight="1" outlineLevel="1" x14ac:dyDescent="0.25">
      <c r="A23" s="36"/>
      <c r="B23" s="37" t="s">
        <v>32</v>
      </c>
      <c r="C23" s="16" t="s">
        <v>24</v>
      </c>
      <c r="D23" s="38">
        <v>50</v>
      </c>
      <c r="E23" s="18"/>
      <c r="F23" s="25">
        <f t="shared" si="1"/>
        <v>0</v>
      </c>
      <c r="G23" s="6"/>
      <c r="H23" s="6"/>
      <c r="I23" s="6"/>
      <c r="J23" s="37"/>
      <c r="K23" s="22"/>
    </row>
    <row r="24" spans="1:11" ht="15" hidden="1" customHeight="1" outlineLevel="1" x14ac:dyDescent="0.25">
      <c r="A24" s="36"/>
      <c r="B24" s="37" t="s">
        <v>33</v>
      </c>
      <c r="C24" s="16" t="s">
        <v>24</v>
      </c>
      <c r="D24" s="38">
        <v>50</v>
      </c>
      <c r="E24" s="18"/>
      <c r="F24" s="25">
        <f t="shared" si="1"/>
        <v>0</v>
      </c>
      <c r="G24" s="6"/>
      <c r="H24" s="6"/>
      <c r="I24" s="6"/>
      <c r="J24" s="37"/>
      <c r="K24" s="22"/>
    </row>
    <row r="25" spans="1:11" ht="15" hidden="1" customHeight="1" outlineLevel="1" x14ac:dyDescent="0.25">
      <c r="A25" s="36"/>
      <c r="B25" s="37" t="s">
        <v>34</v>
      </c>
      <c r="C25" s="16" t="s">
        <v>24</v>
      </c>
      <c r="D25" s="38">
        <v>100</v>
      </c>
      <c r="E25" s="18"/>
      <c r="F25" s="25">
        <f t="shared" si="1"/>
        <v>0</v>
      </c>
      <c r="G25" s="6"/>
      <c r="H25" s="6"/>
      <c r="I25" s="6"/>
      <c r="J25" s="37"/>
      <c r="K25" s="22"/>
    </row>
    <row r="26" spans="1:11" ht="15" hidden="1" customHeight="1" outlineLevel="1" x14ac:dyDescent="0.25">
      <c r="A26" s="36"/>
      <c r="B26" s="37" t="s">
        <v>35</v>
      </c>
      <c r="C26" s="16" t="s">
        <v>24</v>
      </c>
      <c r="D26" s="38">
        <v>100</v>
      </c>
      <c r="E26" s="18"/>
      <c r="F26" s="25">
        <f t="shared" si="1"/>
        <v>0</v>
      </c>
      <c r="G26" s="6"/>
      <c r="H26" s="6"/>
      <c r="I26" s="6"/>
      <c r="J26" s="37"/>
      <c r="K26" s="22"/>
    </row>
    <row r="27" spans="1:11" ht="15" hidden="1" customHeight="1" outlineLevel="1" x14ac:dyDescent="0.25">
      <c r="A27" s="36"/>
      <c r="B27" s="33" t="s">
        <v>37</v>
      </c>
      <c r="C27" s="33"/>
      <c r="D27" s="34"/>
      <c r="E27" s="35"/>
      <c r="F27" s="35"/>
      <c r="G27" s="6"/>
      <c r="H27" s="6"/>
      <c r="I27" s="6"/>
      <c r="J27" s="37"/>
      <c r="K27" s="22"/>
    </row>
    <row r="28" spans="1:11" ht="15" hidden="1" customHeight="1" outlineLevel="1" x14ac:dyDescent="0.25">
      <c r="A28" s="36"/>
      <c r="B28" s="37" t="s">
        <v>38</v>
      </c>
      <c r="C28" s="16" t="s">
        <v>24</v>
      </c>
      <c r="D28" s="38">
        <v>200</v>
      </c>
      <c r="E28" s="18"/>
      <c r="F28" s="25">
        <f t="shared" si="1"/>
        <v>0</v>
      </c>
      <c r="G28" s="6"/>
      <c r="H28" s="6"/>
      <c r="I28" s="6"/>
      <c r="J28" s="37"/>
      <c r="K28" s="22"/>
    </row>
    <row r="29" spans="1:11" ht="15" hidden="1" customHeight="1" outlineLevel="1" x14ac:dyDescent="0.25">
      <c r="A29" s="36"/>
      <c r="B29" s="37" t="s">
        <v>39</v>
      </c>
      <c r="C29" s="16" t="s">
        <v>24</v>
      </c>
      <c r="D29" s="38">
        <v>400</v>
      </c>
      <c r="E29" s="18"/>
      <c r="F29" s="25">
        <f t="shared" si="1"/>
        <v>0</v>
      </c>
      <c r="G29" s="6"/>
      <c r="H29" s="6"/>
      <c r="I29" s="6"/>
      <c r="J29" s="37"/>
      <c r="K29" s="22"/>
    </row>
    <row r="30" spans="1:11" ht="15" hidden="1" customHeight="1" outlineLevel="1" x14ac:dyDescent="0.25">
      <c r="A30" s="36"/>
      <c r="B30" s="37" t="s">
        <v>40</v>
      </c>
      <c r="C30" s="16" t="s">
        <v>24</v>
      </c>
      <c r="D30" s="38">
        <v>300</v>
      </c>
      <c r="E30" s="18"/>
      <c r="F30" s="25">
        <f t="shared" si="1"/>
        <v>0</v>
      </c>
      <c r="G30" s="6"/>
      <c r="H30" s="6"/>
      <c r="I30" s="6"/>
      <c r="J30" s="37"/>
      <c r="K30" s="22"/>
    </row>
    <row r="31" spans="1:11" ht="15" hidden="1" customHeight="1" outlineLevel="1" x14ac:dyDescent="0.25">
      <c r="A31" s="36"/>
      <c r="B31" s="37" t="s">
        <v>41</v>
      </c>
      <c r="C31" s="16" t="s">
        <v>24</v>
      </c>
      <c r="D31" s="38">
        <v>600</v>
      </c>
      <c r="E31" s="18"/>
      <c r="F31" s="25">
        <f t="shared" si="1"/>
        <v>0</v>
      </c>
      <c r="G31" s="6"/>
      <c r="H31" s="6"/>
      <c r="I31" s="6"/>
      <c r="J31" s="37"/>
      <c r="K31" s="22"/>
    </row>
    <row r="32" spans="1:11" ht="15" hidden="1" customHeight="1" outlineLevel="1" x14ac:dyDescent="0.25">
      <c r="A32" s="36"/>
      <c r="B32" s="33" t="s">
        <v>42</v>
      </c>
      <c r="C32" s="33"/>
      <c r="D32" s="34"/>
      <c r="E32" s="35"/>
      <c r="F32" s="35"/>
      <c r="G32" s="6"/>
      <c r="H32" s="6"/>
      <c r="I32" s="6"/>
      <c r="J32" s="37"/>
      <c r="K32" s="22"/>
    </row>
    <row r="33" spans="1:11" ht="15" hidden="1" customHeight="1" outlineLevel="1" x14ac:dyDescent="0.25">
      <c r="A33" s="36"/>
      <c r="B33" s="37" t="s">
        <v>43</v>
      </c>
      <c r="C33" s="16" t="s">
        <v>24</v>
      </c>
      <c r="D33" s="39">
        <v>300</v>
      </c>
      <c r="E33" s="18"/>
      <c r="F33" s="25">
        <f t="shared" ref="F33" si="2">E33*D33</f>
        <v>0</v>
      </c>
      <c r="G33" s="6"/>
      <c r="H33" s="6"/>
      <c r="I33" s="6"/>
      <c r="J33" s="37"/>
      <c r="K33" s="22"/>
    </row>
    <row r="34" spans="1:11" ht="15" hidden="1" customHeight="1" outlineLevel="1" x14ac:dyDescent="0.25">
      <c r="A34" s="36"/>
      <c r="B34" s="33" t="s">
        <v>44</v>
      </c>
      <c r="C34" s="33"/>
      <c r="D34" s="34"/>
      <c r="E34" s="35"/>
      <c r="F34" s="35"/>
      <c r="G34" s="6"/>
      <c r="H34" s="6"/>
      <c r="I34" s="6"/>
      <c r="J34" s="37"/>
      <c r="K34" s="22"/>
    </row>
    <row r="35" spans="1:11" ht="15" hidden="1" customHeight="1" outlineLevel="1" x14ac:dyDescent="0.25">
      <c r="A35" s="36"/>
      <c r="B35" s="37" t="s">
        <v>45</v>
      </c>
      <c r="C35" s="16" t="s">
        <v>24</v>
      </c>
      <c r="D35" s="38">
        <v>100</v>
      </c>
      <c r="E35" s="18"/>
      <c r="F35" s="25">
        <f t="shared" si="1"/>
        <v>0</v>
      </c>
      <c r="G35" s="6"/>
      <c r="H35" s="6"/>
      <c r="I35" s="6"/>
      <c r="J35" s="37"/>
      <c r="K35" s="22"/>
    </row>
    <row r="36" spans="1:11" ht="15" hidden="1" customHeight="1" outlineLevel="1" x14ac:dyDescent="0.25">
      <c r="A36" s="36"/>
      <c r="B36" s="37" t="s">
        <v>46</v>
      </c>
      <c r="C36" s="16" t="s">
        <v>24</v>
      </c>
      <c r="D36" s="38">
        <v>200</v>
      </c>
      <c r="E36" s="18"/>
      <c r="F36" s="25">
        <f t="shared" si="1"/>
        <v>0</v>
      </c>
      <c r="G36" s="6"/>
      <c r="H36" s="6"/>
      <c r="I36" s="6"/>
      <c r="J36" s="37"/>
      <c r="K36" s="22"/>
    </row>
    <row r="37" spans="1:11" ht="15" hidden="1" customHeight="1" outlineLevel="1" x14ac:dyDescent="0.25">
      <c r="A37" s="36"/>
      <c r="B37" s="37" t="s">
        <v>47</v>
      </c>
      <c r="C37" s="16" t="s">
        <v>24</v>
      </c>
      <c r="D37" s="38">
        <v>300</v>
      </c>
      <c r="E37" s="18"/>
      <c r="F37" s="25">
        <f t="shared" si="1"/>
        <v>0</v>
      </c>
      <c r="G37" s="6"/>
      <c r="H37" s="6"/>
      <c r="I37" s="6"/>
      <c r="J37" s="37"/>
      <c r="K37" s="22"/>
    </row>
    <row r="38" spans="1:11" ht="15" hidden="1" customHeight="1" outlineLevel="1" x14ac:dyDescent="0.25">
      <c r="A38" s="36"/>
      <c r="B38" s="37" t="s">
        <v>48</v>
      </c>
      <c r="C38" s="16" t="s">
        <v>24</v>
      </c>
      <c r="D38" s="38">
        <v>500</v>
      </c>
      <c r="E38" s="18"/>
      <c r="F38" s="25">
        <f t="shared" si="1"/>
        <v>0</v>
      </c>
      <c r="G38" s="6"/>
      <c r="H38" s="6"/>
      <c r="I38" s="6"/>
      <c r="J38" s="37"/>
      <c r="K38" s="22"/>
    </row>
    <row r="39" spans="1:11" ht="15" hidden="1" customHeight="1" outlineLevel="1" x14ac:dyDescent="0.25">
      <c r="A39" s="36"/>
      <c r="B39" s="33" t="s">
        <v>49</v>
      </c>
      <c r="C39" s="33" t="s">
        <v>50</v>
      </c>
      <c r="D39" s="34" t="s">
        <v>50</v>
      </c>
      <c r="E39" s="35"/>
      <c r="F39" s="35"/>
      <c r="G39" s="6"/>
      <c r="H39" s="6"/>
      <c r="I39" s="6"/>
      <c r="J39" s="37"/>
      <c r="K39" s="22"/>
    </row>
    <row r="40" spans="1:11" ht="15" hidden="1" customHeight="1" outlineLevel="1" x14ac:dyDescent="0.25">
      <c r="A40" s="36"/>
      <c r="B40" s="37" t="s">
        <v>51</v>
      </c>
      <c r="C40" s="16" t="s">
        <v>24</v>
      </c>
      <c r="D40" s="38">
        <v>100</v>
      </c>
      <c r="E40" s="18"/>
      <c r="F40" s="25">
        <f t="shared" si="1"/>
        <v>0</v>
      </c>
      <c r="G40" s="6"/>
      <c r="H40" s="6"/>
      <c r="I40" s="6"/>
      <c r="J40" s="37"/>
      <c r="K40" s="22"/>
    </row>
    <row r="41" spans="1:11" ht="15" hidden="1" customHeight="1" outlineLevel="1" x14ac:dyDescent="0.25">
      <c r="A41" s="36"/>
      <c r="B41" s="37" t="s">
        <v>52</v>
      </c>
      <c r="C41" s="16" t="s">
        <v>24</v>
      </c>
      <c r="D41" s="38">
        <v>200</v>
      </c>
      <c r="E41" s="18"/>
      <c r="F41" s="25">
        <f t="shared" si="1"/>
        <v>0</v>
      </c>
      <c r="G41" s="6"/>
      <c r="H41" s="6"/>
      <c r="I41" s="6"/>
      <c r="J41" s="37"/>
      <c r="K41" s="22"/>
    </row>
    <row r="42" spans="1:11" ht="15" hidden="1" customHeight="1" outlineLevel="1" x14ac:dyDescent="0.25">
      <c r="A42" s="36"/>
      <c r="B42" s="37" t="s">
        <v>53</v>
      </c>
      <c r="C42" s="16" t="s">
        <v>24</v>
      </c>
      <c r="D42" s="38">
        <v>100</v>
      </c>
      <c r="E42" s="18"/>
      <c r="F42" s="25">
        <f t="shared" si="1"/>
        <v>0</v>
      </c>
      <c r="G42" s="6"/>
      <c r="H42" s="6"/>
      <c r="I42" s="6"/>
      <c r="J42" s="37"/>
      <c r="K42" s="22"/>
    </row>
    <row r="43" spans="1:11" ht="15" hidden="1" customHeight="1" outlineLevel="1" x14ac:dyDescent="0.25">
      <c r="A43" s="36"/>
      <c r="B43" s="37" t="s">
        <v>54</v>
      </c>
      <c r="C43" s="16" t="s">
        <v>24</v>
      </c>
      <c r="D43" s="38">
        <v>200</v>
      </c>
      <c r="E43" s="18"/>
      <c r="F43" s="25">
        <f t="shared" si="1"/>
        <v>0</v>
      </c>
      <c r="G43" s="6"/>
      <c r="H43" s="6"/>
      <c r="I43" s="6"/>
      <c r="J43" s="37"/>
      <c r="K43" s="22"/>
    </row>
    <row r="44" spans="1:11" ht="15" hidden="1" customHeight="1" outlineLevel="1" x14ac:dyDescent="0.25">
      <c r="A44" s="36"/>
      <c r="B44" s="33" t="s">
        <v>55</v>
      </c>
      <c r="C44" s="33"/>
      <c r="D44" s="34"/>
      <c r="E44" s="35"/>
      <c r="F44" s="35"/>
      <c r="G44" s="6"/>
      <c r="H44" s="6"/>
      <c r="I44" s="6"/>
      <c r="J44" s="37"/>
      <c r="K44" s="22"/>
    </row>
    <row r="45" spans="1:11" ht="15" hidden="1" customHeight="1" outlineLevel="1" x14ac:dyDescent="0.25">
      <c r="A45" s="36"/>
      <c r="B45" s="37" t="s">
        <v>56</v>
      </c>
      <c r="C45" s="16" t="s">
        <v>24</v>
      </c>
      <c r="D45" s="38">
        <v>300</v>
      </c>
      <c r="E45" s="18"/>
      <c r="F45" s="25">
        <f t="shared" si="1"/>
        <v>0</v>
      </c>
      <c r="G45" s="6"/>
      <c r="H45" s="6"/>
      <c r="I45" s="6"/>
      <c r="J45" s="37"/>
      <c r="K45" s="22"/>
    </row>
    <row r="46" spans="1:11" ht="15" hidden="1" customHeight="1" outlineLevel="1" x14ac:dyDescent="0.25">
      <c r="A46" s="36"/>
      <c r="B46" s="37" t="s">
        <v>57</v>
      </c>
      <c r="C46" s="16" t="s">
        <v>24</v>
      </c>
      <c r="D46" s="38">
        <v>300</v>
      </c>
      <c r="E46" s="18"/>
      <c r="F46" s="25">
        <f t="shared" si="1"/>
        <v>0</v>
      </c>
      <c r="G46" s="6"/>
      <c r="H46" s="6"/>
      <c r="I46" s="6"/>
      <c r="J46" s="37"/>
      <c r="K46" s="22"/>
    </row>
    <row r="47" spans="1:11" ht="15" hidden="1" customHeight="1" outlineLevel="1" x14ac:dyDescent="0.25">
      <c r="A47" s="36"/>
      <c r="B47" s="37" t="s">
        <v>58</v>
      </c>
      <c r="C47" s="16" t="s">
        <v>24</v>
      </c>
      <c r="D47" s="38">
        <v>600</v>
      </c>
      <c r="E47" s="18"/>
      <c r="F47" s="25">
        <f t="shared" si="1"/>
        <v>0</v>
      </c>
      <c r="G47" s="6"/>
      <c r="H47" s="6"/>
      <c r="I47" s="6"/>
      <c r="J47" s="37"/>
      <c r="K47" s="22"/>
    </row>
    <row r="48" spans="1:11" ht="15" hidden="1" customHeight="1" outlineLevel="1" x14ac:dyDescent="0.25">
      <c r="A48" s="36"/>
      <c r="B48" s="37" t="s">
        <v>59</v>
      </c>
      <c r="C48" s="16" t="s">
        <v>24</v>
      </c>
      <c r="D48" s="38">
        <v>600</v>
      </c>
      <c r="E48" s="18"/>
      <c r="F48" s="25">
        <f t="shared" si="1"/>
        <v>0</v>
      </c>
      <c r="G48" s="6"/>
      <c r="H48" s="6"/>
      <c r="I48" s="6"/>
      <c r="J48" s="37"/>
      <c r="K48" s="22"/>
    </row>
    <row r="49" spans="1:11" ht="15" hidden="1" customHeight="1" outlineLevel="1" x14ac:dyDescent="0.25">
      <c r="A49" s="36"/>
      <c r="B49" s="33" t="s">
        <v>60</v>
      </c>
      <c r="C49" s="33"/>
      <c r="D49" s="34"/>
      <c r="E49" s="35"/>
      <c r="F49" s="35"/>
      <c r="G49" s="6"/>
      <c r="H49" s="6"/>
      <c r="I49" s="6"/>
      <c r="J49" s="37"/>
      <c r="K49" s="22"/>
    </row>
    <row r="50" spans="1:11" ht="15" hidden="1" customHeight="1" outlineLevel="1" x14ac:dyDescent="0.25">
      <c r="A50" s="36"/>
      <c r="B50" s="37" t="s">
        <v>61</v>
      </c>
      <c r="C50" s="16" t="s">
        <v>24</v>
      </c>
      <c r="D50" s="38">
        <v>300</v>
      </c>
      <c r="E50" s="18"/>
      <c r="F50" s="25">
        <f t="shared" ref="F50:F58" si="3">E50*D50</f>
        <v>0</v>
      </c>
      <c r="G50" s="6"/>
      <c r="H50" s="6"/>
      <c r="I50" s="6"/>
      <c r="J50" s="37"/>
      <c r="K50" s="22"/>
    </row>
    <row r="51" spans="1:11" ht="15" hidden="1" customHeight="1" outlineLevel="1" x14ac:dyDescent="0.25">
      <c r="A51" s="36"/>
      <c r="B51" s="37" t="s">
        <v>62</v>
      </c>
      <c r="C51" s="16" t="s">
        <v>24</v>
      </c>
      <c r="D51" s="38">
        <v>300</v>
      </c>
      <c r="E51" s="18"/>
      <c r="F51" s="25">
        <f t="shared" si="3"/>
        <v>0</v>
      </c>
      <c r="G51" s="6"/>
      <c r="H51" s="6"/>
      <c r="I51" s="6"/>
      <c r="J51" s="37"/>
      <c r="K51" s="22"/>
    </row>
    <row r="52" spans="1:11" ht="15" hidden="1" customHeight="1" outlineLevel="1" x14ac:dyDescent="0.25">
      <c r="A52" s="36"/>
      <c r="B52" s="37" t="s">
        <v>63</v>
      </c>
      <c r="C52" s="16" t="s">
        <v>24</v>
      </c>
      <c r="D52" s="38">
        <v>600</v>
      </c>
      <c r="E52" s="18"/>
      <c r="F52" s="25">
        <f t="shared" si="3"/>
        <v>0</v>
      </c>
      <c r="G52" s="6"/>
      <c r="H52" s="6"/>
      <c r="I52" s="6"/>
      <c r="J52" s="37"/>
      <c r="K52" s="22"/>
    </row>
    <row r="53" spans="1:11" ht="15" hidden="1" customHeight="1" outlineLevel="1" x14ac:dyDescent="0.25">
      <c r="A53" s="36"/>
      <c r="B53" s="37" t="s">
        <v>64</v>
      </c>
      <c r="C53" s="16" t="s">
        <v>24</v>
      </c>
      <c r="D53" s="38">
        <v>600</v>
      </c>
      <c r="E53" s="18"/>
      <c r="F53" s="25">
        <f t="shared" si="3"/>
        <v>0</v>
      </c>
      <c r="G53" s="6"/>
      <c r="H53" s="6"/>
      <c r="I53" s="6"/>
      <c r="J53" s="37"/>
      <c r="K53" s="22"/>
    </row>
    <row r="54" spans="1:11" ht="15" hidden="1" customHeight="1" outlineLevel="1" x14ac:dyDescent="0.25">
      <c r="A54" s="36"/>
      <c r="B54" s="33" t="s">
        <v>65</v>
      </c>
      <c r="C54" s="33"/>
      <c r="D54" s="34"/>
      <c r="E54" s="35"/>
      <c r="F54" s="35"/>
      <c r="G54" s="6"/>
      <c r="H54" s="6"/>
      <c r="I54" s="6"/>
      <c r="J54" s="37"/>
      <c r="K54" s="22"/>
    </row>
    <row r="55" spans="1:11" ht="15" hidden="1" customHeight="1" outlineLevel="1" x14ac:dyDescent="0.25">
      <c r="A55" s="36"/>
      <c r="B55" s="37" t="s">
        <v>66</v>
      </c>
      <c r="C55" s="16" t="s">
        <v>24</v>
      </c>
      <c r="D55" s="38">
        <v>300</v>
      </c>
      <c r="E55" s="18"/>
      <c r="F55" s="25">
        <f t="shared" si="3"/>
        <v>0</v>
      </c>
      <c r="G55" s="6"/>
      <c r="H55" s="6"/>
      <c r="I55" s="6"/>
      <c r="J55" s="37"/>
      <c r="K55" s="22"/>
    </row>
    <row r="56" spans="1:11" ht="15" hidden="1" customHeight="1" outlineLevel="1" x14ac:dyDescent="0.25">
      <c r="A56" s="36"/>
      <c r="B56" s="37" t="s">
        <v>67</v>
      </c>
      <c r="C56" s="16" t="s">
        <v>24</v>
      </c>
      <c r="D56" s="38">
        <v>300</v>
      </c>
      <c r="E56" s="18"/>
      <c r="F56" s="25">
        <f t="shared" si="3"/>
        <v>0</v>
      </c>
      <c r="G56" s="6"/>
      <c r="H56" s="6"/>
      <c r="I56" s="6"/>
      <c r="J56" s="37"/>
      <c r="K56" s="22"/>
    </row>
    <row r="57" spans="1:11" ht="15" hidden="1" customHeight="1" outlineLevel="1" x14ac:dyDescent="0.25">
      <c r="A57" s="36"/>
      <c r="B57" s="37" t="s">
        <v>68</v>
      </c>
      <c r="C57" s="16" t="s">
        <v>24</v>
      </c>
      <c r="D57" s="38">
        <v>600</v>
      </c>
      <c r="E57" s="18"/>
      <c r="F57" s="25">
        <f t="shared" si="3"/>
        <v>0</v>
      </c>
      <c r="G57" s="6"/>
      <c r="H57" s="6"/>
      <c r="I57" s="6"/>
      <c r="J57" s="37"/>
      <c r="K57" s="22"/>
    </row>
    <row r="58" spans="1:11" ht="15" hidden="1" customHeight="1" outlineLevel="1" x14ac:dyDescent="0.25">
      <c r="A58" s="36"/>
      <c r="B58" s="37" t="s">
        <v>69</v>
      </c>
      <c r="C58" s="16" t="s">
        <v>24</v>
      </c>
      <c r="D58" s="38">
        <v>600</v>
      </c>
      <c r="E58" s="18"/>
      <c r="F58" s="25">
        <f t="shared" si="3"/>
        <v>0</v>
      </c>
      <c r="G58" s="6"/>
      <c r="H58" s="6"/>
      <c r="I58" s="6"/>
      <c r="J58" s="37"/>
      <c r="K58" s="22"/>
    </row>
    <row r="59" spans="1:11" ht="15" hidden="1" customHeight="1" outlineLevel="1" x14ac:dyDescent="0.25">
      <c r="A59" s="36"/>
      <c r="B59" s="30" t="s">
        <v>70</v>
      </c>
      <c r="C59" s="30"/>
      <c r="D59" s="31"/>
      <c r="E59" s="31"/>
      <c r="F59" s="31"/>
      <c r="G59" s="6"/>
      <c r="H59" s="6"/>
      <c r="I59" s="6"/>
      <c r="J59" s="37"/>
      <c r="K59" s="22"/>
    </row>
    <row r="60" spans="1:11" ht="15" hidden="1" customHeight="1" outlineLevel="1" x14ac:dyDescent="0.25">
      <c r="A60" s="36"/>
      <c r="B60" s="33" t="s">
        <v>22</v>
      </c>
      <c r="C60" s="33"/>
      <c r="D60" s="34"/>
      <c r="E60" s="35"/>
      <c r="F60" s="35"/>
      <c r="G60" s="6"/>
      <c r="H60" s="6"/>
      <c r="I60" s="6"/>
      <c r="J60" s="37"/>
      <c r="K60" s="22"/>
    </row>
    <row r="61" spans="1:11" ht="15" hidden="1" customHeight="1" outlineLevel="1" x14ac:dyDescent="0.25">
      <c r="A61" s="36"/>
      <c r="B61" s="37" t="s">
        <v>23</v>
      </c>
      <c r="C61" s="16" t="s">
        <v>24</v>
      </c>
      <c r="D61" s="38">
        <v>50</v>
      </c>
      <c r="E61" s="18"/>
      <c r="F61" s="25">
        <f t="shared" ref="F61:F92" si="4">E61*D61</f>
        <v>0</v>
      </c>
      <c r="G61" s="6"/>
      <c r="H61" s="6"/>
      <c r="I61" s="6"/>
      <c r="J61" s="37"/>
      <c r="K61" s="22"/>
    </row>
    <row r="62" spans="1:11" ht="15" hidden="1" customHeight="1" outlineLevel="1" x14ac:dyDescent="0.25">
      <c r="A62" s="36"/>
      <c r="B62" s="37" t="s">
        <v>25</v>
      </c>
      <c r="C62" s="16" t="s">
        <v>24</v>
      </c>
      <c r="D62" s="38">
        <v>50</v>
      </c>
      <c r="E62" s="18"/>
      <c r="F62" s="25">
        <f t="shared" si="4"/>
        <v>0</v>
      </c>
      <c r="G62" s="6"/>
      <c r="H62" s="6"/>
      <c r="I62" s="6"/>
      <c r="J62" s="37"/>
      <c r="K62" s="22"/>
    </row>
    <row r="63" spans="1:11" ht="15" hidden="1" customHeight="1" outlineLevel="1" x14ac:dyDescent="0.25">
      <c r="A63" s="36"/>
      <c r="B63" s="37" t="s">
        <v>26</v>
      </c>
      <c r="C63" s="16" t="s">
        <v>24</v>
      </c>
      <c r="D63" s="38">
        <v>100</v>
      </c>
      <c r="E63" s="18"/>
      <c r="F63" s="25">
        <f t="shared" si="4"/>
        <v>0</v>
      </c>
      <c r="G63" s="6"/>
      <c r="H63" s="6"/>
      <c r="I63" s="6"/>
      <c r="J63" s="37"/>
      <c r="K63" s="22"/>
    </row>
    <row r="64" spans="1:11" ht="15" hidden="1" customHeight="1" outlineLevel="1" x14ac:dyDescent="0.25">
      <c r="A64" s="36"/>
      <c r="B64" s="37" t="s">
        <v>27</v>
      </c>
      <c r="C64" s="16" t="s">
        <v>24</v>
      </c>
      <c r="D64" s="38">
        <v>50</v>
      </c>
      <c r="E64" s="18"/>
      <c r="F64" s="25">
        <f t="shared" si="4"/>
        <v>0</v>
      </c>
      <c r="G64" s="6"/>
      <c r="H64" s="6"/>
      <c r="I64" s="6"/>
      <c r="J64" s="37"/>
      <c r="K64" s="22"/>
    </row>
    <row r="65" spans="1:11" ht="15" hidden="1" customHeight="1" outlineLevel="1" x14ac:dyDescent="0.25">
      <c r="A65" s="36"/>
      <c r="B65" s="37" t="s">
        <v>28</v>
      </c>
      <c r="C65" s="16" t="s">
        <v>24</v>
      </c>
      <c r="D65" s="38">
        <v>100</v>
      </c>
      <c r="E65" s="18"/>
      <c r="F65" s="25">
        <f t="shared" si="4"/>
        <v>0</v>
      </c>
      <c r="G65" s="6"/>
      <c r="H65" s="6"/>
      <c r="I65" s="6"/>
      <c r="J65" s="37"/>
      <c r="K65" s="22"/>
    </row>
    <row r="66" spans="1:11" ht="15" hidden="1" customHeight="1" outlineLevel="1" x14ac:dyDescent="0.25">
      <c r="A66" s="36"/>
      <c r="B66" s="37" t="s">
        <v>29</v>
      </c>
      <c r="C66" s="16" t="s">
        <v>24</v>
      </c>
      <c r="D66" s="38">
        <v>50</v>
      </c>
      <c r="E66" s="18"/>
      <c r="F66" s="25">
        <f t="shared" si="4"/>
        <v>0</v>
      </c>
      <c r="G66" s="6"/>
      <c r="H66" s="6"/>
      <c r="I66" s="6"/>
      <c r="J66" s="37"/>
      <c r="K66" s="22"/>
    </row>
    <row r="67" spans="1:11" ht="15" hidden="1" customHeight="1" outlineLevel="1" x14ac:dyDescent="0.25">
      <c r="A67" s="36"/>
      <c r="B67" s="37" t="s">
        <v>30</v>
      </c>
      <c r="C67" s="16" t="s">
        <v>24</v>
      </c>
      <c r="D67" s="38">
        <v>100</v>
      </c>
      <c r="E67" s="18"/>
      <c r="F67" s="25">
        <f t="shared" si="4"/>
        <v>0</v>
      </c>
      <c r="G67" s="6"/>
      <c r="H67" s="6"/>
      <c r="I67" s="6"/>
      <c r="J67" s="37"/>
      <c r="K67" s="22"/>
    </row>
    <row r="68" spans="1:11" ht="15" hidden="1" customHeight="1" outlineLevel="1" x14ac:dyDescent="0.25">
      <c r="A68" s="36"/>
      <c r="B68" s="33" t="s">
        <v>31</v>
      </c>
      <c r="C68" s="33"/>
      <c r="D68" s="34"/>
      <c r="E68" s="35"/>
      <c r="F68" s="35"/>
      <c r="G68" s="6"/>
      <c r="H68" s="6"/>
      <c r="I68" s="6"/>
      <c r="J68" s="37"/>
      <c r="K68" s="22"/>
    </row>
    <row r="69" spans="1:11" ht="15" hidden="1" customHeight="1" outlineLevel="1" x14ac:dyDescent="0.25">
      <c r="A69" s="36"/>
      <c r="B69" s="37" t="s">
        <v>32</v>
      </c>
      <c r="C69" s="16" t="s">
        <v>24</v>
      </c>
      <c r="D69" s="38">
        <v>50</v>
      </c>
      <c r="E69" s="18"/>
      <c r="F69" s="25">
        <f t="shared" si="4"/>
        <v>0</v>
      </c>
      <c r="G69" s="6"/>
      <c r="H69" s="6"/>
      <c r="I69" s="6"/>
      <c r="J69" s="37"/>
      <c r="K69" s="22"/>
    </row>
    <row r="70" spans="1:11" ht="15" hidden="1" customHeight="1" outlineLevel="1" x14ac:dyDescent="0.25">
      <c r="A70" s="36"/>
      <c r="B70" s="37" t="s">
        <v>33</v>
      </c>
      <c r="C70" s="16" t="s">
        <v>24</v>
      </c>
      <c r="D70" s="38">
        <v>50</v>
      </c>
      <c r="E70" s="18"/>
      <c r="F70" s="25">
        <f t="shared" si="4"/>
        <v>0</v>
      </c>
      <c r="G70" s="6"/>
      <c r="H70" s="6"/>
      <c r="I70" s="6"/>
      <c r="J70" s="37"/>
      <c r="K70" s="22"/>
    </row>
    <row r="71" spans="1:11" ht="15" hidden="1" customHeight="1" outlineLevel="1" x14ac:dyDescent="0.25">
      <c r="A71" s="36"/>
      <c r="B71" s="37" t="s">
        <v>34</v>
      </c>
      <c r="C71" s="16" t="s">
        <v>24</v>
      </c>
      <c r="D71" s="38">
        <v>100</v>
      </c>
      <c r="E71" s="18"/>
      <c r="F71" s="25">
        <f t="shared" si="4"/>
        <v>0</v>
      </c>
      <c r="G71" s="6"/>
      <c r="H71" s="6"/>
      <c r="I71" s="6"/>
      <c r="J71" s="37"/>
      <c r="K71" s="22"/>
    </row>
    <row r="72" spans="1:11" ht="15" hidden="1" customHeight="1" outlineLevel="1" x14ac:dyDescent="0.25">
      <c r="A72" s="36"/>
      <c r="B72" s="37" t="s">
        <v>35</v>
      </c>
      <c r="C72" s="16" t="s">
        <v>24</v>
      </c>
      <c r="D72" s="38">
        <v>100</v>
      </c>
      <c r="E72" s="18"/>
      <c r="F72" s="25">
        <f t="shared" si="4"/>
        <v>0</v>
      </c>
      <c r="G72" s="6"/>
      <c r="H72" s="6"/>
      <c r="I72" s="6"/>
      <c r="J72" s="37"/>
      <c r="K72" s="22"/>
    </row>
    <row r="73" spans="1:11" ht="15" hidden="1" customHeight="1" outlineLevel="1" x14ac:dyDescent="0.25">
      <c r="A73" s="36"/>
      <c r="B73" s="33" t="s">
        <v>36</v>
      </c>
      <c r="C73" s="33"/>
      <c r="D73" s="34"/>
      <c r="E73" s="35"/>
      <c r="F73" s="35"/>
      <c r="G73" s="6"/>
      <c r="H73" s="6"/>
      <c r="I73" s="6"/>
      <c r="J73" s="37"/>
      <c r="K73" s="22"/>
    </row>
    <row r="74" spans="1:11" ht="15" hidden="1" customHeight="1" outlineLevel="1" x14ac:dyDescent="0.25">
      <c r="A74" s="36"/>
      <c r="B74" s="37" t="s">
        <v>32</v>
      </c>
      <c r="C74" s="16" t="s">
        <v>24</v>
      </c>
      <c r="D74" s="38">
        <v>50</v>
      </c>
      <c r="E74" s="18"/>
      <c r="F74" s="25">
        <f t="shared" si="4"/>
        <v>0</v>
      </c>
      <c r="G74" s="6"/>
      <c r="H74" s="6"/>
      <c r="I74" s="6"/>
      <c r="J74" s="37"/>
      <c r="K74" s="22"/>
    </row>
    <row r="75" spans="1:11" ht="15" hidden="1" customHeight="1" outlineLevel="1" x14ac:dyDescent="0.25">
      <c r="A75" s="36"/>
      <c r="B75" s="37" t="s">
        <v>33</v>
      </c>
      <c r="C75" s="16" t="s">
        <v>24</v>
      </c>
      <c r="D75" s="38">
        <v>50</v>
      </c>
      <c r="E75" s="18"/>
      <c r="F75" s="25">
        <f t="shared" si="4"/>
        <v>0</v>
      </c>
      <c r="G75" s="6"/>
      <c r="H75" s="6"/>
      <c r="I75" s="6"/>
      <c r="J75" s="37"/>
      <c r="K75" s="22"/>
    </row>
    <row r="76" spans="1:11" ht="15" hidden="1" customHeight="1" outlineLevel="1" x14ac:dyDescent="0.25">
      <c r="A76" s="36"/>
      <c r="B76" s="37" t="s">
        <v>34</v>
      </c>
      <c r="C76" s="16" t="s">
        <v>24</v>
      </c>
      <c r="D76" s="38">
        <v>100</v>
      </c>
      <c r="E76" s="18"/>
      <c r="F76" s="25">
        <f t="shared" si="4"/>
        <v>0</v>
      </c>
      <c r="G76" s="6"/>
      <c r="H76" s="6"/>
      <c r="I76" s="6"/>
      <c r="J76" s="37"/>
      <c r="K76" s="22"/>
    </row>
    <row r="77" spans="1:11" ht="15" hidden="1" customHeight="1" outlineLevel="1" x14ac:dyDescent="0.25">
      <c r="A77" s="36"/>
      <c r="B77" s="37" t="s">
        <v>35</v>
      </c>
      <c r="C77" s="16" t="s">
        <v>24</v>
      </c>
      <c r="D77" s="38">
        <v>100</v>
      </c>
      <c r="E77" s="18"/>
      <c r="F77" s="25">
        <f t="shared" si="4"/>
        <v>0</v>
      </c>
      <c r="G77" s="6"/>
      <c r="H77" s="6"/>
      <c r="I77" s="6"/>
      <c r="J77" s="37"/>
      <c r="K77" s="22"/>
    </row>
    <row r="78" spans="1:11" ht="15" hidden="1" customHeight="1" outlineLevel="1" x14ac:dyDescent="0.25">
      <c r="A78" s="36"/>
      <c r="B78" s="33" t="s">
        <v>71</v>
      </c>
      <c r="C78" s="33"/>
      <c r="D78" s="34"/>
      <c r="E78" s="35"/>
      <c r="F78" s="35"/>
      <c r="G78" s="6"/>
      <c r="H78" s="6"/>
      <c r="I78" s="6"/>
      <c r="J78" s="37"/>
      <c r="K78" s="22"/>
    </row>
    <row r="79" spans="1:11" ht="15" hidden="1" customHeight="1" outlineLevel="1" x14ac:dyDescent="0.25">
      <c r="A79" s="36"/>
      <c r="B79" s="37" t="s">
        <v>72</v>
      </c>
      <c r="C79" s="16" t="s">
        <v>24</v>
      </c>
      <c r="D79" s="38">
        <v>200</v>
      </c>
      <c r="E79" s="18"/>
      <c r="F79" s="25">
        <f t="shared" si="4"/>
        <v>0</v>
      </c>
      <c r="G79" s="6"/>
      <c r="H79" s="6"/>
      <c r="I79" s="6"/>
      <c r="J79" s="37"/>
      <c r="K79" s="22"/>
    </row>
    <row r="80" spans="1:11" ht="15" hidden="1" customHeight="1" outlineLevel="1" x14ac:dyDescent="0.25">
      <c r="A80" s="36"/>
      <c r="B80" s="37" t="s">
        <v>73</v>
      </c>
      <c r="C80" s="16" t="s">
        <v>24</v>
      </c>
      <c r="D80" s="38">
        <v>400</v>
      </c>
      <c r="E80" s="18"/>
      <c r="F80" s="25">
        <f t="shared" si="4"/>
        <v>0</v>
      </c>
      <c r="G80" s="6"/>
      <c r="H80" s="6"/>
      <c r="I80" s="6"/>
      <c r="J80" s="37"/>
      <c r="K80" s="22"/>
    </row>
    <row r="81" spans="1:11" ht="15" hidden="1" customHeight="1" outlineLevel="1" x14ac:dyDescent="0.25">
      <c r="A81" s="36"/>
      <c r="B81" s="37" t="s">
        <v>74</v>
      </c>
      <c r="C81" s="16" t="s">
        <v>24</v>
      </c>
      <c r="D81" s="38">
        <v>300</v>
      </c>
      <c r="E81" s="18"/>
      <c r="F81" s="25">
        <f t="shared" si="4"/>
        <v>0</v>
      </c>
      <c r="G81" s="6"/>
      <c r="H81" s="6"/>
      <c r="I81" s="6"/>
      <c r="J81" s="37"/>
      <c r="K81" s="22"/>
    </row>
    <row r="82" spans="1:11" ht="15" hidden="1" customHeight="1" outlineLevel="1" x14ac:dyDescent="0.25">
      <c r="A82" s="36"/>
      <c r="B82" s="37" t="s">
        <v>75</v>
      </c>
      <c r="C82" s="16" t="s">
        <v>24</v>
      </c>
      <c r="D82" s="38">
        <v>600</v>
      </c>
      <c r="E82" s="18"/>
      <c r="F82" s="25">
        <f t="shared" si="4"/>
        <v>0</v>
      </c>
      <c r="G82" s="6"/>
      <c r="H82" s="6"/>
      <c r="I82" s="6"/>
      <c r="J82" s="37"/>
      <c r="K82" s="22"/>
    </row>
    <row r="83" spans="1:11" ht="15" hidden="1" customHeight="1" outlineLevel="1" x14ac:dyDescent="0.25">
      <c r="A83" s="36"/>
      <c r="B83" s="33" t="s">
        <v>76</v>
      </c>
      <c r="C83" s="33"/>
      <c r="D83" s="34"/>
      <c r="E83" s="35"/>
      <c r="F83" s="35"/>
      <c r="G83" s="6"/>
      <c r="H83" s="6"/>
      <c r="I83" s="6"/>
      <c r="J83" s="37"/>
      <c r="K83" s="22"/>
    </row>
    <row r="84" spans="1:11" ht="15" hidden="1" customHeight="1" outlineLevel="1" x14ac:dyDescent="0.25">
      <c r="A84" s="36"/>
      <c r="B84" s="37" t="s">
        <v>77</v>
      </c>
      <c r="C84" s="16" t="s">
        <v>24</v>
      </c>
      <c r="D84" s="38">
        <v>150</v>
      </c>
      <c r="E84" s="18"/>
      <c r="F84" s="25">
        <f t="shared" si="4"/>
        <v>0</v>
      </c>
      <c r="G84" s="6"/>
      <c r="H84" s="6"/>
      <c r="I84" s="6"/>
      <c r="J84" s="37"/>
      <c r="K84" s="22"/>
    </row>
    <row r="85" spans="1:11" ht="15" hidden="1" customHeight="1" outlineLevel="1" x14ac:dyDescent="0.25">
      <c r="A85" s="36"/>
      <c r="B85" s="37" t="s">
        <v>78</v>
      </c>
      <c r="C85" s="16" t="s">
        <v>24</v>
      </c>
      <c r="D85" s="38">
        <v>300</v>
      </c>
      <c r="E85" s="18"/>
      <c r="F85" s="25">
        <f t="shared" si="4"/>
        <v>0</v>
      </c>
      <c r="G85" s="6"/>
      <c r="H85" s="6"/>
      <c r="I85" s="6"/>
      <c r="J85" s="37"/>
      <c r="K85" s="22"/>
    </row>
    <row r="86" spans="1:11" ht="15" hidden="1" customHeight="1" outlineLevel="1" x14ac:dyDescent="0.25">
      <c r="A86" s="36"/>
      <c r="B86" s="37" t="s">
        <v>79</v>
      </c>
      <c r="C86" s="16" t="s">
        <v>24</v>
      </c>
      <c r="D86" s="38">
        <v>300</v>
      </c>
      <c r="E86" s="18"/>
      <c r="F86" s="25">
        <f t="shared" si="4"/>
        <v>0</v>
      </c>
      <c r="G86" s="6"/>
      <c r="H86" s="6"/>
      <c r="I86" s="6"/>
      <c r="J86" s="37"/>
      <c r="K86" s="22"/>
    </row>
    <row r="87" spans="1:11" ht="15" hidden="1" customHeight="1" outlineLevel="1" x14ac:dyDescent="0.25">
      <c r="A87" s="36"/>
      <c r="B87" s="37" t="s">
        <v>80</v>
      </c>
      <c r="C87" s="16" t="s">
        <v>24</v>
      </c>
      <c r="D87" s="38">
        <v>500</v>
      </c>
      <c r="E87" s="18"/>
      <c r="F87" s="25">
        <f t="shared" si="4"/>
        <v>0</v>
      </c>
      <c r="G87" s="6"/>
      <c r="H87" s="6"/>
      <c r="I87" s="6"/>
      <c r="J87" s="37"/>
      <c r="K87" s="22"/>
    </row>
    <row r="88" spans="1:11" ht="15" hidden="1" customHeight="1" outlineLevel="1" x14ac:dyDescent="0.25">
      <c r="A88" s="36"/>
      <c r="B88" s="33" t="s">
        <v>81</v>
      </c>
      <c r="C88" s="33" t="s">
        <v>50</v>
      </c>
      <c r="D88" s="34" t="s">
        <v>50</v>
      </c>
      <c r="E88" s="35"/>
      <c r="F88" s="35"/>
      <c r="G88" s="6"/>
      <c r="H88" s="6"/>
      <c r="I88" s="6"/>
      <c r="J88" s="37"/>
      <c r="K88" s="22"/>
    </row>
    <row r="89" spans="1:11" ht="15" hidden="1" customHeight="1" outlineLevel="1" x14ac:dyDescent="0.25">
      <c r="A89" s="36"/>
      <c r="B89" s="37" t="s">
        <v>82</v>
      </c>
      <c r="C89" s="16" t="s">
        <v>24</v>
      </c>
      <c r="D89" s="38">
        <v>200</v>
      </c>
      <c r="E89" s="18"/>
      <c r="F89" s="25">
        <f t="shared" si="4"/>
        <v>0</v>
      </c>
      <c r="G89" s="6"/>
      <c r="H89" s="6"/>
      <c r="I89" s="6"/>
      <c r="J89" s="37"/>
      <c r="K89" s="22"/>
    </row>
    <row r="90" spans="1:11" ht="15" hidden="1" customHeight="1" outlineLevel="1" x14ac:dyDescent="0.25">
      <c r="A90" s="36"/>
      <c r="B90" s="37" t="s">
        <v>83</v>
      </c>
      <c r="C90" s="16" t="s">
        <v>24</v>
      </c>
      <c r="D90" s="38">
        <v>400</v>
      </c>
      <c r="E90" s="18"/>
      <c r="F90" s="25">
        <f t="shared" si="4"/>
        <v>0</v>
      </c>
      <c r="G90" s="6"/>
      <c r="H90" s="6"/>
      <c r="I90" s="6"/>
      <c r="J90" s="37"/>
      <c r="K90" s="22"/>
    </row>
    <row r="91" spans="1:11" ht="15" hidden="1" customHeight="1" outlineLevel="1" x14ac:dyDescent="0.25">
      <c r="A91" s="36"/>
      <c r="B91" s="37" t="s">
        <v>84</v>
      </c>
      <c r="C91" s="16" t="s">
        <v>24</v>
      </c>
      <c r="D91" s="38">
        <v>200</v>
      </c>
      <c r="E91" s="18"/>
      <c r="F91" s="25">
        <f t="shared" si="4"/>
        <v>0</v>
      </c>
      <c r="G91" s="6"/>
      <c r="H91" s="6"/>
      <c r="I91" s="6"/>
      <c r="J91" s="37"/>
      <c r="K91" s="22"/>
    </row>
    <row r="92" spans="1:11" ht="15" hidden="1" customHeight="1" outlineLevel="1" x14ac:dyDescent="0.25">
      <c r="A92" s="36"/>
      <c r="B92" s="37" t="s">
        <v>85</v>
      </c>
      <c r="C92" s="16" t="s">
        <v>24</v>
      </c>
      <c r="D92" s="38">
        <v>400</v>
      </c>
      <c r="E92" s="18"/>
      <c r="F92" s="25">
        <f t="shared" si="4"/>
        <v>0</v>
      </c>
      <c r="G92" s="6"/>
      <c r="H92" s="6"/>
      <c r="I92" s="6"/>
      <c r="J92" s="37"/>
      <c r="K92" s="22"/>
    </row>
    <row r="93" spans="1:11" ht="15" hidden="1" customHeight="1" outlineLevel="1" x14ac:dyDescent="0.25">
      <c r="A93" s="36"/>
      <c r="B93" s="33" t="s">
        <v>86</v>
      </c>
      <c r="C93" s="33"/>
      <c r="D93" s="34"/>
      <c r="E93" s="35"/>
      <c r="F93" s="35"/>
      <c r="G93" s="6"/>
      <c r="H93" s="6"/>
      <c r="I93" s="6"/>
      <c r="J93" s="37"/>
      <c r="K93" s="22"/>
    </row>
    <row r="94" spans="1:11" ht="15" hidden="1" customHeight="1" outlineLevel="1" x14ac:dyDescent="0.25">
      <c r="A94" s="36"/>
      <c r="B94" s="37" t="s">
        <v>56</v>
      </c>
      <c r="C94" s="16" t="s">
        <v>24</v>
      </c>
      <c r="D94" s="38">
        <v>300</v>
      </c>
      <c r="E94" s="18"/>
      <c r="F94" s="25">
        <f t="shared" ref="F94:F107" si="5">E94*D94</f>
        <v>0</v>
      </c>
      <c r="G94" s="6"/>
      <c r="H94" s="6"/>
      <c r="I94" s="6"/>
      <c r="J94" s="37"/>
      <c r="K94" s="22"/>
    </row>
    <row r="95" spans="1:11" ht="15" hidden="1" customHeight="1" outlineLevel="1" x14ac:dyDescent="0.25">
      <c r="A95" s="36"/>
      <c r="B95" s="37" t="s">
        <v>57</v>
      </c>
      <c r="C95" s="16" t="s">
        <v>24</v>
      </c>
      <c r="D95" s="38">
        <v>300</v>
      </c>
      <c r="E95" s="18"/>
      <c r="F95" s="25">
        <f t="shared" si="5"/>
        <v>0</v>
      </c>
      <c r="G95" s="6"/>
      <c r="H95" s="6"/>
      <c r="I95" s="6"/>
      <c r="J95" s="37"/>
      <c r="K95" s="22"/>
    </row>
    <row r="96" spans="1:11" ht="15" hidden="1" customHeight="1" outlineLevel="1" x14ac:dyDescent="0.25">
      <c r="A96" s="36"/>
      <c r="B96" s="37" t="s">
        <v>58</v>
      </c>
      <c r="C96" s="16" t="s">
        <v>24</v>
      </c>
      <c r="D96" s="38">
        <v>600</v>
      </c>
      <c r="E96" s="18"/>
      <c r="F96" s="25">
        <f t="shared" si="5"/>
        <v>0</v>
      </c>
      <c r="G96" s="6"/>
      <c r="H96" s="6"/>
      <c r="I96" s="6"/>
      <c r="J96" s="37"/>
      <c r="K96" s="22"/>
    </row>
    <row r="97" spans="1:11" ht="15" hidden="1" customHeight="1" outlineLevel="1" x14ac:dyDescent="0.25">
      <c r="A97" s="36"/>
      <c r="B97" s="37" t="s">
        <v>59</v>
      </c>
      <c r="C97" s="16" t="s">
        <v>24</v>
      </c>
      <c r="D97" s="38">
        <v>600</v>
      </c>
      <c r="E97" s="18"/>
      <c r="F97" s="25">
        <f t="shared" si="5"/>
        <v>0</v>
      </c>
      <c r="G97" s="6"/>
      <c r="H97" s="6"/>
      <c r="I97" s="6"/>
      <c r="J97" s="37"/>
      <c r="K97" s="22"/>
    </row>
    <row r="98" spans="1:11" ht="15" hidden="1" customHeight="1" outlineLevel="1" x14ac:dyDescent="0.25">
      <c r="A98" s="36"/>
      <c r="B98" s="33" t="s">
        <v>87</v>
      </c>
      <c r="C98" s="33"/>
      <c r="D98" s="34"/>
      <c r="E98" s="35"/>
      <c r="F98" s="35"/>
      <c r="G98" s="6"/>
      <c r="H98" s="6"/>
      <c r="I98" s="6"/>
      <c r="J98" s="37"/>
      <c r="K98" s="22"/>
    </row>
    <row r="99" spans="1:11" ht="15" hidden="1" customHeight="1" outlineLevel="1" x14ac:dyDescent="0.25">
      <c r="A99" s="36"/>
      <c r="B99" s="37" t="s">
        <v>61</v>
      </c>
      <c r="C99" s="16" t="s">
        <v>24</v>
      </c>
      <c r="D99" s="38">
        <v>300</v>
      </c>
      <c r="E99" s="18"/>
      <c r="F99" s="25">
        <f t="shared" si="5"/>
        <v>0</v>
      </c>
      <c r="G99" s="6"/>
      <c r="H99" s="6"/>
      <c r="I99" s="6"/>
      <c r="J99" s="37"/>
      <c r="K99" s="22"/>
    </row>
    <row r="100" spans="1:11" ht="15" hidden="1" customHeight="1" outlineLevel="1" x14ac:dyDescent="0.25">
      <c r="A100" s="36"/>
      <c r="B100" s="37" t="s">
        <v>62</v>
      </c>
      <c r="C100" s="16" t="s">
        <v>24</v>
      </c>
      <c r="D100" s="38">
        <v>300</v>
      </c>
      <c r="E100" s="18"/>
      <c r="F100" s="25">
        <f t="shared" si="5"/>
        <v>0</v>
      </c>
      <c r="G100" s="6"/>
      <c r="H100" s="6"/>
      <c r="I100" s="6"/>
      <c r="J100" s="37"/>
      <c r="K100" s="22"/>
    </row>
    <row r="101" spans="1:11" ht="15" hidden="1" customHeight="1" outlineLevel="1" x14ac:dyDescent="0.25">
      <c r="A101" s="36"/>
      <c r="B101" s="37" t="s">
        <v>63</v>
      </c>
      <c r="C101" s="16" t="s">
        <v>24</v>
      </c>
      <c r="D101" s="38">
        <v>600</v>
      </c>
      <c r="E101" s="18"/>
      <c r="F101" s="25">
        <f t="shared" si="5"/>
        <v>0</v>
      </c>
      <c r="G101" s="6"/>
      <c r="H101" s="6"/>
      <c r="I101" s="6"/>
      <c r="J101" s="37"/>
      <c r="K101" s="22"/>
    </row>
    <row r="102" spans="1:11" ht="15" hidden="1" customHeight="1" outlineLevel="1" x14ac:dyDescent="0.25">
      <c r="A102" s="36"/>
      <c r="B102" s="37" t="s">
        <v>64</v>
      </c>
      <c r="C102" s="16" t="s">
        <v>24</v>
      </c>
      <c r="D102" s="38">
        <v>600</v>
      </c>
      <c r="E102" s="18"/>
      <c r="F102" s="25">
        <f t="shared" si="5"/>
        <v>0</v>
      </c>
      <c r="G102" s="6"/>
      <c r="H102" s="6"/>
      <c r="I102" s="6"/>
      <c r="J102" s="37"/>
      <c r="K102" s="22"/>
    </row>
    <row r="103" spans="1:11" ht="15" hidden="1" customHeight="1" outlineLevel="1" x14ac:dyDescent="0.25">
      <c r="A103" s="36"/>
      <c r="B103" s="33" t="s">
        <v>88</v>
      </c>
      <c r="C103" s="33"/>
      <c r="D103" s="34"/>
      <c r="E103" s="35"/>
      <c r="F103" s="35"/>
      <c r="G103" s="6"/>
      <c r="H103" s="6"/>
      <c r="I103" s="6"/>
      <c r="J103" s="37"/>
      <c r="K103" s="22"/>
    </row>
    <row r="104" spans="1:11" ht="15" hidden="1" customHeight="1" outlineLevel="1" x14ac:dyDescent="0.25">
      <c r="A104" s="36"/>
      <c r="B104" s="37" t="s">
        <v>66</v>
      </c>
      <c r="C104" s="16" t="s">
        <v>24</v>
      </c>
      <c r="D104" s="38">
        <v>300</v>
      </c>
      <c r="E104" s="18"/>
      <c r="F104" s="25">
        <f t="shared" si="5"/>
        <v>0</v>
      </c>
      <c r="G104" s="6"/>
      <c r="H104" s="6"/>
      <c r="I104" s="6"/>
      <c r="J104" s="37"/>
      <c r="K104" s="22"/>
    </row>
    <row r="105" spans="1:11" ht="15" hidden="1" customHeight="1" outlineLevel="1" x14ac:dyDescent="0.25">
      <c r="A105" s="36"/>
      <c r="B105" s="37" t="s">
        <v>67</v>
      </c>
      <c r="C105" s="16" t="s">
        <v>24</v>
      </c>
      <c r="D105" s="38">
        <v>300</v>
      </c>
      <c r="E105" s="18"/>
      <c r="F105" s="25">
        <f t="shared" si="5"/>
        <v>0</v>
      </c>
      <c r="G105" s="6"/>
      <c r="H105" s="6"/>
      <c r="I105" s="6"/>
      <c r="J105" s="37"/>
      <c r="K105" s="22"/>
    </row>
    <row r="106" spans="1:11" ht="15" hidden="1" customHeight="1" outlineLevel="1" x14ac:dyDescent="0.25">
      <c r="A106" s="36"/>
      <c r="B106" s="37" t="s">
        <v>68</v>
      </c>
      <c r="C106" s="16" t="s">
        <v>24</v>
      </c>
      <c r="D106" s="38">
        <v>600</v>
      </c>
      <c r="E106" s="18"/>
      <c r="F106" s="25">
        <f t="shared" si="5"/>
        <v>0</v>
      </c>
      <c r="G106" s="6"/>
      <c r="H106" s="6"/>
      <c r="I106" s="6"/>
      <c r="J106" s="37"/>
      <c r="K106" s="22"/>
    </row>
    <row r="107" spans="1:11" ht="15" hidden="1" customHeight="1" outlineLevel="1" x14ac:dyDescent="0.25">
      <c r="A107" s="36"/>
      <c r="B107" s="37" t="s">
        <v>69</v>
      </c>
      <c r="C107" s="16" t="s">
        <v>24</v>
      </c>
      <c r="D107" s="38">
        <v>600</v>
      </c>
      <c r="E107" s="18"/>
      <c r="F107" s="25">
        <f t="shared" si="5"/>
        <v>0</v>
      </c>
      <c r="G107" s="6"/>
      <c r="H107" s="6"/>
      <c r="I107" s="6"/>
      <c r="J107" s="37"/>
      <c r="K107" s="22"/>
    </row>
    <row r="108" spans="1:11" ht="15" hidden="1" customHeight="1" outlineLevel="1" x14ac:dyDescent="0.25">
      <c r="A108" s="36"/>
      <c r="B108" s="30" t="s">
        <v>89</v>
      </c>
      <c r="C108" s="30"/>
      <c r="D108" s="31"/>
      <c r="E108" s="31"/>
      <c r="F108" s="31"/>
      <c r="G108" s="6"/>
      <c r="H108" s="6"/>
      <c r="I108" s="6"/>
      <c r="J108" s="37"/>
      <c r="K108" s="22"/>
    </row>
    <row r="109" spans="1:11" ht="15" hidden="1" customHeight="1" outlineLevel="1" x14ac:dyDescent="0.25">
      <c r="A109" s="36"/>
      <c r="B109" s="33" t="s">
        <v>22</v>
      </c>
      <c r="C109" s="33"/>
      <c r="D109" s="34"/>
      <c r="E109" s="35"/>
      <c r="F109" s="35"/>
      <c r="G109" s="6"/>
      <c r="H109" s="6"/>
      <c r="I109" s="6"/>
      <c r="J109" s="37"/>
      <c r="K109" s="22"/>
    </row>
    <row r="110" spans="1:11" ht="15" hidden="1" customHeight="1" outlineLevel="1" x14ac:dyDescent="0.25">
      <c r="A110" s="36"/>
      <c r="B110" s="37" t="s">
        <v>23</v>
      </c>
      <c r="C110" s="16" t="s">
        <v>24</v>
      </c>
      <c r="D110" s="38">
        <v>50</v>
      </c>
      <c r="E110" s="18"/>
      <c r="F110" s="25">
        <f t="shared" ref="F110:F116" si="6">E110*D110</f>
        <v>0</v>
      </c>
      <c r="G110" s="6"/>
      <c r="H110" s="6"/>
      <c r="I110" s="6"/>
      <c r="J110" s="37"/>
      <c r="K110" s="22"/>
    </row>
    <row r="111" spans="1:11" ht="15" hidden="1" customHeight="1" outlineLevel="1" x14ac:dyDescent="0.25">
      <c r="A111" s="36"/>
      <c r="B111" s="37" t="s">
        <v>25</v>
      </c>
      <c r="C111" s="16" t="s">
        <v>24</v>
      </c>
      <c r="D111" s="38">
        <v>50</v>
      </c>
      <c r="E111" s="18"/>
      <c r="F111" s="25">
        <f t="shared" si="6"/>
        <v>0</v>
      </c>
      <c r="G111" s="6"/>
      <c r="H111" s="6"/>
      <c r="I111" s="6"/>
      <c r="J111" s="37"/>
      <c r="K111" s="22"/>
    </row>
    <row r="112" spans="1:11" ht="15" hidden="1" customHeight="1" outlineLevel="1" x14ac:dyDescent="0.25">
      <c r="A112" s="36"/>
      <c r="B112" s="37" t="s">
        <v>26</v>
      </c>
      <c r="C112" s="16" t="s">
        <v>24</v>
      </c>
      <c r="D112" s="38">
        <v>100</v>
      </c>
      <c r="E112" s="18"/>
      <c r="F112" s="25">
        <f t="shared" si="6"/>
        <v>0</v>
      </c>
      <c r="G112" s="6"/>
      <c r="H112" s="6"/>
      <c r="I112" s="6"/>
      <c r="J112" s="37"/>
      <c r="K112" s="22"/>
    </row>
    <row r="113" spans="1:11" ht="15" hidden="1" customHeight="1" outlineLevel="1" x14ac:dyDescent="0.25">
      <c r="A113" s="36"/>
      <c r="B113" s="37" t="s">
        <v>27</v>
      </c>
      <c r="C113" s="16" t="s">
        <v>24</v>
      </c>
      <c r="D113" s="38">
        <v>50</v>
      </c>
      <c r="E113" s="18"/>
      <c r="F113" s="25">
        <f t="shared" si="6"/>
        <v>0</v>
      </c>
      <c r="G113" s="6"/>
      <c r="H113" s="6"/>
      <c r="I113" s="6"/>
      <c r="J113" s="37"/>
      <c r="K113" s="22"/>
    </row>
    <row r="114" spans="1:11" ht="15" hidden="1" customHeight="1" outlineLevel="1" x14ac:dyDescent="0.25">
      <c r="A114" s="36"/>
      <c r="B114" s="37" t="s">
        <v>28</v>
      </c>
      <c r="C114" s="16" t="s">
        <v>24</v>
      </c>
      <c r="D114" s="38">
        <v>100</v>
      </c>
      <c r="E114" s="18"/>
      <c r="F114" s="25">
        <f t="shared" si="6"/>
        <v>0</v>
      </c>
      <c r="G114" s="6"/>
      <c r="H114" s="6"/>
      <c r="I114" s="6"/>
      <c r="J114" s="37"/>
      <c r="K114" s="22"/>
    </row>
    <row r="115" spans="1:11" ht="15" hidden="1" customHeight="1" outlineLevel="1" x14ac:dyDescent="0.25">
      <c r="A115" s="36"/>
      <c r="B115" s="37" t="s">
        <v>29</v>
      </c>
      <c r="C115" s="16" t="s">
        <v>24</v>
      </c>
      <c r="D115" s="38">
        <v>50</v>
      </c>
      <c r="E115" s="18"/>
      <c r="F115" s="25">
        <f t="shared" si="6"/>
        <v>0</v>
      </c>
      <c r="G115" s="6"/>
      <c r="H115" s="6"/>
      <c r="I115" s="6"/>
      <c r="J115" s="37"/>
      <c r="K115" s="22"/>
    </row>
    <row r="116" spans="1:11" ht="15" hidden="1" customHeight="1" outlineLevel="1" x14ac:dyDescent="0.25">
      <c r="A116" s="36"/>
      <c r="B116" s="37" t="s">
        <v>30</v>
      </c>
      <c r="C116" s="16" t="s">
        <v>24</v>
      </c>
      <c r="D116" s="38">
        <v>100</v>
      </c>
      <c r="E116" s="18"/>
      <c r="F116" s="25">
        <f t="shared" si="6"/>
        <v>0</v>
      </c>
      <c r="G116" s="6"/>
      <c r="H116" s="6"/>
      <c r="I116" s="6"/>
      <c r="J116" s="37"/>
      <c r="K116" s="22"/>
    </row>
    <row r="117" spans="1:11" ht="15" hidden="1" customHeight="1" outlineLevel="1" x14ac:dyDescent="0.25">
      <c r="A117" s="36"/>
      <c r="B117" s="33" t="s">
        <v>31</v>
      </c>
      <c r="C117" s="33"/>
      <c r="D117" s="34"/>
      <c r="E117" s="35"/>
      <c r="F117" s="35"/>
      <c r="G117" s="6"/>
      <c r="H117" s="6"/>
      <c r="I117" s="6"/>
      <c r="J117" s="37"/>
      <c r="K117" s="22"/>
    </row>
    <row r="118" spans="1:11" ht="15" hidden="1" customHeight="1" outlineLevel="1" x14ac:dyDescent="0.25">
      <c r="A118" s="36"/>
      <c r="B118" s="37" t="s">
        <v>32</v>
      </c>
      <c r="C118" s="16" t="s">
        <v>24</v>
      </c>
      <c r="D118" s="38">
        <v>50</v>
      </c>
      <c r="E118" s="18"/>
      <c r="F118" s="25">
        <f t="shared" ref="F118:F121" si="7">E118*D118</f>
        <v>0</v>
      </c>
      <c r="G118" s="6"/>
      <c r="H118" s="6"/>
      <c r="I118" s="6"/>
      <c r="J118" s="37"/>
      <c r="K118" s="22"/>
    </row>
    <row r="119" spans="1:11" ht="15" hidden="1" customHeight="1" outlineLevel="1" x14ac:dyDescent="0.25">
      <c r="A119" s="36"/>
      <c r="B119" s="37" t="s">
        <v>33</v>
      </c>
      <c r="C119" s="16" t="s">
        <v>24</v>
      </c>
      <c r="D119" s="38">
        <v>50</v>
      </c>
      <c r="E119" s="18"/>
      <c r="F119" s="25">
        <f t="shared" si="7"/>
        <v>0</v>
      </c>
      <c r="G119" s="6"/>
      <c r="H119" s="6"/>
      <c r="I119" s="6"/>
      <c r="J119" s="37"/>
      <c r="K119" s="22"/>
    </row>
    <row r="120" spans="1:11" ht="15" hidden="1" customHeight="1" outlineLevel="1" x14ac:dyDescent="0.25">
      <c r="A120" s="36"/>
      <c r="B120" s="37" t="s">
        <v>34</v>
      </c>
      <c r="C120" s="16" t="s">
        <v>24</v>
      </c>
      <c r="D120" s="38">
        <v>100</v>
      </c>
      <c r="E120" s="18"/>
      <c r="F120" s="25">
        <f t="shared" si="7"/>
        <v>0</v>
      </c>
      <c r="G120" s="6"/>
      <c r="H120" s="6"/>
      <c r="I120" s="6"/>
      <c r="J120" s="37"/>
      <c r="K120" s="22"/>
    </row>
    <row r="121" spans="1:11" ht="15" hidden="1" customHeight="1" outlineLevel="1" x14ac:dyDescent="0.25">
      <c r="A121" s="36"/>
      <c r="B121" s="37" t="s">
        <v>35</v>
      </c>
      <c r="C121" s="16" t="s">
        <v>24</v>
      </c>
      <c r="D121" s="38">
        <v>100</v>
      </c>
      <c r="E121" s="18"/>
      <c r="F121" s="25">
        <f t="shared" si="7"/>
        <v>0</v>
      </c>
      <c r="G121" s="6"/>
      <c r="H121" s="6"/>
      <c r="I121" s="6"/>
      <c r="J121" s="37"/>
      <c r="K121" s="22"/>
    </row>
    <row r="122" spans="1:11" ht="15" hidden="1" customHeight="1" outlineLevel="1" x14ac:dyDescent="0.25">
      <c r="A122" s="36"/>
      <c r="B122" s="33" t="s">
        <v>36</v>
      </c>
      <c r="C122" s="33"/>
      <c r="D122" s="34"/>
      <c r="E122" s="35"/>
      <c r="F122" s="35"/>
      <c r="G122" s="6"/>
      <c r="H122" s="6"/>
      <c r="I122" s="6"/>
      <c r="J122" s="37"/>
      <c r="K122" s="22"/>
    </row>
    <row r="123" spans="1:11" ht="15" hidden="1" customHeight="1" outlineLevel="1" x14ac:dyDescent="0.25">
      <c r="A123" s="36"/>
      <c r="B123" s="37" t="s">
        <v>32</v>
      </c>
      <c r="C123" s="16" t="s">
        <v>24</v>
      </c>
      <c r="D123" s="38">
        <v>50</v>
      </c>
      <c r="E123" s="18"/>
      <c r="F123" s="25">
        <f t="shared" ref="F123:F126" si="8">E123*D123</f>
        <v>0</v>
      </c>
      <c r="G123" s="6"/>
      <c r="H123" s="6"/>
      <c r="I123" s="6"/>
      <c r="J123" s="37"/>
      <c r="K123" s="22"/>
    </row>
    <row r="124" spans="1:11" ht="15" hidden="1" customHeight="1" outlineLevel="1" x14ac:dyDescent="0.25">
      <c r="A124" s="36"/>
      <c r="B124" s="37" t="s">
        <v>33</v>
      </c>
      <c r="C124" s="16" t="s">
        <v>24</v>
      </c>
      <c r="D124" s="38">
        <v>50</v>
      </c>
      <c r="E124" s="18"/>
      <c r="F124" s="25">
        <f t="shared" si="8"/>
        <v>0</v>
      </c>
      <c r="G124" s="6"/>
      <c r="H124" s="6"/>
      <c r="I124" s="6"/>
      <c r="J124" s="37"/>
      <c r="K124" s="22"/>
    </row>
    <row r="125" spans="1:11" ht="15" hidden="1" customHeight="1" outlineLevel="1" x14ac:dyDescent="0.25">
      <c r="A125" s="36"/>
      <c r="B125" s="37" t="s">
        <v>34</v>
      </c>
      <c r="C125" s="16" t="s">
        <v>24</v>
      </c>
      <c r="D125" s="38">
        <v>100</v>
      </c>
      <c r="E125" s="18"/>
      <c r="F125" s="25">
        <f t="shared" si="8"/>
        <v>0</v>
      </c>
      <c r="G125" s="6"/>
      <c r="H125" s="6"/>
      <c r="I125" s="6"/>
      <c r="J125" s="37"/>
      <c r="K125" s="22"/>
    </row>
    <row r="126" spans="1:11" ht="15" hidden="1" customHeight="1" outlineLevel="1" x14ac:dyDescent="0.25">
      <c r="A126" s="36"/>
      <c r="B126" s="37" t="s">
        <v>35</v>
      </c>
      <c r="C126" s="16" t="s">
        <v>24</v>
      </c>
      <c r="D126" s="38">
        <v>100</v>
      </c>
      <c r="E126" s="18"/>
      <c r="F126" s="25">
        <f t="shared" si="8"/>
        <v>0</v>
      </c>
      <c r="G126" s="6"/>
      <c r="H126" s="6"/>
      <c r="I126" s="6"/>
      <c r="J126" s="37"/>
      <c r="K126" s="22"/>
    </row>
    <row r="127" spans="1:11" ht="15" hidden="1" customHeight="1" outlineLevel="1" x14ac:dyDescent="0.25">
      <c r="A127" s="36"/>
      <c r="B127" s="33" t="s">
        <v>90</v>
      </c>
      <c r="C127" s="33"/>
      <c r="D127" s="34"/>
      <c r="E127" s="35"/>
      <c r="F127" s="35"/>
      <c r="G127" s="6"/>
      <c r="H127" s="6"/>
      <c r="I127" s="6"/>
      <c r="J127" s="37"/>
      <c r="K127" s="22"/>
    </row>
    <row r="128" spans="1:11" ht="15" hidden="1" customHeight="1" outlineLevel="1" x14ac:dyDescent="0.25">
      <c r="A128" s="36"/>
      <c r="B128" s="37" t="s">
        <v>91</v>
      </c>
      <c r="C128" s="16" t="s">
        <v>24</v>
      </c>
      <c r="D128" s="38">
        <v>200</v>
      </c>
      <c r="E128" s="18"/>
      <c r="F128" s="25">
        <f t="shared" ref="F128:F131" si="9">E128*D128</f>
        <v>0</v>
      </c>
      <c r="G128" s="6"/>
      <c r="H128" s="6"/>
      <c r="I128" s="6"/>
      <c r="J128" s="37"/>
      <c r="K128" s="22"/>
    </row>
    <row r="129" spans="1:11" ht="15" hidden="1" customHeight="1" outlineLevel="1" x14ac:dyDescent="0.25">
      <c r="A129" s="36"/>
      <c r="B129" s="37" t="s">
        <v>92</v>
      </c>
      <c r="C129" s="16" t="s">
        <v>24</v>
      </c>
      <c r="D129" s="38">
        <v>400</v>
      </c>
      <c r="E129" s="18"/>
      <c r="F129" s="25">
        <f t="shared" si="9"/>
        <v>0</v>
      </c>
      <c r="G129" s="6"/>
      <c r="H129" s="6"/>
      <c r="I129" s="6"/>
      <c r="J129" s="37"/>
      <c r="K129" s="22"/>
    </row>
    <row r="130" spans="1:11" ht="15" hidden="1" customHeight="1" outlineLevel="1" x14ac:dyDescent="0.25">
      <c r="A130" s="36"/>
      <c r="B130" s="37" t="s">
        <v>93</v>
      </c>
      <c r="C130" s="16" t="s">
        <v>24</v>
      </c>
      <c r="D130" s="38">
        <v>300</v>
      </c>
      <c r="E130" s="18"/>
      <c r="F130" s="25">
        <f t="shared" si="9"/>
        <v>0</v>
      </c>
      <c r="G130" s="6"/>
      <c r="H130" s="6"/>
      <c r="I130" s="6"/>
      <c r="J130" s="37"/>
      <c r="K130" s="22"/>
    </row>
    <row r="131" spans="1:11" ht="15" hidden="1" customHeight="1" outlineLevel="1" x14ac:dyDescent="0.25">
      <c r="A131" s="36"/>
      <c r="B131" s="37" t="s">
        <v>94</v>
      </c>
      <c r="C131" s="16" t="s">
        <v>24</v>
      </c>
      <c r="D131" s="38">
        <v>600</v>
      </c>
      <c r="E131" s="18"/>
      <c r="F131" s="25">
        <f t="shared" si="9"/>
        <v>0</v>
      </c>
      <c r="G131" s="6"/>
      <c r="H131" s="6"/>
      <c r="I131" s="6"/>
      <c r="J131" s="37"/>
      <c r="K131" s="22"/>
    </row>
    <row r="132" spans="1:11" ht="15" hidden="1" customHeight="1" outlineLevel="1" x14ac:dyDescent="0.25">
      <c r="A132" s="36"/>
      <c r="B132" s="33" t="s">
        <v>95</v>
      </c>
      <c r="C132" s="33" t="s">
        <v>50</v>
      </c>
      <c r="D132" s="34" t="s">
        <v>50</v>
      </c>
      <c r="E132" s="35"/>
      <c r="F132" s="35"/>
      <c r="G132" s="6"/>
      <c r="H132" s="6"/>
      <c r="I132" s="6"/>
      <c r="J132" s="37"/>
      <c r="K132" s="22"/>
    </row>
    <row r="133" spans="1:11" ht="15" hidden="1" customHeight="1" outlineLevel="1" x14ac:dyDescent="0.25">
      <c r="A133" s="36"/>
      <c r="B133" s="37" t="s">
        <v>96</v>
      </c>
      <c r="C133" s="16" t="s">
        <v>24</v>
      </c>
      <c r="D133" s="38">
        <v>200</v>
      </c>
      <c r="E133" s="18"/>
      <c r="F133" s="25">
        <f t="shared" ref="F133:F136" si="10">E133*D133</f>
        <v>0</v>
      </c>
      <c r="G133" s="6"/>
      <c r="H133" s="6"/>
      <c r="I133" s="6"/>
      <c r="J133" s="37"/>
      <c r="K133" s="22"/>
    </row>
    <row r="134" spans="1:11" ht="15" hidden="1" customHeight="1" outlineLevel="1" x14ac:dyDescent="0.25">
      <c r="A134" s="36"/>
      <c r="B134" s="37" t="s">
        <v>97</v>
      </c>
      <c r="C134" s="16" t="s">
        <v>24</v>
      </c>
      <c r="D134" s="38">
        <v>400</v>
      </c>
      <c r="E134" s="18"/>
      <c r="F134" s="25">
        <f t="shared" si="10"/>
        <v>0</v>
      </c>
      <c r="G134" s="6"/>
      <c r="H134" s="6"/>
      <c r="I134" s="6"/>
      <c r="J134" s="37"/>
      <c r="K134" s="22"/>
    </row>
    <row r="135" spans="1:11" ht="15" hidden="1" customHeight="1" outlineLevel="1" x14ac:dyDescent="0.25">
      <c r="A135" s="36"/>
      <c r="B135" s="37" t="s">
        <v>98</v>
      </c>
      <c r="C135" s="16" t="s">
        <v>24</v>
      </c>
      <c r="D135" s="38">
        <v>100</v>
      </c>
      <c r="E135" s="18"/>
      <c r="F135" s="25">
        <f t="shared" si="10"/>
        <v>0</v>
      </c>
      <c r="G135" s="6"/>
      <c r="H135" s="6"/>
      <c r="I135" s="6"/>
      <c r="J135" s="37"/>
      <c r="K135" s="22"/>
    </row>
    <row r="136" spans="1:11" ht="15" hidden="1" customHeight="1" outlineLevel="1" x14ac:dyDescent="0.25">
      <c r="A136" s="36"/>
      <c r="B136" s="37" t="s">
        <v>99</v>
      </c>
      <c r="C136" s="16" t="s">
        <v>24</v>
      </c>
      <c r="D136" s="38">
        <v>200</v>
      </c>
      <c r="E136" s="18"/>
      <c r="F136" s="25">
        <f t="shared" si="10"/>
        <v>0</v>
      </c>
      <c r="G136" s="6"/>
      <c r="H136" s="6"/>
      <c r="I136" s="6"/>
      <c r="J136" s="37"/>
      <c r="K136" s="22"/>
    </row>
    <row r="137" spans="1:11" ht="15" hidden="1" customHeight="1" outlineLevel="1" x14ac:dyDescent="0.25">
      <c r="A137" s="36"/>
      <c r="B137" s="33" t="s">
        <v>100</v>
      </c>
      <c r="C137" s="33"/>
      <c r="D137" s="34"/>
      <c r="E137" s="35"/>
      <c r="F137" s="35"/>
      <c r="G137" s="6"/>
      <c r="H137" s="6"/>
      <c r="I137" s="6"/>
      <c r="J137" s="37"/>
      <c r="K137" s="22"/>
    </row>
    <row r="138" spans="1:11" ht="15" hidden="1" customHeight="1" outlineLevel="1" x14ac:dyDescent="0.25">
      <c r="A138" s="36"/>
      <c r="B138" s="37" t="s">
        <v>101</v>
      </c>
      <c r="C138" s="16" t="s">
        <v>24</v>
      </c>
      <c r="D138" s="38">
        <v>200</v>
      </c>
      <c r="E138" s="18"/>
      <c r="F138" s="25">
        <f t="shared" ref="F138:F141" si="11">E138*D138</f>
        <v>0</v>
      </c>
      <c r="G138" s="6"/>
      <c r="H138" s="6"/>
      <c r="I138" s="6"/>
      <c r="J138" s="37"/>
      <c r="K138" s="22"/>
    </row>
    <row r="139" spans="1:11" ht="15" hidden="1" customHeight="1" outlineLevel="1" x14ac:dyDescent="0.25">
      <c r="A139" s="36"/>
      <c r="B139" s="37" t="s">
        <v>102</v>
      </c>
      <c r="C139" s="16" t="s">
        <v>24</v>
      </c>
      <c r="D139" s="38">
        <v>400</v>
      </c>
      <c r="E139" s="18"/>
      <c r="F139" s="25">
        <f t="shared" si="11"/>
        <v>0</v>
      </c>
      <c r="G139" s="6"/>
      <c r="H139" s="6"/>
      <c r="I139" s="6"/>
      <c r="J139" s="37"/>
      <c r="K139" s="22"/>
    </row>
    <row r="140" spans="1:11" ht="15" hidden="1" customHeight="1" outlineLevel="1" x14ac:dyDescent="0.25">
      <c r="A140" s="36"/>
      <c r="B140" s="37" t="s">
        <v>103</v>
      </c>
      <c r="C140" s="16" t="s">
        <v>24</v>
      </c>
      <c r="D140" s="38">
        <v>200</v>
      </c>
      <c r="E140" s="18"/>
      <c r="F140" s="25">
        <f t="shared" si="11"/>
        <v>0</v>
      </c>
      <c r="G140" s="6"/>
      <c r="H140" s="6"/>
      <c r="I140" s="6"/>
      <c r="J140" s="37"/>
      <c r="K140" s="22"/>
    </row>
    <row r="141" spans="1:11" ht="15" hidden="1" customHeight="1" outlineLevel="1" x14ac:dyDescent="0.25">
      <c r="A141" s="36"/>
      <c r="B141" s="37" t="s">
        <v>104</v>
      </c>
      <c r="C141" s="16" t="s">
        <v>24</v>
      </c>
      <c r="D141" s="38">
        <v>400</v>
      </c>
      <c r="E141" s="18"/>
      <c r="F141" s="25">
        <f t="shared" si="11"/>
        <v>0</v>
      </c>
      <c r="G141" s="6"/>
      <c r="H141" s="6"/>
      <c r="I141" s="6"/>
      <c r="J141" s="37"/>
      <c r="K141" s="22"/>
    </row>
    <row r="142" spans="1:11" ht="15" hidden="1" customHeight="1" outlineLevel="1" x14ac:dyDescent="0.25">
      <c r="A142" s="36"/>
      <c r="B142" s="33" t="s">
        <v>105</v>
      </c>
      <c r="C142" s="33"/>
      <c r="D142" s="34"/>
      <c r="E142" s="35"/>
      <c r="F142" s="35"/>
      <c r="G142" s="6"/>
      <c r="H142" s="6"/>
      <c r="I142" s="6"/>
      <c r="J142" s="37"/>
      <c r="K142" s="22"/>
    </row>
    <row r="143" spans="1:11" ht="15" hidden="1" customHeight="1" outlineLevel="1" x14ac:dyDescent="0.25">
      <c r="A143" s="36"/>
      <c r="B143" s="37" t="s">
        <v>106</v>
      </c>
      <c r="C143" s="16" t="s">
        <v>24</v>
      </c>
      <c r="D143" s="38">
        <v>200</v>
      </c>
      <c r="E143" s="18"/>
      <c r="F143" s="25">
        <f t="shared" ref="F143:F146" si="12">E143*D143</f>
        <v>0</v>
      </c>
      <c r="G143" s="6"/>
      <c r="H143" s="6"/>
      <c r="I143" s="6"/>
      <c r="J143" s="37"/>
      <c r="K143" s="22"/>
    </row>
    <row r="144" spans="1:11" ht="15" hidden="1" customHeight="1" outlineLevel="1" x14ac:dyDescent="0.25">
      <c r="A144" s="36"/>
      <c r="B144" s="37" t="s">
        <v>107</v>
      </c>
      <c r="C144" s="16" t="s">
        <v>24</v>
      </c>
      <c r="D144" s="38">
        <v>400</v>
      </c>
      <c r="E144" s="18"/>
      <c r="F144" s="25">
        <f t="shared" si="12"/>
        <v>0</v>
      </c>
      <c r="G144" s="6"/>
      <c r="H144" s="6"/>
      <c r="I144" s="6"/>
      <c r="J144" s="37"/>
      <c r="K144" s="22"/>
    </row>
    <row r="145" spans="1:11" ht="15" hidden="1" customHeight="1" outlineLevel="1" x14ac:dyDescent="0.25">
      <c r="A145" s="36"/>
      <c r="B145" s="37" t="s">
        <v>108</v>
      </c>
      <c r="C145" s="16" t="s">
        <v>24</v>
      </c>
      <c r="D145" s="38">
        <v>200</v>
      </c>
      <c r="E145" s="18"/>
      <c r="F145" s="25">
        <f t="shared" si="12"/>
        <v>0</v>
      </c>
      <c r="G145" s="6"/>
      <c r="H145" s="6"/>
      <c r="I145" s="6"/>
      <c r="J145" s="37"/>
      <c r="K145" s="22"/>
    </row>
    <row r="146" spans="1:11" ht="15" hidden="1" customHeight="1" outlineLevel="1" x14ac:dyDescent="0.25">
      <c r="A146" s="36"/>
      <c r="B146" s="37" t="s">
        <v>109</v>
      </c>
      <c r="C146" s="16" t="s">
        <v>24</v>
      </c>
      <c r="D146" s="38">
        <v>400</v>
      </c>
      <c r="E146" s="18"/>
      <c r="F146" s="25">
        <f t="shared" si="12"/>
        <v>0</v>
      </c>
      <c r="G146" s="6"/>
      <c r="H146" s="6"/>
      <c r="I146" s="6"/>
      <c r="J146" s="37"/>
      <c r="K146" s="22"/>
    </row>
    <row r="147" spans="1:11" ht="15" hidden="1" customHeight="1" outlineLevel="1" x14ac:dyDescent="0.25">
      <c r="A147" s="36"/>
      <c r="B147" s="33" t="s">
        <v>86</v>
      </c>
      <c r="C147" s="33"/>
      <c r="D147" s="34"/>
      <c r="E147" s="35"/>
      <c r="F147" s="35"/>
      <c r="G147" s="6"/>
      <c r="H147" s="6"/>
      <c r="I147" s="6"/>
      <c r="J147" s="37"/>
      <c r="K147" s="22"/>
    </row>
    <row r="148" spans="1:11" ht="15" hidden="1" customHeight="1" outlineLevel="1" x14ac:dyDescent="0.25">
      <c r="A148" s="36"/>
      <c r="B148" s="37" t="s">
        <v>56</v>
      </c>
      <c r="C148" s="16" t="s">
        <v>24</v>
      </c>
      <c r="D148" s="38">
        <v>300</v>
      </c>
      <c r="E148" s="18"/>
      <c r="F148" s="25">
        <f t="shared" ref="F148:F151" si="13">E148*D148</f>
        <v>0</v>
      </c>
      <c r="G148" s="6"/>
      <c r="H148" s="6"/>
      <c r="I148" s="6"/>
      <c r="J148" s="37"/>
      <c r="K148" s="22"/>
    </row>
    <row r="149" spans="1:11" ht="15" hidden="1" customHeight="1" outlineLevel="1" x14ac:dyDescent="0.25">
      <c r="A149" s="36"/>
      <c r="B149" s="37" t="s">
        <v>57</v>
      </c>
      <c r="C149" s="16" t="s">
        <v>24</v>
      </c>
      <c r="D149" s="38">
        <v>300</v>
      </c>
      <c r="E149" s="18"/>
      <c r="F149" s="25">
        <f t="shared" si="13"/>
        <v>0</v>
      </c>
      <c r="G149" s="6"/>
      <c r="H149" s="6"/>
      <c r="I149" s="6"/>
      <c r="J149" s="37"/>
      <c r="K149" s="22"/>
    </row>
    <row r="150" spans="1:11" ht="15" hidden="1" customHeight="1" outlineLevel="1" x14ac:dyDescent="0.25">
      <c r="A150" s="36"/>
      <c r="B150" s="37" t="s">
        <v>58</v>
      </c>
      <c r="C150" s="16" t="s">
        <v>24</v>
      </c>
      <c r="D150" s="38">
        <v>600</v>
      </c>
      <c r="E150" s="18"/>
      <c r="F150" s="25">
        <f t="shared" si="13"/>
        <v>0</v>
      </c>
      <c r="G150" s="6"/>
      <c r="H150" s="6"/>
      <c r="I150" s="6"/>
      <c r="J150" s="37"/>
      <c r="K150" s="22"/>
    </row>
    <row r="151" spans="1:11" ht="15" hidden="1" customHeight="1" outlineLevel="1" x14ac:dyDescent="0.25">
      <c r="A151" s="36"/>
      <c r="B151" s="37" t="s">
        <v>59</v>
      </c>
      <c r="C151" s="16" t="s">
        <v>24</v>
      </c>
      <c r="D151" s="38">
        <v>600</v>
      </c>
      <c r="E151" s="18"/>
      <c r="F151" s="25">
        <f t="shared" si="13"/>
        <v>0</v>
      </c>
      <c r="G151" s="6"/>
      <c r="H151" s="6"/>
      <c r="I151" s="6"/>
      <c r="J151" s="37"/>
      <c r="K151" s="22"/>
    </row>
    <row r="152" spans="1:11" ht="15" hidden="1" customHeight="1" outlineLevel="1" x14ac:dyDescent="0.25">
      <c r="A152" s="36"/>
      <c r="B152" s="33" t="s">
        <v>87</v>
      </c>
      <c r="C152" s="33"/>
      <c r="D152" s="34"/>
      <c r="E152" s="35"/>
      <c r="F152" s="35"/>
      <c r="G152" s="6"/>
      <c r="H152" s="6"/>
      <c r="I152" s="6"/>
      <c r="J152" s="37"/>
      <c r="K152" s="22"/>
    </row>
    <row r="153" spans="1:11" ht="15" hidden="1" customHeight="1" outlineLevel="1" x14ac:dyDescent="0.25">
      <c r="A153" s="36"/>
      <c r="B153" s="37" t="s">
        <v>61</v>
      </c>
      <c r="C153" s="16" t="s">
        <v>24</v>
      </c>
      <c r="D153" s="38">
        <v>300</v>
      </c>
      <c r="E153" s="18"/>
      <c r="F153" s="25">
        <f t="shared" ref="F153:F156" si="14">E153*D153</f>
        <v>0</v>
      </c>
      <c r="G153" s="6"/>
      <c r="H153" s="6"/>
      <c r="I153" s="6"/>
      <c r="J153" s="37"/>
      <c r="K153" s="22"/>
    </row>
    <row r="154" spans="1:11" ht="15" hidden="1" customHeight="1" outlineLevel="1" x14ac:dyDescent="0.25">
      <c r="A154" s="36"/>
      <c r="B154" s="37" t="s">
        <v>62</v>
      </c>
      <c r="C154" s="16" t="s">
        <v>24</v>
      </c>
      <c r="D154" s="38">
        <v>300</v>
      </c>
      <c r="E154" s="18"/>
      <c r="F154" s="25">
        <f t="shared" si="14"/>
        <v>0</v>
      </c>
      <c r="G154" s="6"/>
      <c r="H154" s="6"/>
      <c r="I154" s="6"/>
      <c r="J154" s="37"/>
      <c r="K154" s="22"/>
    </row>
    <row r="155" spans="1:11" ht="15" hidden="1" customHeight="1" outlineLevel="1" x14ac:dyDescent="0.25">
      <c r="A155" s="36"/>
      <c r="B155" s="37" t="s">
        <v>63</v>
      </c>
      <c r="C155" s="16" t="s">
        <v>24</v>
      </c>
      <c r="D155" s="38">
        <v>600</v>
      </c>
      <c r="E155" s="18"/>
      <c r="F155" s="25">
        <f t="shared" si="14"/>
        <v>0</v>
      </c>
      <c r="G155" s="6"/>
      <c r="H155" s="6"/>
      <c r="I155" s="6"/>
      <c r="J155" s="37"/>
      <c r="K155" s="22"/>
    </row>
    <row r="156" spans="1:11" ht="15" hidden="1" customHeight="1" outlineLevel="1" x14ac:dyDescent="0.25">
      <c r="A156" s="36"/>
      <c r="B156" s="37" t="s">
        <v>64</v>
      </c>
      <c r="C156" s="16" t="s">
        <v>24</v>
      </c>
      <c r="D156" s="38">
        <v>600</v>
      </c>
      <c r="E156" s="18"/>
      <c r="F156" s="25">
        <f t="shared" si="14"/>
        <v>0</v>
      </c>
      <c r="G156" s="6"/>
      <c r="H156" s="6"/>
      <c r="I156" s="6"/>
      <c r="J156" s="37"/>
      <c r="K156" s="22"/>
    </row>
    <row r="157" spans="1:11" ht="15" hidden="1" customHeight="1" outlineLevel="1" x14ac:dyDescent="0.25">
      <c r="A157" s="36"/>
      <c r="B157" s="33" t="s">
        <v>65</v>
      </c>
      <c r="C157" s="33"/>
      <c r="D157" s="34"/>
      <c r="E157" s="35"/>
      <c r="F157" s="35"/>
      <c r="G157" s="6"/>
      <c r="H157" s="6"/>
      <c r="I157" s="6"/>
      <c r="J157" s="37"/>
      <c r="K157" s="22"/>
    </row>
    <row r="158" spans="1:11" ht="15" hidden="1" customHeight="1" outlineLevel="1" x14ac:dyDescent="0.25">
      <c r="A158" s="36"/>
      <c r="B158" s="37" t="s">
        <v>66</v>
      </c>
      <c r="C158" s="16" t="s">
        <v>24</v>
      </c>
      <c r="D158" s="38">
        <v>300</v>
      </c>
      <c r="E158" s="18"/>
      <c r="F158" s="25">
        <f t="shared" ref="F158:F160" si="15">E158*D158</f>
        <v>0</v>
      </c>
      <c r="G158" s="6"/>
      <c r="H158" s="6"/>
      <c r="I158" s="6"/>
      <c r="J158" s="37"/>
      <c r="K158" s="22"/>
    </row>
    <row r="159" spans="1:11" ht="15" hidden="1" customHeight="1" outlineLevel="1" x14ac:dyDescent="0.25">
      <c r="A159" s="36"/>
      <c r="B159" s="37" t="s">
        <v>67</v>
      </c>
      <c r="C159" s="16" t="s">
        <v>24</v>
      </c>
      <c r="D159" s="38">
        <v>300</v>
      </c>
      <c r="E159" s="18"/>
      <c r="F159" s="25">
        <f t="shared" si="15"/>
        <v>0</v>
      </c>
      <c r="G159" s="6"/>
      <c r="H159" s="6"/>
      <c r="I159" s="6"/>
      <c r="J159" s="37"/>
      <c r="K159" s="22"/>
    </row>
    <row r="160" spans="1:11" ht="15" hidden="1" customHeight="1" outlineLevel="1" x14ac:dyDescent="0.25">
      <c r="A160" s="36"/>
      <c r="B160" s="37" t="s">
        <v>68</v>
      </c>
      <c r="C160" s="16" t="s">
        <v>24</v>
      </c>
      <c r="D160" s="38">
        <v>600</v>
      </c>
      <c r="E160" s="18"/>
      <c r="F160" s="25">
        <f t="shared" si="15"/>
        <v>0</v>
      </c>
      <c r="G160" s="6"/>
      <c r="H160" s="6"/>
      <c r="I160" s="6"/>
      <c r="J160" s="37"/>
      <c r="K160" s="22"/>
    </row>
    <row r="161" spans="1:11" ht="15" hidden="1" customHeight="1" outlineLevel="1" x14ac:dyDescent="0.25">
      <c r="A161" s="36"/>
      <c r="B161" s="15" t="s">
        <v>110</v>
      </c>
      <c r="C161" s="40"/>
      <c r="D161" s="32"/>
      <c r="E161" s="32"/>
      <c r="F161" s="32"/>
      <c r="G161" s="6"/>
      <c r="H161" s="6"/>
      <c r="I161" s="6"/>
      <c r="J161" s="37"/>
      <c r="K161" s="22"/>
    </row>
    <row r="162" spans="1:11" ht="15" hidden="1" customHeight="1" outlineLevel="1" x14ac:dyDescent="0.25">
      <c r="A162" s="36"/>
      <c r="B162" s="33" t="s">
        <v>111</v>
      </c>
      <c r="C162" s="33" t="s">
        <v>50</v>
      </c>
      <c r="D162" s="34" t="s">
        <v>50</v>
      </c>
      <c r="E162" s="35"/>
      <c r="F162" s="35"/>
      <c r="G162" s="6"/>
      <c r="H162" s="6"/>
      <c r="I162" s="6"/>
      <c r="J162" s="37"/>
      <c r="K162" s="22"/>
    </row>
    <row r="163" spans="1:11" ht="15" hidden="1" customHeight="1" outlineLevel="1" x14ac:dyDescent="0.25">
      <c r="A163" s="36"/>
      <c r="B163" s="37" t="s">
        <v>23</v>
      </c>
      <c r="C163" s="16" t="s">
        <v>24</v>
      </c>
      <c r="D163" s="38">
        <v>50</v>
      </c>
      <c r="E163" s="18"/>
      <c r="F163" s="25">
        <f t="shared" ref="F163:F226" si="16">E163*D163</f>
        <v>0</v>
      </c>
      <c r="G163" s="6"/>
      <c r="H163" s="6"/>
      <c r="I163" s="6"/>
      <c r="J163" s="37"/>
      <c r="K163" s="22"/>
    </row>
    <row r="164" spans="1:11" ht="15" hidden="1" customHeight="1" outlineLevel="1" x14ac:dyDescent="0.25">
      <c r="A164" s="36"/>
      <c r="B164" s="37" t="s">
        <v>25</v>
      </c>
      <c r="C164" s="16" t="s">
        <v>24</v>
      </c>
      <c r="D164" s="38">
        <v>50</v>
      </c>
      <c r="E164" s="18"/>
      <c r="F164" s="25">
        <f t="shared" si="16"/>
        <v>0</v>
      </c>
      <c r="G164" s="6"/>
      <c r="H164" s="6"/>
      <c r="I164" s="6"/>
      <c r="J164" s="37"/>
      <c r="K164" s="22"/>
    </row>
    <row r="165" spans="1:11" ht="15" hidden="1" customHeight="1" outlineLevel="1" x14ac:dyDescent="0.25">
      <c r="A165" s="36"/>
      <c r="B165" s="37" t="s">
        <v>26</v>
      </c>
      <c r="C165" s="16" t="s">
        <v>24</v>
      </c>
      <c r="D165" s="38">
        <v>100</v>
      </c>
      <c r="E165" s="18"/>
      <c r="F165" s="25">
        <f t="shared" si="16"/>
        <v>0</v>
      </c>
      <c r="G165" s="6"/>
      <c r="H165" s="6"/>
      <c r="I165" s="6"/>
      <c r="J165" s="37"/>
      <c r="K165" s="22"/>
    </row>
    <row r="166" spans="1:11" ht="15" hidden="1" customHeight="1" outlineLevel="1" x14ac:dyDescent="0.25">
      <c r="A166" s="36"/>
      <c r="B166" s="37" t="s">
        <v>27</v>
      </c>
      <c r="C166" s="16" t="s">
        <v>24</v>
      </c>
      <c r="D166" s="38">
        <v>50</v>
      </c>
      <c r="E166" s="18"/>
      <c r="F166" s="25">
        <f t="shared" si="16"/>
        <v>0</v>
      </c>
      <c r="G166" s="6"/>
      <c r="H166" s="6"/>
      <c r="I166" s="6"/>
      <c r="J166" s="37"/>
      <c r="K166" s="22"/>
    </row>
    <row r="167" spans="1:11" ht="15" hidden="1" customHeight="1" outlineLevel="1" x14ac:dyDescent="0.25">
      <c r="A167" s="36"/>
      <c r="B167" s="37" t="s">
        <v>28</v>
      </c>
      <c r="C167" s="16" t="s">
        <v>24</v>
      </c>
      <c r="D167" s="38">
        <v>100</v>
      </c>
      <c r="E167" s="18"/>
      <c r="F167" s="25">
        <f t="shared" si="16"/>
        <v>0</v>
      </c>
      <c r="G167" s="6"/>
      <c r="H167" s="6"/>
      <c r="I167" s="6"/>
      <c r="J167" s="37"/>
      <c r="K167" s="22"/>
    </row>
    <row r="168" spans="1:11" ht="15" hidden="1" customHeight="1" outlineLevel="1" x14ac:dyDescent="0.25">
      <c r="A168" s="36"/>
      <c r="B168" s="37" t="s">
        <v>29</v>
      </c>
      <c r="C168" s="16" t="s">
        <v>24</v>
      </c>
      <c r="D168" s="38">
        <v>50</v>
      </c>
      <c r="E168" s="18"/>
      <c r="F168" s="25">
        <f t="shared" si="16"/>
        <v>0</v>
      </c>
      <c r="G168" s="6"/>
      <c r="H168" s="6"/>
      <c r="I168" s="6"/>
      <c r="J168" s="37"/>
      <c r="K168" s="22"/>
    </row>
    <row r="169" spans="1:11" ht="15" hidden="1" customHeight="1" outlineLevel="1" x14ac:dyDescent="0.25">
      <c r="A169" s="36"/>
      <c r="B169" s="37" t="s">
        <v>30</v>
      </c>
      <c r="C169" s="16" t="s">
        <v>24</v>
      </c>
      <c r="D169" s="38">
        <v>100</v>
      </c>
      <c r="E169" s="18"/>
      <c r="F169" s="25">
        <f t="shared" si="16"/>
        <v>0</v>
      </c>
      <c r="G169" s="6"/>
      <c r="H169" s="6"/>
      <c r="I169" s="6"/>
      <c r="J169" s="37"/>
      <c r="K169" s="22"/>
    </row>
    <row r="170" spans="1:11" ht="15" hidden="1" customHeight="1" outlineLevel="1" x14ac:dyDescent="0.25">
      <c r="A170" s="36"/>
      <c r="B170" s="33" t="s">
        <v>31</v>
      </c>
      <c r="C170" s="33"/>
      <c r="D170" s="34"/>
      <c r="E170" s="35"/>
      <c r="F170" s="35"/>
      <c r="G170" s="6"/>
      <c r="H170" s="6"/>
      <c r="I170" s="6"/>
      <c r="J170" s="37"/>
      <c r="K170" s="22"/>
    </row>
    <row r="171" spans="1:11" ht="15" hidden="1" customHeight="1" outlineLevel="1" x14ac:dyDescent="0.25">
      <c r="A171" s="36"/>
      <c r="B171" s="37" t="s">
        <v>32</v>
      </c>
      <c r="C171" s="16" t="s">
        <v>24</v>
      </c>
      <c r="D171" s="38">
        <v>50</v>
      </c>
      <c r="E171" s="18"/>
      <c r="F171" s="25">
        <f t="shared" si="16"/>
        <v>0</v>
      </c>
      <c r="G171" s="6"/>
      <c r="H171" s="6"/>
      <c r="I171" s="6"/>
      <c r="J171" s="37"/>
      <c r="K171" s="22"/>
    </row>
    <row r="172" spans="1:11" ht="15" hidden="1" customHeight="1" outlineLevel="1" x14ac:dyDescent="0.25">
      <c r="A172" s="36"/>
      <c r="B172" s="37" t="s">
        <v>33</v>
      </c>
      <c r="C172" s="16" t="s">
        <v>24</v>
      </c>
      <c r="D172" s="38">
        <v>50</v>
      </c>
      <c r="E172" s="18"/>
      <c r="F172" s="25">
        <f t="shared" si="16"/>
        <v>0</v>
      </c>
      <c r="G172" s="6"/>
      <c r="H172" s="6"/>
      <c r="I172" s="6"/>
      <c r="J172" s="37"/>
      <c r="K172" s="22"/>
    </row>
    <row r="173" spans="1:11" ht="15" hidden="1" customHeight="1" outlineLevel="1" x14ac:dyDescent="0.25">
      <c r="A173" s="36"/>
      <c r="B173" s="37" t="s">
        <v>34</v>
      </c>
      <c r="C173" s="16" t="s">
        <v>24</v>
      </c>
      <c r="D173" s="38">
        <v>100</v>
      </c>
      <c r="E173" s="18"/>
      <c r="F173" s="25">
        <f t="shared" si="16"/>
        <v>0</v>
      </c>
      <c r="G173" s="6"/>
      <c r="H173" s="6"/>
      <c r="I173" s="6"/>
      <c r="J173" s="37"/>
      <c r="K173" s="22"/>
    </row>
    <row r="174" spans="1:11" ht="15" hidden="1" customHeight="1" outlineLevel="1" x14ac:dyDescent="0.25">
      <c r="A174" s="36"/>
      <c r="B174" s="37" t="s">
        <v>35</v>
      </c>
      <c r="C174" s="16" t="s">
        <v>24</v>
      </c>
      <c r="D174" s="38">
        <v>100</v>
      </c>
      <c r="E174" s="18"/>
      <c r="F174" s="25">
        <f t="shared" si="16"/>
        <v>0</v>
      </c>
      <c r="G174" s="6"/>
      <c r="H174" s="6"/>
      <c r="I174" s="6"/>
      <c r="J174" s="37"/>
      <c r="K174" s="22"/>
    </row>
    <row r="175" spans="1:11" ht="15" hidden="1" customHeight="1" outlineLevel="1" x14ac:dyDescent="0.25">
      <c r="A175" s="36"/>
      <c r="B175" s="33" t="s">
        <v>36</v>
      </c>
      <c r="C175" s="33"/>
      <c r="D175" s="34"/>
      <c r="E175" s="35"/>
      <c r="F175" s="35"/>
      <c r="G175" s="6"/>
      <c r="H175" s="6"/>
      <c r="I175" s="6"/>
      <c r="J175" s="37"/>
      <c r="K175" s="22"/>
    </row>
    <row r="176" spans="1:11" ht="15" hidden="1" customHeight="1" outlineLevel="1" x14ac:dyDescent="0.25">
      <c r="A176" s="36"/>
      <c r="B176" s="37" t="s">
        <v>32</v>
      </c>
      <c r="C176" s="16" t="s">
        <v>24</v>
      </c>
      <c r="D176" s="38">
        <v>50</v>
      </c>
      <c r="E176" s="18"/>
      <c r="F176" s="25">
        <f t="shared" si="16"/>
        <v>0</v>
      </c>
      <c r="G176" s="6"/>
      <c r="H176" s="6"/>
      <c r="I176" s="6"/>
      <c r="J176" s="37"/>
      <c r="K176" s="22"/>
    </row>
    <row r="177" spans="1:11" ht="15" hidden="1" customHeight="1" outlineLevel="1" x14ac:dyDescent="0.25">
      <c r="A177" s="36"/>
      <c r="B177" s="37" t="s">
        <v>33</v>
      </c>
      <c r="C177" s="16" t="s">
        <v>24</v>
      </c>
      <c r="D177" s="38">
        <v>50</v>
      </c>
      <c r="E177" s="18"/>
      <c r="F177" s="25">
        <f t="shared" si="16"/>
        <v>0</v>
      </c>
      <c r="G177" s="6"/>
      <c r="H177" s="6"/>
      <c r="I177" s="6"/>
      <c r="J177" s="37"/>
      <c r="K177" s="22"/>
    </row>
    <row r="178" spans="1:11" ht="15" hidden="1" customHeight="1" outlineLevel="1" x14ac:dyDescent="0.25">
      <c r="A178" s="36"/>
      <c r="B178" s="37" t="s">
        <v>34</v>
      </c>
      <c r="C178" s="16" t="s">
        <v>24</v>
      </c>
      <c r="D178" s="38">
        <v>100</v>
      </c>
      <c r="E178" s="18"/>
      <c r="F178" s="25">
        <f t="shared" si="16"/>
        <v>0</v>
      </c>
      <c r="G178" s="6"/>
      <c r="H178" s="6"/>
      <c r="I178" s="6"/>
      <c r="J178" s="37"/>
      <c r="K178" s="22"/>
    </row>
    <row r="179" spans="1:11" ht="15" hidden="1" customHeight="1" outlineLevel="1" x14ac:dyDescent="0.25">
      <c r="A179" s="36"/>
      <c r="B179" s="37" t="s">
        <v>35</v>
      </c>
      <c r="C179" s="16" t="s">
        <v>24</v>
      </c>
      <c r="D179" s="38">
        <v>100</v>
      </c>
      <c r="E179" s="18"/>
      <c r="F179" s="25">
        <f t="shared" si="16"/>
        <v>0</v>
      </c>
      <c r="G179" s="6"/>
      <c r="H179" s="6"/>
      <c r="I179" s="6"/>
      <c r="J179" s="37"/>
      <c r="K179" s="22"/>
    </row>
    <row r="180" spans="1:11" ht="15" hidden="1" customHeight="1" outlineLevel="1" x14ac:dyDescent="0.25">
      <c r="A180" s="36"/>
      <c r="B180" s="33" t="s">
        <v>112</v>
      </c>
      <c r="C180" s="33"/>
      <c r="D180" s="34"/>
      <c r="E180" s="35"/>
      <c r="F180" s="35"/>
      <c r="G180" s="6"/>
      <c r="H180" s="6"/>
      <c r="I180" s="6"/>
      <c r="J180" s="37"/>
      <c r="K180" s="22"/>
    </row>
    <row r="181" spans="1:11" ht="15" hidden="1" customHeight="1" outlineLevel="1" x14ac:dyDescent="0.25">
      <c r="A181" s="36"/>
      <c r="B181" s="37" t="s">
        <v>38</v>
      </c>
      <c r="C181" s="16" t="s">
        <v>24</v>
      </c>
      <c r="D181" s="38">
        <v>200</v>
      </c>
      <c r="E181" s="18"/>
      <c r="F181" s="25">
        <f t="shared" si="16"/>
        <v>0</v>
      </c>
      <c r="G181" s="6"/>
      <c r="H181" s="6"/>
      <c r="I181" s="6"/>
      <c r="J181" s="37"/>
      <c r="K181" s="22"/>
    </row>
    <row r="182" spans="1:11" ht="15" hidden="1" customHeight="1" outlineLevel="1" x14ac:dyDescent="0.25">
      <c r="A182" s="36"/>
      <c r="B182" s="37" t="s">
        <v>39</v>
      </c>
      <c r="C182" s="16" t="s">
        <v>24</v>
      </c>
      <c r="D182" s="38">
        <v>400</v>
      </c>
      <c r="E182" s="18"/>
      <c r="F182" s="25">
        <f t="shared" si="16"/>
        <v>0</v>
      </c>
      <c r="G182" s="6"/>
      <c r="H182" s="6"/>
      <c r="I182" s="6"/>
      <c r="J182" s="37"/>
      <c r="K182" s="22"/>
    </row>
    <row r="183" spans="1:11" ht="15" hidden="1" customHeight="1" outlineLevel="1" x14ac:dyDescent="0.25">
      <c r="A183" s="36"/>
      <c r="B183" s="37" t="s">
        <v>40</v>
      </c>
      <c r="C183" s="16" t="s">
        <v>24</v>
      </c>
      <c r="D183" s="38">
        <v>300</v>
      </c>
      <c r="E183" s="18"/>
      <c r="F183" s="25">
        <f t="shared" si="16"/>
        <v>0</v>
      </c>
      <c r="G183" s="6"/>
      <c r="H183" s="6"/>
      <c r="I183" s="6"/>
      <c r="J183" s="37"/>
      <c r="K183" s="22"/>
    </row>
    <row r="184" spans="1:11" ht="15" hidden="1" customHeight="1" outlineLevel="1" x14ac:dyDescent="0.25">
      <c r="A184" s="36"/>
      <c r="B184" s="37" t="s">
        <v>41</v>
      </c>
      <c r="C184" s="16" t="s">
        <v>24</v>
      </c>
      <c r="D184" s="38">
        <v>600</v>
      </c>
      <c r="E184" s="18"/>
      <c r="F184" s="25">
        <f t="shared" si="16"/>
        <v>0</v>
      </c>
      <c r="G184" s="6"/>
      <c r="H184" s="6"/>
      <c r="I184" s="6"/>
      <c r="J184" s="37"/>
      <c r="K184" s="22"/>
    </row>
    <row r="185" spans="1:11" ht="15" hidden="1" customHeight="1" outlineLevel="1" x14ac:dyDescent="0.25">
      <c r="A185" s="36"/>
      <c r="B185" s="41" t="s">
        <v>113</v>
      </c>
      <c r="C185" s="41"/>
      <c r="D185" s="42"/>
      <c r="E185" s="18"/>
      <c r="F185" s="43"/>
      <c r="G185" s="6"/>
      <c r="H185" s="6"/>
      <c r="I185" s="6"/>
      <c r="J185" s="37"/>
      <c r="K185" s="22"/>
    </row>
    <row r="186" spans="1:11" ht="15" hidden="1" customHeight="1" outlineLevel="1" x14ac:dyDescent="0.25">
      <c r="A186" s="36"/>
      <c r="B186" s="37" t="s">
        <v>114</v>
      </c>
      <c r="C186" s="16" t="s">
        <v>24</v>
      </c>
      <c r="D186" s="39">
        <v>200</v>
      </c>
      <c r="E186" s="18"/>
      <c r="F186" s="25">
        <f t="shared" ref="F186" si="17">E186*D186</f>
        <v>0</v>
      </c>
      <c r="G186" s="6"/>
      <c r="H186" s="6"/>
      <c r="I186" s="6"/>
      <c r="J186" s="37"/>
      <c r="K186" s="22"/>
    </row>
    <row r="187" spans="1:11" ht="15" hidden="1" customHeight="1" outlineLevel="1" x14ac:dyDescent="0.25">
      <c r="A187" s="36"/>
      <c r="B187" s="33" t="s">
        <v>115</v>
      </c>
      <c r="C187" s="33"/>
      <c r="D187" s="34"/>
      <c r="E187" s="35"/>
      <c r="F187" s="35"/>
      <c r="G187" s="6"/>
      <c r="H187" s="6"/>
      <c r="I187" s="6"/>
      <c r="J187" s="37"/>
      <c r="K187" s="22"/>
    </row>
    <row r="188" spans="1:11" ht="15" hidden="1" customHeight="1" outlineLevel="1" x14ac:dyDescent="0.25">
      <c r="A188" s="36"/>
      <c r="B188" s="37" t="s">
        <v>72</v>
      </c>
      <c r="C188" s="16" t="s">
        <v>24</v>
      </c>
      <c r="D188" s="38">
        <v>200</v>
      </c>
      <c r="E188" s="18"/>
      <c r="F188" s="25">
        <f t="shared" si="16"/>
        <v>0</v>
      </c>
      <c r="G188" s="6"/>
      <c r="H188" s="6"/>
      <c r="I188" s="6"/>
      <c r="J188" s="37"/>
      <c r="K188" s="22"/>
    </row>
    <row r="189" spans="1:11" ht="15" hidden="1" customHeight="1" outlineLevel="1" x14ac:dyDescent="0.25">
      <c r="A189" s="36"/>
      <c r="B189" s="37" t="s">
        <v>73</v>
      </c>
      <c r="C189" s="16" t="s">
        <v>24</v>
      </c>
      <c r="D189" s="38">
        <v>400</v>
      </c>
      <c r="E189" s="18"/>
      <c r="F189" s="25">
        <f t="shared" si="16"/>
        <v>0</v>
      </c>
      <c r="G189" s="6"/>
      <c r="H189" s="6"/>
      <c r="I189" s="6"/>
      <c r="J189" s="37"/>
      <c r="K189" s="22"/>
    </row>
    <row r="190" spans="1:11" ht="15" hidden="1" customHeight="1" outlineLevel="1" x14ac:dyDescent="0.25">
      <c r="A190" s="36"/>
      <c r="B190" s="37" t="s">
        <v>74</v>
      </c>
      <c r="C190" s="16" t="s">
        <v>24</v>
      </c>
      <c r="D190" s="38">
        <v>300</v>
      </c>
      <c r="E190" s="18"/>
      <c r="F190" s="25">
        <f t="shared" si="16"/>
        <v>0</v>
      </c>
      <c r="G190" s="6"/>
      <c r="H190" s="6"/>
      <c r="I190" s="6"/>
      <c r="J190" s="37"/>
      <c r="K190" s="22"/>
    </row>
    <row r="191" spans="1:11" ht="15" hidden="1" customHeight="1" outlineLevel="1" x14ac:dyDescent="0.25">
      <c r="A191" s="36"/>
      <c r="B191" s="37" t="s">
        <v>75</v>
      </c>
      <c r="C191" s="16" t="s">
        <v>24</v>
      </c>
      <c r="D191" s="38">
        <v>600</v>
      </c>
      <c r="E191" s="18"/>
      <c r="F191" s="25">
        <f t="shared" si="16"/>
        <v>0</v>
      </c>
      <c r="G191" s="6"/>
      <c r="H191" s="6"/>
      <c r="I191" s="6"/>
      <c r="J191" s="37"/>
      <c r="K191" s="22"/>
    </row>
    <row r="192" spans="1:11" ht="15" hidden="1" customHeight="1" outlineLevel="1" x14ac:dyDescent="0.25">
      <c r="A192" s="36"/>
      <c r="B192" s="33" t="s">
        <v>116</v>
      </c>
      <c r="C192" s="33"/>
      <c r="D192" s="34"/>
      <c r="E192" s="35"/>
      <c r="F192" s="35"/>
      <c r="G192" s="6"/>
      <c r="H192" s="6"/>
      <c r="I192" s="6"/>
      <c r="J192" s="37"/>
      <c r="K192" s="22"/>
    </row>
    <row r="193" spans="1:11" ht="15" hidden="1" customHeight="1" outlineLevel="1" x14ac:dyDescent="0.25">
      <c r="A193" s="36"/>
      <c r="B193" s="37" t="s">
        <v>45</v>
      </c>
      <c r="C193" s="16" t="s">
        <v>24</v>
      </c>
      <c r="D193" s="38">
        <v>100</v>
      </c>
      <c r="E193" s="18"/>
      <c r="F193" s="25">
        <f t="shared" si="16"/>
        <v>0</v>
      </c>
      <c r="G193" s="6"/>
      <c r="H193" s="6"/>
      <c r="I193" s="6"/>
      <c r="J193" s="37"/>
      <c r="K193" s="22"/>
    </row>
    <row r="194" spans="1:11" ht="15" hidden="1" customHeight="1" outlineLevel="1" x14ac:dyDescent="0.25">
      <c r="A194" s="36"/>
      <c r="B194" s="37" t="s">
        <v>46</v>
      </c>
      <c r="C194" s="16" t="s">
        <v>24</v>
      </c>
      <c r="D194" s="38">
        <v>200</v>
      </c>
      <c r="E194" s="18"/>
      <c r="F194" s="25">
        <f t="shared" si="16"/>
        <v>0</v>
      </c>
      <c r="G194" s="6"/>
      <c r="H194" s="6"/>
      <c r="I194" s="6"/>
      <c r="J194" s="37"/>
      <c r="K194" s="22"/>
    </row>
    <row r="195" spans="1:11" ht="15" hidden="1" customHeight="1" outlineLevel="1" x14ac:dyDescent="0.25">
      <c r="A195" s="36"/>
      <c r="B195" s="37" t="s">
        <v>47</v>
      </c>
      <c r="C195" s="16" t="s">
        <v>24</v>
      </c>
      <c r="D195" s="38">
        <v>300</v>
      </c>
      <c r="E195" s="18"/>
      <c r="F195" s="25">
        <f t="shared" si="16"/>
        <v>0</v>
      </c>
      <c r="G195" s="6"/>
      <c r="H195" s="6"/>
      <c r="I195" s="6"/>
      <c r="J195" s="37"/>
      <c r="K195" s="22"/>
    </row>
    <row r="196" spans="1:11" ht="15" hidden="1" customHeight="1" outlineLevel="1" x14ac:dyDescent="0.25">
      <c r="A196" s="36"/>
      <c r="B196" s="37" t="s">
        <v>48</v>
      </c>
      <c r="C196" s="16" t="s">
        <v>24</v>
      </c>
      <c r="D196" s="38">
        <v>500</v>
      </c>
      <c r="E196" s="18"/>
      <c r="F196" s="25">
        <f t="shared" si="16"/>
        <v>0</v>
      </c>
      <c r="G196" s="6"/>
      <c r="H196" s="6"/>
      <c r="I196" s="6"/>
      <c r="J196" s="37"/>
      <c r="K196" s="22"/>
    </row>
    <row r="197" spans="1:11" ht="15" hidden="1" customHeight="1" outlineLevel="1" x14ac:dyDescent="0.25">
      <c r="A197" s="36"/>
      <c r="B197" s="33" t="s">
        <v>117</v>
      </c>
      <c r="C197" s="33"/>
      <c r="D197" s="34"/>
      <c r="E197" s="35"/>
      <c r="F197" s="35"/>
      <c r="G197" s="6"/>
      <c r="H197" s="6"/>
      <c r="I197" s="6"/>
      <c r="J197" s="37"/>
      <c r="K197" s="22"/>
    </row>
    <row r="198" spans="1:11" ht="15" hidden="1" customHeight="1" outlineLevel="1" x14ac:dyDescent="0.25">
      <c r="A198" s="36"/>
      <c r="B198" s="37" t="s">
        <v>91</v>
      </c>
      <c r="C198" s="16" t="s">
        <v>24</v>
      </c>
      <c r="D198" s="38">
        <v>200</v>
      </c>
      <c r="E198" s="18"/>
      <c r="F198" s="25">
        <f t="shared" si="16"/>
        <v>0</v>
      </c>
      <c r="G198" s="6"/>
      <c r="H198" s="6"/>
      <c r="I198" s="6"/>
      <c r="J198" s="37"/>
      <c r="K198" s="22"/>
    </row>
    <row r="199" spans="1:11" ht="15" hidden="1" customHeight="1" outlineLevel="1" x14ac:dyDescent="0.25">
      <c r="A199" s="36"/>
      <c r="B199" s="37" t="s">
        <v>92</v>
      </c>
      <c r="C199" s="16" t="s">
        <v>24</v>
      </c>
      <c r="D199" s="38">
        <v>400</v>
      </c>
      <c r="E199" s="18"/>
      <c r="F199" s="25">
        <f t="shared" si="16"/>
        <v>0</v>
      </c>
      <c r="G199" s="6"/>
      <c r="H199" s="6"/>
      <c r="I199" s="6"/>
      <c r="J199" s="37"/>
      <c r="K199" s="22"/>
    </row>
    <row r="200" spans="1:11" ht="15" hidden="1" customHeight="1" outlineLevel="1" x14ac:dyDescent="0.25">
      <c r="A200" s="36"/>
      <c r="B200" s="37" t="s">
        <v>93</v>
      </c>
      <c r="C200" s="16" t="s">
        <v>24</v>
      </c>
      <c r="D200" s="38">
        <v>300</v>
      </c>
      <c r="E200" s="18"/>
      <c r="F200" s="25">
        <f t="shared" si="16"/>
        <v>0</v>
      </c>
      <c r="G200" s="6"/>
      <c r="H200" s="6"/>
      <c r="I200" s="6"/>
      <c r="J200" s="37"/>
      <c r="K200" s="22"/>
    </row>
    <row r="201" spans="1:11" ht="15" hidden="1" customHeight="1" outlineLevel="1" x14ac:dyDescent="0.25">
      <c r="A201" s="36"/>
      <c r="B201" s="37" t="s">
        <v>94</v>
      </c>
      <c r="C201" s="16" t="s">
        <v>24</v>
      </c>
      <c r="D201" s="38">
        <v>600</v>
      </c>
      <c r="E201" s="18"/>
      <c r="F201" s="25">
        <f t="shared" si="16"/>
        <v>0</v>
      </c>
      <c r="G201" s="6"/>
      <c r="H201" s="6"/>
      <c r="I201" s="6"/>
      <c r="J201" s="37"/>
      <c r="K201" s="22"/>
    </row>
    <row r="202" spans="1:11" ht="15" hidden="1" customHeight="1" outlineLevel="1" x14ac:dyDescent="0.25">
      <c r="A202" s="36"/>
      <c r="B202" s="33" t="s">
        <v>118</v>
      </c>
      <c r="C202" s="33"/>
      <c r="D202" s="34"/>
      <c r="E202" s="35"/>
      <c r="F202" s="35"/>
      <c r="G202" s="6"/>
      <c r="H202" s="6"/>
      <c r="I202" s="6"/>
      <c r="J202" s="37"/>
      <c r="K202" s="22"/>
    </row>
    <row r="203" spans="1:11" ht="15" hidden="1" customHeight="1" outlineLevel="1" x14ac:dyDescent="0.25">
      <c r="A203" s="36"/>
      <c r="B203" s="37" t="s">
        <v>77</v>
      </c>
      <c r="C203" s="16" t="s">
        <v>24</v>
      </c>
      <c r="D203" s="38">
        <v>150</v>
      </c>
      <c r="E203" s="18"/>
      <c r="F203" s="25">
        <f t="shared" si="16"/>
        <v>0</v>
      </c>
      <c r="G203" s="6"/>
      <c r="H203" s="6"/>
      <c r="I203" s="6"/>
      <c r="J203" s="37"/>
      <c r="K203" s="22"/>
    </row>
    <row r="204" spans="1:11" ht="15" hidden="1" customHeight="1" outlineLevel="1" x14ac:dyDescent="0.25">
      <c r="A204" s="36"/>
      <c r="B204" s="37" t="s">
        <v>78</v>
      </c>
      <c r="C204" s="16" t="s">
        <v>24</v>
      </c>
      <c r="D204" s="38">
        <v>300</v>
      </c>
      <c r="E204" s="18"/>
      <c r="F204" s="25">
        <f t="shared" si="16"/>
        <v>0</v>
      </c>
      <c r="G204" s="6"/>
      <c r="H204" s="6"/>
      <c r="I204" s="6"/>
      <c r="J204" s="37"/>
      <c r="K204" s="22"/>
    </row>
    <row r="205" spans="1:11" ht="15" hidden="1" customHeight="1" outlineLevel="1" x14ac:dyDescent="0.25">
      <c r="A205" s="36"/>
      <c r="B205" s="37" t="s">
        <v>79</v>
      </c>
      <c r="C205" s="16" t="s">
        <v>24</v>
      </c>
      <c r="D205" s="38">
        <v>300</v>
      </c>
      <c r="E205" s="18"/>
      <c r="F205" s="25">
        <f t="shared" si="16"/>
        <v>0</v>
      </c>
      <c r="G205" s="6"/>
      <c r="H205" s="6"/>
      <c r="I205" s="6"/>
      <c r="J205" s="37"/>
      <c r="K205" s="22"/>
    </row>
    <row r="206" spans="1:11" ht="15" hidden="1" customHeight="1" outlineLevel="1" x14ac:dyDescent="0.25">
      <c r="A206" s="36"/>
      <c r="B206" s="37" t="s">
        <v>80</v>
      </c>
      <c r="C206" s="16" t="s">
        <v>24</v>
      </c>
      <c r="D206" s="38">
        <v>500</v>
      </c>
      <c r="E206" s="18"/>
      <c r="F206" s="25">
        <f t="shared" si="16"/>
        <v>0</v>
      </c>
      <c r="G206" s="6"/>
      <c r="H206" s="6"/>
      <c r="I206" s="6"/>
      <c r="J206" s="37"/>
      <c r="K206" s="22"/>
    </row>
    <row r="207" spans="1:11" ht="15" hidden="1" customHeight="1" outlineLevel="1" x14ac:dyDescent="0.25">
      <c r="A207" s="36"/>
      <c r="B207" s="33" t="s">
        <v>119</v>
      </c>
      <c r="C207" s="33" t="s">
        <v>50</v>
      </c>
      <c r="D207" s="34" t="s">
        <v>50</v>
      </c>
      <c r="E207" s="35"/>
      <c r="F207" s="35"/>
      <c r="G207" s="6"/>
      <c r="H207" s="6"/>
      <c r="I207" s="6"/>
      <c r="J207" s="37"/>
      <c r="K207" s="22"/>
    </row>
    <row r="208" spans="1:11" ht="15" hidden="1" customHeight="1" outlineLevel="1" x14ac:dyDescent="0.25">
      <c r="A208" s="36"/>
      <c r="B208" s="37" t="s">
        <v>96</v>
      </c>
      <c r="C208" s="16" t="s">
        <v>24</v>
      </c>
      <c r="D208" s="38">
        <v>200</v>
      </c>
      <c r="E208" s="18"/>
      <c r="F208" s="25">
        <f t="shared" si="16"/>
        <v>0</v>
      </c>
      <c r="G208" s="6"/>
      <c r="H208" s="6"/>
      <c r="I208" s="6"/>
      <c r="J208" s="37"/>
      <c r="K208" s="22"/>
    </row>
    <row r="209" spans="1:11" ht="15" hidden="1" customHeight="1" outlineLevel="1" x14ac:dyDescent="0.25">
      <c r="A209" s="36"/>
      <c r="B209" s="37" t="s">
        <v>97</v>
      </c>
      <c r="C209" s="16" t="s">
        <v>24</v>
      </c>
      <c r="D209" s="38">
        <v>400</v>
      </c>
      <c r="E209" s="18"/>
      <c r="F209" s="25">
        <f t="shared" si="16"/>
        <v>0</v>
      </c>
      <c r="G209" s="6"/>
      <c r="H209" s="6"/>
      <c r="I209" s="6"/>
      <c r="J209" s="37"/>
      <c r="K209" s="22"/>
    </row>
    <row r="210" spans="1:11" ht="15" hidden="1" customHeight="1" outlineLevel="1" x14ac:dyDescent="0.25">
      <c r="A210" s="36"/>
      <c r="B210" s="37" t="s">
        <v>98</v>
      </c>
      <c r="C210" s="16" t="s">
        <v>24</v>
      </c>
      <c r="D210" s="38">
        <v>100</v>
      </c>
      <c r="E210" s="18"/>
      <c r="F210" s="25">
        <f t="shared" si="16"/>
        <v>0</v>
      </c>
      <c r="G210" s="6"/>
      <c r="H210" s="6"/>
      <c r="I210" s="6"/>
      <c r="J210" s="37"/>
      <c r="K210" s="22"/>
    </row>
    <row r="211" spans="1:11" ht="15" hidden="1" customHeight="1" outlineLevel="1" x14ac:dyDescent="0.25">
      <c r="A211" s="36"/>
      <c r="B211" s="37" t="s">
        <v>99</v>
      </c>
      <c r="C211" s="16" t="s">
        <v>24</v>
      </c>
      <c r="D211" s="38">
        <v>200</v>
      </c>
      <c r="E211" s="18"/>
      <c r="F211" s="25">
        <f t="shared" si="16"/>
        <v>0</v>
      </c>
      <c r="G211" s="6"/>
      <c r="H211" s="6"/>
      <c r="I211" s="6"/>
      <c r="J211" s="37"/>
      <c r="K211" s="22"/>
    </row>
    <row r="212" spans="1:11" ht="15" hidden="1" customHeight="1" outlineLevel="1" x14ac:dyDescent="0.25">
      <c r="A212" s="36"/>
      <c r="B212" s="33" t="s">
        <v>120</v>
      </c>
      <c r="C212" s="33" t="s">
        <v>50</v>
      </c>
      <c r="D212" s="34" t="s">
        <v>50</v>
      </c>
      <c r="E212" s="35"/>
      <c r="F212" s="35"/>
      <c r="G212" s="6"/>
      <c r="H212" s="6"/>
      <c r="I212" s="6"/>
      <c r="J212" s="37"/>
      <c r="K212" s="22"/>
    </row>
    <row r="213" spans="1:11" ht="15" hidden="1" customHeight="1" outlineLevel="1" x14ac:dyDescent="0.25">
      <c r="A213" s="36"/>
      <c r="B213" s="37" t="s">
        <v>51</v>
      </c>
      <c r="C213" s="16" t="s">
        <v>24</v>
      </c>
      <c r="D213" s="38">
        <v>100</v>
      </c>
      <c r="E213" s="18"/>
      <c r="F213" s="25">
        <f t="shared" si="16"/>
        <v>0</v>
      </c>
      <c r="G213" s="6"/>
      <c r="H213" s="6"/>
      <c r="I213" s="6"/>
      <c r="J213" s="37"/>
      <c r="K213" s="22"/>
    </row>
    <row r="214" spans="1:11" ht="15" hidden="1" customHeight="1" outlineLevel="1" x14ac:dyDescent="0.25">
      <c r="A214" s="36"/>
      <c r="B214" s="37" t="s">
        <v>52</v>
      </c>
      <c r="C214" s="16" t="s">
        <v>24</v>
      </c>
      <c r="D214" s="38">
        <v>200</v>
      </c>
      <c r="E214" s="18"/>
      <c r="F214" s="25">
        <f t="shared" si="16"/>
        <v>0</v>
      </c>
      <c r="G214" s="6"/>
      <c r="H214" s="6"/>
      <c r="I214" s="6"/>
      <c r="J214" s="37"/>
      <c r="K214" s="22"/>
    </row>
    <row r="215" spans="1:11" ht="15" hidden="1" customHeight="1" outlineLevel="1" x14ac:dyDescent="0.25">
      <c r="A215" s="36"/>
      <c r="B215" s="37" t="s">
        <v>53</v>
      </c>
      <c r="C215" s="16" t="s">
        <v>24</v>
      </c>
      <c r="D215" s="38">
        <v>100</v>
      </c>
      <c r="E215" s="18"/>
      <c r="F215" s="25">
        <f t="shared" si="16"/>
        <v>0</v>
      </c>
      <c r="G215" s="6"/>
      <c r="H215" s="6"/>
      <c r="I215" s="6"/>
      <c r="J215" s="37"/>
      <c r="K215" s="22"/>
    </row>
    <row r="216" spans="1:11" ht="15" hidden="1" customHeight="1" outlineLevel="1" x14ac:dyDescent="0.25">
      <c r="A216" s="36"/>
      <c r="B216" s="37" t="s">
        <v>54</v>
      </c>
      <c r="C216" s="16" t="s">
        <v>24</v>
      </c>
      <c r="D216" s="38">
        <v>200</v>
      </c>
      <c r="E216" s="18"/>
      <c r="F216" s="25">
        <f t="shared" si="16"/>
        <v>0</v>
      </c>
      <c r="G216" s="6"/>
      <c r="H216" s="6"/>
      <c r="I216" s="6"/>
      <c r="J216" s="37"/>
      <c r="K216" s="22"/>
    </row>
    <row r="217" spans="1:11" ht="15" hidden="1" customHeight="1" outlineLevel="1" x14ac:dyDescent="0.25">
      <c r="A217" s="36"/>
      <c r="B217" s="33" t="s">
        <v>121</v>
      </c>
      <c r="C217" s="33" t="s">
        <v>50</v>
      </c>
      <c r="D217" s="34" t="s">
        <v>50</v>
      </c>
      <c r="E217" s="35"/>
      <c r="F217" s="35"/>
      <c r="G217" s="6"/>
      <c r="H217" s="6"/>
      <c r="I217" s="6"/>
      <c r="J217" s="37"/>
      <c r="K217" s="22"/>
    </row>
    <row r="218" spans="1:11" ht="15" hidden="1" customHeight="1" outlineLevel="1" x14ac:dyDescent="0.25">
      <c r="A218" s="36"/>
      <c r="B218" s="37" t="s">
        <v>82</v>
      </c>
      <c r="C218" s="16" t="s">
        <v>24</v>
      </c>
      <c r="D218" s="38">
        <v>200</v>
      </c>
      <c r="E218" s="18"/>
      <c r="F218" s="25">
        <f t="shared" si="16"/>
        <v>0</v>
      </c>
      <c r="G218" s="6"/>
      <c r="H218" s="6"/>
      <c r="I218" s="6"/>
      <c r="J218" s="37"/>
      <c r="K218" s="22"/>
    </row>
    <row r="219" spans="1:11" ht="15" hidden="1" customHeight="1" outlineLevel="1" x14ac:dyDescent="0.25">
      <c r="A219" s="36"/>
      <c r="B219" s="37" t="s">
        <v>83</v>
      </c>
      <c r="C219" s="16" t="s">
        <v>24</v>
      </c>
      <c r="D219" s="38">
        <v>400</v>
      </c>
      <c r="E219" s="18"/>
      <c r="F219" s="25">
        <f t="shared" si="16"/>
        <v>0</v>
      </c>
      <c r="G219" s="6"/>
      <c r="H219" s="6"/>
      <c r="I219" s="6"/>
      <c r="J219" s="37"/>
      <c r="K219" s="22"/>
    </row>
    <row r="220" spans="1:11" ht="15" hidden="1" customHeight="1" outlineLevel="1" x14ac:dyDescent="0.25">
      <c r="A220" s="36"/>
      <c r="B220" s="37" t="s">
        <v>84</v>
      </c>
      <c r="C220" s="16" t="s">
        <v>24</v>
      </c>
      <c r="D220" s="38">
        <v>200</v>
      </c>
      <c r="E220" s="18"/>
      <c r="F220" s="25">
        <f t="shared" si="16"/>
        <v>0</v>
      </c>
      <c r="G220" s="6"/>
      <c r="H220" s="6"/>
      <c r="I220" s="6"/>
      <c r="J220" s="37"/>
      <c r="K220" s="22"/>
    </row>
    <row r="221" spans="1:11" ht="15" hidden="1" customHeight="1" outlineLevel="1" x14ac:dyDescent="0.25">
      <c r="A221" s="36"/>
      <c r="B221" s="37" t="s">
        <v>85</v>
      </c>
      <c r="C221" s="16" t="s">
        <v>24</v>
      </c>
      <c r="D221" s="38">
        <v>400</v>
      </c>
      <c r="E221" s="18"/>
      <c r="F221" s="25">
        <f t="shared" si="16"/>
        <v>0</v>
      </c>
      <c r="G221" s="6"/>
      <c r="H221" s="6"/>
      <c r="I221" s="6"/>
      <c r="J221" s="37"/>
      <c r="K221" s="22"/>
    </row>
    <row r="222" spans="1:11" ht="15" hidden="1" customHeight="1" outlineLevel="1" x14ac:dyDescent="0.25">
      <c r="A222" s="36"/>
      <c r="B222" s="33" t="s">
        <v>122</v>
      </c>
      <c r="C222" s="33"/>
      <c r="D222" s="34"/>
      <c r="E222" s="35"/>
      <c r="F222" s="35"/>
      <c r="G222" s="6"/>
      <c r="H222" s="6"/>
      <c r="I222" s="6"/>
      <c r="J222" s="37"/>
      <c r="K222" s="22"/>
    </row>
    <row r="223" spans="1:11" ht="15" hidden="1" customHeight="1" outlineLevel="1" x14ac:dyDescent="0.25">
      <c r="A223" s="36"/>
      <c r="B223" s="37" t="s">
        <v>101</v>
      </c>
      <c r="C223" s="16" t="s">
        <v>24</v>
      </c>
      <c r="D223" s="38">
        <v>200</v>
      </c>
      <c r="E223" s="18"/>
      <c r="F223" s="25">
        <f t="shared" si="16"/>
        <v>0</v>
      </c>
      <c r="G223" s="6"/>
      <c r="H223" s="6"/>
      <c r="I223" s="6"/>
      <c r="J223" s="37"/>
      <c r="K223" s="22"/>
    </row>
    <row r="224" spans="1:11" ht="15" hidden="1" customHeight="1" outlineLevel="1" x14ac:dyDescent="0.25">
      <c r="A224" s="36"/>
      <c r="B224" s="37" t="s">
        <v>102</v>
      </c>
      <c r="C224" s="16" t="s">
        <v>24</v>
      </c>
      <c r="D224" s="38">
        <v>400</v>
      </c>
      <c r="E224" s="18"/>
      <c r="F224" s="25">
        <f t="shared" si="16"/>
        <v>0</v>
      </c>
      <c r="G224" s="6"/>
      <c r="H224" s="6"/>
      <c r="I224" s="6"/>
      <c r="J224" s="37"/>
      <c r="K224" s="22"/>
    </row>
    <row r="225" spans="1:11" ht="15" hidden="1" customHeight="1" outlineLevel="1" x14ac:dyDescent="0.25">
      <c r="A225" s="36"/>
      <c r="B225" s="37" t="s">
        <v>103</v>
      </c>
      <c r="C225" s="16" t="s">
        <v>24</v>
      </c>
      <c r="D225" s="38">
        <v>200</v>
      </c>
      <c r="E225" s="18"/>
      <c r="F225" s="25">
        <f t="shared" si="16"/>
        <v>0</v>
      </c>
      <c r="G225" s="6"/>
      <c r="H225" s="6"/>
      <c r="I225" s="6"/>
      <c r="J225" s="37"/>
      <c r="K225" s="22"/>
    </row>
    <row r="226" spans="1:11" ht="15" hidden="1" customHeight="1" outlineLevel="1" x14ac:dyDescent="0.25">
      <c r="A226" s="36"/>
      <c r="B226" s="37" t="s">
        <v>104</v>
      </c>
      <c r="C226" s="16" t="s">
        <v>24</v>
      </c>
      <c r="D226" s="38">
        <v>400</v>
      </c>
      <c r="E226" s="18"/>
      <c r="F226" s="25">
        <f t="shared" si="16"/>
        <v>0</v>
      </c>
      <c r="G226" s="6"/>
      <c r="H226" s="6"/>
      <c r="I226" s="6"/>
      <c r="J226" s="37"/>
      <c r="K226" s="22"/>
    </row>
    <row r="227" spans="1:11" ht="15" hidden="1" customHeight="1" outlineLevel="1" x14ac:dyDescent="0.25">
      <c r="A227" s="36"/>
      <c r="B227" s="37" t="s">
        <v>106</v>
      </c>
      <c r="C227" s="16" t="s">
        <v>24</v>
      </c>
      <c r="D227" s="38">
        <v>200</v>
      </c>
      <c r="E227" s="18"/>
      <c r="F227" s="25">
        <f t="shared" ref="F227:F245" si="18">E227*D227</f>
        <v>0</v>
      </c>
      <c r="G227" s="6"/>
      <c r="H227" s="6"/>
      <c r="I227" s="6"/>
      <c r="J227" s="37"/>
      <c r="K227" s="22"/>
    </row>
    <row r="228" spans="1:11" ht="15" hidden="1" customHeight="1" outlineLevel="1" x14ac:dyDescent="0.25">
      <c r="A228" s="36"/>
      <c r="B228" s="37" t="s">
        <v>107</v>
      </c>
      <c r="C228" s="16" t="s">
        <v>24</v>
      </c>
      <c r="D228" s="38">
        <v>400</v>
      </c>
      <c r="E228" s="18"/>
      <c r="F228" s="25">
        <f t="shared" si="18"/>
        <v>0</v>
      </c>
      <c r="G228" s="6"/>
      <c r="H228" s="6"/>
      <c r="I228" s="6"/>
      <c r="J228" s="37"/>
      <c r="K228" s="22"/>
    </row>
    <row r="229" spans="1:11" ht="15" hidden="1" customHeight="1" outlineLevel="1" x14ac:dyDescent="0.25">
      <c r="A229" s="36"/>
      <c r="B229" s="37" t="s">
        <v>108</v>
      </c>
      <c r="C229" s="16" t="s">
        <v>24</v>
      </c>
      <c r="D229" s="38">
        <v>200</v>
      </c>
      <c r="E229" s="18"/>
      <c r="F229" s="25">
        <f t="shared" si="18"/>
        <v>0</v>
      </c>
      <c r="G229" s="6"/>
      <c r="H229" s="6"/>
      <c r="I229" s="6"/>
      <c r="J229" s="37"/>
      <c r="K229" s="22"/>
    </row>
    <row r="230" spans="1:11" ht="15" hidden="1" customHeight="1" outlineLevel="1" x14ac:dyDescent="0.25">
      <c r="A230" s="36"/>
      <c r="B230" s="37" t="s">
        <v>109</v>
      </c>
      <c r="C230" s="16" t="s">
        <v>24</v>
      </c>
      <c r="D230" s="38">
        <v>400</v>
      </c>
      <c r="E230" s="18"/>
      <c r="F230" s="25">
        <f t="shared" si="18"/>
        <v>0</v>
      </c>
      <c r="G230" s="6"/>
      <c r="H230" s="6"/>
      <c r="I230" s="6"/>
      <c r="J230" s="37"/>
      <c r="K230" s="22"/>
    </row>
    <row r="231" spans="1:11" ht="15" hidden="1" customHeight="1" outlineLevel="1" x14ac:dyDescent="0.25">
      <c r="A231" s="36"/>
      <c r="B231" s="33" t="s">
        <v>123</v>
      </c>
      <c r="C231" s="33"/>
      <c r="D231" s="34"/>
      <c r="E231" s="35"/>
      <c r="F231" s="35"/>
      <c r="G231" s="6"/>
      <c r="H231" s="6"/>
      <c r="I231" s="6"/>
      <c r="J231" s="37"/>
      <c r="K231" s="22"/>
    </row>
    <row r="232" spans="1:11" ht="15" hidden="1" customHeight="1" outlineLevel="1" x14ac:dyDescent="0.25">
      <c r="A232" s="36"/>
      <c r="B232" s="37" t="s">
        <v>56</v>
      </c>
      <c r="C232" s="16" t="s">
        <v>24</v>
      </c>
      <c r="D232" s="38">
        <v>300</v>
      </c>
      <c r="E232" s="18"/>
      <c r="F232" s="25">
        <f t="shared" si="18"/>
        <v>0</v>
      </c>
      <c r="G232" s="6"/>
      <c r="H232" s="6"/>
      <c r="I232" s="6"/>
      <c r="J232" s="37"/>
      <c r="K232" s="22"/>
    </row>
    <row r="233" spans="1:11" ht="15" hidden="1" customHeight="1" outlineLevel="1" x14ac:dyDescent="0.25">
      <c r="A233" s="36"/>
      <c r="B233" s="37" t="s">
        <v>57</v>
      </c>
      <c r="C233" s="16" t="s">
        <v>24</v>
      </c>
      <c r="D233" s="38">
        <v>300</v>
      </c>
      <c r="E233" s="18"/>
      <c r="F233" s="25">
        <f t="shared" si="18"/>
        <v>0</v>
      </c>
      <c r="G233" s="6"/>
      <c r="H233" s="6"/>
      <c r="I233" s="6"/>
      <c r="J233" s="37"/>
      <c r="K233" s="22"/>
    </row>
    <row r="234" spans="1:11" ht="15" hidden="1" customHeight="1" outlineLevel="1" x14ac:dyDescent="0.25">
      <c r="A234" s="36"/>
      <c r="B234" s="37" t="s">
        <v>58</v>
      </c>
      <c r="C234" s="16" t="s">
        <v>24</v>
      </c>
      <c r="D234" s="38">
        <v>600</v>
      </c>
      <c r="E234" s="18"/>
      <c r="F234" s="25">
        <f t="shared" si="18"/>
        <v>0</v>
      </c>
      <c r="G234" s="6"/>
      <c r="H234" s="6"/>
      <c r="I234" s="6"/>
      <c r="J234" s="37"/>
      <c r="K234" s="22"/>
    </row>
    <row r="235" spans="1:11" ht="15" hidden="1" customHeight="1" outlineLevel="1" x14ac:dyDescent="0.25">
      <c r="A235" s="36"/>
      <c r="B235" s="37" t="s">
        <v>59</v>
      </c>
      <c r="C235" s="16" t="s">
        <v>24</v>
      </c>
      <c r="D235" s="38">
        <v>600</v>
      </c>
      <c r="E235" s="18"/>
      <c r="F235" s="25">
        <f t="shared" si="18"/>
        <v>0</v>
      </c>
      <c r="G235" s="6"/>
      <c r="H235" s="6"/>
      <c r="I235" s="6"/>
      <c r="J235" s="37"/>
      <c r="K235" s="22"/>
    </row>
    <row r="236" spans="1:11" ht="15" hidden="1" customHeight="1" outlineLevel="1" x14ac:dyDescent="0.25">
      <c r="A236" s="36"/>
      <c r="B236" s="33" t="s">
        <v>124</v>
      </c>
      <c r="C236" s="33"/>
      <c r="D236" s="34"/>
      <c r="E236" s="35"/>
      <c r="F236" s="35"/>
      <c r="G236" s="6"/>
      <c r="H236" s="6"/>
      <c r="I236" s="6"/>
      <c r="J236" s="37"/>
      <c r="K236" s="22"/>
    </row>
    <row r="237" spans="1:11" ht="15" hidden="1" customHeight="1" outlineLevel="1" x14ac:dyDescent="0.25">
      <c r="A237" s="36"/>
      <c r="B237" s="37" t="s">
        <v>61</v>
      </c>
      <c r="C237" s="16" t="s">
        <v>24</v>
      </c>
      <c r="D237" s="38">
        <v>300</v>
      </c>
      <c r="E237" s="18"/>
      <c r="F237" s="25">
        <f t="shared" si="18"/>
        <v>0</v>
      </c>
      <c r="G237" s="6"/>
      <c r="H237" s="6"/>
      <c r="I237" s="6"/>
      <c r="J237" s="37"/>
      <c r="K237" s="22"/>
    </row>
    <row r="238" spans="1:11" ht="15" hidden="1" customHeight="1" outlineLevel="1" x14ac:dyDescent="0.25">
      <c r="A238" s="36"/>
      <c r="B238" s="37" t="s">
        <v>62</v>
      </c>
      <c r="C238" s="16" t="s">
        <v>24</v>
      </c>
      <c r="D238" s="38">
        <v>300</v>
      </c>
      <c r="E238" s="18"/>
      <c r="F238" s="25">
        <f t="shared" si="18"/>
        <v>0</v>
      </c>
      <c r="G238" s="6"/>
      <c r="H238" s="6"/>
      <c r="I238" s="6"/>
      <c r="J238" s="37"/>
      <c r="K238" s="22"/>
    </row>
    <row r="239" spans="1:11" ht="15" hidden="1" customHeight="1" outlineLevel="1" x14ac:dyDescent="0.25">
      <c r="A239" s="36"/>
      <c r="B239" s="37" t="s">
        <v>63</v>
      </c>
      <c r="C239" s="16" t="s">
        <v>24</v>
      </c>
      <c r="D239" s="38">
        <v>600</v>
      </c>
      <c r="E239" s="18"/>
      <c r="F239" s="25">
        <f t="shared" si="18"/>
        <v>0</v>
      </c>
      <c r="G239" s="6"/>
      <c r="H239" s="6"/>
      <c r="I239" s="6"/>
      <c r="J239" s="37"/>
      <c r="K239" s="22"/>
    </row>
    <row r="240" spans="1:11" ht="15" hidden="1" customHeight="1" outlineLevel="1" x14ac:dyDescent="0.25">
      <c r="A240" s="36"/>
      <c r="B240" s="37" t="s">
        <v>64</v>
      </c>
      <c r="C240" s="16" t="s">
        <v>24</v>
      </c>
      <c r="D240" s="38">
        <v>600</v>
      </c>
      <c r="E240" s="18"/>
      <c r="F240" s="25">
        <f t="shared" si="18"/>
        <v>0</v>
      </c>
      <c r="G240" s="6"/>
      <c r="H240" s="6"/>
      <c r="I240" s="6"/>
      <c r="J240" s="37"/>
      <c r="K240" s="22"/>
    </row>
    <row r="241" spans="1:11" ht="15" hidden="1" customHeight="1" outlineLevel="1" x14ac:dyDescent="0.25">
      <c r="A241" s="36"/>
      <c r="B241" s="33" t="s">
        <v>125</v>
      </c>
      <c r="C241" s="33"/>
      <c r="D241" s="34"/>
      <c r="E241" s="35"/>
      <c r="F241" s="35"/>
      <c r="G241" s="6"/>
      <c r="H241" s="6"/>
      <c r="I241" s="6"/>
      <c r="J241" s="37"/>
      <c r="K241" s="22"/>
    </row>
    <row r="242" spans="1:11" ht="15" hidden="1" customHeight="1" outlineLevel="1" x14ac:dyDescent="0.25">
      <c r="A242" s="36"/>
      <c r="B242" s="37" t="s">
        <v>66</v>
      </c>
      <c r="C242" s="16" t="s">
        <v>24</v>
      </c>
      <c r="D242" s="38">
        <v>300</v>
      </c>
      <c r="E242" s="18"/>
      <c r="F242" s="25">
        <f t="shared" si="18"/>
        <v>0</v>
      </c>
      <c r="G242" s="6"/>
      <c r="H242" s="6"/>
      <c r="I242" s="6"/>
      <c r="J242" s="37"/>
      <c r="K242" s="22"/>
    </row>
    <row r="243" spans="1:11" ht="15" hidden="1" customHeight="1" outlineLevel="1" x14ac:dyDescent="0.25">
      <c r="A243" s="36"/>
      <c r="B243" s="37" t="s">
        <v>67</v>
      </c>
      <c r="C243" s="16" t="s">
        <v>24</v>
      </c>
      <c r="D243" s="38">
        <v>300</v>
      </c>
      <c r="E243" s="18"/>
      <c r="F243" s="25">
        <f t="shared" si="18"/>
        <v>0</v>
      </c>
      <c r="G243" s="6"/>
      <c r="H243" s="6"/>
      <c r="I243" s="6"/>
      <c r="J243" s="37" t="s">
        <v>126</v>
      </c>
      <c r="K243" s="22"/>
    </row>
    <row r="244" spans="1:11" ht="15" hidden="1" customHeight="1" outlineLevel="1" x14ac:dyDescent="0.25">
      <c r="A244" s="36"/>
      <c r="B244" s="37" t="s">
        <v>68</v>
      </c>
      <c r="C244" s="16" t="s">
        <v>24</v>
      </c>
      <c r="D244" s="38">
        <v>600</v>
      </c>
      <c r="E244" s="18"/>
      <c r="F244" s="25">
        <f t="shared" si="18"/>
        <v>0</v>
      </c>
      <c r="G244" s="6"/>
      <c r="H244" s="6"/>
      <c r="I244" s="6"/>
      <c r="J244" s="37"/>
      <c r="K244" s="22"/>
    </row>
    <row r="245" spans="1:11" ht="15" hidden="1" customHeight="1" outlineLevel="1" x14ac:dyDescent="0.25">
      <c r="A245" s="36"/>
      <c r="B245" s="37" t="s">
        <v>69</v>
      </c>
      <c r="C245" s="16" t="s">
        <v>24</v>
      </c>
      <c r="D245" s="38">
        <v>600</v>
      </c>
      <c r="E245" s="18"/>
      <c r="F245" s="25">
        <f t="shared" si="18"/>
        <v>0</v>
      </c>
      <c r="G245" s="6"/>
      <c r="H245" s="6"/>
      <c r="I245" s="6"/>
      <c r="J245" s="37"/>
      <c r="K245" s="22"/>
    </row>
    <row r="246" spans="1:11" collapsed="1" x14ac:dyDescent="0.25">
      <c r="B246" s="15" t="s">
        <v>20</v>
      </c>
      <c r="C246" s="16" t="s">
        <v>18</v>
      </c>
      <c r="D246" s="23">
        <f>SUM(F9:F245)</f>
        <v>0</v>
      </c>
      <c r="E246" s="18"/>
      <c r="F246" s="25">
        <f>IF(E246="S",D246,0)</f>
        <v>0</v>
      </c>
      <c r="G246" s="6"/>
      <c r="H246" s="6"/>
      <c r="I246" s="6"/>
      <c r="J246" s="37" t="str">
        <f>IF(E246="S","Abrir o sub item do critério Arrecadação para o preenchimento dos campos.","Se envolver Arrecadação digite S e expanda o critério para preencher.")</f>
        <v>Se envolver Arrecadação digite S e expanda o critério para preencher.</v>
      </c>
      <c r="K246" s="22"/>
    </row>
    <row r="247" spans="1:11" hidden="1" outlineLevel="1" x14ac:dyDescent="0.25">
      <c r="B247" s="26" t="s">
        <v>127</v>
      </c>
      <c r="C247" s="26"/>
      <c r="D247" s="27"/>
      <c r="E247" s="27"/>
      <c r="F247" s="27"/>
      <c r="G247" s="27"/>
      <c r="H247" s="27"/>
      <c r="I247" s="27"/>
      <c r="J247" s="28"/>
      <c r="K247" s="22"/>
    </row>
    <row r="248" spans="1:11" ht="15" hidden="1" customHeight="1" outlineLevel="1" x14ac:dyDescent="0.25">
      <c r="A248" s="29"/>
      <c r="B248" s="30" t="s">
        <v>128</v>
      </c>
      <c r="C248" s="40"/>
      <c r="D248" s="32"/>
      <c r="E248" s="32"/>
      <c r="F248" s="32"/>
      <c r="G248" s="32"/>
      <c r="H248" s="32"/>
      <c r="I248" s="32"/>
      <c r="J248" s="15"/>
      <c r="K248" s="22"/>
    </row>
    <row r="249" spans="1:11" ht="15" hidden="1" customHeight="1" outlineLevel="1" x14ac:dyDescent="0.25">
      <c r="B249" s="33" t="s">
        <v>111</v>
      </c>
      <c r="C249" s="33" t="s">
        <v>50</v>
      </c>
      <c r="D249" s="34" t="s">
        <v>50</v>
      </c>
      <c r="E249" s="35"/>
      <c r="F249" s="35"/>
      <c r="G249" s="35"/>
      <c r="H249" s="35"/>
      <c r="I249" s="35"/>
      <c r="J249" s="33"/>
      <c r="K249" s="22"/>
    </row>
    <row r="250" spans="1:11" ht="15" hidden="1" customHeight="1" outlineLevel="1" x14ac:dyDescent="0.25">
      <c r="A250" s="36"/>
      <c r="B250" s="37" t="s">
        <v>129</v>
      </c>
      <c r="C250" s="16" t="s">
        <v>24</v>
      </c>
      <c r="D250" s="38">
        <v>30</v>
      </c>
      <c r="E250" s="18"/>
      <c r="F250" s="25">
        <f>E250*D250</f>
        <v>0</v>
      </c>
      <c r="G250" s="6"/>
      <c r="H250" s="6"/>
      <c r="I250" s="6"/>
      <c r="J250" s="37"/>
      <c r="K250" s="22"/>
    </row>
    <row r="251" spans="1:11" ht="15" hidden="1" customHeight="1" outlineLevel="1" x14ac:dyDescent="0.25">
      <c r="A251" s="36"/>
      <c r="B251" s="37" t="s">
        <v>130</v>
      </c>
      <c r="C251" s="16" t="s">
        <v>24</v>
      </c>
      <c r="D251" s="38">
        <v>25</v>
      </c>
      <c r="E251" s="18"/>
      <c r="F251" s="25">
        <f t="shared" ref="F251:F253" si="19">E251*D251</f>
        <v>0</v>
      </c>
      <c r="G251" s="6"/>
      <c r="H251" s="6"/>
      <c r="I251" s="6"/>
      <c r="J251" s="37"/>
      <c r="K251" s="22"/>
    </row>
    <row r="252" spans="1:11" ht="15" hidden="1" customHeight="1" outlineLevel="1" x14ac:dyDescent="0.25">
      <c r="A252" s="36"/>
      <c r="B252" s="37" t="s">
        <v>131</v>
      </c>
      <c r="C252" s="16" t="s">
        <v>24</v>
      </c>
      <c r="D252" s="38">
        <v>50</v>
      </c>
      <c r="E252" s="18"/>
      <c r="F252" s="25">
        <f t="shared" si="19"/>
        <v>0</v>
      </c>
      <c r="G252" s="6"/>
      <c r="H252" s="6"/>
      <c r="I252" s="6"/>
      <c r="J252" s="37"/>
      <c r="K252" s="22"/>
    </row>
    <row r="253" spans="1:11" ht="15" hidden="1" customHeight="1" outlineLevel="1" x14ac:dyDescent="0.25">
      <c r="A253" s="36"/>
      <c r="B253" s="37" t="s">
        <v>132</v>
      </c>
      <c r="C253" s="16" t="s">
        <v>24</v>
      </c>
      <c r="D253" s="38">
        <v>20</v>
      </c>
      <c r="E253" s="18"/>
      <c r="F253" s="25">
        <f t="shared" si="19"/>
        <v>0</v>
      </c>
      <c r="G253" s="6"/>
      <c r="H253" s="6"/>
      <c r="I253" s="6"/>
      <c r="J253" s="37"/>
      <c r="K253" s="22"/>
    </row>
    <row r="254" spans="1:11" ht="15" hidden="1" customHeight="1" outlineLevel="1" x14ac:dyDescent="0.25">
      <c r="A254" s="36"/>
      <c r="B254" s="37" t="s">
        <v>133</v>
      </c>
      <c r="C254" s="16" t="s">
        <v>18</v>
      </c>
      <c r="D254" s="38">
        <v>30</v>
      </c>
      <c r="E254" s="18"/>
      <c r="F254" s="25">
        <f t="shared" ref="F254:F291" si="20">IF(E254="S",D254,0)</f>
        <v>0</v>
      </c>
      <c r="G254" s="6"/>
      <c r="H254" s="6"/>
      <c r="I254" s="6"/>
      <c r="J254" s="37" t="s">
        <v>126</v>
      </c>
      <c r="K254" s="22"/>
    </row>
    <row r="255" spans="1:11" ht="15" hidden="1" customHeight="1" outlineLevel="1" x14ac:dyDescent="0.25">
      <c r="A255" s="36"/>
      <c r="B255" s="37" t="s">
        <v>134</v>
      </c>
      <c r="C255" s="16" t="s">
        <v>24</v>
      </c>
      <c r="D255" s="38">
        <v>25</v>
      </c>
      <c r="E255" s="18"/>
      <c r="F255" s="25">
        <f t="shared" ref="F255:F256" si="21">E255*D255</f>
        <v>0</v>
      </c>
      <c r="G255" s="6"/>
      <c r="H255" s="6"/>
      <c r="I255" s="6"/>
      <c r="J255" s="37"/>
      <c r="K255" s="22"/>
    </row>
    <row r="256" spans="1:11" ht="15" hidden="1" customHeight="1" outlineLevel="1" x14ac:dyDescent="0.25">
      <c r="A256" s="36"/>
      <c r="B256" s="37" t="s">
        <v>135</v>
      </c>
      <c r="C256" s="16" t="s">
        <v>24</v>
      </c>
      <c r="D256" s="38">
        <v>15</v>
      </c>
      <c r="E256" s="18"/>
      <c r="F256" s="25">
        <f t="shared" si="21"/>
        <v>0</v>
      </c>
      <c r="G256" s="6"/>
      <c r="H256" s="6"/>
      <c r="I256" s="6"/>
      <c r="J256" s="37"/>
      <c r="K256" s="22"/>
    </row>
    <row r="257" spans="1:11" ht="15" hidden="1" customHeight="1" outlineLevel="1" x14ac:dyDescent="0.25">
      <c r="B257" s="33" t="s">
        <v>136</v>
      </c>
      <c r="C257" s="33"/>
      <c r="D257" s="34"/>
      <c r="E257" s="35"/>
      <c r="F257" s="35"/>
      <c r="G257" s="35"/>
      <c r="H257" s="35"/>
      <c r="I257" s="35"/>
      <c r="J257" s="33"/>
      <c r="K257" s="22"/>
    </row>
    <row r="258" spans="1:11" ht="15" hidden="1" customHeight="1" outlineLevel="1" x14ac:dyDescent="0.25">
      <c r="A258" s="36"/>
      <c r="B258" s="37" t="s">
        <v>137</v>
      </c>
      <c r="C258" s="16" t="s">
        <v>18</v>
      </c>
      <c r="D258" s="38">
        <v>100</v>
      </c>
      <c r="E258" s="18"/>
      <c r="F258" s="25">
        <f t="shared" si="20"/>
        <v>0</v>
      </c>
      <c r="G258" s="6"/>
      <c r="H258" s="6"/>
      <c r="I258" s="6"/>
      <c r="J258" s="37" t="s">
        <v>138</v>
      </c>
      <c r="K258" s="22"/>
    </row>
    <row r="259" spans="1:11" ht="15" hidden="1" customHeight="1" outlineLevel="1" x14ac:dyDescent="0.25">
      <c r="A259" s="36"/>
      <c r="B259" s="37" t="s">
        <v>139</v>
      </c>
      <c r="C259" s="16" t="s">
        <v>18</v>
      </c>
      <c r="D259" s="38">
        <v>50</v>
      </c>
      <c r="E259" s="18"/>
      <c r="F259" s="25">
        <f t="shared" si="20"/>
        <v>0</v>
      </c>
      <c r="G259" s="6"/>
      <c r="H259" s="6"/>
      <c r="I259" s="6"/>
      <c r="J259" s="37" t="s">
        <v>140</v>
      </c>
      <c r="K259" s="22"/>
    </row>
    <row r="260" spans="1:11" ht="15" hidden="1" customHeight="1" outlineLevel="1" x14ac:dyDescent="0.25">
      <c r="A260" s="36"/>
      <c r="B260" s="37" t="s">
        <v>141</v>
      </c>
      <c r="C260" s="16" t="s">
        <v>18</v>
      </c>
      <c r="D260" s="38">
        <v>300</v>
      </c>
      <c r="E260" s="18"/>
      <c r="F260" s="25">
        <f t="shared" si="20"/>
        <v>0</v>
      </c>
      <c r="G260" s="6"/>
      <c r="H260" s="6"/>
      <c r="I260" s="6"/>
      <c r="J260" s="37" t="s">
        <v>142</v>
      </c>
      <c r="K260" s="22"/>
    </row>
    <row r="261" spans="1:11" ht="30" hidden="1" outlineLevel="1" x14ac:dyDescent="0.25">
      <c r="A261" s="36"/>
      <c r="B261" s="37" t="s">
        <v>143</v>
      </c>
      <c r="C261" s="16" t="s">
        <v>18</v>
      </c>
      <c r="D261" s="38">
        <v>100</v>
      </c>
      <c r="E261" s="18"/>
      <c r="F261" s="25">
        <f t="shared" si="20"/>
        <v>0</v>
      </c>
      <c r="G261" s="6"/>
      <c r="H261" s="6"/>
      <c r="I261" s="6"/>
      <c r="J261" s="37" t="s">
        <v>144</v>
      </c>
      <c r="K261" s="22"/>
    </row>
    <row r="262" spans="1:11" ht="15" hidden="1" customHeight="1" outlineLevel="1" x14ac:dyDescent="0.25">
      <c r="B262" s="33" t="s">
        <v>145</v>
      </c>
      <c r="C262" s="33"/>
      <c r="D262" s="34"/>
      <c r="E262" s="35"/>
      <c r="F262" s="35"/>
      <c r="G262" s="35"/>
      <c r="H262" s="35"/>
      <c r="I262" s="35"/>
      <c r="J262" s="33"/>
      <c r="K262" s="22"/>
    </row>
    <row r="263" spans="1:11" ht="15" hidden="1" customHeight="1" outlineLevel="1" x14ac:dyDescent="0.25">
      <c r="A263" s="36"/>
      <c r="B263" s="37" t="s">
        <v>146</v>
      </c>
      <c r="C263" s="16" t="s">
        <v>18</v>
      </c>
      <c r="D263" s="38">
        <v>100</v>
      </c>
      <c r="E263" s="18"/>
      <c r="F263" s="25">
        <f t="shared" si="20"/>
        <v>0</v>
      </c>
      <c r="G263" s="6"/>
      <c r="H263" s="6"/>
      <c r="I263" s="6"/>
      <c r="J263" s="37" t="s">
        <v>138</v>
      </c>
      <c r="K263" s="22"/>
    </row>
    <row r="264" spans="1:11" ht="15" hidden="1" customHeight="1" outlineLevel="1" x14ac:dyDescent="0.25">
      <c r="A264" s="36"/>
      <c r="B264" s="37" t="s">
        <v>147</v>
      </c>
      <c r="C264" s="16" t="s">
        <v>18</v>
      </c>
      <c r="D264" s="38">
        <v>100</v>
      </c>
      <c r="E264" s="18"/>
      <c r="F264" s="25">
        <f t="shared" si="20"/>
        <v>0</v>
      </c>
      <c r="G264" s="6"/>
      <c r="H264" s="6"/>
      <c r="I264" s="6"/>
      <c r="J264" s="37" t="s">
        <v>140</v>
      </c>
      <c r="K264" s="22"/>
    </row>
    <row r="265" spans="1:11" ht="15" hidden="1" customHeight="1" outlineLevel="1" x14ac:dyDescent="0.25">
      <c r="A265" s="36"/>
      <c r="B265" s="37" t="s">
        <v>148</v>
      </c>
      <c r="C265" s="16" t="s">
        <v>18</v>
      </c>
      <c r="D265" s="38">
        <v>300</v>
      </c>
      <c r="E265" s="18"/>
      <c r="F265" s="25">
        <f t="shared" si="20"/>
        <v>0</v>
      </c>
      <c r="G265" s="6"/>
      <c r="H265" s="6"/>
      <c r="I265" s="6"/>
      <c r="J265" s="37" t="s">
        <v>149</v>
      </c>
      <c r="K265" s="22"/>
    </row>
    <row r="266" spans="1:11" ht="30" hidden="1" customHeight="1" outlineLevel="1" x14ac:dyDescent="0.25">
      <c r="A266" s="36"/>
      <c r="B266" s="37" t="s">
        <v>150</v>
      </c>
      <c r="C266" s="16" t="s">
        <v>18</v>
      </c>
      <c r="D266" s="38">
        <v>100</v>
      </c>
      <c r="E266" s="18"/>
      <c r="F266" s="25">
        <f t="shared" si="20"/>
        <v>0</v>
      </c>
      <c r="G266" s="6"/>
      <c r="H266" s="6"/>
      <c r="I266" s="6"/>
      <c r="J266" s="37" t="s">
        <v>151</v>
      </c>
      <c r="K266" s="22"/>
    </row>
    <row r="267" spans="1:11" ht="15" hidden="1" customHeight="1" outlineLevel="1" x14ac:dyDescent="0.25">
      <c r="B267" s="33" t="s">
        <v>152</v>
      </c>
      <c r="C267" s="33"/>
      <c r="D267" s="34"/>
      <c r="E267" s="35"/>
      <c r="F267" s="35"/>
      <c r="G267" s="35"/>
      <c r="H267" s="35"/>
      <c r="I267" s="35"/>
      <c r="J267" s="33"/>
      <c r="K267" s="22"/>
    </row>
    <row r="268" spans="1:11" ht="15" hidden="1" customHeight="1" outlineLevel="1" x14ac:dyDescent="0.25">
      <c r="A268" s="36"/>
      <c r="B268" s="37" t="s">
        <v>153</v>
      </c>
      <c r="C268" s="16" t="s">
        <v>18</v>
      </c>
      <c r="D268" s="38">
        <v>100</v>
      </c>
      <c r="E268" s="18"/>
      <c r="F268" s="25">
        <f t="shared" si="20"/>
        <v>0</v>
      </c>
      <c r="G268" s="6"/>
      <c r="H268" s="6"/>
      <c r="I268" s="6"/>
      <c r="J268" s="37" t="s">
        <v>154</v>
      </c>
      <c r="K268" s="22"/>
    </row>
    <row r="269" spans="1:11" ht="15" hidden="1" customHeight="1" outlineLevel="1" x14ac:dyDescent="0.25">
      <c r="A269" s="36"/>
      <c r="B269" s="37" t="s">
        <v>155</v>
      </c>
      <c r="C269" s="16" t="s">
        <v>18</v>
      </c>
      <c r="D269" s="38">
        <v>50</v>
      </c>
      <c r="E269" s="18"/>
      <c r="F269" s="25">
        <f t="shared" si="20"/>
        <v>0</v>
      </c>
      <c r="G269" s="6"/>
      <c r="H269" s="6"/>
      <c r="I269" s="6"/>
      <c r="J269" s="37" t="s">
        <v>156</v>
      </c>
      <c r="K269" s="22"/>
    </row>
    <row r="270" spans="1:11" ht="15" hidden="1" customHeight="1" outlineLevel="1" x14ac:dyDescent="0.25">
      <c r="A270" s="36"/>
      <c r="B270" s="37" t="s">
        <v>157</v>
      </c>
      <c r="C270" s="16" t="s">
        <v>18</v>
      </c>
      <c r="D270" s="38">
        <v>300</v>
      </c>
      <c r="E270" s="18"/>
      <c r="F270" s="25">
        <f t="shared" si="20"/>
        <v>0</v>
      </c>
      <c r="G270" s="6"/>
      <c r="H270" s="6"/>
      <c r="I270" s="6"/>
      <c r="J270" s="37" t="s">
        <v>158</v>
      </c>
      <c r="K270" s="22"/>
    </row>
    <row r="271" spans="1:11" ht="15" hidden="1" customHeight="1" outlineLevel="1" x14ac:dyDescent="0.25">
      <c r="A271" s="36"/>
      <c r="B271" s="37" t="s">
        <v>159</v>
      </c>
      <c r="C271" s="16" t="s">
        <v>18</v>
      </c>
      <c r="D271" s="38">
        <v>100</v>
      </c>
      <c r="E271" s="18"/>
      <c r="F271" s="25">
        <f t="shared" si="20"/>
        <v>0</v>
      </c>
      <c r="G271" s="6"/>
      <c r="H271" s="6"/>
      <c r="I271" s="6"/>
      <c r="J271" s="37" t="s">
        <v>160</v>
      </c>
      <c r="K271" s="22"/>
    </row>
    <row r="272" spans="1:11" ht="15" hidden="1" customHeight="1" outlineLevel="1" x14ac:dyDescent="0.25">
      <c r="B272" s="33" t="s">
        <v>161</v>
      </c>
      <c r="C272" s="33"/>
      <c r="D272" s="34"/>
      <c r="E272" s="35"/>
      <c r="F272" s="35"/>
      <c r="G272" s="35"/>
      <c r="H272" s="35"/>
      <c r="I272" s="35"/>
      <c r="J272" s="33"/>
      <c r="K272" s="22"/>
    </row>
    <row r="273" spans="1:11" ht="15" hidden="1" customHeight="1" outlineLevel="1" x14ac:dyDescent="0.25">
      <c r="A273" s="36"/>
      <c r="B273" s="37" t="s">
        <v>162</v>
      </c>
      <c r="C273" s="16" t="s">
        <v>18</v>
      </c>
      <c r="D273" s="38">
        <v>100</v>
      </c>
      <c r="E273" s="18"/>
      <c r="F273" s="25">
        <f t="shared" si="20"/>
        <v>0</v>
      </c>
      <c r="G273" s="6"/>
      <c r="H273" s="6"/>
      <c r="I273" s="6"/>
      <c r="J273" s="37" t="s">
        <v>163</v>
      </c>
      <c r="K273" s="22"/>
    </row>
    <row r="274" spans="1:11" ht="15" hidden="1" customHeight="1" outlineLevel="1" x14ac:dyDescent="0.25">
      <c r="A274" s="36"/>
      <c r="B274" s="37" t="s">
        <v>164</v>
      </c>
      <c r="C274" s="16" t="s">
        <v>18</v>
      </c>
      <c r="D274" s="38">
        <v>50</v>
      </c>
      <c r="E274" s="18"/>
      <c r="F274" s="25">
        <f t="shared" si="20"/>
        <v>0</v>
      </c>
      <c r="G274" s="6"/>
      <c r="H274" s="6"/>
      <c r="I274" s="6"/>
      <c r="J274" s="37" t="s">
        <v>165</v>
      </c>
      <c r="K274" s="22"/>
    </row>
    <row r="275" spans="1:11" ht="15" hidden="1" customHeight="1" outlineLevel="1" x14ac:dyDescent="0.25">
      <c r="A275" s="36"/>
      <c r="B275" s="37" t="s">
        <v>166</v>
      </c>
      <c r="C275" s="16" t="s">
        <v>18</v>
      </c>
      <c r="D275" s="38">
        <v>300</v>
      </c>
      <c r="E275" s="18"/>
      <c r="F275" s="25">
        <f t="shared" si="20"/>
        <v>0</v>
      </c>
      <c r="G275" s="6"/>
      <c r="H275" s="6"/>
      <c r="I275" s="6"/>
      <c r="J275" s="37" t="s">
        <v>167</v>
      </c>
      <c r="K275" s="22"/>
    </row>
    <row r="276" spans="1:11" ht="15" hidden="1" customHeight="1" outlineLevel="1" x14ac:dyDescent="0.25">
      <c r="A276" s="36"/>
      <c r="B276" s="37" t="s">
        <v>168</v>
      </c>
      <c r="C276" s="16" t="s">
        <v>18</v>
      </c>
      <c r="D276" s="38">
        <v>150</v>
      </c>
      <c r="E276" s="18"/>
      <c r="F276" s="25">
        <f t="shared" si="20"/>
        <v>0</v>
      </c>
      <c r="G276" s="6"/>
      <c r="H276" s="6"/>
      <c r="I276" s="6"/>
      <c r="J276" s="37" t="s">
        <v>169</v>
      </c>
      <c r="K276" s="22"/>
    </row>
    <row r="277" spans="1:11" ht="15" hidden="1" customHeight="1" outlineLevel="1" x14ac:dyDescent="0.25">
      <c r="B277" s="33" t="s">
        <v>170</v>
      </c>
      <c r="C277" s="33"/>
      <c r="D277" s="34"/>
      <c r="E277" s="35"/>
      <c r="F277" s="35"/>
      <c r="G277" s="35"/>
      <c r="H277" s="35"/>
      <c r="I277" s="35"/>
      <c r="J277" s="33"/>
      <c r="K277" s="22"/>
    </row>
    <row r="278" spans="1:11" ht="15" hidden="1" customHeight="1" outlineLevel="1" x14ac:dyDescent="0.25">
      <c r="A278" s="36"/>
      <c r="B278" s="37" t="s">
        <v>171</v>
      </c>
      <c r="C278" s="16" t="s">
        <v>18</v>
      </c>
      <c r="D278" s="38">
        <v>150</v>
      </c>
      <c r="E278" s="18"/>
      <c r="F278" s="25">
        <f t="shared" si="20"/>
        <v>0</v>
      </c>
      <c r="G278" s="6"/>
      <c r="H278" s="6"/>
      <c r="I278" s="6"/>
      <c r="J278" s="37" t="s">
        <v>172</v>
      </c>
      <c r="K278" s="22"/>
    </row>
    <row r="279" spans="1:11" ht="15" hidden="1" customHeight="1" outlineLevel="1" x14ac:dyDescent="0.25">
      <c r="A279" s="36"/>
      <c r="B279" s="37" t="s">
        <v>173</v>
      </c>
      <c r="C279" s="16" t="s">
        <v>18</v>
      </c>
      <c r="D279" s="38">
        <v>100</v>
      </c>
      <c r="E279" s="18"/>
      <c r="F279" s="25">
        <f t="shared" si="20"/>
        <v>0</v>
      </c>
      <c r="G279" s="6"/>
      <c r="H279" s="6"/>
      <c r="I279" s="6"/>
      <c r="J279" s="37" t="s">
        <v>174</v>
      </c>
      <c r="K279" s="22"/>
    </row>
    <row r="280" spans="1:11" ht="15" hidden="1" customHeight="1" outlineLevel="1" x14ac:dyDescent="0.25">
      <c r="A280" s="36"/>
      <c r="B280" s="37" t="s">
        <v>175</v>
      </c>
      <c r="C280" s="16" t="s">
        <v>18</v>
      </c>
      <c r="D280" s="38">
        <v>300</v>
      </c>
      <c r="E280" s="18"/>
      <c r="F280" s="25">
        <f t="shared" si="20"/>
        <v>0</v>
      </c>
      <c r="G280" s="6"/>
      <c r="H280" s="6"/>
      <c r="I280" s="6"/>
      <c r="J280" s="37" t="s">
        <v>172</v>
      </c>
      <c r="K280" s="22"/>
    </row>
    <row r="281" spans="1:11" ht="15" hidden="1" customHeight="1" outlineLevel="1" x14ac:dyDescent="0.25">
      <c r="A281" s="36"/>
      <c r="B281" s="37" t="s">
        <v>176</v>
      </c>
      <c r="C281" s="16" t="s">
        <v>18</v>
      </c>
      <c r="D281" s="38">
        <v>150</v>
      </c>
      <c r="E281" s="18"/>
      <c r="F281" s="25">
        <f t="shared" si="20"/>
        <v>0</v>
      </c>
      <c r="G281" s="6"/>
      <c r="H281" s="6"/>
      <c r="I281" s="6"/>
      <c r="J281" s="37" t="s">
        <v>174</v>
      </c>
      <c r="K281" s="22"/>
    </row>
    <row r="282" spans="1:11" ht="15" hidden="1" customHeight="1" outlineLevel="1" x14ac:dyDescent="0.25">
      <c r="B282" s="33" t="s">
        <v>177</v>
      </c>
      <c r="C282" s="33"/>
      <c r="D282" s="34"/>
      <c r="E282" s="35"/>
      <c r="F282" s="35"/>
      <c r="G282" s="35"/>
      <c r="H282" s="35"/>
      <c r="I282" s="35"/>
      <c r="J282" s="33"/>
      <c r="K282" s="22"/>
    </row>
    <row r="283" spans="1:11" ht="15" hidden="1" customHeight="1" outlineLevel="1" x14ac:dyDescent="0.25">
      <c r="A283" s="36"/>
      <c r="B283" s="37" t="s">
        <v>61</v>
      </c>
      <c r="C283" s="16" t="s">
        <v>18</v>
      </c>
      <c r="D283" s="38">
        <v>300</v>
      </c>
      <c r="E283" s="18"/>
      <c r="F283" s="25">
        <f t="shared" si="20"/>
        <v>0</v>
      </c>
      <c r="G283" s="6"/>
      <c r="H283" s="6"/>
      <c r="I283" s="6"/>
      <c r="J283" s="37" t="s">
        <v>178</v>
      </c>
      <c r="K283" s="22"/>
    </row>
    <row r="284" spans="1:11" ht="30" hidden="1" outlineLevel="1" x14ac:dyDescent="0.25">
      <c r="A284" s="36"/>
      <c r="B284" s="37" t="s">
        <v>179</v>
      </c>
      <c r="C284" s="16" t="s">
        <v>18</v>
      </c>
      <c r="D284" s="38">
        <v>100</v>
      </c>
      <c r="E284" s="18"/>
      <c r="F284" s="25">
        <f t="shared" si="20"/>
        <v>0</v>
      </c>
      <c r="G284" s="6"/>
      <c r="H284" s="6"/>
      <c r="I284" s="6"/>
      <c r="J284" s="37" t="s">
        <v>180</v>
      </c>
      <c r="K284" s="22"/>
    </row>
    <row r="285" spans="1:11" ht="15" hidden="1" customHeight="1" outlineLevel="1" x14ac:dyDescent="0.25">
      <c r="A285" s="36"/>
      <c r="B285" s="37" t="s">
        <v>181</v>
      </c>
      <c r="C285" s="16" t="s">
        <v>18</v>
      </c>
      <c r="D285" s="38">
        <v>500</v>
      </c>
      <c r="E285" s="18"/>
      <c r="F285" s="25">
        <f t="shared" si="20"/>
        <v>0</v>
      </c>
      <c r="G285" s="6"/>
      <c r="H285" s="6"/>
      <c r="I285" s="6"/>
      <c r="J285" s="37" t="s">
        <v>182</v>
      </c>
      <c r="K285" s="22"/>
    </row>
    <row r="286" spans="1:11" ht="30" hidden="1" outlineLevel="1" x14ac:dyDescent="0.25">
      <c r="A286" s="36"/>
      <c r="B286" s="37" t="s">
        <v>183</v>
      </c>
      <c r="C286" s="16" t="s">
        <v>18</v>
      </c>
      <c r="D286" s="38">
        <v>200</v>
      </c>
      <c r="E286" s="18"/>
      <c r="F286" s="25">
        <f t="shared" si="20"/>
        <v>0</v>
      </c>
      <c r="G286" s="6"/>
      <c r="H286" s="6"/>
      <c r="I286" s="6"/>
      <c r="J286" s="37" t="s">
        <v>184</v>
      </c>
      <c r="K286" s="22"/>
    </row>
    <row r="287" spans="1:11" ht="15" hidden="1" customHeight="1" outlineLevel="1" x14ac:dyDescent="0.25">
      <c r="B287" s="33" t="s">
        <v>185</v>
      </c>
      <c r="C287" s="33"/>
      <c r="D287" s="34"/>
      <c r="E287" s="35"/>
      <c r="F287" s="35"/>
      <c r="G287" s="35"/>
      <c r="H287" s="35"/>
      <c r="I287" s="35"/>
      <c r="J287" s="33"/>
      <c r="K287" s="22"/>
    </row>
    <row r="288" spans="1:11" ht="15" hidden="1" customHeight="1" outlineLevel="1" x14ac:dyDescent="0.25">
      <c r="A288" s="36"/>
      <c r="B288" s="37" t="s">
        <v>66</v>
      </c>
      <c r="C288" s="16" t="s">
        <v>18</v>
      </c>
      <c r="D288" s="38">
        <v>400</v>
      </c>
      <c r="E288" s="18"/>
      <c r="F288" s="25">
        <f t="shared" si="20"/>
        <v>0</v>
      </c>
      <c r="G288" s="6"/>
      <c r="H288" s="6"/>
      <c r="I288" s="6"/>
      <c r="J288" s="37" t="s">
        <v>186</v>
      </c>
      <c r="K288" s="22"/>
    </row>
    <row r="289" spans="1:11" ht="30" hidden="1" outlineLevel="1" x14ac:dyDescent="0.25">
      <c r="A289" s="36"/>
      <c r="B289" s="37" t="s">
        <v>187</v>
      </c>
      <c r="C289" s="16" t="s">
        <v>18</v>
      </c>
      <c r="D289" s="38">
        <v>200</v>
      </c>
      <c r="E289" s="18"/>
      <c r="F289" s="25">
        <f t="shared" si="20"/>
        <v>0</v>
      </c>
      <c r="G289" s="6"/>
      <c r="H289" s="6"/>
      <c r="I289" s="6"/>
      <c r="J289" s="37" t="s">
        <v>188</v>
      </c>
      <c r="K289" s="22"/>
    </row>
    <row r="290" spans="1:11" ht="30" hidden="1" customHeight="1" outlineLevel="1" x14ac:dyDescent="0.25">
      <c r="A290" s="36"/>
      <c r="B290" s="37" t="s">
        <v>189</v>
      </c>
      <c r="C290" s="16" t="s">
        <v>18</v>
      </c>
      <c r="D290" s="38">
        <v>800</v>
      </c>
      <c r="E290" s="18"/>
      <c r="F290" s="25">
        <f t="shared" si="20"/>
        <v>0</v>
      </c>
      <c r="G290" s="6"/>
      <c r="H290" s="6"/>
      <c r="I290" s="6"/>
      <c r="J290" s="37" t="s">
        <v>190</v>
      </c>
      <c r="K290" s="22"/>
    </row>
    <row r="291" spans="1:11" ht="30" hidden="1" customHeight="1" outlineLevel="1" x14ac:dyDescent="0.25">
      <c r="A291" s="36"/>
      <c r="B291" s="37" t="s">
        <v>191</v>
      </c>
      <c r="C291" s="16" t="s">
        <v>18</v>
      </c>
      <c r="D291" s="38">
        <v>300</v>
      </c>
      <c r="E291" s="18"/>
      <c r="F291" s="25">
        <f t="shared" si="20"/>
        <v>0</v>
      </c>
      <c r="G291" s="6"/>
      <c r="H291" s="6"/>
      <c r="I291" s="6"/>
      <c r="J291" s="37" t="s">
        <v>188</v>
      </c>
      <c r="K291" s="22"/>
    </row>
    <row r="292" spans="1:11" hidden="1" outlineLevel="1" x14ac:dyDescent="0.25">
      <c r="A292" s="36"/>
      <c r="B292" s="44" t="s">
        <v>192</v>
      </c>
      <c r="C292" s="45"/>
      <c r="D292" s="46"/>
      <c r="E292" s="46"/>
      <c r="F292" s="45"/>
      <c r="G292" s="45"/>
      <c r="H292" s="45"/>
      <c r="I292" s="45"/>
      <c r="J292" s="37"/>
      <c r="K292" s="22"/>
    </row>
    <row r="293" spans="1:11" hidden="1" outlineLevel="1" x14ac:dyDescent="0.25">
      <c r="A293" s="36"/>
      <c r="B293" s="33" t="s">
        <v>193</v>
      </c>
      <c r="C293" s="33" t="s">
        <v>50</v>
      </c>
      <c r="D293" s="34"/>
      <c r="E293" s="35"/>
      <c r="F293" s="47"/>
      <c r="G293" s="47"/>
      <c r="H293" s="47"/>
      <c r="I293" s="47"/>
      <c r="J293" s="47"/>
      <c r="K293" s="22"/>
    </row>
    <row r="294" spans="1:11" hidden="1" outlineLevel="1" x14ac:dyDescent="0.25">
      <c r="A294" s="36"/>
      <c r="B294" s="48" t="s">
        <v>194</v>
      </c>
      <c r="C294" s="49" t="s">
        <v>24</v>
      </c>
      <c r="D294" s="50">
        <v>80</v>
      </c>
      <c r="E294" s="18"/>
      <c r="F294" s="25">
        <f>E294*D294</f>
        <v>0</v>
      </c>
      <c r="G294" s="6"/>
      <c r="H294" s="6"/>
      <c r="I294" s="6"/>
      <c r="J294" s="37"/>
      <c r="K294" s="22"/>
    </row>
    <row r="295" spans="1:11" hidden="1" outlineLevel="1" x14ac:dyDescent="0.25">
      <c r="A295" s="36"/>
      <c r="B295" s="48" t="s">
        <v>195</v>
      </c>
      <c r="C295" s="49" t="s">
        <v>24</v>
      </c>
      <c r="D295" s="51">
        <v>20</v>
      </c>
      <c r="E295" s="18"/>
      <c r="F295" s="25">
        <f t="shared" ref="F295:F311" si="22">E295*D295</f>
        <v>0</v>
      </c>
      <c r="G295" s="6"/>
      <c r="H295" s="6"/>
      <c r="I295" s="6"/>
      <c r="J295" s="37"/>
      <c r="K295" s="22"/>
    </row>
    <row r="296" spans="1:11" hidden="1" outlineLevel="1" x14ac:dyDescent="0.25">
      <c r="A296" s="36"/>
      <c r="B296" s="48" t="s">
        <v>196</v>
      </c>
      <c r="C296" s="49" t="s">
        <v>24</v>
      </c>
      <c r="D296" s="51">
        <v>40</v>
      </c>
      <c r="E296" s="18"/>
      <c r="F296" s="25">
        <f t="shared" si="22"/>
        <v>0</v>
      </c>
      <c r="G296" s="6"/>
      <c r="H296" s="6"/>
      <c r="I296" s="6"/>
      <c r="J296" s="37"/>
      <c r="K296" s="22"/>
    </row>
    <row r="297" spans="1:11" hidden="1" outlineLevel="1" x14ac:dyDescent="0.25">
      <c r="A297" s="36"/>
      <c r="B297" s="48" t="s">
        <v>197</v>
      </c>
      <c r="C297" s="49" t="s">
        <v>24</v>
      </c>
      <c r="D297" s="51">
        <v>15</v>
      </c>
      <c r="E297" s="18"/>
      <c r="F297" s="25">
        <f t="shared" si="22"/>
        <v>0</v>
      </c>
      <c r="G297" s="6"/>
      <c r="H297" s="6"/>
      <c r="I297" s="6"/>
      <c r="J297" s="37"/>
      <c r="K297" s="22"/>
    </row>
    <row r="298" spans="1:11" hidden="1" outlineLevel="1" x14ac:dyDescent="0.25">
      <c r="A298" s="36"/>
      <c r="B298" s="48" t="s">
        <v>198</v>
      </c>
      <c r="C298" s="49" t="s">
        <v>24</v>
      </c>
      <c r="D298" s="51">
        <v>30</v>
      </c>
      <c r="E298" s="18"/>
      <c r="F298" s="25">
        <f t="shared" si="22"/>
        <v>0</v>
      </c>
      <c r="G298" s="6"/>
      <c r="H298" s="6"/>
      <c r="I298" s="6"/>
      <c r="J298" s="37"/>
      <c r="K298" s="22"/>
    </row>
    <row r="299" spans="1:11" hidden="1" outlineLevel="1" x14ac:dyDescent="0.25">
      <c r="A299" s="36"/>
      <c r="B299" s="48" t="s">
        <v>199</v>
      </c>
      <c r="C299" s="49" t="s">
        <v>24</v>
      </c>
      <c r="D299" s="51">
        <v>40</v>
      </c>
      <c r="E299" s="18"/>
      <c r="F299" s="25">
        <f t="shared" si="22"/>
        <v>0</v>
      </c>
      <c r="G299" s="6"/>
      <c r="H299" s="6"/>
      <c r="I299" s="6"/>
      <c r="J299" s="37"/>
      <c r="K299" s="22"/>
    </row>
    <row r="300" spans="1:11" hidden="1" outlineLevel="1" x14ac:dyDescent="0.25">
      <c r="A300" s="36"/>
      <c r="B300" s="48" t="s">
        <v>200</v>
      </c>
      <c r="C300" s="49" t="s">
        <v>24</v>
      </c>
      <c r="D300" s="51">
        <v>80</v>
      </c>
      <c r="E300" s="18"/>
      <c r="F300" s="25">
        <f t="shared" si="22"/>
        <v>0</v>
      </c>
      <c r="G300" s="6"/>
      <c r="H300" s="6"/>
      <c r="I300" s="6"/>
      <c r="J300" s="37"/>
      <c r="K300" s="22"/>
    </row>
    <row r="301" spans="1:11" hidden="1" outlineLevel="1" x14ac:dyDescent="0.25">
      <c r="A301" s="36"/>
      <c r="B301" s="48" t="s">
        <v>201</v>
      </c>
      <c r="C301" s="49" t="s">
        <v>24</v>
      </c>
      <c r="D301" s="51">
        <v>20</v>
      </c>
      <c r="E301" s="18"/>
      <c r="F301" s="25">
        <f t="shared" si="22"/>
        <v>0</v>
      </c>
      <c r="G301" s="6"/>
      <c r="H301" s="6"/>
      <c r="I301" s="6"/>
      <c r="J301" s="37"/>
      <c r="K301" s="22"/>
    </row>
    <row r="302" spans="1:11" hidden="1" outlineLevel="1" x14ac:dyDescent="0.25">
      <c r="A302" s="36"/>
      <c r="B302" s="48" t="s">
        <v>202</v>
      </c>
      <c r="C302" s="49" t="s">
        <v>24</v>
      </c>
      <c r="D302" s="51">
        <v>40</v>
      </c>
      <c r="E302" s="18"/>
      <c r="F302" s="25">
        <f t="shared" si="22"/>
        <v>0</v>
      </c>
      <c r="G302" s="6"/>
      <c r="H302" s="6"/>
      <c r="I302" s="6"/>
      <c r="J302" s="37"/>
      <c r="K302" s="22"/>
    </row>
    <row r="303" spans="1:11" hidden="1" outlineLevel="1" x14ac:dyDescent="0.25">
      <c r="A303" s="36"/>
      <c r="B303" s="48" t="s">
        <v>203</v>
      </c>
      <c r="C303" s="49" t="s">
        <v>24</v>
      </c>
      <c r="D303" s="51">
        <v>30</v>
      </c>
      <c r="E303" s="18"/>
      <c r="F303" s="25">
        <f t="shared" si="22"/>
        <v>0</v>
      </c>
      <c r="G303" s="6"/>
      <c r="H303" s="6"/>
      <c r="I303" s="6"/>
      <c r="J303" s="37"/>
      <c r="K303" s="22"/>
    </row>
    <row r="304" spans="1:11" hidden="1" outlineLevel="1" x14ac:dyDescent="0.25">
      <c r="A304" s="36"/>
      <c r="B304" s="48" t="s">
        <v>204</v>
      </c>
      <c r="C304" s="49" t="s">
        <v>24</v>
      </c>
      <c r="D304" s="51">
        <v>60</v>
      </c>
      <c r="E304" s="18"/>
      <c r="F304" s="25">
        <f t="shared" si="22"/>
        <v>0</v>
      </c>
      <c r="G304" s="6"/>
      <c r="H304" s="6"/>
      <c r="I304" s="6"/>
      <c r="J304" s="37"/>
      <c r="K304" s="22"/>
    </row>
    <row r="305" spans="1:11" hidden="1" outlineLevel="1" x14ac:dyDescent="0.25">
      <c r="A305" s="36"/>
      <c r="B305" s="48" t="s">
        <v>205</v>
      </c>
      <c r="C305" s="49" t="s">
        <v>24</v>
      </c>
      <c r="D305" s="51">
        <v>15</v>
      </c>
      <c r="E305" s="18"/>
      <c r="F305" s="25">
        <f t="shared" si="22"/>
        <v>0</v>
      </c>
      <c r="G305" s="6"/>
      <c r="H305" s="6"/>
      <c r="I305" s="6"/>
      <c r="J305" s="37"/>
      <c r="K305" s="22"/>
    </row>
    <row r="306" spans="1:11" hidden="1" outlineLevel="1" x14ac:dyDescent="0.25">
      <c r="A306" s="36"/>
      <c r="B306" s="48" t="s">
        <v>206</v>
      </c>
      <c r="C306" s="49" t="s">
        <v>24</v>
      </c>
      <c r="D306" s="51">
        <v>30</v>
      </c>
      <c r="E306" s="18"/>
      <c r="F306" s="25">
        <f t="shared" si="22"/>
        <v>0</v>
      </c>
      <c r="G306" s="6"/>
      <c r="H306" s="6"/>
      <c r="I306" s="6"/>
      <c r="J306" s="37"/>
      <c r="K306" s="22"/>
    </row>
    <row r="307" spans="1:11" hidden="1" outlineLevel="1" x14ac:dyDescent="0.25">
      <c r="A307" s="36"/>
      <c r="B307" s="48" t="s">
        <v>207</v>
      </c>
      <c r="C307" s="49" t="s">
        <v>24</v>
      </c>
      <c r="D307" s="51">
        <v>15</v>
      </c>
      <c r="E307" s="18"/>
      <c r="F307" s="25">
        <f t="shared" si="22"/>
        <v>0</v>
      </c>
      <c r="G307" s="6"/>
      <c r="H307" s="6"/>
      <c r="I307" s="6"/>
      <c r="J307" s="37"/>
      <c r="K307" s="22"/>
    </row>
    <row r="308" spans="1:11" hidden="1" outlineLevel="1" x14ac:dyDescent="0.25">
      <c r="A308" s="36"/>
      <c r="B308" s="48" t="s">
        <v>208</v>
      </c>
      <c r="C308" s="49" t="s">
        <v>24</v>
      </c>
      <c r="D308" s="51">
        <v>30</v>
      </c>
      <c r="E308" s="18"/>
      <c r="F308" s="25">
        <f t="shared" si="22"/>
        <v>0</v>
      </c>
      <c r="G308" s="6"/>
      <c r="H308" s="6"/>
      <c r="I308" s="6"/>
      <c r="J308" s="37"/>
      <c r="K308" s="22"/>
    </row>
    <row r="309" spans="1:11" hidden="1" outlineLevel="1" x14ac:dyDescent="0.25">
      <c r="A309" s="36"/>
      <c r="B309" s="48" t="s">
        <v>209</v>
      </c>
      <c r="C309" s="49" t="s">
        <v>24</v>
      </c>
      <c r="D309" s="51">
        <v>15</v>
      </c>
      <c r="E309" s="18"/>
      <c r="F309" s="25">
        <f t="shared" si="22"/>
        <v>0</v>
      </c>
      <c r="G309" s="6"/>
      <c r="H309" s="6"/>
      <c r="I309" s="6"/>
      <c r="J309" s="37"/>
      <c r="K309" s="22"/>
    </row>
    <row r="310" spans="1:11" hidden="1" outlineLevel="1" x14ac:dyDescent="0.25">
      <c r="A310" s="36"/>
      <c r="B310" s="48" t="s">
        <v>210</v>
      </c>
      <c r="C310" s="49" t="s">
        <v>24</v>
      </c>
      <c r="D310" s="51">
        <v>10</v>
      </c>
      <c r="E310" s="18"/>
      <c r="F310" s="25">
        <f t="shared" si="22"/>
        <v>0</v>
      </c>
      <c r="G310" s="6"/>
      <c r="H310" s="6"/>
      <c r="I310" s="6"/>
      <c r="J310" s="37"/>
      <c r="K310" s="22"/>
    </row>
    <row r="311" spans="1:11" hidden="1" outlineLevel="1" x14ac:dyDescent="0.25">
      <c r="A311" s="36"/>
      <c r="B311" s="48" t="s">
        <v>211</v>
      </c>
      <c r="C311" s="49" t="s">
        <v>24</v>
      </c>
      <c r="D311" s="51">
        <v>20</v>
      </c>
      <c r="E311" s="18"/>
      <c r="F311" s="25">
        <f t="shared" si="22"/>
        <v>0</v>
      </c>
      <c r="G311" s="6"/>
      <c r="H311" s="6"/>
      <c r="I311" s="6"/>
      <c r="J311" s="37"/>
      <c r="K311" s="22"/>
    </row>
    <row r="312" spans="1:11" hidden="1" outlineLevel="1" x14ac:dyDescent="0.25">
      <c r="A312" s="36"/>
      <c r="B312" s="48" t="s">
        <v>212</v>
      </c>
      <c r="C312" s="49" t="s">
        <v>24</v>
      </c>
      <c r="D312" s="52">
        <v>10</v>
      </c>
      <c r="E312" s="18"/>
      <c r="F312" s="25">
        <f>E312*D312</f>
        <v>0</v>
      </c>
      <c r="G312" s="6"/>
      <c r="H312" s="6"/>
      <c r="I312" s="6"/>
      <c r="J312" s="37"/>
      <c r="K312" s="22"/>
    </row>
    <row r="313" spans="1:11" hidden="1" outlineLevel="1" x14ac:dyDescent="0.25">
      <c r="A313" s="36"/>
      <c r="B313" s="44" t="s">
        <v>213</v>
      </c>
      <c r="C313" s="44"/>
      <c r="D313" s="53"/>
      <c r="E313" s="53"/>
      <c r="F313" s="44"/>
      <c r="G313" s="44"/>
      <c r="H313" s="44"/>
      <c r="I313" s="44"/>
      <c r="J313" s="37"/>
      <c r="K313" s="22"/>
    </row>
    <row r="314" spans="1:11" hidden="1" outlineLevel="1" x14ac:dyDescent="0.25">
      <c r="A314" s="36"/>
      <c r="B314" s="33" t="s">
        <v>22</v>
      </c>
      <c r="C314" s="33" t="s">
        <v>50</v>
      </c>
      <c r="D314" s="34" t="s">
        <v>50</v>
      </c>
      <c r="E314" s="35"/>
      <c r="F314" s="35"/>
      <c r="G314" s="35"/>
      <c r="H314" s="35"/>
      <c r="I314" s="35"/>
      <c r="J314" s="33"/>
      <c r="K314" s="22"/>
    </row>
    <row r="315" spans="1:11" hidden="1" outlineLevel="1" x14ac:dyDescent="0.25">
      <c r="A315" s="36"/>
      <c r="B315" s="48" t="s">
        <v>129</v>
      </c>
      <c r="C315" s="49" t="s">
        <v>24</v>
      </c>
      <c r="D315" s="51">
        <v>20</v>
      </c>
      <c r="E315" s="18"/>
      <c r="F315" s="25">
        <f t="shared" ref="F315:F377" si="23">E315*D315</f>
        <v>0</v>
      </c>
      <c r="G315" s="6"/>
      <c r="H315" s="6"/>
      <c r="I315" s="6"/>
      <c r="J315" s="37"/>
      <c r="K315" s="22"/>
    </row>
    <row r="316" spans="1:11" hidden="1" outlineLevel="1" x14ac:dyDescent="0.25">
      <c r="A316" s="36"/>
      <c r="B316" s="48" t="s">
        <v>130</v>
      </c>
      <c r="C316" s="49" t="s">
        <v>24</v>
      </c>
      <c r="D316" s="51">
        <v>25</v>
      </c>
      <c r="E316" s="18"/>
      <c r="F316" s="25">
        <f t="shared" si="23"/>
        <v>0</v>
      </c>
      <c r="G316" s="6"/>
      <c r="H316" s="6"/>
      <c r="I316" s="6"/>
      <c r="J316" s="37"/>
      <c r="K316" s="22"/>
    </row>
    <row r="317" spans="1:11" hidden="1" outlineLevel="1" x14ac:dyDescent="0.25">
      <c r="A317" s="36"/>
      <c r="B317" s="48" t="s">
        <v>131</v>
      </c>
      <c r="C317" s="49" t="s">
        <v>24</v>
      </c>
      <c r="D317" s="51">
        <v>30</v>
      </c>
      <c r="E317" s="18"/>
      <c r="F317" s="25">
        <f t="shared" si="23"/>
        <v>0</v>
      </c>
      <c r="G317" s="6"/>
      <c r="H317" s="6"/>
      <c r="I317" s="6"/>
      <c r="J317" s="37"/>
      <c r="K317" s="22"/>
    </row>
    <row r="318" spans="1:11" hidden="1" outlineLevel="1" x14ac:dyDescent="0.25">
      <c r="A318" s="36"/>
      <c r="B318" s="48" t="s">
        <v>214</v>
      </c>
      <c r="C318" s="49" t="s">
        <v>24</v>
      </c>
      <c r="D318" s="51">
        <v>20</v>
      </c>
      <c r="E318" s="18"/>
      <c r="F318" s="25">
        <f t="shared" si="23"/>
        <v>0</v>
      </c>
      <c r="G318" s="6"/>
      <c r="H318" s="6"/>
      <c r="I318" s="6"/>
      <c r="J318" s="37"/>
      <c r="K318" s="22"/>
    </row>
    <row r="319" spans="1:11" hidden="1" outlineLevel="1" x14ac:dyDescent="0.25">
      <c r="A319" s="36"/>
      <c r="B319" s="48" t="s">
        <v>133</v>
      </c>
      <c r="C319" s="49" t="s">
        <v>24</v>
      </c>
      <c r="D319" s="51">
        <v>35</v>
      </c>
      <c r="E319" s="18"/>
      <c r="F319" s="25">
        <f t="shared" si="23"/>
        <v>0</v>
      </c>
      <c r="G319" s="6"/>
      <c r="H319" s="6"/>
      <c r="I319" s="6"/>
      <c r="J319" s="37"/>
      <c r="K319" s="22"/>
    </row>
    <row r="320" spans="1:11" hidden="1" outlineLevel="1" x14ac:dyDescent="0.25">
      <c r="A320" s="36"/>
      <c r="B320" s="48" t="s">
        <v>215</v>
      </c>
      <c r="C320" s="49" t="s">
        <v>24</v>
      </c>
      <c r="D320" s="51">
        <v>25</v>
      </c>
      <c r="E320" s="18"/>
      <c r="F320" s="25">
        <f t="shared" si="23"/>
        <v>0</v>
      </c>
      <c r="G320" s="6"/>
      <c r="H320" s="6"/>
      <c r="I320" s="6"/>
      <c r="J320" s="37"/>
      <c r="K320" s="22"/>
    </row>
    <row r="321" spans="1:11" hidden="1" outlineLevel="1" x14ac:dyDescent="0.25">
      <c r="A321" s="36"/>
      <c r="B321" s="48" t="s">
        <v>216</v>
      </c>
      <c r="C321" s="49" t="s">
        <v>24</v>
      </c>
      <c r="D321" s="51">
        <v>20</v>
      </c>
      <c r="E321" s="18"/>
      <c r="F321" s="25">
        <f t="shared" si="23"/>
        <v>0</v>
      </c>
      <c r="G321" s="6"/>
      <c r="H321" s="6"/>
      <c r="I321" s="6"/>
      <c r="J321" s="37"/>
      <c r="K321" s="22"/>
    </row>
    <row r="322" spans="1:11" hidden="1" outlineLevel="1" x14ac:dyDescent="0.25">
      <c r="A322" s="36"/>
      <c r="B322" s="48" t="s">
        <v>217</v>
      </c>
      <c r="C322" s="49" t="s">
        <v>24</v>
      </c>
      <c r="D322" s="51">
        <v>5</v>
      </c>
      <c r="E322" s="18"/>
      <c r="F322" s="25">
        <f t="shared" si="23"/>
        <v>0</v>
      </c>
      <c r="G322" s="6"/>
      <c r="H322" s="6"/>
      <c r="I322" s="6"/>
      <c r="J322" s="37"/>
      <c r="K322" s="22"/>
    </row>
    <row r="323" spans="1:11" hidden="1" outlineLevel="1" x14ac:dyDescent="0.25">
      <c r="A323" s="36"/>
      <c r="B323" s="44" t="s">
        <v>218</v>
      </c>
      <c r="C323" s="44"/>
      <c r="D323" s="53"/>
      <c r="E323" s="53"/>
      <c r="F323" s="54"/>
      <c r="G323" s="54"/>
      <c r="H323" s="54"/>
      <c r="I323" s="54"/>
      <c r="J323" s="37"/>
      <c r="K323" s="22"/>
    </row>
    <row r="324" spans="1:11" hidden="1" outlineLevel="1" x14ac:dyDescent="0.25">
      <c r="A324" s="36"/>
      <c r="B324" s="33" t="s">
        <v>22</v>
      </c>
      <c r="C324" s="33" t="s">
        <v>50</v>
      </c>
      <c r="D324" s="34" t="s">
        <v>50</v>
      </c>
      <c r="E324" s="35"/>
      <c r="F324" s="47"/>
      <c r="G324" s="47"/>
      <c r="H324" s="47"/>
      <c r="I324" s="47"/>
      <c r="J324" s="37"/>
      <c r="K324" s="22"/>
    </row>
    <row r="325" spans="1:11" hidden="1" outlineLevel="1" x14ac:dyDescent="0.25">
      <c r="A325" s="36"/>
      <c r="B325" s="55" t="s">
        <v>129</v>
      </c>
      <c r="C325" s="49" t="s">
        <v>24</v>
      </c>
      <c r="D325" s="50">
        <v>20</v>
      </c>
      <c r="E325" s="18"/>
      <c r="F325" s="25">
        <f t="shared" si="23"/>
        <v>0</v>
      </c>
      <c r="G325" s="6"/>
      <c r="H325" s="6"/>
      <c r="I325" s="6"/>
      <c r="J325" s="37"/>
      <c r="K325" s="22"/>
    </row>
    <row r="326" spans="1:11" hidden="1" outlineLevel="1" x14ac:dyDescent="0.25">
      <c r="A326" s="36"/>
      <c r="B326" s="55" t="s">
        <v>130</v>
      </c>
      <c r="C326" s="49" t="s">
        <v>24</v>
      </c>
      <c r="D326" s="50">
        <v>25</v>
      </c>
      <c r="E326" s="18"/>
      <c r="F326" s="25">
        <f t="shared" si="23"/>
        <v>0</v>
      </c>
      <c r="G326" s="6"/>
      <c r="H326" s="6"/>
      <c r="I326" s="6"/>
      <c r="J326" s="37"/>
      <c r="K326" s="22"/>
    </row>
    <row r="327" spans="1:11" hidden="1" outlineLevel="1" x14ac:dyDescent="0.25">
      <c r="A327" s="36"/>
      <c r="B327" s="55" t="s">
        <v>131</v>
      </c>
      <c r="C327" s="49" t="s">
        <v>24</v>
      </c>
      <c r="D327" s="50">
        <v>30</v>
      </c>
      <c r="E327" s="18"/>
      <c r="F327" s="25">
        <f t="shared" si="23"/>
        <v>0</v>
      </c>
      <c r="G327" s="6"/>
      <c r="H327" s="6"/>
      <c r="I327" s="6"/>
      <c r="J327" s="37"/>
      <c r="K327" s="22"/>
    </row>
    <row r="328" spans="1:11" hidden="1" outlineLevel="1" x14ac:dyDescent="0.25">
      <c r="A328" s="36"/>
      <c r="B328" s="55" t="s">
        <v>214</v>
      </c>
      <c r="C328" s="49" t="s">
        <v>24</v>
      </c>
      <c r="D328" s="50">
        <v>20</v>
      </c>
      <c r="E328" s="18"/>
      <c r="F328" s="25">
        <f t="shared" si="23"/>
        <v>0</v>
      </c>
      <c r="G328" s="6"/>
      <c r="H328" s="6"/>
      <c r="I328" s="6"/>
      <c r="J328" s="37"/>
      <c r="K328" s="22"/>
    </row>
    <row r="329" spans="1:11" hidden="1" outlineLevel="1" x14ac:dyDescent="0.25">
      <c r="A329" s="36"/>
      <c r="B329" s="55" t="s">
        <v>133</v>
      </c>
      <c r="C329" s="49" t="s">
        <v>24</v>
      </c>
      <c r="D329" s="50">
        <v>35</v>
      </c>
      <c r="E329" s="18"/>
      <c r="F329" s="25">
        <f t="shared" si="23"/>
        <v>0</v>
      </c>
      <c r="G329" s="6"/>
      <c r="H329" s="6"/>
      <c r="I329" s="6"/>
      <c r="J329" s="37"/>
      <c r="K329" s="22"/>
    </row>
    <row r="330" spans="1:11" hidden="1" outlineLevel="1" x14ac:dyDescent="0.25">
      <c r="A330" s="36"/>
      <c r="B330" s="55" t="s">
        <v>215</v>
      </c>
      <c r="C330" s="49" t="s">
        <v>24</v>
      </c>
      <c r="D330" s="50">
        <v>25</v>
      </c>
      <c r="E330" s="18"/>
      <c r="F330" s="25">
        <f t="shared" si="23"/>
        <v>0</v>
      </c>
      <c r="G330" s="6"/>
      <c r="H330" s="6"/>
      <c r="I330" s="6"/>
      <c r="J330" s="37"/>
      <c r="K330" s="22"/>
    </row>
    <row r="331" spans="1:11" hidden="1" outlineLevel="1" x14ac:dyDescent="0.25">
      <c r="A331" s="36"/>
      <c r="B331" s="55" t="s">
        <v>219</v>
      </c>
      <c r="C331" s="49" t="s">
        <v>24</v>
      </c>
      <c r="D331" s="51">
        <v>20</v>
      </c>
      <c r="E331" s="18"/>
      <c r="F331" s="25">
        <f t="shared" si="23"/>
        <v>0</v>
      </c>
      <c r="G331" s="6"/>
      <c r="H331" s="6"/>
      <c r="I331" s="6"/>
      <c r="J331" s="37"/>
      <c r="K331" s="22"/>
    </row>
    <row r="332" spans="1:11" hidden="1" outlineLevel="1" x14ac:dyDescent="0.25">
      <c r="A332" s="36"/>
      <c r="B332" s="48" t="s">
        <v>217</v>
      </c>
      <c r="C332" s="49" t="s">
        <v>24</v>
      </c>
      <c r="D332" s="52">
        <v>5</v>
      </c>
      <c r="E332" s="18"/>
      <c r="F332" s="25">
        <f t="shared" si="23"/>
        <v>0</v>
      </c>
      <c r="G332" s="6"/>
      <c r="H332" s="6"/>
      <c r="I332" s="6"/>
      <c r="J332" s="37"/>
      <c r="K332" s="22"/>
    </row>
    <row r="333" spans="1:11" hidden="1" outlineLevel="1" x14ac:dyDescent="0.25">
      <c r="A333" s="36"/>
      <c r="B333" s="44" t="s">
        <v>220</v>
      </c>
      <c r="C333" s="44"/>
      <c r="D333" s="53"/>
      <c r="E333" s="53"/>
      <c r="F333" s="54"/>
      <c r="G333" s="54"/>
      <c r="H333" s="54"/>
      <c r="I333" s="54"/>
      <c r="J333" s="37"/>
      <c r="K333" s="22"/>
    </row>
    <row r="334" spans="1:11" hidden="1" outlineLevel="1" x14ac:dyDescent="0.25">
      <c r="A334" s="36"/>
      <c r="B334" s="33" t="s">
        <v>22</v>
      </c>
      <c r="C334" s="33" t="s">
        <v>50</v>
      </c>
      <c r="D334" s="34" t="s">
        <v>50</v>
      </c>
      <c r="E334" s="35"/>
      <c r="F334" s="47"/>
      <c r="G334" s="47"/>
      <c r="H334" s="47"/>
      <c r="I334" s="47"/>
      <c r="J334" s="37"/>
      <c r="K334" s="22"/>
    </row>
    <row r="335" spans="1:11" hidden="1" outlineLevel="1" x14ac:dyDescent="0.25">
      <c r="A335" s="36"/>
      <c r="B335" s="48" t="s">
        <v>221</v>
      </c>
      <c r="C335" s="49" t="s">
        <v>24</v>
      </c>
      <c r="D335" s="50">
        <v>5</v>
      </c>
      <c r="E335" s="18"/>
      <c r="F335" s="25">
        <f t="shared" si="23"/>
        <v>0</v>
      </c>
      <c r="G335" s="6"/>
      <c r="H335" s="6"/>
      <c r="I335" s="6"/>
      <c r="J335" s="37"/>
      <c r="K335" s="22"/>
    </row>
    <row r="336" spans="1:11" hidden="1" outlineLevel="1" x14ac:dyDescent="0.25">
      <c r="A336" s="36"/>
      <c r="B336" s="48" t="s">
        <v>222</v>
      </c>
      <c r="C336" s="49" t="s">
        <v>24</v>
      </c>
      <c r="D336" s="50">
        <v>10</v>
      </c>
      <c r="E336" s="18"/>
      <c r="F336" s="25">
        <f t="shared" si="23"/>
        <v>0</v>
      </c>
      <c r="G336" s="6"/>
      <c r="H336" s="6"/>
      <c r="I336" s="6"/>
      <c r="J336" s="37"/>
      <c r="K336" s="22"/>
    </row>
    <row r="337" spans="1:11" hidden="1" outlineLevel="1" x14ac:dyDescent="0.25">
      <c r="A337" s="36"/>
      <c r="B337" s="48" t="s">
        <v>223</v>
      </c>
      <c r="C337" s="49" t="s">
        <v>24</v>
      </c>
      <c r="D337" s="50">
        <v>2</v>
      </c>
      <c r="E337" s="18"/>
      <c r="F337" s="25">
        <f t="shared" si="23"/>
        <v>0</v>
      </c>
      <c r="G337" s="6"/>
      <c r="H337" s="6"/>
      <c r="I337" s="6"/>
      <c r="J337" s="37"/>
      <c r="K337" s="22"/>
    </row>
    <row r="338" spans="1:11" hidden="1" outlineLevel="1" x14ac:dyDescent="0.25">
      <c r="A338" s="36"/>
      <c r="B338" s="48" t="s">
        <v>224</v>
      </c>
      <c r="C338" s="49" t="s">
        <v>24</v>
      </c>
      <c r="D338" s="50">
        <v>4</v>
      </c>
      <c r="E338" s="18"/>
      <c r="F338" s="25">
        <f t="shared" si="23"/>
        <v>0</v>
      </c>
      <c r="G338" s="6"/>
      <c r="H338" s="6"/>
      <c r="I338" s="6"/>
      <c r="J338" s="37"/>
      <c r="K338" s="22"/>
    </row>
    <row r="339" spans="1:11" hidden="1" outlineLevel="1" x14ac:dyDescent="0.25">
      <c r="A339" s="36"/>
      <c r="B339" s="48" t="s">
        <v>225</v>
      </c>
      <c r="C339" s="49" t="s">
        <v>24</v>
      </c>
      <c r="D339" s="51">
        <v>5</v>
      </c>
      <c r="E339" s="18"/>
      <c r="F339" s="25">
        <f t="shared" si="23"/>
        <v>0</v>
      </c>
      <c r="G339" s="6"/>
      <c r="H339" s="6"/>
      <c r="I339" s="6"/>
      <c r="J339" s="37"/>
      <c r="K339" s="22"/>
    </row>
    <row r="340" spans="1:11" hidden="1" outlineLevel="1" x14ac:dyDescent="0.25">
      <c r="A340" s="36"/>
      <c r="B340" s="48" t="s">
        <v>226</v>
      </c>
      <c r="C340" s="49" t="s">
        <v>24</v>
      </c>
      <c r="D340" s="51">
        <v>10</v>
      </c>
      <c r="E340" s="18"/>
      <c r="F340" s="25">
        <f t="shared" si="23"/>
        <v>0</v>
      </c>
      <c r="G340" s="6"/>
      <c r="H340" s="6"/>
      <c r="I340" s="6"/>
      <c r="J340" s="37"/>
      <c r="K340" s="22"/>
    </row>
    <row r="341" spans="1:11" hidden="1" outlineLevel="1" x14ac:dyDescent="0.25">
      <c r="A341" s="36"/>
      <c r="B341" s="48" t="s">
        <v>227</v>
      </c>
      <c r="C341" s="49" t="s">
        <v>24</v>
      </c>
      <c r="D341" s="51">
        <v>5</v>
      </c>
      <c r="E341" s="18"/>
      <c r="F341" s="25">
        <f t="shared" si="23"/>
        <v>0</v>
      </c>
      <c r="G341" s="6"/>
      <c r="H341" s="6"/>
      <c r="I341" s="6"/>
      <c r="J341" s="37"/>
      <c r="K341" s="22"/>
    </row>
    <row r="342" spans="1:11" hidden="1" outlineLevel="1" x14ac:dyDescent="0.25">
      <c r="A342" s="36"/>
      <c r="B342" s="48" t="s">
        <v>228</v>
      </c>
      <c r="C342" s="49" t="s">
        <v>24</v>
      </c>
      <c r="D342" s="51">
        <v>10</v>
      </c>
      <c r="E342" s="18"/>
      <c r="F342" s="25">
        <f t="shared" si="23"/>
        <v>0</v>
      </c>
      <c r="G342" s="6"/>
      <c r="H342" s="6"/>
      <c r="I342" s="6"/>
      <c r="J342" s="37"/>
      <c r="K342" s="22"/>
    </row>
    <row r="343" spans="1:11" hidden="1" outlineLevel="1" x14ac:dyDescent="0.25">
      <c r="A343" s="36"/>
      <c r="B343" s="48" t="s">
        <v>229</v>
      </c>
      <c r="C343" s="49" t="s">
        <v>24</v>
      </c>
      <c r="D343" s="51">
        <v>5</v>
      </c>
      <c r="E343" s="18"/>
      <c r="F343" s="25">
        <f t="shared" si="23"/>
        <v>0</v>
      </c>
      <c r="G343" s="6"/>
      <c r="H343" s="6"/>
      <c r="I343" s="6"/>
      <c r="J343" s="37"/>
      <c r="K343" s="22"/>
    </row>
    <row r="344" spans="1:11" hidden="1" outlineLevel="1" x14ac:dyDescent="0.25">
      <c r="A344" s="36"/>
      <c r="B344" s="48" t="s">
        <v>230</v>
      </c>
      <c r="C344" s="49" t="s">
        <v>24</v>
      </c>
      <c r="D344" s="51">
        <v>10</v>
      </c>
      <c r="E344" s="18"/>
      <c r="F344" s="25">
        <f t="shared" si="23"/>
        <v>0</v>
      </c>
      <c r="G344" s="6"/>
      <c r="H344" s="6"/>
      <c r="I344" s="6"/>
      <c r="J344" s="37"/>
      <c r="K344" s="22"/>
    </row>
    <row r="345" spans="1:11" hidden="1" outlineLevel="1" x14ac:dyDescent="0.25">
      <c r="A345" s="36"/>
      <c r="B345" s="48" t="s">
        <v>231</v>
      </c>
      <c r="C345" s="49" t="s">
        <v>24</v>
      </c>
      <c r="D345" s="51">
        <v>5</v>
      </c>
      <c r="E345" s="18"/>
      <c r="F345" s="25">
        <f t="shared" si="23"/>
        <v>0</v>
      </c>
      <c r="G345" s="6"/>
      <c r="H345" s="6"/>
      <c r="I345" s="6"/>
      <c r="J345" s="37"/>
      <c r="K345" s="22"/>
    </row>
    <row r="346" spans="1:11" hidden="1" outlineLevel="1" x14ac:dyDescent="0.25">
      <c r="A346" s="36"/>
      <c r="B346" s="48" t="s">
        <v>232</v>
      </c>
      <c r="C346" s="49" t="s">
        <v>24</v>
      </c>
      <c r="D346" s="51">
        <v>5</v>
      </c>
      <c r="E346" s="18"/>
      <c r="F346" s="25">
        <f t="shared" si="23"/>
        <v>0</v>
      </c>
      <c r="G346" s="6"/>
      <c r="H346" s="6"/>
      <c r="I346" s="6"/>
      <c r="J346" s="37"/>
      <c r="K346" s="22"/>
    </row>
    <row r="347" spans="1:11" hidden="1" outlineLevel="1" x14ac:dyDescent="0.25">
      <c r="A347" s="36"/>
      <c r="B347" s="48" t="s">
        <v>207</v>
      </c>
      <c r="C347" s="49" t="s">
        <v>24</v>
      </c>
      <c r="D347" s="51">
        <v>5</v>
      </c>
      <c r="E347" s="18"/>
      <c r="F347" s="25">
        <f t="shared" si="23"/>
        <v>0</v>
      </c>
      <c r="G347" s="6"/>
      <c r="H347" s="6"/>
      <c r="I347" s="6"/>
      <c r="J347" s="37"/>
      <c r="K347" s="22"/>
    </row>
    <row r="348" spans="1:11" hidden="1" outlineLevel="1" x14ac:dyDescent="0.25">
      <c r="A348" s="36"/>
      <c r="B348" s="48" t="s">
        <v>208</v>
      </c>
      <c r="C348" s="49" t="s">
        <v>24</v>
      </c>
      <c r="D348" s="52">
        <v>10</v>
      </c>
      <c r="E348" s="18"/>
      <c r="F348" s="25">
        <f t="shared" si="23"/>
        <v>0</v>
      </c>
      <c r="G348" s="6"/>
      <c r="H348" s="6"/>
      <c r="I348" s="6"/>
      <c r="J348" s="37"/>
      <c r="K348" s="22"/>
    </row>
    <row r="349" spans="1:11" hidden="1" outlineLevel="1" x14ac:dyDescent="0.25">
      <c r="A349" s="36"/>
      <c r="B349" s="48" t="s">
        <v>212</v>
      </c>
      <c r="C349" s="49" t="s">
        <v>24</v>
      </c>
      <c r="D349" s="52">
        <v>7</v>
      </c>
      <c r="E349" s="18"/>
      <c r="F349" s="25">
        <f t="shared" si="23"/>
        <v>0</v>
      </c>
      <c r="G349" s="6"/>
      <c r="H349" s="6"/>
      <c r="I349" s="6"/>
      <c r="J349" s="37"/>
      <c r="K349" s="22"/>
    </row>
    <row r="350" spans="1:11" hidden="1" outlineLevel="1" x14ac:dyDescent="0.25">
      <c r="A350" s="36"/>
      <c r="B350" s="44" t="s">
        <v>233</v>
      </c>
      <c r="C350" s="44"/>
      <c r="D350" s="53"/>
      <c r="E350" s="53"/>
      <c r="F350" s="54"/>
      <c r="G350" s="54"/>
      <c r="H350" s="54"/>
      <c r="I350" s="54"/>
      <c r="J350" s="37"/>
      <c r="K350" s="22"/>
    </row>
    <row r="351" spans="1:11" hidden="1" outlineLevel="1" x14ac:dyDescent="0.25">
      <c r="A351" s="36"/>
      <c r="B351" s="33" t="s">
        <v>22</v>
      </c>
      <c r="C351" s="33" t="s">
        <v>50</v>
      </c>
      <c r="D351" s="34"/>
      <c r="E351" s="35"/>
      <c r="F351" s="47"/>
      <c r="G351" s="47"/>
      <c r="H351" s="47"/>
      <c r="I351" s="47"/>
      <c r="J351" s="37"/>
      <c r="K351" s="22"/>
    </row>
    <row r="352" spans="1:11" hidden="1" outlineLevel="1" x14ac:dyDescent="0.25">
      <c r="A352" s="36"/>
      <c r="B352" s="48" t="s">
        <v>221</v>
      </c>
      <c r="C352" s="49" t="s">
        <v>24</v>
      </c>
      <c r="D352" s="51">
        <v>5</v>
      </c>
      <c r="E352" s="18"/>
      <c r="F352" s="25">
        <f t="shared" si="23"/>
        <v>0</v>
      </c>
      <c r="G352" s="6"/>
      <c r="H352" s="6"/>
      <c r="I352" s="6"/>
      <c r="J352" s="37"/>
      <c r="K352" s="22"/>
    </row>
    <row r="353" spans="1:11" hidden="1" outlineLevel="1" x14ac:dyDescent="0.25">
      <c r="A353" s="36"/>
      <c r="B353" s="48" t="s">
        <v>222</v>
      </c>
      <c r="C353" s="49" t="s">
        <v>24</v>
      </c>
      <c r="D353" s="51">
        <v>10</v>
      </c>
      <c r="E353" s="18"/>
      <c r="F353" s="25">
        <f t="shared" si="23"/>
        <v>0</v>
      </c>
      <c r="G353" s="6"/>
      <c r="H353" s="6"/>
      <c r="I353" s="6"/>
      <c r="J353" s="37"/>
      <c r="K353" s="22"/>
    </row>
    <row r="354" spans="1:11" hidden="1" outlineLevel="1" x14ac:dyDescent="0.25">
      <c r="A354" s="36"/>
      <c r="B354" s="48" t="s">
        <v>234</v>
      </c>
      <c r="C354" s="49" t="s">
        <v>24</v>
      </c>
      <c r="D354" s="51">
        <v>2</v>
      </c>
      <c r="E354" s="18"/>
      <c r="F354" s="25">
        <f t="shared" si="23"/>
        <v>0</v>
      </c>
      <c r="G354" s="6"/>
      <c r="H354" s="6"/>
      <c r="I354" s="6"/>
      <c r="J354" s="37"/>
      <c r="K354" s="22"/>
    </row>
    <row r="355" spans="1:11" hidden="1" outlineLevel="1" x14ac:dyDescent="0.25">
      <c r="A355" s="36"/>
      <c r="B355" s="48" t="s">
        <v>224</v>
      </c>
      <c r="C355" s="49" t="s">
        <v>24</v>
      </c>
      <c r="D355" s="51">
        <v>4</v>
      </c>
      <c r="E355" s="18"/>
      <c r="F355" s="25">
        <f t="shared" si="23"/>
        <v>0</v>
      </c>
      <c r="G355" s="6"/>
      <c r="H355" s="6"/>
      <c r="I355" s="6"/>
      <c r="J355" s="37"/>
      <c r="K355" s="22"/>
    </row>
    <row r="356" spans="1:11" hidden="1" outlineLevel="1" x14ac:dyDescent="0.25">
      <c r="A356" s="36"/>
      <c r="B356" s="48" t="s">
        <v>235</v>
      </c>
      <c r="C356" s="49" t="s">
        <v>24</v>
      </c>
      <c r="D356" s="51">
        <v>5</v>
      </c>
      <c r="E356" s="18"/>
      <c r="F356" s="25">
        <f t="shared" si="23"/>
        <v>0</v>
      </c>
      <c r="G356" s="6"/>
      <c r="H356" s="6"/>
      <c r="I356" s="6"/>
      <c r="J356" s="37"/>
      <c r="K356" s="22"/>
    </row>
    <row r="357" spans="1:11" hidden="1" outlineLevel="1" x14ac:dyDescent="0.25">
      <c r="A357" s="36"/>
      <c r="B357" s="48" t="s">
        <v>236</v>
      </c>
      <c r="C357" s="49" t="s">
        <v>24</v>
      </c>
      <c r="D357" s="51">
        <v>10</v>
      </c>
      <c r="E357" s="18"/>
      <c r="F357" s="25">
        <f t="shared" si="23"/>
        <v>0</v>
      </c>
      <c r="G357" s="6"/>
      <c r="H357" s="6"/>
      <c r="I357" s="6"/>
      <c r="J357" s="37"/>
      <c r="K357" s="22"/>
    </row>
    <row r="358" spans="1:11" hidden="1" outlineLevel="1" x14ac:dyDescent="0.25">
      <c r="A358" s="36"/>
      <c r="B358" s="48" t="s">
        <v>237</v>
      </c>
      <c r="C358" s="49" t="s">
        <v>24</v>
      </c>
      <c r="D358" s="51">
        <v>2</v>
      </c>
      <c r="E358" s="18"/>
      <c r="F358" s="25">
        <f t="shared" si="23"/>
        <v>0</v>
      </c>
      <c r="G358" s="6"/>
      <c r="H358" s="6"/>
      <c r="I358" s="6"/>
      <c r="J358" s="37"/>
      <c r="K358" s="22"/>
    </row>
    <row r="359" spans="1:11" hidden="1" outlineLevel="1" x14ac:dyDescent="0.25">
      <c r="A359" s="36"/>
      <c r="B359" s="48" t="s">
        <v>238</v>
      </c>
      <c r="C359" s="49" t="s">
        <v>24</v>
      </c>
      <c r="D359" s="51">
        <v>4</v>
      </c>
      <c r="E359" s="18"/>
      <c r="F359" s="25">
        <f t="shared" si="23"/>
        <v>0</v>
      </c>
      <c r="G359" s="6"/>
      <c r="H359" s="6"/>
      <c r="I359" s="6"/>
      <c r="J359" s="37"/>
      <c r="K359" s="22"/>
    </row>
    <row r="360" spans="1:11" hidden="1" outlineLevel="1" x14ac:dyDescent="0.25">
      <c r="A360" s="36"/>
      <c r="B360" s="48" t="s">
        <v>239</v>
      </c>
      <c r="C360" s="49" t="s">
        <v>24</v>
      </c>
      <c r="D360" s="51">
        <v>5</v>
      </c>
      <c r="E360" s="18"/>
      <c r="F360" s="25">
        <f t="shared" si="23"/>
        <v>0</v>
      </c>
      <c r="G360" s="6"/>
      <c r="H360" s="6"/>
      <c r="I360" s="6"/>
      <c r="J360" s="37"/>
      <c r="K360" s="22"/>
    </row>
    <row r="361" spans="1:11" hidden="1" outlineLevel="1" x14ac:dyDescent="0.25">
      <c r="A361" s="36"/>
      <c r="B361" s="48" t="s">
        <v>240</v>
      </c>
      <c r="C361" s="49" t="s">
        <v>24</v>
      </c>
      <c r="D361" s="51">
        <v>10</v>
      </c>
      <c r="E361" s="18"/>
      <c r="F361" s="25">
        <f t="shared" si="23"/>
        <v>0</v>
      </c>
      <c r="G361" s="6"/>
      <c r="H361" s="6"/>
      <c r="I361" s="6"/>
      <c r="J361" s="37"/>
      <c r="K361" s="22"/>
    </row>
    <row r="362" spans="1:11" hidden="1" outlineLevel="1" x14ac:dyDescent="0.25">
      <c r="A362" s="36"/>
      <c r="B362" s="48" t="s">
        <v>241</v>
      </c>
      <c r="C362" s="49" t="s">
        <v>24</v>
      </c>
      <c r="D362" s="51">
        <v>5</v>
      </c>
      <c r="E362" s="18"/>
      <c r="F362" s="25">
        <f t="shared" si="23"/>
        <v>0</v>
      </c>
      <c r="G362" s="6"/>
      <c r="H362" s="6"/>
      <c r="I362" s="6"/>
      <c r="J362" s="37"/>
      <c r="K362" s="22"/>
    </row>
    <row r="363" spans="1:11" hidden="1" outlineLevel="1" x14ac:dyDescent="0.25">
      <c r="A363" s="36"/>
      <c r="B363" s="48" t="s">
        <v>242</v>
      </c>
      <c r="C363" s="49" t="s">
        <v>24</v>
      </c>
      <c r="D363" s="51">
        <v>10</v>
      </c>
      <c r="E363" s="18"/>
      <c r="F363" s="25">
        <f t="shared" si="23"/>
        <v>0</v>
      </c>
      <c r="G363" s="6"/>
      <c r="H363" s="6"/>
      <c r="I363" s="6"/>
      <c r="J363" s="37"/>
      <c r="K363" s="22"/>
    </row>
    <row r="364" spans="1:11" hidden="1" outlineLevel="1" x14ac:dyDescent="0.25">
      <c r="A364" s="36"/>
      <c r="B364" s="48" t="s">
        <v>243</v>
      </c>
      <c r="C364" s="49" t="s">
        <v>24</v>
      </c>
      <c r="D364" s="51">
        <v>5</v>
      </c>
      <c r="E364" s="18"/>
      <c r="F364" s="25">
        <f t="shared" si="23"/>
        <v>0</v>
      </c>
      <c r="G364" s="6"/>
      <c r="H364" s="6"/>
      <c r="I364" s="6"/>
      <c r="J364" s="37"/>
      <c r="K364" s="22"/>
    </row>
    <row r="365" spans="1:11" hidden="1" outlineLevel="1" x14ac:dyDescent="0.25">
      <c r="A365" s="36"/>
      <c r="B365" s="48" t="s">
        <v>244</v>
      </c>
      <c r="C365" s="49" t="s">
        <v>24</v>
      </c>
      <c r="D365" s="51">
        <v>10</v>
      </c>
      <c r="E365" s="18"/>
      <c r="F365" s="25">
        <f t="shared" si="23"/>
        <v>0</v>
      </c>
      <c r="G365" s="6"/>
      <c r="H365" s="6"/>
      <c r="I365" s="6"/>
      <c r="J365" s="37"/>
      <c r="K365" s="22"/>
    </row>
    <row r="366" spans="1:11" hidden="1" outlineLevel="1" x14ac:dyDescent="0.25">
      <c r="A366" s="36"/>
      <c r="B366" s="48" t="s">
        <v>245</v>
      </c>
      <c r="C366" s="49" t="s">
        <v>24</v>
      </c>
      <c r="D366" s="51">
        <v>5</v>
      </c>
      <c r="E366" s="18"/>
      <c r="F366" s="25">
        <f t="shared" si="23"/>
        <v>0</v>
      </c>
      <c r="G366" s="6"/>
      <c r="H366" s="6"/>
      <c r="I366" s="6"/>
      <c r="J366" s="37"/>
      <c r="K366" s="22"/>
    </row>
    <row r="367" spans="1:11" hidden="1" outlineLevel="1" x14ac:dyDescent="0.25">
      <c r="A367" s="36"/>
      <c r="B367" s="48" t="s">
        <v>246</v>
      </c>
      <c r="C367" s="49" t="s">
        <v>24</v>
      </c>
      <c r="D367" s="51">
        <v>10</v>
      </c>
      <c r="E367" s="18"/>
      <c r="F367" s="25">
        <f t="shared" si="23"/>
        <v>0</v>
      </c>
      <c r="G367" s="6"/>
      <c r="H367" s="6"/>
      <c r="I367" s="6"/>
      <c r="J367" s="37"/>
      <c r="K367" s="22"/>
    </row>
    <row r="368" spans="1:11" hidden="1" outlineLevel="1" x14ac:dyDescent="0.25">
      <c r="A368" s="36"/>
      <c r="B368" s="48" t="s">
        <v>247</v>
      </c>
      <c r="C368" s="49" t="s">
        <v>24</v>
      </c>
      <c r="D368" s="51">
        <v>4</v>
      </c>
      <c r="E368" s="18"/>
      <c r="F368" s="25">
        <f t="shared" si="23"/>
        <v>0</v>
      </c>
      <c r="G368" s="6"/>
      <c r="H368" s="6"/>
      <c r="I368" s="6"/>
      <c r="J368" s="37"/>
      <c r="K368" s="22"/>
    </row>
    <row r="369" spans="1:11" hidden="1" outlineLevel="1" x14ac:dyDescent="0.25">
      <c r="A369" s="36"/>
      <c r="B369" s="48" t="s">
        <v>248</v>
      </c>
      <c r="C369" s="49" t="s">
        <v>24</v>
      </c>
      <c r="D369" s="51">
        <v>8</v>
      </c>
      <c r="E369" s="18"/>
      <c r="F369" s="25">
        <f t="shared" si="23"/>
        <v>0</v>
      </c>
      <c r="G369" s="6"/>
      <c r="H369" s="6"/>
      <c r="I369" s="6"/>
      <c r="J369" s="37"/>
      <c r="K369" s="22"/>
    </row>
    <row r="370" spans="1:11" hidden="1" outlineLevel="1" x14ac:dyDescent="0.25">
      <c r="A370" s="36"/>
      <c r="B370" s="48" t="s">
        <v>249</v>
      </c>
      <c r="C370" s="49" t="s">
        <v>24</v>
      </c>
      <c r="D370" s="51">
        <v>5</v>
      </c>
      <c r="E370" s="18"/>
      <c r="F370" s="25">
        <f t="shared" si="23"/>
        <v>0</v>
      </c>
      <c r="G370" s="6"/>
      <c r="H370" s="6"/>
      <c r="I370" s="6"/>
      <c r="J370" s="37"/>
      <c r="K370" s="22"/>
    </row>
    <row r="371" spans="1:11" hidden="1" outlineLevel="1" x14ac:dyDescent="0.25">
      <c r="A371" s="36"/>
      <c r="B371" s="48" t="s">
        <v>250</v>
      </c>
      <c r="C371" s="49" t="s">
        <v>24</v>
      </c>
      <c r="D371" s="51">
        <v>10</v>
      </c>
      <c r="E371" s="18"/>
      <c r="F371" s="25">
        <f t="shared" si="23"/>
        <v>0</v>
      </c>
      <c r="G371" s="6"/>
      <c r="H371" s="6"/>
      <c r="I371" s="6"/>
      <c r="J371" s="37"/>
      <c r="K371" s="22"/>
    </row>
    <row r="372" spans="1:11" hidden="1" outlineLevel="1" x14ac:dyDescent="0.25">
      <c r="A372" s="36"/>
      <c r="B372" s="48" t="s">
        <v>251</v>
      </c>
      <c r="C372" s="49" t="s">
        <v>24</v>
      </c>
      <c r="D372" s="51">
        <v>5</v>
      </c>
      <c r="E372" s="18"/>
      <c r="F372" s="25">
        <f t="shared" si="23"/>
        <v>0</v>
      </c>
      <c r="G372" s="6"/>
      <c r="H372" s="6"/>
      <c r="I372" s="6"/>
      <c r="J372" s="37"/>
      <c r="K372" s="22"/>
    </row>
    <row r="373" spans="1:11" hidden="1" outlineLevel="1" x14ac:dyDescent="0.25">
      <c r="A373" s="36"/>
      <c r="B373" s="48" t="s">
        <v>252</v>
      </c>
      <c r="C373" s="49" t="s">
        <v>24</v>
      </c>
      <c r="D373" s="51">
        <v>5</v>
      </c>
      <c r="E373" s="18"/>
      <c r="F373" s="25">
        <f t="shared" si="23"/>
        <v>0</v>
      </c>
      <c r="G373" s="6"/>
      <c r="H373" s="6"/>
      <c r="I373" s="6"/>
      <c r="J373" s="37"/>
      <c r="K373" s="22"/>
    </row>
    <row r="374" spans="1:11" hidden="1" outlineLevel="1" x14ac:dyDescent="0.25">
      <c r="A374" s="36"/>
      <c r="B374" s="48" t="s">
        <v>253</v>
      </c>
      <c r="C374" s="49" t="s">
        <v>24</v>
      </c>
      <c r="D374" s="51">
        <v>10</v>
      </c>
      <c r="E374" s="18"/>
      <c r="F374" s="25">
        <f t="shared" si="23"/>
        <v>0</v>
      </c>
      <c r="G374" s="6"/>
      <c r="H374" s="6"/>
      <c r="I374" s="6"/>
      <c r="J374" s="37"/>
      <c r="K374" s="22"/>
    </row>
    <row r="375" spans="1:11" hidden="1" outlineLevel="1" x14ac:dyDescent="0.25">
      <c r="A375" s="36"/>
      <c r="B375" s="48" t="s">
        <v>207</v>
      </c>
      <c r="C375" s="49" t="s">
        <v>24</v>
      </c>
      <c r="D375" s="51">
        <v>5</v>
      </c>
      <c r="E375" s="18"/>
      <c r="F375" s="25">
        <f t="shared" si="23"/>
        <v>0</v>
      </c>
      <c r="G375" s="6"/>
      <c r="H375" s="6"/>
      <c r="I375" s="6"/>
      <c r="J375" s="37"/>
      <c r="K375" s="22"/>
    </row>
    <row r="376" spans="1:11" hidden="1" outlineLevel="1" x14ac:dyDescent="0.25">
      <c r="A376" s="36"/>
      <c r="B376" s="48" t="s">
        <v>208</v>
      </c>
      <c r="C376" s="49" t="s">
        <v>24</v>
      </c>
      <c r="D376" s="51">
        <v>10</v>
      </c>
      <c r="E376" s="18"/>
      <c r="F376" s="25">
        <f t="shared" si="23"/>
        <v>0</v>
      </c>
      <c r="G376" s="6"/>
      <c r="H376" s="6"/>
      <c r="I376" s="6"/>
      <c r="J376" s="37"/>
      <c r="K376" s="22"/>
    </row>
    <row r="377" spans="1:11" hidden="1" outlineLevel="1" x14ac:dyDescent="0.25">
      <c r="A377" s="36"/>
      <c r="B377" s="48" t="s">
        <v>212</v>
      </c>
      <c r="C377" s="49" t="s">
        <v>24</v>
      </c>
      <c r="D377" s="51">
        <v>7</v>
      </c>
      <c r="E377" s="18"/>
      <c r="F377" s="25">
        <f t="shared" si="23"/>
        <v>0</v>
      </c>
      <c r="G377" s="6"/>
      <c r="H377" s="6"/>
      <c r="I377" s="6"/>
      <c r="J377" s="37"/>
      <c r="K377" s="22"/>
    </row>
    <row r="378" spans="1:11" hidden="1" outlineLevel="1" x14ac:dyDescent="0.25">
      <c r="B378" s="30" t="s">
        <v>254</v>
      </c>
      <c r="C378" s="30"/>
      <c r="D378" s="31"/>
      <c r="E378" s="31"/>
      <c r="F378" s="56"/>
      <c r="G378" s="31"/>
      <c r="H378" s="31"/>
      <c r="I378" s="31"/>
      <c r="J378" s="15"/>
      <c r="K378" s="22"/>
    </row>
    <row r="379" spans="1:11" hidden="1" outlineLevel="1" x14ac:dyDescent="0.25">
      <c r="B379" s="33" t="s">
        <v>22</v>
      </c>
      <c r="C379" s="33" t="s">
        <v>50</v>
      </c>
      <c r="D379" s="34" t="s">
        <v>50</v>
      </c>
      <c r="E379" s="35"/>
      <c r="F379" s="47"/>
      <c r="G379" s="35"/>
      <c r="H379" s="35"/>
      <c r="I379" s="35"/>
      <c r="J379" s="33"/>
      <c r="K379" s="22"/>
    </row>
    <row r="380" spans="1:11" hidden="1" outlineLevel="1" x14ac:dyDescent="0.25">
      <c r="A380" s="36"/>
      <c r="B380" s="37" t="s">
        <v>129</v>
      </c>
      <c r="C380" s="16" t="s">
        <v>24</v>
      </c>
      <c r="D380" s="38">
        <v>30</v>
      </c>
      <c r="E380" s="18"/>
      <c r="F380" s="25">
        <f>E380*D380</f>
        <v>0</v>
      </c>
      <c r="G380" s="6"/>
      <c r="H380" s="6"/>
      <c r="I380" s="6"/>
      <c r="J380" s="37"/>
      <c r="K380" s="22"/>
    </row>
    <row r="381" spans="1:11" hidden="1" outlineLevel="1" x14ac:dyDescent="0.25">
      <c r="A381" s="36"/>
      <c r="B381" s="37" t="s">
        <v>130</v>
      </c>
      <c r="C381" s="16" t="s">
        <v>24</v>
      </c>
      <c r="D381" s="38">
        <v>50</v>
      </c>
      <c r="E381" s="18"/>
      <c r="F381" s="25">
        <f t="shared" ref="F381:F383" si="24">E381*D381</f>
        <v>0</v>
      </c>
      <c r="G381" s="6"/>
      <c r="H381" s="6"/>
      <c r="I381" s="6"/>
      <c r="J381" s="37"/>
      <c r="K381" s="22"/>
    </row>
    <row r="382" spans="1:11" hidden="1" outlineLevel="1" x14ac:dyDescent="0.25">
      <c r="A382" s="36"/>
      <c r="B382" s="37" t="s">
        <v>131</v>
      </c>
      <c r="C382" s="16" t="s">
        <v>24</v>
      </c>
      <c r="D382" s="38">
        <v>100</v>
      </c>
      <c r="E382" s="18"/>
      <c r="F382" s="25">
        <f t="shared" si="24"/>
        <v>0</v>
      </c>
      <c r="G382" s="6"/>
      <c r="H382" s="6"/>
      <c r="I382" s="6"/>
      <c r="J382" s="37"/>
      <c r="K382" s="22"/>
    </row>
    <row r="383" spans="1:11" hidden="1" outlineLevel="1" x14ac:dyDescent="0.25">
      <c r="A383" s="36"/>
      <c r="B383" s="37" t="s">
        <v>132</v>
      </c>
      <c r="C383" s="16" t="s">
        <v>24</v>
      </c>
      <c r="D383" s="38">
        <v>50</v>
      </c>
      <c r="E383" s="18"/>
      <c r="F383" s="25">
        <f t="shared" si="24"/>
        <v>0</v>
      </c>
      <c r="G383" s="6"/>
      <c r="H383" s="6"/>
      <c r="I383" s="6"/>
      <c r="J383" s="37"/>
      <c r="K383" s="22"/>
    </row>
    <row r="384" spans="1:11" hidden="1" outlineLevel="1" x14ac:dyDescent="0.25">
      <c r="A384" s="36"/>
      <c r="B384" s="37" t="s">
        <v>133</v>
      </c>
      <c r="C384" s="16" t="s">
        <v>18</v>
      </c>
      <c r="D384" s="38">
        <v>130</v>
      </c>
      <c r="E384" s="18"/>
      <c r="F384" s="25">
        <f t="shared" ref="F384" si="25">IF(E384="S",D384,0)</f>
        <v>0</v>
      </c>
      <c r="G384" s="6"/>
      <c r="H384" s="6"/>
      <c r="I384" s="6"/>
      <c r="J384" s="37" t="s">
        <v>126</v>
      </c>
      <c r="K384" s="22"/>
    </row>
    <row r="385" spans="1:11" hidden="1" outlineLevel="1" x14ac:dyDescent="0.25">
      <c r="A385" s="36"/>
      <c r="B385" s="37" t="s">
        <v>134</v>
      </c>
      <c r="C385" s="16" t="s">
        <v>24</v>
      </c>
      <c r="D385" s="38">
        <v>130</v>
      </c>
      <c r="E385" s="18"/>
      <c r="F385" s="25">
        <f t="shared" ref="F385:F386" si="26">E385*D385</f>
        <v>0</v>
      </c>
      <c r="G385" s="6"/>
      <c r="H385" s="6"/>
      <c r="I385" s="6"/>
      <c r="J385" s="37"/>
      <c r="K385" s="22"/>
    </row>
    <row r="386" spans="1:11" hidden="1" outlineLevel="1" x14ac:dyDescent="0.25">
      <c r="A386" s="36"/>
      <c r="B386" s="37" t="s">
        <v>135</v>
      </c>
      <c r="C386" s="16" t="s">
        <v>24</v>
      </c>
      <c r="D386" s="38">
        <v>50</v>
      </c>
      <c r="E386" s="18"/>
      <c r="F386" s="25">
        <f t="shared" si="26"/>
        <v>0</v>
      </c>
      <c r="G386" s="6"/>
      <c r="H386" s="6"/>
      <c r="I386" s="6"/>
      <c r="J386" s="37"/>
      <c r="K386" s="22"/>
    </row>
    <row r="387" spans="1:11" hidden="1" outlineLevel="1" x14ac:dyDescent="0.25">
      <c r="B387" s="33" t="s">
        <v>136</v>
      </c>
      <c r="C387" s="33"/>
      <c r="D387" s="34"/>
      <c r="E387" s="35"/>
      <c r="F387" s="35"/>
      <c r="G387" s="35"/>
      <c r="H387" s="35"/>
      <c r="I387" s="35"/>
      <c r="J387" s="33"/>
      <c r="K387" s="22"/>
    </row>
    <row r="388" spans="1:11" ht="30" hidden="1" outlineLevel="1" x14ac:dyDescent="0.25">
      <c r="A388" s="36"/>
      <c r="B388" s="37" t="s">
        <v>137</v>
      </c>
      <c r="C388" s="16" t="s">
        <v>18</v>
      </c>
      <c r="D388" s="38">
        <v>100</v>
      </c>
      <c r="E388" s="18"/>
      <c r="F388" s="25">
        <f t="shared" ref="F388:F391" si="27">IF(E388="S",D388,0)</f>
        <v>0</v>
      </c>
      <c r="G388" s="6"/>
      <c r="H388" s="6"/>
      <c r="I388" s="6"/>
      <c r="J388" s="37" t="s">
        <v>138</v>
      </c>
      <c r="K388" s="22"/>
    </row>
    <row r="389" spans="1:11" ht="30" hidden="1" outlineLevel="1" x14ac:dyDescent="0.25">
      <c r="A389" s="36"/>
      <c r="B389" s="37" t="s">
        <v>139</v>
      </c>
      <c r="C389" s="16" t="s">
        <v>18</v>
      </c>
      <c r="D389" s="38">
        <v>50</v>
      </c>
      <c r="E389" s="18"/>
      <c r="F389" s="25">
        <f t="shared" si="27"/>
        <v>0</v>
      </c>
      <c r="G389" s="6"/>
      <c r="H389" s="6"/>
      <c r="I389" s="6"/>
      <c r="J389" s="37" t="s">
        <v>140</v>
      </c>
      <c r="K389" s="22"/>
    </row>
    <row r="390" spans="1:11" ht="30" hidden="1" outlineLevel="1" x14ac:dyDescent="0.25">
      <c r="A390" s="36"/>
      <c r="B390" s="37" t="s">
        <v>141</v>
      </c>
      <c r="C390" s="16" t="s">
        <v>18</v>
      </c>
      <c r="D390" s="38">
        <v>300</v>
      </c>
      <c r="E390" s="18"/>
      <c r="F390" s="25">
        <f t="shared" si="27"/>
        <v>0</v>
      </c>
      <c r="G390" s="6"/>
      <c r="H390" s="6"/>
      <c r="I390" s="6"/>
      <c r="J390" s="37" t="s">
        <v>142</v>
      </c>
      <c r="K390" s="22"/>
    </row>
    <row r="391" spans="1:11" ht="30" hidden="1" outlineLevel="1" x14ac:dyDescent="0.25">
      <c r="A391" s="36"/>
      <c r="B391" s="37" t="s">
        <v>143</v>
      </c>
      <c r="C391" s="16" t="s">
        <v>18</v>
      </c>
      <c r="D391" s="38">
        <v>100</v>
      </c>
      <c r="E391" s="18"/>
      <c r="F391" s="25">
        <f t="shared" si="27"/>
        <v>0</v>
      </c>
      <c r="G391" s="6"/>
      <c r="H391" s="6"/>
      <c r="I391" s="6"/>
      <c r="J391" s="37" t="s">
        <v>144</v>
      </c>
      <c r="K391" s="22"/>
    </row>
    <row r="392" spans="1:11" hidden="1" outlineLevel="1" x14ac:dyDescent="0.25">
      <c r="B392" s="33" t="s">
        <v>145</v>
      </c>
      <c r="C392" s="33"/>
      <c r="D392" s="34"/>
      <c r="E392" s="35"/>
      <c r="F392" s="35"/>
      <c r="G392" s="35"/>
      <c r="H392" s="35"/>
      <c r="I392" s="35"/>
      <c r="J392" s="33"/>
      <c r="K392" s="22"/>
    </row>
    <row r="393" spans="1:11" ht="30" hidden="1" outlineLevel="1" x14ac:dyDescent="0.25">
      <c r="A393" s="36"/>
      <c r="B393" s="37" t="s">
        <v>146</v>
      </c>
      <c r="C393" s="16" t="s">
        <v>18</v>
      </c>
      <c r="D393" s="38">
        <v>100</v>
      </c>
      <c r="E393" s="18"/>
      <c r="F393" s="25">
        <f t="shared" ref="F393:F396" si="28">IF(E393="S",D393,0)</f>
        <v>0</v>
      </c>
      <c r="G393" s="6"/>
      <c r="H393" s="6"/>
      <c r="I393" s="6"/>
      <c r="J393" s="37" t="s">
        <v>138</v>
      </c>
      <c r="K393" s="22"/>
    </row>
    <row r="394" spans="1:11" ht="30" hidden="1" outlineLevel="1" x14ac:dyDescent="0.25">
      <c r="A394" s="36"/>
      <c r="B394" s="37" t="s">
        <v>147</v>
      </c>
      <c r="C394" s="16" t="s">
        <v>18</v>
      </c>
      <c r="D394" s="38">
        <v>100</v>
      </c>
      <c r="E394" s="18"/>
      <c r="F394" s="25">
        <f t="shared" si="28"/>
        <v>0</v>
      </c>
      <c r="G394" s="6"/>
      <c r="H394" s="6"/>
      <c r="I394" s="6"/>
      <c r="J394" s="37" t="s">
        <v>140</v>
      </c>
      <c r="K394" s="22"/>
    </row>
    <row r="395" spans="1:11" ht="30" hidden="1" outlineLevel="1" x14ac:dyDescent="0.25">
      <c r="A395" s="36"/>
      <c r="B395" s="37" t="s">
        <v>148</v>
      </c>
      <c r="C395" s="16" t="s">
        <v>18</v>
      </c>
      <c r="D395" s="38">
        <v>300</v>
      </c>
      <c r="E395" s="18"/>
      <c r="F395" s="25">
        <f t="shared" si="28"/>
        <v>0</v>
      </c>
      <c r="G395" s="6"/>
      <c r="H395" s="6"/>
      <c r="I395" s="6"/>
      <c r="J395" s="37" t="s">
        <v>149</v>
      </c>
      <c r="K395" s="22"/>
    </row>
    <row r="396" spans="1:11" ht="30" hidden="1" outlineLevel="1" x14ac:dyDescent="0.25">
      <c r="A396" s="36"/>
      <c r="B396" s="37" t="s">
        <v>150</v>
      </c>
      <c r="C396" s="16" t="s">
        <v>18</v>
      </c>
      <c r="D396" s="38">
        <v>100</v>
      </c>
      <c r="E396" s="18"/>
      <c r="F396" s="25">
        <f t="shared" si="28"/>
        <v>0</v>
      </c>
      <c r="G396" s="6"/>
      <c r="H396" s="6"/>
      <c r="I396" s="6"/>
      <c r="J396" s="37" t="s">
        <v>151</v>
      </c>
      <c r="K396" s="22"/>
    </row>
    <row r="397" spans="1:11" hidden="1" outlineLevel="1" x14ac:dyDescent="0.25">
      <c r="B397" s="33" t="s">
        <v>152</v>
      </c>
      <c r="C397" s="33"/>
      <c r="D397" s="34"/>
      <c r="E397" s="35"/>
      <c r="F397" s="35"/>
      <c r="G397" s="35"/>
      <c r="H397" s="35"/>
      <c r="I397" s="35"/>
      <c r="J397" s="33"/>
      <c r="K397" s="22"/>
    </row>
    <row r="398" spans="1:11" hidden="1" outlineLevel="1" x14ac:dyDescent="0.25">
      <c r="A398" s="36"/>
      <c r="B398" s="37" t="s">
        <v>153</v>
      </c>
      <c r="C398" s="16" t="s">
        <v>18</v>
      </c>
      <c r="D398" s="38">
        <v>100</v>
      </c>
      <c r="E398" s="18"/>
      <c r="F398" s="25">
        <f t="shared" ref="F398:F401" si="29">IF(E398="S",D398,0)</f>
        <v>0</v>
      </c>
      <c r="G398" s="6"/>
      <c r="H398" s="6"/>
      <c r="I398" s="6"/>
      <c r="J398" s="37" t="s">
        <v>154</v>
      </c>
      <c r="K398" s="22"/>
    </row>
    <row r="399" spans="1:11" hidden="1" outlineLevel="1" x14ac:dyDescent="0.25">
      <c r="A399" s="36"/>
      <c r="B399" s="37" t="s">
        <v>155</v>
      </c>
      <c r="C399" s="16" t="s">
        <v>18</v>
      </c>
      <c r="D399" s="38">
        <v>50</v>
      </c>
      <c r="E399" s="18"/>
      <c r="F399" s="25">
        <f t="shared" si="29"/>
        <v>0</v>
      </c>
      <c r="G399" s="6"/>
      <c r="H399" s="6"/>
      <c r="I399" s="6"/>
      <c r="J399" s="37" t="s">
        <v>156</v>
      </c>
      <c r="K399" s="22"/>
    </row>
    <row r="400" spans="1:11" hidden="1" outlineLevel="1" x14ac:dyDescent="0.25">
      <c r="A400" s="36"/>
      <c r="B400" s="37" t="s">
        <v>157</v>
      </c>
      <c r="C400" s="16" t="s">
        <v>18</v>
      </c>
      <c r="D400" s="38">
        <v>300</v>
      </c>
      <c r="E400" s="18"/>
      <c r="F400" s="25">
        <f t="shared" si="29"/>
        <v>0</v>
      </c>
      <c r="G400" s="6"/>
      <c r="H400" s="6"/>
      <c r="I400" s="6"/>
      <c r="J400" s="37" t="s">
        <v>158</v>
      </c>
      <c r="K400" s="22"/>
    </row>
    <row r="401" spans="1:11" hidden="1" outlineLevel="1" x14ac:dyDescent="0.25">
      <c r="A401" s="36"/>
      <c r="B401" s="37" t="s">
        <v>159</v>
      </c>
      <c r="C401" s="16" t="s">
        <v>18</v>
      </c>
      <c r="D401" s="38">
        <v>100</v>
      </c>
      <c r="E401" s="18"/>
      <c r="F401" s="25">
        <f t="shared" si="29"/>
        <v>0</v>
      </c>
      <c r="G401" s="6"/>
      <c r="H401" s="6"/>
      <c r="I401" s="6"/>
      <c r="J401" s="37" t="s">
        <v>160</v>
      </c>
      <c r="K401" s="22"/>
    </row>
    <row r="402" spans="1:11" ht="15" hidden="1" customHeight="1" outlineLevel="1" x14ac:dyDescent="0.25">
      <c r="B402" s="33" t="s">
        <v>161</v>
      </c>
      <c r="C402" s="33"/>
      <c r="D402" s="34"/>
      <c r="E402" s="35"/>
      <c r="F402" s="35"/>
      <c r="G402" s="35"/>
      <c r="H402" s="35"/>
      <c r="I402" s="35"/>
      <c r="J402" s="33"/>
      <c r="K402" s="22"/>
    </row>
    <row r="403" spans="1:11" ht="15" hidden="1" customHeight="1" outlineLevel="1" x14ac:dyDescent="0.25">
      <c r="A403" s="36"/>
      <c r="B403" s="37" t="s">
        <v>162</v>
      </c>
      <c r="C403" s="16" t="s">
        <v>18</v>
      </c>
      <c r="D403" s="38">
        <v>100</v>
      </c>
      <c r="E403" s="18"/>
      <c r="F403" s="25">
        <f t="shared" ref="F403:F406" si="30">IF(E403="S",D403,0)</f>
        <v>0</v>
      </c>
      <c r="G403" s="6"/>
      <c r="H403" s="6"/>
      <c r="I403" s="6"/>
      <c r="J403" s="37" t="s">
        <v>163</v>
      </c>
      <c r="K403" s="22"/>
    </row>
    <row r="404" spans="1:11" ht="15" hidden="1" customHeight="1" outlineLevel="1" x14ac:dyDescent="0.25">
      <c r="A404" s="36"/>
      <c r="B404" s="37" t="s">
        <v>164</v>
      </c>
      <c r="C404" s="16" t="s">
        <v>18</v>
      </c>
      <c r="D404" s="38">
        <v>50</v>
      </c>
      <c r="E404" s="18"/>
      <c r="F404" s="25">
        <f t="shared" si="30"/>
        <v>0</v>
      </c>
      <c r="G404" s="6"/>
      <c r="H404" s="6"/>
      <c r="I404" s="6"/>
      <c r="J404" s="37" t="s">
        <v>165</v>
      </c>
      <c r="K404" s="22"/>
    </row>
    <row r="405" spans="1:11" ht="15" hidden="1" customHeight="1" outlineLevel="1" x14ac:dyDescent="0.25">
      <c r="A405" s="36"/>
      <c r="B405" s="37" t="s">
        <v>166</v>
      </c>
      <c r="C405" s="16" t="s">
        <v>18</v>
      </c>
      <c r="D405" s="38">
        <v>300</v>
      </c>
      <c r="E405" s="18"/>
      <c r="F405" s="25">
        <f t="shared" si="30"/>
        <v>0</v>
      </c>
      <c r="G405" s="6"/>
      <c r="H405" s="6"/>
      <c r="I405" s="6"/>
      <c r="J405" s="37" t="s">
        <v>167</v>
      </c>
      <c r="K405" s="22"/>
    </row>
    <row r="406" spans="1:11" ht="15" hidden="1" customHeight="1" outlineLevel="1" x14ac:dyDescent="0.25">
      <c r="A406" s="36"/>
      <c r="B406" s="37" t="s">
        <v>168</v>
      </c>
      <c r="C406" s="16" t="s">
        <v>18</v>
      </c>
      <c r="D406" s="38">
        <v>150</v>
      </c>
      <c r="E406" s="18"/>
      <c r="F406" s="25">
        <f t="shared" si="30"/>
        <v>0</v>
      </c>
      <c r="G406" s="6"/>
      <c r="H406" s="6"/>
      <c r="I406" s="6"/>
      <c r="J406" s="37" t="s">
        <v>169</v>
      </c>
      <c r="K406" s="22"/>
    </row>
    <row r="407" spans="1:11" ht="15" hidden="1" customHeight="1" outlineLevel="1" x14ac:dyDescent="0.25">
      <c r="B407" s="33" t="s">
        <v>170</v>
      </c>
      <c r="C407" s="33"/>
      <c r="D407" s="34"/>
      <c r="E407" s="35"/>
      <c r="F407" s="35"/>
      <c r="G407" s="35"/>
      <c r="H407" s="35"/>
      <c r="I407" s="35"/>
      <c r="J407" s="33"/>
      <c r="K407" s="22"/>
    </row>
    <row r="408" spans="1:11" ht="15" hidden="1" customHeight="1" outlineLevel="1" x14ac:dyDescent="0.25">
      <c r="A408" s="36"/>
      <c r="B408" s="37" t="s">
        <v>171</v>
      </c>
      <c r="C408" s="16" t="s">
        <v>18</v>
      </c>
      <c r="D408" s="38">
        <v>150</v>
      </c>
      <c r="E408" s="18"/>
      <c r="F408" s="25">
        <f t="shared" ref="F408:F411" si="31">IF(E408="S",D408,0)</f>
        <v>0</v>
      </c>
      <c r="G408" s="6"/>
      <c r="H408" s="6"/>
      <c r="I408" s="6"/>
      <c r="J408" s="37" t="s">
        <v>172</v>
      </c>
      <c r="K408" s="22"/>
    </row>
    <row r="409" spans="1:11" ht="15" hidden="1" customHeight="1" outlineLevel="1" x14ac:dyDescent="0.25">
      <c r="A409" s="36"/>
      <c r="B409" s="37" t="s">
        <v>173</v>
      </c>
      <c r="C409" s="16" t="s">
        <v>18</v>
      </c>
      <c r="D409" s="38">
        <v>100</v>
      </c>
      <c r="E409" s="18"/>
      <c r="F409" s="25">
        <f t="shared" si="31"/>
        <v>0</v>
      </c>
      <c r="G409" s="6"/>
      <c r="H409" s="6"/>
      <c r="I409" s="6"/>
      <c r="J409" s="37" t="s">
        <v>174</v>
      </c>
      <c r="K409" s="22"/>
    </row>
    <row r="410" spans="1:11" ht="15" hidden="1" customHeight="1" outlineLevel="1" x14ac:dyDescent="0.25">
      <c r="A410" s="36"/>
      <c r="B410" s="37" t="s">
        <v>175</v>
      </c>
      <c r="C410" s="16" t="s">
        <v>18</v>
      </c>
      <c r="D410" s="38">
        <v>300</v>
      </c>
      <c r="E410" s="18"/>
      <c r="F410" s="25">
        <f t="shared" si="31"/>
        <v>0</v>
      </c>
      <c r="G410" s="6"/>
      <c r="H410" s="6"/>
      <c r="I410" s="6"/>
      <c r="J410" s="37" t="s">
        <v>172</v>
      </c>
      <c r="K410" s="22"/>
    </row>
    <row r="411" spans="1:11" ht="15" hidden="1" customHeight="1" outlineLevel="1" x14ac:dyDescent="0.25">
      <c r="A411" s="36"/>
      <c r="B411" s="37" t="s">
        <v>176</v>
      </c>
      <c r="C411" s="16" t="s">
        <v>18</v>
      </c>
      <c r="D411" s="38">
        <v>150</v>
      </c>
      <c r="E411" s="18"/>
      <c r="F411" s="25">
        <f t="shared" si="31"/>
        <v>0</v>
      </c>
      <c r="G411" s="6"/>
      <c r="H411" s="6"/>
      <c r="I411" s="6"/>
      <c r="J411" s="37" t="s">
        <v>174</v>
      </c>
      <c r="K411" s="22"/>
    </row>
    <row r="412" spans="1:11" ht="15" hidden="1" customHeight="1" outlineLevel="1" x14ac:dyDescent="0.25">
      <c r="B412" s="33" t="s">
        <v>177</v>
      </c>
      <c r="C412" s="33"/>
      <c r="D412" s="34"/>
      <c r="E412" s="35"/>
      <c r="F412" s="35"/>
      <c r="G412" s="35"/>
      <c r="H412" s="35"/>
      <c r="I412" s="35"/>
      <c r="J412" s="33"/>
      <c r="K412" s="22"/>
    </row>
    <row r="413" spans="1:11" ht="15" hidden="1" customHeight="1" outlineLevel="1" x14ac:dyDescent="0.25">
      <c r="A413" s="36"/>
      <c r="B413" s="37" t="s">
        <v>61</v>
      </c>
      <c r="C413" s="16" t="s">
        <v>18</v>
      </c>
      <c r="D413" s="38">
        <v>300</v>
      </c>
      <c r="E413" s="18"/>
      <c r="F413" s="25">
        <f t="shared" ref="F413:F416" si="32">IF(E413="S",D413,0)</f>
        <v>0</v>
      </c>
      <c r="G413" s="6"/>
      <c r="H413" s="6"/>
      <c r="I413" s="6"/>
      <c r="J413" s="37" t="s">
        <v>178</v>
      </c>
      <c r="K413" s="22"/>
    </row>
    <row r="414" spans="1:11" ht="30" hidden="1" outlineLevel="1" x14ac:dyDescent="0.25">
      <c r="A414" s="36"/>
      <c r="B414" s="37" t="s">
        <v>179</v>
      </c>
      <c r="C414" s="16" t="s">
        <v>18</v>
      </c>
      <c r="D414" s="38">
        <v>100</v>
      </c>
      <c r="E414" s="18"/>
      <c r="F414" s="25">
        <f t="shared" si="32"/>
        <v>0</v>
      </c>
      <c r="G414" s="6"/>
      <c r="H414" s="6"/>
      <c r="I414" s="6"/>
      <c r="J414" s="37" t="s">
        <v>180</v>
      </c>
      <c r="K414" s="22"/>
    </row>
    <row r="415" spans="1:11" ht="15" hidden="1" customHeight="1" outlineLevel="1" x14ac:dyDescent="0.25">
      <c r="A415" s="36"/>
      <c r="B415" s="37" t="s">
        <v>181</v>
      </c>
      <c r="C415" s="16" t="s">
        <v>18</v>
      </c>
      <c r="D415" s="38">
        <v>500</v>
      </c>
      <c r="E415" s="18"/>
      <c r="F415" s="25">
        <f t="shared" si="32"/>
        <v>0</v>
      </c>
      <c r="G415" s="6"/>
      <c r="H415" s="6"/>
      <c r="I415" s="6"/>
      <c r="J415" s="37" t="s">
        <v>182</v>
      </c>
      <c r="K415" s="22"/>
    </row>
    <row r="416" spans="1:11" ht="30" hidden="1" outlineLevel="1" x14ac:dyDescent="0.25">
      <c r="A416" s="36"/>
      <c r="B416" s="37" t="s">
        <v>183</v>
      </c>
      <c r="C416" s="16" t="s">
        <v>18</v>
      </c>
      <c r="D416" s="38">
        <v>200</v>
      </c>
      <c r="E416" s="18"/>
      <c r="F416" s="25">
        <f t="shared" si="32"/>
        <v>0</v>
      </c>
      <c r="G416" s="6"/>
      <c r="H416" s="6"/>
      <c r="I416" s="6"/>
      <c r="J416" s="37" t="s">
        <v>184</v>
      </c>
      <c r="K416" s="22"/>
    </row>
    <row r="417" spans="1:11" ht="15" hidden="1" customHeight="1" outlineLevel="1" x14ac:dyDescent="0.25">
      <c r="B417" s="33" t="s">
        <v>185</v>
      </c>
      <c r="C417" s="33"/>
      <c r="D417" s="34"/>
      <c r="E417" s="35"/>
      <c r="F417" s="35"/>
      <c r="G417" s="35"/>
      <c r="H417" s="35"/>
      <c r="I417" s="35"/>
      <c r="J417" s="33"/>
      <c r="K417" s="22"/>
    </row>
    <row r="418" spans="1:11" ht="15" hidden="1" customHeight="1" outlineLevel="1" x14ac:dyDescent="0.25">
      <c r="A418" s="36"/>
      <c r="B418" s="37" t="s">
        <v>66</v>
      </c>
      <c r="C418" s="16" t="s">
        <v>18</v>
      </c>
      <c r="D418" s="38">
        <v>400</v>
      </c>
      <c r="E418" s="18"/>
      <c r="F418" s="25">
        <f t="shared" ref="F418:F421" si="33">IF(E418="S",D418,0)</f>
        <v>0</v>
      </c>
      <c r="G418" s="6"/>
      <c r="H418" s="6"/>
      <c r="I418" s="6"/>
      <c r="J418" s="37" t="s">
        <v>186</v>
      </c>
      <c r="K418" s="22"/>
    </row>
    <row r="419" spans="1:11" ht="30" hidden="1" outlineLevel="1" x14ac:dyDescent="0.25">
      <c r="A419" s="36"/>
      <c r="B419" s="37" t="s">
        <v>187</v>
      </c>
      <c r="C419" s="16" t="s">
        <v>18</v>
      </c>
      <c r="D419" s="38">
        <v>200</v>
      </c>
      <c r="E419" s="18"/>
      <c r="F419" s="25">
        <f t="shared" si="33"/>
        <v>0</v>
      </c>
      <c r="G419" s="6"/>
      <c r="H419" s="6"/>
      <c r="I419" s="6"/>
      <c r="J419" s="37" t="s">
        <v>188</v>
      </c>
      <c r="K419" s="22"/>
    </row>
    <row r="420" spans="1:11" ht="30" hidden="1" customHeight="1" outlineLevel="1" x14ac:dyDescent="0.25">
      <c r="A420" s="36"/>
      <c r="B420" s="37" t="s">
        <v>189</v>
      </c>
      <c r="C420" s="16" t="s">
        <v>18</v>
      </c>
      <c r="D420" s="38">
        <v>800</v>
      </c>
      <c r="E420" s="18"/>
      <c r="F420" s="25">
        <f t="shared" si="33"/>
        <v>0</v>
      </c>
      <c r="G420" s="6"/>
      <c r="H420" s="6"/>
      <c r="I420" s="6"/>
      <c r="J420" s="37" t="s">
        <v>190</v>
      </c>
      <c r="K420" s="22"/>
    </row>
    <row r="421" spans="1:11" ht="30" hidden="1" customHeight="1" outlineLevel="1" x14ac:dyDescent="0.25">
      <c r="A421" s="36"/>
      <c r="B421" s="37" t="s">
        <v>191</v>
      </c>
      <c r="C421" s="16" t="s">
        <v>18</v>
      </c>
      <c r="D421" s="38">
        <v>300</v>
      </c>
      <c r="E421" s="18"/>
      <c r="F421" s="25">
        <f t="shared" si="33"/>
        <v>0</v>
      </c>
      <c r="G421" s="6"/>
      <c r="H421" s="6"/>
      <c r="I421" s="6"/>
      <c r="J421" s="37" t="s">
        <v>188</v>
      </c>
      <c r="K421" s="22"/>
    </row>
    <row r="422" spans="1:11" ht="15" hidden="1" customHeight="1" outlineLevel="1" x14ac:dyDescent="0.25">
      <c r="B422" s="30" t="s">
        <v>255</v>
      </c>
      <c r="C422" s="30"/>
      <c r="D422" s="31"/>
      <c r="E422" s="31"/>
      <c r="F422" s="31"/>
      <c r="G422" s="31"/>
      <c r="H422" s="31"/>
      <c r="I422" s="31"/>
      <c r="J422" s="15"/>
      <c r="K422" s="22"/>
    </row>
    <row r="423" spans="1:11" ht="15" hidden="1" customHeight="1" outlineLevel="1" x14ac:dyDescent="0.25">
      <c r="B423" s="33" t="s">
        <v>22</v>
      </c>
      <c r="C423" s="33" t="s">
        <v>50</v>
      </c>
      <c r="D423" s="34" t="s">
        <v>50</v>
      </c>
      <c r="E423" s="35"/>
      <c r="F423" s="35"/>
      <c r="G423" s="35"/>
      <c r="H423" s="35"/>
      <c r="I423" s="35"/>
      <c r="J423" s="33"/>
      <c r="K423" s="22"/>
    </row>
    <row r="424" spans="1:11" ht="15" hidden="1" customHeight="1" outlineLevel="1" x14ac:dyDescent="0.25">
      <c r="A424" s="36"/>
      <c r="B424" s="37" t="s">
        <v>129</v>
      </c>
      <c r="C424" s="16" t="s">
        <v>24</v>
      </c>
      <c r="D424" s="38">
        <v>30</v>
      </c>
      <c r="E424" s="18"/>
      <c r="F424" s="25">
        <f>E424*D424</f>
        <v>0</v>
      </c>
      <c r="G424" s="6"/>
      <c r="H424" s="6"/>
      <c r="I424" s="6"/>
      <c r="J424" s="37"/>
      <c r="K424" s="22"/>
    </row>
    <row r="425" spans="1:11" ht="15" hidden="1" customHeight="1" outlineLevel="1" x14ac:dyDescent="0.25">
      <c r="A425" s="36"/>
      <c r="B425" s="37" t="s">
        <v>130</v>
      </c>
      <c r="C425" s="16" t="s">
        <v>24</v>
      </c>
      <c r="D425" s="38">
        <v>50</v>
      </c>
      <c r="E425" s="18"/>
      <c r="F425" s="25">
        <f t="shared" ref="F425:F428" si="34">E425*D425</f>
        <v>0</v>
      </c>
      <c r="G425" s="6"/>
      <c r="H425" s="6"/>
      <c r="I425" s="6"/>
      <c r="J425" s="37"/>
      <c r="K425" s="22"/>
    </row>
    <row r="426" spans="1:11" ht="15" hidden="1" customHeight="1" outlineLevel="1" x14ac:dyDescent="0.25">
      <c r="A426" s="36"/>
      <c r="B426" s="37" t="s">
        <v>131</v>
      </c>
      <c r="C426" s="16" t="s">
        <v>24</v>
      </c>
      <c r="D426" s="38">
        <v>100</v>
      </c>
      <c r="E426" s="18"/>
      <c r="F426" s="25">
        <f t="shared" si="34"/>
        <v>0</v>
      </c>
      <c r="G426" s="6"/>
      <c r="H426" s="6"/>
      <c r="I426" s="6"/>
      <c r="J426" s="37"/>
      <c r="K426" s="22"/>
    </row>
    <row r="427" spans="1:11" ht="15" hidden="1" customHeight="1" outlineLevel="1" x14ac:dyDescent="0.25">
      <c r="A427" s="36"/>
      <c r="B427" s="37" t="s">
        <v>132</v>
      </c>
      <c r="C427" s="16" t="s">
        <v>24</v>
      </c>
      <c r="D427" s="38">
        <v>50</v>
      </c>
      <c r="E427" s="18"/>
      <c r="F427" s="25">
        <f t="shared" si="34"/>
        <v>0</v>
      </c>
      <c r="G427" s="6"/>
      <c r="H427" s="6"/>
      <c r="I427" s="6"/>
      <c r="J427" s="37"/>
      <c r="K427" s="22"/>
    </row>
    <row r="428" spans="1:11" ht="15" hidden="1" customHeight="1" outlineLevel="1" x14ac:dyDescent="0.25">
      <c r="A428" s="36"/>
      <c r="B428" s="37" t="s">
        <v>135</v>
      </c>
      <c r="C428" s="16" t="s">
        <v>24</v>
      </c>
      <c r="D428" s="38">
        <v>50</v>
      </c>
      <c r="E428" s="18"/>
      <c r="F428" s="25">
        <f t="shared" si="34"/>
        <v>0</v>
      </c>
      <c r="G428" s="6"/>
      <c r="H428" s="6"/>
      <c r="I428" s="6"/>
      <c r="J428" s="37"/>
      <c r="K428" s="22"/>
    </row>
    <row r="429" spans="1:11" ht="15" hidden="1" customHeight="1" outlineLevel="1" x14ac:dyDescent="0.25">
      <c r="B429" s="30" t="s">
        <v>256</v>
      </c>
      <c r="C429" s="30"/>
      <c r="D429" s="31"/>
      <c r="E429" s="31"/>
      <c r="F429" s="31"/>
      <c r="G429" s="31"/>
      <c r="H429" s="31"/>
      <c r="I429" s="31"/>
      <c r="J429" s="15"/>
      <c r="K429" s="22"/>
    </row>
    <row r="430" spans="1:11" ht="15" hidden="1" customHeight="1" outlineLevel="1" x14ac:dyDescent="0.25">
      <c r="B430" s="33" t="s">
        <v>22</v>
      </c>
      <c r="C430" s="33" t="s">
        <v>50</v>
      </c>
      <c r="D430" s="34" t="s">
        <v>50</v>
      </c>
      <c r="E430" s="35"/>
      <c r="F430" s="35"/>
      <c r="G430" s="35"/>
      <c r="H430" s="35"/>
      <c r="I430" s="35"/>
      <c r="J430" s="33"/>
      <c r="K430" s="22"/>
    </row>
    <row r="431" spans="1:11" ht="15" hidden="1" customHeight="1" outlineLevel="1" x14ac:dyDescent="0.25">
      <c r="A431" s="36"/>
      <c r="B431" s="37" t="s">
        <v>129</v>
      </c>
      <c r="C431" s="16" t="s">
        <v>24</v>
      </c>
      <c r="D431" s="38">
        <v>30</v>
      </c>
      <c r="E431" s="18"/>
      <c r="F431" s="25">
        <f>E431*D431</f>
        <v>0</v>
      </c>
      <c r="G431" s="6"/>
      <c r="H431" s="6"/>
      <c r="I431" s="6"/>
      <c r="J431" s="37"/>
      <c r="K431" s="22"/>
    </row>
    <row r="432" spans="1:11" ht="15" hidden="1" customHeight="1" outlineLevel="1" x14ac:dyDescent="0.25">
      <c r="A432" s="36"/>
      <c r="B432" s="37" t="s">
        <v>130</v>
      </c>
      <c r="C432" s="16" t="s">
        <v>24</v>
      </c>
      <c r="D432" s="38">
        <v>50</v>
      </c>
      <c r="E432" s="18"/>
      <c r="F432" s="25">
        <f t="shared" ref="F432:F435" si="35">E432*D432</f>
        <v>0</v>
      </c>
      <c r="G432" s="6"/>
      <c r="H432" s="6"/>
      <c r="I432" s="6"/>
      <c r="J432" s="37"/>
      <c r="K432" s="22"/>
    </row>
    <row r="433" spans="1:11" ht="15" hidden="1" customHeight="1" outlineLevel="1" x14ac:dyDescent="0.25">
      <c r="A433" s="36"/>
      <c r="B433" s="37" t="s">
        <v>131</v>
      </c>
      <c r="C433" s="16" t="s">
        <v>24</v>
      </c>
      <c r="D433" s="38">
        <v>100</v>
      </c>
      <c r="E433" s="18"/>
      <c r="F433" s="25">
        <f t="shared" si="35"/>
        <v>0</v>
      </c>
      <c r="G433" s="6"/>
      <c r="H433" s="6"/>
      <c r="I433" s="6"/>
      <c r="J433" s="37"/>
      <c r="K433" s="22"/>
    </row>
    <row r="434" spans="1:11" ht="15" hidden="1" customHeight="1" outlineLevel="1" x14ac:dyDescent="0.25">
      <c r="A434" s="36"/>
      <c r="B434" s="37" t="s">
        <v>132</v>
      </c>
      <c r="C434" s="16" t="s">
        <v>24</v>
      </c>
      <c r="D434" s="38">
        <v>50</v>
      </c>
      <c r="E434" s="18"/>
      <c r="F434" s="25">
        <f t="shared" si="35"/>
        <v>0</v>
      </c>
      <c r="G434" s="6"/>
      <c r="H434" s="6"/>
      <c r="I434" s="6"/>
      <c r="J434" s="37"/>
      <c r="K434" s="22"/>
    </row>
    <row r="435" spans="1:11" ht="15" hidden="1" customHeight="1" outlineLevel="1" x14ac:dyDescent="0.25">
      <c r="A435" s="36"/>
      <c r="B435" s="37" t="s">
        <v>135</v>
      </c>
      <c r="C435" s="16" t="s">
        <v>24</v>
      </c>
      <c r="D435" s="38">
        <v>50</v>
      </c>
      <c r="E435" s="18"/>
      <c r="F435" s="25">
        <f t="shared" si="35"/>
        <v>0</v>
      </c>
      <c r="G435" s="6"/>
      <c r="H435" s="6"/>
      <c r="I435" s="6"/>
      <c r="J435" s="37"/>
      <c r="K435" s="22"/>
    </row>
    <row r="436" spans="1:11" ht="15" hidden="1" customHeight="1" outlineLevel="1" x14ac:dyDescent="0.25">
      <c r="B436" s="33" t="s">
        <v>136</v>
      </c>
      <c r="C436" s="33"/>
      <c r="D436" s="34"/>
      <c r="E436" s="35"/>
      <c r="F436" s="35"/>
      <c r="G436" s="35"/>
      <c r="H436" s="35"/>
      <c r="I436" s="35"/>
      <c r="J436" s="33"/>
      <c r="K436" s="22"/>
    </row>
    <row r="437" spans="1:11" ht="15" hidden="1" customHeight="1" outlineLevel="1" x14ac:dyDescent="0.25">
      <c r="A437" s="36"/>
      <c r="B437" s="37" t="s">
        <v>137</v>
      </c>
      <c r="C437" s="16" t="s">
        <v>18</v>
      </c>
      <c r="D437" s="38">
        <v>100</v>
      </c>
      <c r="E437" s="18"/>
      <c r="F437" s="25">
        <f t="shared" ref="F437:F440" si="36">IF(E437="S",D437,0)</f>
        <v>0</v>
      </c>
      <c r="G437" s="6"/>
      <c r="H437" s="6"/>
      <c r="I437" s="6"/>
      <c r="J437" s="37" t="s">
        <v>138</v>
      </c>
      <c r="K437" s="22"/>
    </row>
    <row r="438" spans="1:11" ht="15" hidden="1" customHeight="1" outlineLevel="1" x14ac:dyDescent="0.25">
      <c r="A438" s="36"/>
      <c r="B438" s="37" t="s">
        <v>139</v>
      </c>
      <c r="C438" s="16" t="s">
        <v>18</v>
      </c>
      <c r="D438" s="38">
        <v>50</v>
      </c>
      <c r="E438" s="18"/>
      <c r="F438" s="25">
        <f t="shared" si="36"/>
        <v>0</v>
      </c>
      <c r="G438" s="6"/>
      <c r="H438" s="6"/>
      <c r="I438" s="6"/>
      <c r="J438" s="37" t="s">
        <v>140</v>
      </c>
      <c r="K438" s="22"/>
    </row>
    <row r="439" spans="1:11" ht="15" hidden="1" customHeight="1" outlineLevel="1" x14ac:dyDescent="0.25">
      <c r="A439" s="36"/>
      <c r="B439" s="37" t="s">
        <v>141</v>
      </c>
      <c r="C439" s="16" t="s">
        <v>18</v>
      </c>
      <c r="D439" s="38">
        <v>300</v>
      </c>
      <c r="E439" s="18"/>
      <c r="F439" s="25">
        <f t="shared" si="36"/>
        <v>0</v>
      </c>
      <c r="G439" s="6"/>
      <c r="H439" s="6"/>
      <c r="I439" s="6"/>
      <c r="J439" s="37" t="s">
        <v>142</v>
      </c>
      <c r="K439" s="22"/>
    </row>
    <row r="440" spans="1:11" ht="30" hidden="1" outlineLevel="1" x14ac:dyDescent="0.25">
      <c r="A440" s="36"/>
      <c r="B440" s="37" t="s">
        <v>143</v>
      </c>
      <c r="C440" s="16" t="s">
        <v>18</v>
      </c>
      <c r="D440" s="38">
        <v>100</v>
      </c>
      <c r="E440" s="18"/>
      <c r="F440" s="25">
        <f t="shared" si="36"/>
        <v>0</v>
      </c>
      <c r="G440" s="6"/>
      <c r="H440" s="6"/>
      <c r="I440" s="6"/>
      <c r="J440" s="37" t="s">
        <v>144</v>
      </c>
      <c r="K440" s="22"/>
    </row>
    <row r="441" spans="1:11" ht="15" hidden="1" customHeight="1" outlineLevel="1" x14ac:dyDescent="0.25">
      <c r="B441" s="33" t="s">
        <v>145</v>
      </c>
      <c r="C441" s="33"/>
      <c r="D441" s="34"/>
      <c r="E441" s="35"/>
      <c r="F441" s="35"/>
      <c r="G441" s="35"/>
      <c r="H441" s="35"/>
      <c r="I441" s="35"/>
      <c r="J441" s="33"/>
      <c r="K441" s="22"/>
    </row>
    <row r="442" spans="1:11" ht="15" hidden="1" customHeight="1" outlineLevel="1" x14ac:dyDescent="0.25">
      <c r="A442" s="36"/>
      <c r="B442" s="37" t="s">
        <v>146</v>
      </c>
      <c r="C442" s="16" t="s">
        <v>18</v>
      </c>
      <c r="D442" s="38">
        <v>100</v>
      </c>
      <c r="E442" s="18"/>
      <c r="F442" s="25">
        <f t="shared" ref="F442:F445" si="37">IF(E442="S",D442,0)</f>
        <v>0</v>
      </c>
      <c r="G442" s="6"/>
      <c r="H442" s="6"/>
      <c r="I442" s="6"/>
      <c r="J442" s="37" t="s">
        <v>138</v>
      </c>
      <c r="K442" s="22"/>
    </row>
    <row r="443" spans="1:11" ht="15" hidden="1" customHeight="1" outlineLevel="1" x14ac:dyDescent="0.25">
      <c r="A443" s="36"/>
      <c r="B443" s="37" t="s">
        <v>147</v>
      </c>
      <c r="C443" s="16" t="s">
        <v>18</v>
      </c>
      <c r="D443" s="38">
        <v>100</v>
      </c>
      <c r="E443" s="18"/>
      <c r="F443" s="25">
        <f t="shared" si="37"/>
        <v>0</v>
      </c>
      <c r="G443" s="6"/>
      <c r="H443" s="6"/>
      <c r="I443" s="6"/>
      <c r="J443" s="37" t="s">
        <v>140</v>
      </c>
      <c r="K443" s="22"/>
    </row>
    <row r="444" spans="1:11" ht="15" hidden="1" customHeight="1" outlineLevel="1" x14ac:dyDescent="0.25">
      <c r="A444" s="36"/>
      <c r="B444" s="37" t="s">
        <v>148</v>
      </c>
      <c r="C444" s="16" t="s">
        <v>18</v>
      </c>
      <c r="D444" s="38">
        <v>300</v>
      </c>
      <c r="E444" s="18"/>
      <c r="F444" s="25">
        <f t="shared" si="37"/>
        <v>0</v>
      </c>
      <c r="G444" s="6"/>
      <c r="H444" s="6"/>
      <c r="I444" s="6"/>
      <c r="J444" s="37" t="s">
        <v>149</v>
      </c>
      <c r="K444" s="22"/>
    </row>
    <row r="445" spans="1:11" ht="30" hidden="1" customHeight="1" outlineLevel="1" x14ac:dyDescent="0.25">
      <c r="A445" s="36"/>
      <c r="B445" s="37" t="s">
        <v>150</v>
      </c>
      <c r="C445" s="16" t="s">
        <v>18</v>
      </c>
      <c r="D445" s="38">
        <v>100</v>
      </c>
      <c r="E445" s="18"/>
      <c r="F445" s="25">
        <f t="shared" si="37"/>
        <v>0</v>
      </c>
      <c r="G445" s="6"/>
      <c r="H445" s="6"/>
      <c r="I445" s="6"/>
      <c r="J445" s="37" t="s">
        <v>151</v>
      </c>
      <c r="K445" s="22"/>
    </row>
    <row r="446" spans="1:11" ht="15" hidden="1" customHeight="1" outlineLevel="1" x14ac:dyDescent="0.25">
      <c r="B446" s="33" t="s">
        <v>152</v>
      </c>
      <c r="C446" s="33"/>
      <c r="D446" s="34"/>
      <c r="E446" s="35"/>
      <c r="F446" s="35"/>
      <c r="G446" s="35"/>
      <c r="H446" s="35"/>
      <c r="I446" s="35"/>
      <c r="J446" s="33"/>
      <c r="K446" s="22"/>
    </row>
    <row r="447" spans="1:11" ht="15" hidden="1" customHeight="1" outlineLevel="1" x14ac:dyDescent="0.25">
      <c r="A447" s="36"/>
      <c r="B447" s="37" t="s">
        <v>153</v>
      </c>
      <c r="C447" s="16" t="s">
        <v>18</v>
      </c>
      <c r="D447" s="38">
        <v>100</v>
      </c>
      <c r="E447" s="18"/>
      <c r="F447" s="25">
        <f t="shared" ref="F447:F450" si="38">IF(E447="S",D447,0)</f>
        <v>0</v>
      </c>
      <c r="G447" s="6"/>
      <c r="H447" s="6"/>
      <c r="I447" s="6"/>
      <c r="J447" s="37" t="s">
        <v>154</v>
      </c>
      <c r="K447" s="22"/>
    </row>
    <row r="448" spans="1:11" ht="15" hidden="1" customHeight="1" outlineLevel="1" x14ac:dyDescent="0.25">
      <c r="A448" s="36"/>
      <c r="B448" s="37" t="s">
        <v>155</v>
      </c>
      <c r="C448" s="16" t="s">
        <v>18</v>
      </c>
      <c r="D448" s="38">
        <v>50</v>
      </c>
      <c r="E448" s="18"/>
      <c r="F448" s="25">
        <f t="shared" si="38"/>
        <v>0</v>
      </c>
      <c r="G448" s="6"/>
      <c r="H448" s="6"/>
      <c r="I448" s="6"/>
      <c r="J448" s="37" t="s">
        <v>156</v>
      </c>
      <c r="K448" s="22"/>
    </row>
    <row r="449" spans="1:11" ht="15" hidden="1" customHeight="1" outlineLevel="1" x14ac:dyDescent="0.25">
      <c r="A449" s="36"/>
      <c r="B449" s="37" t="s">
        <v>157</v>
      </c>
      <c r="C449" s="16" t="s">
        <v>18</v>
      </c>
      <c r="D449" s="38">
        <v>300</v>
      </c>
      <c r="E449" s="18"/>
      <c r="F449" s="25">
        <f t="shared" si="38"/>
        <v>0</v>
      </c>
      <c r="G449" s="6"/>
      <c r="H449" s="6"/>
      <c r="I449" s="6"/>
      <c r="J449" s="37" t="s">
        <v>158</v>
      </c>
      <c r="K449" s="22"/>
    </row>
    <row r="450" spans="1:11" ht="15" hidden="1" customHeight="1" outlineLevel="1" x14ac:dyDescent="0.25">
      <c r="A450" s="36"/>
      <c r="B450" s="37" t="s">
        <v>159</v>
      </c>
      <c r="C450" s="16" t="s">
        <v>18</v>
      </c>
      <c r="D450" s="38">
        <v>100</v>
      </c>
      <c r="E450" s="18"/>
      <c r="F450" s="25">
        <f t="shared" si="38"/>
        <v>0</v>
      </c>
      <c r="G450" s="6"/>
      <c r="H450" s="6"/>
      <c r="I450" s="6"/>
      <c r="J450" s="37" t="s">
        <v>160</v>
      </c>
      <c r="K450" s="22"/>
    </row>
    <row r="451" spans="1:11" ht="15" hidden="1" customHeight="1" outlineLevel="1" x14ac:dyDescent="0.25">
      <c r="B451" s="33" t="s">
        <v>161</v>
      </c>
      <c r="C451" s="33"/>
      <c r="D451" s="34"/>
      <c r="E451" s="35"/>
      <c r="F451" s="35"/>
      <c r="G451" s="35"/>
      <c r="H451" s="35"/>
      <c r="I451" s="35"/>
      <c r="J451" s="33"/>
      <c r="K451" s="22"/>
    </row>
    <row r="452" spans="1:11" ht="15" hidden="1" customHeight="1" outlineLevel="1" x14ac:dyDescent="0.25">
      <c r="A452" s="36"/>
      <c r="B452" s="37" t="s">
        <v>162</v>
      </c>
      <c r="C452" s="16" t="s">
        <v>18</v>
      </c>
      <c r="D452" s="38">
        <v>100</v>
      </c>
      <c r="E452" s="18"/>
      <c r="F452" s="25">
        <f t="shared" ref="F452:F455" si="39">IF(E452="S",D452,0)</f>
        <v>0</v>
      </c>
      <c r="G452" s="6"/>
      <c r="H452" s="6"/>
      <c r="I452" s="6"/>
      <c r="J452" s="37" t="s">
        <v>163</v>
      </c>
      <c r="K452" s="22"/>
    </row>
    <row r="453" spans="1:11" ht="15" hidden="1" customHeight="1" outlineLevel="1" x14ac:dyDescent="0.25">
      <c r="A453" s="36"/>
      <c r="B453" s="37" t="s">
        <v>164</v>
      </c>
      <c r="C453" s="16" t="s">
        <v>18</v>
      </c>
      <c r="D453" s="38">
        <v>50</v>
      </c>
      <c r="E453" s="18"/>
      <c r="F453" s="25">
        <f t="shared" si="39"/>
        <v>0</v>
      </c>
      <c r="G453" s="6"/>
      <c r="H453" s="6"/>
      <c r="I453" s="6"/>
      <c r="J453" s="37" t="s">
        <v>165</v>
      </c>
      <c r="K453" s="22"/>
    </row>
    <row r="454" spans="1:11" ht="15" hidden="1" customHeight="1" outlineLevel="1" x14ac:dyDescent="0.25">
      <c r="A454" s="36"/>
      <c r="B454" s="37" t="s">
        <v>166</v>
      </c>
      <c r="C454" s="16" t="s">
        <v>18</v>
      </c>
      <c r="D454" s="38">
        <v>300</v>
      </c>
      <c r="E454" s="18"/>
      <c r="F454" s="25">
        <f t="shared" si="39"/>
        <v>0</v>
      </c>
      <c r="G454" s="6"/>
      <c r="H454" s="6"/>
      <c r="I454" s="6"/>
      <c r="J454" s="37" t="s">
        <v>167</v>
      </c>
      <c r="K454" s="22"/>
    </row>
    <row r="455" spans="1:11" ht="15" hidden="1" customHeight="1" outlineLevel="1" x14ac:dyDescent="0.25">
      <c r="A455" s="36"/>
      <c r="B455" s="37" t="s">
        <v>168</v>
      </c>
      <c r="C455" s="16" t="s">
        <v>18</v>
      </c>
      <c r="D455" s="38">
        <v>150</v>
      </c>
      <c r="E455" s="18"/>
      <c r="F455" s="25">
        <f t="shared" si="39"/>
        <v>0</v>
      </c>
      <c r="G455" s="6"/>
      <c r="H455" s="6"/>
      <c r="I455" s="6"/>
      <c r="J455" s="37" t="s">
        <v>169</v>
      </c>
      <c r="K455" s="22"/>
    </row>
    <row r="456" spans="1:11" ht="15" hidden="1" customHeight="1" outlineLevel="1" x14ac:dyDescent="0.25">
      <c r="A456" s="29"/>
      <c r="B456" s="30" t="s">
        <v>257</v>
      </c>
      <c r="C456" s="30"/>
      <c r="D456" s="31"/>
      <c r="E456" s="31"/>
      <c r="F456" s="31"/>
      <c r="G456" s="31"/>
      <c r="H456" s="31"/>
      <c r="I456" s="31"/>
      <c r="J456" s="15"/>
      <c r="K456" s="22"/>
    </row>
    <row r="457" spans="1:11" hidden="1" outlineLevel="1" x14ac:dyDescent="0.25">
      <c r="A457" s="36"/>
      <c r="B457" s="37" t="s">
        <v>258</v>
      </c>
      <c r="C457" s="16" t="s">
        <v>18</v>
      </c>
      <c r="D457" s="16">
        <v>119</v>
      </c>
      <c r="E457" s="18"/>
      <c r="F457" s="25">
        <f t="shared" ref="F457:F480" si="40">IF(E457="S",D457,0)</f>
        <v>0</v>
      </c>
      <c r="G457" s="6"/>
      <c r="H457" s="6"/>
      <c r="I457" s="6"/>
      <c r="J457" s="37" t="s">
        <v>259</v>
      </c>
      <c r="K457" s="22"/>
    </row>
    <row r="458" spans="1:11" hidden="1" outlineLevel="1" x14ac:dyDescent="0.25">
      <c r="A458" s="36"/>
      <c r="B458" s="37" t="s">
        <v>260</v>
      </c>
      <c r="C458" s="16" t="s">
        <v>18</v>
      </c>
      <c r="D458" s="16">
        <f>400*114/1000</f>
        <v>45.6</v>
      </c>
      <c r="E458" s="18"/>
      <c r="F458" s="25">
        <f t="shared" si="40"/>
        <v>0</v>
      </c>
      <c r="G458" s="6"/>
      <c r="H458" s="6"/>
      <c r="I458" s="6"/>
      <c r="J458" s="37"/>
      <c r="K458" s="22"/>
    </row>
    <row r="459" spans="1:11" hidden="1" outlineLevel="1" x14ac:dyDescent="0.25">
      <c r="A459" s="36"/>
      <c r="B459" s="37" t="s">
        <v>261</v>
      </c>
      <c r="C459" s="16" t="s">
        <v>18</v>
      </c>
      <c r="D459" s="16">
        <v>83.3</v>
      </c>
      <c r="E459" s="18"/>
      <c r="F459" s="25">
        <f t="shared" si="40"/>
        <v>0</v>
      </c>
      <c r="G459" s="6"/>
      <c r="H459" s="6"/>
      <c r="I459" s="6"/>
      <c r="J459" s="37" t="s">
        <v>262</v>
      </c>
      <c r="K459" s="22"/>
    </row>
    <row r="460" spans="1:11" hidden="1" outlineLevel="1" x14ac:dyDescent="0.25">
      <c r="A460" s="36"/>
      <c r="B460" s="37" t="s">
        <v>263</v>
      </c>
      <c r="C460" s="16" t="s">
        <v>18</v>
      </c>
      <c r="D460" s="16">
        <v>83.3</v>
      </c>
      <c r="E460" s="18"/>
      <c r="F460" s="25">
        <f t="shared" si="40"/>
        <v>0</v>
      </c>
      <c r="G460" s="6"/>
      <c r="H460" s="6"/>
      <c r="I460" s="6"/>
      <c r="J460" s="37"/>
      <c r="K460" s="22"/>
    </row>
    <row r="461" spans="1:11" hidden="1" outlineLevel="1" x14ac:dyDescent="0.25">
      <c r="A461" s="36"/>
      <c r="B461" s="37" t="s">
        <v>264</v>
      </c>
      <c r="C461" s="16" t="s">
        <v>18</v>
      </c>
      <c r="D461" s="16">
        <v>83.3</v>
      </c>
      <c r="E461" s="18"/>
      <c r="F461" s="25">
        <f t="shared" si="40"/>
        <v>0</v>
      </c>
      <c r="G461" s="6"/>
      <c r="H461" s="6"/>
      <c r="I461" s="6"/>
      <c r="J461" s="37" t="s">
        <v>265</v>
      </c>
      <c r="K461" s="22"/>
    </row>
    <row r="462" spans="1:11" ht="30" hidden="1" outlineLevel="1" x14ac:dyDescent="0.25">
      <c r="A462" s="36"/>
      <c r="B462" s="37" t="s">
        <v>266</v>
      </c>
      <c r="C462" s="16" t="s">
        <v>18</v>
      </c>
      <c r="D462" s="16">
        <v>119</v>
      </c>
      <c r="E462" s="18"/>
      <c r="F462" s="25">
        <f t="shared" si="40"/>
        <v>0</v>
      </c>
      <c r="G462" s="6"/>
      <c r="H462" s="6"/>
      <c r="I462" s="6"/>
      <c r="J462" s="37" t="s">
        <v>267</v>
      </c>
      <c r="K462" s="22"/>
    </row>
    <row r="463" spans="1:11" ht="30" hidden="1" outlineLevel="1" x14ac:dyDescent="0.25">
      <c r="A463" s="36"/>
      <c r="B463" s="37" t="s">
        <v>268</v>
      </c>
      <c r="C463" s="16" t="s">
        <v>18</v>
      </c>
      <c r="D463" s="16">
        <v>83.3</v>
      </c>
      <c r="E463" s="18"/>
      <c r="F463" s="25">
        <f t="shared" si="40"/>
        <v>0</v>
      </c>
      <c r="G463" s="6"/>
      <c r="H463" s="6"/>
      <c r="I463" s="6"/>
      <c r="J463" s="37" t="s">
        <v>269</v>
      </c>
      <c r="K463" s="22"/>
    </row>
    <row r="464" spans="1:11" hidden="1" outlineLevel="1" x14ac:dyDescent="0.25">
      <c r="A464" s="36"/>
      <c r="B464" s="37" t="s">
        <v>270</v>
      </c>
      <c r="C464" s="16" t="s">
        <v>18</v>
      </c>
      <c r="D464" s="16">
        <v>119</v>
      </c>
      <c r="E464" s="18"/>
      <c r="F464" s="25">
        <f t="shared" si="40"/>
        <v>0</v>
      </c>
      <c r="G464" s="6"/>
      <c r="H464" s="6"/>
      <c r="I464" s="6"/>
      <c r="J464" s="37" t="s">
        <v>271</v>
      </c>
      <c r="K464" s="22"/>
    </row>
    <row r="465" spans="1:11" ht="30" hidden="1" outlineLevel="1" x14ac:dyDescent="0.25">
      <c r="A465" s="36"/>
      <c r="B465" s="37" t="s">
        <v>272</v>
      </c>
      <c r="C465" s="16" t="s">
        <v>18</v>
      </c>
      <c r="D465" s="16">
        <v>83.3</v>
      </c>
      <c r="E465" s="18"/>
      <c r="F465" s="25">
        <f t="shared" si="40"/>
        <v>0</v>
      </c>
      <c r="G465" s="6"/>
      <c r="H465" s="6"/>
      <c r="I465" s="6"/>
      <c r="J465" s="37" t="s">
        <v>273</v>
      </c>
      <c r="K465" s="22"/>
    </row>
    <row r="466" spans="1:11" ht="30" hidden="1" outlineLevel="1" x14ac:dyDescent="0.25">
      <c r="A466" s="36"/>
      <c r="B466" s="37" t="s">
        <v>274</v>
      </c>
      <c r="C466" s="16" t="s">
        <v>18</v>
      </c>
      <c r="D466" s="16">
        <v>357</v>
      </c>
      <c r="E466" s="18"/>
      <c r="F466" s="25">
        <f t="shared" si="40"/>
        <v>0</v>
      </c>
      <c r="G466" s="6"/>
      <c r="H466" s="6"/>
      <c r="I466" s="6"/>
      <c r="J466" s="37" t="s">
        <v>275</v>
      </c>
      <c r="K466" s="22"/>
    </row>
    <row r="467" spans="1:11" ht="30" hidden="1" outlineLevel="1" x14ac:dyDescent="0.25">
      <c r="A467" s="36"/>
      <c r="B467" s="37" t="s">
        <v>276</v>
      </c>
      <c r="C467" s="16" t="s">
        <v>18</v>
      </c>
      <c r="D467" s="16">
        <v>238</v>
      </c>
      <c r="E467" s="18"/>
      <c r="F467" s="25">
        <f t="shared" si="40"/>
        <v>0</v>
      </c>
      <c r="G467" s="6"/>
      <c r="H467" s="6"/>
      <c r="I467" s="6"/>
      <c r="J467" s="37" t="s">
        <v>277</v>
      </c>
      <c r="K467" s="22"/>
    </row>
    <row r="468" spans="1:11" ht="30" hidden="1" outlineLevel="1" x14ac:dyDescent="0.25">
      <c r="A468" s="36"/>
      <c r="B468" s="37" t="s">
        <v>278</v>
      </c>
      <c r="C468" s="16" t="s">
        <v>18</v>
      </c>
      <c r="D468" s="16">
        <v>238</v>
      </c>
      <c r="E468" s="18"/>
      <c r="F468" s="25">
        <f t="shared" si="40"/>
        <v>0</v>
      </c>
      <c r="G468" s="6"/>
      <c r="H468" s="6"/>
      <c r="I468" s="6"/>
      <c r="J468" s="37" t="s">
        <v>279</v>
      </c>
      <c r="K468" s="22"/>
    </row>
    <row r="469" spans="1:11" ht="30" hidden="1" outlineLevel="1" x14ac:dyDescent="0.25">
      <c r="A469" s="36"/>
      <c r="B469" s="57" t="s">
        <v>280</v>
      </c>
      <c r="C469" s="58" t="s">
        <v>18</v>
      </c>
      <c r="D469" s="58">
        <v>238</v>
      </c>
      <c r="E469" s="18"/>
      <c r="F469" s="25">
        <f t="shared" si="40"/>
        <v>0</v>
      </c>
      <c r="G469" s="6"/>
      <c r="H469" s="6"/>
      <c r="I469" s="6"/>
      <c r="J469" s="37" t="s">
        <v>279</v>
      </c>
      <c r="K469" s="22"/>
    </row>
    <row r="470" spans="1:11" ht="30" hidden="1" outlineLevel="1" x14ac:dyDescent="0.25">
      <c r="A470" s="36"/>
      <c r="B470" s="57" t="s">
        <v>281</v>
      </c>
      <c r="C470" s="58" t="s">
        <v>18</v>
      </c>
      <c r="D470" s="58">
        <v>238</v>
      </c>
      <c r="E470" s="18"/>
      <c r="F470" s="25">
        <f t="shared" si="40"/>
        <v>0</v>
      </c>
      <c r="G470" s="6"/>
      <c r="H470" s="6"/>
      <c r="I470" s="6"/>
      <c r="J470" s="37" t="s">
        <v>279</v>
      </c>
      <c r="K470" s="22"/>
    </row>
    <row r="471" spans="1:11" ht="30" hidden="1" outlineLevel="1" x14ac:dyDescent="0.25">
      <c r="A471" s="36"/>
      <c r="B471" s="57" t="s">
        <v>282</v>
      </c>
      <c r="C471" s="58" t="s">
        <v>18</v>
      </c>
      <c r="D471" s="58">
        <v>238</v>
      </c>
      <c r="E471" s="18"/>
      <c r="F471" s="25">
        <f t="shared" si="40"/>
        <v>0</v>
      </c>
      <c r="G471" s="6"/>
      <c r="H471" s="6"/>
      <c r="I471" s="6"/>
      <c r="J471" s="37" t="s">
        <v>279</v>
      </c>
      <c r="K471" s="22"/>
    </row>
    <row r="472" spans="1:11" hidden="1" outlineLevel="1" x14ac:dyDescent="0.25">
      <c r="A472" s="36"/>
      <c r="B472" s="57" t="s">
        <v>283</v>
      </c>
      <c r="C472" s="58" t="s">
        <v>18</v>
      </c>
      <c r="D472" s="58">
        <v>200</v>
      </c>
      <c r="E472" s="18"/>
      <c r="F472" s="25">
        <f t="shared" si="40"/>
        <v>0</v>
      </c>
      <c r="G472" s="6"/>
      <c r="H472" s="6"/>
      <c r="I472" s="6"/>
      <c r="J472" s="37"/>
      <c r="K472" s="22"/>
    </row>
    <row r="473" spans="1:11" ht="30" hidden="1" outlineLevel="1" x14ac:dyDescent="0.25">
      <c r="A473" s="36"/>
      <c r="B473" s="57" t="s">
        <v>284</v>
      </c>
      <c r="C473" s="58" t="s">
        <v>18</v>
      </c>
      <c r="D473" s="58">
        <v>83</v>
      </c>
      <c r="E473" s="18"/>
      <c r="F473" s="25">
        <f t="shared" si="40"/>
        <v>0</v>
      </c>
      <c r="G473" s="6"/>
      <c r="H473" s="6"/>
      <c r="I473" s="6"/>
      <c r="J473" s="37"/>
      <c r="K473" s="22"/>
    </row>
    <row r="474" spans="1:11" hidden="1" outlineLevel="1" x14ac:dyDescent="0.25">
      <c r="A474" s="36"/>
      <c r="B474" s="57" t="s">
        <v>285</v>
      </c>
      <c r="C474" s="58" t="s">
        <v>18</v>
      </c>
      <c r="D474" s="58">
        <v>80.5</v>
      </c>
      <c r="E474" s="18"/>
      <c r="F474" s="25">
        <f t="shared" si="40"/>
        <v>0</v>
      </c>
      <c r="G474" s="6"/>
      <c r="H474" s="6"/>
      <c r="I474" s="6"/>
      <c r="J474" s="37"/>
      <c r="K474" s="22"/>
    </row>
    <row r="475" spans="1:11" hidden="1" outlineLevel="1" x14ac:dyDescent="0.25">
      <c r="A475" s="36"/>
      <c r="B475" s="57" t="s">
        <v>286</v>
      </c>
      <c r="C475" s="58" t="s">
        <v>18</v>
      </c>
      <c r="D475" s="58">
        <v>150</v>
      </c>
      <c r="E475" s="18"/>
      <c r="F475" s="25">
        <v>0</v>
      </c>
      <c r="G475" s="6"/>
      <c r="H475" s="6"/>
      <c r="I475" s="6"/>
      <c r="J475" s="37"/>
      <c r="K475" s="22"/>
    </row>
    <row r="476" spans="1:11" ht="30" hidden="1" outlineLevel="1" x14ac:dyDescent="0.25">
      <c r="A476" s="36"/>
      <c r="B476" s="37" t="s">
        <v>287</v>
      </c>
      <c r="C476" s="16" t="s">
        <v>18</v>
      </c>
      <c r="D476" s="16">
        <v>238</v>
      </c>
      <c r="E476" s="18"/>
      <c r="F476" s="25">
        <f t="shared" si="40"/>
        <v>0</v>
      </c>
      <c r="G476" s="6"/>
      <c r="H476" s="6"/>
      <c r="I476" s="6"/>
      <c r="J476" s="37" t="s">
        <v>288</v>
      </c>
      <c r="K476" s="22"/>
    </row>
    <row r="477" spans="1:11" ht="30" hidden="1" outlineLevel="1" x14ac:dyDescent="0.25">
      <c r="A477" s="36"/>
      <c r="B477" s="37" t="s">
        <v>289</v>
      </c>
      <c r="C477" s="16" t="s">
        <v>18</v>
      </c>
      <c r="D477" s="16">
        <v>178.5</v>
      </c>
      <c r="E477" s="18"/>
      <c r="F477" s="25">
        <f t="shared" si="40"/>
        <v>0</v>
      </c>
      <c r="G477" s="6"/>
      <c r="H477" s="6"/>
      <c r="I477" s="6"/>
      <c r="J477" s="37" t="s">
        <v>290</v>
      </c>
      <c r="K477" s="22"/>
    </row>
    <row r="478" spans="1:11" hidden="1" outlineLevel="1" x14ac:dyDescent="0.25">
      <c r="A478" s="36"/>
      <c r="B478" s="37" t="s">
        <v>291</v>
      </c>
      <c r="C478" s="16" t="s">
        <v>18</v>
      </c>
      <c r="D478" s="16">
        <v>238</v>
      </c>
      <c r="E478" s="18"/>
      <c r="F478" s="25">
        <f t="shared" si="40"/>
        <v>0</v>
      </c>
      <c r="G478" s="6"/>
      <c r="H478" s="6"/>
      <c r="I478" s="6"/>
      <c r="J478" s="37" t="s">
        <v>292</v>
      </c>
      <c r="K478" s="22"/>
    </row>
    <row r="479" spans="1:11" ht="30" hidden="1" outlineLevel="1" x14ac:dyDescent="0.25">
      <c r="A479" s="36"/>
      <c r="B479" s="37" t="s">
        <v>293</v>
      </c>
      <c r="C479" s="16" t="s">
        <v>18</v>
      </c>
      <c r="D479" s="16">
        <v>238</v>
      </c>
      <c r="E479" s="18"/>
      <c r="F479" s="25">
        <f t="shared" si="40"/>
        <v>0</v>
      </c>
      <c r="G479" s="6"/>
      <c r="H479" s="6"/>
      <c r="I479" s="6"/>
      <c r="J479" s="37" t="s">
        <v>290</v>
      </c>
      <c r="K479" s="22"/>
    </row>
    <row r="480" spans="1:11" ht="30" hidden="1" outlineLevel="1" x14ac:dyDescent="0.25">
      <c r="A480" s="36"/>
      <c r="B480" s="37" t="s">
        <v>294</v>
      </c>
      <c r="C480" s="16" t="s">
        <v>18</v>
      </c>
      <c r="D480" s="16">
        <v>178.5</v>
      </c>
      <c r="E480" s="18"/>
      <c r="F480" s="25">
        <f t="shared" si="40"/>
        <v>0</v>
      </c>
      <c r="G480" s="6"/>
      <c r="H480" s="6"/>
      <c r="I480" s="6"/>
      <c r="J480" s="37" t="s">
        <v>295</v>
      </c>
      <c r="K480" s="22"/>
    </row>
    <row r="481" spans="2:11" collapsed="1" x14ac:dyDescent="0.25">
      <c r="B481" s="15" t="s">
        <v>127</v>
      </c>
      <c r="C481" s="16" t="s">
        <v>18</v>
      </c>
      <c r="D481" s="23">
        <f>SUM(F248:F480)</f>
        <v>0</v>
      </c>
      <c r="E481" s="18"/>
      <c r="F481" s="25">
        <f>IF(E481="S",D481,0)</f>
        <v>0</v>
      </c>
      <c r="G481" s="6"/>
      <c r="H481" s="6"/>
      <c r="I481" s="6"/>
      <c r="J481" s="37" t="str">
        <f>IF(E481="S","Abrir o sub item do critério Faturamento para o preenchimento dos campos.","Se envolver Faturamento digite S e expanda o critério para preencher.")</f>
        <v>Se envolver Faturamento digite S e expanda o critério para preencher.</v>
      </c>
      <c r="K481" s="22"/>
    </row>
    <row r="482" spans="2:11" ht="15" hidden="1" customHeight="1" outlineLevel="1" x14ac:dyDescent="0.25">
      <c r="B482" s="59" t="s">
        <v>296</v>
      </c>
      <c r="C482" s="59"/>
      <c r="D482" s="27"/>
      <c r="E482" s="27"/>
      <c r="F482" s="27"/>
      <c r="G482" s="27"/>
      <c r="H482" s="27"/>
      <c r="I482" s="27"/>
      <c r="J482" s="26"/>
      <c r="K482" s="22"/>
    </row>
    <row r="483" spans="2:11" ht="15" hidden="1" customHeight="1" outlineLevel="1" x14ac:dyDescent="0.25">
      <c r="B483" s="15" t="s">
        <v>297</v>
      </c>
      <c r="C483" s="30"/>
      <c r="D483" s="31"/>
      <c r="E483" s="31"/>
      <c r="F483" s="31"/>
      <c r="G483" s="31"/>
      <c r="H483" s="31"/>
      <c r="I483" s="31"/>
      <c r="J483" s="15"/>
      <c r="K483" s="22"/>
    </row>
    <row r="484" spans="2:11" s="65" customFormat="1" ht="15" hidden="1" customHeight="1" outlineLevel="1" x14ac:dyDescent="0.25">
      <c r="B484" s="60" t="s">
        <v>298</v>
      </c>
      <c r="C484" s="61" t="s">
        <v>24</v>
      </c>
      <c r="D484" s="62">
        <v>36</v>
      </c>
      <c r="E484" s="18"/>
      <c r="F484" s="63">
        <f t="shared" ref="F484:F486" si="41">E484*D484</f>
        <v>0</v>
      </c>
      <c r="G484" s="6"/>
      <c r="H484" s="6"/>
      <c r="I484" s="6"/>
      <c r="J484" s="60" t="s">
        <v>299</v>
      </c>
      <c r="K484" s="64"/>
    </row>
    <row r="485" spans="2:11" s="65" customFormat="1" ht="15" hidden="1" customHeight="1" outlineLevel="1" x14ac:dyDescent="0.25">
      <c r="B485" s="60" t="s">
        <v>300</v>
      </c>
      <c r="C485" s="61" t="s">
        <v>24</v>
      </c>
      <c r="D485" s="62">
        <v>60</v>
      </c>
      <c r="E485" s="18"/>
      <c r="F485" s="63">
        <f t="shared" si="41"/>
        <v>0</v>
      </c>
      <c r="G485" s="6"/>
      <c r="H485" s="6"/>
      <c r="I485" s="6"/>
      <c r="J485" s="60" t="s">
        <v>301</v>
      </c>
      <c r="K485" s="64"/>
    </row>
    <row r="486" spans="2:11" s="65" customFormat="1" ht="15" hidden="1" customHeight="1" outlineLevel="1" x14ac:dyDescent="0.25">
      <c r="B486" s="60" t="s">
        <v>302</v>
      </c>
      <c r="C486" s="61" t="s">
        <v>24</v>
      </c>
      <c r="D486" s="62">
        <v>36</v>
      </c>
      <c r="E486" s="18"/>
      <c r="F486" s="63">
        <f t="shared" si="41"/>
        <v>0</v>
      </c>
      <c r="G486" s="6"/>
      <c r="H486" s="6"/>
      <c r="I486" s="6"/>
      <c r="J486" s="60" t="s">
        <v>303</v>
      </c>
      <c r="K486" s="64"/>
    </row>
    <row r="487" spans="2:11" s="65" customFormat="1" ht="15" hidden="1" customHeight="1" outlineLevel="1" x14ac:dyDescent="0.25">
      <c r="B487" s="60" t="s">
        <v>304</v>
      </c>
      <c r="C487" s="61" t="s">
        <v>24</v>
      </c>
      <c r="D487" s="62">
        <v>36</v>
      </c>
      <c r="E487" s="18"/>
      <c r="F487" s="63">
        <f>E487*D487</f>
        <v>0</v>
      </c>
      <c r="G487" s="6"/>
      <c r="H487" s="6"/>
      <c r="I487" s="6"/>
      <c r="J487" s="60" t="s">
        <v>305</v>
      </c>
      <c r="K487" s="64"/>
    </row>
    <row r="488" spans="2:11" s="65" customFormat="1" ht="15" hidden="1" customHeight="1" outlineLevel="1" x14ac:dyDescent="0.25">
      <c r="B488" s="60" t="s">
        <v>306</v>
      </c>
      <c r="C488" s="61" t="s">
        <v>18</v>
      </c>
      <c r="D488" s="61">
        <v>180</v>
      </c>
      <c r="E488" s="18"/>
      <c r="F488" s="63">
        <f t="shared" ref="F488:F500" si="42">IF(E488="S",D488,0)</f>
        <v>0</v>
      </c>
      <c r="G488" s="6"/>
      <c r="H488" s="6"/>
      <c r="I488" s="6"/>
      <c r="J488" s="60" t="s">
        <v>307</v>
      </c>
      <c r="K488" s="64"/>
    </row>
    <row r="489" spans="2:11" s="65" customFormat="1" ht="15" hidden="1" customHeight="1" outlineLevel="1" x14ac:dyDescent="0.25">
      <c r="B489" s="60" t="s">
        <v>308</v>
      </c>
      <c r="C489" s="61" t="s">
        <v>18</v>
      </c>
      <c r="D489" s="61">
        <v>84</v>
      </c>
      <c r="E489" s="18"/>
      <c r="F489" s="63">
        <f t="shared" si="42"/>
        <v>0</v>
      </c>
      <c r="G489" s="6"/>
      <c r="H489" s="6"/>
      <c r="I489" s="6"/>
      <c r="J489" s="60" t="s">
        <v>309</v>
      </c>
      <c r="K489" s="64"/>
    </row>
    <row r="490" spans="2:11" s="65" customFormat="1" ht="45.75" hidden="1" customHeight="1" outlineLevel="1" x14ac:dyDescent="0.25">
      <c r="B490" s="60" t="s">
        <v>310</v>
      </c>
      <c r="C490" s="61" t="s">
        <v>24</v>
      </c>
      <c r="D490" s="62">
        <v>16</v>
      </c>
      <c r="E490" s="18"/>
      <c r="F490" s="63">
        <f t="shared" ref="F490:F496" si="43">E490*D490</f>
        <v>0</v>
      </c>
      <c r="G490" s="6"/>
      <c r="H490" s="6"/>
      <c r="I490" s="6"/>
      <c r="J490" s="60" t="s">
        <v>311</v>
      </c>
      <c r="K490" s="64"/>
    </row>
    <row r="491" spans="2:11" s="65" customFormat="1" ht="45.75" hidden="1" customHeight="1" outlineLevel="1" x14ac:dyDescent="0.25">
      <c r="B491" s="60" t="s">
        <v>312</v>
      </c>
      <c r="C491" s="61" t="s">
        <v>24</v>
      </c>
      <c r="D491" s="62">
        <v>25</v>
      </c>
      <c r="E491" s="18"/>
      <c r="F491" s="63">
        <f t="shared" si="43"/>
        <v>0</v>
      </c>
      <c r="G491" s="6"/>
      <c r="H491" s="6"/>
      <c r="I491" s="6"/>
      <c r="J491" s="60" t="s">
        <v>313</v>
      </c>
      <c r="K491" s="64"/>
    </row>
    <row r="492" spans="2:11" s="65" customFormat="1" ht="45.75" hidden="1" customHeight="1" outlineLevel="1" x14ac:dyDescent="0.25">
      <c r="B492" s="60" t="s">
        <v>314</v>
      </c>
      <c r="C492" s="61" t="s">
        <v>24</v>
      </c>
      <c r="D492" s="62">
        <v>25</v>
      </c>
      <c r="E492" s="18"/>
      <c r="F492" s="63">
        <f t="shared" si="43"/>
        <v>0</v>
      </c>
      <c r="G492" s="6"/>
      <c r="H492" s="6"/>
      <c r="I492" s="6"/>
      <c r="J492" s="60" t="s">
        <v>315</v>
      </c>
      <c r="K492" s="64"/>
    </row>
    <row r="493" spans="2:11" s="65" customFormat="1" ht="82.5" hidden="1" customHeight="1" outlineLevel="1" x14ac:dyDescent="0.25">
      <c r="B493" s="60" t="s">
        <v>316</v>
      </c>
      <c r="C493" s="61" t="s">
        <v>24</v>
      </c>
      <c r="D493" s="62">
        <v>25</v>
      </c>
      <c r="E493" s="18"/>
      <c r="F493" s="63">
        <f t="shared" si="43"/>
        <v>0</v>
      </c>
      <c r="G493" s="6"/>
      <c r="H493" s="6"/>
      <c r="I493" s="6"/>
      <c r="J493" s="60" t="s">
        <v>317</v>
      </c>
      <c r="K493" s="64"/>
    </row>
    <row r="494" spans="2:11" s="65" customFormat="1" ht="33" hidden="1" customHeight="1" outlineLevel="1" x14ac:dyDescent="0.25">
      <c r="B494" s="60" t="s">
        <v>318</v>
      </c>
      <c r="C494" s="61" t="s">
        <v>24</v>
      </c>
      <c r="D494" s="62">
        <v>50</v>
      </c>
      <c r="E494" s="18"/>
      <c r="F494" s="63">
        <f t="shared" si="43"/>
        <v>0</v>
      </c>
      <c r="G494" s="6"/>
      <c r="H494" s="6"/>
      <c r="I494" s="6"/>
      <c r="J494" s="60" t="s">
        <v>319</v>
      </c>
      <c r="K494" s="64"/>
    </row>
    <row r="495" spans="2:11" s="65" customFormat="1" ht="57" hidden="1" customHeight="1" outlineLevel="1" x14ac:dyDescent="0.25">
      <c r="B495" s="60" t="s">
        <v>320</v>
      </c>
      <c r="C495" s="61" t="s">
        <v>24</v>
      </c>
      <c r="D495" s="62">
        <v>68</v>
      </c>
      <c r="E495" s="18"/>
      <c r="F495" s="63">
        <f t="shared" si="43"/>
        <v>0</v>
      </c>
      <c r="G495" s="6"/>
      <c r="H495" s="6"/>
      <c r="I495" s="6"/>
      <c r="J495" s="60" t="s">
        <v>321</v>
      </c>
      <c r="K495" s="64"/>
    </row>
    <row r="496" spans="2:11" s="65" customFormat="1" ht="57" hidden="1" customHeight="1" outlineLevel="1" x14ac:dyDescent="0.25">
      <c r="B496" s="60" t="s">
        <v>322</v>
      </c>
      <c r="C496" s="61" t="s">
        <v>24</v>
      </c>
      <c r="D496" s="62">
        <v>130</v>
      </c>
      <c r="E496" s="18"/>
      <c r="F496" s="63">
        <f t="shared" si="43"/>
        <v>0</v>
      </c>
      <c r="G496" s="6"/>
      <c r="H496" s="6"/>
      <c r="I496" s="6"/>
      <c r="J496" s="60" t="s">
        <v>323</v>
      </c>
      <c r="K496" s="64"/>
    </row>
    <row r="497" spans="2:11" s="65" customFormat="1" ht="15" hidden="1" customHeight="1" outlineLevel="1" x14ac:dyDescent="0.25">
      <c r="B497" s="60" t="s">
        <v>324</v>
      </c>
      <c r="C497" s="61" t="s">
        <v>18</v>
      </c>
      <c r="D497" s="61">
        <v>90</v>
      </c>
      <c r="E497" s="18"/>
      <c r="F497" s="63">
        <f t="shared" si="42"/>
        <v>0</v>
      </c>
      <c r="G497" s="6"/>
      <c r="H497" s="6"/>
      <c r="I497" s="6"/>
      <c r="J497" s="60" t="s">
        <v>325</v>
      </c>
      <c r="K497" s="64"/>
    </row>
    <row r="498" spans="2:11" s="65" customFormat="1" ht="15" hidden="1" customHeight="1" outlineLevel="1" x14ac:dyDescent="0.25">
      <c r="B498" s="60" t="s">
        <v>326</v>
      </c>
      <c r="C498" s="61" t="s">
        <v>18</v>
      </c>
      <c r="D498" s="61">
        <v>120</v>
      </c>
      <c r="E498" s="18"/>
      <c r="F498" s="63">
        <f t="shared" si="42"/>
        <v>0</v>
      </c>
      <c r="G498" s="6"/>
      <c r="H498" s="6"/>
      <c r="I498" s="6"/>
      <c r="J498" s="60" t="s">
        <v>327</v>
      </c>
      <c r="K498" s="64"/>
    </row>
    <row r="499" spans="2:11" s="65" customFormat="1" ht="15" hidden="1" customHeight="1" outlineLevel="1" x14ac:dyDescent="0.25">
      <c r="B499" s="60" t="s">
        <v>328</v>
      </c>
      <c r="C499" s="61" t="s">
        <v>18</v>
      </c>
      <c r="D499" s="61">
        <v>120</v>
      </c>
      <c r="E499" s="18"/>
      <c r="F499" s="63">
        <f t="shared" si="42"/>
        <v>0</v>
      </c>
      <c r="G499" s="6"/>
      <c r="H499" s="6"/>
      <c r="I499" s="6"/>
      <c r="J499" s="60" t="s">
        <v>329</v>
      </c>
      <c r="K499" s="64"/>
    </row>
    <row r="500" spans="2:11" s="65" customFormat="1" ht="15" hidden="1" customHeight="1" outlineLevel="1" x14ac:dyDescent="0.25">
      <c r="B500" s="60" t="s">
        <v>330</v>
      </c>
      <c r="C500" s="61" t="s">
        <v>18</v>
      </c>
      <c r="D500" s="61">
        <v>36</v>
      </c>
      <c r="E500" s="18"/>
      <c r="F500" s="63">
        <f t="shared" si="42"/>
        <v>0</v>
      </c>
      <c r="G500" s="6"/>
      <c r="H500" s="6"/>
      <c r="I500" s="6"/>
      <c r="J500" s="60" t="s">
        <v>331</v>
      </c>
      <c r="K500" s="64"/>
    </row>
    <row r="501" spans="2:11" s="65" customFormat="1" ht="15" hidden="1" customHeight="1" outlineLevel="1" x14ac:dyDescent="0.25">
      <c r="B501" s="60" t="s">
        <v>332</v>
      </c>
      <c r="C501" s="16" t="s">
        <v>18</v>
      </c>
      <c r="D501" s="62">
        <v>100</v>
      </c>
      <c r="E501" s="18"/>
      <c r="F501" s="63">
        <f>IF(E501="S",D501,0)</f>
        <v>0</v>
      </c>
      <c r="G501" s="6"/>
      <c r="H501" s="6"/>
      <c r="I501" s="6"/>
      <c r="J501" s="60" t="s">
        <v>333</v>
      </c>
      <c r="K501" s="64"/>
    </row>
    <row r="502" spans="2:11" s="65" customFormat="1" ht="15" hidden="1" customHeight="1" outlineLevel="1" x14ac:dyDescent="0.25">
      <c r="B502" s="60" t="s">
        <v>334</v>
      </c>
      <c r="C502" s="61" t="s">
        <v>18</v>
      </c>
      <c r="D502" s="61">
        <v>36</v>
      </c>
      <c r="E502" s="18"/>
      <c r="F502" s="63">
        <f t="shared" ref="F502:F518" si="44">IF(E502="S",D502,0)</f>
        <v>0</v>
      </c>
      <c r="G502" s="6"/>
      <c r="H502" s="6"/>
      <c r="I502" s="6"/>
      <c r="J502" s="60" t="s">
        <v>335</v>
      </c>
      <c r="K502" s="64"/>
    </row>
    <row r="503" spans="2:11" s="65" customFormat="1" ht="15" hidden="1" customHeight="1" outlineLevel="1" x14ac:dyDescent="0.25">
      <c r="B503" s="60" t="s">
        <v>336</v>
      </c>
      <c r="C503" s="61" t="s">
        <v>18</v>
      </c>
      <c r="D503" s="61">
        <v>84</v>
      </c>
      <c r="E503" s="18"/>
      <c r="F503" s="63">
        <f t="shared" si="44"/>
        <v>0</v>
      </c>
      <c r="G503" s="6"/>
      <c r="H503" s="6"/>
      <c r="I503" s="6"/>
      <c r="J503" s="60" t="s">
        <v>337</v>
      </c>
      <c r="K503" s="64"/>
    </row>
    <row r="504" spans="2:11" s="65" customFormat="1" ht="15" hidden="1" customHeight="1" outlineLevel="1" x14ac:dyDescent="0.25">
      <c r="B504" s="60" t="s">
        <v>338</v>
      </c>
      <c r="C504" s="61" t="s">
        <v>18</v>
      </c>
      <c r="D504" s="61">
        <v>84</v>
      </c>
      <c r="E504" s="18"/>
      <c r="F504" s="63">
        <f t="shared" si="44"/>
        <v>0</v>
      </c>
      <c r="G504" s="6"/>
      <c r="H504" s="6"/>
      <c r="I504" s="6"/>
      <c r="J504" s="60" t="s">
        <v>339</v>
      </c>
      <c r="K504" s="64"/>
    </row>
    <row r="505" spans="2:11" s="65" customFormat="1" ht="15" hidden="1" customHeight="1" outlineLevel="1" x14ac:dyDescent="0.25">
      <c r="B505" s="60" t="s">
        <v>340</v>
      </c>
      <c r="C505" s="61" t="s">
        <v>18</v>
      </c>
      <c r="D505" s="61">
        <v>36</v>
      </c>
      <c r="E505" s="18"/>
      <c r="F505" s="63">
        <f t="shared" si="44"/>
        <v>0</v>
      </c>
      <c r="G505" s="6"/>
      <c r="H505" s="6"/>
      <c r="I505" s="6"/>
      <c r="J505" s="60" t="s">
        <v>341</v>
      </c>
      <c r="K505" s="64"/>
    </row>
    <row r="506" spans="2:11" s="65" customFormat="1" ht="15" hidden="1" customHeight="1" outlineLevel="1" x14ac:dyDescent="0.25">
      <c r="B506" s="60" t="s">
        <v>342</v>
      </c>
      <c r="C506" s="61" t="s">
        <v>18</v>
      </c>
      <c r="D506" s="61">
        <v>84</v>
      </c>
      <c r="E506" s="18"/>
      <c r="F506" s="63">
        <f t="shared" si="44"/>
        <v>0</v>
      </c>
      <c r="G506" s="6"/>
      <c r="H506" s="6"/>
      <c r="I506" s="6"/>
      <c r="J506" s="60" t="s">
        <v>343</v>
      </c>
      <c r="K506" s="64"/>
    </row>
    <row r="507" spans="2:11" s="65" customFormat="1" ht="15" hidden="1" customHeight="1" outlineLevel="1" x14ac:dyDescent="0.25">
      <c r="B507" s="60" t="s">
        <v>344</v>
      </c>
      <c r="C507" s="61" t="s">
        <v>18</v>
      </c>
      <c r="D507" s="61">
        <v>36</v>
      </c>
      <c r="E507" s="18"/>
      <c r="F507" s="63">
        <f t="shared" si="44"/>
        <v>0</v>
      </c>
      <c r="G507" s="6"/>
      <c r="H507" s="6"/>
      <c r="I507" s="6"/>
      <c r="J507" s="60" t="s">
        <v>345</v>
      </c>
      <c r="K507" s="64"/>
    </row>
    <row r="508" spans="2:11" s="65" customFormat="1" ht="15" hidden="1" customHeight="1" outlineLevel="1" x14ac:dyDescent="0.25">
      <c r="B508" s="60" t="s">
        <v>346</v>
      </c>
      <c r="C508" s="61" t="s">
        <v>18</v>
      </c>
      <c r="D508" s="61">
        <v>240</v>
      </c>
      <c r="E508" s="18"/>
      <c r="F508" s="63">
        <f t="shared" si="44"/>
        <v>0</v>
      </c>
      <c r="G508" s="6"/>
      <c r="H508" s="6"/>
      <c r="I508" s="6"/>
      <c r="J508" s="60" t="s">
        <v>347</v>
      </c>
      <c r="K508" s="64"/>
    </row>
    <row r="509" spans="2:11" s="65" customFormat="1" ht="15" hidden="1" customHeight="1" outlineLevel="1" x14ac:dyDescent="0.25">
      <c r="B509" s="60" t="s">
        <v>348</v>
      </c>
      <c r="C509" s="61" t="s">
        <v>18</v>
      </c>
      <c r="D509" s="61">
        <v>80</v>
      </c>
      <c r="E509" s="18"/>
      <c r="F509" s="63">
        <f t="shared" si="44"/>
        <v>0</v>
      </c>
      <c r="G509" s="6"/>
      <c r="H509" s="6"/>
      <c r="I509" s="6"/>
      <c r="J509" s="60" t="s">
        <v>349</v>
      </c>
      <c r="K509" s="64"/>
    </row>
    <row r="510" spans="2:11" s="65" customFormat="1" ht="15" hidden="1" customHeight="1" outlineLevel="1" x14ac:dyDescent="0.25">
      <c r="B510" s="60" t="s">
        <v>350</v>
      </c>
      <c r="C510" s="61" t="s">
        <v>18</v>
      </c>
      <c r="D510" s="61">
        <v>100</v>
      </c>
      <c r="E510" s="18"/>
      <c r="F510" s="63">
        <f>IF(E510="S",D510,0)</f>
        <v>0</v>
      </c>
      <c r="G510" s="6"/>
      <c r="H510" s="6"/>
      <c r="I510" s="6"/>
      <c r="J510" s="60" t="s">
        <v>351</v>
      </c>
      <c r="K510" s="64"/>
    </row>
    <row r="511" spans="2:11" s="65" customFormat="1" ht="15" hidden="1" customHeight="1" outlineLevel="1" x14ac:dyDescent="0.25">
      <c r="B511" s="60" t="s">
        <v>352</v>
      </c>
      <c r="C511" s="61" t="s">
        <v>18</v>
      </c>
      <c r="D511" s="61">
        <v>70</v>
      </c>
      <c r="E511" s="18"/>
      <c r="F511" s="63">
        <f t="shared" si="44"/>
        <v>0</v>
      </c>
      <c r="G511" s="6"/>
      <c r="H511" s="6"/>
      <c r="I511" s="6"/>
      <c r="J511" s="60" t="s">
        <v>353</v>
      </c>
      <c r="K511" s="64"/>
    </row>
    <row r="512" spans="2:11" s="65" customFormat="1" ht="15" hidden="1" customHeight="1" outlineLevel="1" x14ac:dyDescent="0.25">
      <c r="B512" s="60" t="s">
        <v>354</v>
      </c>
      <c r="C512" s="61" t="s">
        <v>18</v>
      </c>
      <c r="D512" s="61">
        <v>50</v>
      </c>
      <c r="E512" s="18"/>
      <c r="F512" s="63">
        <f t="shared" si="44"/>
        <v>0</v>
      </c>
      <c r="G512" s="6"/>
      <c r="H512" s="6"/>
      <c r="I512" s="6"/>
      <c r="J512" s="60" t="s">
        <v>355</v>
      </c>
      <c r="K512" s="64"/>
    </row>
    <row r="513" spans="2:11" s="65" customFormat="1" ht="15" hidden="1" customHeight="1" outlineLevel="1" x14ac:dyDescent="0.25">
      <c r="B513" s="60" t="s">
        <v>356</v>
      </c>
      <c r="C513" s="61" t="s">
        <v>18</v>
      </c>
      <c r="D513" s="61">
        <v>50</v>
      </c>
      <c r="E513" s="18"/>
      <c r="F513" s="63">
        <f t="shared" si="44"/>
        <v>0</v>
      </c>
      <c r="G513" s="6"/>
      <c r="H513" s="6"/>
      <c r="I513" s="6"/>
      <c r="J513" s="60" t="s">
        <v>357</v>
      </c>
      <c r="K513" s="64"/>
    </row>
    <row r="514" spans="2:11" s="65" customFormat="1" ht="15" hidden="1" customHeight="1" outlineLevel="1" x14ac:dyDescent="0.25">
      <c r="B514" s="60" t="s">
        <v>358</v>
      </c>
      <c r="C514" s="61" t="s">
        <v>18</v>
      </c>
      <c r="D514" s="61">
        <v>80</v>
      </c>
      <c r="E514" s="18"/>
      <c r="F514" s="63">
        <f t="shared" si="44"/>
        <v>0</v>
      </c>
      <c r="G514" s="6"/>
      <c r="H514" s="6"/>
      <c r="I514" s="6"/>
      <c r="J514" s="60" t="s">
        <v>359</v>
      </c>
      <c r="K514" s="64"/>
    </row>
    <row r="515" spans="2:11" s="65" customFormat="1" ht="15" hidden="1" customHeight="1" outlineLevel="1" x14ac:dyDescent="0.25">
      <c r="B515" s="60" t="s">
        <v>360</v>
      </c>
      <c r="C515" s="61" t="s">
        <v>18</v>
      </c>
      <c r="D515" s="61">
        <v>80</v>
      </c>
      <c r="E515" s="18"/>
      <c r="F515" s="63">
        <f t="shared" si="44"/>
        <v>0</v>
      </c>
      <c r="G515" s="6"/>
      <c r="H515" s="6"/>
      <c r="I515" s="6"/>
      <c r="J515" s="60" t="s">
        <v>359</v>
      </c>
      <c r="K515" s="64"/>
    </row>
    <row r="516" spans="2:11" s="65" customFormat="1" ht="15" hidden="1" customHeight="1" outlineLevel="1" x14ac:dyDescent="0.25">
      <c r="B516" s="60" t="s">
        <v>361</v>
      </c>
      <c r="C516" s="61" t="s">
        <v>18</v>
      </c>
      <c r="D516" s="61">
        <v>120</v>
      </c>
      <c r="E516" s="18"/>
      <c r="F516" s="63">
        <f t="shared" si="44"/>
        <v>0</v>
      </c>
      <c r="G516" s="6"/>
      <c r="H516" s="6"/>
      <c r="I516" s="6"/>
      <c r="J516" s="60" t="s">
        <v>362</v>
      </c>
      <c r="K516" s="64"/>
    </row>
    <row r="517" spans="2:11" s="65" customFormat="1" ht="15" hidden="1" customHeight="1" outlineLevel="1" x14ac:dyDescent="0.25">
      <c r="B517" s="60" t="s">
        <v>363</v>
      </c>
      <c r="C517" s="61" t="s">
        <v>18</v>
      </c>
      <c r="D517" s="61">
        <v>36</v>
      </c>
      <c r="E517" s="18"/>
      <c r="F517" s="63">
        <f t="shared" si="44"/>
        <v>0</v>
      </c>
      <c r="G517" s="6"/>
      <c r="H517" s="6"/>
      <c r="I517" s="6"/>
      <c r="J517" s="60" t="s">
        <v>364</v>
      </c>
      <c r="K517" s="64"/>
    </row>
    <row r="518" spans="2:11" s="65" customFormat="1" ht="15" hidden="1" customHeight="1" outlineLevel="1" x14ac:dyDescent="0.25">
      <c r="B518" s="60" t="s">
        <v>365</v>
      </c>
      <c r="C518" s="61" t="s">
        <v>18</v>
      </c>
      <c r="D518" s="61">
        <v>180</v>
      </c>
      <c r="E518" s="18"/>
      <c r="F518" s="63">
        <f t="shared" si="44"/>
        <v>0</v>
      </c>
      <c r="G518" s="6"/>
      <c r="H518" s="6"/>
      <c r="I518" s="6"/>
      <c r="J518" s="60" t="s">
        <v>366</v>
      </c>
      <c r="K518" s="64"/>
    </row>
    <row r="519" spans="2:11" ht="15" hidden="1" customHeight="1" outlineLevel="1" x14ac:dyDescent="0.25">
      <c r="B519" s="60" t="s">
        <v>367</v>
      </c>
      <c r="C519" s="16" t="s">
        <v>24</v>
      </c>
      <c r="D519" s="62">
        <v>36</v>
      </c>
      <c r="E519" s="18"/>
      <c r="F519" s="25">
        <f>E519*D519</f>
        <v>0</v>
      </c>
      <c r="G519" s="6"/>
      <c r="H519" s="6"/>
      <c r="I519" s="6"/>
      <c r="J519" s="37" t="s">
        <v>368</v>
      </c>
      <c r="K519" s="22"/>
    </row>
    <row r="520" spans="2:11" ht="15" hidden="1" customHeight="1" outlineLevel="1" x14ac:dyDescent="0.25">
      <c r="B520" s="37" t="s">
        <v>369</v>
      </c>
      <c r="C520" s="16" t="s">
        <v>24</v>
      </c>
      <c r="D520" s="38">
        <v>36</v>
      </c>
      <c r="E520" s="18"/>
      <c r="F520" s="25">
        <f>E520*D520</f>
        <v>0</v>
      </c>
      <c r="G520" s="6"/>
      <c r="H520" s="6"/>
      <c r="I520" s="6"/>
      <c r="J520" s="37" t="s">
        <v>370</v>
      </c>
      <c r="K520" s="22"/>
    </row>
    <row r="521" spans="2:11" ht="15" hidden="1" customHeight="1" outlineLevel="1" x14ac:dyDescent="0.25">
      <c r="B521" s="37" t="s">
        <v>371</v>
      </c>
      <c r="C521" s="61" t="s">
        <v>18</v>
      </c>
      <c r="D521" s="61">
        <v>36</v>
      </c>
      <c r="E521" s="18"/>
      <c r="F521" s="25">
        <f t="shared" ref="F521:F535" si="45">IF(E521="S",D521,0)</f>
        <v>0</v>
      </c>
      <c r="G521" s="6"/>
      <c r="H521" s="6"/>
      <c r="I521" s="6"/>
      <c r="J521" s="37" t="s">
        <v>372</v>
      </c>
      <c r="K521" s="22"/>
    </row>
    <row r="522" spans="2:11" ht="15" hidden="1" customHeight="1" outlineLevel="1" x14ac:dyDescent="0.25">
      <c r="B522" s="37" t="s">
        <v>373</v>
      </c>
      <c r="C522" s="16" t="s">
        <v>24</v>
      </c>
      <c r="D522" s="38">
        <v>36</v>
      </c>
      <c r="E522" s="18"/>
      <c r="F522" s="25">
        <f>E522*D522</f>
        <v>0</v>
      </c>
      <c r="G522" s="6"/>
      <c r="H522" s="6"/>
      <c r="I522" s="6"/>
      <c r="J522" s="37" t="s">
        <v>374</v>
      </c>
      <c r="K522" s="22"/>
    </row>
    <row r="523" spans="2:11" ht="15" hidden="1" customHeight="1" outlineLevel="1" x14ac:dyDescent="0.25">
      <c r="B523" s="60" t="s">
        <v>375</v>
      </c>
      <c r="C523" s="61" t="s">
        <v>18</v>
      </c>
      <c r="D523" s="38">
        <v>36</v>
      </c>
      <c r="E523" s="18"/>
      <c r="F523" s="25">
        <f t="shared" si="45"/>
        <v>0</v>
      </c>
      <c r="G523" s="6"/>
      <c r="H523" s="6"/>
      <c r="I523" s="6"/>
      <c r="J523" s="37" t="s">
        <v>376</v>
      </c>
      <c r="K523" s="22"/>
    </row>
    <row r="524" spans="2:11" ht="15" hidden="1" customHeight="1" outlineLevel="1" x14ac:dyDescent="0.25">
      <c r="B524" s="60" t="s">
        <v>377</v>
      </c>
      <c r="C524" s="61" t="s">
        <v>18</v>
      </c>
      <c r="D524" s="38">
        <v>36</v>
      </c>
      <c r="E524" s="18"/>
      <c r="F524" s="25">
        <f t="shared" si="45"/>
        <v>0</v>
      </c>
      <c r="G524" s="6"/>
      <c r="H524" s="6"/>
      <c r="I524" s="6"/>
      <c r="J524" s="37" t="s">
        <v>378</v>
      </c>
      <c r="K524" s="22"/>
    </row>
    <row r="525" spans="2:11" ht="15" hidden="1" customHeight="1" outlineLevel="1" x14ac:dyDescent="0.25">
      <c r="B525" s="37" t="s">
        <v>379</v>
      </c>
      <c r="C525" s="61" t="s">
        <v>18</v>
      </c>
      <c r="D525" s="61">
        <v>36</v>
      </c>
      <c r="E525" s="18"/>
      <c r="F525" s="25">
        <f t="shared" si="45"/>
        <v>0</v>
      </c>
      <c r="G525" s="6"/>
      <c r="H525" s="6"/>
      <c r="I525" s="6"/>
      <c r="J525" s="37" t="s">
        <v>380</v>
      </c>
      <c r="K525" s="22"/>
    </row>
    <row r="526" spans="2:11" ht="15" hidden="1" customHeight="1" outlineLevel="1" x14ac:dyDescent="0.25">
      <c r="B526" s="37" t="s">
        <v>381</v>
      </c>
      <c r="C526" s="61" t="s">
        <v>18</v>
      </c>
      <c r="D526" s="61">
        <v>84</v>
      </c>
      <c r="E526" s="18"/>
      <c r="F526" s="25">
        <f t="shared" si="45"/>
        <v>0</v>
      </c>
      <c r="G526" s="6"/>
      <c r="H526" s="6"/>
      <c r="I526" s="6"/>
      <c r="J526" s="37" t="s">
        <v>382</v>
      </c>
      <c r="K526" s="22"/>
    </row>
    <row r="527" spans="2:11" ht="15" hidden="1" customHeight="1" outlineLevel="1" x14ac:dyDescent="0.25">
      <c r="B527" s="60" t="s">
        <v>383</v>
      </c>
      <c r="C527" s="16" t="s">
        <v>24</v>
      </c>
      <c r="D527" s="38">
        <v>240</v>
      </c>
      <c r="E527" s="18"/>
      <c r="F527" s="25">
        <f>E527*D527</f>
        <v>0</v>
      </c>
      <c r="G527" s="6"/>
      <c r="H527" s="6"/>
      <c r="I527" s="6"/>
      <c r="J527" s="37" t="s">
        <v>384</v>
      </c>
      <c r="K527" s="22"/>
    </row>
    <row r="528" spans="2:11" ht="15" hidden="1" customHeight="1" outlineLevel="1" x14ac:dyDescent="0.25">
      <c r="B528" s="60" t="s">
        <v>385</v>
      </c>
      <c r="C528" s="61" t="s">
        <v>18</v>
      </c>
      <c r="D528" s="61">
        <v>36</v>
      </c>
      <c r="E528" s="18"/>
      <c r="F528" s="25">
        <f t="shared" si="45"/>
        <v>0</v>
      </c>
      <c r="G528" s="6"/>
      <c r="H528" s="6"/>
      <c r="I528" s="6"/>
      <c r="J528" s="37" t="s">
        <v>386</v>
      </c>
      <c r="K528" s="22"/>
    </row>
    <row r="529" spans="2:11" ht="15" hidden="1" customHeight="1" outlineLevel="1" x14ac:dyDescent="0.25">
      <c r="B529" s="60" t="s">
        <v>387</v>
      </c>
      <c r="C529" s="61" t="s">
        <v>18</v>
      </c>
      <c r="D529" s="61">
        <v>36</v>
      </c>
      <c r="E529" s="18"/>
      <c r="F529" s="25">
        <f t="shared" si="45"/>
        <v>0</v>
      </c>
      <c r="G529" s="6"/>
      <c r="H529" s="6"/>
      <c r="I529" s="6"/>
      <c r="J529" s="37" t="s">
        <v>388</v>
      </c>
      <c r="K529" s="22"/>
    </row>
    <row r="530" spans="2:11" ht="15" hidden="1" customHeight="1" outlineLevel="1" x14ac:dyDescent="0.25">
      <c r="B530" s="37" t="s">
        <v>389</v>
      </c>
      <c r="C530" s="61" t="s">
        <v>18</v>
      </c>
      <c r="D530" s="61">
        <v>180</v>
      </c>
      <c r="E530" s="18"/>
      <c r="F530" s="25">
        <f t="shared" si="45"/>
        <v>0</v>
      </c>
      <c r="G530" s="6"/>
      <c r="H530" s="6"/>
      <c r="I530" s="6"/>
      <c r="J530" s="37" t="s">
        <v>390</v>
      </c>
      <c r="K530" s="22"/>
    </row>
    <row r="531" spans="2:11" ht="15" hidden="1" customHeight="1" outlineLevel="1" x14ac:dyDescent="0.25">
      <c r="B531" s="37" t="s">
        <v>391</v>
      </c>
      <c r="C531" s="61" t="s">
        <v>18</v>
      </c>
      <c r="D531" s="61">
        <v>36</v>
      </c>
      <c r="E531" s="18"/>
      <c r="F531" s="25">
        <f t="shared" si="45"/>
        <v>0</v>
      </c>
      <c r="G531" s="6"/>
      <c r="H531" s="6"/>
      <c r="I531" s="6"/>
      <c r="J531" s="37" t="s">
        <v>392</v>
      </c>
      <c r="K531" s="22"/>
    </row>
    <row r="532" spans="2:11" ht="15" hidden="1" customHeight="1" outlineLevel="1" x14ac:dyDescent="0.25">
      <c r="B532" s="37" t="s">
        <v>393</v>
      </c>
      <c r="C532" s="61" t="s">
        <v>18</v>
      </c>
      <c r="D532" s="61">
        <v>36</v>
      </c>
      <c r="E532" s="18"/>
      <c r="F532" s="25">
        <f t="shared" si="45"/>
        <v>0</v>
      </c>
      <c r="G532" s="6"/>
      <c r="H532" s="6"/>
      <c r="I532" s="6"/>
      <c r="J532" s="37" t="s">
        <v>394</v>
      </c>
      <c r="K532" s="22"/>
    </row>
    <row r="533" spans="2:11" ht="15" hidden="1" customHeight="1" outlineLevel="1" x14ac:dyDescent="0.25">
      <c r="B533" s="37" t="s">
        <v>395</v>
      </c>
      <c r="C533" s="61" t="s">
        <v>18</v>
      </c>
      <c r="D533" s="61">
        <v>36</v>
      </c>
      <c r="E533" s="18"/>
      <c r="F533" s="25">
        <f t="shared" si="45"/>
        <v>0</v>
      </c>
      <c r="G533" s="6"/>
      <c r="H533" s="6"/>
      <c r="I533" s="6"/>
      <c r="J533" s="37" t="s">
        <v>396</v>
      </c>
      <c r="K533" s="22"/>
    </row>
    <row r="534" spans="2:11" ht="15" hidden="1" customHeight="1" outlineLevel="1" x14ac:dyDescent="0.25">
      <c r="B534" s="37" t="s">
        <v>397</v>
      </c>
      <c r="C534" s="61" t="s">
        <v>18</v>
      </c>
      <c r="D534" s="61">
        <v>36</v>
      </c>
      <c r="E534" s="18"/>
      <c r="F534" s="25">
        <f t="shared" si="45"/>
        <v>0</v>
      </c>
      <c r="G534" s="6"/>
      <c r="H534" s="6"/>
      <c r="I534" s="6"/>
      <c r="J534" s="37" t="s">
        <v>398</v>
      </c>
      <c r="K534" s="22"/>
    </row>
    <row r="535" spans="2:11" s="65" customFormat="1" ht="15" hidden="1" customHeight="1" outlineLevel="1" x14ac:dyDescent="0.25">
      <c r="B535" s="60" t="s">
        <v>399</v>
      </c>
      <c r="C535" s="61" t="s">
        <v>18</v>
      </c>
      <c r="D535" s="61">
        <v>84</v>
      </c>
      <c r="E535" s="18"/>
      <c r="F535" s="63">
        <f t="shared" si="45"/>
        <v>0</v>
      </c>
      <c r="G535" s="6"/>
      <c r="H535" s="6"/>
      <c r="I535" s="6"/>
      <c r="J535" s="60" t="s">
        <v>400</v>
      </c>
      <c r="K535" s="64"/>
    </row>
    <row r="536" spans="2:11" ht="15" hidden="1" customHeight="1" outlineLevel="1" x14ac:dyDescent="0.25">
      <c r="B536" s="37" t="s">
        <v>401</v>
      </c>
      <c r="C536" s="16" t="s">
        <v>24</v>
      </c>
      <c r="D536" s="38">
        <v>36</v>
      </c>
      <c r="E536" s="18"/>
      <c r="F536" s="25">
        <f t="shared" ref="F536:F539" si="46">E536*D536</f>
        <v>0</v>
      </c>
      <c r="G536" s="6"/>
      <c r="H536" s="6"/>
      <c r="I536" s="6"/>
      <c r="J536" s="37" t="s">
        <v>402</v>
      </c>
      <c r="K536" s="22"/>
    </row>
    <row r="537" spans="2:11" ht="15" hidden="1" customHeight="1" outlineLevel="1" x14ac:dyDescent="0.25">
      <c r="B537" s="37" t="s">
        <v>403</v>
      </c>
      <c r="C537" s="16" t="s">
        <v>24</v>
      </c>
      <c r="D537" s="38">
        <v>50</v>
      </c>
      <c r="E537" s="18"/>
      <c r="F537" s="25">
        <f t="shared" si="46"/>
        <v>0</v>
      </c>
      <c r="G537" s="6"/>
      <c r="H537" s="6"/>
      <c r="I537" s="6"/>
      <c r="J537" s="37" t="s">
        <v>404</v>
      </c>
      <c r="K537" s="22"/>
    </row>
    <row r="538" spans="2:11" ht="15" hidden="1" customHeight="1" outlineLevel="1" x14ac:dyDescent="0.25">
      <c r="B538" s="37" t="s">
        <v>405</v>
      </c>
      <c r="C538" s="16" t="s">
        <v>24</v>
      </c>
      <c r="D538" s="38">
        <v>6</v>
      </c>
      <c r="E538" s="18"/>
      <c r="F538" s="25">
        <f t="shared" si="46"/>
        <v>0</v>
      </c>
      <c r="G538" s="6"/>
      <c r="H538" s="6"/>
      <c r="I538" s="6"/>
      <c r="J538" s="37" t="s">
        <v>406</v>
      </c>
      <c r="K538" s="22"/>
    </row>
    <row r="539" spans="2:11" ht="15" hidden="1" customHeight="1" outlineLevel="1" x14ac:dyDescent="0.25">
      <c r="B539" s="37" t="s">
        <v>407</v>
      </c>
      <c r="C539" s="16" t="s">
        <v>24</v>
      </c>
      <c r="D539" s="38">
        <v>4</v>
      </c>
      <c r="E539" s="18"/>
      <c r="F539" s="25">
        <f t="shared" si="46"/>
        <v>0</v>
      </c>
      <c r="G539" s="6"/>
      <c r="H539" s="6"/>
      <c r="I539" s="6"/>
      <c r="J539" s="37" t="s">
        <v>408</v>
      </c>
      <c r="K539" s="22"/>
    </row>
    <row r="540" spans="2:11" ht="15" hidden="1" customHeight="1" outlineLevel="1" x14ac:dyDescent="0.25">
      <c r="B540" s="15" t="s">
        <v>409</v>
      </c>
      <c r="C540" s="30"/>
      <c r="D540" s="31"/>
      <c r="E540" s="31"/>
      <c r="F540" s="31"/>
      <c r="G540" s="31"/>
      <c r="H540" s="31"/>
      <c r="I540" s="31"/>
      <c r="J540" s="15"/>
      <c r="K540" s="22"/>
    </row>
    <row r="541" spans="2:11" s="65" customFormat="1" ht="15" hidden="1" customHeight="1" outlineLevel="1" x14ac:dyDescent="0.25">
      <c r="B541" s="60" t="s">
        <v>410</v>
      </c>
      <c r="C541" s="61" t="s">
        <v>24</v>
      </c>
      <c r="D541" s="62">
        <v>60</v>
      </c>
      <c r="E541" s="18"/>
      <c r="F541" s="63">
        <f t="shared" ref="F541:F542" si="47">E541*D541</f>
        <v>0</v>
      </c>
      <c r="G541" s="6"/>
      <c r="H541" s="6"/>
      <c r="I541" s="6"/>
      <c r="J541" s="60" t="s">
        <v>411</v>
      </c>
      <c r="K541" s="64"/>
    </row>
    <row r="542" spans="2:11" s="65" customFormat="1" ht="15" hidden="1" customHeight="1" outlineLevel="1" x14ac:dyDescent="0.25">
      <c r="B542" s="60" t="s">
        <v>412</v>
      </c>
      <c r="C542" s="61" t="s">
        <v>24</v>
      </c>
      <c r="D542" s="62">
        <v>10</v>
      </c>
      <c r="E542" s="18"/>
      <c r="F542" s="63">
        <f t="shared" si="47"/>
        <v>0</v>
      </c>
      <c r="G542" s="6"/>
      <c r="H542" s="6"/>
      <c r="I542" s="6"/>
      <c r="J542" s="60" t="s">
        <v>413</v>
      </c>
      <c r="K542" s="64"/>
    </row>
    <row r="543" spans="2:11" s="65" customFormat="1" ht="15" hidden="1" customHeight="1" outlineLevel="1" x14ac:dyDescent="0.25">
      <c r="B543" s="60" t="s">
        <v>414</v>
      </c>
      <c r="C543" s="61" t="s">
        <v>18</v>
      </c>
      <c r="D543" s="61">
        <v>30</v>
      </c>
      <c r="E543" s="18"/>
      <c r="F543" s="63">
        <f>IF(E543="S",D543,0)</f>
        <v>0</v>
      </c>
      <c r="G543" s="6"/>
      <c r="H543" s="6"/>
      <c r="I543" s="6"/>
      <c r="J543" s="60" t="s">
        <v>415</v>
      </c>
      <c r="K543" s="64"/>
    </row>
    <row r="544" spans="2:11" s="65" customFormat="1" ht="15" hidden="1" customHeight="1" outlineLevel="1" x14ac:dyDescent="0.25">
      <c r="B544" s="60" t="s">
        <v>416</v>
      </c>
      <c r="C544" s="61" t="s">
        <v>24</v>
      </c>
      <c r="D544" s="62">
        <v>6</v>
      </c>
      <c r="E544" s="18"/>
      <c r="F544" s="63">
        <f t="shared" ref="F544:F548" si="48">E544*D544</f>
        <v>0</v>
      </c>
      <c r="G544" s="6"/>
      <c r="H544" s="6"/>
      <c r="I544" s="6"/>
      <c r="J544" s="60" t="s">
        <v>417</v>
      </c>
      <c r="K544" s="64"/>
    </row>
    <row r="545" spans="1:11" s="65" customFormat="1" ht="15" hidden="1" customHeight="1" outlineLevel="1" x14ac:dyDescent="0.25">
      <c r="B545" s="60" t="s">
        <v>418</v>
      </c>
      <c r="C545" s="61" t="s">
        <v>18</v>
      </c>
      <c r="D545" s="61">
        <v>30</v>
      </c>
      <c r="E545" s="18"/>
      <c r="F545" s="63">
        <f>IF(E545="S",D545,0)</f>
        <v>0</v>
      </c>
      <c r="G545" s="6"/>
      <c r="H545" s="6"/>
      <c r="I545" s="6"/>
      <c r="J545" s="60" t="s">
        <v>419</v>
      </c>
      <c r="K545" s="64"/>
    </row>
    <row r="546" spans="1:11" s="65" customFormat="1" ht="15" hidden="1" customHeight="1" outlineLevel="1" x14ac:dyDescent="0.25">
      <c r="B546" s="60" t="s">
        <v>420</v>
      </c>
      <c r="C546" s="61" t="s">
        <v>24</v>
      </c>
      <c r="D546" s="62">
        <v>40</v>
      </c>
      <c r="E546" s="18"/>
      <c r="F546" s="63">
        <f t="shared" ref="F546" si="49">E546*D546</f>
        <v>0</v>
      </c>
      <c r="G546" s="6"/>
      <c r="H546" s="6"/>
      <c r="I546" s="6"/>
      <c r="J546" s="60" t="s">
        <v>421</v>
      </c>
      <c r="K546" s="64"/>
    </row>
    <row r="547" spans="1:11" s="65" customFormat="1" ht="14.25" hidden="1" customHeight="1" outlineLevel="1" x14ac:dyDescent="0.25">
      <c r="B547" s="60" t="s">
        <v>422</v>
      </c>
      <c r="C547" s="61" t="s">
        <v>24</v>
      </c>
      <c r="D547" s="62">
        <v>30</v>
      </c>
      <c r="E547" s="18"/>
      <c r="F547" s="63">
        <f t="shared" si="48"/>
        <v>0</v>
      </c>
      <c r="G547" s="6"/>
      <c r="H547" s="6"/>
      <c r="I547" s="6"/>
      <c r="J547" s="60" t="s">
        <v>423</v>
      </c>
      <c r="K547" s="64"/>
    </row>
    <row r="548" spans="1:11" s="65" customFormat="1" ht="15" hidden="1" customHeight="1" outlineLevel="1" x14ac:dyDescent="0.25">
      <c r="B548" s="60" t="s">
        <v>424</v>
      </c>
      <c r="C548" s="61" t="s">
        <v>24</v>
      </c>
      <c r="D548" s="62">
        <v>15</v>
      </c>
      <c r="E548" s="18"/>
      <c r="F548" s="63">
        <f t="shared" si="48"/>
        <v>0</v>
      </c>
      <c r="G548" s="6"/>
      <c r="H548" s="6"/>
      <c r="I548" s="6"/>
      <c r="J548" s="60" t="s">
        <v>425</v>
      </c>
      <c r="K548" s="64"/>
    </row>
    <row r="549" spans="1:11" s="65" customFormat="1" ht="15" hidden="1" customHeight="1" outlineLevel="1" x14ac:dyDescent="0.25">
      <c r="B549" s="60" t="s">
        <v>426</v>
      </c>
      <c r="C549" s="16" t="s">
        <v>24</v>
      </c>
      <c r="D549" s="62">
        <v>35</v>
      </c>
      <c r="E549" s="18"/>
      <c r="F549" s="63">
        <f>E549*D549</f>
        <v>0</v>
      </c>
      <c r="G549" s="6"/>
      <c r="H549" s="6"/>
      <c r="I549" s="6"/>
      <c r="J549" s="60" t="s">
        <v>427</v>
      </c>
      <c r="K549" s="64"/>
    </row>
    <row r="550" spans="1:11" ht="19.5" hidden="1" customHeight="1" outlineLevel="1" x14ac:dyDescent="0.25">
      <c r="A550" s="29"/>
      <c r="B550" s="15" t="s">
        <v>428</v>
      </c>
      <c r="C550" s="30"/>
      <c r="D550" s="31"/>
      <c r="E550" s="31"/>
      <c r="F550" s="31"/>
      <c r="G550" s="31"/>
      <c r="H550" s="31"/>
      <c r="I550" s="31"/>
      <c r="J550" s="15"/>
      <c r="K550" s="22"/>
    </row>
    <row r="551" spans="1:11" s="65" customFormat="1" ht="15" hidden="1" customHeight="1" outlineLevel="1" x14ac:dyDescent="0.25">
      <c r="B551" s="60" t="s">
        <v>429</v>
      </c>
      <c r="C551" s="61" t="s">
        <v>18</v>
      </c>
      <c r="D551" s="61">
        <v>10</v>
      </c>
      <c r="E551" s="18"/>
      <c r="F551" s="63">
        <f t="shared" ref="F551" si="50">IF(E551="S",D551,0)</f>
        <v>0</v>
      </c>
      <c r="G551" s="6"/>
      <c r="H551" s="6"/>
      <c r="I551" s="6"/>
      <c r="J551" s="60" t="s">
        <v>430</v>
      </c>
      <c r="K551" s="64"/>
    </row>
    <row r="552" spans="1:11" s="65" customFormat="1" ht="15" hidden="1" customHeight="1" outlineLevel="1" x14ac:dyDescent="0.25">
      <c r="B552" s="60" t="s">
        <v>431</v>
      </c>
      <c r="C552" s="61" t="s">
        <v>18</v>
      </c>
      <c r="D552" s="61">
        <v>5</v>
      </c>
      <c r="E552" s="18"/>
      <c r="F552" s="63">
        <f>IF(E552="S",D552,0)</f>
        <v>0</v>
      </c>
      <c r="G552" s="6"/>
      <c r="H552" s="6"/>
      <c r="I552" s="6"/>
      <c r="J552" s="60"/>
      <c r="K552" s="64"/>
    </row>
    <row r="553" spans="1:11" s="65" customFormat="1" ht="15" hidden="1" customHeight="1" outlineLevel="1" x14ac:dyDescent="0.25">
      <c r="B553" s="37" t="s">
        <v>432</v>
      </c>
      <c r="C553" s="16" t="s">
        <v>24</v>
      </c>
      <c r="D553" s="61">
        <v>20</v>
      </c>
      <c r="E553" s="18"/>
      <c r="F553" s="63">
        <f t="shared" ref="F553:F559" si="51">E553*D553</f>
        <v>0</v>
      </c>
      <c r="G553" s="6"/>
      <c r="H553" s="6"/>
      <c r="I553" s="6"/>
      <c r="J553" s="60" t="s">
        <v>433</v>
      </c>
      <c r="K553" s="64"/>
    </row>
    <row r="554" spans="1:11" s="65" customFormat="1" ht="15" hidden="1" customHeight="1" outlineLevel="1" x14ac:dyDescent="0.25">
      <c r="B554" s="37" t="s">
        <v>434</v>
      </c>
      <c r="C554" s="16" t="s">
        <v>24</v>
      </c>
      <c r="D554" s="61">
        <v>5</v>
      </c>
      <c r="E554" s="18"/>
      <c r="F554" s="63">
        <f t="shared" si="51"/>
        <v>0</v>
      </c>
      <c r="G554" s="6"/>
      <c r="H554" s="6"/>
      <c r="I554" s="6"/>
      <c r="J554" s="60"/>
      <c r="K554" s="64"/>
    </row>
    <row r="555" spans="1:11" s="65" customFormat="1" ht="15" hidden="1" customHeight="1" outlineLevel="1" x14ac:dyDescent="0.25">
      <c r="B555" s="37" t="s">
        <v>435</v>
      </c>
      <c r="C555" s="16" t="s">
        <v>24</v>
      </c>
      <c r="D555" s="61">
        <v>10</v>
      </c>
      <c r="E555" s="18"/>
      <c r="F555" s="63">
        <f t="shared" si="51"/>
        <v>0</v>
      </c>
      <c r="G555" s="6"/>
      <c r="H555" s="6"/>
      <c r="I555" s="6"/>
      <c r="J555" s="60"/>
      <c r="K555" s="64"/>
    </row>
    <row r="556" spans="1:11" s="65" customFormat="1" ht="32.25" hidden="1" customHeight="1" outlineLevel="1" x14ac:dyDescent="0.25">
      <c r="B556" s="60" t="s">
        <v>436</v>
      </c>
      <c r="C556" s="16" t="s">
        <v>24</v>
      </c>
      <c r="D556" s="61">
        <v>20</v>
      </c>
      <c r="E556" s="18"/>
      <c r="F556" s="63">
        <f t="shared" si="51"/>
        <v>0</v>
      </c>
      <c r="G556" s="6"/>
      <c r="H556" s="6"/>
      <c r="I556" s="6"/>
      <c r="J556" s="60"/>
      <c r="K556" s="64"/>
    </row>
    <row r="557" spans="1:11" s="65" customFormat="1" ht="15" hidden="1" customHeight="1" outlineLevel="1" x14ac:dyDescent="0.25">
      <c r="B557" s="60" t="s">
        <v>437</v>
      </c>
      <c r="C557" s="16" t="s">
        <v>24</v>
      </c>
      <c r="D557" s="61">
        <v>20</v>
      </c>
      <c r="E557" s="18"/>
      <c r="F557" s="63">
        <f t="shared" si="51"/>
        <v>0</v>
      </c>
      <c r="G557" s="6"/>
      <c r="H557" s="6"/>
      <c r="I557" s="6"/>
      <c r="J557" s="60" t="s">
        <v>438</v>
      </c>
      <c r="K557" s="64"/>
    </row>
    <row r="558" spans="1:11" s="65" customFormat="1" ht="15" hidden="1" customHeight="1" outlineLevel="1" x14ac:dyDescent="0.25">
      <c r="B558" s="60" t="s">
        <v>439</v>
      </c>
      <c r="C558" s="16" t="s">
        <v>24</v>
      </c>
      <c r="D558" s="61">
        <v>20</v>
      </c>
      <c r="E558" s="18"/>
      <c r="F558" s="63">
        <f t="shared" si="51"/>
        <v>0</v>
      </c>
      <c r="G558" s="6"/>
      <c r="H558" s="6"/>
      <c r="I558" s="6"/>
      <c r="J558" s="60" t="s">
        <v>440</v>
      </c>
      <c r="K558" s="64"/>
    </row>
    <row r="559" spans="1:11" s="65" customFormat="1" ht="15" hidden="1" customHeight="1" outlineLevel="1" x14ac:dyDescent="0.25">
      <c r="B559" s="60" t="s">
        <v>441</v>
      </c>
      <c r="C559" s="16" t="s">
        <v>24</v>
      </c>
      <c r="D559" s="61">
        <v>20</v>
      </c>
      <c r="E559" s="18"/>
      <c r="F559" s="63">
        <f t="shared" si="51"/>
        <v>0</v>
      </c>
      <c r="G559" s="6"/>
      <c r="H559" s="6"/>
      <c r="I559" s="6"/>
      <c r="J559" s="60"/>
      <c r="K559" s="64"/>
    </row>
    <row r="560" spans="1:11" s="65" customFormat="1" ht="15" hidden="1" customHeight="1" outlineLevel="1" x14ac:dyDescent="0.25">
      <c r="B560" s="60" t="s">
        <v>442</v>
      </c>
      <c r="C560" s="61" t="s">
        <v>18</v>
      </c>
      <c r="D560" s="61">
        <v>15</v>
      </c>
      <c r="E560" s="18"/>
      <c r="F560" s="63">
        <f t="shared" ref="F560:F561" si="52">IF(E560="S",D560,0)</f>
        <v>0</v>
      </c>
      <c r="G560" s="6"/>
      <c r="H560" s="6"/>
      <c r="I560" s="6"/>
      <c r="J560" s="60" t="s">
        <v>443</v>
      </c>
      <c r="K560" s="64"/>
    </row>
    <row r="561" spans="1:11" s="65" customFormat="1" ht="15" hidden="1" customHeight="1" outlineLevel="1" x14ac:dyDescent="0.25">
      <c r="B561" s="60" t="s">
        <v>444</v>
      </c>
      <c r="C561" s="61" t="s">
        <v>18</v>
      </c>
      <c r="D561" s="61">
        <v>15</v>
      </c>
      <c r="E561" s="18"/>
      <c r="F561" s="63">
        <f t="shared" si="52"/>
        <v>0</v>
      </c>
      <c r="G561" s="6"/>
      <c r="H561" s="6"/>
      <c r="I561" s="6"/>
      <c r="J561" s="60" t="s">
        <v>445</v>
      </c>
      <c r="K561" s="64"/>
    </row>
    <row r="562" spans="1:11" s="65" customFormat="1" ht="15" hidden="1" customHeight="1" outlineLevel="1" x14ac:dyDescent="0.25">
      <c r="B562" s="60" t="s">
        <v>446</v>
      </c>
      <c r="C562" s="61" t="s">
        <v>24</v>
      </c>
      <c r="D562" s="61">
        <v>5</v>
      </c>
      <c r="E562" s="18"/>
      <c r="F562" s="63">
        <f t="shared" ref="F562" si="53">E562*D562</f>
        <v>0</v>
      </c>
      <c r="G562" s="6"/>
      <c r="H562" s="6"/>
      <c r="I562" s="6"/>
      <c r="J562" s="60"/>
      <c r="K562" s="64"/>
    </row>
    <row r="563" spans="1:11" s="65" customFormat="1" ht="15" hidden="1" customHeight="1" outlineLevel="1" x14ac:dyDescent="0.25">
      <c r="B563" s="60" t="s">
        <v>447</v>
      </c>
      <c r="C563" s="61" t="s">
        <v>18</v>
      </c>
      <c r="D563" s="61">
        <v>15</v>
      </c>
      <c r="E563" s="18"/>
      <c r="F563" s="63">
        <f>IF(E563="S",D563,0)</f>
        <v>0</v>
      </c>
      <c r="G563" s="6"/>
      <c r="H563" s="6"/>
      <c r="I563" s="6"/>
      <c r="J563" s="60" t="s">
        <v>448</v>
      </c>
      <c r="K563" s="64"/>
    </row>
    <row r="564" spans="1:11" s="65" customFormat="1" ht="15" hidden="1" customHeight="1" outlineLevel="1" x14ac:dyDescent="0.25">
      <c r="B564" s="60" t="s">
        <v>449</v>
      </c>
      <c r="C564" s="16" t="s">
        <v>24</v>
      </c>
      <c r="D564" s="61">
        <v>30</v>
      </c>
      <c r="E564" s="18"/>
      <c r="F564" s="63">
        <f>E564*D564</f>
        <v>0</v>
      </c>
      <c r="G564" s="6"/>
      <c r="H564" s="6"/>
      <c r="I564" s="6"/>
      <c r="J564" s="60"/>
      <c r="K564" s="64"/>
    </row>
    <row r="565" spans="1:11" s="65" customFormat="1" ht="15" hidden="1" customHeight="1" outlineLevel="1" x14ac:dyDescent="0.25">
      <c r="B565" s="60" t="s">
        <v>450</v>
      </c>
      <c r="C565" s="16" t="s">
        <v>24</v>
      </c>
      <c r="D565" s="61">
        <v>20</v>
      </c>
      <c r="E565" s="18"/>
      <c r="F565" s="63">
        <f>E565*D565</f>
        <v>0</v>
      </c>
      <c r="G565" s="6"/>
      <c r="H565" s="6"/>
      <c r="I565" s="6"/>
      <c r="J565" s="60"/>
      <c r="K565" s="64"/>
    </row>
    <row r="566" spans="1:11" s="65" customFormat="1" ht="15" hidden="1" customHeight="1" outlineLevel="1" x14ac:dyDescent="0.25">
      <c r="B566" s="60" t="s">
        <v>451</v>
      </c>
      <c r="C566" s="16" t="s">
        <v>24</v>
      </c>
      <c r="D566" s="61">
        <v>10</v>
      </c>
      <c r="E566" s="18"/>
      <c r="F566" s="63">
        <f>E566*D566</f>
        <v>0</v>
      </c>
      <c r="G566" s="6"/>
      <c r="H566" s="6"/>
      <c r="I566" s="6"/>
      <c r="J566" s="60"/>
      <c r="K566" s="64"/>
    </row>
    <row r="567" spans="1:11" ht="19.5" hidden="1" customHeight="1" outlineLevel="1" x14ac:dyDescent="0.25">
      <c r="A567" s="29"/>
      <c r="B567" s="15" t="s">
        <v>452</v>
      </c>
      <c r="C567" s="30"/>
      <c r="D567" s="31"/>
      <c r="E567" s="31"/>
      <c r="F567" s="31"/>
      <c r="G567" s="31"/>
      <c r="H567" s="31"/>
      <c r="I567" s="31"/>
      <c r="J567" s="15"/>
      <c r="K567" s="22"/>
    </row>
    <row r="568" spans="1:11" ht="30" hidden="1" outlineLevel="1" x14ac:dyDescent="0.25">
      <c r="A568" s="36"/>
      <c r="B568" s="37" t="s">
        <v>453</v>
      </c>
      <c r="C568" s="16" t="s">
        <v>24</v>
      </c>
      <c r="D568" s="66">
        <v>40</v>
      </c>
      <c r="E568" s="18"/>
      <c r="F568" s="25">
        <f>E568*D568</f>
        <v>0</v>
      </c>
      <c r="G568" s="6"/>
      <c r="H568" s="6"/>
      <c r="I568" s="6"/>
      <c r="J568" s="37" t="s">
        <v>454</v>
      </c>
      <c r="K568" s="22"/>
    </row>
    <row r="569" spans="1:11" hidden="1" outlineLevel="1" x14ac:dyDescent="0.25">
      <c r="A569" s="36"/>
      <c r="B569" s="37" t="s">
        <v>455</v>
      </c>
      <c r="C569" s="16" t="s">
        <v>24</v>
      </c>
      <c r="D569" s="66">
        <v>75</v>
      </c>
      <c r="E569" s="18"/>
      <c r="F569" s="25">
        <f t="shared" ref="F569:F575" si="54">E569*D569</f>
        <v>0</v>
      </c>
      <c r="G569" s="6"/>
      <c r="H569" s="6"/>
      <c r="I569" s="6"/>
      <c r="J569" s="37" t="s">
        <v>456</v>
      </c>
      <c r="K569" s="22"/>
    </row>
    <row r="570" spans="1:11" ht="30" hidden="1" outlineLevel="1" x14ac:dyDescent="0.25">
      <c r="A570" s="67"/>
      <c r="B570" s="37" t="s">
        <v>457</v>
      </c>
      <c r="C570" s="16" t="s">
        <v>24</v>
      </c>
      <c r="D570" s="66">
        <v>70</v>
      </c>
      <c r="E570" s="18"/>
      <c r="F570" s="25">
        <f t="shared" si="54"/>
        <v>0</v>
      </c>
      <c r="G570" s="6"/>
      <c r="H570" s="6"/>
      <c r="I570" s="6"/>
      <c r="J570" s="37" t="s">
        <v>458</v>
      </c>
      <c r="K570" s="22"/>
    </row>
    <row r="571" spans="1:11" ht="30" hidden="1" outlineLevel="1" x14ac:dyDescent="0.25">
      <c r="A571" s="67"/>
      <c r="B571" s="37" t="s">
        <v>459</v>
      </c>
      <c r="C571" s="16" t="s">
        <v>18</v>
      </c>
      <c r="D571" s="66">
        <v>40</v>
      </c>
      <c r="E571" s="18"/>
      <c r="F571" s="25">
        <f t="shared" ref="F571:F597" si="55">IF(E571="S",D571,0)</f>
        <v>0</v>
      </c>
      <c r="G571" s="6"/>
      <c r="H571" s="6"/>
      <c r="I571" s="6"/>
      <c r="J571" s="37" t="s">
        <v>460</v>
      </c>
      <c r="K571" s="22"/>
    </row>
    <row r="572" spans="1:11" ht="45" hidden="1" outlineLevel="1" x14ac:dyDescent="0.25">
      <c r="A572" s="67"/>
      <c r="B572" s="37" t="s">
        <v>461</v>
      </c>
      <c r="C572" s="16" t="s">
        <v>24</v>
      </c>
      <c r="D572" s="66">
        <v>50</v>
      </c>
      <c r="E572" s="18"/>
      <c r="F572" s="25">
        <f t="shared" si="54"/>
        <v>0</v>
      </c>
      <c r="G572" s="6"/>
      <c r="H572" s="6"/>
      <c r="I572" s="6"/>
      <c r="J572" s="37" t="s">
        <v>462</v>
      </c>
      <c r="K572" s="22"/>
    </row>
    <row r="573" spans="1:11" ht="30" hidden="1" outlineLevel="1" x14ac:dyDescent="0.25">
      <c r="A573" s="36"/>
      <c r="B573" s="37" t="s">
        <v>463</v>
      </c>
      <c r="C573" s="16" t="s">
        <v>24</v>
      </c>
      <c r="D573" s="66">
        <v>80</v>
      </c>
      <c r="E573" s="18"/>
      <c r="F573" s="25">
        <f t="shared" si="54"/>
        <v>0</v>
      </c>
      <c r="G573" s="6"/>
      <c r="H573" s="6"/>
      <c r="I573" s="6"/>
      <c r="J573" s="37" t="s">
        <v>464</v>
      </c>
      <c r="K573" s="22"/>
    </row>
    <row r="574" spans="1:11" s="69" customFormat="1" hidden="1" outlineLevel="1" x14ac:dyDescent="0.25">
      <c r="A574" s="68"/>
      <c r="B574" s="37" t="s">
        <v>465</v>
      </c>
      <c r="C574" s="16" t="s">
        <v>24</v>
      </c>
      <c r="D574" s="66">
        <v>30</v>
      </c>
      <c r="E574" s="18"/>
      <c r="F574" s="25">
        <f t="shared" si="54"/>
        <v>0</v>
      </c>
      <c r="G574" s="6"/>
      <c r="H574" s="6"/>
      <c r="I574" s="6"/>
      <c r="J574" s="37" t="s">
        <v>466</v>
      </c>
      <c r="K574" s="22"/>
    </row>
    <row r="575" spans="1:11" s="69" customFormat="1" hidden="1" outlineLevel="1" x14ac:dyDescent="0.25">
      <c r="A575" s="68"/>
      <c r="B575" s="37" t="s">
        <v>467</v>
      </c>
      <c r="C575" s="16" t="s">
        <v>24</v>
      </c>
      <c r="D575" s="66">
        <v>40</v>
      </c>
      <c r="E575" s="18"/>
      <c r="F575" s="25">
        <f t="shared" si="54"/>
        <v>0</v>
      </c>
      <c r="G575" s="6"/>
      <c r="H575" s="6"/>
      <c r="I575" s="6"/>
      <c r="J575" s="37" t="s">
        <v>468</v>
      </c>
      <c r="K575" s="22"/>
    </row>
    <row r="576" spans="1:11" s="69" customFormat="1" hidden="1" outlineLevel="1" x14ac:dyDescent="0.25">
      <c r="A576" s="68"/>
      <c r="B576" s="37" t="s">
        <v>469</v>
      </c>
      <c r="C576" s="16" t="s">
        <v>18</v>
      </c>
      <c r="D576" s="66">
        <v>125</v>
      </c>
      <c r="E576" s="18"/>
      <c r="F576" s="25">
        <f t="shared" si="55"/>
        <v>0</v>
      </c>
      <c r="G576" s="6"/>
      <c r="H576" s="6"/>
      <c r="I576" s="6"/>
      <c r="J576" s="37"/>
      <c r="K576" s="22"/>
    </row>
    <row r="577" spans="1:11" s="69" customFormat="1" ht="45" hidden="1" outlineLevel="1" x14ac:dyDescent="0.25">
      <c r="A577" s="68"/>
      <c r="B577" s="37" t="s">
        <v>470</v>
      </c>
      <c r="C577" s="16" t="s">
        <v>24</v>
      </c>
      <c r="D577" s="66">
        <v>75</v>
      </c>
      <c r="E577" s="18"/>
      <c r="F577" s="25">
        <f t="shared" ref="F577" si="56">E577*D577</f>
        <v>0</v>
      </c>
      <c r="G577" s="6"/>
      <c r="H577" s="6"/>
      <c r="I577" s="6"/>
      <c r="J577" s="37" t="s">
        <v>471</v>
      </c>
      <c r="K577" s="22"/>
    </row>
    <row r="578" spans="1:11" s="69" customFormat="1" hidden="1" outlineLevel="1" x14ac:dyDescent="0.25">
      <c r="A578" s="68"/>
      <c r="B578" s="37" t="s">
        <v>472</v>
      </c>
      <c r="C578" s="16" t="s">
        <v>18</v>
      </c>
      <c r="D578" s="66">
        <v>185</v>
      </c>
      <c r="E578" s="18"/>
      <c r="F578" s="25">
        <f t="shared" ref="F578" si="57">IF(E578="S",D578,0)</f>
        <v>0</v>
      </c>
      <c r="G578" s="6"/>
      <c r="H578" s="6"/>
      <c r="I578" s="6"/>
      <c r="J578" s="37" t="s">
        <v>473</v>
      </c>
      <c r="K578" s="22"/>
    </row>
    <row r="579" spans="1:11" s="69" customFormat="1" hidden="1" outlineLevel="1" x14ac:dyDescent="0.25">
      <c r="A579" s="68"/>
      <c r="B579" s="37" t="s">
        <v>474</v>
      </c>
      <c r="C579" s="16" t="s">
        <v>24</v>
      </c>
      <c r="D579" s="66">
        <v>30</v>
      </c>
      <c r="E579" s="18"/>
      <c r="F579" s="25">
        <f t="shared" ref="F579" si="58">E579*D579</f>
        <v>0</v>
      </c>
      <c r="G579" s="6"/>
      <c r="H579" s="6"/>
      <c r="I579" s="6"/>
      <c r="J579" s="37" t="s">
        <v>473</v>
      </c>
      <c r="K579" s="22"/>
    </row>
    <row r="580" spans="1:11" s="69" customFormat="1" hidden="1" outlineLevel="1" x14ac:dyDescent="0.25">
      <c r="A580" s="68"/>
      <c r="B580" s="37" t="s">
        <v>475</v>
      </c>
      <c r="C580" s="16" t="s">
        <v>18</v>
      </c>
      <c r="D580" s="66">
        <v>75</v>
      </c>
      <c r="E580" s="18"/>
      <c r="F580" s="25">
        <f t="shared" si="55"/>
        <v>0</v>
      </c>
      <c r="G580" s="6"/>
      <c r="H580" s="6"/>
      <c r="I580" s="6"/>
      <c r="J580" s="37" t="s">
        <v>476</v>
      </c>
      <c r="K580" s="22"/>
    </row>
    <row r="581" spans="1:11" s="69" customFormat="1" hidden="1" outlineLevel="1" x14ac:dyDescent="0.25">
      <c r="A581" s="68"/>
      <c r="B581" s="37" t="s">
        <v>477</v>
      </c>
      <c r="C581" s="16" t="s">
        <v>18</v>
      </c>
      <c r="D581" s="66">
        <v>180</v>
      </c>
      <c r="E581" s="18"/>
      <c r="F581" s="25">
        <f t="shared" si="55"/>
        <v>0</v>
      </c>
      <c r="G581" s="6"/>
      <c r="H581" s="6"/>
      <c r="I581" s="6"/>
      <c r="J581" s="37" t="s">
        <v>478</v>
      </c>
      <c r="K581" s="22"/>
    </row>
    <row r="582" spans="1:11" s="69" customFormat="1" ht="60" hidden="1" outlineLevel="1" x14ac:dyDescent="0.25">
      <c r="A582" s="68"/>
      <c r="B582" s="37" t="s">
        <v>479</v>
      </c>
      <c r="C582" s="16" t="s">
        <v>18</v>
      </c>
      <c r="D582" s="66">
        <v>458</v>
      </c>
      <c r="E582" s="18"/>
      <c r="F582" s="25">
        <f t="shared" si="55"/>
        <v>0</v>
      </c>
      <c r="G582" s="6"/>
      <c r="H582" s="6"/>
      <c r="I582" s="6"/>
      <c r="J582" s="37" t="s">
        <v>480</v>
      </c>
      <c r="K582" s="22"/>
    </row>
    <row r="583" spans="1:11" s="69" customFormat="1" hidden="1" outlineLevel="1" x14ac:dyDescent="0.25">
      <c r="A583" s="68"/>
      <c r="B583" s="37" t="s">
        <v>481</v>
      </c>
      <c r="C583" s="16" t="s">
        <v>18</v>
      </c>
      <c r="D583" s="66">
        <v>84</v>
      </c>
      <c r="E583" s="18"/>
      <c r="F583" s="25">
        <f t="shared" si="55"/>
        <v>0</v>
      </c>
      <c r="G583" s="6"/>
      <c r="H583" s="6"/>
      <c r="I583" s="6"/>
      <c r="J583" s="37" t="s">
        <v>482</v>
      </c>
      <c r="K583" s="22"/>
    </row>
    <row r="584" spans="1:11" s="69" customFormat="1" hidden="1" outlineLevel="1" x14ac:dyDescent="0.25">
      <c r="A584" s="68"/>
      <c r="B584" s="37" t="s">
        <v>483</v>
      </c>
      <c r="C584" s="16" t="s">
        <v>24</v>
      </c>
      <c r="D584" s="66">
        <v>70</v>
      </c>
      <c r="E584" s="18"/>
      <c r="F584" s="25">
        <f t="shared" ref="F584:F587" si="59">E584*D584</f>
        <v>0</v>
      </c>
      <c r="G584" s="6"/>
      <c r="H584" s="6"/>
      <c r="I584" s="6"/>
      <c r="J584" s="37" t="s">
        <v>484</v>
      </c>
      <c r="K584" s="22"/>
    </row>
    <row r="585" spans="1:11" s="69" customFormat="1" ht="30" hidden="1" outlineLevel="1" x14ac:dyDescent="0.25">
      <c r="A585" s="68"/>
      <c r="B585" s="37" t="s">
        <v>485</v>
      </c>
      <c r="C585" s="16" t="s">
        <v>24</v>
      </c>
      <c r="D585" s="66">
        <v>245</v>
      </c>
      <c r="E585" s="18"/>
      <c r="F585" s="25">
        <f t="shared" si="59"/>
        <v>0</v>
      </c>
      <c r="G585" s="6"/>
      <c r="H585" s="6"/>
      <c r="I585" s="6"/>
      <c r="J585" s="37" t="s">
        <v>486</v>
      </c>
      <c r="K585" s="22"/>
    </row>
    <row r="586" spans="1:11" s="69" customFormat="1" ht="75" hidden="1" outlineLevel="1" x14ac:dyDescent="0.25">
      <c r="A586" s="68"/>
      <c r="B586" s="37" t="s">
        <v>316</v>
      </c>
      <c r="C586" s="16" t="s">
        <v>24</v>
      </c>
      <c r="D586" s="66">
        <v>25</v>
      </c>
      <c r="E586" s="18"/>
      <c r="F586" s="25">
        <f t="shared" si="59"/>
        <v>0</v>
      </c>
      <c r="G586" s="6"/>
      <c r="H586" s="6"/>
      <c r="I586" s="6"/>
      <c r="J586" s="37" t="s">
        <v>487</v>
      </c>
      <c r="K586" s="22"/>
    </row>
    <row r="587" spans="1:11" s="69" customFormat="1" ht="30" hidden="1" outlineLevel="1" x14ac:dyDescent="0.25">
      <c r="A587" s="68"/>
      <c r="B587" s="37" t="s">
        <v>318</v>
      </c>
      <c r="C587" s="16" t="s">
        <v>24</v>
      </c>
      <c r="D587" s="66">
        <v>50</v>
      </c>
      <c r="E587" s="18"/>
      <c r="F587" s="25">
        <f t="shared" si="59"/>
        <v>0</v>
      </c>
      <c r="G587" s="6"/>
      <c r="H587" s="6"/>
      <c r="I587" s="6"/>
      <c r="J587" s="37" t="s">
        <v>319</v>
      </c>
      <c r="K587" s="22"/>
    </row>
    <row r="588" spans="1:11" s="69" customFormat="1" ht="30" hidden="1" outlineLevel="1" x14ac:dyDescent="0.25">
      <c r="A588" s="68"/>
      <c r="B588" s="37" t="s">
        <v>488</v>
      </c>
      <c r="C588" s="16" t="s">
        <v>18</v>
      </c>
      <c r="D588" s="66">
        <v>310</v>
      </c>
      <c r="E588" s="18"/>
      <c r="F588" s="25">
        <f t="shared" si="55"/>
        <v>0</v>
      </c>
      <c r="G588" s="6"/>
      <c r="H588" s="6"/>
      <c r="I588" s="6"/>
      <c r="J588" s="37" t="s">
        <v>489</v>
      </c>
      <c r="K588" s="22"/>
    </row>
    <row r="589" spans="1:11" s="69" customFormat="1" hidden="1" outlineLevel="1" x14ac:dyDescent="0.25">
      <c r="A589" s="68"/>
      <c r="B589" s="37" t="s">
        <v>490</v>
      </c>
      <c r="C589" s="16" t="s">
        <v>18</v>
      </c>
      <c r="D589" s="66">
        <v>245</v>
      </c>
      <c r="E589" s="18"/>
      <c r="F589" s="25">
        <f t="shared" si="55"/>
        <v>0</v>
      </c>
      <c r="G589" s="6"/>
      <c r="H589" s="6"/>
      <c r="I589" s="6"/>
      <c r="J589" s="37"/>
      <c r="K589" s="22"/>
    </row>
    <row r="590" spans="1:11" s="69" customFormat="1" hidden="1" outlineLevel="1" x14ac:dyDescent="0.25">
      <c r="A590" s="68"/>
      <c r="B590" s="37" t="s">
        <v>491</v>
      </c>
      <c r="C590" s="16" t="s">
        <v>18</v>
      </c>
      <c r="D590" s="66">
        <v>365</v>
      </c>
      <c r="E590" s="18"/>
      <c r="F590" s="25">
        <f t="shared" si="55"/>
        <v>0</v>
      </c>
      <c r="G590" s="6"/>
      <c r="H590" s="6"/>
      <c r="I590" s="6"/>
      <c r="J590" s="37" t="s">
        <v>492</v>
      </c>
      <c r="K590" s="22"/>
    </row>
    <row r="591" spans="1:11" s="69" customFormat="1" ht="30" hidden="1" outlineLevel="1" x14ac:dyDescent="0.25">
      <c r="A591" s="68"/>
      <c r="B591" s="37" t="s">
        <v>493</v>
      </c>
      <c r="C591" s="16" t="s">
        <v>18</v>
      </c>
      <c r="D591" s="66">
        <v>310</v>
      </c>
      <c r="E591" s="18"/>
      <c r="F591" s="25">
        <f t="shared" si="55"/>
        <v>0</v>
      </c>
      <c r="G591" s="6"/>
      <c r="H591" s="6"/>
      <c r="I591" s="6"/>
      <c r="J591" s="37" t="s">
        <v>494</v>
      </c>
      <c r="K591" s="22"/>
    </row>
    <row r="592" spans="1:11" s="69" customFormat="1" hidden="1" outlineLevel="1" x14ac:dyDescent="0.25">
      <c r="A592" s="68"/>
      <c r="B592" s="37" t="s">
        <v>495</v>
      </c>
      <c r="C592" s="16" t="s">
        <v>18</v>
      </c>
      <c r="D592" s="66">
        <v>365</v>
      </c>
      <c r="E592" s="18"/>
      <c r="F592" s="25">
        <f t="shared" si="55"/>
        <v>0</v>
      </c>
      <c r="G592" s="6"/>
      <c r="H592" s="6"/>
      <c r="I592" s="6"/>
      <c r="J592" s="37" t="s">
        <v>496</v>
      </c>
      <c r="K592" s="22"/>
    </row>
    <row r="593" spans="1:11" s="69" customFormat="1" hidden="1" outlineLevel="1" x14ac:dyDescent="0.25">
      <c r="A593" s="68"/>
      <c r="B593" s="37" t="s">
        <v>497</v>
      </c>
      <c r="C593" s="16" t="s">
        <v>18</v>
      </c>
      <c r="D593" s="66">
        <v>180</v>
      </c>
      <c r="E593" s="18"/>
      <c r="F593" s="25">
        <f t="shared" si="55"/>
        <v>0</v>
      </c>
      <c r="G593" s="6"/>
      <c r="H593" s="6"/>
      <c r="I593" s="6"/>
      <c r="J593" s="37" t="s">
        <v>498</v>
      </c>
      <c r="K593" s="22"/>
    </row>
    <row r="594" spans="1:11" s="69" customFormat="1" hidden="1" outlineLevel="1" x14ac:dyDescent="0.25">
      <c r="A594" s="68"/>
      <c r="B594" s="37" t="s">
        <v>499</v>
      </c>
      <c r="C594" s="16" t="s">
        <v>18</v>
      </c>
      <c r="D594" s="66">
        <v>220</v>
      </c>
      <c r="E594" s="18"/>
      <c r="F594" s="25">
        <f t="shared" si="55"/>
        <v>0</v>
      </c>
      <c r="G594" s="6"/>
      <c r="H594" s="6"/>
      <c r="I594" s="6"/>
      <c r="J594" s="37" t="s">
        <v>500</v>
      </c>
      <c r="K594" s="22"/>
    </row>
    <row r="595" spans="1:11" s="69" customFormat="1" ht="30" hidden="1" outlineLevel="1" x14ac:dyDescent="0.25">
      <c r="A595" s="68"/>
      <c r="B595" s="37" t="s">
        <v>501</v>
      </c>
      <c r="C595" s="16" t="s">
        <v>18</v>
      </c>
      <c r="D595" s="66">
        <v>425</v>
      </c>
      <c r="E595" s="18"/>
      <c r="F595" s="25">
        <f t="shared" si="55"/>
        <v>0</v>
      </c>
      <c r="G595" s="6"/>
      <c r="H595" s="6"/>
      <c r="I595" s="6"/>
      <c r="J595" s="37" t="s">
        <v>502</v>
      </c>
      <c r="K595" s="22"/>
    </row>
    <row r="596" spans="1:11" s="69" customFormat="1" ht="30" hidden="1" outlineLevel="1" x14ac:dyDescent="0.25">
      <c r="A596" s="68"/>
      <c r="B596" s="37" t="s">
        <v>503</v>
      </c>
      <c r="C596" s="16" t="s">
        <v>18</v>
      </c>
      <c r="D596" s="66">
        <v>125</v>
      </c>
      <c r="E596" s="18"/>
      <c r="F596" s="25">
        <f t="shared" si="55"/>
        <v>0</v>
      </c>
      <c r="G596" s="6"/>
      <c r="H596" s="6"/>
      <c r="I596" s="6"/>
      <c r="J596" s="37" t="s">
        <v>504</v>
      </c>
      <c r="K596" s="22"/>
    </row>
    <row r="597" spans="1:11" s="69" customFormat="1" ht="30" hidden="1" outlineLevel="1" x14ac:dyDescent="0.25">
      <c r="A597" s="68"/>
      <c r="B597" s="37" t="s">
        <v>505</v>
      </c>
      <c r="C597" s="16" t="s">
        <v>18</v>
      </c>
      <c r="D597" s="66">
        <v>220</v>
      </c>
      <c r="E597" s="18"/>
      <c r="F597" s="25">
        <f t="shared" si="55"/>
        <v>0</v>
      </c>
      <c r="G597" s="6"/>
      <c r="H597" s="6"/>
      <c r="I597" s="6"/>
      <c r="J597" s="37" t="s">
        <v>506</v>
      </c>
      <c r="K597" s="22"/>
    </row>
    <row r="598" spans="1:11" s="70" customFormat="1" hidden="1" outlineLevel="1" x14ac:dyDescent="0.25">
      <c r="B598" s="71" t="s">
        <v>507</v>
      </c>
      <c r="C598" s="72"/>
      <c r="D598" s="31"/>
      <c r="E598" s="31"/>
      <c r="F598" s="73"/>
      <c r="G598" s="73"/>
      <c r="H598" s="73"/>
      <c r="I598" s="73"/>
      <c r="J598" s="74"/>
      <c r="K598" s="75"/>
    </row>
    <row r="599" spans="1:11" s="70" customFormat="1" ht="30" hidden="1" outlineLevel="1" x14ac:dyDescent="0.25">
      <c r="B599" s="76" t="s">
        <v>508</v>
      </c>
      <c r="C599" s="77" t="s">
        <v>24</v>
      </c>
      <c r="D599" s="78">
        <v>21</v>
      </c>
      <c r="E599" s="18"/>
      <c r="F599" s="25">
        <f t="shared" ref="F599:F611" si="60">E599*D599</f>
        <v>0</v>
      </c>
      <c r="G599" s="79"/>
      <c r="H599" s="80"/>
      <c r="I599" s="79"/>
      <c r="J599" s="81" t="s">
        <v>509</v>
      </c>
      <c r="K599" s="75"/>
    </row>
    <row r="600" spans="1:11" s="70" customFormat="1" ht="30" hidden="1" outlineLevel="1" x14ac:dyDescent="0.25">
      <c r="B600" s="76" t="s">
        <v>510</v>
      </c>
      <c r="C600" s="77" t="s">
        <v>24</v>
      </c>
      <c r="D600" s="78">
        <v>30</v>
      </c>
      <c r="E600" s="18"/>
      <c r="F600" s="25">
        <f t="shared" si="60"/>
        <v>0</v>
      </c>
      <c r="G600" s="79"/>
      <c r="H600" s="80"/>
      <c r="I600" s="79"/>
      <c r="J600" s="81" t="s">
        <v>511</v>
      </c>
      <c r="K600" s="75"/>
    </row>
    <row r="601" spans="1:11" s="70" customFormat="1" ht="30" hidden="1" outlineLevel="1" x14ac:dyDescent="0.25">
      <c r="B601" s="76" t="s">
        <v>512</v>
      </c>
      <c r="C601" s="77" t="s">
        <v>24</v>
      </c>
      <c r="D601" s="78">
        <v>45</v>
      </c>
      <c r="E601" s="18"/>
      <c r="F601" s="25">
        <f t="shared" si="60"/>
        <v>0</v>
      </c>
      <c r="G601" s="79"/>
      <c r="H601" s="80"/>
      <c r="I601" s="79"/>
      <c r="J601" s="81" t="s">
        <v>513</v>
      </c>
      <c r="K601" s="75"/>
    </row>
    <row r="602" spans="1:11" s="70" customFormat="1" ht="30" hidden="1" outlineLevel="1" x14ac:dyDescent="0.25">
      <c r="B602" s="76" t="s">
        <v>514</v>
      </c>
      <c r="C602" s="77" t="s">
        <v>24</v>
      </c>
      <c r="D602" s="78">
        <v>15</v>
      </c>
      <c r="E602" s="18"/>
      <c r="F602" s="25">
        <f t="shared" si="60"/>
        <v>0</v>
      </c>
      <c r="G602" s="79"/>
      <c r="H602" s="80"/>
      <c r="I602" s="79"/>
      <c r="J602" s="81" t="s">
        <v>515</v>
      </c>
      <c r="K602" s="75"/>
    </row>
    <row r="603" spans="1:11" s="70" customFormat="1" ht="30" hidden="1" outlineLevel="1" x14ac:dyDescent="0.25">
      <c r="B603" s="76" t="s">
        <v>516</v>
      </c>
      <c r="C603" s="77" t="s">
        <v>24</v>
      </c>
      <c r="D603" s="78">
        <v>21</v>
      </c>
      <c r="E603" s="18"/>
      <c r="F603" s="25">
        <f t="shared" si="60"/>
        <v>0</v>
      </c>
      <c r="G603" s="79"/>
      <c r="H603" s="80"/>
      <c r="I603" s="79"/>
      <c r="J603" s="81" t="s">
        <v>517</v>
      </c>
      <c r="K603" s="75"/>
    </row>
    <row r="604" spans="1:11" s="70" customFormat="1" ht="30" hidden="1" outlineLevel="1" x14ac:dyDescent="0.25">
      <c r="B604" s="76" t="s">
        <v>518</v>
      </c>
      <c r="C604" s="77" t="s">
        <v>24</v>
      </c>
      <c r="D604" s="78">
        <v>30</v>
      </c>
      <c r="E604" s="18"/>
      <c r="F604" s="25">
        <f t="shared" si="60"/>
        <v>0</v>
      </c>
      <c r="G604" s="79"/>
      <c r="H604" s="80"/>
      <c r="I604" s="79"/>
      <c r="J604" s="81" t="s">
        <v>519</v>
      </c>
      <c r="K604" s="75"/>
    </row>
    <row r="605" spans="1:11" s="70" customFormat="1" ht="60" hidden="1" outlineLevel="1" x14ac:dyDescent="0.25">
      <c r="B605" s="82" t="s">
        <v>520</v>
      </c>
      <c r="C605" s="77" t="s">
        <v>24</v>
      </c>
      <c r="D605" s="78">
        <v>9</v>
      </c>
      <c r="E605" s="18"/>
      <c r="F605" s="25">
        <f t="shared" si="60"/>
        <v>0</v>
      </c>
      <c r="G605" s="79"/>
      <c r="H605" s="80"/>
      <c r="I605" s="79"/>
      <c r="J605" s="81" t="s">
        <v>521</v>
      </c>
      <c r="K605" s="75"/>
    </row>
    <row r="606" spans="1:11" s="70" customFormat="1" ht="60" hidden="1" outlineLevel="1" x14ac:dyDescent="0.25">
      <c r="B606" s="82" t="s">
        <v>522</v>
      </c>
      <c r="C606" s="77" t="s">
        <v>24</v>
      </c>
      <c r="D606" s="78">
        <v>12</v>
      </c>
      <c r="E606" s="18"/>
      <c r="F606" s="25">
        <f t="shared" si="60"/>
        <v>0</v>
      </c>
      <c r="G606" s="79"/>
      <c r="H606" s="80"/>
      <c r="I606" s="79"/>
      <c r="J606" s="81" t="s">
        <v>523</v>
      </c>
      <c r="K606" s="75"/>
    </row>
    <row r="607" spans="1:11" s="70" customFormat="1" ht="60" hidden="1" outlineLevel="1" x14ac:dyDescent="0.25">
      <c r="B607" s="82" t="s">
        <v>524</v>
      </c>
      <c r="C607" s="77" t="s">
        <v>24</v>
      </c>
      <c r="D607" s="78">
        <v>18</v>
      </c>
      <c r="E607" s="18"/>
      <c r="F607" s="25">
        <f t="shared" si="60"/>
        <v>0</v>
      </c>
      <c r="G607" s="79"/>
      <c r="H607" s="80"/>
      <c r="I607" s="79"/>
      <c r="J607" s="81" t="s">
        <v>525</v>
      </c>
      <c r="K607" s="75"/>
    </row>
    <row r="608" spans="1:11" s="70" customFormat="1" ht="45" hidden="1" outlineLevel="1" x14ac:dyDescent="0.25">
      <c r="B608" s="82" t="s">
        <v>526</v>
      </c>
      <c r="C608" s="77" t="s">
        <v>24</v>
      </c>
      <c r="D608" s="78">
        <v>12</v>
      </c>
      <c r="E608" s="18"/>
      <c r="F608" s="25">
        <f t="shared" si="60"/>
        <v>0</v>
      </c>
      <c r="G608" s="79"/>
      <c r="H608" s="80"/>
      <c r="I608" s="79"/>
      <c r="J608" s="81" t="s">
        <v>527</v>
      </c>
      <c r="K608" s="75"/>
    </row>
    <row r="609" spans="1:11" s="70" customFormat="1" ht="45" hidden="1" outlineLevel="1" x14ac:dyDescent="0.25">
      <c r="B609" s="82" t="s">
        <v>528</v>
      </c>
      <c r="C609" s="77" t="s">
        <v>24</v>
      </c>
      <c r="D609" s="78">
        <v>15</v>
      </c>
      <c r="E609" s="18"/>
      <c r="F609" s="25">
        <f t="shared" si="60"/>
        <v>0</v>
      </c>
      <c r="G609" s="79"/>
      <c r="H609" s="80"/>
      <c r="I609" s="79"/>
      <c r="J609" s="81" t="s">
        <v>529</v>
      </c>
      <c r="K609" s="75"/>
    </row>
    <row r="610" spans="1:11" s="70" customFormat="1" ht="45" hidden="1" outlineLevel="1" x14ac:dyDescent="0.25">
      <c r="B610" s="82" t="s">
        <v>530</v>
      </c>
      <c r="C610" s="77" t="s">
        <v>24</v>
      </c>
      <c r="D610" s="78">
        <v>21</v>
      </c>
      <c r="E610" s="18"/>
      <c r="F610" s="25">
        <f t="shared" si="60"/>
        <v>0</v>
      </c>
      <c r="G610" s="79"/>
      <c r="H610" s="80"/>
      <c r="I610" s="79"/>
      <c r="J610" s="81" t="s">
        <v>527</v>
      </c>
      <c r="K610" s="75"/>
    </row>
    <row r="611" spans="1:11" s="70" customFormat="1" ht="30" hidden="1" outlineLevel="1" x14ac:dyDescent="0.25">
      <c r="B611" s="82" t="s">
        <v>531</v>
      </c>
      <c r="C611" s="77" t="s">
        <v>24</v>
      </c>
      <c r="D611" s="78">
        <v>1</v>
      </c>
      <c r="E611" s="18"/>
      <c r="F611" s="25">
        <f t="shared" si="60"/>
        <v>0</v>
      </c>
      <c r="G611" s="79"/>
      <c r="H611" s="80"/>
      <c r="I611" s="79"/>
      <c r="J611" s="83" t="s">
        <v>532</v>
      </c>
      <c r="K611" s="75"/>
    </row>
    <row r="612" spans="1:11" s="70" customFormat="1" hidden="1" outlineLevel="1" x14ac:dyDescent="0.25">
      <c r="B612" s="72" t="s">
        <v>533</v>
      </c>
      <c r="C612" s="72"/>
      <c r="D612" s="31"/>
      <c r="E612" s="31"/>
      <c r="F612" s="73"/>
      <c r="G612" s="73"/>
      <c r="H612" s="73"/>
      <c r="I612" s="73"/>
      <c r="J612" s="74"/>
      <c r="K612" s="75"/>
    </row>
    <row r="613" spans="1:11" s="70" customFormat="1" ht="45" hidden="1" outlineLevel="1" x14ac:dyDescent="0.25">
      <c r="B613" s="84" t="s">
        <v>534</v>
      </c>
      <c r="C613" s="85" t="s">
        <v>18</v>
      </c>
      <c r="D613" s="86">
        <v>50</v>
      </c>
      <c r="E613" s="18"/>
      <c r="F613" s="86">
        <f>IF(E613="S",D613,0)</f>
        <v>0</v>
      </c>
      <c r="G613" s="79"/>
      <c r="H613" s="79"/>
      <c r="I613" s="79"/>
      <c r="J613" s="87" t="s">
        <v>535</v>
      </c>
      <c r="K613" s="75"/>
    </row>
    <row r="614" spans="1:11" s="70" customFormat="1" ht="30" hidden="1" outlineLevel="1" x14ac:dyDescent="0.25">
      <c r="B614" s="88" t="s">
        <v>536</v>
      </c>
      <c r="C614" s="85" t="s">
        <v>24</v>
      </c>
      <c r="D614" s="86">
        <v>5</v>
      </c>
      <c r="E614" s="18"/>
      <c r="F614" s="86">
        <f>D614*E614</f>
        <v>0</v>
      </c>
      <c r="G614" s="79"/>
      <c r="H614" s="79"/>
      <c r="I614" s="79"/>
      <c r="J614" s="87" t="s">
        <v>537</v>
      </c>
      <c r="K614" s="75"/>
    </row>
    <row r="615" spans="1:11" s="70" customFormat="1" hidden="1" outlineLevel="1" x14ac:dyDescent="0.25">
      <c r="A615" s="89"/>
      <c r="B615" s="90" t="s">
        <v>538</v>
      </c>
      <c r="C615" s="72"/>
      <c r="D615" s="31"/>
      <c r="E615" s="31"/>
      <c r="F615" s="73"/>
      <c r="G615" s="73"/>
      <c r="H615" s="73"/>
      <c r="I615" s="73"/>
      <c r="J615" s="74"/>
      <c r="K615" s="75"/>
    </row>
    <row r="616" spans="1:11" s="70" customFormat="1" ht="30" hidden="1" outlineLevel="1" x14ac:dyDescent="0.25">
      <c r="A616" s="89"/>
      <c r="B616" s="91" t="s">
        <v>539</v>
      </c>
      <c r="C616" s="92" t="s">
        <v>24</v>
      </c>
      <c r="D616" s="93">
        <v>65</v>
      </c>
      <c r="E616" s="18"/>
      <c r="F616" s="94">
        <f>D616*E616</f>
        <v>0</v>
      </c>
      <c r="G616" s="95"/>
      <c r="H616" s="95"/>
      <c r="I616" s="95"/>
      <c r="J616" s="96" t="s">
        <v>540</v>
      </c>
      <c r="K616" s="75"/>
    </row>
    <row r="617" spans="1:11" s="70" customFormat="1" hidden="1" outlineLevel="1" x14ac:dyDescent="0.25">
      <c r="A617" s="89"/>
      <c r="B617" s="91" t="s">
        <v>541</v>
      </c>
      <c r="C617" s="92" t="s">
        <v>24</v>
      </c>
      <c r="D617" s="93">
        <v>33</v>
      </c>
      <c r="E617" s="18"/>
      <c r="F617" s="94">
        <f t="shared" ref="F617:F648" si="61">D617*E617</f>
        <v>0</v>
      </c>
      <c r="G617" s="95"/>
      <c r="H617" s="95"/>
      <c r="I617" s="95"/>
      <c r="J617" s="96" t="s">
        <v>542</v>
      </c>
      <c r="K617" s="75"/>
    </row>
    <row r="618" spans="1:11" s="70" customFormat="1" hidden="1" outlineLevel="1" x14ac:dyDescent="0.25">
      <c r="A618" s="89"/>
      <c r="B618" s="91" t="s">
        <v>543</v>
      </c>
      <c r="C618" s="92" t="s">
        <v>24</v>
      </c>
      <c r="D618" s="93">
        <v>33</v>
      </c>
      <c r="E618" s="18"/>
      <c r="F618" s="94">
        <f t="shared" si="61"/>
        <v>0</v>
      </c>
      <c r="G618" s="95"/>
      <c r="H618" s="95"/>
      <c r="I618" s="95"/>
      <c r="J618" s="96" t="s">
        <v>544</v>
      </c>
      <c r="K618" s="75"/>
    </row>
    <row r="619" spans="1:11" s="70" customFormat="1" hidden="1" outlineLevel="1" x14ac:dyDescent="0.25">
      <c r="A619" s="89"/>
      <c r="B619" s="91" t="s">
        <v>545</v>
      </c>
      <c r="C619" s="92" t="s">
        <v>24</v>
      </c>
      <c r="D619" s="93">
        <v>33</v>
      </c>
      <c r="E619" s="18"/>
      <c r="F619" s="94">
        <f t="shared" si="61"/>
        <v>0</v>
      </c>
      <c r="G619" s="95"/>
      <c r="H619" s="95"/>
      <c r="I619" s="95"/>
      <c r="J619" s="96" t="s">
        <v>546</v>
      </c>
      <c r="K619" s="75"/>
    </row>
    <row r="620" spans="1:11" s="70" customFormat="1" hidden="1" outlineLevel="1" x14ac:dyDescent="0.25">
      <c r="A620" s="89"/>
      <c r="B620" s="91" t="s">
        <v>547</v>
      </c>
      <c r="C620" s="92" t="s">
        <v>18</v>
      </c>
      <c r="D620" s="93">
        <v>65</v>
      </c>
      <c r="E620" s="97"/>
      <c r="F620" s="94">
        <f>IF(E620="S",D620,0)</f>
        <v>0</v>
      </c>
      <c r="G620" s="95"/>
      <c r="H620" s="95"/>
      <c r="I620" s="95"/>
      <c r="J620" s="96" t="s">
        <v>548</v>
      </c>
      <c r="K620" s="75"/>
    </row>
    <row r="621" spans="1:11" s="70" customFormat="1" hidden="1" outlineLevel="1" x14ac:dyDescent="0.25">
      <c r="A621" s="89"/>
      <c r="B621" s="91" t="s">
        <v>549</v>
      </c>
      <c r="C621" s="92" t="s">
        <v>24</v>
      </c>
      <c r="D621" s="93">
        <v>46</v>
      </c>
      <c r="E621" s="18"/>
      <c r="F621" s="94">
        <f t="shared" si="61"/>
        <v>0</v>
      </c>
      <c r="G621" s="95"/>
      <c r="H621" s="95"/>
      <c r="I621" s="95"/>
      <c r="J621" s="96" t="s">
        <v>550</v>
      </c>
      <c r="K621" s="75"/>
    </row>
    <row r="622" spans="1:11" s="70" customFormat="1" hidden="1" outlineLevel="1" x14ac:dyDescent="0.25">
      <c r="A622" s="89"/>
      <c r="B622" s="91" t="s">
        <v>551</v>
      </c>
      <c r="C622" s="92" t="s">
        <v>24</v>
      </c>
      <c r="D622" s="93">
        <v>46</v>
      </c>
      <c r="E622" s="18"/>
      <c r="F622" s="94">
        <f t="shared" si="61"/>
        <v>0</v>
      </c>
      <c r="G622" s="95"/>
      <c r="H622" s="95"/>
      <c r="I622" s="95"/>
      <c r="J622" s="96" t="s">
        <v>552</v>
      </c>
      <c r="K622" s="75"/>
    </row>
    <row r="623" spans="1:11" s="70" customFormat="1" hidden="1" outlineLevel="1" x14ac:dyDescent="0.25">
      <c r="A623" s="89"/>
      <c r="B623" s="91" t="s">
        <v>553</v>
      </c>
      <c r="C623" s="92" t="s">
        <v>24</v>
      </c>
      <c r="D623" s="93">
        <v>33</v>
      </c>
      <c r="E623" s="18"/>
      <c r="F623" s="94">
        <f t="shared" si="61"/>
        <v>0</v>
      </c>
      <c r="G623" s="95"/>
      <c r="H623" s="95"/>
      <c r="I623" s="95"/>
      <c r="J623" s="96" t="s">
        <v>554</v>
      </c>
      <c r="K623" s="75"/>
    </row>
    <row r="624" spans="1:11" s="70" customFormat="1" hidden="1" outlineLevel="1" x14ac:dyDescent="0.25">
      <c r="A624" s="89"/>
      <c r="B624" s="91" t="s">
        <v>555</v>
      </c>
      <c r="C624" s="92" t="s">
        <v>24</v>
      </c>
      <c r="D624" s="93">
        <v>33</v>
      </c>
      <c r="E624" s="18"/>
      <c r="F624" s="94">
        <f t="shared" si="61"/>
        <v>0</v>
      </c>
      <c r="G624" s="95"/>
      <c r="H624" s="95"/>
      <c r="I624" s="95"/>
      <c r="J624" s="96" t="s">
        <v>552</v>
      </c>
      <c r="K624" s="75"/>
    </row>
    <row r="625" spans="1:11" s="70" customFormat="1" ht="30" hidden="1" outlineLevel="1" x14ac:dyDescent="0.25">
      <c r="A625" s="89"/>
      <c r="B625" s="91" t="s">
        <v>556</v>
      </c>
      <c r="C625" s="92" t="s">
        <v>24</v>
      </c>
      <c r="D625" s="93">
        <v>41</v>
      </c>
      <c r="E625" s="18"/>
      <c r="F625" s="94">
        <f t="shared" si="61"/>
        <v>0</v>
      </c>
      <c r="G625" s="95"/>
      <c r="H625" s="95"/>
      <c r="I625" s="95"/>
      <c r="J625" s="96" t="s">
        <v>557</v>
      </c>
      <c r="K625" s="75"/>
    </row>
    <row r="626" spans="1:11" s="70" customFormat="1" hidden="1" outlineLevel="1" x14ac:dyDescent="0.25">
      <c r="A626" s="89"/>
      <c r="B626" s="91" t="s">
        <v>558</v>
      </c>
      <c r="C626" s="92" t="s">
        <v>24</v>
      </c>
      <c r="D626" s="93">
        <v>33</v>
      </c>
      <c r="E626" s="18"/>
      <c r="F626" s="94">
        <f t="shared" si="61"/>
        <v>0</v>
      </c>
      <c r="G626" s="95"/>
      <c r="H626" s="95"/>
      <c r="I626" s="95"/>
      <c r="J626" s="96" t="s">
        <v>552</v>
      </c>
      <c r="K626" s="75"/>
    </row>
    <row r="627" spans="1:11" s="70" customFormat="1" hidden="1" outlineLevel="1" x14ac:dyDescent="0.25">
      <c r="A627" s="89"/>
      <c r="B627" s="90" t="s">
        <v>559</v>
      </c>
      <c r="C627" s="72"/>
      <c r="D627" s="31"/>
      <c r="E627" s="31"/>
      <c r="F627" s="31"/>
      <c r="G627" s="31"/>
      <c r="H627" s="31"/>
      <c r="I627" s="31"/>
      <c r="J627" s="74"/>
      <c r="K627" s="75"/>
    </row>
    <row r="628" spans="1:11" s="70" customFormat="1" ht="30" hidden="1" outlineLevel="1" x14ac:dyDescent="0.25">
      <c r="A628" s="89"/>
      <c r="B628" s="91" t="s">
        <v>560</v>
      </c>
      <c r="C628" s="92" t="s">
        <v>24</v>
      </c>
      <c r="D628" s="93">
        <v>107</v>
      </c>
      <c r="E628" s="18"/>
      <c r="F628" s="94">
        <f t="shared" si="61"/>
        <v>0</v>
      </c>
      <c r="G628" s="95"/>
      <c r="H628" s="95"/>
      <c r="I628" s="95"/>
      <c r="J628" s="96" t="s">
        <v>561</v>
      </c>
      <c r="K628" s="75"/>
    </row>
    <row r="629" spans="1:11" s="70" customFormat="1" hidden="1" outlineLevel="1" x14ac:dyDescent="0.25">
      <c r="A629" s="89"/>
      <c r="B629" s="91" t="s">
        <v>562</v>
      </c>
      <c r="C629" s="92" t="s">
        <v>24</v>
      </c>
      <c r="D629" s="93">
        <v>47</v>
      </c>
      <c r="E629" s="18"/>
      <c r="F629" s="94">
        <f t="shared" si="61"/>
        <v>0</v>
      </c>
      <c r="G629" s="95"/>
      <c r="H629" s="95"/>
      <c r="I629" s="95"/>
      <c r="J629" s="96" t="s">
        <v>542</v>
      </c>
      <c r="K629" s="75"/>
    </row>
    <row r="630" spans="1:11" s="70" customFormat="1" hidden="1" outlineLevel="1" x14ac:dyDescent="0.25">
      <c r="A630" s="89"/>
      <c r="B630" s="91" t="s">
        <v>563</v>
      </c>
      <c r="C630" s="92" t="s">
        <v>24</v>
      </c>
      <c r="D630" s="93">
        <v>57</v>
      </c>
      <c r="E630" s="18"/>
      <c r="F630" s="94">
        <f t="shared" si="61"/>
        <v>0</v>
      </c>
      <c r="G630" s="95"/>
      <c r="H630" s="95"/>
      <c r="I630" s="95"/>
      <c r="J630" s="96" t="s">
        <v>544</v>
      </c>
      <c r="K630" s="75"/>
    </row>
    <row r="631" spans="1:11" s="70" customFormat="1" hidden="1" outlineLevel="1" x14ac:dyDescent="0.25">
      <c r="A631" s="89"/>
      <c r="B631" s="91" t="s">
        <v>564</v>
      </c>
      <c r="C631" s="92" t="s">
        <v>24</v>
      </c>
      <c r="D631" s="93">
        <v>57</v>
      </c>
      <c r="E631" s="18"/>
      <c r="F631" s="94">
        <f t="shared" si="61"/>
        <v>0</v>
      </c>
      <c r="G631" s="95"/>
      <c r="H631" s="95"/>
      <c r="I631" s="95"/>
      <c r="J631" s="96" t="s">
        <v>546</v>
      </c>
      <c r="K631" s="75"/>
    </row>
    <row r="632" spans="1:11" s="70" customFormat="1" hidden="1" outlineLevel="1" x14ac:dyDescent="0.25">
      <c r="A632" s="89"/>
      <c r="B632" s="91" t="s">
        <v>549</v>
      </c>
      <c r="C632" s="92" t="s">
        <v>24</v>
      </c>
      <c r="D632" s="93">
        <v>79</v>
      </c>
      <c r="E632" s="18"/>
      <c r="F632" s="94">
        <f t="shared" si="61"/>
        <v>0</v>
      </c>
      <c r="G632" s="95"/>
      <c r="H632" s="95"/>
      <c r="I632" s="95"/>
      <c r="J632" s="96" t="s">
        <v>546</v>
      </c>
      <c r="K632" s="75"/>
    </row>
    <row r="633" spans="1:11" s="70" customFormat="1" hidden="1" outlineLevel="1" x14ac:dyDescent="0.25">
      <c r="A633" s="89"/>
      <c r="B633" s="91" t="s">
        <v>551</v>
      </c>
      <c r="C633" s="92" t="s">
        <v>24</v>
      </c>
      <c r="D633" s="93">
        <v>79</v>
      </c>
      <c r="E633" s="18"/>
      <c r="F633" s="94">
        <f t="shared" si="61"/>
        <v>0</v>
      </c>
      <c r="G633" s="95"/>
      <c r="H633" s="95"/>
      <c r="I633" s="95"/>
      <c r="J633" s="96" t="s">
        <v>548</v>
      </c>
      <c r="K633" s="75"/>
    </row>
    <row r="634" spans="1:11" s="70" customFormat="1" hidden="1" outlineLevel="1" x14ac:dyDescent="0.25">
      <c r="A634" s="89"/>
      <c r="B634" s="91" t="s">
        <v>553</v>
      </c>
      <c r="C634" s="92" t="s">
        <v>24</v>
      </c>
      <c r="D634" s="93">
        <v>57</v>
      </c>
      <c r="E634" s="18"/>
      <c r="F634" s="94">
        <f t="shared" si="61"/>
        <v>0</v>
      </c>
      <c r="G634" s="95"/>
      <c r="H634" s="95"/>
      <c r="I634" s="95"/>
      <c r="J634" s="96" t="s">
        <v>550</v>
      </c>
      <c r="K634" s="75"/>
    </row>
    <row r="635" spans="1:11" s="70" customFormat="1" hidden="1" outlineLevel="1" x14ac:dyDescent="0.25">
      <c r="A635" s="89"/>
      <c r="B635" s="91" t="s">
        <v>555</v>
      </c>
      <c r="C635" s="92" t="s">
        <v>24</v>
      </c>
      <c r="D635" s="93">
        <v>57</v>
      </c>
      <c r="E635" s="18"/>
      <c r="F635" s="94">
        <f t="shared" si="61"/>
        <v>0</v>
      </c>
      <c r="G635" s="95"/>
      <c r="H635" s="95"/>
      <c r="I635" s="95"/>
      <c r="J635" s="96" t="s">
        <v>552</v>
      </c>
      <c r="K635" s="75"/>
    </row>
    <row r="636" spans="1:11" s="70" customFormat="1" hidden="1" outlineLevel="1" x14ac:dyDescent="0.25">
      <c r="A636" s="89"/>
      <c r="B636" s="91" t="s">
        <v>556</v>
      </c>
      <c r="C636" s="92" t="s">
        <v>24</v>
      </c>
      <c r="D636" s="93">
        <v>71</v>
      </c>
      <c r="E636" s="18"/>
      <c r="F636" s="94">
        <f t="shared" si="61"/>
        <v>0</v>
      </c>
      <c r="G636" s="95"/>
      <c r="H636" s="95"/>
      <c r="I636" s="95"/>
      <c r="J636" s="96" t="s">
        <v>554</v>
      </c>
      <c r="K636" s="75"/>
    </row>
    <row r="637" spans="1:11" s="70" customFormat="1" hidden="1" outlineLevel="1" x14ac:dyDescent="0.25">
      <c r="A637" s="89"/>
      <c r="B637" s="91" t="s">
        <v>558</v>
      </c>
      <c r="C637" s="92" t="s">
        <v>24</v>
      </c>
      <c r="D637" s="93">
        <v>57</v>
      </c>
      <c r="E637" s="18"/>
      <c r="F637" s="94">
        <f t="shared" si="61"/>
        <v>0</v>
      </c>
      <c r="G637" s="95"/>
      <c r="H637" s="95"/>
      <c r="I637" s="95"/>
      <c r="J637" s="96" t="s">
        <v>552</v>
      </c>
      <c r="K637" s="75"/>
    </row>
    <row r="638" spans="1:11" s="70" customFormat="1" hidden="1" outlineLevel="1" x14ac:dyDescent="0.25">
      <c r="A638" s="89"/>
      <c r="B638" s="91" t="s">
        <v>565</v>
      </c>
      <c r="C638" s="92" t="s">
        <v>24</v>
      </c>
      <c r="D638" s="93">
        <v>65</v>
      </c>
      <c r="E638" s="18"/>
      <c r="F638" s="94">
        <f t="shared" si="61"/>
        <v>0</v>
      </c>
      <c r="G638" s="95"/>
      <c r="H638" s="95"/>
      <c r="I638" s="95"/>
      <c r="J638" s="96" t="s">
        <v>566</v>
      </c>
      <c r="K638" s="75"/>
    </row>
    <row r="639" spans="1:11" s="70" customFormat="1" hidden="1" outlineLevel="1" x14ac:dyDescent="0.25">
      <c r="A639" s="89"/>
      <c r="B639" s="91" t="s">
        <v>567</v>
      </c>
      <c r="C639" s="92" t="s">
        <v>24</v>
      </c>
      <c r="D639" s="93">
        <v>57</v>
      </c>
      <c r="E639" s="18"/>
      <c r="F639" s="94">
        <f t="shared" si="61"/>
        <v>0</v>
      </c>
      <c r="G639" s="95"/>
      <c r="H639" s="95"/>
      <c r="I639" s="95"/>
      <c r="J639" s="96" t="s">
        <v>552</v>
      </c>
      <c r="K639" s="75"/>
    </row>
    <row r="640" spans="1:11" s="70" customFormat="1" hidden="1" outlineLevel="1" x14ac:dyDescent="0.25">
      <c r="A640" s="89"/>
      <c r="B640" s="91" t="s">
        <v>568</v>
      </c>
      <c r="C640" s="92" t="s">
        <v>24</v>
      </c>
      <c r="D640" s="93">
        <v>65</v>
      </c>
      <c r="E640" s="18"/>
      <c r="F640" s="94">
        <f t="shared" si="61"/>
        <v>0</v>
      </c>
      <c r="G640" s="95"/>
      <c r="H640" s="95"/>
      <c r="I640" s="95"/>
      <c r="J640" s="96" t="s">
        <v>569</v>
      </c>
      <c r="K640" s="75"/>
    </row>
    <row r="641" spans="1:11" s="70" customFormat="1" hidden="1" outlineLevel="1" x14ac:dyDescent="0.25">
      <c r="A641" s="89"/>
      <c r="B641" s="91" t="s">
        <v>570</v>
      </c>
      <c r="C641" s="92" t="s">
        <v>24</v>
      </c>
      <c r="D641" s="93">
        <v>57</v>
      </c>
      <c r="E641" s="18"/>
      <c r="F641" s="94">
        <f t="shared" si="61"/>
        <v>0</v>
      </c>
      <c r="G641" s="95"/>
      <c r="H641" s="95"/>
      <c r="I641" s="95"/>
      <c r="J641" s="96" t="s">
        <v>552</v>
      </c>
      <c r="K641" s="75"/>
    </row>
    <row r="642" spans="1:11" s="70" customFormat="1" hidden="1" outlineLevel="1" x14ac:dyDescent="0.25">
      <c r="A642" s="89"/>
      <c r="B642" s="90" t="s">
        <v>571</v>
      </c>
      <c r="C642" s="72"/>
      <c r="D642" s="31"/>
      <c r="E642" s="31"/>
      <c r="F642" s="31"/>
      <c r="G642" s="31"/>
      <c r="H642" s="31"/>
      <c r="I642" s="31"/>
      <c r="J642" s="74"/>
      <c r="K642" s="75"/>
    </row>
    <row r="643" spans="1:11" s="70" customFormat="1" ht="30" hidden="1" outlineLevel="1" x14ac:dyDescent="0.25">
      <c r="A643" s="89"/>
      <c r="B643" s="91" t="s">
        <v>560</v>
      </c>
      <c r="C643" s="92" t="s">
        <v>24</v>
      </c>
      <c r="D643" s="93">
        <v>107</v>
      </c>
      <c r="E643" s="18"/>
      <c r="F643" s="94">
        <f t="shared" si="61"/>
        <v>0</v>
      </c>
      <c r="G643" s="95"/>
      <c r="H643" s="95"/>
      <c r="I643" s="95"/>
      <c r="J643" s="96" t="s">
        <v>561</v>
      </c>
      <c r="K643" s="75"/>
    </row>
    <row r="644" spans="1:11" s="70" customFormat="1" hidden="1" outlineLevel="1" x14ac:dyDescent="0.25">
      <c r="A644" s="89"/>
      <c r="B644" s="91" t="s">
        <v>562</v>
      </c>
      <c r="C644" s="92" t="s">
        <v>24</v>
      </c>
      <c r="D644" s="93">
        <v>47</v>
      </c>
      <c r="E644" s="18"/>
      <c r="F644" s="94">
        <f t="shared" si="61"/>
        <v>0</v>
      </c>
      <c r="G644" s="95"/>
      <c r="H644" s="95"/>
      <c r="I644" s="95"/>
      <c r="J644" s="96" t="s">
        <v>542</v>
      </c>
      <c r="K644" s="75"/>
    </row>
    <row r="645" spans="1:11" s="70" customFormat="1" hidden="1" outlineLevel="1" x14ac:dyDescent="0.25">
      <c r="A645" s="89"/>
      <c r="B645" s="91" t="s">
        <v>563</v>
      </c>
      <c r="C645" s="92" t="s">
        <v>24</v>
      </c>
      <c r="D645" s="93">
        <v>57</v>
      </c>
      <c r="E645" s="18"/>
      <c r="F645" s="94">
        <f t="shared" si="61"/>
        <v>0</v>
      </c>
      <c r="G645" s="95"/>
      <c r="H645" s="95"/>
      <c r="I645" s="95"/>
      <c r="J645" s="96" t="s">
        <v>544</v>
      </c>
      <c r="K645" s="75"/>
    </row>
    <row r="646" spans="1:11" s="70" customFormat="1" hidden="1" outlineLevel="1" x14ac:dyDescent="0.25">
      <c r="A646" s="89"/>
      <c r="B646" s="91" t="s">
        <v>564</v>
      </c>
      <c r="C646" s="92" t="s">
        <v>24</v>
      </c>
      <c r="D646" s="93">
        <v>57</v>
      </c>
      <c r="E646" s="18"/>
      <c r="F646" s="94">
        <f t="shared" si="61"/>
        <v>0</v>
      </c>
      <c r="G646" s="95"/>
      <c r="H646" s="95"/>
      <c r="I646" s="95"/>
      <c r="J646" s="96" t="s">
        <v>546</v>
      </c>
      <c r="K646" s="75"/>
    </row>
    <row r="647" spans="1:11" s="70" customFormat="1" hidden="1" outlineLevel="1" x14ac:dyDescent="0.25">
      <c r="A647" s="89"/>
      <c r="B647" s="91" t="s">
        <v>572</v>
      </c>
      <c r="C647" s="92" t="s">
        <v>24</v>
      </c>
      <c r="D647" s="93">
        <v>57</v>
      </c>
      <c r="E647" s="18"/>
      <c r="F647" s="94">
        <f t="shared" si="61"/>
        <v>0</v>
      </c>
      <c r="G647" s="95"/>
      <c r="H647" s="95"/>
      <c r="I647" s="95"/>
      <c r="J647" s="96" t="s">
        <v>573</v>
      </c>
      <c r="K647" s="75"/>
    </row>
    <row r="648" spans="1:11" ht="15" hidden="1" customHeight="1" outlineLevel="1" x14ac:dyDescent="0.25">
      <c r="A648" s="65"/>
      <c r="B648" s="91" t="s">
        <v>574</v>
      </c>
      <c r="C648" s="92" t="s">
        <v>24</v>
      </c>
      <c r="D648" s="93">
        <v>57</v>
      </c>
      <c r="E648" s="18"/>
      <c r="F648" s="94">
        <f t="shared" si="61"/>
        <v>0</v>
      </c>
      <c r="G648" s="95"/>
      <c r="H648" s="95"/>
      <c r="I648" s="95"/>
      <c r="J648" s="96" t="s">
        <v>552</v>
      </c>
      <c r="K648" s="22"/>
    </row>
    <row r="649" spans="1:11" collapsed="1" x14ac:dyDescent="0.25">
      <c r="B649" s="15" t="s">
        <v>575</v>
      </c>
      <c r="C649" s="16" t="s">
        <v>18</v>
      </c>
      <c r="D649" s="23">
        <f>SUM(F484:F648)</f>
        <v>0</v>
      </c>
      <c r="E649" s="18"/>
      <c r="F649" s="25">
        <f t="shared" ref="F649" si="62">IF(E649="S",D649,0)</f>
        <v>0</v>
      </c>
      <c r="G649" s="6"/>
      <c r="H649" s="6"/>
      <c r="I649" s="6"/>
      <c r="J649" s="37" t="str">
        <f>IF(E649="S","Abrir o sub item do critério CRM para o preenchimento dos campos.","Se envolver CRM, digite S e expanda o critério CRM para preencher.")</f>
        <v>Se envolver CRM, digite S e expanda o critério CRM para preencher.</v>
      </c>
      <c r="K649" s="22"/>
    </row>
    <row r="650" spans="1:11" hidden="1" outlineLevel="1" x14ac:dyDescent="0.25">
      <c r="A650" s="29"/>
      <c r="B650" s="26" t="s">
        <v>576</v>
      </c>
      <c r="C650" s="98"/>
      <c r="D650" s="27"/>
      <c r="E650" s="27"/>
      <c r="F650" s="27"/>
      <c r="G650" s="27"/>
      <c r="H650" s="27"/>
      <c r="I650" s="27"/>
      <c r="J650" s="26"/>
      <c r="K650" s="22"/>
    </row>
    <row r="651" spans="1:11" ht="60" hidden="1" outlineLevel="1" x14ac:dyDescent="0.25">
      <c r="A651" s="36"/>
      <c r="B651" s="37" t="s">
        <v>577</v>
      </c>
      <c r="C651" s="16" t="s">
        <v>18</v>
      </c>
      <c r="D651" s="16">
        <v>1000</v>
      </c>
      <c r="E651" s="18"/>
      <c r="F651" s="25">
        <f>IF(E651="S",D651,0)</f>
        <v>0</v>
      </c>
      <c r="G651" s="6"/>
      <c r="H651" s="6"/>
      <c r="I651" s="6"/>
      <c r="J651" s="99" t="s">
        <v>578</v>
      </c>
      <c r="K651" s="22"/>
    </row>
    <row r="652" spans="1:11" ht="75" hidden="1" outlineLevel="1" x14ac:dyDescent="0.25">
      <c r="A652" s="36"/>
      <c r="B652" s="37" t="s">
        <v>579</v>
      </c>
      <c r="C652" s="16" t="s">
        <v>24</v>
      </c>
      <c r="D652" s="16">
        <v>100</v>
      </c>
      <c r="E652" s="18"/>
      <c r="F652" s="25">
        <f t="shared" ref="F652:F657" si="63">E652*D652</f>
        <v>0</v>
      </c>
      <c r="G652" s="6"/>
      <c r="H652" s="6"/>
      <c r="I652" s="6"/>
      <c r="J652" s="99" t="s">
        <v>580</v>
      </c>
      <c r="K652" s="22"/>
    </row>
    <row r="653" spans="1:11" ht="120" hidden="1" outlineLevel="1" x14ac:dyDescent="0.25">
      <c r="A653" s="36"/>
      <c r="B653" s="37" t="s">
        <v>581</v>
      </c>
      <c r="C653" s="16" t="s">
        <v>24</v>
      </c>
      <c r="D653" s="16">
        <v>300</v>
      </c>
      <c r="E653" s="18"/>
      <c r="F653" s="25">
        <f t="shared" si="63"/>
        <v>0</v>
      </c>
      <c r="G653" s="6"/>
      <c r="H653" s="6"/>
      <c r="I653" s="6"/>
      <c r="J653" s="99" t="s">
        <v>582</v>
      </c>
      <c r="K653" s="22"/>
    </row>
    <row r="654" spans="1:11" ht="105" hidden="1" outlineLevel="1" x14ac:dyDescent="0.25">
      <c r="A654" s="36"/>
      <c r="B654" s="37" t="s">
        <v>583</v>
      </c>
      <c r="C654" s="16" t="s">
        <v>24</v>
      </c>
      <c r="D654" s="16">
        <v>100</v>
      </c>
      <c r="E654" s="18"/>
      <c r="F654" s="25">
        <f t="shared" si="63"/>
        <v>0</v>
      </c>
      <c r="G654" s="6"/>
      <c r="H654" s="6"/>
      <c r="I654" s="6"/>
      <c r="J654" s="99" t="s">
        <v>584</v>
      </c>
      <c r="K654" s="22"/>
    </row>
    <row r="655" spans="1:11" ht="60" hidden="1" outlineLevel="1" x14ac:dyDescent="0.25">
      <c r="A655" s="36"/>
      <c r="B655" s="37" t="s">
        <v>585</v>
      </c>
      <c r="C655" s="16" t="s">
        <v>24</v>
      </c>
      <c r="D655" s="16">
        <v>15</v>
      </c>
      <c r="E655" s="18"/>
      <c r="F655" s="25">
        <f t="shared" si="63"/>
        <v>0</v>
      </c>
      <c r="G655" s="6"/>
      <c r="H655" s="6"/>
      <c r="I655" s="6"/>
      <c r="J655" s="99" t="s">
        <v>586</v>
      </c>
      <c r="K655" s="22"/>
    </row>
    <row r="656" spans="1:11" ht="45" hidden="1" outlineLevel="1" x14ac:dyDescent="0.25">
      <c r="A656" s="36"/>
      <c r="B656" s="37" t="s">
        <v>587</v>
      </c>
      <c r="C656" s="16" t="s">
        <v>24</v>
      </c>
      <c r="D656" s="16">
        <v>10</v>
      </c>
      <c r="E656" s="18"/>
      <c r="F656" s="25">
        <f t="shared" si="63"/>
        <v>0</v>
      </c>
      <c r="G656" s="6"/>
      <c r="H656" s="6"/>
      <c r="I656" s="6"/>
      <c r="J656" s="99" t="s">
        <v>588</v>
      </c>
      <c r="K656" s="22"/>
    </row>
    <row r="657" spans="1:11" ht="60" hidden="1" outlineLevel="1" x14ac:dyDescent="0.25">
      <c r="A657" s="36"/>
      <c r="B657" s="37" t="s">
        <v>589</v>
      </c>
      <c r="C657" s="16" t="s">
        <v>24</v>
      </c>
      <c r="D657" s="16">
        <v>30</v>
      </c>
      <c r="E657" s="18"/>
      <c r="F657" s="25">
        <f t="shared" si="63"/>
        <v>0</v>
      </c>
      <c r="G657" s="6"/>
      <c r="H657" s="6"/>
      <c r="I657" s="6"/>
      <c r="J657" s="99" t="s">
        <v>590</v>
      </c>
      <c r="K657" s="22"/>
    </row>
    <row r="658" spans="1:11" collapsed="1" x14ac:dyDescent="0.25">
      <c r="B658" s="15" t="s">
        <v>576</v>
      </c>
      <c r="C658" s="16" t="s">
        <v>18</v>
      </c>
      <c r="D658" s="23">
        <f>+SUM(F651:F657)</f>
        <v>0</v>
      </c>
      <c r="E658" s="18"/>
      <c r="F658" s="25">
        <f t="shared" ref="F658" si="64">IF(E658="S",D658,0)</f>
        <v>0</v>
      </c>
      <c r="G658" s="6"/>
      <c r="H658" s="6"/>
      <c r="I658" s="6"/>
      <c r="J658" s="37" t="str">
        <f>IF(E658="S","Abrir o sub item do critério DW para o preenchimento dos campos.","Se envolver DW, digite S e expanda o critério para preencher.")</f>
        <v>Se envolver DW, digite S e expanda o critério para preencher.</v>
      </c>
      <c r="K658" s="22"/>
    </row>
    <row r="659" spans="1:11" hidden="1" outlineLevel="1" x14ac:dyDescent="0.25">
      <c r="B659" s="26" t="s">
        <v>591</v>
      </c>
      <c r="C659" s="26"/>
      <c r="D659" s="27"/>
      <c r="E659" s="27"/>
      <c r="F659" s="27"/>
      <c r="G659" s="27"/>
      <c r="H659" s="27"/>
      <c r="I659" s="27"/>
      <c r="J659" s="28"/>
      <c r="K659" s="22"/>
    </row>
    <row r="660" spans="1:11" ht="30" hidden="1" outlineLevel="1" x14ac:dyDescent="0.25">
      <c r="A660" s="36"/>
      <c r="B660" s="37" t="s">
        <v>592</v>
      </c>
      <c r="C660" s="16" t="s">
        <v>24</v>
      </c>
      <c r="D660" s="16">
        <v>30</v>
      </c>
      <c r="E660" s="18"/>
      <c r="F660" s="25">
        <f t="shared" ref="F660" si="65">E660*D660</f>
        <v>0</v>
      </c>
      <c r="G660" s="6"/>
      <c r="H660" s="6"/>
      <c r="I660" s="6"/>
      <c r="J660" s="37" t="s">
        <v>593</v>
      </c>
      <c r="K660" s="22"/>
    </row>
    <row r="661" spans="1:11" hidden="1" outlineLevel="1" x14ac:dyDescent="0.25">
      <c r="A661" s="36"/>
      <c r="B661" s="37" t="s">
        <v>594</v>
      </c>
      <c r="C661" s="16" t="s">
        <v>18</v>
      </c>
      <c r="D661" s="16">
        <v>30</v>
      </c>
      <c r="E661" s="18"/>
      <c r="F661" s="25">
        <f t="shared" ref="F661:F676" si="66">IF(E661="S",D661,0)</f>
        <v>0</v>
      </c>
      <c r="G661" s="6"/>
      <c r="H661" s="6"/>
      <c r="I661" s="6"/>
      <c r="J661" s="37" t="s">
        <v>595</v>
      </c>
      <c r="K661" s="22"/>
    </row>
    <row r="662" spans="1:11" hidden="1" outlineLevel="1" x14ac:dyDescent="0.25">
      <c r="A662" s="36"/>
      <c r="B662" s="37" t="s">
        <v>596</v>
      </c>
      <c r="C662" s="16" t="s">
        <v>24</v>
      </c>
      <c r="D662" s="16">
        <v>30</v>
      </c>
      <c r="E662" s="18"/>
      <c r="F662" s="25">
        <f t="shared" ref="F662:F666" si="67">E662*D662</f>
        <v>0</v>
      </c>
      <c r="G662" s="6"/>
      <c r="H662" s="6"/>
      <c r="I662" s="6"/>
      <c r="J662" s="37" t="s">
        <v>595</v>
      </c>
      <c r="K662" s="22"/>
    </row>
    <row r="663" spans="1:11" ht="45" hidden="1" outlineLevel="1" x14ac:dyDescent="0.25">
      <c r="A663" s="36"/>
      <c r="B663" s="100" t="s">
        <v>597</v>
      </c>
      <c r="C663" s="16" t="s">
        <v>24</v>
      </c>
      <c r="D663" s="16">
        <v>60</v>
      </c>
      <c r="E663" s="18"/>
      <c r="F663" s="25">
        <f t="shared" si="67"/>
        <v>0</v>
      </c>
      <c r="G663" s="6"/>
      <c r="H663" s="6"/>
      <c r="I663" s="6"/>
      <c r="J663" s="37" t="s">
        <v>598</v>
      </c>
      <c r="K663" s="22"/>
    </row>
    <row r="664" spans="1:11" ht="45" hidden="1" outlineLevel="1" x14ac:dyDescent="0.25">
      <c r="A664" s="36"/>
      <c r="B664" s="37" t="s">
        <v>599</v>
      </c>
      <c r="C664" s="16" t="s">
        <v>24</v>
      </c>
      <c r="D664" s="16">
        <v>40</v>
      </c>
      <c r="E664" s="18"/>
      <c r="F664" s="25">
        <f t="shared" si="67"/>
        <v>0</v>
      </c>
      <c r="G664" s="6"/>
      <c r="H664" s="6"/>
      <c r="I664" s="6"/>
      <c r="J664" s="37" t="s">
        <v>598</v>
      </c>
      <c r="K664" s="22"/>
    </row>
    <row r="665" spans="1:11" ht="45" hidden="1" outlineLevel="1" x14ac:dyDescent="0.25">
      <c r="A665" s="36"/>
      <c r="B665" s="37" t="s">
        <v>600</v>
      </c>
      <c r="C665" s="16" t="s">
        <v>24</v>
      </c>
      <c r="D665" s="16">
        <v>150</v>
      </c>
      <c r="E665" s="18"/>
      <c r="F665" s="25">
        <f t="shared" si="67"/>
        <v>0</v>
      </c>
      <c r="G665" s="6"/>
      <c r="H665" s="6"/>
      <c r="I665" s="6"/>
      <c r="J665" s="37" t="s">
        <v>601</v>
      </c>
      <c r="K665" s="22"/>
    </row>
    <row r="666" spans="1:11" ht="45" hidden="1" outlineLevel="1" x14ac:dyDescent="0.25">
      <c r="A666" s="36"/>
      <c r="B666" s="37" t="s">
        <v>602</v>
      </c>
      <c r="C666" s="16" t="s">
        <v>24</v>
      </c>
      <c r="D666" s="16">
        <v>90</v>
      </c>
      <c r="E666" s="18"/>
      <c r="F666" s="25">
        <f t="shared" si="67"/>
        <v>0</v>
      </c>
      <c r="G666" s="6"/>
      <c r="H666" s="6"/>
      <c r="I666" s="6"/>
      <c r="J666" s="37" t="s">
        <v>603</v>
      </c>
      <c r="K666" s="22"/>
    </row>
    <row r="667" spans="1:11" hidden="1" outlineLevel="1" x14ac:dyDescent="0.25">
      <c r="A667" s="36"/>
      <c r="B667" s="37" t="s">
        <v>604</v>
      </c>
      <c r="C667" s="16" t="s">
        <v>24</v>
      </c>
      <c r="D667" s="16">
        <v>60</v>
      </c>
      <c r="E667" s="18"/>
      <c r="F667" s="25">
        <f t="shared" si="66"/>
        <v>0</v>
      </c>
      <c r="G667" s="6"/>
      <c r="H667" s="6"/>
      <c r="I667" s="6"/>
      <c r="J667" s="37" t="s">
        <v>605</v>
      </c>
      <c r="K667" s="22"/>
    </row>
    <row r="668" spans="1:11" hidden="1" outlineLevel="1" x14ac:dyDescent="0.25">
      <c r="A668" s="36"/>
      <c r="B668" s="37" t="s">
        <v>606</v>
      </c>
      <c r="C668" s="16" t="s">
        <v>18</v>
      </c>
      <c r="D668" s="16">
        <v>100</v>
      </c>
      <c r="E668" s="18"/>
      <c r="F668" s="25">
        <f t="shared" si="66"/>
        <v>0</v>
      </c>
      <c r="G668" s="6"/>
      <c r="H668" s="6"/>
      <c r="I668" s="6"/>
      <c r="J668" s="37" t="s">
        <v>607</v>
      </c>
      <c r="K668" s="22"/>
    </row>
    <row r="669" spans="1:11" ht="15" hidden="1" customHeight="1" outlineLevel="1" x14ac:dyDescent="0.25">
      <c r="A669" s="36"/>
      <c r="B669" s="37" t="s">
        <v>608</v>
      </c>
      <c r="C669" s="16" t="s">
        <v>18</v>
      </c>
      <c r="D669" s="16">
        <v>80</v>
      </c>
      <c r="E669" s="18"/>
      <c r="F669" s="25">
        <f t="shared" si="66"/>
        <v>0</v>
      </c>
      <c r="G669" s="6"/>
      <c r="H669" s="6"/>
      <c r="I669" s="6"/>
      <c r="J669" s="37" t="s">
        <v>609</v>
      </c>
      <c r="K669" s="22"/>
    </row>
    <row r="670" spans="1:11" hidden="1" outlineLevel="1" x14ac:dyDescent="0.25">
      <c r="A670" s="36"/>
      <c r="B670" s="37" t="s">
        <v>610</v>
      </c>
      <c r="C670" s="16" t="s">
        <v>24</v>
      </c>
      <c r="D670" s="16">
        <v>60</v>
      </c>
      <c r="E670" s="18"/>
      <c r="F670" s="25">
        <f t="shared" ref="F670:F672" si="68">E670*D670</f>
        <v>0</v>
      </c>
      <c r="G670" s="6"/>
      <c r="H670" s="6"/>
      <c r="I670" s="6"/>
      <c r="J670" s="37" t="s">
        <v>611</v>
      </c>
      <c r="K670" s="22"/>
    </row>
    <row r="671" spans="1:11" hidden="1" outlineLevel="1" x14ac:dyDescent="0.25">
      <c r="A671" s="36"/>
      <c r="B671" s="37" t="s">
        <v>612</v>
      </c>
      <c r="C671" s="16" t="s">
        <v>24</v>
      </c>
      <c r="D671" s="16">
        <v>50</v>
      </c>
      <c r="E671" s="18"/>
      <c r="F671" s="25">
        <f t="shared" si="68"/>
        <v>0</v>
      </c>
      <c r="G671" s="6"/>
      <c r="H671" s="6"/>
      <c r="I671" s="6"/>
      <c r="J671" s="37" t="s">
        <v>611</v>
      </c>
      <c r="K671" s="22"/>
    </row>
    <row r="672" spans="1:11" hidden="1" outlineLevel="1" x14ac:dyDescent="0.25">
      <c r="A672" s="36"/>
      <c r="B672" s="37" t="s">
        <v>613</v>
      </c>
      <c r="C672" s="16" t="s">
        <v>24</v>
      </c>
      <c r="D672" s="16">
        <v>40</v>
      </c>
      <c r="E672" s="18"/>
      <c r="F672" s="25">
        <f t="shared" si="68"/>
        <v>0</v>
      </c>
      <c r="G672" s="6"/>
      <c r="H672" s="6"/>
      <c r="I672" s="6"/>
      <c r="J672" s="37" t="s">
        <v>611</v>
      </c>
      <c r="K672" s="22"/>
    </row>
    <row r="673" spans="1:11" hidden="1" outlineLevel="1" x14ac:dyDescent="0.25">
      <c r="A673" s="36"/>
      <c r="B673" s="37" t="s">
        <v>614</v>
      </c>
      <c r="C673" s="16" t="s">
        <v>24</v>
      </c>
      <c r="D673" s="16">
        <v>30</v>
      </c>
      <c r="E673" s="18"/>
      <c r="F673" s="25">
        <f>E673*D673</f>
        <v>0</v>
      </c>
      <c r="G673" s="6"/>
      <c r="H673" s="6"/>
      <c r="I673" s="6"/>
      <c r="J673" s="37" t="s">
        <v>611</v>
      </c>
      <c r="K673" s="22"/>
    </row>
    <row r="674" spans="1:11" ht="30" hidden="1" outlineLevel="1" x14ac:dyDescent="0.25">
      <c r="A674" s="36"/>
      <c r="B674" s="37" t="s">
        <v>615</v>
      </c>
      <c r="C674" s="16" t="s">
        <v>18</v>
      </c>
      <c r="D674" s="16">
        <v>30</v>
      </c>
      <c r="E674" s="18"/>
      <c r="F674" s="25">
        <f t="shared" si="66"/>
        <v>0</v>
      </c>
      <c r="G674" s="6"/>
      <c r="H674" s="6"/>
      <c r="I674" s="6"/>
      <c r="J674" s="37" t="s">
        <v>611</v>
      </c>
      <c r="K674" s="22"/>
    </row>
    <row r="675" spans="1:11" hidden="1" outlineLevel="1" x14ac:dyDescent="0.25">
      <c r="A675" s="36"/>
      <c r="B675" s="37" t="s">
        <v>616</v>
      </c>
      <c r="C675" s="16" t="s">
        <v>18</v>
      </c>
      <c r="D675" s="16">
        <v>20</v>
      </c>
      <c r="E675" s="18"/>
      <c r="F675" s="25">
        <f t="shared" si="66"/>
        <v>0</v>
      </c>
      <c r="G675" s="6"/>
      <c r="H675" s="6"/>
      <c r="I675" s="6"/>
      <c r="J675" s="37" t="s">
        <v>611</v>
      </c>
      <c r="K675" s="22"/>
    </row>
    <row r="676" spans="1:11" collapsed="1" x14ac:dyDescent="0.25">
      <c r="B676" s="15" t="s">
        <v>617</v>
      </c>
      <c r="C676" s="16" t="s">
        <v>18</v>
      </c>
      <c r="D676" s="23">
        <f>SUM(F660:F675)</f>
        <v>0</v>
      </c>
      <c r="E676" s="18"/>
      <c r="F676" s="25">
        <f t="shared" si="66"/>
        <v>0</v>
      </c>
      <c r="G676" s="6"/>
      <c r="H676" s="6"/>
      <c r="I676" s="6"/>
      <c r="J676" s="37" t="str">
        <f>IF(E676="S","Abrir o sub item do critério Pré-Pago para o preenchimento dos campos.","Se envolver Pré-Pago, digite S e expanda o critério para preencher.")</f>
        <v>Se envolver Pré-Pago, digite S e expanda o critério para preencher.</v>
      </c>
      <c r="K676" s="22"/>
    </row>
    <row r="677" spans="1:11" ht="15" hidden="1" customHeight="1" outlineLevel="1" x14ac:dyDescent="0.25">
      <c r="B677" s="26" t="s">
        <v>618</v>
      </c>
      <c r="C677" s="26"/>
      <c r="D677" s="27"/>
      <c r="E677" s="27"/>
      <c r="F677" s="27"/>
      <c r="G677" s="27"/>
      <c r="H677" s="27"/>
      <c r="I677" s="27"/>
      <c r="J677" s="101"/>
      <c r="K677" s="22"/>
    </row>
    <row r="678" spans="1:11" ht="15" hidden="1" customHeight="1" outlineLevel="1" x14ac:dyDescent="0.25">
      <c r="A678" s="36"/>
      <c r="B678" s="37" t="s">
        <v>619</v>
      </c>
      <c r="C678" s="16" t="s">
        <v>24</v>
      </c>
      <c r="D678" s="102">
        <v>0.5</v>
      </c>
      <c r="E678" s="18"/>
      <c r="F678" s="25">
        <f t="shared" ref="F678:F680" si="69">E678*D678</f>
        <v>0</v>
      </c>
      <c r="G678" s="6"/>
      <c r="H678" s="6"/>
      <c r="I678" s="6"/>
      <c r="J678" s="37" t="s">
        <v>620</v>
      </c>
      <c r="K678" s="22"/>
    </row>
    <row r="679" spans="1:11" ht="15" hidden="1" customHeight="1" outlineLevel="1" x14ac:dyDescent="0.25">
      <c r="A679" s="36"/>
      <c r="B679" s="37" t="s">
        <v>621</v>
      </c>
      <c r="C679" s="16" t="s">
        <v>24</v>
      </c>
      <c r="D679" s="102">
        <f t="shared" ref="D679:D681" si="70">ROUNDUP((16*56.72)/1000,1)</f>
        <v>1</v>
      </c>
      <c r="E679" s="18"/>
      <c r="F679" s="25">
        <f t="shared" si="69"/>
        <v>0</v>
      </c>
      <c r="G679" s="6"/>
      <c r="H679" s="6"/>
      <c r="I679" s="6"/>
      <c r="J679" s="37" t="s">
        <v>622</v>
      </c>
      <c r="K679" s="22"/>
    </row>
    <row r="680" spans="1:11" ht="15" hidden="1" customHeight="1" outlineLevel="1" x14ac:dyDescent="0.25">
      <c r="A680" s="36"/>
      <c r="B680" s="37" t="s">
        <v>623</v>
      </c>
      <c r="C680" s="16" t="s">
        <v>24</v>
      </c>
      <c r="D680" s="102">
        <f t="shared" si="70"/>
        <v>1</v>
      </c>
      <c r="E680" s="18"/>
      <c r="F680" s="25">
        <f t="shared" si="69"/>
        <v>0</v>
      </c>
      <c r="G680" s="6"/>
      <c r="H680" s="6"/>
      <c r="I680" s="6"/>
      <c r="J680" s="37" t="s">
        <v>624</v>
      </c>
      <c r="K680" s="22"/>
    </row>
    <row r="681" spans="1:11" ht="15" hidden="1" customHeight="1" outlineLevel="1" x14ac:dyDescent="0.25">
      <c r="A681" s="36"/>
      <c r="B681" s="37" t="s">
        <v>625</v>
      </c>
      <c r="C681" s="16" t="s">
        <v>18</v>
      </c>
      <c r="D681" s="102">
        <f t="shared" si="70"/>
        <v>1</v>
      </c>
      <c r="E681" s="18"/>
      <c r="F681" s="25">
        <f t="shared" ref="F681:F686" si="71">IF(E681="S",D681,0)</f>
        <v>0</v>
      </c>
      <c r="G681" s="6"/>
      <c r="H681" s="6"/>
      <c r="I681" s="6"/>
      <c r="J681" s="37" t="s">
        <v>626</v>
      </c>
      <c r="K681" s="22"/>
    </row>
    <row r="682" spans="1:11" ht="15" hidden="1" customHeight="1" outlineLevel="1" x14ac:dyDescent="0.25">
      <c r="A682" s="36"/>
      <c r="B682" s="37" t="s">
        <v>627</v>
      </c>
      <c r="C682" s="61" t="s">
        <v>18</v>
      </c>
      <c r="D682" s="102">
        <f>ROUNDUP((45*56.72)/1000,1)</f>
        <v>2.6</v>
      </c>
      <c r="E682" s="18"/>
      <c r="F682" s="25">
        <f t="shared" si="71"/>
        <v>0</v>
      </c>
      <c r="G682" s="6"/>
      <c r="H682" s="6"/>
      <c r="I682" s="6"/>
      <c r="J682" s="37" t="s">
        <v>628</v>
      </c>
      <c r="K682" s="22"/>
    </row>
    <row r="683" spans="1:11" ht="15" hidden="1" customHeight="1" outlineLevel="1" x14ac:dyDescent="0.25">
      <c r="A683" s="36"/>
      <c r="B683" s="37" t="s">
        <v>629</v>
      </c>
      <c r="C683" s="16" t="s">
        <v>24</v>
      </c>
      <c r="D683" s="102">
        <v>21.4</v>
      </c>
      <c r="E683" s="18"/>
      <c r="F683" s="25">
        <f t="shared" ref="F683:F685" si="72">E683*D683</f>
        <v>0</v>
      </c>
      <c r="G683" s="6"/>
      <c r="H683" s="6"/>
      <c r="I683" s="6"/>
      <c r="J683" s="37" t="s">
        <v>630</v>
      </c>
      <c r="K683" s="22"/>
    </row>
    <row r="684" spans="1:11" ht="15" hidden="1" customHeight="1" outlineLevel="1" x14ac:dyDescent="0.25">
      <c r="A684" s="36"/>
      <c r="B684" s="37" t="s">
        <v>631</v>
      </c>
      <c r="C684" s="16" t="s">
        <v>24</v>
      </c>
      <c r="D684" s="102">
        <f>ROUNDUP((1000*56.72)/1000,1)</f>
        <v>56.800000000000004</v>
      </c>
      <c r="E684" s="18"/>
      <c r="F684" s="25">
        <f t="shared" si="72"/>
        <v>0</v>
      </c>
      <c r="G684" s="6"/>
      <c r="H684" s="6"/>
      <c r="I684" s="6"/>
      <c r="J684" s="37" t="s">
        <v>632</v>
      </c>
      <c r="K684" s="22"/>
    </row>
    <row r="685" spans="1:11" ht="15" hidden="1" customHeight="1" outlineLevel="1" x14ac:dyDescent="0.25">
      <c r="A685" s="36"/>
      <c r="B685" s="37" t="s">
        <v>633</v>
      </c>
      <c r="C685" s="16" t="s">
        <v>24</v>
      </c>
      <c r="D685" s="102">
        <f>ROUNDUP((248*56.72)/1000,1)</f>
        <v>14.1</v>
      </c>
      <c r="E685" s="18"/>
      <c r="F685" s="25">
        <f t="shared" si="72"/>
        <v>0</v>
      </c>
      <c r="G685" s="6"/>
      <c r="H685" s="6"/>
      <c r="I685" s="6"/>
      <c r="J685" s="37" t="s">
        <v>634</v>
      </c>
      <c r="K685" s="22"/>
    </row>
    <row r="686" spans="1:11" collapsed="1" x14ac:dyDescent="0.25">
      <c r="B686" s="15" t="s">
        <v>618</v>
      </c>
      <c r="C686" s="16" t="s">
        <v>18</v>
      </c>
      <c r="D686" s="23">
        <f>SUM(F678:F685)</f>
        <v>0</v>
      </c>
      <c r="E686" s="18"/>
      <c r="F686" s="25">
        <f t="shared" si="71"/>
        <v>0</v>
      </c>
      <c r="G686" s="6"/>
      <c r="H686" s="6"/>
      <c r="I686" s="6"/>
      <c r="J686" s="37" t="str">
        <f>IF(E686="S","Abrir o sub item do critério SA3 para o preenchimento dos campos.","Se envolver SA3 digite S e expanda o critério para preencher.")</f>
        <v>Se envolver SA3 digite S e expanda o critério para preencher.</v>
      </c>
      <c r="K686" s="22"/>
    </row>
    <row r="687" spans="1:11" ht="15" hidden="1" customHeight="1" outlineLevel="1" x14ac:dyDescent="0.25">
      <c r="A687" s="29"/>
      <c r="B687" s="26" t="s">
        <v>635</v>
      </c>
      <c r="C687" s="26"/>
      <c r="D687" s="27"/>
      <c r="E687" s="27"/>
      <c r="F687" s="27"/>
      <c r="G687" s="27"/>
      <c r="H687" s="27"/>
      <c r="I687" s="27"/>
      <c r="J687" s="101"/>
      <c r="K687" s="22"/>
    </row>
    <row r="688" spans="1:11" ht="45" hidden="1" outlineLevel="1" x14ac:dyDescent="0.25">
      <c r="A688" s="36"/>
      <c r="B688" s="37" t="s">
        <v>636</v>
      </c>
      <c r="C688" s="16" t="s">
        <v>24</v>
      </c>
      <c r="D688" s="102">
        <f>ROUNDUP((16*114.8)/1000,0)</f>
        <v>2</v>
      </c>
      <c r="E688" s="18"/>
      <c r="F688" s="25">
        <f>E688*D688</f>
        <v>0</v>
      </c>
      <c r="G688" s="6"/>
      <c r="H688" s="6"/>
      <c r="I688" s="6"/>
      <c r="J688" s="37" t="s">
        <v>637</v>
      </c>
      <c r="K688" s="22"/>
    </row>
    <row r="689" spans="1:11" ht="30" hidden="1" outlineLevel="1" x14ac:dyDescent="0.25">
      <c r="A689" s="36"/>
      <c r="B689" s="37" t="s">
        <v>638</v>
      </c>
      <c r="C689" s="16" t="s">
        <v>24</v>
      </c>
      <c r="D689" s="102">
        <f t="shared" ref="D689" si="73">ROUNDUP((16*114.8)/1000,0)</f>
        <v>2</v>
      </c>
      <c r="E689" s="18"/>
      <c r="F689" s="25">
        <f t="shared" ref="F689:F693" si="74">E689*D689</f>
        <v>0</v>
      </c>
      <c r="G689" s="6"/>
      <c r="H689" s="6"/>
      <c r="I689" s="6"/>
      <c r="J689" s="37" t="s">
        <v>639</v>
      </c>
      <c r="K689" s="22"/>
    </row>
    <row r="690" spans="1:11" ht="45" hidden="1" outlineLevel="1" x14ac:dyDescent="0.25">
      <c r="A690" s="36"/>
      <c r="B690" s="37" t="s">
        <v>640</v>
      </c>
      <c r="C690" s="16" t="s">
        <v>24</v>
      </c>
      <c r="D690" s="102">
        <v>124.2</v>
      </c>
      <c r="E690" s="18"/>
      <c r="F690" s="25">
        <f t="shared" si="74"/>
        <v>0</v>
      </c>
      <c r="G690" s="6"/>
      <c r="H690" s="6"/>
      <c r="I690" s="6"/>
      <c r="J690" s="37" t="s">
        <v>641</v>
      </c>
      <c r="K690" s="22"/>
    </row>
    <row r="691" spans="1:11" ht="45" hidden="1" outlineLevel="1" x14ac:dyDescent="0.25">
      <c r="A691" s="36"/>
      <c r="B691" s="37" t="s">
        <v>642</v>
      </c>
      <c r="C691" s="16" t="s">
        <v>24</v>
      </c>
      <c r="D691" s="102">
        <v>28</v>
      </c>
      <c r="E691" s="18"/>
      <c r="F691" s="25">
        <f t="shared" si="74"/>
        <v>0</v>
      </c>
      <c r="G691" s="6"/>
      <c r="H691" s="6"/>
      <c r="I691" s="6"/>
      <c r="J691" s="37" t="s">
        <v>643</v>
      </c>
      <c r="K691" s="22"/>
    </row>
    <row r="692" spans="1:11" hidden="1" outlineLevel="1" x14ac:dyDescent="0.25">
      <c r="A692" s="36"/>
      <c r="B692" s="37" t="s">
        <v>644</v>
      </c>
      <c r="C692" s="16" t="s">
        <v>24</v>
      </c>
      <c r="D692" s="102">
        <v>54.9</v>
      </c>
      <c r="E692" s="18"/>
      <c r="F692" s="25">
        <f t="shared" si="74"/>
        <v>0</v>
      </c>
      <c r="G692" s="6"/>
      <c r="H692" s="6"/>
      <c r="I692" s="6"/>
      <c r="J692" s="37" t="s">
        <v>645</v>
      </c>
      <c r="K692" s="22"/>
    </row>
    <row r="693" spans="1:11" hidden="1" outlineLevel="1" x14ac:dyDescent="0.25">
      <c r="A693" s="36"/>
      <c r="B693" s="37" t="s">
        <v>646</v>
      </c>
      <c r="C693" s="16" t="s">
        <v>24</v>
      </c>
      <c r="D693" s="102">
        <f>ROUNDUP((16*114.8)/1000,0)</f>
        <v>2</v>
      </c>
      <c r="E693" s="18"/>
      <c r="F693" s="25">
        <f t="shared" si="74"/>
        <v>0</v>
      </c>
      <c r="G693" s="6"/>
      <c r="H693" s="6"/>
      <c r="I693" s="6"/>
      <c r="J693" s="37" t="s">
        <v>647</v>
      </c>
      <c r="K693" s="22"/>
    </row>
    <row r="694" spans="1:11" hidden="1" outlineLevel="1" x14ac:dyDescent="0.25">
      <c r="A694" s="36"/>
      <c r="B694" s="37" t="s">
        <v>648</v>
      </c>
      <c r="C694" s="16" t="s">
        <v>18</v>
      </c>
      <c r="D694" s="102">
        <f>ROUNDUP((900*114.8)/1000,0)</f>
        <v>104</v>
      </c>
      <c r="E694" s="18"/>
      <c r="F694" s="25">
        <f t="shared" ref="F694" si="75">IF(E694="S",D694,0)</f>
        <v>0</v>
      </c>
      <c r="G694" s="6"/>
      <c r="H694" s="6"/>
      <c r="I694" s="6"/>
      <c r="J694" s="37" t="s">
        <v>649</v>
      </c>
      <c r="K694" s="22"/>
    </row>
    <row r="695" spans="1:11" hidden="1" outlineLevel="1" x14ac:dyDescent="0.25">
      <c r="A695" s="36"/>
      <c r="B695" s="37" t="s">
        <v>650</v>
      </c>
      <c r="C695" s="16" t="s">
        <v>24</v>
      </c>
      <c r="D695" s="102">
        <f>ROUNDUP((115*114.8)/1000,0)</f>
        <v>14</v>
      </c>
      <c r="E695" s="18"/>
      <c r="F695" s="25">
        <f t="shared" ref="F695:F709" si="76">E695*D695</f>
        <v>0</v>
      </c>
      <c r="G695" s="6"/>
      <c r="H695" s="6"/>
      <c r="I695" s="6"/>
      <c r="J695" s="37" t="s">
        <v>651</v>
      </c>
      <c r="K695" s="22"/>
    </row>
    <row r="696" spans="1:11" ht="30" hidden="1" outlineLevel="1" x14ac:dyDescent="0.25">
      <c r="A696" s="36"/>
      <c r="B696" s="37" t="s">
        <v>652</v>
      </c>
      <c r="C696" s="16" t="s">
        <v>24</v>
      </c>
      <c r="D696" s="102">
        <f>ROUNDUP((65*114.8)/1000,0)</f>
        <v>8</v>
      </c>
      <c r="E696" s="18"/>
      <c r="F696" s="25">
        <f t="shared" si="76"/>
        <v>0</v>
      </c>
      <c r="G696" s="6"/>
      <c r="H696" s="6"/>
      <c r="I696" s="6"/>
      <c r="J696" s="37" t="s">
        <v>653</v>
      </c>
      <c r="K696" s="22"/>
    </row>
    <row r="697" spans="1:11" ht="30" hidden="1" outlineLevel="1" x14ac:dyDescent="0.25">
      <c r="A697" s="36"/>
      <c r="B697" s="37" t="s">
        <v>654</v>
      </c>
      <c r="C697" s="16" t="s">
        <v>24</v>
      </c>
      <c r="D697" s="102">
        <f>ROUNDUP((25*114.8)/1000,0)</f>
        <v>3</v>
      </c>
      <c r="E697" s="18"/>
      <c r="F697" s="25">
        <f t="shared" si="76"/>
        <v>0</v>
      </c>
      <c r="G697" s="6"/>
      <c r="H697" s="6"/>
      <c r="I697" s="6"/>
      <c r="J697" s="37" t="s">
        <v>655</v>
      </c>
      <c r="K697" s="22"/>
    </row>
    <row r="698" spans="1:11" hidden="1" outlineLevel="1" x14ac:dyDescent="0.25">
      <c r="A698" s="36"/>
      <c r="B698" s="37" t="s">
        <v>656</v>
      </c>
      <c r="C698" s="16" t="s">
        <v>24</v>
      </c>
      <c r="D698" s="102">
        <f>ROUNDUP((25*114.8)/1000,0)</f>
        <v>3</v>
      </c>
      <c r="E698" s="18"/>
      <c r="F698" s="25">
        <f t="shared" si="76"/>
        <v>0</v>
      </c>
      <c r="G698" s="6"/>
      <c r="H698" s="6"/>
      <c r="I698" s="6"/>
      <c r="J698" s="37" t="s">
        <v>657</v>
      </c>
      <c r="K698" s="22"/>
    </row>
    <row r="699" spans="1:11" hidden="1" outlineLevel="1" x14ac:dyDescent="0.25">
      <c r="A699" s="36"/>
      <c r="B699" s="26" t="s">
        <v>658</v>
      </c>
      <c r="C699" s="103"/>
      <c r="D699" s="104"/>
      <c r="E699" s="104"/>
      <c r="F699" s="104"/>
      <c r="G699" s="104"/>
      <c r="H699" s="104"/>
      <c r="I699" s="104"/>
      <c r="J699" s="105"/>
      <c r="K699" s="103"/>
    </row>
    <row r="700" spans="1:11" ht="45" hidden="1" outlineLevel="1" x14ac:dyDescent="0.25">
      <c r="A700" s="36"/>
      <c r="B700" s="37" t="s">
        <v>636</v>
      </c>
      <c r="C700" s="16" t="s">
        <v>24</v>
      </c>
      <c r="D700" s="102">
        <v>36</v>
      </c>
      <c r="E700" s="18"/>
      <c r="F700" s="25">
        <f t="shared" si="76"/>
        <v>0</v>
      </c>
      <c r="G700" s="6"/>
      <c r="H700" s="6"/>
      <c r="I700" s="6"/>
      <c r="J700" s="37" t="s">
        <v>637</v>
      </c>
      <c r="K700" s="22"/>
    </row>
    <row r="701" spans="1:11" ht="30" hidden="1" outlineLevel="1" x14ac:dyDescent="0.25">
      <c r="A701" s="36"/>
      <c r="B701" s="37" t="s">
        <v>638</v>
      </c>
      <c r="C701" s="16" t="s">
        <v>24</v>
      </c>
      <c r="D701" s="102">
        <v>72</v>
      </c>
      <c r="E701" s="18"/>
      <c r="F701" s="25">
        <f t="shared" si="76"/>
        <v>0</v>
      </c>
      <c r="G701" s="6"/>
      <c r="H701" s="6"/>
      <c r="I701" s="6"/>
      <c r="J701" s="37" t="s">
        <v>639</v>
      </c>
      <c r="K701" s="22"/>
    </row>
    <row r="702" spans="1:11" ht="45" hidden="1" outlineLevel="1" x14ac:dyDescent="0.25">
      <c r="A702" s="36"/>
      <c r="B702" s="37" t="s">
        <v>640</v>
      </c>
      <c r="C702" s="16" t="s">
        <v>24</v>
      </c>
      <c r="D702" s="102">
        <v>125</v>
      </c>
      <c r="E702" s="18"/>
      <c r="F702" s="25">
        <f t="shared" si="76"/>
        <v>0</v>
      </c>
      <c r="G702" s="6"/>
      <c r="H702" s="6"/>
      <c r="I702" s="6"/>
      <c r="J702" s="37" t="s">
        <v>641</v>
      </c>
      <c r="K702" s="22"/>
    </row>
    <row r="703" spans="1:11" hidden="1" outlineLevel="1" x14ac:dyDescent="0.25">
      <c r="A703" s="36"/>
      <c r="B703" s="37" t="s">
        <v>659</v>
      </c>
      <c r="C703" s="16" t="s">
        <v>24</v>
      </c>
      <c r="D703" s="102">
        <v>50</v>
      </c>
      <c r="E703" s="18"/>
      <c r="F703" s="25">
        <f t="shared" si="76"/>
        <v>0</v>
      </c>
      <c r="G703" s="6"/>
      <c r="H703" s="6"/>
      <c r="I703" s="6"/>
      <c r="J703" s="37" t="s">
        <v>660</v>
      </c>
      <c r="K703" s="22"/>
    </row>
    <row r="704" spans="1:11" hidden="1" outlineLevel="1" x14ac:dyDescent="0.25">
      <c r="A704" s="36"/>
      <c r="B704" s="37" t="s">
        <v>661</v>
      </c>
      <c r="C704" s="16" t="s">
        <v>24</v>
      </c>
      <c r="D704" s="102">
        <v>50</v>
      </c>
      <c r="E704" s="18"/>
      <c r="F704" s="25">
        <f t="shared" si="76"/>
        <v>0</v>
      </c>
      <c r="G704" s="6"/>
      <c r="H704" s="6"/>
      <c r="I704" s="6"/>
      <c r="J704" s="37" t="s">
        <v>662</v>
      </c>
      <c r="K704" s="22"/>
    </row>
    <row r="705" spans="1:11" hidden="1" outlineLevel="1" x14ac:dyDescent="0.25">
      <c r="A705" s="36"/>
      <c r="B705" s="37" t="s">
        <v>648</v>
      </c>
      <c r="C705" s="16" t="s">
        <v>18</v>
      </c>
      <c r="D705" s="102">
        <v>100</v>
      </c>
      <c r="E705" s="18"/>
      <c r="F705" s="25">
        <f t="shared" ref="F705" si="77">IF(E705="S",D705,0)</f>
        <v>0</v>
      </c>
      <c r="G705" s="6"/>
      <c r="H705" s="6"/>
      <c r="I705" s="6"/>
      <c r="J705" s="37" t="s">
        <v>649</v>
      </c>
      <c r="K705" s="22"/>
    </row>
    <row r="706" spans="1:11" hidden="1" outlineLevel="1" x14ac:dyDescent="0.25">
      <c r="A706" s="36"/>
      <c r="B706" s="37" t="s">
        <v>650</v>
      </c>
      <c r="C706" s="16" t="s">
        <v>24</v>
      </c>
      <c r="D706" s="102">
        <v>14</v>
      </c>
      <c r="E706" s="18"/>
      <c r="F706" s="25">
        <f t="shared" si="76"/>
        <v>0</v>
      </c>
      <c r="G706" s="6"/>
      <c r="H706" s="6"/>
      <c r="I706" s="6"/>
      <c r="J706" s="37" t="s">
        <v>651</v>
      </c>
      <c r="K706" s="22"/>
    </row>
    <row r="707" spans="1:11" ht="30" hidden="1" outlineLevel="1" x14ac:dyDescent="0.25">
      <c r="A707" s="36"/>
      <c r="B707" s="37" t="s">
        <v>652</v>
      </c>
      <c r="C707" s="16" t="s">
        <v>24</v>
      </c>
      <c r="D707" s="102">
        <v>8</v>
      </c>
      <c r="E707" s="18"/>
      <c r="F707" s="25">
        <f t="shared" si="76"/>
        <v>0</v>
      </c>
      <c r="G707" s="6"/>
      <c r="H707" s="6"/>
      <c r="I707" s="6"/>
      <c r="J707" s="37" t="s">
        <v>653</v>
      </c>
      <c r="K707" s="22"/>
    </row>
    <row r="708" spans="1:11" ht="30" hidden="1" outlineLevel="1" x14ac:dyDescent="0.25">
      <c r="A708" s="36"/>
      <c r="B708" s="37" t="s">
        <v>654</v>
      </c>
      <c r="C708" s="16" t="s">
        <v>24</v>
      </c>
      <c r="D708" s="102">
        <v>16</v>
      </c>
      <c r="E708" s="18"/>
      <c r="F708" s="25">
        <f t="shared" si="76"/>
        <v>0</v>
      </c>
      <c r="G708" s="6"/>
      <c r="H708" s="6"/>
      <c r="I708" s="6"/>
      <c r="J708" s="37" t="s">
        <v>655</v>
      </c>
      <c r="K708" s="22"/>
    </row>
    <row r="709" spans="1:11" hidden="1" outlineLevel="1" x14ac:dyDescent="0.25">
      <c r="A709" s="36"/>
      <c r="B709" s="37" t="s">
        <v>656</v>
      </c>
      <c r="C709" s="16" t="s">
        <v>24</v>
      </c>
      <c r="D709" s="102">
        <v>16</v>
      </c>
      <c r="E709" s="18"/>
      <c r="F709" s="25">
        <f t="shared" si="76"/>
        <v>0</v>
      </c>
      <c r="G709" s="6"/>
      <c r="H709" s="6"/>
      <c r="I709" s="6"/>
      <c r="J709" s="37" t="s">
        <v>663</v>
      </c>
      <c r="K709" s="22"/>
    </row>
    <row r="710" spans="1:11" collapsed="1" x14ac:dyDescent="0.25">
      <c r="B710" s="15" t="s">
        <v>664</v>
      </c>
      <c r="C710" s="16" t="s">
        <v>18</v>
      </c>
      <c r="D710" s="23">
        <f>SUM(F688:F709)</f>
        <v>0</v>
      </c>
      <c r="E710" s="18"/>
      <c r="F710" s="25">
        <f t="shared" ref="F710" si="78">IF(E710="S",D710,0)</f>
        <v>0</v>
      </c>
      <c r="G710" s="6"/>
      <c r="H710" s="6"/>
      <c r="I710" s="6"/>
      <c r="J710" s="37" t="str">
        <f>IF(E710="S","Abrir o sub item do critério SFA Web para o preenchimento dos campos.","Se envolver SFA Web digite S e expanda o critério para preencher.")</f>
        <v>Se envolver SFA Web digite S e expanda o critério para preencher.</v>
      </c>
      <c r="K710" s="22"/>
    </row>
    <row r="711" spans="1:11" hidden="1" outlineLevel="1" x14ac:dyDescent="0.25">
      <c r="A711" s="29"/>
      <c r="B711" s="26" t="s">
        <v>665</v>
      </c>
      <c r="C711" s="26"/>
      <c r="D711" s="27"/>
      <c r="E711" s="27"/>
      <c r="F711" s="27"/>
      <c r="G711" s="27"/>
      <c r="H711" s="27"/>
      <c r="I711" s="27"/>
      <c r="J711" s="26"/>
      <c r="K711" s="22"/>
    </row>
    <row r="712" spans="1:11" ht="30" hidden="1" outlineLevel="1" x14ac:dyDescent="0.25">
      <c r="A712" s="36"/>
      <c r="B712" s="37" t="s">
        <v>666</v>
      </c>
      <c r="C712" s="16" t="s">
        <v>18</v>
      </c>
      <c r="D712" s="102">
        <v>30</v>
      </c>
      <c r="E712" s="18"/>
      <c r="F712" s="25">
        <f t="shared" ref="F712" si="79">IF(E712="S",D712,0)</f>
        <v>0</v>
      </c>
      <c r="G712" s="6"/>
      <c r="H712" s="6"/>
      <c r="I712" s="6"/>
      <c r="J712" s="99" t="s">
        <v>667</v>
      </c>
      <c r="K712" s="22"/>
    </row>
    <row r="713" spans="1:11" ht="30" hidden="1" outlineLevel="1" x14ac:dyDescent="0.25">
      <c r="A713" s="36"/>
      <c r="B713" s="37" t="s">
        <v>668</v>
      </c>
      <c r="C713" s="16" t="s">
        <v>24</v>
      </c>
      <c r="D713" s="102">
        <v>200</v>
      </c>
      <c r="E713" s="18"/>
      <c r="F713" s="25">
        <f t="shared" ref="F713:F715" si="80">E713*D713</f>
        <v>0</v>
      </c>
      <c r="G713" s="6"/>
      <c r="H713" s="6"/>
      <c r="I713" s="6"/>
      <c r="J713" s="99" t="s">
        <v>667</v>
      </c>
      <c r="K713" s="22"/>
    </row>
    <row r="714" spans="1:11" ht="30" hidden="1" outlineLevel="1" x14ac:dyDescent="0.25">
      <c r="A714" s="36"/>
      <c r="B714" s="37" t="s">
        <v>669</v>
      </c>
      <c r="C714" s="16" t="s">
        <v>24</v>
      </c>
      <c r="D714" s="102">
        <v>200</v>
      </c>
      <c r="E714" s="18"/>
      <c r="F714" s="25">
        <f t="shared" si="80"/>
        <v>0</v>
      </c>
      <c r="G714" s="6"/>
      <c r="H714" s="6"/>
      <c r="I714" s="6"/>
      <c r="J714" s="99" t="s">
        <v>670</v>
      </c>
      <c r="K714" s="22"/>
    </row>
    <row r="715" spans="1:11" ht="45" hidden="1" outlineLevel="1" x14ac:dyDescent="0.25">
      <c r="A715" s="36"/>
      <c r="B715" s="37" t="s">
        <v>671</v>
      </c>
      <c r="C715" s="16" t="s">
        <v>24</v>
      </c>
      <c r="D715" s="102">
        <f>(1000*76.46/1000)+100</f>
        <v>176.45999999999998</v>
      </c>
      <c r="E715" s="18"/>
      <c r="F715" s="25">
        <f t="shared" si="80"/>
        <v>0</v>
      </c>
      <c r="G715" s="6"/>
      <c r="H715" s="6"/>
      <c r="I715" s="6"/>
      <c r="J715" s="99" t="s">
        <v>672</v>
      </c>
      <c r="K715" s="22"/>
    </row>
    <row r="716" spans="1:11" collapsed="1" x14ac:dyDescent="0.25">
      <c r="B716" s="15" t="s">
        <v>665</v>
      </c>
      <c r="C716" s="16" t="s">
        <v>18</v>
      </c>
      <c r="D716" s="106">
        <f>SUM(F712:F715)</f>
        <v>0</v>
      </c>
      <c r="E716" s="18"/>
      <c r="F716" s="25">
        <f t="shared" ref="F716" si="81">IF(E716="S",D716,0)</f>
        <v>0</v>
      </c>
      <c r="G716" s="6"/>
      <c r="H716" s="6"/>
      <c r="I716" s="6"/>
      <c r="J716" s="37" t="str">
        <f>IF(E716="S","Abrir o sub item do critério Mediação para o preenchimento dos campos.","Se envolver Mediação digite S e expanda o critério para preencher.")</f>
        <v>Se envolver Mediação digite S e expanda o critério para preencher.</v>
      </c>
      <c r="K716" s="22"/>
    </row>
    <row r="717" spans="1:11" hidden="1" outlineLevel="1" x14ac:dyDescent="0.25">
      <c r="A717" s="29"/>
      <c r="B717" s="26" t="s">
        <v>673</v>
      </c>
      <c r="C717" s="26"/>
      <c r="D717" s="27"/>
      <c r="E717" s="27"/>
      <c r="F717" s="27"/>
      <c r="G717" s="27"/>
      <c r="H717" s="27"/>
      <c r="I717" s="27"/>
      <c r="J717" s="37" t="str">
        <f t="shared" ref="J717:J733" si="82">IF(E717="S","Abrir o sub item do critério SFA Web para o preenchimento dos campos.","Se envolver SFA Web digite S e expanda o critério para preencher.")</f>
        <v>Se envolver SFA Web digite S e expanda o critério para preencher.</v>
      </c>
      <c r="K717" s="22"/>
    </row>
    <row r="718" spans="1:11" hidden="1" outlineLevel="1" x14ac:dyDescent="0.25">
      <c r="A718" s="36"/>
      <c r="B718" s="37" t="s">
        <v>674</v>
      </c>
      <c r="C718" s="16" t="s">
        <v>24</v>
      </c>
      <c r="D718" s="102">
        <v>45</v>
      </c>
      <c r="E718" s="18"/>
      <c r="F718" s="25">
        <f t="shared" ref="F718:F731" si="83">E718*D718</f>
        <v>0</v>
      </c>
      <c r="G718" s="6"/>
      <c r="H718" s="6"/>
      <c r="I718" s="6"/>
      <c r="J718" s="37" t="str">
        <f t="shared" si="82"/>
        <v>Se envolver SFA Web digite S e expanda o critério para preencher.</v>
      </c>
      <c r="K718" s="22"/>
    </row>
    <row r="719" spans="1:11" hidden="1" outlineLevel="1" x14ac:dyDescent="0.25">
      <c r="A719" s="36"/>
      <c r="B719" s="37" t="s">
        <v>675</v>
      </c>
      <c r="C719" s="16" t="s">
        <v>24</v>
      </c>
      <c r="D719" s="102">
        <v>120</v>
      </c>
      <c r="E719" s="18"/>
      <c r="F719" s="25">
        <f t="shared" si="83"/>
        <v>0</v>
      </c>
      <c r="G719" s="6"/>
      <c r="H719" s="6"/>
      <c r="I719" s="6"/>
      <c r="J719" s="37" t="str">
        <f t="shared" si="82"/>
        <v>Se envolver SFA Web digite S e expanda o critério para preencher.</v>
      </c>
      <c r="K719" s="22"/>
    </row>
    <row r="720" spans="1:11" hidden="1" outlineLevel="1" x14ac:dyDescent="0.25">
      <c r="A720" s="36"/>
      <c r="B720" s="37" t="s">
        <v>676</v>
      </c>
      <c r="C720" s="16" t="s">
        <v>24</v>
      </c>
      <c r="D720" s="102">
        <v>7</v>
      </c>
      <c r="E720" s="18"/>
      <c r="F720" s="25">
        <f t="shared" si="83"/>
        <v>0</v>
      </c>
      <c r="G720" s="6"/>
      <c r="H720" s="6"/>
      <c r="I720" s="6"/>
      <c r="J720" s="37" t="str">
        <f t="shared" si="82"/>
        <v>Se envolver SFA Web digite S e expanda o critério para preencher.</v>
      </c>
      <c r="K720" s="22"/>
    </row>
    <row r="721" spans="1:11" hidden="1" outlineLevel="1" x14ac:dyDescent="0.25">
      <c r="A721" s="36"/>
      <c r="B721" s="37" t="s">
        <v>677</v>
      </c>
      <c r="C721" s="16" t="s">
        <v>24</v>
      </c>
      <c r="D721" s="102">
        <v>5</v>
      </c>
      <c r="E721" s="18"/>
      <c r="F721" s="25">
        <f t="shared" si="83"/>
        <v>0</v>
      </c>
      <c r="G721" s="6"/>
      <c r="H721" s="6"/>
      <c r="I721" s="6"/>
      <c r="J721" s="37" t="str">
        <f t="shared" si="82"/>
        <v>Se envolver SFA Web digite S e expanda o critério para preencher.</v>
      </c>
      <c r="K721" s="22"/>
    </row>
    <row r="722" spans="1:11" hidden="1" outlineLevel="1" x14ac:dyDescent="0.25">
      <c r="A722" s="36"/>
      <c r="B722" s="37" t="s">
        <v>678</v>
      </c>
      <c r="C722" s="16" t="s">
        <v>24</v>
      </c>
      <c r="D722" s="102">
        <v>30</v>
      </c>
      <c r="E722" s="18"/>
      <c r="F722" s="25">
        <f t="shared" si="83"/>
        <v>0</v>
      </c>
      <c r="G722" s="6"/>
      <c r="H722" s="6"/>
      <c r="I722" s="6"/>
      <c r="J722" s="37" t="str">
        <f t="shared" si="82"/>
        <v>Se envolver SFA Web digite S e expanda o critério para preencher.</v>
      </c>
      <c r="K722" s="22"/>
    </row>
    <row r="723" spans="1:11" hidden="1" outlineLevel="1" x14ac:dyDescent="0.25">
      <c r="A723" s="36"/>
      <c r="B723" s="37" t="s">
        <v>679</v>
      </c>
      <c r="C723" s="16" t="s">
        <v>24</v>
      </c>
      <c r="D723" s="102">
        <v>100</v>
      </c>
      <c r="E723" s="18"/>
      <c r="F723" s="25">
        <f t="shared" si="83"/>
        <v>0</v>
      </c>
      <c r="G723" s="6"/>
      <c r="H723" s="6"/>
      <c r="I723" s="6"/>
      <c r="J723" s="37" t="str">
        <f t="shared" si="82"/>
        <v>Se envolver SFA Web digite S e expanda o critério para preencher.</v>
      </c>
      <c r="K723" s="22"/>
    </row>
    <row r="724" spans="1:11" hidden="1" outlineLevel="1" x14ac:dyDescent="0.25">
      <c r="A724" s="36"/>
      <c r="B724" s="37" t="s">
        <v>680</v>
      </c>
      <c r="C724" s="16" t="s">
        <v>24</v>
      </c>
      <c r="D724" s="102">
        <v>15</v>
      </c>
      <c r="E724" s="18"/>
      <c r="F724" s="25">
        <f t="shared" si="83"/>
        <v>0</v>
      </c>
      <c r="G724" s="6"/>
      <c r="H724" s="6"/>
      <c r="I724" s="6"/>
      <c r="J724" s="37" t="str">
        <f t="shared" si="82"/>
        <v>Se envolver SFA Web digite S e expanda o critério para preencher.</v>
      </c>
      <c r="K724" s="22"/>
    </row>
    <row r="725" spans="1:11" hidden="1" outlineLevel="1" x14ac:dyDescent="0.25">
      <c r="A725" s="36"/>
      <c r="B725" s="37" t="s">
        <v>681</v>
      </c>
      <c r="C725" s="16" t="s">
        <v>24</v>
      </c>
      <c r="D725" s="102">
        <v>15</v>
      </c>
      <c r="E725" s="18"/>
      <c r="F725" s="25">
        <f t="shared" si="83"/>
        <v>0</v>
      </c>
      <c r="G725" s="6"/>
      <c r="H725" s="6"/>
      <c r="I725" s="6"/>
      <c r="J725" s="37" t="str">
        <f t="shared" si="82"/>
        <v>Se envolver SFA Web digite S e expanda o critério para preencher.</v>
      </c>
      <c r="K725" s="22"/>
    </row>
    <row r="726" spans="1:11" hidden="1" outlineLevel="1" x14ac:dyDescent="0.25">
      <c r="A726" s="36"/>
      <c r="B726" s="37" t="s">
        <v>682</v>
      </c>
      <c r="C726" s="16" t="s">
        <v>24</v>
      </c>
      <c r="D726" s="102">
        <v>20</v>
      </c>
      <c r="E726" s="18"/>
      <c r="F726" s="25">
        <f t="shared" si="83"/>
        <v>0</v>
      </c>
      <c r="G726" s="6"/>
      <c r="H726" s="6"/>
      <c r="I726" s="6"/>
      <c r="J726" s="37" t="str">
        <f t="shared" si="82"/>
        <v>Se envolver SFA Web digite S e expanda o critério para preencher.</v>
      </c>
      <c r="K726" s="22"/>
    </row>
    <row r="727" spans="1:11" hidden="1" outlineLevel="1" x14ac:dyDescent="0.25">
      <c r="A727" s="36"/>
      <c r="B727" s="37" t="s">
        <v>683</v>
      </c>
      <c r="C727" s="16" t="s">
        <v>24</v>
      </c>
      <c r="D727" s="102">
        <v>7</v>
      </c>
      <c r="E727" s="18"/>
      <c r="F727" s="25">
        <f t="shared" si="83"/>
        <v>0</v>
      </c>
      <c r="G727" s="6"/>
      <c r="H727" s="6"/>
      <c r="I727" s="6"/>
      <c r="J727" s="37" t="str">
        <f t="shared" si="82"/>
        <v>Se envolver SFA Web digite S e expanda o critério para preencher.</v>
      </c>
      <c r="K727" s="22"/>
    </row>
    <row r="728" spans="1:11" hidden="1" outlineLevel="1" x14ac:dyDescent="0.25">
      <c r="A728" s="36"/>
      <c r="B728" s="37" t="s">
        <v>684</v>
      </c>
      <c r="C728" s="16" t="s">
        <v>24</v>
      </c>
      <c r="D728" s="107">
        <v>50</v>
      </c>
      <c r="E728" s="18"/>
      <c r="F728" s="25">
        <f t="shared" si="83"/>
        <v>0</v>
      </c>
      <c r="G728" s="6"/>
      <c r="H728" s="6"/>
      <c r="I728" s="6"/>
      <c r="J728" s="37" t="str">
        <f t="shared" si="82"/>
        <v>Se envolver SFA Web digite S e expanda o critério para preencher.</v>
      </c>
      <c r="K728" s="22"/>
    </row>
    <row r="729" spans="1:11" hidden="1" outlineLevel="1" x14ac:dyDescent="0.25">
      <c r="A729" s="36"/>
      <c r="B729" s="37" t="s">
        <v>685</v>
      </c>
      <c r="C729" s="16" t="s">
        <v>24</v>
      </c>
      <c r="D729" s="107">
        <v>10</v>
      </c>
      <c r="E729" s="18"/>
      <c r="F729" s="25">
        <f t="shared" si="83"/>
        <v>0</v>
      </c>
      <c r="G729" s="6"/>
      <c r="H729" s="6"/>
      <c r="I729" s="6"/>
      <c r="J729" s="37"/>
      <c r="K729" s="22"/>
    </row>
    <row r="730" spans="1:11" hidden="1" outlineLevel="1" x14ac:dyDescent="0.25">
      <c r="A730" s="36"/>
      <c r="B730" s="37" t="s">
        <v>686</v>
      </c>
      <c r="C730" s="16" t="s">
        <v>24</v>
      </c>
      <c r="D730" s="107">
        <v>15</v>
      </c>
      <c r="E730" s="18"/>
      <c r="F730" s="25">
        <f t="shared" si="83"/>
        <v>0</v>
      </c>
      <c r="G730" s="6"/>
      <c r="H730" s="6"/>
      <c r="I730" s="6"/>
      <c r="J730" s="37"/>
      <c r="K730" s="22"/>
    </row>
    <row r="731" spans="1:11" hidden="1" outlineLevel="1" x14ac:dyDescent="0.25">
      <c r="A731" s="36"/>
      <c r="B731" s="37" t="s">
        <v>687</v>
      </c>
      <c r="C731" s="16" t="s">
        <v>24</v>
      </c>
      <c r="D731" s="107">
        <v>30</v>
      </c>
      <c r="E731" s="18"/>
      <c r="F731" s="25">
        <f t="shared" si="83"/>
        <v>0</v>
      </c>
      <c r="G731" s="6"/>
      <c r="H731" s="6"/>
      <c r="I731" s="6"/>
      <c r="J731" s="37"/>
      <c r="K731" s="22"/>
    </row>
    <row r="732" spans="1:11" hidden="1" outlineLevel="1" x14ac:dyDescent="0.25">
      <c r="A732" s="36"/>
      <c r="B732" s="37" t="s">
        <v>688</v>
      </c>
      <c r="C732" s="16" t="s">
        <v>24</v>
      </c>
      <c r="D732" s="107">
        <v>50</v>
      </c>
      <c r="E732" s="18"/>
      <c r="F732" s="25">
        <f>E732*D733</f>
        <v>0</v>
      </c>
      <c r="G732" s="6"/>
      <c r="H732" s="6"/>
      <c r="I732" s="6"/>
      <c r="J732" s="37" t="str">
        <f t="shared" si="82"/>
        <v>Se envolver SFA Web digite S e expanda o critério para preencher.</v>
      </c>
      <c r="K732" s="22"/>
    </row>
    <row r="733" spans="1:11" hidden="1" outlineLevel="1" x14ac:dyDescent="0.25">
      <c r="A733" s="36"/>
      <c r="B733" s="37" t="s">
        <v>689</v>
      </c>
      <c r="C733" s="16" t="s">
        <v>18</v>
      </c>
      <c r="D733" s="102">
        <v>10</v>
      </c>
      <c r="E733" s="18"/>
      <c r="F733" s="25">
        <f t="shared" ref="F733:F734" si="84">IF(E733="S",D733,0)</f>
        <v>0</v>
      </c>
      <c r="G733" s="6"/>
      <c r="H733" s="6"/>
      <c r="I733" s="6"/>
      <c r="J733" s="37" t="str">
        <f t="shared" si="82"/>
        <v>Se envolver SFA Web digite S e expanda o critério para preencher.</v>
      </c>
      <c r="K733" s="22"/>
    </row>
    <row r="734" spans="1:11" collapsed="1" x14ac:dyDescent="0.25">
      <c r="B734" s="15" t="s">
        <v>673</v>
      </c>
      <c r="C734" s="16" t="s">
        <v>18</v>
      </c>
      <c r="D734" s="106">
        <f>SUM(F718:F733)</f>
        <v>0</v>
      </c>
      <c r="E734" s="18"/>
      <c r="F734" s="25">
        <f t="shared" si="84"/>
        <v>0</v>
      </c>
      <c r="G734" s="6"/>
      <c r="H734" s="6"/>
      <c r="I734" s="6"/>
      <c r="J734" s="37" t="str">
        <f>IF(E734="S","Abrir o sub item do critério SAP para o preenchimento dos campos.","Se envolver SAP, digite S e expanda o critério para preencher.")</f>
        <v>Se envolver SAP, digite S e expanda o critério para preencher.</v>
      </c>
      <c r="K734" s="22"/>
    </row>
    <row r="735" spans="1:11" hidden="1" outlineLevel="1" x14ac:dyDescent="0.25">
      <c r="A735" s="29"/>
      <c r="B735" s="26" t="s">
        <v>690</v>
      </c>
      <c r="C735" s="26"/>
      <c r="D735" s="27"/>
      <c r="E735" s="27"/>
      <c r="F735" s="27"/>
      <c r="G735" s="27"/>
      <c r="H735" s="27"/>
      <c r="I735" s="27"/>
      <c r="J735" s="26"/>
      <c r="K735" s="22"/>
    </row>
    <row r="736" spans="1:11" hidden="1" outlineLevel="1" x14ac:dyDescent="0.25">
      <c r="A736" s="36"/>
      <c r="B736" s="108" t="s">
        <v>691</v>
      </c>
      <c r="C736" s="16"/>
      <c r="D736" s="102"/>
      <c r="E736" s="18"/>
      <c r="F736" s="25"/>
      <c r="G736" s="6"/>
      <c r="H736" s="6"/>
      <c r="I736" s="6"/>
      <c r="J736" s="99"/>
      <c r="K736" s="22"/>
    </row>
    <row r="737" spans="1:11" hidden="1" outlineLevel="1" x14ac:dyDescent="0.25">
      <c r="A737" s="36"/>
      <c r="B737" s="37" t="s">
        <v>692</v>
      </c>
      <c r="C737" s="16" t="s">
        <v>24</v>
      </c>
      <c r="D737" s="102">
        <v>12</v>
      </c>
      <c r="E737" s="18"/>
      <c r="F737" s="25">
        <f>D737*E737</f>
        <v>0</v>
      </c>
      <c r="G737" s="6"/>
      <c r="H737" s="6"/>
      <c r="I737" s="6"/>
      <c r="J737" s="99" t="s">
        <v>693</v>
      </c>
      <c r="K737" s="22"/>
    </row>
    <row r="738" spans="1:11" hidden="1" outlineLevel="1" x14ac:dyDescent="0.25">
      <c r="A738" s="36"/>
      <c r="B738" s="37" t="s">
        <v>694</v>
      </c>
      <c r="C738" s="16" t="s">
        <v>24</v>
      </c>
      <c r="D738" s="102">
        <v>0</v>
      </c>
      <c r="E738" s="18"/>
      <c r="F738" s="25">
        <f>D738*E738</f>
        <v>0</v>
      </c>
      <c r="G738" s="6"/>
      <c r="H738" s="6"/>
      <c r="I738" s="6"/>
      <c r="J738" s="99" t="s">
        <v>695</v>
      </c>
      <c r="K738" s="22"/>
    </row>
    <row r="739" spans="1:11" hidden="1" outlineLevel="1" x14ac:dyDescent="0.25">
      <c r="A739" s="36"/>
      <c r="B739" s="37" t="s">
        <v>434</v>
      </c>
      <c r="C739" s="16" t="s">
        <v>24</v>
      </c>
      <c r="D739" s="102">
        <v>0</v>
      </c>
      <c r="E739" s="18"/>
      <c r="F739" s="25">
        <f>D739*E739</f>
        <v>0</v>
      </c>
      <c r="G739" s="6"/>
      <c r="H739" s="6"/>
      <c r="I739" s="6"/>
      <c r="J739" s="99" t="s">
        <v>696</v>
      </c>
      <c r="K739" s="22"/>
    </row>
    <row r="740" spans="1:11" hidden="1" outlineLevel="1" x14ac:dyDescent="0.25">
      <c r="A740" s="36"/>
      <c r="B740" s="37" t="s">
        <v>697</v>
      </c>
      <c r="C740" s="16" t="s">
        <v>24</v>
      </c>
      <c r="D740" s="102">
        <v>0</v>
      </c>
      <c r="E740" s="18"/>
      <c r="F740" s="25">
        <f>D740*E740</f>
        <v>0</v>
      </c>
      <c r="G740" s="6"/>
      <c r="H740" s="6"/>
      <c r="I740" s="6"/>
      <c r="J740" s="99" t="s">
        <v>698</v>
      </c>
      <c r="K740" s="22"/>
    </row>
    <row r="741" spans="1:11" hidden="1" outlineLevel="1" x14ac:dyDescent="0.25">
      <c r="A741" s="36"/>
      <c r="B741" s="37" t="s">
        <v>699</v>
      </c>
      <c r="C741" s="16" t="s">
        <v>18</v>
      </c>
      <c r="D741" s="102">
        <v>30</v>
      </c>
      <c r="E741" s="18"/>
      <c r="F741" s="25">
        <f t="shared" ref="F741" si="85">IF(E741="S",D741,0)</f>
        <v>0</v>
      </c>
      <c r="G741" s="6"/>
      <c r="H741" s="6"/>
      <c r="I741" s="6"/>
      <c r="J741" s="99" t="s">
        <v>700</v>
      </c>
      <c r="K741" s="22"/>
    </row>
    <row r="742" spans="1:11" hidden="1" outlineLevel="1" x14ac:dyDescent="0.25">
      <c r="A742" s="36"/>
      <c r="B742" s="108" t="s">
        <v>701</v>
      </c>
      <c r="C742" s="16"/>
      <c r="D742" s="109"/>
      <c r="E742" s="18"/>
      <c r="F742" s="25"/>
      <c r="G742" s="110"/>
      <c r="H742" s="110"/>
      <c r="I742" s="110"/>
      <c r="J742" s="111"/>
      <c r="K742" s="22"/>
    </row>
    <row r="743" spans="1:11" hidden="1" outlineLevel="1" x14ac:dyDescent="0.25">
      <c r="A743" s="36"/>
      <c r="B743" s="37" t="s">
        <v>702</v>
      </c>
      <c r="C743" s="16" t="s">
        <v>24</v>
      </c>
      <c r="D743" s="102">
        <v>8</v>
      </c>
      <c r="E743" s="18"/>
      <c r="F743" s="25">
        <f>(D743*E743)</f>
        <v>0</v>
      </c>
      <c r="G743" s="110"/>
      <c r="H743" s="110"/>
      <c r="I743" s="110"/>
      <c r="J743" s="111" t="s">
        <v>703</v>
      </c>
      <c r="K743" s="22"/>
    </row>
    <row r="744" spans="1:11" hidden="1" outlineLevel="1" x14ac:dyDescent="0.25">
      <c r="A744" s="36"/>
      <c r="B744" s="37" t="s">
        <v>704</v>
      </c>
      <c r="C744" s="16" t="s">
        <v>24</v>
      </c>
      <c r="D744" s="102">
        <v>1</v>
      </c>
      <c r="E744" s="18"/>
      <c r="F744" s="25">
        <f>(D744*E744)</f>
        <v>0</v>
      </c>
      <c r="G744" s="110"/>
      <c r="H744" s="110"/>
      <c r="I744" s="110"/>
      <c r="J744" s="111" t="s">
        <v>705</v>
      </c>
      <c r="K744" s="22"/>
    </row>
    <row r="745" spans="1:11" hidden="1" outlineLevel="1" x14ac:dyDescent="0.25">
      <c r="A745" s="36"/>
      <c r="B745" s="37" t="s">
        <v>706</v>
      </c>
      <c r="C745" s="16" t="s">
        <v>24</v>
      </c>
      <c r="D745" s="102">
        <v>10</v>
      </c>
      <c r="E745" s="18"/>
      <c r="F745" s="25">
        <f>(D745*E745)</f>
        <v>0</v>
      </c>
      <c r="G745" s="110"/>
      <c r="H745" s="110"/>
      <c r="I745" s="110"/>
      <c r="J745" s="111" t="s">
        <v>707</v>
      </c>
      <c r="K745" s="22"/>
    </row>
    <row r="746" spans="1:11" collapsed="1" x14ac:dyDescent="0.25">
      <c r="B746" s="15" t="s">
        <v>690</v>
      </c>
      <c r="C746" s="16" t="s">
        <v>18</v>
      </c>
      <c r="D746" s="106">
        <f>SUM(F736:F745)</f>
        <v>0</v>
      </c>
      <c r="E746" s="18"/>
      <c r="F746" s="25">
        <f>IF(E746="S",D746,0)</f>
        <v>0</v>
      </c>
      <c r="G746" s="6"/>
      <c r="H746" s="6"/>
      <c r="I746" s="6"/>
      <c r="J746" s="37" t="str">
        <f>IF(E746="S","Abrir o sub item do critério Inventário de Rede para o preenchimento dos campos.","Se envolver Inventário de Rede, digite S e expanda o critério para preencher.")</f>
        <v>Se envolver Inventário de Rede, digite S e expanda o critério para preencher.</v>
      </c>
      <c r="K746" s="22"/>
    </row>
    <row r="747" spans="1:11" hidden="1" outlineLevel="1" x14ac:dyDescent="0.25">
      <c r="A747" s="29"/>
      <c r="B747" s="26" t="s">
        <v>708</v>
      </c>
      <c r="C747" s="26"/>
      <c r="D747" s="27"/>
      <c r="E747" s="27"/>
      <c r="F747" s="27"/>
      <c r="G747" s="27"/>
      <c r="H747" s="27"/>
      <c r="I747" s="27"/>
      <c r="J747" s="26"/>
      <c r="K747" s="22"/>
    </row>
    <row r="748" spans="1:11" hidden="1" outlineLevel="1" x14ac:dyDescent="0.25">
      <c r="A748" s="36"/>
      <c r="B748" s="112" t="s">
        <v>709</v>
      </c>
      <c r="C748" s="112"/>
      <c r="D748" s="113"/>
      <c r="E748" s="113"/>
      <c r="F748" s="114"/>
      <c r="G748" s="115"/>
      <c r="H748" s="115"/>
      <c r="I748" s="115"/>
      <c r="J748" s="37" t="str">
        <f>IF(E748="S","Abrir o sub item do critério OSS Aprovisionamento para o preenchimento dos campos.","Se envolver OSS Aprovisionamento digite S e expanda o critério para preencher.")</f>
        <v>Se envolver OSS Aprovisionamento digite S e expanda o critério para preencher.</v>
      </c>
      <c r="K748" s="22"/>
    </row>
    <row r="749" spans="1:11" hidden="1" outlineLevel="1" x14ac:dyDescent="0.25">
      <c r="A749" s="36"/>
      <c r="B749" s="116" t="s">
        <v>710</v>
      </c>
      <c r="C749" s="49" t="s">
        <v>24</v>
      </c>
      <c r="D749" s="117">
        <f>40*1.2*102/1000</f>
        <v>4.8959999999999999</v>
      </c>
      <c r="E749" s="18"/>
      <c r="F749" s="117">
        <f>D749*E749</f>
        <v>0</v>
      </c>
      <c r="G749" s="115"/>
      <c r="H749" s="115"/>
      <c r="I749" s="115"/>
      <c r="J749" s="99" t="s">
        <v>711</v>
      </c>
      <c r="K749" s="22"/>
    </row>
    <row r="750" spans="1:11" hidden="1" outlineLevel="1" x14ac:dyDescent="0.25">
      <c r="A750" s="36"/>
      <c r="B750" s="116" t="s">
        <v>712</v>
      </c>
      <c r="C750" s="49" t="s">
        <v>24</v>
      </c>
      <c r="D750" s="117">
        <f>80*1.2*102/1000</f>
        <v>9.7919999999999998</v>
      </c>
      <c r="E750" s="18"/>
      <c r="F750" s="117">
        <f>D750*E750</f>
        <v>0</v>
      </c>
      <c r="G750" s="115"/>
      <c r="H750" s="115"/>
      <c r="I750" s="115"/>
      <c r="J750" s="99"/>
      <c r="K750" s="22"/>
    </row>
    <row r="751" spans="1:11" hidden="1" outlineLevel="1" x14ac:dyDescent="0.25">
      <c r="A751" s="36"/>
      <c r="B751" s="116" t="s">
        <v>713</v>
      </c>
      <c r="C751" s="49" t="s">
        <v>24</v>
      </c>
      <c r="D751" s="117">
        <f>130*1.2*102/1000</f>
        <v>15.912000000000001</v>
      </c>
      <c r="E751" s="18"/>
      <c r="F751" s="117">
        <f t="shared" ref="F751:F771" si="86">D751*E751</f>
        <v>0</v>
      </c>
      <c r="G751" s="115"/>
      <c r="H751" s="115"/>
      <c r="I751" s="115"/>
      <c r="J751" s="99"/>
      <c r="K751" s="22"/>
    </row>
    <row r="752" spans="1:11" hidden="1" outlineLevel="1" x14ac:dyDescent="0.25">
      <c r="A752" s="36"/>
      <c r="B752" s="116" t="s">
        <v>714</v>
      </c>
      <c r="C752" s="49" t="s">
        <v>24</v>
      </c>
      <c r="D752" s="117">
        <f>40*1.2*102/1000</f>
        <v>4.8959999999999999</v>
      </c>
      <c r="E752" s="18"/>
      <c r="F752" s="117">
        <f t="shared" si="86"/>
        <v>0</v>
      </c>
      <c r="G752" s="115"/>
      <c r="H752" s="115"/>
      <c r="I752" s="115"/>
      <c r="J752" s="99"/>
      <c r="K752" s="22"/>
    </row>
    <row r="753" spans="1:11" hidden="1" outlineLevel="1" x14ac:dyDescent="0.25">
      <c r="A753" s="36"/>
      <c r="B753" s="116" t="s">
        <v>715</v>
      </c>
      <c r="C753" s="49" t="s">
        <v>24</v>
      </c>
      <c r="D753" s="117">
        <f>70*1.2*102/1000</f>
        <v>8.5679999999999996</v>
      </c>
      <c r="E753" s="18"/>
      <c r="F753" s="117">
        <f t="shared" si="86"/>
        <v>0</v>
      </c>
      <c r="G753" s="115"/>
      <c r="H753" s="115"/>
      <c r="I753" s="115"/>
      <c r="J753" s="99"/>
      <c r="K753" s="22"/>
    </row>
    <row r="754" spans="1:11" hidden="1" outlineLevel="1" x14ac:dyDescent="0.25">
      <c r="A754" s="36"/>
      <c r="B754" s="116" t="s">
        <v>716</v>
      </c>
      <c r="C754" s="49" t="s">
        <v>24</v>
      </c>
      <c r="D754" s="117">
        <f>120*1.2*102/1000</f>
        <v>14.688000000000001</v>
      </c>
      <c r="E754" s="18"/>
      <c r="F754" s="117">
        <f t="shared" si="86"/>
        <v>0</v>
      </c>
      <c r="G754" s="115"/>
      <c r="H754" s="115"/>
      <c r="I754" s="115"/>
      <c r="J754" s="99"/>
      <c r="K754" s="22"/>
    </row>
    <row r="755" spans="1:11" ht="30" hidden="1" outlineLevel="1" x14ac:dyDescent="0.25">
      <c r="A755" s="36"/>
      <c r="B755" s="116" t="s">
        <v>717</v>
      </c>
      <c r="C755" s="49" t="s">
        <v>24</v>
      </c>
      <c r="D755" s="117">
        <f>20*1.2*102/1000</f>
        <v>2.448</v>
      </c>
      <c r="E755" s="18"/>
      <c r="F755" s="117">
        <v>0</v>
      </c>
      <c r="G755" s="115"/>
      <c r="H755" s="115"/>
      <c r="I755" s="115"/>
      <c r="J755" s="99"/>
      <c r="K755" s="22"/>
    </row>
    <row r="756" spans="1:11" hidden="1" outlineLevel="1" x14ac:dyDescent="0.25">
      <c r="A756" s="36"/>
      <c r="B756" s="116" t="s">
        <v>718</v>
      </c>
      <c r="C756" s="49" t="s">
        <v>24</v>
      </c>
      <c r="D756" s="117">
        <f>30*1.2*102/1000</f>
        <v>3.6720000000000002</v>
      </c>
      <c r="E756" s="18"/>
      <c r="F756" s="117">
        <v>0</v>
      </c>
      <c r="G756" s="115"/>
      <c r="H756" s="115"/>
      <c r="I756" s="115"/>
      <c r="J756" s="99"/>
      <c r="K756" s="22"/>
    </row>
    <row r="757" spans="1:11" ht="30" hidden="1" outlineLevel="1" x14ac:dyDescent="0.25">
      <c r="A757" s="36"/>
      <c r="B757" s="116" t="s">
        <v>719</v>
      </c>
      <c r="C757" s="49" t="s">
        <v>24</v>
      </c>
      <c r="D757" s="117">
        <f>40*1.2*102/1000</f>
        <v>4.8959999999999999</v>
      </c>
      <c r="E757" s="18"/>
      <c r="F757" s="117">
        <f t="shared" si="86"/>
        <v>0</v>
      </c>
      <c r="G757" s="115"/>
      <c r="H757" s="115"/>
      <c r="I757" s="115"/>
      <c r="J757" s="99"/>
      <c r="K757" s="22"/>
    </row>
    <row r="758" spans="1:11" hidden="1" outlineLevel="1" x14ac:dyDescent="0.25">
      <c r="A758" s="36"/>
      <c r="B758" s="116" t="s">
        <v>720</v>
      </c>
      <c r="C758" s="49" t="s">
        <v>24</v>
      </c>
      <c r="D758" s="117">
        <f>60*1.2*102/1000</f>
        <v>7.3440000000000003</v>
      </c>
      <c r="E758" s="18"/>
      <c r="F758" s="117">
        <f t="shared" si="86"/>
        <v>0</v>
      </c>
      <c r="G758" s="115"/>
      <c r="H758" s="115"/>
      <c r="I758" s="115"/>
      <c r="J758" s="99"/>
      <c r="K758" s="22"/>
    </row>
    <row r="759" spans="1:11" ht="30" hidden="1" outlineLevel="1" x14ac:dyDescent="0.25">
      <c r="A759" s="36"/>
      <c r="B759" s="116" t="s">
        <v>721</v>
      </c>
      <c r="C759" s="49" t="s">
        <v>24</v>
      </c>
      <c r="D759" s="117">
        <f>60*1.2*102/1000</f>
        <v>7.3440000000000003</v>
      </c>
      <c r="E759" s="18"/>
      <c r="F759" s="117">
        <f t="shared" si="86"/>
        <v>0</v>
      </c>
      <c r="G759" s="115"/>
      <c r="H759" s="115"/>
      <c r="I759" s="115"/>
      <c r="J759" s="99"/>
      <c r="K759" s="22"/>
    </row>
    <row r="760" spans="1:11" hidden="1" outlineLevel="1" x14ac:dyDescent="0.25">
      <c r="A760" s="36"/>
      <c r="B760" s="116" t="s">
        <v>722</v>
      </c>
      <c r="C760" s="49" t="s">
        <v>24</v>
      </c>
      <c r="D760" s="117">
        <f>80*1.2*102/1000</f>
        <v>9.7919999999999998</v>
      </c>
      <c r="E760" s="18"/>
      <c r="F760" s="117">
        <f t="shared" si="86"/>
        <v>0</v>
      </c>
      <c r="G760" s="115"/>
      <c r="H760" s="115"/>
      <c r="I760" s="115"/>
      <c r="J760" s="99"/>
      <c r="K760" s="22"/>
    </row>
    <row r="761" spans="1:11" hidden="1" outlineLevel="1" x14ac:dyDescent="0.25">
      <c r="A761" s="36"/>
      <c r="B761" s="116" t="s">
        <v>723</v>
      </c>
      <c r="C761" s="49" t="s">
        <v>24</v>
      </c>
      <c r="D761" s="117">
        <f>10*1.2*102/1000</f>
        <v>1.224</v>
      </c>
      <c r="E761" s="18"/>
      <c r="F761" s="117">
        <f t="shared" si="86"/>
        <v>0</v>
      </c>
      <c r="G761" s="115"/>
      <c r="H761" s="115"/>
      <c r="I761" s="115"/>
      <c r="J761" s="99"/>
      <c r="K761" s="22"/>
    </row>
    <row r="762" spans="1:11" hidden="1" outlineLevel="1" x14ac:dyDescent="0.25">
      <c r="A762" s="36"/>
      <c r="B762" s="116" t="s">
        <v>724</v>
      </c>
      <c r="C762" s="49" t="s">
        <v>24</v>
      </c>
      <c r="D762" s="117">
        <f>25*1.2*102/1000</f>
        <v>3.06</v>
      </c>
      <c r="E762" s="18"/>
      <c r="F762" s="117">
        <f t="shared" si="86"/>
        <v>0</v>
      </c>
      <c r="G762" s="115"/>
      <c r="H762" s="115"/>
      <c r="I762" s="115"/>
      <c r="J762" s="99"/>
      <c r="K762" s="22"/>
    </row>
    <row r="763" spans="1:11" hidden="1" outlineLevel="1" x14ac:dyDescent="0.25">
      <c r="A763" s="36"/>
      <c r="B763" s="116" t="s">
        <v>725</v>
      </c>
      <c r="C763" s="49" t="s">
        <v>24</v>
      </c>
      <c r="D763" s="117">
        <f>60*1.2*102/1000</f>
        <v>7.3440000000000003</v>
      </c>
      <c r="E763" s="18"/>
      <c r="F763" s="117">
        <f t="shared" si="86"/>
        <v>0</v>
      </c>
      <c r="G763" s="115"/>
      <c r="H763" s="115"/>
      <c r="I763" s="115"/>
      <c r="J763" s="99"/>
      <c r="K763" s="22"/>
    </row>
    <row r="764" spans="1:11" hidden="1" outlineLevel="1" x14ac:dyDescent="0.25">
      <c r="A764" s="36"/>
      <c r="B764" s="116" t="s">
        <v>726</v>
      </c>
      <c r="C764" s="49" t="s">
        <v>24</v>
      </c>
      <c r="D764" s="117">
        <f>100*1.2*102/1000</f>
        <v>12.24</v>
      </c>
      <c r="E764" s="18"/>
      <c r="F764" s="117">
        <f t="shared" si="86"/>
        <v>0</v>
      </c>
      <c r="G764" s="115"/>
      <c r="H764" s="115"/>
      <c r="I764" s="115"/>
      <c r="J764" s="99"/>
      <c r="K764" s="22"/>
    </row>
    <row r="765" spans="1:11" hidden="1" outlineLevel="1" x14ac:dyDescent="0.25">
      <c r="A765" s="36"/>
      <c r="B765" s="116" t="s">
        <v>727</v>
      </c>
      <c r="C765" s="49" t="s">
        <v>24</v>
      </c>
      <c r="D765" s="117">
        <f>150*1.2*102/1000</f>
        <v>18.36</v>
      </c>
      <c r="E765" s="18"/>
      <c r="F765" s="117">
        <f t="shared" si="86"/>
        <v>0</v>
      </c>
      <c r="G765" s="115"/>
      <c r="H765" s="115"/>
      <c r="I765" s="115"/>
      <c r="J765" s="99"/>
      <c r="K765" s="22"/>
    </row>
    <row r="766" spans="1:11" hidden="1" outlineLevel="1" x14ac:dyDescent="0.25">
      <c r="A766" s="36"/>
      <c r="B766" s="116" t="s">
        <v>728</v>
      </c>
      <c r="C766" s="49" t="s">
        <v>24</v>
      </c>
      <c r="D766" s="117">
        <f>200*1.2*102/1000</f>
        <v>24.48</v>
      </c>
      <c r="E766" s="18"/>
      <c r="F766" s="117">
        <f t="shared" si="86"/>
        <v>0</v>
      </c>
      <c r="G766" s="115"/>
      <c r="H766" s="115"/>
      <c r="I766" s="115"/>
      <c r="J766" s="99"/>
      <c r="K766" s="22"/>
    </row>
    <row r="767" spans="1:11" hidden="1" outlineLevel="1" x14ac:dyDescent="0.25">
      <c r="A767" s="36"/>
      <c r="B767" s="116" t="s">
        <v>729</v>
      </c>
      <c r="C767" s="49" t="s">
        <v>24</v>
      </c>
      <c r="D767" s="117">
        <f>20*1.2*102/1000</f>
        <v>2.448</v>
      </c>
      <c r="E767" s="18"/>
      <c r="F767" s="117">
        <f t="shared" si="86"/>
        <v>0</v>
      </c>
      <c r="G767" s="115"/>
      <c r="H767" s="115"/>
      <c r="I767" s="115"/>
      <c r="J767" s="99"/>
      <c r="K767" s="22"/>
    </row>
    <row r="768" spans="1:11" hidden="1" outlineLevel="1" x14ac:dyDescent="0.25">
      <c r="A768" s="36"/>
      <c r="B768" s="116" t="s">
        <v>730</v>
      </c>
      <c r="C768" s="49" t="s">
        <v>24</v>
      </c>
      <c r="D768" s="117">
        <f>10*1.2*102/1000</f>
        <v>1.224</v>
      </c>
      <c r="E768" s="18"/>
      <c r="F768" s="117">
        <f t="shared" si="86"/>
        <v>0</v>
      </c>
      <c r="G768" s="115"/>
      <c r="H768" s="115"/>
      <c r="I768" s="115"/>
      <c r="J768" s="99"/>
      <c r="K768" s="22"/>
    </row>
    <row r="769" spans="1:11" hidden="1" outlineLevel="1" x14ac:dyDescent="0.25">
      <c r="A769" s="36"/>
      <c r="B769" s="116" t="s">
        <v>731</v>
      </c>
      <c r="C769" s="49" t="s">
        <v>24</v>
      </c>
      <c r="D769" s="117">
        <f>5*1.2*102/1000</f>
        <v>0.61199999999999999</v>
      </c>
      <c r="E769" s="18"/>
      <c r="F769" s="117">
        <f t="shared" si="86"/>
        <v>0</v>
      </c>
      <c r="G769" s="115"/>
      <c r="H769" s="115"/>
      <c r="I769" s="115"/>
      <c r="J769" s="99"/>
      <c r="K769" s="22"/>
    </row>
    <row r="770" spans="1:11" hidden="1" outlineLevel="1" x14ac:dyDescent="0.25">
      <c r="A770" s="36"/>
      <c r="B770" s="116" t="s">
        <v>732</v>
      </c>
      <c r="C770" s="49" t="s">
        <v>24</v>
      </c>
      <c r="D770" s="117">
        <f>5*1.2*102/1000</f>
        <v>0.61199999999999999</v>
      </c>
      <c r="E770" s="18"/>
      <c r="F770" s="117">
        <f t="shared" si="86"/>
        <v>0</v>
      </c>
      <c r="G770" s="115"/>
      <c r="H770" s="115"/>
      <c r="I770" s="115"/>
      <c r="J770" s="99"/>
      <c r="K770" s="22"/>
    </row>
    <row r="771" spans="1:11" hidden="1" outlineLevel="1" x14ac:dyDescent="0.25">
      <c r="A771" s="36"/>
      <c r="B771" s="116" t="s">
        <v>733</v>
      </c>
      <c r="C771" s="49" t="s">
        <v>24</v>
      </c>
      <c r="D771" s="117">
        <f>2*102/1000</f>
        <v>0.20399999999999999</v>
      </c>
      <c r="E771" s="18"/>
      <c r="F771" s="117">
        <f t="shared" si="86"/>
        <v>0</v>
      </c>
      <c r="G771" s="115"/>
      <c r="H771" s="115"/>
      <c r="I771" s="115"/>
      <c r="J771" s="99"/>
      <c r="K771" s="22"/>
    </row>
    <row r="772" spans="1:11" ht="30" hidden="1" outlineLevel="1" x14ac:dyDescent="0.25">
      <c r="A772" s="36"/>
      <c r="B772" s="112" t="s">
        <v>734</v>
      </c>
      <c r="C772" s="112"/>
      <c r="D772" s="113"/>
      <c r="E772" s="113"/>
      <c r="F772" s="113"/>
      <c r="G772" s="115"/>
      <c r="H772" s="115"/>
      <c r="I772" s="115"/>
      <c r="J772" s="99"/>
      <c r="K772" s="22"/>
    </row>
    <row r="773" spans="1:11" hidden="1" outlineLevel="1" x14ac:dyDescent="0.25">
      <c r="A773" s="36"/>
      <c r="B773" s="116" t="s">
        <v>735</v>
      </c>
      <c r="C773" s="49" t="s">
        <v>24</v>
      </c>
      <c r="D773" s="117">
        <f>20*1.2*102/1000</f>
        <v>2.448</v>
      </c>
      <c r="E773" s="18"/>
      <c r="F773" s="117">
        <f t="shared" ref="F773:F777" si="87">D773*E773</f>
        <v>0</v>
      </c>
      <c r="G773" s="115"/>
      <c r="H773" s="115"/>
      <c r="I773" s="115"/>
      <c r="J773" s="99"/>
      <c r="K773" s="22"/>
    </row>
    <row r="774" spans="1:11" hidden="1" outlineLevel="1" x14ac:dyDescent="0.25">
      <c r="A774" s="36"/>
      <c r="B774" s="116" t="s">
        <v>736</v>
      </c>
      <c r="C774" s="49" t="s">
        <v>24</v>
      </c>
      <c r="D774" s="117">
        <f>60*1.2*102/1000</f>
        <v>7.3440000000000003</v>
      </c>
      <c r="E774" s="18"/>
      <c r="F774" s="117">
        <f t="shared" si="87"/>
        <v>0</v>
      </c>
      <c r="G774" s="115"/>
      <c r="H774" s="115"/>
      <c r="I774" s="115"/>
      <c r="J774" s="99"/>
      <c r="K774" s="22"/>
    </row>
    <row r="775" spans="1:11" hidden="1" outlineLevel="1" x14ac:dyDescent="0.25">
      <c r="A775" s="36"/>
      <c r="B775" s="116" t="s">
        <v>737</v>
      </c>
      <c r="C775" s="49" t="s">
        <v>24</v>
      </c>
      <c r="D775" s="117">
        <f>80*1.2*102/1000</f>
        <v>9.7919999999999998</v>
      </c>
      <c r="E775" s="18"/>
      <c r="F775" s="117">
        <f t="shared" si="87"/>
        <v>0</v>
      </c>
      <c r="G775" s="115"/>
      <c r="H775" s="115"/>
      <c r="I775" s="115"/>
      <c r="J775" s="99"/>
      <c r="K775" s="22"/>
    </row>
    <row r="776" spans="1:11" hidden="1" outlineLevel="1" x14ac:dyDescent="0.25">
      <c r="A776" s="36"/>
      <c r="B776" s="116" t="s">
        <v>738</v>
      </c>
      <c r="C776" s="49" t="s">
        <v>24</v>
      </c>
      <c r="D776" s="117">
        <f>100*1.2*102/1000</f>
        <v>12.24</v>
      </c>
      <c r="E776" s="18"/>
      <c r="F776" s="117">
        <f t="shared" si="87"/>
        <v>0</v>
      </c>
      <c r="G776" s="115"/>
      <c r="H776" s="115"/>
      <c r="I776" s="115"/>
      <c r="J776" s="99"/>
      <c r="K776" s="22"/>
    </row>
    <row r="777" spans="1:11" hidden="1" outlineLevel="1" x14ac:dyDescent="0.25">
      <c r="A777" s="36"/>
      <c r="B777" s="116" t="s">
        <v>729</v>
      </c>
      <c r="C777" s="49" t="s">
        <v>24</v>
      </c>
      <c r="D777" s="117">
        <f>16*1.2*102/1000</f>
        <v>1.9583999999999999</v>
      </c>
      <c r="E777" s="18"/>
      <c r="F777" s="117">
        <f t="shared" si="87"/>
        <v>0</v>
      </c>
      <c r="G777" s="115"/>
      <c r="H777" s="115"/>
      <c r="I777" s="115"/>
      <c r="J777" s="99"/>
      <c r="K777" s="22"/>
    </row>
    <row r="778" spans="1:11" hidden="1" outlineLevel="1" x14ac:dyDescent="0.25">
      <c r="A778" s="36"/>
      <c r="B778" s="112" t="s">
        <v>739</v>
      </c>
      <c r="C778" s="112"/>
      <c r="D778" s="113"/>
      <c r="E778" s="113"/>
      <c r="F778" s="113"/>
      <c r="G778" s="115"/>
      <c r="H778" s="115"/>
      <c r="I778" s="115"/>
      <c r="J778" s="99"/>
      <c r="K778" s="22"/>
    </row>
    <row r="779" spans="1:11" hidden="1" outlineLevel="1" x14ac:dyDescent="0.25">
      <c r="A779" s="36"/>
      <c r="B779" s="116" t="s">
        <v>740</v>
      </c>
      <c r="C779" s="49" t="s">
        <v>24</v>
      </c>
      <c r="D779" s="117">
        <f>10*1.2*102/1000</f>
        <v>1.224</v>
      </c>
      <c r="E779" s="18"/>
      <c r="F779" s="117">
        <f t="shared" ref="F779:F780" si="88">D779*E779</f>
        <v>0</v>
      </c>
      <c r="G779" s="115"/>
      <c r="H779" s="115"/>
      <c r="I779" s="115"/>
      <c r="J779" s="99"/>
      <c r="K779" s="22"/>
    </row>
    <row r="780" spans="1:11" hidden="1" outlineLevel="1" x14ac:dyDescent="0.25">
      <c r="A780" s="36"/>
      <c r="B780" s="116" t="s">
        <v>741</v>
      </c>
      <c r="C780" s="49" t="s">
        <v>24</v>
      </c>
      <c r="D780" s="117">
        <f>(20+10+5+5)*1.2*102/1000</f>
        <v>4.8959999999999999</v>
      </c>
      <c r="E780" s="18"/>
      <c r="F780" s="117">
        <f t="shared" si="88"/>
        <v>0</v>
      </c>
      <c r="G780" s="115"/>
      <c r="H780" s="115"/>
      <c r="I780" s="115"/>
      <c r="J780" s="99"/>
      <c r="K780" s="22"/>
    </row>
    <row r="781" spans="1:11" hidden="1" outlineLevel="1" x14ac:dyDescent="0.25">
      <c r="A781" s="36"/>
      <c r="B781" s="112" t="s">
        <v>742</v>
      </c>
      <c r="C781" s="112"/>
      <c r="D781" s="113"/>
      <c r="E781" s="113"/>
      <c r="F781" s="113"/>
      <c r="G781" s="115"/>
      <c r="H781" s="115"/>
      <c r="I781" s="115"/>
      <c r="J781" s="99"/>
      <c r="K781" s="22"/>
    </row>
    <row r="782" spans="1:11" hidden="1" outlineLevel="1" x14ac:dyDescent="0.25">
      <c r="A782" s="36"/>
      <c r="B782" s="116" t="s">
        <v>743</v>
      </c>
      <c r="C782" s="49" t="s">
        <v>24</v>
      </c>
      <c r="D782" s="117">
        <v>2</v>
      </c>
      <c r="E782" s="18"/>
      <c r="F782" s="118">
        <f>(D782*E782)</f>
        <v>0</v>
      </c>
      <c r="G782" s="115"/>
      <c r="H782" s="115"/>
      <c r="I782" s="115"/>
      <c r="J782" s="99"/>
      <c r="K782" s="22"/>
    </row>
    <row r="783" spans="1:11" hidden="1" outlineLevel="1" x14ac:dyDescent="0.25">
      <c r="A783" s="36"/>
      <c r="B783" s="116" t="s">
        <v>744</v>
      </c>
      <c r="C783" s="49" t="s">
        <v>24</v>
      </c>
      <c r="D783" s="117">
        <v>16</v>
      </c>
      <c r="E783" s="18"/>
      <c r="F783" s="118">
        <f>(D783*E783)</f>
        <v>0</v>
      </c>
      <c r="G783" s="115"/>
      <c r="H783" s="115"/>
      <c r="I783" s="115"/>
      <c r="J783" s="99"/>
      <c r="K783" s="22"/>
    </row>
    <row r="784" spans="1:11" hidden="1" outlineLevel="1" x14ac:dyDescent="0.25">
      <c r="A784" s="36"/>
      <c r="B784" s="116" t="s">
        <v>745</v>
      </c>
      <c r="C784" s="49" t="s">
        <v>24</v>
      </c>
      <c r="D784" s="118">
        <v>1</v>
      </c>
      <c r="E784" s="18"/>
      <c r="F784" s="118">
        <f t="shared" ref="F784:F801" si="89">D784*E784</f>
        <v>0</v>
      </c>
      <c r="G784" s="115"/>
      <c r="H784" s="115"/>
      <c r="I784" s="115"/>
      <c r="J784" s="99"/>
      <c r="K784" s="22"/>
    </row>
    <row r="785" spans="1:11" hidden="1" outlineLevel="1" x14ac:dyDescent="0.25">
      <c r="A785" s="36"/>
      <c r="B785" s="116" t="s">
        <v>746</v>
      </c>
      <c r="C785" s="49" t="s">
        <v>24</v>
      </c>
      <c r="D785" s="118">
        <v>2.5</v>
      </c>
      <c r="E785" s="18"/>
      <c r="F785" s="118">
        <f t="shared" si="89"/>
        <v>0</v>
      </c>
      <c r="G785" s="115"/>
      <c r="H785" s="115"/>
      <c r="I785" s="115"/>
      <c r="J785" s="99"/>
      <c r="K785" s="22"/>
    </row>
    <row r="786" spans="1:11" hidden="1" outlineLevel="1" x14ac:dyDescent="0.25">
      <c r="A786" s="36"/>
      <c r="B786" s="116" t="s">
        <v>747</v>
      </c>
      <c r="C786" s="49" t="s">
        <v>24</v>
      </c>
      <c r="D786" s="118">
        <v>4</v>
      </c>
      <c r="E786" s="18"/>
      <c r="F786" s="118">
        <f t="shared" si="89"/>
        <v>0</v>
      </c>
      <c r="G786" s="115"/>
      <c r="H786" s="115"/>
      <c r="I786" s="115"/>
      <c r="J786" s="99"/>
      <c r="K786" s="22"/>
    </row>
    <row r="787" spans="1:11" hidden="1" outlineLevel="1" x14ac:dyDescent="0.25">
      <c r="A787" s="36"/>
      <c r="B787" s="116" t="s">
        <v>726</v>
      </c>
      <c r="C787" s="49" t="s">
        <v>24</v>
      </c>
      <c r="D787" s="117">
        <f>100*1.2*102/1000</f>
        <v>12.24</v>
      </c>
      <c r="E787" s="18"/>
      <c r="F787" s="117">
        <f t="shared" si="89"/>
        <v>0</v>
      </c>
      <c r="G787" s="115"/>
      <c r="H787" s="115"/>
      <c r="I787" s="115"/>
      <c r="J787" s="99"/>
      <c r="K787" s="22"/>
    </row>
    <row r="788" spans="1:11" hidden="1" outlineLevel="1" x14ac:dyDescent="0.25">
      <c r="A788" s="36"/>
      <c r="B788" s="116" t="s">
        <v>727</v>
      </c>
      <c r="C788" s="49" t="s">
        <v>24</v>
      </c>
      <c r="D788" s="117">
        <f>150*1.2*102/1000</f>
        <v>18.36</v>
      </c>
      <c r="E788" s="18"/>
      <c r="F788" s="117">
        <f t="shared" si="89"/>
        <v>0</v>
      </c>
      <c r="G788" s="115"/>
      <c r="H788" s="115"/>
      <c r="I788" s="115"/>
      <c r="J788" s="99"/>
      <c r="K788" s="22"/>
    </row>
    <row r="789" spans="1:11" hidden="1" outlineLevel="1" x14ac:dyDescent="0.25">
      <c r="A789" s="36"/>
      <c r="B789" s="116" t="s">
        <v>728</v>
      </c>
      <c r="C789" s="49" t="s">
        <v>24</v>
      </c>
      <c r="D789" s="117">
        <f>200*1.2*102/1000</f>
        <v>24.48</v>
      </c>
      <c r="E789" s="18"/>
      <c r="F789" s="117">
        <f t="shared" si="89"/>
        <v>0</v>
      </c>
      <c r="G789" s="115"/>
      <c r="H789" s="115"/>
      <c r="I789" s="115"/>
      <c r="J789" s="99"/>
      <c r="K789" s="22"/>
    </row>
    <row r="790" spans="1:11" hidden="1" outlineLevel="1" x14ac:dyDescent="0.25">
      <c r="A790" s="36"/>
      <c r="B790" s="116" t="s">
        <v>723</v>
      </c>
      <c r="C790" s="49" t="s">
        <v>24</v>
      </c>
      <c r="D790" s="117">
        <f>10*1.2*102/1000</f>
        <v>1.224</v>
      </c>
      <c r="E790" s="18"/>
      <c r="F790" s="117">
        <f t="shared" si="89"/>
        <v>0</v>
      </c>
      <c r="G790" s="115"/>
      <c r="H790" s="115"/>
      <c r="I790" s="115"/>
      <c r="J790" s="99"/>
      <c r="K790" s="22"/>
    </row>
    <row r="791" spans="1:11" hidden="1" outlineLevel="1" x14ac:dyDescent="0.25">
      <c r="A791" s="36"/>
      <c r="B791" s="116" t="s">
        <v>724</v>
      </c>
      <c r="C791" s="49" t="s">
        <v>24</v>
      </c>
      <c r="D791" s="117">
        <f>25*1.2*102/1000</f>
        <v>3.06</v>
      </c>
      <c r="E791" s="18"/>
      <c r="F791" s="117">
        <f t="shared" si="89"/>
        <v>0</v>
      </c>
      <c r="G791" s="115"/>
      <c r="H791" s="115"/>
      <c r="I791" s="115"/>
      <c r="J791" s="99"/>
      <c r="K791" s="22"/>
    </row>
    <row r="792" spans="1:11" hidden="1" outlineLevel="1" x14ac:dyDescent="0.25">
      <c r="A792" s="36"/>
      <c r="B792" s="116" t="s">
        <v>725</v>
      </c>
      <c r="C792" s="49" t="s">
        <v>24</v>
      </c>
      <c r="D792" s="117">
        <f>60*1.2*102/1000</f>
        <v>7.3440000000000003</v>
      </c>
      <c r="E792" s="18"/>
      <c r="F792" s="117">
        <f t="shared" si="89"/>
        <v>0</v>
      </c>
      <c r="G792" s="115"/>
      <c r="H792" s="115"/>
      <c r="I792" s="115"/>
      <c r="J792" s="99"/>
      <c r="K792" s="22"/>
    </row>
    <row r="793" spans="1:11" hidden="1" outlineLevel="1" x14ac:dyDescent="0.25">
      <c r="A793" s="36"/>
      <c r="B793" s="116" t="s">
        <v>748</v>
      </c>
      <c r="C793" s="49" t="s">
        <v>24</v>
      </c>
      <c r="D793" s="118">
        <v>0.8</v>
      </c>
      <c r="E793" s="18"/>
      <c r="F793" s="118">
        <f t="shared" si="89"/>
        <v>0</v>
      </c>
      <c r="G793" s="115"/>
      <c r="H793" s="115"/>
      <c r="I793" s="115"/>
      <c r="J793" s="99" t="s">
        <v>749</v>
      </c>
      <c r="K793" s="22"/>
    </row>
    <row r="794" spans="1:11" hidden="1" outlineLevel="1" x14ac:dyDescent="0.25">
      <c r="A794" s="36"/>
      <c r="B794" s="116" t="s">
        <v>750</v>
      </c>
      <c r="C794" s="49" t="s">
        <v>24</v>
      </c>
      <c r="D794" s="118">
        <v>1.6</v>
      </c>
      <c r="E794" s="18"/>
      <c r="F794" s="118">
        <f t="shared" si="89"/>
        <v>0</v>
      </c>
      <c r="G794" s="115"/>
      <c r="H794" s="115"/>
      <c r="I794" s="115"/>
      <c r="J794" s="37"/>
      <c r="K794" s="22"/>
    </row>
    <row r="795" spans="1:11" hidden="1" outlineLevel="1" x14ac:dyDescent="0.25">
      <c r="A795" s="36"/>
      <c r="B795" s="116" t="s">
        <v>751</v>
      </c>
      <c r="C795" s="49" t="s">
        <v>24</v>
      </c>
      <c r="D795" s="118">
        <v>3.2</v>
      </c>
      <c r="E795" s="18"/>
      <c r="F795" s="118">
        <f t="shared" si="89"/>
        <v>0</v>
      </c>
      <c r="G795" s="6"/>
      <c r="H795" s="6"/>
      <c r="I795" s="6"/>
      <c r="J795" s="37"/>
      <c r="K795" s="22"/>
    </row>
    <row r="796" spans="1:11" hidden="1" outlineLevel="1" x14ac:dyDescent="0.25">
      <c r="A796" s="36"/>
      <c r="B796" s="116" t="s">
        <v>752</v>
      </c>
      <c r="C796" s="49" t="s">
        <v>24</v>
      </c>
      <c r="D796" s="118">
        <v>0.4</v>
      </c>
      <c r="E796" s="18"/>
      <c r="F796" s="118">
        <f t="shared" si="89"/>
        <v>0</v>
      </c>
      <c r="G796" s="115"/>
      <c r="H796" s="115"/>
      <c r="I796" s="115"/>
      <c r="J796" s="37"/>
      <c r="K796" s="22"/>
    </row>
    <row r="797" spans="1:11" hidden="1" outlineLevel="1" x14ac:dyDescent="0.25">
      <c r="A797" s="36"/>
      <c r="B797" s="116" t="s">
        <v>753</v>
      </c>
      <c r="C797" s="49" t="s">
        <v>24</v>
      </c>
      <c r="D797" s="118">
        <v>0.8</v>
      </c>
      <c r="E797" s="18"/>
      <c r="F797" s="118">
        <f t="shared" si="89"/>
        <v>0</v>
      </c>
      <c r="G797" s="115"/>
      <c r="H797" s="115"/>
      <c r="I797" s="115"/>
      <c r="J797" s="99" t="s">
        <v>749</v>
      </c>
      <c r="K797" s="22"/>
    </row>
    <row r="798" spans="1:11" hidden="1" outlineLevel="1" x14ac:dyDescent="0.25">
      <c r="A798" s="36"/>
      <c r="B798" s="116" t="s">
        <v>754</v>
      </c>
      <c r="C798" s="49" t="s">
        <v>24</v>
      </c>
      <c r="D798" s="118">
        <v>1.6</v>
      </c>
      <c r="E798" s="18"/>
      <c r="F798" s="118">
        <f t="shared" si="89"/>
        <v>0</v>
      </c>
      <c r="G798" s="115"/>
      <c r="H798" s="115"/>
      <c r="I798" s="115"/>
      <c r="J798" s="37"/>
      <c r="K798" s="22"/>
    </row>
    <row r="799" spans="1:11" ht="23.25" hidden="1" customHeight="1" outlineLevel="1" x14ac:dyDescent="0.25">
      <c r="A799" s="36"/>
      <c r="B799" s="116" t="s">
        <v>729</v>
      </c>
      <c r="C799" s="49" t="s">
        <v>24</v>
      </c>
      <c r="D799" s="117">
        <f>20*1.2*102/1000</f>
        <v>2.448</v>
      </c>
      <c r="E799" s="18"/>
      <c r="F799" s="117">
        <f t="shared" si="89"/>
        <v>0</v>
      </c>
      <c r="G799" s="6"/>
      <c r="H799" s="6"/>
      <c r="I799" s="6"/>
      <c r="J799" s="37"/>
      <c r="K799" s="22"/>
    </row>
    <row r="800" spans="1:11" ht="23.25" hidden="1" customHeight="1" outlineLevel="1" x14ac:dyDescent="0.25">
      <c r="A800" s="36"/>
      <c r="B800" s="116" t="s">
        <v>730</v>
      </c>
      <c r="C800" s="49" t="s">
        <v>24</v>
      </c>
      <c r="D800" s="117">
        <f>10*1.2*102/1000</f>
        <v>1.224</v>
      </c>
      <c r="E800" s="18"/>
      <c r="F800" s="117">
        <f t="shared" si="89"/>
        <v>0</v>
      </c>
      <c r="G800" s="6"/>
      <c r="H800" s="6"/>
      <c r="I800" s="6"/>
      <c r="J800" s="37"/>
      <c r="K800" s="22"/>
    </row>
    <row r="801" spans="1:11" hidden="1" outlineLevel="1" x14ac:dyDescent="0.25">
      <c r="A801" s="36"/>
      <c r="B801" s="116" t="s">
        <v>733</v>
      </c>
      <c r="C801" s="49" t="s">
        <v>24</v>
      </c>
      <c r="D801" s="117">
        <f>2*102/1000</f>
        <v>0.20399999999999999</v>
      </c>
      <c r="E801" s="18"/>
      <c r="F801" s="117">
        <f t="shared" si="89"/>
        <v>0</v>
      </c>
      <c r="G801" s="6"/>
      <c r="H801" s="6"/>
      <c r="I801" s="6"/>
      <c r="J801" s="37"/>
      <c r="K801" s="22"/>
    </row>
    <row r="802" spans="1:11" hidden="1" outlineLevel="1" x14ac:dyDescent="0.25">
      <c r="A802" s="36"/>
      <c r="B802" s="112" t="s">
        <v>755</v>
      </c>
      <c r="C802" s="112"/>
      <c r="D802" s="113"/>
      <c r="E802" s="113"/>
      <c r="F802" s="117"/>
      <c r="G802" s="6"/>
      <c r="H802" s="6"/>
      <c r="I802" s="6"/>
      <c r="J802" s="37"/>
      <c r="K802" s="22"/>
    </row>
    <row r="803" spans="1:11" hidden="1" outlineLevel="1" x14ac:dyDescent="0.25">
      <c r="A803" s="36"/>
      <c r="B803" s="116" t="s">
        <v>756</v>
      </c>
      <c r="C803" s="49" t="s">
        <v>24</v>
      </c>
      <c r="D803" s="117">
        <v>0</v>
      </c>
      <c r="E803" s="18"/>
      <c r="F803" s="118">
        <f t="shared" ref="F803" si="90">IF(E803="S",D803,0)</f>
        <v>0</v>
      </c>
      <c r="G803" s="6"/>
      <c r="H803" s="6"/>
      <c r="I803" s="6"/>
      <c r="J803" s="37"/>
      <c r="K803" s="22"/>
    </row>
    <row r="804" spans="1:11" ht="17.25" hidden="1" customHeight="1" outlineLevel="1" x14ac:dyDescent="0.25">
      <c r="A804" s="36"/>
      <c r="B804" s="116" t="s">
        <v>706</v>
      </c>
      <c r="C804" s="49" t="s">
        <v>24</v>
      </c>
      <c r="D804" s="117">
        <f>(20+10+5+5)*1.2*102/1000</f>
        <v>4.8959999999999999</v>
      </c>
      <c r="E804" s="18"/>
      <c r="F804" s="117">
        <f t="shared" ref="F804:F805" si="91">D804*E804</f>
        <v>0</v>
      </c>
      <c r="G804" s="6"/>
      <c r="H804" s="6"/>
      <c r="I804" s="6"/>
      <c r="J804" s="37"/>
      <c r="K804" s="22"/>
    </row>
    <row r="805" spans="1:11" hidden="1" outlineLevel="1" x14ac:dyDescent="0.25">
      <c r="A805" s="36"/>
      <c r="B805" s="116" t="s">
        <v>733</v>
      </c>
      <c r="C805" s="49" t="s">
        <v>24</v>
      </c>
      <c r="D805" s="117">
        <f>2*102/1000</f>
        <v>0.20399999999999999</v>
      </c>
      <c r="E805" s="18"/>
      <c r="F805" s="117">
        <f t="shared" si="91"/>
        <v>0</v>
      </c>
      <c r="G805" s="6"/>
      <c r="H805" s="6"/>
      <c r="I805" s="6"/>
      <c r="J805" s="37"/>
      <c r="K805" s="22"/>
    </row>
    <row r="806" spans="1:11" hidden="1" outlineLevel="1" x14ac:dyDescent="0.25">
      <c r="A806" s="36"/>
      <c r="B806" s="112" t="s">
        <v>757</v>
      </c>
      <c r="C806" s="112"/>
      <c r="D806" s="113"/>
      <c r="E806" s="113"/>
      <c r="F806" s="117"/>
      <c r="G806" s="6"/>
      <c r="H806" s="6"/>
      <c r="I806" s="6"/>
      <c r="J806" s="37"/>
      <c r="K806" s="22"/>
    </row>
    <row r="807" spans="1:11" hidden="1" outlineLevel="1" x14ac:dyDescent="0.25">
      <c r="A807" s="36"/>
      <c r="B807" s="116" t="s">
        <v>758</v>
      </c>
      <c r="C807" s="49" t="s">
        <v>24</v>
      </c>
      <c r="D807" s="117">
        <v>100</v>
      </c>
      <c r="E807" s="18"/>
      <c r="F807" s="118">
        <f>(D807*E807)</f>
        <v>0</v>
      </c>
      <c r="G807" s="6"/>
      <c r="H807" s="6"/>
      <c r="I807" s="6"/>
      <c r="J807" s="37"/>
      <c r="K807" s="22"/>
    </row>
    <row r="808" spans="1:11" hidden="1" outlineLevel="1" x14ac:dyDescent="0.25">
      <c r="A808" s="36"/>
      <c r="B808" s="116" t="s">
        <v>759</v>
      </c>
      <c r="C808" s="49" t="s">
        <v>24</v>
      </c>
      <c r="D808" s="117">
        <v>100</v>
      </c>
      <c r="E808" s="18"/>
      <c r="F808" s="118">
        <f>(D808*E808)</f>
        <v>0</v>
      </c>
      <c r="G808" s="6"/>
      <c r="H808" s="6"/>
      <c r="I808" s="6"/>
      <c r="J808" s="37"/>
      <c r="K808" s="22"/>
    </row>
    <row r="809" spans="1:11" hidden="1" outlineLevel="1" x14ac:dyDescent="0.25">
      <c r="A809" s="36"/>
      <c r="B809" s="116" t="s">
        <v>760</v>
      </c>
      <c r="C809" s="49" t="s">
        <v>24</v>
      </c>
      <c r="D809" s="118">
        <v>4</v>
      </c>
      <c r="E809" s="18"/>
      <c r="F809" s="118">
        <f t="shared" ref="F809:F812" si="92">D809*E809</f>
        <v>0</v>
      </c>
      <c r="G809" s="115"/>
      <c r="H809" s="115"/>
      <c r="I809" s="115"/>
      <c r="J809" s="37"/>
      <c r="K809" s="22"/>
    </row>
    <row r="810" spans="1:11" ht="23.25" hidden="1" customHeight="1" outlineLevel="1" x14ac:dyDescent="0.25">
      <c r="A810" s="36"/>
      <c r="B810" s="116" t="s">
        <v>761</v>
      </c>
      <c r="C810" s="49" t="s">
        <v>24</v>
      </c>
      <c r="D810" s="118">
        <v>4</v>
      </c>
      <c r="E810" s="18"/>
      <c r="F810" s="118">
        <f t="shared" si="92"/>
        <v>0</v>
      </c>
      <c r="G810" s="6"/>
      <c r="H810" s="6"/>
      <c r="I810" s="6"/>
      <c r="J810" s="37"/>
      <c r="K810" s="22"/>
    </row>
    <row r="811" spans="1:11" ht="23.25" hidden="1" customHeight="1" outlineLevel="1" x14ac:dyDescent="0.25">
      <c r="A811" s="36"/>
      <c r="B811" s="116" t="s">
        <v>762</v>
      </c>
      <c r="C811" s="49" t="s">
        <v>24</v>
      </c>
      <c r="D811" s="118">
        <v>8</v>
      </c>
      <c r="E811" s="18"/>
      <c r="F811" s="118">
        <f t="shared" si="92"/>
        <v>0</v>
      </c>
      <c r="G811" s="6"/>
      <c r="H811" s="6"/>
      <c r="I811" s="6"/>
      <c r="J811" s="37"/>
      <c r="K811" s="22"/>
    </row>
    <row r="812" spans="1:11" hidden="1" outlineLevel="1" x14ac:dyDescent="0.25">
      <c r="A812" s="36"/>
      <c r="B812" s="116" t="s">
        <v>763</v>
      </c>
      <c r="C812" s="49" t="s">
        <v>24</v>
      </c>
      <c r="D812" s="118">
        <v>20</v>
      </c>
      <c r="E812" s="18"/>
      <c r="F812" s="118">
        <f t="shared" si="92"/>
        <v>0</v>
      </c>
      <c r="G812" s="6"/>
      <c r="H812" s="6"/>
      <c r="I812" s="6"/>
      <c r="J812" s="37"/>
      <c r="K812" s="22"/>
    </row>
    <row r="813" spans="1:11" hidden="1" outlineLevel="1" x14ac:dyDescent="0.25">
      <c r="A813" s="36"/>
      <c r="B813" s="116" t="s">
        <v>764</v>
      </c>
      <c r="C813" s="49" t="s">
        <v>24</v>
      </c>
      <c r="D813" s="119">
        <v>0.8</v>
      </c>
      <c r="E813" s="18"/>
      <c r="F813" s="118">
        <f>D813*E813</f>
        <v>0</v>
      </c>
      <c r="G813" s="6"/>
      <c r="H813" s="6"/>
      <c r="I813" s="6"/>
      <c r="J813" s="37"/>
      <c r="K813" s="22"/>
    </row>
    <row r="814" spans="1:11" hidden="1" outlineLevel="1" x14ac:dyDescent="0.25">
      <c r="A814" s="36"/>
      <c r="B814" s="116" t="s">
        <v>765</v>
      </c>
      <c r="C814" s="49" t="s">
        <v>24</v>
      </c>
      <c r="D814" s="119">
        <v>0.8</v>
      </c>
      <c r="E814" s="18"/>
      <c r="F814" s="118">
        <f>D814*E814</f>
        <v>0</v>
      </c>
      <c r="G814" s="6"/>
      <c r="H814" s="6"/>
      <c r="I814" s="6"/>
      <c r="J814" s="37"/>
      <c r="K814" s="22"/>
    </row>
    <row r="815" spans="1:11" hidden="1" outlineLevel="1" x14ac:dyDescent="0.25">
      <c r="A815" s="36"/>
      <c r="B815" s="116" t="s">
        <v>766</v>
      </c>
      <c r="C815" s="49" t="s">
        <v>24</v>
      </c>
      <c r="D815" s="119">
        <v>0.4</v>
      </c>
      <c r="E815" s="18"/>
      <c r="F815" s="118">
        <f>D815*E815</f>
        <v>0</v>
      </c>
      <c r="G815" s="6"/>
      <c r="H815" s="6"/>
      <c r="I815" s="6"/>
      <c r="J815" s="37"/>
      <c r="K815" s="22"/>
    </row>
    <row r="816" spans="1:11" hidden="1" outlineLevel="1" x14ac:dyDescent="0.25">
      <c r="A816" s="36"/>
      <c r="B816" s="116" t="s">
        <v>767</v>
      </c>
      <c r="C816" s="49" t="s">
        <v>24</v>
      </c>
      <c r="D816" s="117">
        <v>1.5</v>
      </c>
      <c r="E816" s="18"/>
      <c r="F816" s="118">
        <f>(D816*E816)</f>
        <v>0</v>
      </c>
      <c r="G816" s="6"/>
      <c r="H816" s="6"/>
      <c r="I816" s="6"/>
      <c r="J816" s="37"/>
      <c r="K816" s="22"/>
    </row>
    <row r="817" spans="1:11" hidden="1" outlineLevel="1" x14ac:dyDescent="0.25">
      <c r="A817" s="36"/>
      <c r="B817" s="112" t="s">
        <v>768</v>
      </c>
      <c r="C817" s="112"/>
      <c r="D817" s="113"/>
      <c r="E817" s="113"/>
      <c r="F817" s="117"/>
      <c r="G817" s="6"/>
      <c r="H817" s="6"/>
      <c r="I817" s="6"/>
      <c r="J817" s="37"/>
      <c r="K817" s="22"/>
    </row>
    <row r="818" spans="1:11" hidden="1" outlineLevel="1" x14ac:dyDescent="0.25">
      <c r="A818" s="36"/>
      <c r="B818" s="116" t="s">
        <v>769</v>
      </c>
      <c r="C818" s="49" t="s">
        <v>24</v>
      </c>
      <c r="D818" s="117">
        <v>2</v>
      </c>
      <c r="E818" s="18"/>
      <c r="F818" s="118">
        <f>(D818*E818)</f>
        <v>0</v>
      </c>
      <c r="G818" s="6"/>
      <c r="H818" s="6"/>
      <c r="I818" s="6"/>
      <c r="J818" s="37"/>
      <c r="K818" s="22"/>
    </row>
    <row r="819" spans="1:11" hidden="1" outlineLevel="1" x14ac:dyDescent="0.25">
      <c r="A819" s="36"/>
      <c r="B819" s="116" t="s">
        <v>744</v>
      </c>
      <c r="C819" s="49" t="s">
        <v>24</v>
      </c>
      <c r="D819" s="117">
        <v>16</v>
      </c>
      <c r="E819" s="18"/>
      <c r="F819" s="118">
        <f>(D819*E819)</f>
        <v>0</v>
      </c>
      <c r="G819" s="6"/>
      <c r="H819" s="6"/>
      <c r="I819" s="6"/>
      <c r="J819" s="37"/>
      <c r="K819" s="22"/>
    </row>
    <row r="820" spans="1:11" hidden="1" outlineLevel="1" x14ac:dyDescent="0.25">
      <c r="A820" s="36"/>
      <c r="B820" s="116" t="s">
        <v>745</v>
      </c>
      <c r="C820" s="49" t="s">
        <v>24</v>
      </c>
      <c r="D820" s="118">
        <v>1</v>
      </c>
      <c r="E820" s="18"/>
      <c r="F820" s="118">
        <f t="shared" ref="F820:F828" si="93">D820*E820</f>
        <v>0</v>
      </c>
      <c r="G820" s="6"/>
      <c r="H820" s="6"/>
      <c r="I820" s="6"/>
      <c r="J820" s="37"/>
      <c r="K820" s="22"/>
    </row>
    <row r="821" spans="1:11" ht="28.5" hidden="1" customHeight="1" outlineLevel="1" x14ac:dyDescent="0.25">
      <c r="A821" s="36"/>
      <c r="B821" s="116" t="s">
        <v>746</v>
      </c>
      <c r="C821" s="49" t="s">
        <v>24</v>
      </c>
      <c r="D821" s="118">
        <v>2.5</v>
      </c>
      <c r="E821" s="18"/>
      <c r="F821" s="118">
        <f t="shared" si="93"/>
        <v>0</v>
      </c>
      <c r="G821" s="6"/>
      <c r="H821" s="6"/>
      <c r="I821" s="6"/>
      <c r="J821" s="37"/>
      <c r="K821" s="22"/>
    </row>
    <row r="822" spans="1:11" ht="24.75" hidden="1" customHeight="1" outlineLevel="1" x14ac:dyDescent="0.25">
      <c r="A822" s="36"/>
      <c r="B822" s="116" t="s">
        <v>747</v>
      </c>
      <c r="C822" s="49" t="s">
        <v>24</v>
      </c>
      <c r="D822" s="118">
        <v>4</v>
      </c>
      <c r="E822" s="18"/>
      <c r="F822" s="118">
        <f t="shared" si="93"/>
        <v>0</v>
      </c>
      <c r="G822" s="6"/>
      <c r="H822" s="6"/>
      <c r="I822" s="6"/>
      <c r="J822" s="37"/>
      <c r="K822" s="22"/>
    </row>
    <row r="823" spans="1:11" hidden="1" outlineLevel="1" x14ac:dyDescent="0.25">
      <c r="A823" s="36"/>
      <c r="B823" s="116" t="s">
        <v>748</v>
      </c>
      <c r="C823" s="49" t="s">
        <v>24</v>
      </c>
      <c r="D823" s="118">
        <v>0.8</v>
      </c>
      <c r="E823" s="18"/>
      <c r="F823" s="118">
        <f t="shared" si="93"/>
        <v>0</v>
      </c>
      <c r="G823" s="115"/>
      <c r="H823" s="115"/>
      <c r="I823" s="115"/>
      <c r="J823" s="37"/>
      <c r="K823" s="22"/>
    </row>
    <row r="824" spans="1:11" ht="23.25" hidden="1" customHeight="1" outlineLevel="1" x14ac:dyDescent="0.25">
      <c r="A824" s="36"/>
      <c r="B824" s="116" t="s">
        <v>750</v>
      </c>
      <c r="C824" s="49" t="s">
        <v>24</v>
      </c>
      <c r="D824" s="118">
        <v>1.6</v>
      </c>
      <c r="E824" s="18"/>
      <c r="F824" s="118">
        <f t="shared" si="93"/>
        <v>0</v>
      </c>
      <c r="G824" s="6"/>
      <c r="H824" s="6"/>
      <c r="I824" s="6"/>
      <c r="J824" s="37"/>
      <c r="K824" s="22"/>
    </row>
    <row r="825" spans="1:11" ht="23.25" hidden="1" customHeight="1" outlineLevel="1" x14ac:dyDescent="0.25">
      <c r="A825" s="36"/>
      <c r="B825" s="116" t="s">
        <v>751</v>
      </c>
      <c r="C825" s="49" t="s">
        <v>24</v>
      </c>
      <c r="D825" s="118">
        <v>3.2</v>
      </c>
      <c r="E825" s="18"/>
      <c r="F825" s="118">
        <f t="shared" si="93"/>
        <v>0</v>
      </c>
      <c r="G825" s="6"/>
      <c r="H825" s="6"/>
      <c r="I825" s="6"/>
      <c r="J825" s="37"/>
      <c r="K825" s="22"/>
    </row>
    <row r="826" spans="1:11" hidden="1" outlineLevel="1" x14ac:dyDescent="0.25">
      <c r="A826" s="36"/>
      <c r="B826" s="116" t="s">
        <v>752</v>
      </c>
      <c r="C826" s="49" t="s">
        <v>24</v>
      </c>
      <c r="D826" s="118">
        <v>0.4</v>
      </c>
      <c r="E826" s="18"/>
      <c r="F826" s="118">
        <f t="shared" si="93"/>
        <v>0</v>
      </c>
      <c r="G826" s="6"/>
      <c r="H826" s="6"/>
      <c r="I826" s="6"/>
      <c r="J826" s="37"/>
      <c r="K826" s="22"/>
    </row>
    <row r="827" spans="1:11" hidden="1" outlineLevel="1" x14ac:dyDescent="0.25">
      <c r="A827" s="36"/>
      <c r="B827" s="116" t="s">
        <v>753</v>
      </c>
      <c r="C827" s="49" t="s">
        <v>24</v>
      </c>
      <c r="D827" s="118">
        <v>0.8</v>
      </c>
      <c r="E827" s="18"/>
      <c r="F827" s="118">
        <f t="shared" si="93"/>
        <v>0</v>
      </c>
      <c r="G827" s="6"/>
      <c r="H827" s="6"/>
      <c r="I827" s="6"/>
      <c r="J827" s="37"/>
      <c r="K827" s="22"/>
    </row>
    <row r="828" spans="1:11" hidden="1" outlineLevel="1" x14ac:dyDescent="0.25">
      <c r="A828" s="36"/>
      <c r="B828" s="116" t="s">
        <v>754</v>
      </c>
      <c r="C828" s="49" t="s">
        <v>24</v>
      </c>
      <c r="D828" s="118">
        <v>1.6</v>
      </c>
      <c r="E828" s="18"/>
      <c r="F828" s="118">
        <f t="shared" si="93"/>
        <v>0</v>
      </c>
      <c r="G828" s="6"/>
      <c r="H828" s="6"/>
      <c r="I828" s="6"/>
      <c r="J828" s="37"/>
      <c r="K828" s="22"/>
    </row>
    <row r="829" spans="1:11" hidden="1" outlineLevel="1" x14ac:dyDescent="0.25">
      <c r="A829" s="36"/>
      <c r="B829" s="116" t="s">
        <v>767</v>
      </c>
      <c r="C829" s="49" t="s">
        <v>24</v>
      </c>
      <c r="D829" s="117">
        <v>0.3</v>
      </c>
      <c r="E829" s="18"/>
      <c r="F829" s="118">
        <f>(D829*E829)</f>
        <v>0</v>
      </c>
      <c r="G829" s="6"/>
      <c r="H829" s="6"/>
      <c r="I829" s="6"/>
      <c r="J829" s="37"/>
      <c r="K829" s="22"/>
    </row>
    <row r="830" spans="1:11" hidden="1" outlineLevel="1" x14ac:dyDescent="0.25">
      <c r="A830" s="36"/>
      <c r="B830" s="116" t="s">
        <v>770</v>
      </c>
      <c r="C830" s="49" t="s">
        <v>24</v>
      </c>
      <c r="D830" s="117">
        <v>0.3</v>
      </c>
      <c r="E830" s="18"/>
      <c r="F830" s="118">
        <f>(D830*E830)</f>
        <v>0</v>
      </c>
      <c r="G830" s="6"/>
      <c r="H830" s="6"/>
      <c r="I830" s="6"/>
      <c r="J830" s="37"/>
      <c r="K830" s="22"/>
    </row>
    <row r="831" spans="1:11" ht="30" hidden="1" outlineLevel="1" x14ac:dyDescent="0.25">
      <c r="A831" s="36"/>
      <c r="B831" s="112" t="s">
        <v>771</v>
      </c>
      <c r="C831" s="112"/>
      <c r="D831" s="113"/>
      <c r="E831" s="113"/>
      <c r="F831" s="117"/>
      <c r="G831" s="6"/>
      <c r="H831" s="6"/>
      <c r="I831" s="6"/>
      <c r="J831" s="37"/>
      <c r="K831" s="22"/>
    </row>
    <row r="832" spans="1:11" hidden="1" outlineLevel="1" x14ac:dyDescent="0.25">
      <c r="A832" s="36"/>
      <c r="B832" s="116" t="s">
        <v>769</v>
      </c>
      <c r="C832" s="49" t="s">
        <v>24</v>
      </c>
      <c r="D832" s="117">
        <v>2</v>
      </c>
      <c r="E832" s="18"/>
      <c r="F832" s="118">
        <f>(D832*E832)</f>
        <v>0</v>
      </c>
      <c r="G832" s="6"/>
      <c r="H832" s="6"/>
      <c r="I832" s="6"/>
      <c r="J832" s="37"/>
      <c r="K832" s="22"/>
    </row>
    <row r="833" spans="1:11" hidden="1" outlineLevel="1" x14ac:dyDescent="0.25">
      <c r="A833" s="36"/>
      <c r="B833" s="116" t="s">
        <v>744</v>
      </c>
      <c r="C833" s="49" t="s">
        <v>24</v>
      </c>
      <c r="D833" s="117">
        <v>16</v>
      </c>
      <c r="E833" s="18"/>
      <c r="F833" s="118">
        <f>(D833*E833)</f>
        <v>0</v>
      </c>
      <c r="G833" s="6"/>
      <c r="H833" s="6"/>
      <c r="I833" s="6"/>
      <c r="J833" s="37"/>
      <c r="K833" s="22"/>
    </row>
    <row r="834" spans="1:11" hidden="1" outlineLevel="1" x14ac:dyDescent="0.25">
      <c r="A834" s="36"/>
      <c r="B834" s="116" t="s">
        <v>745</v>
      </c>
      <c r="C834" s="49" t="s">
        <v>24</v>
      </c>
      <c r="D834" s="118">
        <v>1</v>
      </c>
      <c r="E834" s="18"/>
      <c r="F834" s="118">
        <f t="shared" ref="F834:F842" si="94">D834*E834</f>
        <v>0</v>
      </c>
      <c r="G834" s="6"/>
      <c r="H834" s="6"/>
      <c r="I834" s="6"/>
      <c r="J834" s="37"/>
      <c r="K834" s="22"/>
    </row>
    <row r="835" spans="1:11" ht="28.5" hidden="1" customHeight="1" outlineLevel="1" x14ac:dyDescent="0.25">
      <c r="A835" s="36"/>
      <c r="B835" s="116" t="s">
        <v>746</v>
      </c>
      <c r="C835" s="49" t="s">
        <v>24</v>
      </c>
      <c r="D835" s="118">
        <v>2.5</v>
      </c>
      <c r="E835" s="18"/>
      <c r="F835" s="118">
        <f t="shared" si="94"/>
        <v>0</v>
      </c>
      <c r="G835" s="6"/>
      <c r="H835" s="6"/>
      <c r="I835" s="6"/>
      <c r="J835" s="37"/>
      <c r="K835" s="22"/>
    </row>
    <row r="836" spans="1:11" hidden="1" outlineLevel="1" x14ac:dyDescent="0.25">
      <c r="A836" s="36"/>
      <c r="B836" s="116" t="s">
        <v>747</v>
      </c>
      <c r="C836" s="49" t="s">
        <v>24</v>
      </c>
      <c r="D836" s="118">
        <v>4</v>
      </c>
      <c r="E836" s="18"/>
      <c r="F836" s="118">
        <f t="shared" si="94"/>
        <v>0</v>
      </c>
      <c r="G836" s="115"/>
      <c r="H836" s="115"/>
      <c r="I836" s="115"/>
      <c r="J836" s="37"/>
      <c r="K836" s="22"/>
    </row>
    <row r="837" spans="1:11" hidden="1" outlineLevel="1" x14ac:dyDescent="0.25">
      <c r="A837" s="36"/>
      <c r="B837" s="116" t="s">
        <v>748</v>
      </c>
      <c r="C837" s="49" t="s">
        <v>24</v>
      </c>
      <c r="D837" s="118">
        <v>0.8</v>
      </c>
      <c r="E837" s="18"/>
      <c r="F837" s="118">
        <f t="shared" si="94"/>
        <v>0</v>
      </c>
      <c r="G837" s="6"/>
      <c r="H837" s="6"/>
      <c r="I837" s="6"/>
      <c r="J837" s="37"/>
      <c r="K837" s="22"/>
    </row>
    <row r="838" spans="1:11" hidden="1" outlineLevel="1" x14ac:dyDescent="0.25">
      <c r="A838" s="36"/>
      <c r="B838" s="116" t="s">
        <v>750</v>
      </c>
      <c r="C838" s="49" t="s">
        <v>24</v>
      </c>
      <c r="D838" s="118">
        <v>1.6</v>
      </c>
      <c r="E838" s="18"/>
      <c r="F838" s="118">
        <f t="shared" si="94"/>
        <v>0</v>
      </c>
      <c r="G838" s="6"/>
      <c r="H838" s="6"/>
      <c r="I838" s="6"/>
      <c r="J838" s="37"/>
      <c r="K838" s="22"/>
    </row>
    <row r="839" spans="1:11" hidden="1" outlineLevel="1" x14ac:dyDescent="0.25">
      <c r="A839" s="36"/>
      <c r="B839" s="116" t="s">
        <v>751</v>
      </c>
      <c r="C839" s="49" t="s">
        <v>24</v>
      </c>
      <c r="D839" s="118">
        <v>3.2</v>
      </c>
      <c r="E839" s="18"/>
      <c r="F839" s="118">
        <f t="shared" si="94"/>
        <v>0</v>
      </c>
      <c r="G839" s="115"/>
      <c r="H839" s="115"/>
      <c r="I839" s="115"/>
      <c r="J839" s="37"/>
      <c r="K839" s="22"/>
    </row>
    <row r="840" spans="1:11" ht="23.25" hidden="1" customHeight="1" outlineLevel="1" x14ac:dyDescent="0.25">
      <c r="A840" s="36"/>
      <c r="B840" s="116" t="s">
        <v>752</v>
      </c>
      <c r="C840" s="49" t="s">
        <v>24</v>
      </c>
      <c r="D840" s="118">
        <v>0.4</v>
      </c>
      <c r="E840" s="18"/>
      <c r="F840" s="118">
        <f t="shared" si="94"/>
        <v>0</v>
      </c>
      <c r="G840" s="6"/>
      <c r="H840" s="6"/>
      <c r="I840" s="6"/>
      <c r="J840" s="37"/>
      <c r="K840" s="22"/>
    </row>
    <row r="841" spans="1:11" ht="23.25" hidden="1" customHeight="1" outlineLevel="1" x14ac:dyDescent="0.25">
      <c r="A841" s="36"/>
      <c r="B841" s="116" t="s">
        <v>753</v>
      </c>
      <c r="C841" s="49" t="s">
        <v>24</v>
      </c>
      <c r="D841" s="118">
        <v>0.8</v>
      </c>
      <c r="E841" s="18"/>
      <c r="F841" s="118">
        <f t="shared" si="94"/>
        <v>0</v>
      </c>
      <c r="G841" s="6"/>
      <c r="H841" s="6"/>
      <c r="I841" s="6"/>
      <c r="J841" s="37"/>
      <c r="K841" s="22"/>
    </row>
    <row r="842" spans="1:11" hidden="1" outlineLevel="1" x14ac:dyDescent="0.25">
      <c r="A842" s="36"/>
      <c r="B842" s="116" t="s">
        <v>754</v>
      </c>
      <c r="C842" s="49" t="s">
        <v>24</v>
      </c>
      <c r="D842" s="118">
        <v>1.6</v>
      </c>
      <c r="E842" s="18"/>
      <c r="F842" s="118">
        <f t="shared" si="94"/>
        <v>0</v>
      </c>
      <c r="G842" s="6"/>
      <c r="H842" s="6"/>
      <c r="I842" s="6"/>
      <c r="J842" s="37"/>
      <c r="K842" s="22"/>
    </row>
    <row r="843" spans="1:11" hidden="1" outlineLevel="1" x14ac:dyDescent="0.25">
      <c r="A843" s="36"/>
      <c r="B843" s="116" t="s">
        <v>767</v>
      </c>
      <c r="C843" s="49" t="s">
        <v>24</v>
      </c>
      <c r="D843" s="117">
        <v>0.3</v>
      </c>
      <c r="E843" s="18"/>
      <c r="F843" s="118">
        <f>(D843*E843)</f>
        <v>0</v>
      </c>
      <c r="G843" s="6"/>
      <c r="H843" s="6"/>
      <c r="I843" s="6"/>
      <c r="J843" s="37"/>
      <c r="K843" s="22"/>
    </row>
    <row r="844" spans="1:11" hidden="1" outlineLevel="1" x14ac:dyDescent="0.25">
      <c r="A844" s="36"/>
      <c r="B844" s="112" t="s">
        <v>757</v>
      </c>
      <c r="C844" s="112"/>
      <c r="D844" s="113"/>
      <c r="E844" s="113"/>
      <c r="F844" s="117"/>
      <c r="G844" s="6"/>
      <c r="H844" s="6"/>
      <c r="I844" s="6"/>
      <c r="J844" s="37"/>
      <c r="K844" s="22"/>
    </row>
    <row r="845" spans="1:11" hidden="1" outlineLevel="1" x14ac:dyDescent="0.25">
      <c r="A845" s="36"/>
      <c r="B845" s="116" t="s">
        <v>772</v>
      </c>
      <c r="C845" s="49" t="s">
        <v>24</v>
      </c>
      <c r="D845" s="117"/>
      <c r="E845" s="18"/>
      <c r="F845" s="118">
        <f t="shared" ref="F845:F846" si="95">IF(E845="S",D845,0)</f>
        <v>0</v>
      </c>
      <c r="G845" s="6"/>
      <c r="H845" s="6"/>
      <c r="I845" s="6"/>
      <c r="J845" s="37"/>
      <c r="K845" s="22"/>
    </row>
    <row r="846" spans="1:11" hidden="1" outlineLevel="1" x14ac:dyDescent="0.25">
      <c r="A846" s="36"/>
      <c r="B846" s="116" t="s">
        <v>706</v>
      </c>
      <c r="C846" s="49" t="s">
        <v>24</v>
      </c>
      <c r="D846" s="117">
        <v>0</v>
      </c>
      <c r="E846" s="18"/>
      <c r="F846" s="118">
        <f t="shared" si="95"/>
        <v>0</v>
      </c>
      <c r="G846" s="6"/>
      <c r="H846" s="6"/>
      <c r="I846" s="6"/>
      <c r="J846" s="37"/>
      <c r="K846" s="22"/>
    </row>
    <row r="847" spans="1:11" hidden="1" outlineLevel="1" x14ac:dyDescent="0.25">
      <c r="A847" s="36"/>
      <c r="B847" s="112" t="s">
        <v>773</v>
      </c>
      <c r="C847" s="112"/>
      <c r="D847" s="113"/>
      <c r="E847" s="113"/>
      <c r="F847" s="117"/>
      <c r="G847" s="6"/>
      <c r="H847" s="6"/>
      <c r="I847" s="6"/>
      <c r="J847" s="37"/>
      <c r="K847" s="22"/>
    </row>
    <row r="848" spans="1:11" hidden="1" outlineLevel="1" x14ac:dyDescent="0.25">
      <c r="A848" s="36"/>
      <c r="B848" s="116" t="s">
        <v>769</v>
      </c>
      <c r="C848" s="49" t="s">
        <v>24</v>
      </c>
      <c r="D848" s="117">
        <v>2</v>
      </c>
      <c r="E848" s="18"/>
      <c r="F848" s="118">
        <f>(D848*E848)</f>
        <v>0</v>
      </c>
      <c r="G848" s="6"/>
      <c r="H848" s="6"/>
      <c r="I848" s="6"/>
      <c r="J848" s="37"/>
      <c r="K848" s="22"/>
    </row>
    <row r="849" spans="1:11" hidden="1" outlineLevel="1" x14ac:dyDescent="0.25">
      <c r="A849" s="36"/>
      <c r="B849" s="116" t="s">
        <v>744</v>
      </c>
      <c r="C849" s="49" t="s">
        <v>24</v>
      </c>
      <c r="D849" s="117">
        <v>16</v>
      </c>
      <c r="E849" s="18"/>
      <c r="F849" s="118">
        <f>(D849*E849)</f>
        <v>0</v>
      </c>
      <c r="G849" s="6"/>
      <c r="H849" s="6"/>
      <c r="I849" s="6"/>
      <c r="J849" s="37"/>
      <c r="K849" s="22"/>
    </row>
    <row r="850" spans="1:11" hidden="1" outlineLevel="1" x14ac:dyDescent="0.25">
      <c r="A850" s="36"/>
      <c r="B850" s="116" t="s">
        <v>748</v>
      </c>
      <c r="C850" s="49" t="s">
        <v>24</v>
      </c>
      <c r="D850" s="118">
        <v>0.8</v>
      </c>
      <c r="E850" s="18"/>
      <c r="F850" s="118">
        <f t="shared" ref="F850:F858" si="96">D850*E850</f>
        <v>0</v>
      </c>
      <c r="G850" s="6"/>
      <c r="H850" s="6"/>
      <c r="I850" s="6"/>
      <c r="J850" s="37"/>
      <c r="K850" s="22"/>
    </row>
    <row r="851" spans="1:11" hidden="1" outlineLevel="1" x14ac:dyDescent="0.25">
      <c r="A851" s="36"/>
      <c r="B851" s="116" t="s">
        <v>750</v>
      </c>
      <c r="C851" s="49" t="s">
        <v>24</v>
      </c>
      <c r="D851" s="118">
        <v>1.6</v>
      </c>
      <c r="E851" s="18"/>
      <c r="F851" s="118">
        <f t="shared" si="96"/>
        <v>0</v>
      </c>
      <c r="G851" s="6"/>
      <c r="H851" s="6"/>
      <c r="I851" s="6"/>
      <c r="J851" s="37"/>
      <c r="K851" s="22"/>
    </row>
    <row r="852" spans="1:11" hidden="1" outlineLevel="1" x14ac:dyDescent="0.25">
      <c r="A852" s="36"/>
      <c r="B852" s="116" t="s">
        <v>751</v>
      </c>
      <c r="C852" s="49" t="s">
        <v>24</v>
      </c>
      <c r="D852" s="118">
        <v>3.2</v>
      </c>
      <c r="E852" s="18"/>
      <c r="F852" s="118">
        <f t="shared" si="96"/>
        <v>0</v>
      </c>
      <c r="G852" s="6"/>
      <c r="H852" s="6"/>
      <c r="I852" s="6"/>
      <c r="J852" s="37"/>
      <c r="K852" s="22"/>
    </row>
    <row r="853" spans="1:11" hidden="1" outlineLevel="1" x14ac:dyDescent="0.25">
      <c r="A853" s="36"/>
      <c r="B853" s="116" t="s">
        <v>752</v>
      </c>
      <c r="C853" s="49" t="s">
        <v>24</v>
      </c>
      <c r="D853" s="118">
        <v>0.4</v>
      </c>
      <c r="E853" s="18"/>
      <c r="F853" s="118">
        <f t="shared" si="96"/>
        <v>0</v>
      </c>
      <c r="G853" s="6"/>
      <c r="H853" s="6"/>
      <c r="I853" s="6"/>
      <c r="J853" s="37"/>
      <c r="K853" s="22"/>
    </row>
    <row r="854" spans="1:11" hidden="1" outlineLevel="1" x14ac:dyDescent="0.25">
      <c r="A854" s="36"/>
      <c r="B854" s="116" t="s">
        <v>753</v>
      </c>
      <c r="C854" s="49" t="s">
        <v>24</v>
      </c>
      <c r="D854" s="118">
        <v>0.8</v>
      </c>
      <c r="E854" s="18"/>
      <c r="F854" s="118">
        <f t="shared" si="96"/>
        <v>0</v>
      </c>
      <c r="G854" s="6"/>
      <c r="H854" s="6"/>
      <c r="I854" s="6"/>
      <c r="J854" s="37"/>
      <c r="K854" s="22"/>
    </row>
    <row r="855" spans="1:11" hidden="1" outlineLevel="1" x14ac:dyDescent="0.25">
      <c r="A855" s="36"/>
      <c r="B855" s="116" t="s">
        <v>754</v>
      </c>
      <c r="C855" s="49" t="s">
        <v>24</v>
      </c>
      <c r="D855" s="118">
        <v>1.6</v>
      </c>
      <c r="E855" s="18"/>
      <c r="F855" s="118">
        <f t="shared" si="96"/>
        <v>0</v>
      </c>
      <c r="G855" s="6"/>
      <c r="H855" s="6"/>
      <c r="I855" s="6"/>
      <c r="J855" s="37"/>
      <c r="K855" s="22"/>
    </row>
    <row r="856" spans="1:11" hidden="1" outlineLevel="1" x14ac:dyDescent="0.25">
      <c r="A856" s="36"/>
      <c r="B856" s="116" t="s">
        <v>774</v>
      </c>
      <c r="C856" s="49" t="s">
        <v>24</v>
      </c>
      <c r="D856" s="118">
        <v>0.8</v>
      </c>
      <c r="E856" s="18"/>
      <c r="F856" s="118">
        <f t="shared" si="96"/>
        <v>0</v>
      </c>
      <c r="G856" s="6"/>
      <c r="H856" s="6"/>
      <c r="I856" s="6"/>
      <c r="J856" s="37"/>
      <c r="K856" s="22"/>
    </row>
    <row r="857" spans="1:11" hidden="1" outlineLevel="1" x14ac:dyDescent="0.25">
      <c r="A857" s="36"/>
      <c r="B857" s="116" t="s">
        <v>775</v>
      </c>
      <c r="C857" s="49" t="s">
        <v>24</v>
      </c>
      <c r="D857" s="118">
        <v>1.6</v>
      </c>
      <c r="E857" s="18"/>
      <c r="F857" s="118">
        <f t="shared" si="96"/>
        <v>0</v>
      </c>
      <c r="G857" s="6"/>
      <c r="H857" s="6"/>
      <c r="I857" s="6"/>
      <c r="J857" s="37"/>
      <c r="K857" s="22"/>
    </row>
    <row r="858" spans="1:11" hidden="1" outlineLevel="1" x14ac:dyDescent="0.25">
      <c r="A858" s="36"/>
      <c r="B858" s="116" t="s">
        <v>776</v>
      </c>
      <c r="C858" s="49" t="s">
        <v>24</v>
      </c>
      <c r="D858" s="118">
        <v>2.5</v>
      </c>
      <c r="E858" s="18"/>
      <c r="F858" s="118">
        <f t="shared" si="96"/>
        <v>0</v>
      </c>
      <c r="G858" s="6"/>
      <c r="H858" s="6"/>
      <c r="I858" s="6"/>
      <c r="J858" s="37"/>
      <c r="K858" s="22"/>
    </row>
    <row r="859" spans="1:11" hidden="1" outlineLevel="1" x14ac:dyDescent="0.25">
      <c r="A859" s="36"/>
      <c r="B859" s="116" t="s">
        <v>777</v>
      </c>
      <c r="C859" s="49" t="s">
        <v>24</v>
      </c>
      <c r="D859" s="117">
        <v>4</v>
      </c>
      <c r="E859" s="18"/>
      <c r="F859" s="118">
        <f t="shared" ref="F859:F861" si="97">(D859*E859)</f>
        <v>0</v>
      </c>
      <c r="G859" s="6"/>
      <c r="H859" s="6"/>
      <c r="I859" s="6"/>
      <c r="J859" s="37"/>
      <c r="K859" s="22"/>
    </row>
    <row r="860" spans="1:11" hidden="1" outlineLevel="1" x14ac:dyDescent="0.25">
      <c r="A860" s="36"/>
      <c r="B860" s="116" t="s">
        <v>778</v>
      </c>
      <c r="C860" s="49" t="s">
        <v>24</v>
      </c>
      <c r="D860" s="117">
        <v>4</v>
      </c>
      <c r="E860" s="18"/>
      <c r="F860" s="118">
        <f t="shared" si="97"/>
        <v>0</v>
      </c>
      <c r="G860" s="6"/>
      <c r="H860" s="6"/>
      <c r="I860" s="6"/>
      <c r="J860" s="37"/>
      <c r="K860" s="22"/>
    </row>
    <row r="861" spans="1:11" hidden="1" outlineLevel="1" x14ac:dyDescent="0.25">
      <c r="A861" s="36"/>
      <c r="B861" s="116" t="s">
        <v>779</v>
      </c>
      <c r="C861" s="49" t="s">
        <v>24</v>
      </c>
      <c r="D861" s="117">
        <v>0.3</v>
      </c>
      <c r="E861" s="18"/>
      <c r="F861" s="118">
        <f t="shared" si="97"/>
        <v>0</v>
      </c>
      <c r="G861" s="6"/>
      <c r="H861" s="6"/>
      <c r="I861" s="6"/>
      <c r="J861" s="37"/>
      <c r="K861" s="22"/>
    </row>
    <row r="862" spans="1:11" collapsed="1" x14ac:dyDescent="0.25">
      <c r="B862" s="15" t="s">
        <v>780</v>
      </c>
      <c r="C862" s="16" t="s">
        <v>18</v>
      </c>
      <c r="D862" s="106">
        <f>SUM(F748:F861)</f>
        <v>0</v>
      </c>
      <c r="E862" s="18"/>
      <c r="F862" s="25">
        <f>IF(E862="S",D862,0)</f>
        <v>0</v>
      </c>
      <c r="G862" s="6"/>
      <c r="H862" s="6"/>
      <c r="I862" s="6"/>
      <c r="J862" s="37" t="str">
        <f>IF(E862="S","Abrir o sub item do critério OSS Aprovisionamento para o preenchimento dos campos.","Se envolver OSS Aprovisionamento digite S e expanda o critério para preencher.")</f>
        <v>Se envolver OSS Aprovisionamento digite S e expanda o critério para preencher.</v>
      </c>
      <c r="K862" s="22"/>
    </row>
    <row r="863" spans="1:11" hidden="1" outlineLevel="1" x14ac:dyDescent="0.25">
      <c r="B863" s="26" t="s">
        <v>781</v>
      </c>
      <c r="C863" s="26"/>
      <c r="D863" s="27"/>
      <c r="E863" s="27"/>
      <c r="F863" s="27"/>
      <c r="G863" s="27"/>
      <c r="H863" s="27"/>
      <c r="I863" s="27"/>
      <c r="J863" s="26"/>
      <c r="K863" s="22"/>
    </row>
    <row r="864" spans="1:11" hidden="1" outlineLevel="1" x14ac:dyDescent="0.25">
      <c r="B864" s="108" t="s">
        <v>782</v>
      </c>
      <c r="C864" s="16"/>
      <c r="D864" s="109"/>
      <c r="E864" s="18"/>
      <c r="F864" s="25"/>
      <c r="G864" s="6"/>
      <c r="H864" s="6"/>
      <c r="I864" s="6"/>
      <c r="J864" s="37"/>
      <c r="K864" s="22"/>
    </row>
    <row r="865" spans="2:11" hidden="1" outlineLevel="1" x14ac:dyDescent="0.25">
      <c r="B865" s="37" t="s">
        <v>783</v>
      </c>
      <c r="C865" s="16" t="s">
        <v>24</v>
      </c>
      <c r="D865" s="102">
        <v>58</v>
      </c>
      <c r="E865" s="18"/>
      <c r="F865" s="25">
        <f t="shared" ref="F865:F912" si="98">D865*E865</f>
        <v>0</v>
      </c>
      <c r="G865" s="6"/>
      <c r="H865" s="6"/>
      <c r="I865" s="6"/>
      <c r="J865" s="37"/>
      <c r="K865" s="22"/>
    </row>
    <row r="866" spans="2:11" hidden="1" outlineLevel="1" x14ac:dyDescent="0.25">
      <c r="B866" s="37" t="s">
        <v>784</v>
      </c>
      <c r="C866" s="16" t="s">
        <v>24</v>
      </c>
      <c r="D866" s="102">
        <v>33</v>
      </c>
      <c r="E866" s="18"/>
      <c r="F866" s="25">
        <f t="shared" si="98"/>
        <v>0</v>
      </c>
      <c r="G866" s="6"/>
      <c r="H866" s="6"/>
      <c r="I866" s="6"/>
      <c r="J866" s="37"/>
      <c r="K866" s="22"/>
    </row>
    <row r="867" spans="2:11" hidden="1" outlineLevel="1" x14ac:dyDescent="0.25">
      <c r="B867" s="37" t="s">
        <v>785</v>
      </c>
      <c r="C867" s="16" t="s">
        <v>24</v>
      </c>
      <c r="D867" s="102">
        <v>28</v>
      </c>
      <c r="E867" s="18"/>
      <c r="F867" s="25">
        <f t="shared" si="98"/>
        <v>0</v>
      </c>
      <c r="G867" s="6"/>
      <c r="H867" s="6"/>
      <c r="I867" s="6"/>
      <c r="J867" s="37"/>
      <c r="K867" s="22"/>
    </row>
    <row r="868" spans="2:11" hidden="1" outlineLevel="1" x14ac:dyDescent="0.25">
      <c r="B868" s="37" t="s">
        <v>786</v>
      </c>
      <c r="C868" s="16" t="s">
        <v>24</v>
      </c>
      <c r="D868" s="102">
        <v>33</v>
      </c>
      <c r="E868" s="18"/>
      <c r="F868" s="25">
        <f t="shared" si="98"/>
        <v>0</v>
      </c>
      <c r="G868" s="6"/>
      <c r="H868" s="6"/>
      <c r="I868" s="6"/>
      <c r="J868" s="37"/>
      <c r="K868" s="22"/>
    </row>
    <row r="869" spans="2:11" hidden="1" outlineLevel="1" x14ac:dyDescent="0.25">
      <c r="B869" s="37" t="s">
        <v>787</v>
      </c>
      <c r="C869" s="16" t="s">
        <v>24</v>
      </c>
      <c r="D869" s="102">
        <v>24</v>
      </c>
      <c r="E869" s="18"/>
      <c r="F869" s="25">
        <f t="shared" si="98"/>
        <v>0</v>
      </c>
      <c r="G869" s="6"/>
      <c r="H869" s="6"/>
      <c r="I869" s="6"/>
      <c r="J869" s="37"/>
      <c r="K869" s="22"/>
    </row>
    <row r="870" spans="2:11" hidden="1" outlineLevel="1" x14ac:dyDescent="0.25">
      <c r="B870" s="37" t="s">
        <v>788</v>
      </c>
      <c r="C870" s="16" t="s">
        <v>24</v>
      </c>
      <c r="D870" s="102">
        <v>18</v>
      </c>
      <c r="E870" s="18"/>
      <c r="F870" s="25">
        <f t="shared" si="98"/>
        <v>0</v>
      </c>
      <c r="G870" s="6"/>
      <c r="H870" s="6"/>
      <c r="I870" s="6"/>
      <c r="J870" s="37"/>
      <c r="K870" s="22"/>
    </row>
    <row r="871" spans="2:11" hidden="1" outlineLevel="1" x14ac:dyDescent="0.25">
      <c r="B871" s="37" t="s">
        <v>789</v>
      </c>
      <c r="C871" s="16" t="s">
        <v>24</v>
      </c>
      <c r="D871" s="102">
        <v>20</v>
      </c>
      <c r="E871" s="18"/>
      <c r="F871" s="25">
        <f t="shared" si="98"/>
        <v>0</v>
      </c>
      <c r="G871" s="6"/>
      <c r="H871" s="6"/>
      <c r="I871" s="6"/>
      <c r="J871" s="37"/>
      <c r="K871" s="22"/>
    </row>
    <row r="872" spans="2:11" hidden="1" outlineLevel="1" x14ac:dyDescent="0.25">
      <c r="B872" s="37" t="s">
        <v>790</v>
      </c>
      <c r="C872" s="16" t="s">
        <v>24</v>
      </c>
      <c r="D872" s="102">
        <v>9</v>
      </c>
      <c r="E872" s="18"/>
      <c r="F872" s="25">
        <f t="shared" si="98"/>
        <v>0</v>
      </c>
      <c r="G872" s="6"/>
      <c r="H872" s="6"/>
      <c r="I872" s="6"/>
      <c r="J872" s="37"/>
      <c r="K872" s="22"/>
    </row>
    <row r="873" spans="2:11" hidden="1" outlineLevel="1" x14ac:dyDescent="0.25">
      <c r="B873" s="37" t="s">
        <v>791</v>
      </c>
      <c r="C873" s="16" t="s">
        <v>24</v>
      </c>
      <c r="D873" s="102">
        <v>5</v>
      </c>
      <c r="E873" s="18"/>
      <c r="F873" s="25">
        <f t="shared" si="98"/>
        <v>0</v>
      </c>
      <c r="G873" s="6"/>
      <c r="H873" s="6"/>
      <c r="I873" s="6"/>
      <c r="J873" s="37"/>
      <c r="K873" s="22"/>
    </row>
    <row r="874" spans="2:11" hidden="1" outlineLevel="1" x14ac:dyDescent="0.25">
      <c r="B874" s="37" t="s">
        <v>792</v>
      </c>
      <c r="C874" s="16" t="s">
        <v>24</v>
      </c>
      <c r="D874" s="102">
        <v>8</v>
      </c>
      <c r="E874" s="18"/>
      <c r="F874" s="25">
        <f t="shared" si="98"/>
        <v>0</v>
      </c>
      <c r="G874" s="6"/>
      <c r="H874" s="6"/>
      <c r="I874" s="6"/>
      <c r="J874" s="37"/>
      <c r="K874" s="22"/>
    </row>
    <row r="875" spans="2:11" hidden="1" outlineLevel="1" x14ac:dyDescent="0.25">
      <c r="B875" s="37" t="s">
        <v>793</v>
      </c>
      <c r="C875" s="16" t="s">
        <v>24</v>
      </c>
      <c r="D875" s="102">
        <v>6</v>
      </c>
      <c r="E875" s="18"/>
      <c r="F875" s="25">
        <f t="shared" si="98"/>
        <v>0</v>
      </c>
      <c r="G875" s="6"/>
      <c r="H875" s="6"/>
      <c r="I875" s="6"/>
      <c r="J875" s="37"/>
      <c r="K875" s="22"/>
    </row>
    <row r="876" spans="2:11" hidden="1" outlineLevel="1" x14ac:dyDescent="0.25">
      <c r="B876" s="37" t="s">
        <v>794</v>
      </c>
      <c r="C876" s="16" t="s">
        <v>24</v>
      </c>
      <c r="D876" s="102">
        <v>4</v>
      </c>
      <c r="E876" s="18"/>
      <c r="F876" s="25">
        <f t="shared" si="98"/>
        <v>0</v>
      </c>
      <c r="G876" s="6"/>
      <c r="H876" s="6"/>
      <c r="I876" s="6"/>
      <c r="J876" s="37"/>
      <c r="K876" s="22"/>
    </row>
    <row r="877" spans="2:11" hidden="1" outlineLevel="1" x14ac:dyDescent="0.25">
      <c r="B877" s="37" t="s">
        <v>795</v>
      </c>
      <c r="C877" s="16" t="s">
        <v>24</v>
      </c>
      <c r="D877" s="102">
        <v>11</v>
      </c>
      <c r="E877" s="18"/>
      <c r="F877" s="25">
        <f t="shared" si="98"/>
        <v>0</v>
      </c>
      <c r="G877" s="6"/>
      <c r="H877" s="6"/>
      <c r="I877" s="6"/>
      <c r="J877" s="37"/>
      <c r="K877" s="22"/>
    </row>
    <row r="878" spans="2:11" hidden="1" outlineLevel="1" x14ac:dyDescent="0.25">
      <c r="B878" s="37" t="s">
        <v>796</v>
      </c>
      <c r="C878" s="16" t="s">
        <v>24</v>
      </c>
      <c r="D878" s="102">
        <v>9</v>
      </c>
      <c r="E878" s="18"/>
      <c r="F878" s="25">
        <f t="shared" si="98"/>
        <v>0</v>
      </c>
      <c r="G878" s="6"/>
      <c r="H878" s="6"/>
      <c r="I878" s="6"/>
      <c r="J878" s="37"/>
      <c r="K878" s="22"/>
    </row>
    <row r="879" spans="2:11" hidden="1" outlineLevel="1" x14ac:dyDescent="0.25">
      <c r="B879" s="37" t="s">
        <v>797</v>
      </c>
      <c r="C879" s="16" t="s">
        <v>24</v>
      </c>
      <c r="D879" s="102">
        <v>5</v>
      </c>
      <c r="E879" s="18"/>
      <c r="F879" s="25">
        <f t="shared" si="98"/>
        <v>0</v>
      </c>
      <c r="G879" s="6"/>
      <c r="H879" s="6"/>
      <c r="I879" s="6"/>
      <c r="J879" s="37"/>
      <c r="K879" s="22"/>
    </row>
    <row r="880" spans="2:11" ht="30" hidden="1" outlineLevel="1" x14ac:dyDescent="0.25">
      <c r="B880" s="37" t="s">
        <v>798</v>
      </c>
      <c r="C880" s="16" t="s">
        <v>24</v>
      </c>
      <c r="D880" s="102">
        <v>9</v>
      </c>
      <c r="E880" s="18"/>
      <c r="F880" s="25">
        <f t="shared" si="98"/>
        <v>0</v>
      </c>
      <c r="G880" s="6"/>
      <c r="H880" s="6"/>
      <c r="I880" s="6"/>
      <c r="J880" s="37"/>
      <c r="K880" s="22"/>
    </row>
    <row r="881" spans="2:11" ht="30" hidden="1" outlineLevel="1" x14ac:dyDescent="0.25">
      <c r="B881" s="37" t="s">
        <v>799</v>
      </c>
      <c r="C881" s="16" t="s">
        <v>24</v>
      </c>
      <c r="D881" s="102">
        <v>7</v>
      </c>
      <c r="E881" s="18"/>
      <c r="F881" s="25">
        <f t="shared" si="98"/>
        <v>0</v>
      </c>
      <c r="G881" s="6"/>
      <c r="H881" s="6"/>
      <c r="I881" s="6"/>
      <c r="J881" s="37"/>
      <c r="K881" s="22"/>
    </row>
    <row r="882" spans="2:11" ht="30" hidden="1" outlineLevel="1" x14ac:dyDescent="0.25">
      <c r="B882" s="37" t="s">
        <v>800</v>
      </c>
      <c r="C882" s="16" t="s">
        <v>24</v>
      </c>
      <c r="D882" s="102">
        <v>4</v>
      </c>
      <c r="E882" s="18"/>
      <c r="F882" s="25">
        <f t="shared" si="98"/>
        <v>0</v>
      </c>
      <c r="G882" s="6"/>
      <c r="H882" s="6"/>
      <c r="I882" s="6"/>
      <c r="J882" s="37"/>
      <c r="K882" s="22"/>
    </row>
    <row r="883" spans="2:11" hidden="1" outlineLevel="1" x14ac:dyDescent="0.25">
      <c r="B883" s="37" t="s">
        <v>801</v>
      </c>
      <c r="C883" s="16" t="s">
        <v>24</v>
      </c>
      <c r="D883" s="102">
        <v>17</v>
      </c>
      <c r="E883" s="18"/>
      <c r="F883" s="25">
        <f t="shared" si="98"/>
        <v>0</v>
      </c>
      <c r="G883" s="6"/>
      <c r="H883" s="6"/>
      <c r="I883" s="6"/>
      <c r="J883" s="37"/>
      <c r="K883" s="22"/>
    </row>
    <row r="884" spans="2:11" hidden="1" outlineLevel="1" x14ac:dyDescent="0.25">
      <c r="B884" s="37" t="s">
        <v>802</v>
      </c>
      <c r="C884" s="16" t="s">
        <v>24</v>
      </c>
      <c r="D884" s="102">
        <v>14</v>
      </c>
      <c r="E884" s="18"/>
      <c r="F884" s="25">
        <f t="shared" si="98"/>
        <v>0</v>
      </c>
      <c r="G884" s="6"/>
      <c r="H884" s="6"/>
      <c r="I884" s="6"/>
      <c r="J884" s="37"/>
      <c r="K884" s="22"/>
    </row>
    <row r="885" spans="2:11" hidden="1" outlineLevel="1" x14ac:dyDescent="0.25">
      <c r="B885" s="37" t="s">
        <v>803</v>
      </c>
      <c r="C885" s="16" t="s">
        <v>24</v>
      </c>
      <c r="D885" s="102">
        <v>8</v>
      </c>
      <c r="E885" s="18"/>
      <c r="F885" s="25">
        <f t="shared" si="98"/>
        <v>0</v>
      </c>
      <c r="G885" s="6"/>
      <c r="H885" s="6"/>
      <c r="I885" s="6"/>
      <c r="J885" s="37"/>
      <c r="K885" s="22"/>
    </row>
    <row r="886" spans="2:11" ht="30" hidden="1" outlineLevel="1" x14ac:dyDescent="0.25">
      <c r="B886" s="37" t="s">
        <v>804</v>
      </c>
      <c r="C886" s="16" t="s">
        <v>24</v>
      </c>
      <c r="D886" s="102">
        <v>10</v>
      </c>
      <c r="E886" s="18"/>
      <c r="F886" s="25">
        <f t="shared" si="98"/>
        <v>0</v>
      </c>
      <c r="G886" s="6"/>
      <c r="H886" s="6"/>
      <c r="I886" s="6"/>
      <c r="J886" s="37"/>
      <c r="K886" s="22"/>
    </row>
    <row r="887" spans="2:11" ht="30" hidden="1" outlineLevel="1" x14ac:dyDescent="0.25">
      <c r="B887" s="37" t="s">
        <v>805</v>
      </c>
      <c r="C887" s="16" t="s">
        <v>24</v>
      </c>
      <c r="D887" s="102">
        <v>4</v>
      </c>
      <c r="E887" s="18"/>
      <c r="F887" s="25">
        <f t="shared" si="98"/>
        <v>0</v>
      </c>
      <c r="G887" s="6"/>
      <c r="H887" s="6"/>
      <c r="I887" s="6"/>
      <c r="J887" s="37"/>
      <c r="K887" s="22"/>
    </row>
    <row r="888" spans="2:11" ht="30" hidden="1" outlineLevel="1" x14ac:dyDescent="0.25">
      <c r="B888" s="37" t="s">
        <v>806</v>
      </c>
      <c r="C888" s="16" t="s">
        <v>24</v>
      </c>
      <c r="D888" s="102">
        <v>1</v>
      </c>
      <c r="E888" s="18"/>
      <c r="F888" s="25">
        <f t="shared" si="98"/>
        <v>0</v>
      </c>
      <c r="G888" s="6"/>
      <c r="H888" s="6"/>
      <c r="I888" s="6"/>
      <c r="J888" s="37"/>
      <c r="K888" s="22"/>
    </row>
    <row r="889" spans="2:11" hidden="1" outlineLevel="1" x14ac:dyDescent="0.25">
      <c r="B889" s="37" t="s">
        <v>807</v>
      </c>
      <c r="C889" s="16" t="s">
        <v>24</v>
      </c>
      <c r="D889" s="102">
        <v>19</v>
      </c>
      <c r="E889" s="18"/>
      <c r="F889" s="25">
        <f t="shared" si="98"/>
        <v>0</v>
      </c>
      <c r="G889" s="6"/>
      <c r="H889" s="6"/>
      <c r="I889" s="6"/>
      <c r="J889" s="37"/>
      <c r="K889" s="22"/>
    </row>
    <row r="890" spans="2:11" hidden="1" outlineLevel="1" x14ac:dyDescent="0.25">
      <c r="B890" s="37" t="s">
        <v>808</v>
      </c>
      <c r="C890" s="16" t="s">
        <v>24</v>
      </c>
      <c r="D890" s="102">
        <v>12</v>
      </c>
      <c r="E890" s="18"/>
      <c r="F890" s="25">
        <f t="shared" si="98"/>
        <v>0</v>
      </c>
      <c r="G890" s="6"/>
      <c r="H890" s="6"/>
      <c r="I890" s="6"/>
      <c r="J890" s="37"/>
      <c r="K890" s="22"/>
    </row>
    <row r="891" spans="2:11" hidden="1" outlineLevel="1" x14ac:dyDescent="0.25">
      <c r="B891" s="37" t="s">
        <v>809</v>
      </c>
      <c r="C891" s="16" t="s">
        <v>24</v>
      </c>
      <c r="D891" s="102">
        <v>7</v>
      </c>
      <c r="E891" s="18"/>
      <c r="F891" s="25">
        <f t="shared" si="98"/>
        <v>0</v>
      </c>
      <c r="G891" s="6"/>
      <c r="H891" s="6"/>
      <c r="I891" s="6"/>
      <c r="J891" s="37"/>
      <c r="K891" s="22"/>
    </row>
    <row r="892" spans="2:11" hidden="1" outlineLevel="1" x14ac:dyDescent="0.25">
      <c r="B892" s="37" t="s">
        <v>810</v>
      </c>
      <c r="C892" s="16" t="s">
        <v>24</v>
      </c>
      <c r="D892" s="102">
        <v>10</v>
      </c>
      <c r="E892" s="18"/>
      <c r="F892" s="25">
        <f t="shared" si="98"/>
        <v>0</v>
      </c>
      <c r="G892" s="6"/>
      <c r="H892" s="6"/>
      <c r="I892" s="6"/>
      <c r="J892" s="37"/>
      <c r="K892" s="22"/>
    </row>
    <row r="893" spans="2:11" ht="30" hidden="1" outlineLevel="1" x14ac:dyDescent="0.25">
      <c r="B893" s="37" t="s">
        <v>811</v>
      </c>
      <c r="C893" s="16" t="s">
        <v>24</v>
      </c>
      <c r="D893" s="102">
        <v>6</v>
      </c>
      <c r="E893" s="18"/>
      <c r="F893" s="25">
        <f t="shared" si="98"/>
        <v>0</v>
      </c>
      <c r="G893" s="6"/>
      <c r="H893" s="6"/>
      <c r="I893" s="6"/>
      <c r="J893" s="37"/>
      <c r="K893" s="22"/>
    </row>
    <row r="894" spans="2:11" ht="30" hidden="1" outlineLevel="1" x14ac:dyDescent="0.25">
      <c r="B894" s="37" t="s">
        <v>812</v>
      </c>
      <c r="C894" s="16" t="s">
        <v>24</v>
      </c>
      <c r="D894" s="102">
        <v>3</v>
      </c>
      <c r="E894" s="18"/>
      <c r="F894" s="25">
        <f t="shared" si="98"/>
        <v>0</v>
      </c>
      <c r="G894" s="6"/>
      <c r="H894" s="6"/>
      <c r="I894" s="6"/>
      <c r="J894" s="37"/>
      <c r="K894" s="22"/>
    </row>
    <row r="895" spans="2:11" hidden="1" outlineLevel="1" x14ac:dyDescent="0.25">
      <c r="B895" s="37" t="s">
        <v>813</v>
      </c>
      <c r="C895" s="16" t="s">
        <v>24</v>
      </c>
      <c r="D895" s="102">
        <v>6</v>
      </c>
      <c r="E895" s="18"/>
      <c r="F895" s="25">
        <f t="shared" si="98"/>
        <v>0</v>
      </c>
      <c r="G895" s="6"/>
      <c r="H895" s="6"/>
      <c r="I895" s="6"/>
      <c r="J895" s="37"/>
      <c r="K895" s="22"/>
    </row>
    <row r="896" spans="2:11" hidden="1" outlineLevel="1" x14ac:dyDescent="0.25">
      <c r="B896" s="37" t="s">
        <v>814</v>
      </c>
      <c r="C896" s="16" t="s">
        <v>24</v>
      </c>
      <c r="D896" s="102">
        <v>5</v>
      </c>
      <c r="E896" s="18"/>
      <c r="F896" s="25">
        <f t="shared" si="98"/>
        <v>0</v>
      </c>
      <c r="G896" s="6"/>
      <c r="H896" s="6"/>
      <c r="I896" s="6"/>
      <c r="J896" s="37"/>
      <c r="K896" s="22"/>
    </row>
    <row r="897" spans="2:11" hidden="1" outlineLevel="1" x14ac:dyDescent="0.25">
      <c r="B897" s="37" t="s">
        <v>815</v>
      </c>
      <c r="C897" s="16" t="s">
        <v>24</v>
      </c>
      <c r="D897" s="102">
        <v>3</v>
      </c>
      <c r="E897" s="18"/>
      <c r="F897" s="25">
        <f t="shared" si="98"/>
        <v>0</v>
      </c>
      <c r="G897" s="6"/>
      <c r="H897" s="6"/>
      <c r="I897" s="6"/>
      <c r="J897" s="37"/>
      <c r="K897" s="22"/>
    </row>
    <row r="898" spans="2:11" ht="30" hidden="1" outlineLevel="1" x14ac:dyDescent="0.25">
      <c r="B898" s="37" t="s">
        <v>816</v>
      </c>
      <c r="C898" s="16" t="s">
        <v>24</v>
      </c>
      <c r="D898" s="102">
        <v>5</v>
      </c>
      <c r="E898" s="18"/>
      <c r="F898" s="25">
        <f t="shared" si="98"/>
        <v>0</v>
      </c>
      <c r="G898" s="6"/>
      <c r="H898" s="6"/>
      <c r="I898" s="6"/>
      <c r="J898" s="37"/>
      <c r="K898" s="22"/>
    </row>
    <row r="899" spans="2:11" ht="30" hidden="1" outlineLevel="1" x14ac:dyDescent="0.25">
      <c r="B899" s="37" t="s">
        <v>817</v>
      </c>
      <c r="C899" s="16" t="s">
        <v>24</v>
      </c>
      <c r="D899" s="102">
        <v>4</v>
      </c>
      <c r="E899" s="18"/>
      <c r="F899" s="25">
        <f t="shared" si="98"/>
        <v>0</v>
      </c>
      <c r="G899" s="6"/>
      <c r="H899" s="6"/>
      <c r="I899" s="6"/>
      <c r="J899" s="37"/>
      <c r="K899" s="22"/>
    </row>
    <row r="900" spans="2:11" ht="30" hidden="1" outlineLevel="1" x14ac:dyDescent="0.25">
      <c r="B900" s="37" t="s">
        <v>818</v>
      </c>
      <c r="C900" s="16" t="s">
        <v>24</v>
      </c>
      <c r="D900" s="102">
        <v>2</v>
      </c>
      <c r="E900" s="18"/>
      <c r="F900" s="25">
        <f t="shared" si="98"/>
        <v>0</v>
      </c>
      <c r="G900" s="6"/>
      <c r="H900" s="6"/>
      <c r="I900" s="6"/>
      <c r="J900" s="37"/>
      <c r="K900" s="22"/>
    </row>
    <row r="901" spans="2:11" hidden="1" outlineLevel="1" x14ac:dyDescent="0.25">
      <c r="B901" s="108" t="s">
        <v>819</v>
      </c>
      <c r="C901" s="16"/>
      <c r="D901" s="109"/>
      <c r="E901" s="18"/>
      <c r="F901" s="25"/>
      <c r="G901" s="6"/>
      <c r="H901" s="6"/>
      <c r="I901" s="6"/>
      <c r="J901" s="37"/>
      <c r="K901" s="22"/>
    </row>
    <row r="902" spans="2:11" hidden="1" outlineLevel="1" x14ac:dyDescent="0.25">
      <c r="B902" s="37" t="s">
        <v>820</v>
      </c>
      <c r="C902" s="16" t="s">
        <v>24</v>
      </c>
      <c r="D902" s="102">
        <v>30</v>
      </c>
      <c r="E902" s="18"/>
      <c r="F902" s="25">
        <f t="shared" si="98"/>
        <v>0</v>
      </c>
      <c r="G902" s="6"/>
      <c r="H902" s="6"/>
      <c r="I902" s="6"/>
      <c r="J902" s="37"/>
      <c r="K902" s="22"/>
    </row>
    <row r="903" spans="2:11" hidden="1" outlineLevel="1" x14ac:dyDescent="0.25">
      <c r="B903" s="37" t="s">
        <v>821</v>
      </c>
      <c r="C903" s="16" t="s">
        <v>24</v>
      </c>
      <c r="D903" s="102">
        <v>20</v>
      </c>
      <c r="E903" s="18"/>
      <c r="F903" s="25">
        <f t="shared" si="98"/>
        <v>0</v>
      </c>
      <c r="G903" s="6"/>
      <c r="H903" s="6"/>
      <c r="I903" s="6"/>
      <c r="J903" s="37"/>
      <c r="K903" s="22"/>
    </row>
    <row r="904" spans="2:11" hidden="1" outlineLevel="1" x14ac:dyDescent="0.25">
      <c r="B904" s="37" t="s">
        <v>822</v>
      </c>
      <c r="C904" s="16" t="s">
        <v>24</v>
      </c>
      <c r="D904" s="102">
        <v>10</v>
      </c>
      <c r="E904" s="18"/>
      <c r="F904" s="25">
        <f t="shared" si="98"/>
        <v>0</v>
      </c>
      <c r="G904" s="6"/>
      <c r="H904" s="6"/>
      <c r="I904" s="6"/>
      <c r="J904" s="37"/>
      <c r="K904" s="22"/>
    </row>
    <row r="905" spans="2:11" hidden="1" outlineLevel="1" x14ac:dyDescent="0.25">
      <c r="B905" s="37" t="s">
        <v>823</v>
      </c>
      <c r="C905" s="16" t="s">
        <v>24</v>
      </c>
      <c r="D905" s="102">
        <v>10</v>
      </c>
      <c r="E905" s="18"/>
      <c r="F905" s="25">
        <f t="shared" si="98"/>
        <v>0</v>
      </c>
      <c r="G905" s="6"/>
      <c r="H905" s="6"/>
      <c r="I905" s="6"/>
      <c r="J905" s="37"/>
      <c r="K905" s="22"/>
    </row>
    <row r="906" spans="2:11" hidden="1" outlineLevel="1" x14ac:dyDescent="0.25">
      <c r="B906" s="37" t="s">
        <v>824</v>
      </c>
      <c r="C906" s="16" t="s">
        <v>24</v>
      </c>
      <c r="D906" s="102">
        <v>10</v>
      </c>
      <c r="E906" s="18"/>
      <c r="F906" s="25">
        <f t="shared" si="98"/>
        <v>0</v>
      </c>
      <c r="G906" s="6"/>
      <c r="H906" s="6"/>
      <c r="I906" s="6"/>
      <c r="J906" s="37"/>
      <c r="K906" s="22"/>
    </row>
    <row r="907" spans="2:11" hidden="1" outlineLevel="1" x14ac:dyDescent="0.25">
      <c r="B907" s="37" t="s">
        <v>825</v>
      </c>
      <c r="C907" s="16" t="s">
        <v>24</v>
      </c>
      <c r="D907" s="102">
        <v>5</v>
      </c>
      <c r="E907" s="18"/>
      <c r="F907" s="25">
        <f t="shared" si="98"/>
        <v>0</v>
      </c>
      <c r="G907" s="6"/>
      <c r="H907" s="6"/>
      <c r="I907" s="6"/>
      <c r="J907" s="37"/>
      <c r="K907" s="22"/>
    </row>
    <row r="908" spans="2:11" hidden="1" outlineLevel="1" x14ac:dyDescent="0.25">
      <c r="B908" s="37" t="s">
        <v>826</v>
      </c>
      <c r="C908" s="16" t="s">
        <v>24</v>
      </c>
      <c r="D908" s="102">
        <v>2</v>
      </c>
      <c r="E908" s="18"/>
      <c r="F908" s="25">
        <f t="shared" si="98"/>
        <v>0</v>
      </c>
      <c r="G908" s="6"/>
      <c r="H908" s="6"/>
      <c r="I908" s="6"/>
      <c r="J908" s="37"/>
      <c r="K908" s="22"/>
    </row>
    <row r="909" spans="2:11" hidden="1" outlineLevel="1" x14ac:dyDescent="0.25">
      <c r="B909" s="37" t="s">
        <v>827</v>
      </c>
      <c r="C909" s="16" t="s">
        <v>24</v>
      </c>
      <c r="D909" s="102">
        <v>2</v>
      </c>
      <c r="E909" s="18"/>
      <c r="F909" s="25">
        <f t="shared" si="98"/>
        <v>0</v>
      </c>
      <c r="G909" s="6"/>
      <c r="H909" s="6"/>
      <c r="I909" s="6"/>
      <c r="J909" s="37"/>
      <c r="K909" s="22"/>
    </row>
    <row r="910" spans="2:11" hidden="1" outlineLevel="1" x14ac:dyDescent="0.25">
      <c r="B910" s="37" t="s">
        <v>828</v>
      </c>
      <c r="C910" s="16" t="s">
        <v>24</v>
      </c>
      <c r="D910" s="102">
        <v>30</v>
      </c>
      <c r="E910" s="18"/>
      <c r="F910" s="25">
        <f t="shared" si="98"/>
        <v>0</v>
      </c>
      <c r="G910" s="6"/>
      <c r="H910" s="6"/>
      <c r="I910" s="6"/>
      <c r="J910" s="37"/>
      <c r="K910" s="22"/>
    </row>
    <row r="911" spans="2:11" hidden="1" outlineLevel="1" x14ac:dyDescent="0.25">
      <c r="B911" s="37" t="s">
        <v>829</v>
      </c>
      <c r="C911" s="16" t="s">
        <v>24</v>
      </c>
      <c r="D911" s="102">
        <v>20</v>
      </c>
      <c r="E911" s="18"/>
      <c r="F911" s="25">
        <f t="shared" si="98"/>
        <v>0</v>
      </c>
      <c r="G911" s="6"/>
      <c r="H911" s="6"/>
      <c r="I911" s="6"/>
      <c r="J911" s="37"/>
      <c r="K911" s="22"/>
    </row>
    <row r="912" spans="2:11" hidden="1" outlineLevel="1" x14ac:dyDescent="0.25">
      <c r="B912" s="37" t="s">
        <v>830</v>
      </c>
      <c r="C912" s="16" t="s">
        <v>24</v>
      </c>
      <c r="D912" s="102">
        <v>10</v>
      </c>
      <c r="E912" s="18"/>
      <c r="F912" s="25">
        <f t="shared" si="98"/>
        <v>0</v>
      </c>
      <c r="G912" s="6"/>
      <c r="H912" s="6"/>
      <c r="I912" s="6"/>
      <c r="J912" s="37"/>
      <c r="K912" s="22"/>
    </row>
    <row r="913" spans="2:11" hidden="1" outlineLevel="1" x14ac:dyDescent="0.25">
      <c r="B913" s="37" t="s">
        <v>831</v>
      </c>
      <c r="C913" s="16" t="s">
        <v>18</v>
      </c>
      <c r="D913" s="102">
        <v>24</v>
      </c>
      <c r="E913" s="18"/>
      <c r="F913" s="25">
        <f>IF(E913="S",D913,0)</f>
        <v>0</v>
      </c>
      <c r="G913" s="6"/>
      <c r="H913" s="6"/>
      <c r="I913" s="6"/>
      <c r="J913" s="37"/>
      <c r="K913" s="22"/>
    </row>
    <row r="914" spans="2:11" hidden="1" outlineLevel="1" x14ac:dyDescent="0.25">
      <c r="B914" s="37" t="s">
        <v>832</v>
      </c>
      <c r="C914" s="16" t="s">
        <v>18</v>
      </c>
      <c r="D914" s="102">
        <v>10</v>
      </c>
      <c r="E914" s="18"/>
      <c r="F914" s="25">
        <f>IF(E914="S",D914,0)</f>
        <v>0</v>
      </c>
      <c r="G914" s="6"/>
      <c r="H914" s="6"/>
      <c r="I914" s="6"/>
      <c r="J914" s="37"/>
      <c r="K914" s="22"/>
    </row>
    <row r="915" spans="2:11" hidden="1" outlineLevel="1" x14ac:dyDescent="0.25">
      <c r="B915" s="112" t="s">
        <v>2025</v>
      </c>
      <c r="C915" s="49"/>
      <c r="D915" s="102"/>
      <c r="E915" s="18"/>
      <c r="F915" s="25"/>
      <c r="G915" s="6"/>
      <c r="H915" s="6"/>
      <c r="I915" s="6"/>
      <c r="J915" s="37"/>
      <c r="K915" s="22"/>
    </row>
    <row r="916" spans="2:11" hidden="1" outlineLevel="1" x14ac:dyDescent="0.25">
      <c r="B916" s="224" t="s">
        <v>783</v>
      </c>
      <c r="C916" s="49" t="s">
        <v>24</v>
      </c>
      <c r="D916" s="102">
        <v>33</v>
      </c>
      <c r="E916" s="18"/>
      <c r="F916" s="25">
        <f t="shared" ref="F916:F951" si="99">D916*E916</f>
        <v>0</v>
      </c>
      <c r="G916" s="6"/>
      <c r="H916" s="6"/>
      <c r="I916" s="6"/>
      <c r="J916" s="37"/>
      <c r="K916" s="22"/>
    </row>
    <row r="917" spans="2:11" hidden="1" outlineLevel="1" x14ac:dyDescent="0.25">
      <c r="B917" s="224" t="s">
        <v>784</v>
      </c>
      <c r="C917" s="49" t="s">
        <v>24</v>
      </c>
      <c r="D917" s="102">
        <v>19</v>
      </c>
      <c r="E917" s="18"/>
      <c r="F917" s="25">
        <f t="shared" si="99"/>
        <v>0</v>
      </c>
      <c r="G917" s="6"/>
      <c r="H917" s="6"/>
      <c r="I917" s="6"/>
      <c r="J917" s="37"/>
      <c r="K917" s="22"/>
    </row>
    <row r="918" spans="2:11" hidden="1" outlineLevel="1" x14ac:dyDescent="0.25">
      <c r="B918" s="224" t="s">
        <v>785</v>
      </c>
      <c r="C918" s="49" t="s">
        <v>24</v>
      </c>
      <c r="D918" s="102">
        <v>16</v>
      </c>
      <c r="E918" s="18"/>
      <c r="F918" s="25">
        <f t="shared" si="99"/>
        <v>0</v>
      </c>
      <c r="G918" s="6"/>
      <c r="H918" s="6"/>
      <c r="I918" s="6"/>
      <c r="J918" s="37"/>
      <c r="K918" s="22"/>
    </row>
    <row r="919" spans="2:11" hidden="1" outlineLevel="1" x14ac:dyDescent="0.25">
      <c r="B919" s="116" t="s">
        <v>786</v>
      </c>
      <c r="C919" s="49" t="s">
        <v>24</v>
      </c>
      <c r="D919" s="102">
        <v>19</v>
      </c>
      <c r="E919" s="18"/>
      <c r="F919" s="25">
        <f t="shared" si="99"/>
        <v>0</v>
      </c>
      <c r="G919" s="6"/>
      <c r="H919" s="6"/>
      <c r="I919" s="6"/>
      <c r="J919" s="37"/>
      <c r="K919" s="22"/>
    </row>
    <row r="920" spans="2:11" hidden="1" outlineLevel="1" x14ac:dyDescent="0.25">
      <c r="B920" s="116" t="s">
        <v>787</v>
      </c>
      <c r="C920" s="49" t="s">
        <v>24</v>
      </c>
      <c r="D920" s="102">
        <v>14</v>
      </c>
      <c r="E920" s="18"/>
      <c r="F920" s="25">
        <f t="shared" si="99"/>
        <v>0</v>
      </c>
      <c r="G920" s="6"/>
      <c r="H920" s="6"/>
      <c r="I920" s="6"/>
      <c r="J920" s="37"/>
      <c r="K920" s="22"/>
    </row>
    <row r="921" spans="2:11" hidden="1" outlineLevel="1" x14ac:dyDescent="0.25">
      <c r="B921" s="116" t="s">
        <v>788</v>
      </c>
      <c r="C921" s="49" t="s">
        <v>24</v>
      </c>
      <c r="D921" s="102">
        <v>10</v>
      </c>
      <c r="E921" s="18"/>
      <c r="F921" s="25">
        <f t="shared" si="99"/>
        <v>0</v>
      </c>
      <c r="G921" s="6"/>
      <c r="H921" s="6"/>
      <c r="I921" s="6"/>
      <c r="J921" s="37"/>
      <c r="K921" s="22"/>
    </row>
    <row r="922" spans="2:11" hidden="1" outlineLevel="1" x14ac:dyDescent="0.25">
      <c r="B922" s="224" t="s">
        <v>789</v>
      </c>
      <c r="C922" s="49" t="s">
        <v>24</v>
      </c>
      <c r="D922" s="102">
        <v>16</v>
      </c>
      <c r="E922" s="18"/>
      <c r="F922" s="25">
        <f t="shared" si="99"/>
        <v>0</v>
      </c>
      <c r="G922" s="6"/>
      <c r="H922" s="6"/>
      <c r="I922" s="6"/>
      <c r="J922" s="37"/>
      <c r="K922" s="22"/>
    </row>
    <row r="923" spans="2:11" hidden="1" outlineLevel="1" x14ac:dyDescent="0.25">
      <c r="B923" s="224" t="s">
        <v>790</v>
      </c>
      <c r="C923" s="49" t="s">
        <v>24</v>
      </c>
      <c r="D923" s="102">
        <v>8</v>
      </c>
      <c r="E923" s="18"/>
      <c r="F923" s="25">
        <f t="shared" si="99"/>
        <v>0</v>
      </c>
      <c r="G923" s="6"/>
      <c r="H923" s="6"/>
      <c r="I923" s="6"/>
      <c r="J923" s="37"/>
      <c r="K923" s="22"/>
    </row>
    <row r="924" spans="2:11" hidden="1" outlineLevel="1" x14ac:dyDescent="0.25">
      <c r="B924" s="224" t="s">
        <v>791</v>
      </c>
      <c r="C924" s="49" t="s">
        <v>24</v>
      </c>
      <c r="D924" s="102">
        <v>4</v>
      </c>
      <c r="E924" s="18"/>
      <c r="F924" s="25">
        <f t="shared" si="99"/>
        <v>0</v>
      </c>
      <c r="G924" s="6"/>
      <c r="H924" s="6"/>
      <c r="I924" s="6"/>
      <c r="J924" s="37"/>
      <c r="K924" s="22"/>
    </row>
    <row r="925" spans="2:11" hidden="1" outlineLevel="1" x14ac:dyDescent="0.25">
      <c r="B925" s="116" t="s">
        <v>792</v>
      </c>
      <c r="C925" s="49" t="s">
        <v>24</v>
      </c>
      <c r="D925" s="102">
        <v>6</v>
      </c>
      <c r="E925" s="18"/>
      <c r="F925" s="25">
        <f t="shared" si="99"/>
        <v>0</v>
      </c>
      <c r="G925" s="6"/>
      <c r="H925" s="6"/>
      <c r="I925" s="6"/>
      <c r="J925" s="37"/>
      <c r="K925" s="22"/>
    </row>
    <row r="926" spans="2:11" hidden="1" outlineLevel="1" x14ac:dyDescent="0.25">
      <c r="B926" s="116" t="s">
        <v>793</v>
      </c>
      <c r="C926" s="49" t="s">
        <v>24</v>
      </c>
      <c r="D926" s="102">
        <v>4</v>
      </c>
      <c r="E926" s="18"/>
      <c r="F926" s="25">
        <f t="shared" si="99"/>
        <v>0</v>
      </c>
      <c r="G926" s="6"/>
      <c r="H926" s="6"/>
      <c r="I926" s="6"/>
      <c r="J926" s="37"/>
      <c r="K926" s="22"/>
    </row>
    <row r="927" spans="2:11" hidden="1" outlineLevel="1" x14ac:dyDescent="0.25">
      <c r="B927" s="116" t="s">
        <v>794</v>
      </c>
      <c r="C927" s="49" t="s">
        <v>24</v>
      </c>
      <c r="D927" s="102">
        <v>3</v>
      </c>
      <c r="E927" s="18"/>
      <c r="F927" s="25">
        <f t="shared" si="99"/>
        <v>0</v>
      </c>
      <c r="G927" s="6"/>
      <c r="H927" s="6"/>
      <c r="I927" s="6"/>
      <c r="J927" s="37"/>
      <c r="K927" s="22"/>
    </row>
    <row r="928" spans="2:11" hidden="1" outlineLevel="1" x14ac:dyDescent="0.25">
      <c r="B928" s="224" t="s">
        <v>795</v>
      </c>
      <c r="C928" s="49" t="s">
        <v>24</v>
      </c>
      <c r="D928" s="102">
        <v>6</v>
      </c>
      <c r="E928" s="18"/>
      <c r="F928" s="25">
        <f t="shared" si="99"/>
        <v>0</v>
      </c>
      <c r="G928" s="6"/>
      <c r="H928" s="6"/>
      <c r="I928" s="6"/>
      <c r="J928" s="37"/>
      <c r="K928" s="22"/>
    </row>
    <row r="929" spans="2:11" hidden="1" outlineLevel="1" x14ac:dyDescent="0.25">
      <c r="B929" s="224" t="s">
        <v>796</v>
      </c>
      <c r="C929" s="49" t="s">
        <v>24</v>
      </c>
      <c r="D929" s="102">
        <v>5</v>
      </c>
      <c r="E929" s="18"/>
      <c r="F929" s="25">
        <f t="shared" si="99"/>
        <v>0</v>
      </c>
      <c r="G929" s="6"/>
      <c r="H929" s="6"/>
      <c r="I929" s="6"/>
      <c r="J929" s="37"/>
      <c r="K929" s="22"/>
    </row>
    <row r="930" spans="2:11" hidden="1" outlineLevel="1" x14ac:dyDescent="0.25">
      <c r="B930" s="224" t="s">
        <v>797</v>
      </c>
      <c r="C930" s="49" t="s">
        <v>24</v>
      </c>
      <c r="D930" s="102">
        <v>3</v>
      </c>
      <c r="E930" s="18"/>
      <c r="F930" s="25">
        <f t="shared" si="99"/>
        <v>0</v>
      </c>
      <c r="G930" s="6"/>
      <c r="H930" s="6"/>
      <c r="I930" s="6"/>
      <c r="J930" s="37"/>
      <c r="K930" s="22"/>
    </row>
    <row r="931" spans="2:11" ht="30" hidden="1" outlineLevel="1" x14ac:dyDescent="0.25">
      <c r="B931" s="116" t="s">
        <v>798</v>
      </c>
      <c r="C931" s="49" t="s">
        <v>24</v>
      </c>
      <c r="D931" s="102">
        <v>5</v>
      </c>
      <c r="E931" s="18"/>
      <c r="F931" s="25">
        <f t="shared" si="99"/>
        <v>0</v>
      </c>
      <c r="G931" s="6"/>
      <c r="H931" s="6"/>
      <c r="I931" s="6"/>
      <c r="J931" s="37"/>
      <c r="K931" s="22"/>
    </row>
    <row r="932" spans="2:11" ht="30" hidden="1" outlineLevel="1" x14ac:dyDescent="0.25">
      <c r="B932" s="116" t="s">
        <v>799</v>
      </c>
      <c r="C932" s="49" t="s">
        <v>24</v>
      </c>
      <c r="D932" s="102">
        <v>4</v>
      </c>
      <c r="E932" s="18"/>
      <c r="F932" s="25">
        <f t="shared" si="99"/>
        <v>0</v>
      </c>
      <c r="G932" s="6"/>
      <c r="H932" s="6"/>
      <c r="I932" s="6"/>
      <c r="J932" s="37"/>
      <c r="K932" s="22"/>
    </row>
    <row r="933" spans="2:11" ht="30" hidden="1" outlineLevel="1" x14ac:dyDescent="0.25">
      <c r="B933" s="116" t="s">
        <v>800</v>
      </c>
      <c r="C933" s="49" t="s">
        <v>24</v>
      </c>
      <c r="D933" s="102">
        <v>3</v>
      </c>
      <c r="E933" s="18"/>
      <c r="F933" s="25">
        <f t="shared" si="99"/>
        <v>0</v>
      </c>
      <c r="G933" s="6"/>
      <c r="H933" s="6"/>
      <c r="I933" s="6"/>
      <c r="J933" s="37"/>
      <c r="K933" s="22"/>
    </row>
    <row r="934" spans="2:11" hidden="1" outlineLevel="1" x14ac:dyDescent="0.25">
      <c r="B934" s="224" t="s">
        <v>801</v>
      </c>
      <c r="C934" s="49" t="s">
        <v>24</v>
      </c>
      <c r="D934" s="102">
        <v>10</v>
      </c>
      <c r="E934" s="18"/>
      <c r="F934" s="25">
        <f t="shared" si="99"/>
        <v>0</v>
      </c>
      <c r="G934" s="6"/>
      <c r="H934" s="6"/>
      <c r="I934" s="6"/>
      <c r="J934" s="37"/>
      <c r="K934" s="22"/>
    </row>
    <row r="935" spans="2:11" hidden="1" outlineLevel="1" x14ac:dyDescent="0.25">
      <c r="B935" s="224" t="s">
        <v>802</v>
      </c>
      <c r="C935" s="49" t="s">
        <v>24</v>
      </c>
      <c r="D935" s="102">
        <v>8</v>
      </c>
      <c r="E935" s="18"/>
      <c r="F935" s="25">
        <f t="shared" si="99"/>
        <v>0</v>
      </c>
      <c r="G935" s="6"/>
      <c r="H935" s="6"/>
      <c r="I935" s="6"/>
      <c r="J935" s="37"/>
      <c r="K935" s="22"/>
    </row>
    <row r="936" spans="2:11" hidden="1" outlineLevel="1" x14ac:dyDescent="0.25">
      <c r="B936" s="224" t="s">
        <v>803</v>
      </c>
      <c r="C936" s="49" t="s">
        <v>24</v>
      </c>
      <c r="D936" s="102">
        <v>5</v>
      </c>
      <c r="E936" s="18"/>
      <c r="F936" s="25">
        <f t="shared" si="99"/>
        <v>0</v>
      </c>
      <c r="G936" s="6"/>
      <c r="H936" s="6"/>
      <c r="I936" s="6"/>
      <c r="J936" s="37"/>
      <c r="K936" s="22"/>
    </row>
    <row r="937" spans="2:11" ht="30" hidden="1" outlineLevel="1" x14ac:dyDescent="0.25">
      <c r="B937" s="116" t="s">
        <v>804</v>
      </c>
      <c r="C937" s="49" t="s">
        <v>24</v>
      </c>
      <c r="D937" s="102">
        <v>6</v>
      </c>
      <c r="E937" s="18"/>
      <c r="F937" s="25">
        <f t="shared" si="99"/>
        <v>0</v>
      </c>
      <c r="G937" s="6"/>
      <c r="H937" s="6"/>
      <c r="I937" s="6"/>
      <c r="J937" s="37"/>
      <c r="K937" s="22"/>
    </row>
    <row r="938" spans="2:11" ht="30" hidden="1" outlineLevel="1" x14ac:dyDescent="0.25">
      <c r="B938" s="116" t="s">
        <v>805</v>
      </c>
      <c r="C938" s="49" t="s">
        <v>24</v>
      </c>
      <c r="D938" s="102">
        <v>3</v>
      </c>
      <c r="E938" s="18"/>
      <c r="F938" s="25">
        <f t="shared" si="99"/>
        <v>0</v>
      </c>
      <c r="G938" s="6"/>
      <c r="H938" s="6"/>
      <c r="I938" s="6"/>
      <c r="J938" s="37"/>
      <c r="K938" s="22"/>
    </row>
    <row r="939" spans="2:11" ht="30" hidden="1" outlineLevel="1" x14ac:dyDescent="0.25">
      <c r="B939" s="116" t="s">
        <v>806</v>
      </c>
      <c r="C939" s="49" t="s">
        <v>24</v>
      </c>
      <c r="D939" s="102">
        <v>1</v>
      </c>
      <c r="E939" s="18"/>
      <c r="F939" s="25">
        <f t="shared" si="99"/>
        <v>0</v>
      </c>
      <c r="G939" s="6"/>
      <c r="H939" s="6"/>
      <c r="I939" s="6"/>
      <c r="J939" s="37"/>
      <c r="K939" s="22"/>
    </row>
    <row r="940" spans="2:11" hidden="1" outlineLevel="1" x14ac:dyDescent="0.25">
      <c r="B940" s="224" t="s">
        <v>807</v>
      </c>
      <c r="C940" s="49" t="s">
        <v>24</v>
      </c>
      <c r="D940" s="102">
        <v>11</v>
      </c>
      <c r="E940" s="18"/>
      <c r="F940" s="25">
        <f t="shared" si="99"/>
        <v>0</v>
      </c>
      <c r="G940" s="6"/>
      <c r="H940" s="6"/>
      <c r="I940" s="6"/>
      <c r="J940" s="37"/>
      <c r="K940" s="22"/>
    </row>
    <row r="941" spans="2:11" hidden="1" outlineLevel="1" x14ac:dyDescent="0.25">
      <c r="B941" s="224" t="s">
        <v>808</v>
      </c>
      <c r="C941" s="49" t="s">
        <v>24</v>
      </c>
      <c r="D941" s="102">
        <v>7</v>
      </c>
      <c r="E941" s="18"/>
      <c r="F941" s="25">
        <f t="shared" si="99"/>
        <v>0</v>
      </c>
      <c r="G941" s="6"/>
      <c r="H941" s="6"/>
      <c r="I941" s="6"/>
      <c r="J941" s="37"/>
      <c r="K941" s="22"/>
    </row>
    <row r="942" spans="2:11" hidden="1" outlineLevel="1" x14ac:dyDescent="0.25">
      <c r="B942" s="224" t="s">
        <v>809</v>
      </c>
      <c r="C942" s="49" t="s">
        <v>24</v>
      </c>
      <c r="D942" s="102">
        <v>4</v>
      </c>
      <c r="E942" s="18"/>
      <c r="F942" s="25">
        <f t="shared" si="99"/>
        <v>0</v>
      </c>
      <c r="G942" s="6"/>
      <c r="H942" s="6"/>
      <c r="I942" s="6"/>
      <c r="J942" s="37"/>
      <c r="K942" s="22"/>
    </row>
    <row r="943" spans="2:11" hidden="1" outlineLevel="1" x14ac:dyDescent="0.25">
      <c r="B943" s="116" t="s">
        <v>810</v>
      </c>
      <c r="C943" s="49" t="s">
        <v>24</v>
      </c>
      <c r="D943" s="102">
        <v>6</v>
      </c>
      <c r="E943" s="18"/>
      <c r="F943" s="25">
        <f t="shared" si="99"/>
        <v>0</v>
      </c>
      <c r="G943" s="6"/>
      <c r="H943" s="6"/>
      <c r="I943" s="6"/>
      <c r="J943" s="37"/>
      <c r="K943" s="22"/>
    </row>
    <row r="944" spans="2:11" ht="30" hidden="1" outlineLevel="1" x14ac:dyDescent="0.25">
      <c r="B944" s="116" t="s">
        <v>811</v>
      </c>
      <c r="C944" s="49" t="s">
        <v>24</v>
      </c>
      <c r="D944" s="102">
        <v>4</v>
      </c>
      <c r="E944" s="18"/>
      <c r="F944" s="25">
        <f t="shared" si="99"/>
        <v>0</v>
      </c>
      <c r="G944" s="6"/>
      <c r="H944" s="6"/>
      <c r="I944" s="6"/>
      <c r="J944" s="37"/>
      <c r="K944" s="22"/>
    </row>
    <row r="945" spans="1:11" ht="30" hidden="1" outlineLevel="1" x14ac:dyDescent="0.25">
      <c r="B945" s="116" t="s">
        <v>812</v>
      </c>
      <c r="C945" s="49" t="s">
        <v>24</v>
      </c>
      <c r="D945" s="102">
        <v>2</v>
      </c>
      <c r="E945" s="18"/>
      <c r="F945" s="25">
        <f t="shared" si="99"/>
        <v>0</v>
      </c>
      <c r="G945" s="6"/>
      <c r="H945" s="6"/>
      <c r="I945" s="6"/>
      <c r="J945" s="37"/>
      <c r="K945" s="22"/>
    </row>
    <row r="946" spans="1:11" hidden="1" outlineLevel="1" x14ac:dyDescent="0.25">
      <c r="B946" s="224" t="s">
        <v>813</v>
      </c>
      <c r="C946" s="49" t="s">
        <v>24</v>
      </c>
      <c r="D946" s="102">
        <v>4</v>
      </c>
      <c r="E946" s="18"/>
      <c r="F946" s="25">
        <f t="shared" si="99"/>
        <v>0</v>
      </c>
      <c r="G946" s="6"/>
      <c r="H946" s="6"/>
      <c r="I946" s="6"/>
      <c r="J946" s="37"/>
      <c r="K946" s="22"/>
    </row>
    <row r="947" spans="1:11" hidden="1" outlineLevel="1" x14ac:dyDescent="0.25">
      <c r="B947" s="224" t="s">
        <v>814</v>
      </c>
      <c r="C947" s="49" t="s">
        <v>24</v>
      </c>
      <c r="D947" s="102">
        <v>3</v>
      </c>
      <c r="E947" s="18"/>
      <c r="F947" s="25">
        <f t="shared" si="99"/>
        <v>0</v>
      </c>
      <c r="G947" s="6"/>
      <c r="H947" s="6"/>
      <c r="I947" s="6"/>
      <c r="J947" s="37"/>
      <c r="K947" s="22"/>
    </row>
    <row r="948" spans="1:11" hidden="1" outlineLevel="1" x14ac:dyDescent="0.25">
      <c r="B948" s="224" t="s">
        <v>815</v>
      </c>
      <c r="C948" s="49" t="s">
        <v>24</v>
      </c>
      <c r="D948" s="102">
        <v>2</v>
      </c>
      <c r="E948" s="18"/>
      <c r="F948" s="25">
        <f t="shared" si="99"/>
        <v>0</v>
      </c>
      <c r="G948" s="6"/>
      <c r="H948" s="6"/>
      <c r="I948" s="6"/>
      <c r="J948" s="37"/>
      <c r="K948" s="22"/>
    </row>
    <row r="949" spans="1:11" ht="30" hidden="1" outlineLevel="1" x14ac:dyDescent="0.25">
      <c r="B949" s="116" t="s">
        <v>816</v>
      </c>
      <c r="C949" s="49" t="s">
        <v>24</v>
      </c>
      <c r="D949" s="102">
        <v>3</v>
      </c>
      <c r="E949" s="18"/>
      <c r="F949" s="25">
        <f t="shared" si="99"/>
        <v>0</v>
      </c>
      <c r="G949" s="6"/>
      <c r="H949" s="6"/>
      <c r="I949" s="6"/>
      <c r="J949" s="37"/>
      <c r="K949" s="22"/>
    </row>
    <row r="950" spans="1:11" ht="30" hidden="1" outlineLevel="1" x14ac:dyDescent="0.25">
      <c r="B950" s="116" t="s">
        <v>817</v>
      </c>
      <c r="C950" s="49" t="s">
        <v>24</v>
      </c>
      <c r="D950" s="102">
        <v>2</v>
      </c>
      <c r="E950" s="18"/>
      <c r="F950" s="25">
        <f t="shared" si="99"/>
        <v>0</v>
      </c>
      <c r="G950" s="6"/>
      <c r="H950" s="6"/>
      <c r="I950" s="6"/>
      <c r="J950" s="37"/>
      <c r="K950" s="22"/>
    </row>
    <row r="951" spans="1:11" ht="30" hidden="1" outlineLevel="1" x14ac:dyDescent="0.25">
      <c r="B951" s="116" t="s">
        <v>818</v>
      </c>
      <c r="C951" s="49" t="s">
        <v>24</v>
      </c>
      <c r="D951" s="102">
        <v>1</v>
      </c>
      <c r="E951" s="18"/>
      <c r="F951" s="25">
        <f t="shared" si="99"/>
        <v>0</v>
      </c>
      <c r="G951" s="6"/>
      <c r="H951" s="6"/>
      <c r="I951" s="6"/>
      <c r="J951" s="37"/>
      <c r="K951" s="22"/>
    </row>
    <row r="952" spans="1:11" collapsed="1" x14ac:dyDescent="0.25">
      <c r="B952" s="15" t="s">
        <v>833</v>
      </c>
      <c r="C952" s="16" t="s">
        <v>18</v>
      </c>
      <c r="D952" s="106">
        <f>SUM(F865:F951)</f>
        <v>0</v>
      </c>
      <c r="E952" s="18"/>
      <c r="F952" s="25">
        <f>IF(E952="S",D952,0)</f>
        <v>0</v>
      </c>
      <c r="G952" s="6"/>
      <c r="H952" s="6"/>
      <c r="I952" s="6"/>
      <c r="J952" s="37" t="str">
        <f>IF(E952="S","Abrir o sub item do critério OSS Workflow de Dados para o preenchimento dos campos.","Se envolver OSS Workflow de Dados digite S e expanda o critério para preencher.")</f>
        <v>Se envolver OSS Workflow de Dados digite S e expanda o critério para preencher.</v>
      </c>
      <c r="K952" s="22"/>
    </row>
    <row r="953" spans="1:11" s="121" customFormat="1" hidden="1" outlineLevel="1" x14ac:dyDescent="0.25">
      <c r="A953" s="4"/>
      <c r="B953" s="26" t="s">
        <v>834</v>
      </c>
      <c r="C953" s="26"/>
      <c r="D953" s="27"/>
      <c r="E953" s="27"/>
      <c r="F953" s="27"/>
      <c r="G953" s="27"/>
      <c r="H953" s="27"/>
      <c r="I953" s="27"/>
      <c r="J953" s="26"/>
      <c r="K953" s="120"/>
    </row>
    <row r="954" spans="1:11" s="121" customFormat="1" hidden="1" outlineLevel="1" x14ac:dyDescent="0.25">
      <c r="A954" s="4"/>
      <c r="B954" s="37" t="s">
        <v>835</v>
      </c>
      <c r="C954" s="16" t="s">
        <v>24</v>
      </c>
      <c r="D954" s="16">
        <v>100</v>
      </c>
      <c r="E954" s="18"/>
      <c r="F954" s="25">
        <f t="shared" ref="F954:F960" si="100">D954*E954</f>
        <v>0</v>
      </c>
      <c r="G954" s="6"/>
      <c r="H954" s="6"/>
      <c r="I954" s="6"/>
      <c r="J954" s="37"/>
      <c r="K954" s="120"/>
    </row>
    <row r="955" spans="1:11" s="121" customFormat="1" hidden="1" outlineLevel="1" x14ac:dyDescent="0.25">
      <c r="A955" s="4"/>
      <c r="B955" s="37" t="s">
        <v>836</v>
      </c>
      <c r="C955" s="16" t="s">
        <v>24</v>
      </c>
      <c r="D955" s="16">
        <v>0.5</v>
      </c>
      <c r="E955" s="18"/>
      <c r="F955" s="25">
        <f t="shared" si="100"/>
        <v>0</v>
      </c>
      <c r="G955" s="6"/>
      <c r="H955" s="6"/>
      <c r="I955" s="6"/>
      <c r="J955" s="37" t="s">
        <v>837</v>
      </c>
      <c r="K955" s="120"/>
    </row>
    <row r="956" spans="1:11" s="121" customFormat="1" hidden="1" outlineLevel="1" x14ac:dyDescent="0.25">
      <c r="A956" s="4"/>
      <c r="B956" s="37" t="s">
        <v>838</v>
      </c>
      <c r="C956" s="16" t="s">
        <v>24</v>
      </c>
      <c r="D956" s="16">
        <v>20</v>
      </c>
      <c r="E956" s="18"/>
      <c r="F956" s="25">
        <f t="shared" si="100"/>
        <v>0</v>
      </c>
      <c r="G956" s="6"/>
      <c r="H956" s="6"/>
      <c r="I956" s="6"/>
      <c r="J956" s="37"/>
      <c r="K956" s="120"/>
    </row>
    <row r="957" spans="1:11" s="121" customFormat="1" hidden="1" outlineLevel="1" x14ac:dyDescent="0.25">
      <c r="A957" s="4"/>
      <c r="B957" s="37" t="s">
        <v>839</v>
      </c>
      <c r="C957" s="16" t="s">
        <v>24</v>
      </c>
      <c r="D957" s="16">
        <v>25</v>
      </c>
      <c r="E957" s="18"/>
      <c r="F957" s="25">
        <f t="shared" si="100"/>
        <v>0</v>
      </c>
      <c r="G957" s="6"/>
      <c r="H957" s="6"/>
      <c r="I957" s="6"/>
      <c r="J957" s="37" t="s">
        <v>840</v>
      </c>
      <c r="K957" s="120"/>
    </row>
    <row r="958" spans="1:11" s="121" customFormat="1" hidden="1" outlineLevel="1" x14ac:dyDescent="0.25">
      <c r="A958" s="4"/>
      <c r="B958" s="37" t="s">
        <v>841</v>
      </c>
      <c r="C958" s="16" t="s">
        <v>24</v>
      </c>
      <c r="D958" s="16">
        <v>25</v>
      </c>
      <c r="E958" s="18"/>
      <c r="F958" s="25">
        <f t="shared" si="100"/>
        <v>0</v>
      </c>
      <c r="G958" s="6"/>
      <c r="H958" s="6"/>
      <c r="I958" s="6"/>
      <c r="J958" s="37" t="s">
        <v>842</v>
      </c>
      <c r="K958" s="120"/>
    </row>
    <row r="959" spans="1:11" s="121" customFormat="1" hidden="1" outlineLevel="1" x14ac:dyDescent="0.25">
      <c r="A959" s="4"/>
      <c r="B959" s="37" t="s">
        <v>843</v>
      </c>
      <c r="C959" s="16" t="s">
        <v>24</v>
      </c>
      <c r="D959" s="16">
        <v>250</v>
      </c>
      <c r="E959" s="18"/>
      <c r="F959" s="25">
        <f t="shared" si="100"/>
        <v>0</v>
      </c>
      <c r="G959" s="6"/>
      <c r="H959" s="6"/>
      <c r="I959" s="6"/>
      <c r="J959" s="37" t="s">
        <v>842</v>
      </c>
      <c r="K959" s="120"/>
    </row>
    <row r="960" spans="1:11" s="121" customFormat="1" hidden="1" outlineLevel="1" x14ac:dyDescent="0.25">
      <c r="A960" s="4"/>
      <c r="B960" s="37" t="s">
        <v>844</v>
      </c>
      <c r="C960" s="16" t="s">
        <v>24</v>
      </c>
      <c r="D960" s="16">
        <v>200</v>
      </c>
      <c r="E960" s="18"/>
      <c r="F960" s="25">
        <f t="shared" si="100"/>
        <v>0</v>
      </c>
      <c r="G960" s="6"/>
      <c r="H960" s="6"/>
      <c r="I960" s="6"/>
      <c r="J960" s="37"/>
      <c r="K960" s="120"/>
    </row>
    <row r="961" spans="1:11" s="121" customFormat="1" collapsed="1" x14ac:dyDescent="0.25">
      <c r="A961" s="4"/>
      <c r="B961" s="15" t="s">
        <v>834</v>
      </c>
      <c r="C961" s="16" t="s">
        <v>18</v>
      </c>
      <c r="D961" s="106">
        <f>SUM(F954:F960)</f>
        <v>0</v>
      </c>
      <c r="E961" s="18"/>
      <c r="F961" s="25">
        <f>IF(E961="S",D961,0)</f>
        <v>0</v>
      </c>
      <c r="G961" s="6"/>
      <c r="H961" s="6"/>
      <c r="I961" s="6"/>
      <c r="J961" s="37" t="str">
        <f>IF(E961="S","Abrir o sub item do critério Cobrança e Crédito para o preenchimento dos campos.","Se envolver Cobrança e Crédito digite S e expanda o critério para preencher.")</f>
        <v>Se envolver Cobrança e Crédito digite S e expanda o critério para preencher.</v>
      </c>
      <c r="K961" s="120"/>
    </row>
    <row r="962" spans="1:11" hidden="1" outlineLevel="1" x14ac:dyDescent="0.25">
      <c r="B962" s="26" t="s">
        <v>845</v>
      </c>
      <c r="C962" s="26"/>
      <c r="D962" s="27"/>
      <c r="E962" s="27"/>
      <c r="F962" s="27"/>
      <c r="G962" s="27"/>
      <c r="H962" s="27"/>
      <c r="I962" s="27"/>
      <c r="J962" s="26"/>
      <c r="K962" s="22"/>
    </row>
    <row r="963" spans="1:11" s="121" customFormat="1" hidden="1" outlineLevel="1" x14ac:dyDescent="0.25">
      <c r="A963" s="4"/>
      <c r="B963" s="6"/>
      <c r="C963" s="16" t="s">
        <v>18</v>
      </c>
      <c r="D963" s="122"/>
      <c r="E963" s="18"/>
      <c r="F963" s="25">
        <f>IF(E963="S",D963,0)</f>
        <v>0</v>
      </c>
      <c r="G963" s="6"/>
      <c r="H963" s="6"/>
      <c r="I963" s="6"/>
      <c r="J963" s="37"/>
      <c r="K963" s="120"/>
    </row>
    <row r="964" spans="1:11" s="121" customFormat="1" hidden="1" outlineLevel="1" x14ac:dyDescent="0.25">
      <c r="A964" s="4"/>
      <c r="B964" s="6"/>
      <c r="C964" s="16" t="s">
        <v>18</v>
      </c>
      <c r="D964" s="122"/>
      <c r="E964" s="18"/>
      <c r="F964" s="25">
        <f t="shared" ref="F964:F975" si="101">IF(E964="S",D964,0)</f>
        <v>0</v>
      </c>
      <c r="G964" s="6"/>
      <c r="H964" s="6"/>
      <c r="I964" s="6"/>
      <c r="J964" s="37"/>
      <c r="K964" s="120"/>
    </row>
    <row r="965" spans="1:11" s="121" customFormat="1" hidden="1" outlineLevel="1" x14ac:dyDescent="0.25">
      <c r="A965" s="4"/>
      <c r="B965" s="6"/>
      <c r="C965" s="16" t="s">
        <v>18</v>
      </c>
      <c r="D965" s="122"/>
      <c r="E965" s="18"/>
      <c r="F965" s="25">
        <f t="shared" si="101"/>
        <v>0</v>
      </c>
      <c r="G965" s="6"/>
      <c r="H965" s="6"/>
      <c r="I965" s="6"/>
      <c r="J965" s="37"/>
      <c r="K965" s="120"/>
    </row>
    <row r="966" spans="1:11" s="121" customFormat="1" hidden="1" outlineLevel="1" x14ac:dyDescent="0.25">
      <c r="A966" s="4"/>
      <c r="B966" s="6"/>
      <c r="C966" s="16" t="s">
        <v>18</v>
      </c>
      <c r="D966" s="122"/>
      <c r="E966" s="18"/>
      <c r="F966" s="25">
        <f t="shared" si="101"/>
        <v>0</v>
      </c>
      <c r="G966" s="6"/>
      <c r="H966" s="6"/>
      <c r="I966" s="6"/>
      <c r="J966" s="37"/>
      <c r="K966" s="120"/>
    </row>
    <row r="967" spans="1:11" s="121" customFormat="1" hidden="1" outlineLevel="1" x14ac:dyDescent="0.25">
      <c r="A967" s="4"/>
      <c r="B967" s="6"/>
      <c r="C967" s="16" t="s">
        <v>18</v>
      </c>
      <c r="D967" s="122"/>
      <c r="E967" s="18"/>
      <c r="F967" s="25">
        <f t="shared" si="101"/>
        <v>0</v>
      </c>
      <c r="G967" s="6"/>
      <c r="H967" s="6"/>
      <c r="I967" s="6"/>
      <c r="J967" s="37"/>
      <c r="K967" s="120"/>
    </row>
    <row r="968" spans="1:11" s="121" customFormat="1" hidden="1" outlineLevel="1" x14ac:dyDescent="0.25">
      <c r="A968" s="4"/>
      <c r="B968" s="6"/>
      <c r="C968" s="16" t="s">
        <v>18</v>
      </c>
      <c r="D968" s="122"/>
      <c r="E968" s="18"/>
      <c r="F968" s="25">
        <f t="shared" si="101"/>
        <v>0</v>
      </c>
      <c r="G968" s="6"/>
      <c r="H968" s="6"/>
      <c r="I968" s="6"/>
      <c r="J968" s="37"/>
      <c r="K968" s="120"/>
    </row>
    <row r="969" spans="1:11" s="121" customFormat="1" hidden="1" outlineLevel="1" x14ac:dyDescent="0.25">
      <c r="A969" s="4"/>
      <c r="B969" s="6"/>
      <c r="C969" s="16" t="s">
        <v>18</v>
      </c>
      <c r="D969" s="122"/>
      <c r="E969" s="18"/>
      <c r="F969" s="25">
        <f t="shared" si="101"/>
        <v>0</v>
      </c>
      <c r="G969" s="6"/>
      <c r="H969" s="6"/>
      <c r="I969" s="6"/>
      <c r="J969" s="37"/>
      <c r="K969" s="120"/>
    </row>
    <row r="970" spans="1:11" s="121" customFormat="1" hidden="1" outlineLevel="1" x14ac:dyDescent="0.25">
      <c r="A970" s="4"/>
      <c r="B970" s="6"/>
      <c r="C970" s="16" t="s">
        <v>18</v>
      </c>
      <c r="D970" s="122"/>
      <c r="E970" s="18"/>
      <c r="F970" s="25">
        <f t="shared" si="101"/>
        <v>0</v>
      </c>
      <c r="G970" s="6"/>
      <c r="H970" s="6"/>
      <c r="I970" s="6"/>
      <c r="J970" s="37"/>
      <c r="K970" s="120"/>
    </row>
    <row r="971" spans="1:11" s="121" customFormat="1" hidden="1" outlineLevel="1" x14ac:dyDescent="0.25">
      <c r="A971" s="4"/>
      <c r="B971" s="6"/>
      <c r="C971" s="16" t="s">
        <v>18</v>
      </c>
      <c r="D971" s="122"/>
      <c r="E971" s="18"/>
      <c r="F971" s="25">
        <f t="shared" si="101"/>
        <v>0</v>
      </c>
      <c r="G971" s="6"/>
      <c r="H971" s="6"/>
      <c r="I971" s="6"/>
      <c r="J971" s="37"/>
      <c r="K971" s="120"/>
    </row>
    <row r="972" spans="1:11" s="121" customFormat="1" hidden="1" outlineLevel="1" x14ac:dyDescent="0.25">
      <c r="A972" s="4"/>
      <c r="B972" s="6"/>
      <c r="C972" s="16" t="s">
        <v>18</v>
      </c>
      <c r="D972" s="122"/>
      <c r="E972" s="18"/>
      <c r="F972" s="25">
        <f t="shared" si="101"/>
        <v>0</v>
      </c>
      <c r="G972" s="6"/>
      <c r="H972" s="6"/>
      <c r="I972" s="6"/>
      <c r="J972" s="37"/>
      <c r="K972" s="120"/>
    </row>
    <row r="973" spans="1:11" s="121" customFormat="1" hidden="1" outlineLevel="1" x14ac:dyDescent="0.25">
      <c r="A973" s="4"/>
      <c r="B973" s="6"/>
      <c r="C973" s="16" t="s">
        <v>18</v>
      </c>
      <c r="D973" s="122"/>
      <c r="E973" s="18"/>
      <c r="F973" s="25">
        <f t="shared" si="101"/>
        <v>0</v>
      </c>
      <c r="G973" s="6"/>
      <c r="H973" s="6"/>
      <c r="I973" s="6"/>
      <c r="J973" s="37"/>
      <c r="K973" s="120"/>
    </row>
    <row r="974" spans="1:11" s="121" customFormat="1" hidden="1" outlineLevel="1" x14ac:dyDescent="0.25">
      <c r="A974" s="4"/>
      <c r="B974" s="6"/>
      <c r="C974" s="16" t="s">
        <v>18</v>
      </c>
      <c r="D974" s="122"/>
      <c r="E974" s="18"/>
      <c r="F974" s="25">
        <f t="shared" si="101"/>
        <v>0</v>
      </c>
      <c r="G974" s="6"/>
      <c r="H974" s="6"/>
      <c r="I974" s="6"/>
      <c r="J974" s="37"/>
      <c r="K974" s="120"/>
    </row>
    <row r="975" spans="1:11" s="121" customFormat="1" hidden="1" outlineLevel="1" x14ac:dyDescent="0.25">
      <c r="A975" s="4"/>
      <c r="B975" s="6"/>
      <c r="C975" s="16" t="s">
        <v>18</v>
      </c>
      <c r="D975" s="122"/>
      <c r="E975" s="18"/>
      <c r="F975" s="25">
        <f t="shared" si="101"/>
        <v>0</v>
      </c>
      <c r="G975" s="6"/>
      <c r="H975" s="6"/>
      <c r="I975" s="6"/>
      <c r="J975" s="37"/>
      <c r="K975" s="120"/>
    </row>
    <row r="976" spans="1:11" s="121" customFormat="1" collapsed="1" x14ac:dyDescent="0.25">
      <c r="A976" s="4"/>
      <c r="B976" s="123" t="s">
        <v>845</v>
      </c>
      <c r="C976" s="16" t="s">
        <v>18</v>
      </c>
      <c r="D976" s="106">
        <f>SUM(F963:F975)</f>
        <v>0</v>
      </c>
      <c r="E976" s="18"/>
      <c r="F976" s="25">
        <f>IF(E976="S",D976,0)</f>
        <v>0</v>
      </c>
      <c r="G976" s="6"/>
      <c r="H976" s="6"/>
      <c r="I976" s="6"/>
      <c r="J976" s="37" t="s">
        <v>846</v>
      </c>
      <c r="K976" s="120"/>
    </row>
    <row r="977" spans="1:11" s="121" customFormat="1" hidden="1" outlineLevel="1" x14ac:dyDescent="0.25">
      <c r="A977" s="4"/>
      <c r="B977" s="26" t="s">
        <v>847</v>
      </c>
      <c r="C977" s="26"/>
      <c r="D977" s="27"/>
      <c r="E977" s="27"/>
      <c r="F977" s="27"/>
      <c r="G977" s="27"/>
      <c r="H977" s="27"/>
      <c r="I977" s="27"/>
      <c r="J977" s="26"/>
      <c r="K977" s="120"/>
    </row>
    <row r="978" spans="1:11" s="121" customFormat="1" ht="45" hidden="1" outlineLevel="1" x14ac:dyDescent="0.25">
      <c r="A978" s="4"/>
      <c r="B978" s="37" t="s">
        <v>848</v>
      </c>
      <c r="C978" s="16" t="s">
        <v>24</v>
      </c>
      <c r="D978" s="16">
        <v>25</v>
      </c>
      <c r="E978" s="18"/>
      <c r="F978" s="25">
        <f>E978*D978</f>
        <v>0</v>
      </c>
      <c r="G978" s="6"/>
      <c r="H978" s="6"/>
      <c r="I978" s="6"/>
      <c r="J978" s="37" t="s">
        <v>849</v>
      </c>
      <c r="K978" s="120"/>
    </row>
    <row r="979" spans="1:11" s="121" customFormat="1" ht="60" hidden="1" outlineLevel="1" x14ac:dyDescent="0.25">
      <c r="A979" s="4"/>
      <c r="B979" s="37" t="s">
        <v>850</v>
      </c>
      <c r="C979" s="16" t="s">
        <v>24</v>
      </c>
      <c r="D979" s="124"/>
      <c r="E979" s="18"/>
      <c r="F979" s="25" t="str">
        <f>IF(E979=0,"",IF(E979="&lt;=3",SUM(F5,F6,F481,F649,F658,F676,F686,F710,F716,F734,F746,F862,F952,F961,F962)*20%,IF(E979=4,SUM(F5,F6,F481,F649,F658,F676,F686,F710,F716,F734,F746,F862,F952,F961,F962)*15%,IF(E979="&gt;=5",SUM(F5,F6,F481,F649,F658,F676,F686,F710,F716,F734,F746,F862,F952,F961,F962)*13%))))</f>
        <v/>
      </c>
      <c r="G979" s="6"/>
      <c r="H979" s="6"/>
      <c r="I979" s="6"/>
      <c r="J979" s="37" t="s">
        <v>851</v>
      </c>
      <c r="K979" s="120"/>
    </row>
    <row r="980" spans="1:11" collapsed="1" x14ac:dyDescent="0.25">
      <c r="B980" s="15" t="s">
        <v>847</v>
      </c>
      <c r="C980" s="16" t="s">
        <v>18</v>
      </c>
      <c r="D980" s="106">
        <f>SUM(F978:F979)</f>
        <v>0</v>
      </c>
      <c r="E980" s="18"/>
      <c r="F980" s="25">
        <f>IF(E980="S",D980,0)</f>
        <v>0</v>
      </c>
      <c r="G980" s="6"/>
      <c r="H980" s="6"/>
      <c r="I980" s="6"/>
      <c r="J980" s="37" t="s">
        <v>852</v>
      </c>
      <c r="K980" s="22"/>
    </row>
    <row r="981" spans="1:11" s="121" customFormat="1" hidden="1" outlineLevel="1" x14ac:dyDescent="0.25">
      <c r="A981" s="4"/>
      <c r="B981" s="26" t="s">
        <v>706</v>
      </c>
      <c r="C981" s="26"/>
      <c r="D981" s="27"/>
      <c r="E981" s="27"/>
      <c r="F981" s="27"/>
      <c r="G981" s="27"/>
      <c r="H981" s="27"/>
      <c r="I981" s="27"/>
      <c r="J981" s="26"/>
      <c r="K981" s="120"/>
    </row>
    <row r="982" spans="1:11" s="121" customFormat="1" ht="30" hidden="1" outlineLevel="1" x14ac:dyDescent="0.25">
      <c r="A982" s="4"/>
      <c r="B982" s="37" t="s">
        <v>853</v>
      </c>
      <c r="C982" s="25" t="s">
        <v>18</v>
      </c>
      <c r="D982" s="125">
        <v>0.2</v>
      </c>
      <c r="E982" s="18"/>
      <c r="F982" s="25">
        <f>IF(E982="S",SUM(F246,F481,F649,F676,F686,F710,F716,F734,F746,F862,F952,F961,F976,F980)*20%,0)</f>
        <v>0</v>
      </c>
      <c r="G982" s="25"/>
      <c r="H982" s="25"/>
      <c r="I982" s="25"/>
      <c r="J982" s="100" t="s">
        <v>854</v>
      </c>
      <c r="K982" s="120"/>
    </row>
    <row r="983" spans="1:11" ht="15" hidden="1" customHeight="1" outlineLevel="1" x14ac:dyDescent="0.25">
      <c r="B983" s="37" t="s">
        <v>855</v>
      </c>
      <c r="C983" s="25" t="s">
        <v>18</v>
      </c>
      <c r="D983" s="16">
        <v>25</v>
      </c>
      <c r="E983" s="18"/>
      <c r="F983" s="25">
        <f t="shared" ref="F983:F985" si="102">IF(E983="S",D983,0)</f>
        <v>0</v>
      </c>
      <c r="G983" s="25"/>
      <c r="H983" s="25"/>
      <c r="I983" s="25"/>
      <c r="J983" s="37" t="s">
        <v>856</v>
      </c>
      <c r="K983" s="22"/>
    </row>
    <row r="984" spans="1:11" s="121" customFormat="1" ht="15" hidden="1" customHeight="1" outlineLevel="1" x14ac:dyDescent="0.25">
      <c r="A984" s="4"/>
      <c r="B984" s="37" t="s">
        <v>857</v>
      </c>
      <c r="C984" s="16" t="s">
        <v>24</v>
      </c>
      <c r="D984" s="122"/>
      <c r="E984" s="18"/>
      <c r="F984" s="25">
        <f>E984*D984</f>
        <v>0</v>
      </c>
      <c r="G984" s="25"/>
      <c r="H984" s="25"/>
      <c r="I984" s="25"/>
      <c r="J984" s="37" t="s">
        <v>858</v>
      </c>
      <c r="K984" s="120"/>
    </row>
    <row r="985" spans="1:11" s="121" customFormat="1" hidden="1" outlineLevel="1" x14ac:dyDescent="0.25">
      <c r="A985" s="4"/>
      <c r="B985" s="37" t="s">
        <v>859</v>
      </c>
      <c r="C985" s="25" t="s">
        <v>18</v>
      </c>
      <c r="D985" s="16">
        <v>25</v>
      </c>
      <c r="E985" s="18"/>
      <c r="F985" s="25">
        <f t="shared" si="102"/>
        <v>0</v>
      </c>
      <c r="G985" s="25"/>
      <c r="H985" s="25"/>
      <c r="I985" s="25"/>
      <c r="J985" s="126"/>
      <c r="K985" s="120"/>
    </row>
    <row r="986" spans="1:11" s="121" customFormat="1" collapsed="1" x14ac:dyDescent="0.25">
      <c r="A986" s="4"/>
      <c r="B986" s="15" t="s">
        <v>706</v>
      </c>
      <c r="C986" s="16" t="s">
        <v>18</v>
      </c>
      <c r="D986" s="106"/>
      <c r="E986" s="18"/>
      <c r="F986" s="127"/>
      <c r="G986" s="127"/>
      <c r="H986" s="127"/>
      <c r="I986" s="127"/>
      <c r="J986" s="126"/>
      <c r="K986" s="120"/>
    </row>
    <row r="987" spans="1:11" ht="61.5" customHeight="1" x14ac:dyDescent="0.25">
      <c r="B987" s="15" t="s">
        <v>860</v>
      </c>
      <c r="C987" s="16" t="s">
        <v>18</v>
      </c>
      <c r="D987" s="128"/>
      <c r="E987" s="18"/>
      <c r="F987" s="19"/>
      <c r="G987" s="20"/>
      <c r="H987" s="20"/>
      <c r="I987" s="20"/>
      <c r="J987" s="21" t="s">
        <v>861</v>
      </c>
      <c r="K987" s="22"/>
    </row>
    <row r="988" spans="1:11" ht="45.75" customHeight="1" x14ac:dyDescent="0.25">
      <c r="B988" s="129"/>
      <c r="C988" s="129"/>
      <c r="D988" s="14" t="str">
        <f>IF(E982="S","Valor com Teste Integrado (Em R$ K)","Valor sem Teste Integrado (Em R$ K)")</f>
        <v>Valor sem Teste Integrado (Em R$ K)</v>
      </c>
      <c r="E988" s="14"/>
      <c r="F988" s="130">
        <f>SUM(F246,F481,F649,F658,F676,F686,F710,F716,F734,F746,F862,F952,F961,F976,F980,F982:F985,F986:F987)</f>
        <v>0</v>
      </c>
      <c r="G988" s="130"/>
      <c r="H988" s="130"/>
      <c r="I988" s="130"/>
      <c r="J988" s="131" t="str">
        <f>IF(E982="S","Envolve Teste Integrado. Soma de 20% do valor total do desenvolvimento.","")</f>
        <v/>
      </c>
      <c r="K988" s="22"/>
    </row>
    <row r="989" spans="1:11" ht="35.25" hidden="1" customHeight="1" outlineLevel="1" x14ac:dyDescent="0.25">
      <c r="A989" s="132"/>
      <c r="B989" s="133" t="s">
        <v>862</v>
      </c>
      <c r="C989" s="132"/>
      <c r="D989" s="134"/>
      <c r="E989" s="134"/>
      <c r="F989" s="135"/>
      <c r="G989" s="135"/>
      <c r="H989" s="135"/>
      <c r="I989" s="135"/>
      <c r="J989" s="136"/>
      <c r="K989" s="22"/>
    </row>
    <row r="990" spans="1:11" ht="30" hidden="1" customHeight="1" outlineLevel="1" x14ac:dyDescent="0.25">
      <c r="A990" s="225" t="s">
        <v>862</v>
      </c>
      <c r="B990" s="137" t="s">
        <v>863</v>
      </c>
      <c r="C990" s="16" t="s">
        <v>24</v>
      </c>
      <c r="D990" s="25">
        <v>15</v>
      </c>
      <c r="E990" s="18"/>
      <c r="F990" s="25">
        <f t="shared" ref="F990:F995" si="103">E990*D990</f>
        <v>0</v>
      </c>
      <c r="G990" s="25"/>
      <c r="H990" s="25"/>
      <c r="I990" s="25"/>
      <c r="J990" s="137" t="s">
        <v>864</v>
      </c>
      <c r="K990" s="22"/>
    </row>
    <row r="991" spans="1:11" hidden="1" outlineLevel="1" x14ac:dyDescent="0.25">
      <c r="A991" s="225"/>
      <c r="B991" s="137" t="s">
        <v>865</v>
      </c>
      <c r="C991" s="16" t="s">
        <v>24</v>
      </c>
      <c r="D991" s="25">
        <v>20</v>
      </c>
      <c r="E991" s="18"/>
      <c r="F991" s="25">
        <f t="shared" si="103"/>
        <v>0</v>
      </c>
      <c r="G991" s="25"/>
      <c r="H991" s="25"/>
      <c r="I991" s="25"/>
      <c r="J991" s="137"/>
      <c r="K991" s="22"/>
    </row>
    <row r="992" spans="1:11" hidden="1" outlineLevel="1" x14ac:dyDescent="0.25">
      <c r="A992" s="225"/>
      <c r="B992" s="137" t="s">
        <v>866</v>
      </c>
      <c r="C992" s="16" t="s">
        <v>24</v>
      </c>
      <c r="D992" s="25">
        <v>80</v>
      </c>
      <c r="E992" s="18"/>
      <c r="F992" s="25">
        <f t="shared" si="103"/>
        <v>0</v>
      </c>
      <c r="G992" s="25"/>
      <c r="H992" s="25"/>
      <c r="I992" s="25"/>
      <c r="J992" s="137"/>
      <c r="K992" s="22"/>
    </row>
    <row r="993" spans="1:11" hidden="1" outlineLevel="1" x14ac:dyDescent="0.25">
      <c r="A993" s="225"/>
      <c r="B993" s="137" t="s">
        <v>867</v>
      </c>
      <c r="C993" s="16" t="s">
        <v>24</v>
      </c>
      <c r="D993" s="25">
        <v>200</v>
      </c>
      <c r="E993" s="18"/>
      <c r="F993" s="25">
        <f t="shared" si="103"/>
        <v>0</v>
      </c>
      <c r="G993" s="25"/>
      <c r="H993" s="25"/>
      <c r="I993" s="25"/>
      <c r="J993" s="137"/>
      <c r="K993" s="22"/>
    </row>
    <row r="994" spans="1:11" hidden="1" outlineLevel="1" x14ac:dyDescent="0.25">
      <c r="A994" s="225"/>
      <c r="B994" s="137" t="s">
        <v>868</v>
      </c>
      <c r="C994" s="16" t="s">
        <v>24</v>
      </c>
      <c r="D994" s="25">
        <v>30</v>
      </c>
      <c r="E994" s="18"/>
      <c r="F994" s="25">
        <f t="shared" si="103"/>
        <v>0</v>
      </c>
      <c r="G994" s="25"/>
      <c r="H994" s="25"/>
      <c r="I994" s="25"/>
      <c r="J994" s="137"/>
      <c r="K994" s="22"/>
    </row>
    <row r="995" spans="1:11" hidden="1" outlineLevel="1" x14ac:dyDescent="0.25">
      <c r="A995" s="225"/>
      <c r="B995" s="137" t="s">
        <v>869</v>
      </c>
      <c r="C995" s="16" t="s">
        <v>24</v>
      </c>
      <c r="D995" s="25">
        <v>3</v>
      </c>
      <c r="E995" s="18"/>
      <c r="F995" s="25">
        <f t="shared" si="103"/>
        <v>0</v>
      </c>
      <c r="G995" s="25"/>
      <c r="H995" s="25"/>
      <c r="I995" s="25"/>
      <c r="J995" s="137"/>
      <c r="K995" s="22"/>
    </row>
    <row r="996" spans="1:11" hidden="1" outlineLevel="1" x14ac:dyDescent="0.25">
      <c r="A996" s="225"/>
      <c r="B996" s="137" t="s">
        <v>870</v>
      </c>
      <c r="C996" s="25" t="s">
        <v>18</v>
      </c>
      <c r="D996" s="25">
        <v>200</v>
      </c>
      <c r="E996" s="18"/>
      <c r="F996" s="25">
        <f t="shared" ref="F996:F1004" si="104">IF(E996="S",D996,0)</f>
        <v>0</v>
      </c>
      <c r="G996" s="25"/>
      <c r="H996" s="25"/>
      <c r="I996" s="25"/>
      <c r="J996" s="137" t="s">
        <v>871</v>
      </c>
      <c r="K996" s="22"/>
    </row>
    <row r="997" spans="1:11" hidden="1" outlineLevel="1" x14ac:dyDescent="0.25">
      <c r="A997" s="225"/>
      <c r="B997" s="137" t="s">
        <v>872</v>
      </c>
      <c r="C997" s="25" t="s">
        <v>18</v>
      </c>
      <c r="D997" s="25">
        <v>100</v>
      </c>
      <c r="E997" s="18"/>
      <c r="F997" s="25">
        <f t="shared" si="104"/>
        <v>0</v>
      </c>
      <c r="G997" s="25"/>
      <c r="H997" s="25"/>
      <c r="I997" s="25"/>
      <c r="J997" s="137" t="s">
        <v>873</v>
      </c>
      <c r="K997" s="22"/>
    </row>
    <row r="998" spans="1:11" hidden="1" outlineLevel="1" x14ac:dyDescent="0.25">
      <c r="A998" s="225"/>
      <c r="B998" s="137" t="s">
        <v>874</v>
      </c>
      <c r="C998" s="25" t="s">
        <v>18</v>
      </c>
      <c r="D998" s="25"/>
      <c r="E998" s="18"/>
      <c r="F998" s="25">
        <f t="shared" si="104"/>
        <v>0</v>
      </c>
      <c r="G998" s="25"/>
      <c r="H998" s="25"/>
      <c r="I998" s="25"/>
      <c r="J998" s="137" t="s">
        <v>875</v>
      </c>
      <c r="K998" s="22"/>
    </row>
    <row r="999" spans="1:11" hidden="1" outlineLevel="1" x14ac:dyDescent="0.25">
      <c r="A999" s="225"/>
      <c r="B999" s="137" t="s">
        <v>876</v>
      </c>
      <c r="C999" s="25" t="s">
        <v>18</v>
      </c>
      <c r="D999" s="25"/>
      <c r="E999" s="18"/>
      <c r="F999" s="25">
        <f t="shared" si="104"/>
        <v>0</v>
      </c>
      <c r="G999" s="25"/>
      <c r="H999" s="25"/>
      <c r="I999" s="25"/>
      <c r="J999" s="137"/>
      <c r="K999" s="22"/>
    </row>
    <row r="1000" spans="1:11" hidden="1" outlineLevel="1" x14ac:dyDescent="0.25">
      <c r="A1000" s="225"/>
      <c r="B1000" s="137" t="s">
        <v>877</v>
      </c>
      <c r="C1000" s="25" t="s">
        <v>18</v>
      </c>
      <c r="D1000" s="25"/>
      <c r="E1000" s="18"/>
      <c r="F1000" s="25">
        <f t="shared" si="104"/>
        <v>0</v>
      </c>
      <c r="G1000" s="25"/>
      <c r="H1000" s="25"/>
      <c r="I1000" s="25"/>
      <c r="J1000" s="137"/>
      <c r="K1000" s="22"/>
    </row>
    <row r="1001" spans="1:11" hidden="1" outlineLevel="1" x14ac:dyDescent="0.25">
      <c r="A1001" s="225"/>
      <c r="B1001" s="137" t="s">
        <v>878</v>
      </c>
      <c r="C1001" s="25" t="s">
        <v>18</v>
      </c>
      <c r="D1001" s="25"/>
      <c r="E1001" s="18"/>
      <c r="F1001" s="25">
        <f t="shared" si="104"/>
        <v>0</v>
      </c>
      <c r="G1001" s="25"/>
      <c r="H1001" s="25"/>
      <c r="I1001" s="25"/>
      <c r="J1001" s="137"/>
      <c r="K1001" s="22"/>
    </row>
    <row r="1002" spans="1:11" hidden="1" outlineLevel="1" x14ac:dyDescent="0.25">
      <c r="A1002" s="225"/>
      <c r="B1002" s="137" t="s">
        <v>879</v>
      </c>
      <c r="C1002" s="25" t="s">
        <v>18</v>
      </c>
      <c r="D1002" s="25"/>
      <c r="E1002" s="18"/>
      <c r="F1002" s="25">
        <f t="shared" si="104"/>
        <v>0</v>
      </c>
      <c r="G1002" s="25"/>
      <c r="H1002" s="25"/>
      <c r="I1002" s="25"/>
      <c r="J1002" s="137"/>
      <c r="K1002" s="22"/>
    </row>
    <row r="1003" spans="1:11" ht="30" hidden="1" outlineLevel="1" x14ac:dyDescent="0.25">
      <c r="A1003" s="225"/>
      <c r="B1003" s="137" t="s">
        <v>880</v>
      </c>
      <c r="C1003" s="25" t="s">
        <v>18</v>
      </c>
      <c r="D1003" s="25"/>
      <c r="E1003" s="18"/>
      <c r="F1003" s="25">
        <f t="shared" si="104"/>
        <v>0</v>
      </c>
      <c r="G1003" s="25"/>
      <c r="H1003" s="25"/>
      <c r="I1003" s="25"/>
      <c r="J1003" s="137" t="s">
        <v>881</v>
      </c>
      <c r="K1003" s="22"/>
    </row>
    <row r="1004" spans="1:11" ht="30" hidden="1" outlineLevel="1" x14ac:dyDescent="0.25">
      <c r="A1004" s="225"/>
      <c r="B1004" s="137" t="s">
        <v>882</v>
      </c>
      <c r="C1004" s="25" t="s">
        <v>18</v>
      </c>
      <c r="D1004" s="25"/>
      <c r="E1004" s="18"/>
      <c r="F1004" s="25">
        <f t="shared" si="104"/>
        <v>0</v>
      </c>
      <c r="G1004" s="25"/>
      <c r="H1004" s="25"/>
      <c r="I1004" s="25"/>
      <c r="J1004" s="137" t="s">
        <v>881</v>
      </c>
      <c r="K1004" s="22"/>
    </row>
    <row r="1005" spans="1:11" ht="29.25" hidden="1" customHeight="1" outlineLevel="1" x14ac:dyDescent="0.25">
      <c r="A1005" s="226"/>
      <c r="B1005" s="138"/>
      <c r="C1005" s="139"/>
      <c r="D1005" s="140" t="s">
        <v>883</v>
      </c>
      <c r="E1005" s="140"/>
      <c r="F1005" s="130">
        <f>IF(E1006="S",SUM(F990:F1004),0)</f>
        <v>0</v>
      </c>
      <c r="G1005" s="130"/>
      <c r="H1005" s="130"/>
      <c r="I1005" s="130"/>
      <c r="J1005" s="138" t="str">
        <f>IF(E1004="S","Envolver ponto focal de infraestrutura para auxiliar na elaboração da macro-estimativa de infra. ","")</f>
        <v/>
      </c>
      <c r="K1005" s="22"/>
    </row>
    <row r="1006" spans="1:11" ht="45" collapsed="1" x14ac:dyDescent="0.25">
      <c r="A1006" s="141"/>
      <c r="B1006" s="141" t="s">
        <v>884</v>
      </c>
      <c r="C1006" s="142" t="s">
        <v>18</v>
      </c>
      <c r="D1006" s="143"/>
      <c r="E1006" s="18"/>
      <c r="F1006" s="140"/>
      <c r="G1006" s="140"/>
      <c r="H1006" s="140"/>
      <c r="I1006" s="140"/>
      <c r="J1006" s="144" t="str">
        <f>IF(E1006="","Se impactar Infra, digite o S na caixa de respostas ao lado e expanda o item (+) para preencher os critérios de Infraestrutura. Se não impacta, digite N, ou deixe em branco. Lembre-se: Os valores de infra só serão contados se marcar S.",IF(E1006="N","Não impacta Infraestrutura.",IF(E1006="S","Impacta Infraestrutura. Favor clicar no + ao lado esquerdo para expandir a lista e preencha os critérios necessários.")))</f>
        <v>Se impactar Infra, digite o S na caixa de respostas ao lado e expanda o item (+) para preencher os critérios de Infraestrutura. Se não impacta, digite N, ou deixe em branco. Lembre-se: Os valores de infra só serão contados se marcar S.</v>
      </c>
      <c r="K1006" s="22"/>
    </row>
    <row r="1007" spans="1:11" x14ac:dyDescent="0.25">
      <c r="A1007" s="145"/>
      <c r="B1007" s="138"/>
      <c r="C1007" s="139"/>
      <c r="D1007" s="139"/>
      <c r="E1007" s="146"/>
      <c r="F1007" s="139"/>
      <c r="G1007" s="139"/>
      <c r="H1007" s="139"/>
      <c r="I1007" s="139"/>
      <c r="J1007" s="138"/>
      <c r="K1007" s="22"/>
    </row>
    <row r="1008" spans="1:11" ht="31.5" customHeight="1" x14ac:dyDescent="0.3">
      <c r="A1008" s="147"/>
      <c r="B1008" s="147"/>
      <c r="C1008" s="147"/>
      <c r="D1008" s="131" t="s">
        <v>885</v>
      </c>
      <c r="E1008" s="148"/>
      <c r="F1008" s="130">
        <f>SUM(F1005,F988)</f>
        <v>0</v>
      </c>
      <c r="G1008" s="130"/>
      <c r="H1008" s="130"/>
      <c r="I1008" s="130"/>
      <c r="J1008" s="149"/>
      <c r="K1008" s="22"/>
    </row>
    <row r="1009" spans="2:3" ht="56.25" x14ac:dyDescent="0.25">
      <c r="B1009" s="150" t="s">
        <v>886</v>
      </c>
      <c r="C1009"/>
    </row>
    <row r="1010" spans="2:3" ht="49.5" customHeight="1" x14ac:dyDescent="0.25"/>
  </sheetData>
  <sheetProtection selectLockedCells="1" selectUnlockedCells="1"/>
  <dataConsolidate function="count">
    <dataRefs count="1">
      <dataRef ref="E10:E22" sheet="Macro" r:id="rId1"/>
    </dataRefs>
  </dataConsolidate>
  <mergeCells count="6">
    <mergeCell ref="A990:A1005"/>
    <mergeCell ref="A1:A2"/>
    <mergeCell ref="B1:B2"/>
    <mergeCell ref="C1:D2"/>
    <mergeCell ref="E1:F2"/>
    <mergeCell ref="D3:I3"/>
  </mergeCells>
  <conditionalFormatting sqref="G10:I58 G954:I960 G748:I861 G736:I745 G718:I733 G712:I715 G688:I698 G678:I685 G651:I657 G484:I648 G250:I480 G61:I245 G659:I675 G700:I709 G864:I951">
    <cfRule type="expression" dxfId="21" priority="12">
      <formula>AND($E10&lt;&gt;"",$E10&lt;&gt;"N",OR($G10="",$H10="",$I10=""))</formula>
    </cfRule>
  </conditionalFormatting>
  <conditionalFormatting sqref="B1009">
    <cfRule type="expression" dxfId="20" priority="11">
      <formula>AND(ISNUMBER($F$1008),$F$1008&gt;=500)</formula>
    </cfRule>
  </conditionalFormatting>
  <conditionalFormatting sqref="G314:I314">
    <cfRule type="expression" dxfId="19" priority="10">
      <formula>AND($E314&lt;&gt;"",$E314&lt;&gt;"N",$G314="")</formula>
    </cfRule>
  </conditionalFormatting>
  <conditionalFormatting sqref="G587:I587">
    <cfRule type="expression" dxfId="18" priority="6">
      <formula>AND($E587&lt;&gt;"",$E587&lt;&gt;"N",$G587="")</formula>
    </cfRule>
  </conditionalFormatting>
  <conditionalFormatting sqref="G568:I572 G579:I585 G574:I577 G588:I597">
    <cfRule type="expression" dxfId="17" priority="9">
      <formula>AND($E568&lt;&gt;"",$E568&lt;&gt;"N",$G568="")</formula>
    </cfRule>
  </conditionalFormatting>
  <conditionalFormatting sqref="G578:I578">
    <cfRule type="expression" dxfId="16" priority="8">
      <formula>AND($E578&lt;&gt;"",$E578&lt;&gt;"N",$G578="")</formula>
    </cfRule>
  </conditionalFormatting>
  <conditionalFormatting sqref="G573:I573">
    <cfRule type="expression" dxfId="15" priority="7">
      <formula>AND($E573&lt;&gt;"",$E573&lt;&gt;"N",$G573="")</formula>
    </cfRule>
  </conditionalFormatting>
  <conditionalFormatting sqref="G586:I586">
    <cfRule type="expression" dxfId="14" priority="5">
      <formula>AND($E586&lt;&gt;"",$E586&lt;&gt;"N",$G586="")</formula>
    </cfRule>
  </conditionalFormatting>
  <conditionalFormatting sqref="B963:B975">
    <cfRule type="expression" dxfId="13" priority="4">
      <formula>AND($E963&lt;&gt;"",$E963&lt;&gt;"N",$B963="")</formula>
    </cfRule>
  </conditionalFormatting>
  <conditionalFormatting sqref="G978:I979">
    <cfRule type="expression" dxfId="12" priority="3">
      <formula>AND($E978&lt;&gt;"",$E978&lt;&gt;"N",OR($G978="",$H978="",$I978=""))</formula>
    </cfRule>
  </conditionalFormatting>
  <conditionalFormatting sqref="G963:G975">
    <cfRule type="expression" dxfId="11" priority="2">
      <formula>AND($E963&lt;&gt;"",$E963&lt;&gt;"N",$B963="")</formula>
    </cfRule>
  </conditionalFormatting>
  <conditionalFormatting sqref="H2">
    <cfRule type="expression" dxfId="10" priority="14">
      <formula>AND($F$1008&lt;&gt;0,$H$2="")</formula>
    </cfRule>
  </conditionalFormatting>
  <dataValidations count="8">
    <dataValidation type="list" allowBlank="1" showErrorMessage="1" errorTitle="Erro" error="Preencha um sistema válido._x000a_Em caso de dúvidas, verifique a lista de sistemas contida na célula." prompt="Preencha um sistema válido._x000a_Em caso de dúvidas, verifique a lista de sistemas contida na célula." sqref="G862 G246 G952 G961 G746 G734 G716 G686 G980 G676 G658 G649 G481 G6 G710 G963:G976">
      <formula1>Lista_Sistemas</formula1>
    </dataValidation>
    <dataValidation type="list" operator="greaterThanOrEqual" allowBlank="1" showErrorMessage="1" errorTitle="Atenção" error="Digite apenas os Fornecedores válidos" sqref="I294:I312 I314:I322 I325:I332 I335:I349 I6:I291 I352:I980">
      <formula1>Fornecedor</formula1>
    </dataValidation>
    <dataValidation type="list" allowBlank="1" showErrorMessage="1" errorTitle="Erro" error="Digite somente os sistemas válidos." sqref="G962 G294:G312 G314:G322 G325:G332 G335:G349 G482:G648 G863:G951 G953:G960 G747:G861 G735:G745 G717:G733 G711:G715 G677:G685 G659:G675 G650:G657 G352:G480 G247:G291 G7:G245 G977:G979 G687:G709">
      <formula1>Lista_Sistemas</formula1>
    </dataValidation>
    <dataValidation type="list" allowBlank="1" showInputMessage="1" showErrorMessage="1" errorTitle="Erro" error="Preencha um sistema válido._x000a_Em caso de dúvidas, verifique a lista de sistemas contida na célula." prompt="Preencha um sistema válido._x000a_Em caso de dúvidas, verifique a lista de sistemas contida na célula." sqref="B963:B975">
      <formula1>Lista_Sistemas</formula1>
    </dataValidation>
    <dataValidation allowBlank="1" showInputMessage="1" showErrorMessage="1" prompt="Digite o valor do sistema correspondente" sqref="D963:D975"/>
    <dataValidation type="list" allowBlank="1" sqref="G981:G987 G989:G1004">
      <formula1>Lista_Sistemas</formula1>
    </dataValidation>
    <dataValidation type="list" allowBlank="1" showInputMessage="1" showErrorMessage="1" errorTitle="Erro" error="Digite somente S ou N" sqref="E733:E734 E710 E620 E649 E651 E658 E674:E676 E661 E5:E6 E686 E681:E682 E712 E694 E716 E736 E746 E741:E742 E985:E987 E1006 E996:E1004 E980 E961 E864 E862 E901 E288:E291 E457:E481 E452:E455 E447:E450 E418:E421 E413:E416 E408:E411 E403:E406 E398:E401 E393:E396 E668:E669 E246 E283:E286 E278:E281 E273:E276 E268:E271 E263:E266 E258:E261 E254 E388:E391 E384 E442:E445 E437:E440 E982:E983 E488:E489 E497:E518 E521 E523:E526 E528:E535 E551:E552 E543 E545 E613 E588:E597 E563 E560:E561 E580:E583 E571 E576 E578 E963:E976 E705 E913:E915 E952">
      <formula1>"S,N"</formula1>
    </dataValidation>
    <dataValidation type="decimal" operator="greaterThanOrEqual" allowBlank="1" showErrorMessage="1" errorTitle="Atenção" error="Somente Números. (0; 7; 8,5...)" sqref="F627 D5 E695:E704 F642 E990:E995 E10:E16 E18:E21 E23:E26 E28:E31 E33 E35:E38 E40:E43 E45:E48 E50:E53 E55:E58 E61:E67 E69:E72 E74:E77 E79:E82 E84:E87 E89:E92 E94:E97 E99:E102 E104:E107 E110:E116 E118:E121 E123:E126 E128:E131 E133:E136 E138:E141 E143:E146 E148:E151 E153:E156 E158:E160 E163:E169 E171:E174 E176:E179 E181:E186 E188:E191 E193:E196 E198:E201 E203:E206 E208:E211 E237:E240 E213:E216 E218:E221 E223:E230 E232:E235 E242:E245 E250:E253 E255:E256 E380:E383 E385:E386 E424:E428 E431:E435 E484:E487 E490:E496 E519:E520 E522 E527 E536:E539 E541:E542 E544 E546:E549 E553:E559 E564:E566 E599:E611 E352:E377 E562 E614 E616:E619 E621:E626 E628:E641 E643:E648 E652:E657 E660 E662:E667 E670:E673 E678:E680 E683:E685 E688:E693 E584:E587 E713:E715 E718:E732 E737:E740 E743:E745 E749:E793 E795:E797 E799:E808 E810:E822 E824:E835 E837:E838 E840:E861 E865:E900 E902:E912 E954:E960 E978:E979 E984 E706:E709 E294:E312 E315:E322 E325:E332 E335:E349 E568:E570 E579 E577 E572:E575 H2 H5:H1004 E916:E951">
      <formula1>0</formula1>
    </dataValidation>
  </dataValidations>
  <pageMargins left="0.25" right="0.25" top="0.75" bottom="0.75" header="0.3" footer="0.3"/>
  <pageSetup paperSize="9" scale="3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SULTADO" altText="Gera a planilha de resultado com as informações resumidas de todo o preenchimento.">
                <anchor moveWithCells="1">
                  <from>
                    <xdr:col>2</xdr:col>
                    <xdr:colOff>304800</xdr:colOff>
                    <xdr:row>1008</xdr:row>
                    <xdr:rowOff>200025</xdr:rowOff>
                  </from>
                  <to>
                    <xdr:col>4</xdr:col>
                    <xdr:colOff>495300</xdr:colOff>
                    <xdr:row>1008</xdr:row>
                    <xdr:rowOff>628650</xdr:rowOff>
                  </to>
                </anchor>
              </controlPr>
            </control>
          </mc:Choice>
        </mc:AlternateContent>
        <mc:AlternateContent xmlns:mc="http://schemas.openxmlformats.org/markup-compatibility/2006">
          <mc:Choice Requires="x14">
            <control shapeId="1026" r:id="rId6" name="Button 2">
              <controlPr defaultSize="0" print="0" autoFill="0" autoPict="0" macro="[0]!Apagar">
                <anchor moveWithCells="1" sizeWithCells="1">
                  <from>
                    <xdr:col>2</xdr:col>
                    <xdr:colOff>152400</xdr:colOff>
                    <xdr:row>0</xdr:row>
                    <xdr:rowOff>123825</xdr:rowOff>
                  </from>
                  <to>
                    <xdr:col>3</xdr:col>
                    <xdr:colOff>809625</xdr:colOff>
                    <xdr:row>1</xdr:row>
                    <xdr:rowOff>190500</xdr:rowOff>
                  </to>
                </anchor>
              </controlPr>
            </control>
          </mc:Choice>
        </mc:AlternateContent>
        <mc:AlternateContent xmlns:mc="http://schemas.openxmlformats.org/markup-compatibility/2006">
          <mc:Choice Requires="x14">
            <control shapeId="1027" r:id="rId7" name="Button 3">
              <controlPr defaultSize="0" print="0" autoFill="0" autoPict="0" macro="[0]!DW">
                <anchor moveWithCells="1">
                  <from>
                    <xdr:col>1</xdr:col>
                    <xdr:colOff>733425</xdr:colOff>
                    <xdr:row>1010</xdr:row>
                    <xdr:rowOff>19050</xdr:rowOff>
                  </from>
                  <to>
                    <xdr:col>1</xdr:col>
                    <xdr:colOff>2657475</xdr:colOff>
                    <xdr:row>1012</xdr:row>
                    <xdr:rowOff>66675</xdr:rowOff>
                  </to>
                </anchor>
              </controlPr>
            </control>
          </mc:Choice>
        </mc:AlternateContent>
        <mc:AlternateContent xmlns:mc="http://schemas.openxmlformats.org/markup-compatibility/2006">
          <mc:Choice Requires="x14">
            <control shapeId="1028" r:id="rId8" name="Button 4">
              <controlPr defaultSize="0" print="0" autoFill="0" autoPict="0" macro="[0]!Módulo1.Sistemas" altText="Gera a planilha de resultado com as informações resumidas de todo o preenchimento.">
                <anchor moveWithCells="1">
                  <from>
                    <xdr:col>7</xdr:col>
                    <xdr:colOff>266700</xdr:colOff>
                    <xdr:row>1009</xdr:row>
                    <xdr:rowOff>47625</xdr:rowOff>
                  </from>
                  <to>
                    <xdr:col>8</xdr:col>
                    <xdr:colOff>390525</xdr:colOff>
                    <xdr:row>1009</xdr:row>
                    <xdr:rowOff>485775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dimension ref="A1:F50"/>
  <sheetViews>
    <sheetView showGridLines="0" zoomScale="85" zoomScaleNormal="85" workbookViewId="0"/>
  </sheetViews>
  <sheetFormatPr defaultRowHeight="15" x14ac:dyDescent="0.25"/>
  <cols>
    <col min="1" max="1" width="46.7109375" customWidth="1"/>
    <col min="2" max="2" width="31.7109375" bestFit="1" customWidth="1"/>
    <col min="3" max="3" width="8.42578125" customWidth="1"/>
    <col min="4" max="4" width="23.42578125" customWidth="1"/>
    <col min="5" max="5" width="21.85546875" customWidth="1"/>
    <col min="6" max="6" width="22.5703125" customWidth="1"/>
  </cols>
  <sheetData>
    <row r="1" spans="1:6" ht="15.75" x14ac:dyDescent="0.25">
      <c r="A1" s="154" t="str">
        <f>CONCATENATE("STI: ",IF(Macro!B3="","",Macro!B3))</f>
        <v xml:space="preserve">STI: </v>
      </c>
    </row>
    <row r="2" spans="1:6" ht="15.75" x14ac:dyDescent="0.25">
      <c r="A2" s="154" t="str">
        <f>CONCATENATE("Título: ",TEXT(Macro!D3,))</f>
        <v xml:space="preserve">Título: </v>
      </c>
    </row>
    <row r="4" spans="1:6" x14ac:dyDescent="0.25">
      <c r="A4" s="155" t="s">
        <v>887</v>
      </c>
      <c r="B4" s="156" t="s">
        <v>888</v>
      </c>
    </row>
    <row r="5" spans="1:6" ht="15.75" x14ac:dyDescent="0.25">
      <c r="A5" s="157"/>
      <c r="B5" s="157"/>
    </row>
    <row r="7" spans="1:6" ht="30" x14ac:dyDescent="0.25">
      <c r="A7" s="158" t="s">
        <v>889</v>
      </c>
      <c r="B7" s="159" t="s">
        <v>890</v>
      </c>
      <c r="D7" s="223" t="s">
        <v>889</v>
      </c>
      <c r="E7" s="160" t="s">
        <v>891</v>
      </c>
      <c r="F7" s="160" t="s">
        <v>892</v>
      </c>
    </row>
    <row r="8" spans="1:6" ht="15.75" x14ac:dyDescent="0.25">
      <c r="A8" s="157"/>
      <c r="B8" s="157"/>
      <c r="D8" s="161" t="s">
        <v>893</v>
      </c>
      <c r="E8" s="162"/>
      <c r="F8" s="162"/>
    </row>
    <row r="9" spans="1:6" ht="15.75" x14ac:dyDescent="0.25">
      <c r="A9" s="157"/>
      <c r="B9" s="157"/>
    </row>
    <row r="10" spans="1:6" ht="15.75" x14ac:dyDescent="0.25">
      <c r="A10" s="157"/>
      <c r="B10" s="157"/>
    </row>
    <row r="11" spans="1:6" ht="15.75" x14ac:dyDescent="0.25">
      <c r="A11" s="157"/>
      <c r="B11" s="157"/>
    </row>
    <row r="12" spans="1:6" ht="15.75" x14ac:dyDescent="0.25">
      <c r="A12" s="157"/>
      <c r="B12" s="157"/>
    </row>
    <row r="13" spans="1:6" ht="15.75" x14ac:dyDescent="0.25">
      <c r="A13" s="157"/>
      <c r="B13" s="157"/>
    </row>
    <row r="14" spans="1:6" ht="15.75" x14ac:dyDescent="0.25">
      <c r="A14" s="157"/>
      <c r="B14" s="157"/>
    </row>
    <row r="15" spans="1:6" ht="15.75" x14ac:dyDescent="0.25">
      <c r="A15" s="157"/>
      <c r="B15" s="157"/>
    </row>
    <row r="16" spans="1:6" ht="15.75" x14ac:dyDescent="0.25">
      <c r="A16" s="157"/>
      <c r="B16" s="157"/>
    </row>
    <row r="17" spans="1:2" ht="15.75" x14ac:dyDescent="0.25">
      <c r="A17" s="157"/>
      <c r="B17" s="157"/>
    </row>
    <row r="18" spans="1:2" ht="15.75" x14ac:dyDescent="0.25">
      <c r="A18" s="157"/>
      <c r="B18" s="157"/>
    </row>
    <row r="19" spans="1:2" ht="15.75" x14ac:dyDescent="0.25">
      <c r="A19" s="157"/>
      <c r="B19" s="157"/>
    </row>
    <row r="20" spans="1:2" ht="15.75" x14ac:dyDescent="0.25">
      <c r="A20" s="157"/>
      <c r="B20" s="157"/>
    </row>
    <row r="21" spans="1:2" ht="15.75" x14ac:dyDescent="0.25">
      <c r="A21" s="157"/>
      <c r="B21" s="157"/>
    </row>
    <row r="22" spans="1:2" ht="15.75" x14ac:dyDescent="0.25">
      <c r="A22" s="157"/>
      <c r="B22" s="157"/>
    </row>
    <row r="23" spans="1:2" ht="15.75" x14ac:dyDescent="0.25">
      <c r="A23" s="157"/>
      <c r="B23" s="157"/>
    </row>
    <row r="24" spans="1:2" ht="15.75" x14ac:dyDescent="0.25">
      <c r="A24" s="157"/>
      <c r="B24" s="157"/>
    </row>
    <row r="25" spans="1:2" ht="15.75" x14ac:dyDescent="0.25">
      <c r="A25" s="157"/>
      <c r="B25" s="157"/>
    </row>
    <row r="26" spans="1:2" ht="15.75" x14ac:dyDescent="0.25">
      <c r="A26" s="157"/>
      <c r="B26" s="157"/>
    </row>
    <row r="27" spans="1:2" ht="15.75" x14ac:dyDescent="0.25">
      <c r="A27" s="157"/>
      <c r="B27" s="157"/>
    </row>
    <row r="28" spans="1:2" ht="15.75" x14ac:dyDescent="0.25">
      <c r="A28" s="157"/>
      <c r="B28" s="157"/>
    </row>
    <row r="29" spans="1:2" ht="15.75" x14ac:dyDescent="0.25">
      <c r="A29" s="157"/>
      <c r="B29" s="157"/>
    </row>
    <row r="30" spans="1:2" ht="15.75" x14ac:dyDescent="0.25">
      <c r="A30" s="157"/>
      <c r="B30" s="157"/>
    </row>
    <row r="31" spans="1:2" ht="15.75" x14ac:dyDescent="0.25">
      <c r="A31" s="157"/>
      <c r="B31" s="157"/>
    </row>
    <row r="32" spans="1:2" ht="15.75" x14ac:dyDescent="0.25">
      <c r="A32" s="157"/>
      <c r="B32" s="157"/>
    </row>
    <row r="33" spans="1:2" ht="15.75" x14ac:dyDescent="0.25">
      <c r="A33" s="157"/>
      <c r="B33" s="157"/>
    </row>
    <row r="34" spans="1:2" ht="15.75" x14ac:dyDescent="0.25">
      <c r="A34" s="157"/>
      <c r="B34" s="157"/>
    </row>
    <row r="35" spans="1:2" ht="15.75" x14ac:dyDescent="0.25">
      <c r="A35" s="157"/>
      <c r="B35" s="157"/>
    </row>
    <row r="36" spans="1:2" ht="15.75" x14ac:dyDescent="0.25">
      <c r="A36" s="157"/>
      <c r="B36" s="157"/>
    </row>
    <row r="37" spans="1:2" ht="15.75" x14ac:dyDescent="0.25">
      <c r="A37" s="157"/>
      <c r="B37" s="157"/>
    </row>
    <row r="38" spans="1:2" ht="15.75" x14ac:dyDescent="0.25">
      <c r="A38" s="157"/>
      <c r="B38" s="157"/>
    </row>
    <row r="39" spans="1:2" ht="15.75" x14ac:dyDescent="0.25">
      <c r="A39" s="157"/>
      <c r="B39" s="157"/>
    </row>
    <row r="40" spans="1:2" ht="15.75" x14ac:dyDescent="0.25">
      <c r="A40" s="157"/>
      <c r="B40" s="157"/>
    </row>
    <row r="41" spans="1:2" ht="15.75" x14ac:dyDescent="0.25">
      <c r="A41" s="157"/>
      <c r="B41" s="157"/>
    </row>
    <row r="42" spans="1:2" ht="15.75" x14ac:dyDescent="0.25">
      <c r="A42" s="157"/>
      <c r="B42" s="157"/>
    </row>
    <row r="43" spans="1:2" ht="15.75" x14ac:dyDescent="0.25">
      <c r="A43" s="157"/>
      <c r="B43" s="157"/>
    </row>
    <row r="44" spans="1:2" ht="15.75" x14ac:dyDescent="0.25">
      <c r="A44" s="157"/>
      <c r="B44" s="157"/>
    </row>
    <row r="45" spans="1:2" ht="15.75" x14ac:dyDescent="0.25">
      <c r="A45" s="157"/>
      <c r="B45" s="157"/>
    </row>
    <row r="46" spans="1:2" ht="15.75" x14ac:dyDescent="0.25">
      <c r="A46" s="157"/>
      <c r="B46" s="157"/>
    </row>
    <row r="47" spans="1:2" ht="15.75" x14ac:dyDescent="0.25">
      <c r="A47" s="157"/>
      <c r="B47" s="157"/>
    </row>
    <row r="48" spans="1:2" ht="15.75" x14ac:dyDescent="0.25">
      <c r="A48" s="157"/>
      <c r="B48" s="157"/>
    </row>
    <row r="49" spans="1:2" ht="15.75" x14ac:dyDescent="0.25">
      <c r="A49" s="157"/>
      <c r="B49" s="157"/>
    </row>
    <row r="50" spans="1:2" ht="15.75" x14ac:dyDescent="0.25">
      <c r="A50" s="157"/>
      <c r="B50" s="157"/>
    </row>
  </sheetData>
  <dataValidations count="1">
    <dataValidation type="list" allowBlank="1" showInputMessage="1" sqref="A5 A8:A50">
      <formula1>Lista_Sistemas</formula1>
    </dataValidation>
  </dataValidations>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Voltar" altText="Voltar a tabela de preenchimento da Macro Estimativa">
                <anchor moveWithCells="1" sizeWithCells="1">
                  <from>
                    <xdr:col>1</xdr:col>
                    <xdr:colOff>1323975</xdr:colOff>
                    <xdr:row>0</xdr:row>
                    <xdr:rowOff>114300</xdr:rowOff>
                  </from>
                  <to>
                    <xdr:col>2</xdr:col>
                    <xdr:colOff>66675</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A1:C19"/>
  <sheetViews>
    <sheetView showGridLines="0" zoomScale="85" zoomScaleNormal="85" workbookViewId="0"/>
  </sheetViews>
  <sheetFormatPr defaultRowHeight="15" x14ac:dyDescent="0.25"/>
  <cols>
    <col min="2" max="2" width="109.5703125" customWidth="1"/>
    <col min="3" max="3" width="36.28515625" customWidth="1"/>
  </cols>
  <sheetData>
    <row r="1" spans="1:3" ht="18.75" x14ac:dyDescent="0.3">
      <c r="B1" s="163" t="s">
        <v>894</v>
      </c>
    </row>
    <row r="3" spans="1:3" s="165" customFormat="1" x14ac:dyDescent="0.25">
      <c r="A3" s="164"/>
      <c r="B3" s="164" t="s">
        <v>895</v>
      </c>
      <c r="C3" s="164" t="s">
        <v>896</v>
      </c>
    </row>
    <row r="4" spans="1:3" s="165" customFormat="1" ht="30" x14ac:dyDescent="0.25">
      <c r="B4" s="166" t="s">
        <v>897</v>
      </c>
      <c r="C4" s="166" t="s">
        <v>898</v>
      </c>
    </row>
    <row r="5" spans="1:3" s="165" customFormat="1" x14ac:dyDescent="0.25">
      <c r="B5" s="166" t="s">
        <v>899</v>
      </c>
      <c r="C5" s="166" t="s">
        <v>900</v>
      </c>
    </row>
    <row r="6" spans="1:3" s="165" customFormat="1" x14ac:dyDescent="0.25">
      <c r="B6" s="166" t="s">
        <v>901</v>
      </c>
      <c r="C6" s="166" t="s">
        <v>902</v>
      </c>
    </row>
    <row r="7" spans="1:3" s="165" customFormat="1" x14ac:dyDescent="0.25">
      <c r="B7" s="166" t="s">
        <v>903</v>
      </c>
      <c r="C7" s="166" t="s">
        <v>904</v>
      </c>
    </row>
    <row r="8" spans="1:3" s="165" customFormat="1" x14ac:dyDescent="0.25">
      <c r="B8" s="166" t="s">
        <v>905</v>
      </c>
      <c r="C8" s="166" t="s">
        <v>906</v>
      </c>
    </row>
    <row r="9" spans="1:3" s="165" customFormat="1" x14ac:dyDescent="0.25">
      <c r="B9" s="166" t="s">
        <v>907</v>
      </c>
      <c r="C9" s="166" t="s">
        <v>908</v>
      </c>
    </row>
    <row r="10" spans="1:3" s="165" customFormat="1" ht="30" x14ac:dyDescent="0.25">
      <c r="B10" s="166" t="s">
        <v>909</v>
      </c>
      <c r="C10" s="166" t="s">
        <v>908</v>
      </c>
    </row>
    <row r="11" spans="1:3" s="165" customFormat="1" ht="30" x14ac:dyDescent="0.25">
      <c r="B11" s="166" t="s">
        <v>910</v>
      </c>
      <c r="C11" s="166" t="s">
        <v>911</v>
      </c>
    </row>
    <row r="12" spans="1:3" s="165" customFormat="1" x14ac:dyDescent="0.25">
      <c r="B12" s="166" t="s">
        <v>912</v>
      </c>
      <c r="C12" s="166" t="s">
        <v>913</v>
      </c>
    </row>
    <row r="13" spans="1:3" s="165" customFormat="1" ht="30" x14ac:dyDescent="0.25">
      <c r="B13" s="166" t="s">
        <v>914</v>
      </c>
      <c r="C13" s="166" t="s">
        <v>915</v>
      </c>
    </row>
    <row r="14" spans="1:3" s="165" customFormat="1" x14ac:dyDescent="0.25">
      <c r="B14" s="166" t="s">
        <v>916</v>
      </c>
      <c r="C14" s="166" t="s">
        <v>917</v>
      </c>
    </row>
    <row r="15" spans="1:3" s="165" customFormat="1" x14ac:dyDescent="0.25">
      <c r="B15" s="166" t="s">
        <v>918</v>
      </c>
      <c r="C15" s="166" t="s">
        <v>908</v>
      </c>
    </row>
    <row r="16" spans="1:3" s="165" customFormat="1" x14ac:dyDescent="0.25">
      <c r="B16" s="166" t="s">
        <v>919</v>
      </c>
      <c r="C16" s="166" t="s">
        <v>920</v>
      </c>
    </row>
    <row r="17" spans="2:3" s="165" customFormat="1" x14ac:dyDescent="0.25">
      <c r="B17" s="166" t="s">
        <v>921</v>
      </c>
      <c r="C17" s="166" t="s">
        <v>922</v>
      </c>
    </row>
    <row r="18" spans="2:3" s="165" customFormat="1" x14ac:dyDescent="0.25">
      <c r="B18" s="166" t="s">
        <v>923</v>
      </c>
      <c r="C18" s="166" t="s">
        <v>924</v>
      </c>
    </row>
    <row r="19" spans="2:3" s="165" customFormat="1" ht="30" x14ac:dyDescent="0.25">
      <c r="B19" s="166" t="s">
        <v>925</v>
      </c>
      <c r="C19" s="166" t="s">
        <v>926</v>
      </c>
    </row>
  </sheetData>
  <autoFilter ref="B3:C13"/>
  <dataValidations count="1">
    <dataValidation operator="greaterThanOrEqual" allowBlank="1" showErrorMessage="1" errorTitle="Atenção" error="Somente Números. (0; 7; 8,5...)" sqref="C4:C19"/>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Voltar" altText="Voltar a tabela de preenchimento da Macro Estimativa">
                <anchor moveWithCells="1" sizeWithCells="1">
                  <from>
                    <xdr:col>1</xdr:col>
                    <xdr:colOff>3552825</xdr:colOff>
                    <xdr:row>19</xdr:row>
                    <xdr:rowOff>104775</xdr:rowOff>
                  </from>
                  <to>
                    <xdr:col>1</xdr:col>
                    <xdr:colOff>4419600</xdr:colOff>
                    <xdr:row>21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dimension ref="A1:D30"/>
  <sheetViews>
    <sheetView showGridLines="0" zoomScale="85" zoomScaleNormal="85" workbookViewId="0"/>
  </sheetViews>
  <sheetFormatPr defaultRowHeight="15" x14ac:dyDescent="0.25"/>
  <cols>
    <col min="1" max="1" width="17.85546875" customWidth="1"/>
    <col min="2" max="2" width="37.5703125" style="187" customWidth="1"/>
    <col min="3" max="3" width="24.140625" style="167" customWidth="1"/>
    <col min="4" max="4" width="19.28515625" customWidth="1"/>
  </cols>
  <sheetData>
    <row r="1" spans="1:4" x14ac:dyDescent="0.25">
      <c r="B1" s="239"/>
    </row>
    <row r="2" spans="1:4" x14ac:dyDescent="0.25">
      <c r="B2" s="239"/>
    </row>
    <row r="3" spans="1:4" x14ac:dyDescent="0.25">
      <c r="A3" s="168"/>
      <c r="B3" s="240" t="s">
        <v>927</v>
      </c>
      <c r="C3" s="240"/>
      <c r="D3" s="240"/>
    </row>
    <row r="4" spans="1:4" ht="15.75" x14ac:dyDescent="0.25">
      <c r="A4" s="169" t="s">
        <v>928</v>
      </c>
      <c r="B4" s="154" t="str">
        <f>IF(Macro!B3="","",Macro!B3)</f>
        <v/>
      </c>
      <c r="C4" s="241"/>
      <c r="D4" s="241"/>
    </row>
    <row r="5" spans="1:4" ht="15.75" x14ac:dyDescent="0.25">
      <c r="A5" s="169" t="s">
        <v>5</v>
      </c>
      <c r="B5" s="242" t="str">
        <f>TEXT(Macro!D3,)</f>
        <v/>
      </c>
      <c r="C5" s="242"/>
      <c r="D5" s="242"/>
    </row>
    <row r="6" spans="1:4" ht="15.75" x14ac:dyDescent="0.25">
      <c r="A6" s="170" t="str">
        <f>TEXT(Macro!A4,)</f>
        <v>Status</v>
      </c>
      <c r="B6" s="171" t="str">
        <f>TEXT(Macro!B4,)</f>
        <v>Impactos</v>
      </c>
      <c r="C6" s="172" t="s">
        <v>929</v>
      </c>
      <c r="D6" s="171" t="s">
        <v>930</v>
      </c>
    </row>
    <row r="7" spans="1:4" ht="45" x14ac:dyDescent="0.25">
      <c r="A7" s="173"/>
      <c r="B7" s="176" t="str">
        <f>TEXT(Macro!B5,)</f>
        <v>Existe Solicitação muito semelhante já implementada? (Se sim, Informar o custo e marcar ao lado com a letra S)</v>
      </c>
      <c r="C7" s="174" t="str">
        <f>IF(Macro!E5="S","Sim","Não")</f>
        <v>Não</v>
      </c>
      <c r="D7" s="175" t="str">
        <f>TEXT(Macro!F5,)</f>
        <v/>
      </c>
    </row>
    <row r="8" spans="1:4" ht="15" customHeight="1" x14ac:dyDescent="0.25">
      <c r="A8" s="236" t="s">
        <v>931</v>
      </c>
      <c r="B8" s="176" t="str">
        <f>TEXT(Macro!B6,)</f>
        <v>Impacta Estruturante</v>
      </c>
      <c r="C8" s="177" t="str">
        <f>IF(Macro!E6="S","Sim","Não")</f>
        <v>Não</v>
      </c>
      <c r="D8" s="178" t="str">
        <f>TEXT(Macro!F6,)</f>
        <v/>
      </c>
    </row>
    <row r="9" spans="1:4" ht="15" customHeight="1" x14ac:dyDescent="0.25">
      <c r="A9" s="237"/>
      <c r="B9" s="176" t="str">
        <f>TEXT(Macro!B246,)</f>
        <v>Impacta Arrecadação</v>
      </c>
      <c r="C9" s="174" t="str">
        <f>IF(Macro!E246="S","Sim","Não")</f>
        <v>Não</v>
      </c>
      <c r="D9" s="178">
        <f>Macro!F246</f>
        <v>0</v>
      </c>
    </row>
    <row r="10" spans="1:4" ht="15" customHeight="1" x14ac:dyDescent="0.25">
      <c r="A10" s="237"/>
      <c r="B10" s="176" t="str">
        <f>TEXT(Macro!B481,)</f>
        <v>Impacta Faturamento</v>
      </c>
      <c r="C10" s="174" t="str">
        <f>IF(Macro!E481="S","Sim","Não")</f>
        <v>Não</v>
      </c>
      <c r="D10" s="178">
        <f>Macro!F481</f>
        <v>0</v>
      </c>
    </row>
    <row r="11" spans="1:4" ht="15" customHeight="1" x14ac:dyDescent="0.25">
      <c r="A11" s="237"/>
      <c r="B11" s="176" t="str">
        <f>TEXT(Macro!B649,)</f>
        <v>Impacta CRM</v>
      </c>
      <c r="C11" s="174" t="str">
        <f>IF(Macro!E649="S","Sim","Não")</f>
        <v>Não</v>
      </c>
      <c r="D11" s="178">
        <f>Macro!F649</f>
        <v>0</v>
      </c>
    </row>
    <row r="12" spans="1:4" ht="15" customHeight="1" x14ac:dyDescent="0.25">
      <c r="A12" s="237"/>
      <c r="B12" s="176" t="str">
        <f>TEXT(Macro!B658,)</f>
        <v>Impacta DW</v>
      </c>
      <c r="C12" s="174" t="str">
        <f>IF(Macro!E658="S","Sim","Não")</f>
        <v>Não</v>
      </c>
      <c r="D12" s="178">
        <f>Macro!F658</f>
        <v>0</v>
      </c>
    </row>
    <row r="13" spans="1:4" ht="15" customHeight="1" x14ac:dyDescent="0.25">
      <c r="A13" s="237"/>
      <c r="B13" s="176" t="str">
        <f>TEXT(Macro!B676,)</f>
        <v>Impacta Pré-pago</v>
      </c>
      <c r="C13" s="174" t="str">
        <f>IF(Macro!E676="S","Sim","Não")</f>
        <v>Não</v>
      </c>
      <c r="D13" s="178">
        <f>Macro!F676</f>
        <v>0</v>
      </c>
    </row>
    <row r="14" spans="1:4" ht="15" customHeight="1" x14ac:dyDescent="0.25">
      <c r="A14" s="237"/>
      <c r="B14" s="176" t="str">
        <f>TEXT(Macro!B686,)</f>
        <v>Impacta SA3</v>
      </c>
      <c r="C14" s="174" t="str">
        <f>IF(Macro!E686="S","Sim","Não")</f>
        <v>Não</v>
      </c>
      <c r="D14" s="178">
        <f>Macro!F686</f>
        <v>0</v>
      </c>
    </row>
    <row r="15" spans="1:4" ht="15" customHeight="1" x14ac:dyDescent="0.25">
      <c r="A15" s="237"/>
      <c r="B15" s="176" t="str">
        <f>TEXT(Macro!B710,)</f>
        <v>Impacta SFA Web/ SFA Siebel 8 Estruturante</v>
      </c>
      <c r="C15" s="174" t="str">
        <f>IF(Macro!E710="S","Sim","Não")</f>
        <v>Não</v>
      </c>
      <c r="D15" s="178">
        <f>Macro!F710</f>
        <v>0</v>
      </c>
    </row>
    <row r="16" spans="1:4" ht="15" customHeight="1" x14ac:dyDescent="0.25">
      <c r="A16" s="237"/>
      <c r="B16" s="176" t="str">
        <f>TEXT(Macro!B716,)</f>
        <v>Impacta Mediação</v>
      </c>
      <c r="C16" s="174" t="str">
        <f>IF(Macro!E716="S","Sim","Não")</f>
        <v>Não</v>
      </c>
      <c r="D16" s="178">
        <f>Macro!F716</f>
        <v>0</v>
      </c>
    </row>
    <row r="17" spans="1:4" ht="15" customHeight="1" x14ac:dyDescent="0.25">
      <c r="A17" s="237"/>
      <c r="B17" s="176" t="str">
        <f>TEXT(Macro!B734,)</f>
        <v>Impacta SAP</v>
      </c>
      <c r="C17" s="174" t="str">
        <f>IF(Macro!E734="S","Sim","Não")</f>
        <v>Não</v>
      </c>
      <c r="D17" s="178">
        <f>Macro!F734</f>
        <v>0</v>
      </c>
    </row>
    <row r="18" spans="1:4" ht="15" customHeight="1" x14ac:dyDescent="0.25">
      <c r="A18" s="237"/>
      <c r="B18" s="176" t="str">
        <f>TEXT(Macro!B746,)</f>
        <v xml:space="preserve">Impacto Inventário de Rede </v>
      </c>
      <c r="C18" s="174" t="str">
        <f>IF(Macro!E746="S","Sim","Não")</f>
        <v>Não</v>
      </c>
      <c r="D18" s="178">
        <f>Macro!F746</f>
        <v>0</v>
      </c>
    </row>
    <row r="19" spans="1:4" ht="15" customHeight="1" x14ac:dyDescent="0.25">
      <c r="A19" s="237"/>
      <c r="B19" s="176" t="str">
        <f>TEXT(Macro!B862,)</f>
        <v>Impacto OSS Aprovisionamento</v>
      </c>
      <c r="C19" s="174" t="str">
        <f>IF(Macro!E862="S","Sim","Não")</f>
        <v>Não</v>
      </c>
      <c r="D19" s="178">
        <f>Macro!F862</f>
        <v>0</v>
      </c>
    </row>
    <row r="20" spans="1:4" ht="15" customHeight="1" x14ac:dyDescent="0.25">
      <c r="A20" s="237"/>
      <c r="B20" s="176" t="str">
        <f>TEXT(Macro!$B$952,)</f>
        <v>Impacto OSS Workflow de Dados</v>
      </c>
      <c r="C20" s="174" t="str">
        <f>IF(Macro!E952="S","Sim","Não")</f>
        <v>Não</v>
      </c>
      <c r="D20" s="178">
        <f>Macro!F952</f>
        <v>0</v>
      </c>
    </row>
    <row r="21" spans="1:4" ht="15" customHeight="1" x14ac:dyDescent="0.25">
      <c r="A21" s="237"/>
      <c r="B21" s="176" t="str">
        <f>TEXT(Macro!$B$961,)</f>
        <v>Impacta Cobrança e Crédito</v>
      </c>
      <c r="C21" s="174" t="str">
        <f>IF(Macro!E961="S","Sim","Não")</f>
        <v>Não</v>
      </c>
      <c r="D21" s="178">
        <f>Macro!F961</f>
        <v>0</v>
      </c>
    </row>
    <row r="22" spans="1:4" ht="15" customHeight="1" x14ac:dyDescent="0.25">
      <c r="A22" s="237"/>
      <c r="B22" s="176" t="str">
        <f>TEXT(Macro!B980,)</f>
        <v>Impacta Integração (SOA/Informática, etc)</v>
      </c>
      <c r="C22" s="174" t="str">
        <f>IF(Macro!E980="S","Sim","Não")</f>
        <v>Não</v>
      </c>
      <c r="D22" s="178">
        <f>Macro!F980</f>
        <v>0</v>
      </c>
    </row>
    <row r="23" spans="1:4" ht="15" customHeight="1" x14ac:dyDescent="0.25">
      <c r="A23" s="237"/>
      <c r="B23" s="176" t="str">
        <f>TEXT(Macro!B983,)</f>
        <v>Testes com URA</v>
      </c>
      <c r="C23" s="174" t="str">
        <f>IF(Macro!E983="S","Sim","Não")</f>
        <v>Não</v>
      </c>
      <c r="D23" s="178">
        <f>Macro!F983</f>
        <v>0</v>
      </c>
    </row>
    <row r="24" spans="1:4" ht="30" x14ac:dyDescent="0.25">
      <c r="A24" s="237"/>
      <c r="B24" s="176" t="str">
        <f>TEXT(Macro!B982,)</f>
        <v>Sistemas efetuando Teste Integrado.
Não preeencher para DW.</v>
      </c>
      <c r="C24" s="174" t="str">
        <f>IF(Macro!E982="S","Sim","Não")</f>
        <v>Não</v>
      </c>
      <c r="D24" s="175">
        <f>Macro!F982</f>
        <v>0</v>
      </c>
    </row>
    <row r="25" spans="1:4" ht="30" x14ac:dyDescent="0.25">
      <c r="A25" s="237"/>
      <c r="B25" s="176" t="str">
        <f>TEXT(Macro!B976,)</f>
        <v>Qualquer outro sistema além dos descritos acima</v>
      </c>
      <c r="C25" s="174" t="str">
        <f>IF(Macro!E976="S","Sim","Não")</f>
        <v>Não</v>
      </c>
      <c r="D25" s="175">
        <f>Macro!F962</f>
        <v>0</v>
      </c>
    </row>
    <row r="26" spans="1:4" ht="30" x14ac:dyDescent="0.25">
      <c r="A26" s="179"/>
      <c r="B26" s="176" t="str">
        <f>TEXT(Macro!B987,)</f>
        <v>Haverá aquisição de ferramentas via Suprimentos?</v>
      </c>
      <c r="C26" s="174" t="str">
        <f>IF(Macro!E987="S","Sim","Não")</f>
        <v>Não</v>
      </c>
      <c r="D26" s="175"/>
    </row>
    <row r="27" spans="1:4" ht="18.75" x14ac:dyDescent="0.3">
      <c r="A27" s="180"/>
      <c r="B27" s="181" t="s">
        <v>932</v>
      </c>
      <c r="C27" s="181"/>
      <c r="D27" s="182">
        <f>Macro!F988</f>
        <v>0</v>
      </c>
    </row>
    <row r="28" spans="1:4" ht="27" customHeight="1" x14ac:dyDescent="0.25">
      <c r="A28" s="183" t="s">
        <v>862</v>
      </c>
      <c r="B28" s="184" t="str">
        <f>TEXT(Macro!A1006,)</f>
        <v/>
      </c>
      <c r="C28" s="174" t="str">
        <f>IF(Macro!E1006="S","Impacta Infraestrutura","Não impacta Infraestrutura")</f>
        <v>Não impacta Infraestrutura</v>
      </c>
      <c r="D28" s="178">
        <f>Macro!F1005</f>
        <v>0</v>
      </c>
    </row>
    <row r="29" spans="1:4" ht="18.75" x14ac:dyDescent="0.3">
      <c r="A29" s="185"/>
      <c r="B29" s="185" t="s">
        <v>933</v>
      </c>
      <c r="C29" s="181"/>
      <c r="D29" s="182">
        <f>Macro!F1005</f>
        <v>0</v>
      </c>
    </row>
    <row r="30" spans="1:4" ht="18.75" x14ac:dyDescent="0.3">
      <c r="A30" s="186"/>
      <c r="B30" s="186" t="s">
        <v>934</v>
      </c>
      <c r="C30" s="238">
        <f>Macro!F1008</f>
        <v>0</v>
      </c>
      <c r="D30" s="238"/>
    </row>
  </sheetData>
  <sheetProtection formatCells="0" formatColumns="0" formatRows="0" insertColumns="0" insertRows="0" insertHyperlinks="0" deleteColumns="0" deleteRows="0" sort="0" autoFilter="0" pivotTables="0"/>
  <mergeCells count="6">
    <mergeCell ref="A8:A25"/>
    <mergeCell ref="C30:D30"/>
    <mergeCell ref="B1:B2"/>
    <mergeCell ref="B3:D3"/>
    <mergeCell ref="C4:D4"/>
    <mergeCell ref="B5:D5"/>
  </mergeCells>
  <pageMargins left="2.2599999999999998" right="0.54" top="1.37" bottom="0.88" header="0.31496062992125984" footer="0.31496062992125984"/>
  <pageSetup paperSize="9" scale="7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Voltar" altText="Voltar a tabela de preenchimento da Macro Estimativa">
                <anchor moveWithCells="1" sizeWithCells="1">
                  <from>
                    <xdr:col>5</xdr:col>
                    <xdr:colOff>19050</xdr:colOff>
                    <xdr:row>3</xdr:row>
                    <xdr:rowOff>9525</xdr:rowOff>
                  </from>
                  <to>
                    <xdr:col>6</xdr:col>
                    <xdr:colOff>285750</xdr:colOff>
                    <xdr:row>4</xdr:row>
                    <xdr:rowOff>104775</xdr:rowOff>
                  </to>
                </anchor>
              </controlPr>
            </control>
          </mc:Choice>
        </mc:AlternateContent>
        <mc:AlternateContent xmlns:mc="http://schemas.openxmlformats.org/markup-compatibility/2006">
          <mc:Choice Requires="x14">
            <control shapeId="4098" r:id="rId5" name="Button 2">
              <controlPr defaultSize="0" print="0" autoFill="0" autoPict="0" altText="Voltar a tabela de preenchimento da Macro Estimativa">
                <anchor moveWithCells="1" sizeWithCells="1">
                  <from>
                    <xdr:col>2</xdr:col>
                    <xdr:colOff>1447800</xdr:colOff>
                    <xdr:row>30</xdr:row>
                    <xdr:rowOff>114300</xdr:rowOff>
                  </from>
                  <to>
                    <xdr:col>3</xdr:col>
                    <xdr:colOff>733425</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dimension ref="A2:B15"/>
  <sheetViews>
    <sheetView showGridLines="0" topLeftCell="A6" zoomScaleNormal="100" workbookViewId="0"/>
  </sheetViews>
  <sheetFormatPr defaultRowHeight="15" x14ac:dyDescent="0.25"/>
  <cols>
    <col min="2" max="2" width="123.85546875" style="160" customWidth="1"/>
  </cols>
  <sheetData>
    <row r="2" spans="1:2" ht="18.75" x14ac:dyDescent="0.3">
      <c r="B2" s="188" t="s">
        <v>935</v>
      </c>
    </row>
    <row r="3" spans="1:2" x14ac:dyDescent="0.25">
      <c r="B3" s="189" t="s">
        <v>936</v>
      </c>
    </row>
    <row r="4" spans="1:2" x14ac:dyDescent="0.25">
      <c r="B4" s="190"/>
    </row>
    <row r="5" spans="1:2" x14ac:dyDescent="0.25">
      <c r="B5" s="191" t="s">
        <v>937</v>
      </c>
    </row>
    <row r="6" spans="1:2" ht="30" x14ac:dyDescent="0.25">
      <c r="B6" s="192" t="s">
        <v>938</v>
      </c>
    </row>
    <row r="7" spans="1:2" x14ac:dyDescent="0.25">
      <c r="B7" s="192" t="s">
        <v>939</v>
      </c>
    </row>
    <row r="8" spans="1:2" x14ac:dyDescent="0.25">
      <c r="B8" s="192" t="s">
        <v>940</v>
      </c>
    </row>
    <row r="9" spans="1:2" x14ac:dyDescent="0.25">
      <c r="B9" s="192" t="s">
        <v>941</v>
      </c>
    </row>
    <row r="10" spans="1:2" ht="45" x14ac:dyDescent="0.25">
      <c r="A10" s="167" t="s">
        <v>942</v>
      </c>
      <c r="B10" s="192" t="s">
        <v>943</v>
      </c>
    </row>
    <row r="11" spans="1:2" ht="30" x14ac:dyDescent="0.25">
      <c r="A11" s="167" t="s">
        <v>942</v>
      </c>
      <c r="B11" s="193" t="s">
        <v>944</v>
      </c>
    </row>
    <row r="12" spans="1:2" ht="30" x14ac:dyDescent="0.25">
      <c r="B12" s="192" t="s">
        <v>945</v>
      </c>
    </row>
    <row r="13" spans="1:2" ht="30" x14ac:dyDescent="0.25">
      <c r="A13" s="167" t="s">
        <v>942</v>
      </c>
      <c r="B13" s="192" t="s">
        <v>946</v>
      </c>
    </row>
    <row r="14" spans="1:2" ht="30" x14ac:dyDescent="0.25">
      <c r="A14" s="167" t="s">
        <v>942</v>
      </c>
      <c r="B14" s="192" t="s">
        <v>947</v>
      </c>
    </row>
    <row r="15" spans="1:2" ht="30" x14ac:dyDescent="0.25">
      <c r="B15" s="192" t="s">
        <v>948</v>
      </c>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oltar" altText="Voltar a tabela de preenchimento da Macro Estimativa">
                <anchor moveWithCells="1" sizeWithCells="1">
                  <from>
                    <xdr:col>1</xdr:col>
                    <xdr:colOff>3371850</xdr:colOff>
                    <xdr:row>15</xdr:row>
                    <xdr:rowOff>180975</xdr:rowOff>
                  </from>
                  <to>
                    <xdr:col>1</xdr:col>
                    <xdr:colOff>4219575</xdr:colOff>
                    <xdr:row>17</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L1008"/>
  <sheetViews>
    <sheetView zoomScale="70" zoomScaleNormal="70" workbookViewId="0"/>
  </sheetViews>
  <sheetFormatPr defaultRowHeight="15" x14ac:dyDescent="0.25"/>
  <cols>
    <col min="8" max="9" width="11.140625" customWidth="1"/>
    <col min="10" max="10" width="11.5703125" customWidth="1"/>
    <col min="12" max="12" width="16.5703125" customWidth="1"/>
  </cols>
  <sheetData>
    <row r="1" spans="1:12" x14ac:dyDescent="0.25">
      <c r="A1" t="s">
        <v>949</v>
      </c>
      <c r="B1" t="s">
        <v>950</v>
      </c>
      <c r="D1" s="194" t="s">
        <v>951</v>
      </c>
      <c r="G1" t="s">
        <v>952</v>
      </c>
      <c r="H1" t="s">
        <v>953</v>
      </c>
      <c r="I1" t="s">
        <v>954</v>
      </c>
      <c r="L1" t="s">
        <v>14</v>
      </c>
    </row>
    <row r="2" spans="1:12" x14ac:dyDescent="0.25">
      <c r="A2" t="s">
        <v>955</v>
      </c>
      <c r="B2" t="s">
        <v>956</v>
      </c>
      <c r="D2" s="194">
        <v>4</v>
      </c>
      <c r="G2">
        <v>1757</v>
      </c>
      <c r="H2" t="s">
        <v>957</v>
      </c>
      <c r="L2" t="s">
        <v>958</v>
      </c>
    </row>
    <row r="3" spans="1:12" x14ac:dyDescent="0.25">
      <c r="B3" t="s">
        <v>959</v>
      </c>
      <c r="D3" s="194" t="s">
        <v>960</v>
      </c>
      <c r="G3">
        <v>2558</v>
      </c>
      <c r="H3" t="s">
        <v>961</v>
      </c>
      <c r="L3" t="s">
        <v>962</v>
      </c>
    </row>
    <row r="4" spans="1:12" x14ac:dyDescent="0.25">
      <c r="D4" s="194"/>
      <c r="G4">
        <v>2706</v>
      </c>
      <c r="H4" t="s">
        <v>963</v>
      </c>
      <c r="L4" t="s">
        <v>964</v>
      </c>
    </row>
    <row r="5" spans="1:12" x14ac:dyDescent="0.25">
      <c r="G5">
        <v>2670</v>
      </c>
      <c r="H5" t="s">
        <v>965</v>
      </c>
      <c r="L5" t="s">
        <v>966</v>
      </c>
    </row>
    <row r="6" spans="1:12" x14ac:dyDescent="0.25">
      <c r="G6">
        <v>99</v>
      </c>
      <c r="H6" t="s">
        <v>967</v>
      </c>
      <c r="L6" t="s">
        <v>968</v>
      </c>
    </row>
    <row r="7" spans="1:12" x14ac:dyDescent="0.25">
      <c r="G7">
        <v>1524</v>
      </c>
      <c r="H7" t="s">
        <v>969</v>
      </c>
      <c r="L7" t="s">
        <v>970</v>
      </c>
    </row>
    <row r="8" spans="1:12" x14ac:dyDescent="0.25">
      <c r="G8">
        <v>1759</v>
      </c>
      <c r="H8" t="s">
        <v>971</v>
      </c>
      <c r="L8" t="s">
        <v>972</v>
      </c>
    </row>
    <row r="9" spans="1:12" x14ac:dyDescent="0.25">
      <c r="G9">
        <v>100</v>
      </c>
      <c r="H9" t="s">
        <v>973</v>
      </c>
      <c r="L9" t="s">
        <v>974</v>
      </c>
    </row>
    <row r="10" spans="1:12" x14ac:dyDescent="0.25">
      <c r="G10">
        <v>1135</v>
      </c>
      <c r="H10" t="s">
        <v>975</v>
      </c>
      <c r="L10" t="s">
        <v>976</v>
      </c>
    </row>
    <row r="11" spans="1:12" x14ac:dyDescent="0.25">
      <c r="G11">
        <v>1182</v>
      </c>
      <c r="H11" t="s">
        <v>977</v>
      </c>
      <c r="L11" t="s">
        <v>978</v>
      </c>
    </row>
    <row r="12" spans="1:12" x14ac:dyDescent="0.25">
      <c r="G12">
        <v>1</v>
      </c>
      <c r="H12" t="s">
        <v>979</v>
      </c>
      <c r="L12" t="s">
        <v>980</v>
      </c>
    </row>
    <row r="13" spans="1:12" x14ac:dyDescent="0.25">
      <c r="G13">
        <v>2593</v>
      </c>
      <c r="H13" t="s">
        <v>981</v>
      </c>
      <c r="L13" t="s">
        <v>982</v>
      </c>
    </row>
    <row r="14" spans="1:12" x14ac:dyDescent="0.25">
      <c r="G14">
        <v>1225</v>
      </c>
      <c r="H14" t="s">
        <v>983</v>
      </c>
      <c r="L14" t="s">
        <v>984</v>
      </c>
    </row>
    <row r="15" spans="1:12" x14ac:dyDescent="0.25">
      <c r="G15">
        <v>1769</v>
      </c>
      <c r="H15" t="s">
        <v>985</v>
      </c>
      <c r="L15" t="s">
        <v>986</v>
      </c>
    </row>
    <row r="16" spans="1:12" x14ac:dyDescent="0.25">
      <c r="G16">
        <v>1770</v>
      </c>
      <c r="H16" t="s">
        <v>987</v>
      </c>
      <c r="L16" t="s">
        <v>988</v>
      </c>
    </row>
    <row r="17" spans="7:12" x14ac:dyDescent="0.25">
      <c r="G17">
        <v>1771</v>
      </c>
      <c r="H17" t="s">
        <v>989</v>
      </c>
      <c r="L17" t="s">
        <v>990</v>
      </c>
    </row>
    <row r="18" spans="7:12" x14ac:dyDescent="0.25">
      <c r="G18">
        <v>1772</v>
      </c>
      <c r="H18" t="s">
        <v>991</v>
      </c>
      <c r="L18" t="s">
        <v>992</v>
      </c>
    </row>
    <row r="19" spans="7:12" x14ac:dyDescent="0.25">
      <c r="G19">
        <v>1773</v>
      </c>
      <c r="H19" t="s">
        <v>993</v>
      </c>
      <c r="L19" t="s">
        <v>994</v>
      </c>
    </row>
    <row r="20" spans="7:12" x14ac:dyDescent="0.25">
      <c r="G20">
        <v>1775</v>
      </c>
      <c r="H20" t="s">
        <v>995</v>
      </c>
      <c r="L20" t="s">
        <v>996</v>
      </c>
    </row>
    <row r="21" spans="7:12" x14ac:dyDescent="0.25">
      <c r="G21">
        <v>1776</v>
      </c>
      <c r="H21" t="s">
        <v>997</v>
      </c>
      <c r="L21" t="s">
        <v>998</v>
      </c>
    </row>
    <row r="22" spans="7:12" x14ac:dyDescent="0.25">
      <c r="G22">
        <v>1777</v>
      </c>
      <c r="H22" t="s">
        <v>999</v>
      </c>
      <c r="L22" t="s">
        <v>1000</v>
      </c>
    </row>
    <row r="23" spans="7:12" x14ac:dyDescent="0.25">
      <c r="G23">
        <v>1778</v>
      </c>
      <c r="H23" t="s">
        <v>1001</v>
      </c>
      <c r="L23" t="s">
        <v>1002</v>
      </c>
    </row>
    <row r="24" spans="7:12" x14ac:dyDescent="0.25">
      <c r="G24">
        <v>1779</v>
      </c>
      <c r="H24" t="s">
        <v>1003</v>
      </c>
      <c r="L24" t="s">
        <v>1004</v>
      </c>
    </row>
    <row r="25" spans="7:12" x14ac:dyDescent="0.25">
      <c r="G25">
        <v>1780</v>
      </c>
      <c r="H25" t="s">
        <v>1005</v>
      </c>
      <c r="L25" t="s">
        <v>1006</v>
      </c>
    </row>
    <row r="26" spans="7:12" x14ac:dyDescent="0.25">
      <c r="G26">
        <v>1781</v>
      </c>
      <c r="H26" t="s">
        <v>1007</v>
      </c>
      <c r="L26" t="s">
        <v>1008</v>
      </c>
    </row>
    <row r="27" spans="7:12" x14ac:dyDescent="0.25">
      <c r="G27">
        <v>1782</v>
      </c>
      <c r="H27" t="s">
        <v>1009</v>
      </c>
      <c r="L27" t="s">
        <v>1010</v>
      </c>
    </row>
    <row r="28" spans="7:12" x14ac:dyDescent="0.25">
      <c r="G28">
        <v>1183</v>
      </c>
      <c r="H28" t="s">
        <v>1011</v>
      </c>
      <c r="L28" t="s">
        <v>1012</v>
      </c>
    </row>
    <row r="29" spans="7:12" x14ac:dyDescent="0.25">
      <c r="G29">
        <v>1783</v>
      </c>
      <c r="H29" t="s">
        <v>1013</v>
      </c>
      <c r="L29" t="s">
        <v>1014</v>
      </c>
    </row>
    <row r="30" spans="7:12" x14ac:dyDescent="0.25">
      <c r="G30">
        <v>1784</v>
      </c>
      <c r="H30" t="s">
        <v>1015</v>
      </c>
      <c r="L30" t="s">
        <v>1016</v>
      </c>
    </row>
    <row r="31" spans="7:12" x14ac:dyDescent="0.25">
      <c r="G31">
        <v>1785</v>
      </c>
      <c r="H31" t="s">
        <v>1017</v>
      </c>
      <c r="L31" t="s">
        <v>1018</v>
      </c>
    </row>
    <row r="32" spans="7:12" x14ac:dyDescent="0.25">
      <c r="G32">
        <v>1786</v>
      </c>
      <c r="H32" t="s">
        <v>1019</v>
      </c>
      <c r="L32" t="s">
        <v>1020</v>
      </c>
    </row>
    <row r="33" spans="7:12" x14ac:dyDescent="0.25">
      <c r="G33">
        <v>1787</v>
      </c>
      <c r="H33" t="s">
        <v>1021</v>
      </c>
      <c r="L33" t="s">
        <v>1022</v>
      </c>
    </row>
    <row r="34" spans="7:12" x14ac:dyDescent="0.25">
      <c r="G34">
        <v>1788</v>
      </c>
      <c r="H34" t="s">
        <v>1023</v>
      </c>
      <c r="L34" t="s">
        <v>1024</v>
      </c>
    </row>
    <row r="35" spans="7:12" x14ac:dyDescent="0.25">
      <c r="G35">
        <v>1789</v>
      </c>
      <c r="H35" t="s">
        <v>1025</v>
      </c>
      <c r="L35" t="s">
        <v>1026</v>
      </c>
    </row>
    <row r="36" spans="7:12" x14ac:dyDescent="0.25">
      <c r="G36">
        <v>1790</v>
      </c>
      <c r="H36" t="s">
        <v>1027</v>
      </c>
      <c r="L36" t="s">
        <v>1028</v>
      </c>
    </row>
    <row r="37" spans="7:12" x14ac:dyDescent="0.25">
      <c r="G37">
        <v>1791</v>
      </c>
      <c r="H37" t="s">
        <v>1029</v>
      </c>
      <c r="L37" t="s">
        <v>1030</v>
      </c>
    </row>
    <row r="38" spans="7:12" x14ac:dyDescent="0.25">
      <c r="G38">
        <v>1768</v>
      </c>
      <c r="H38" t="s">
        <v>1031</v>
      </c>
      <c r="L38" t="s">
        <v>1032</v>
      </c>
    </row>
    <row r="39" spans="7:12" x14ac:dyDescent="0.25">
      <c r="G39">
        <v>1106</v>
      </c>
      <c r="H39" t="s">
        <v>1033</v>
      </c>
      <c r="L39" t="s">
        <v>1034</v>
      </c>
    </row>
    <row r="40" spans="7:12" x14ac:dyDescent="0.25">
      <c r="G40">
        <v>97</v>
      </c>
      <c r="H40" t="s">
        <v>1035</v>
      </c>
      <c r="L40" t="s">
        <v>1036</v>
      </c>
    </row>
    <row r="41" spans="7:12" x14ac:dyDescent="0.25">
      <c r="G41">
        <v>8</v>
      </c>
      <c r="H41" t="s">
        <v>1037</v>
      </c>
      <c r="L41" t="s">
        <v>1038</v>
      </c>
    </row>
    <row r="42" spans="7:12" x14ac:dyDescent="0.25">
      <c r="G42">
        <v>447</v>
      </c>
      <c r="H42" t="s">
        <v>1039</v>
      </c>
      <c r="L42" t="s">
        <v>1040</v>
      </c>
    </row>
    <row r="43" spans="7:12" x14ac:dyDescent="0.25">
      <c r="G43">
        <v>495</v>
      </c>
      <c r="H43" t="s">
        <v>1041</v>
      </c>
      <c r="L43" t="s">
        <v>1042</v>
      </c>
    </row>
    <row r="44" spans="7:12" x14ac:dyDescent="0.25">
      <c r="G44">
        <v>1247</v>
      </c>
      <c r="H44" t="s">
        <v>1043</v>
      </c>
      <c r="L44" t="s">
        <v>1044</v>
      </c>
    </row>
    <row r="45" spans="7:12" x14ac:dyDescent="0.25">
      <c r="G45">
        <v>58</v>
      </c>
      <c r="H45" t="s">
        <v>1045</v>
      </c>
      <c r="L45" t="s">
        <v>1046</v>
      </c>
    </row>
    <row r="46" spans="7:12" x14ac:dyDescent="0.25">
      <c r="G46">
        <v>2683</v>
      </c>
      <c r="H46" t="s">
        <v>1047</v>
      </c>
      <c r="L46" t="s">
        <v>1048</v>
      </c>
    </row>
    <row r="47" spans="7:12" x14ac:dyDescent="0.25">
      <c r="G47">
        <v>424</v>
      </c>
      <c r="H47" t="s">
        <v>1049</v>
      </c>
    </row>
    <row r="48" spans="7:12" x14ac:dyDescent="0.25">
      <c r="G48">
        <v>1228</v>
      </c>
      <c r="H48" t="s">
        <v>1050</v>
      </c>
    </row>
    <row r="49" spans="7:8" x14ac:dyDescent="0.25">
      <c r="G49">
        <v>2604</v>
      </c>
      <c r="H49" t="s">
        <v>1051</v>
      </c>
    </row>
    <row r="50" spans="7:8" x14ac:dyDescent="0.25">
      <c r="G50">
        <v>1026</v>
      </c>
      <c r="H50" t="s">
        <v>1052</v>
      </c>
    </row>
    <row r="51" spans="7:8" x14ac:dyDescent="0.25">
      <c r="G51">
        <v>1270</v>
      </c>
      <c r="H51" t="s">
        <v>1053</v>
      </c>
    </row>
    <row r="52" spans="7:8" x14ac:dyDescent="0.25">
      <c r="G52">
        <v>2685</v>
      </c>
      <c r="H52" t="s">
        <v>1054</v>
      </c>
    </row>
    <row r="53" spans="7:8" x14ac:dyDescent="0.25">
      <c r="G53">
        <v>1533</v>
      </c>
      <c r="H53" t="s">
        <v>1055</v>
      </c>
    </row>
    <row r="54" spans="7:8" x14ac:dyDescent="0.25">
      <c r="G54">
        <v>1774</v>
      </c>
      <c r="H54" t="s">
        <v>1056</v>
      </c>
    </row>
    <row r="55" spans="7:8" x14ac:dyDescent="0.25">
      <c r="G55">
        <v>2694</v>
      </c>
      <c r="H55" t="s">
        <v>1057</v>
      </c>
    </row>
    <row r="56" spans="7:8" x14ac:dyDescent="0.25">
      <c r="G56">
        <v>2700</v>
      </c>
      <c r="H56" t="s">
        <v>1058</v>
      </c>
    </row>
    <row r="57" spans="7:8" x14ac:dyDescent="0.25">
      <c r="G57">
        <v>2672</v>
      </c>
      <c r="H57" t="s">
        <v>1059</v>
      </c>
    </row>
    <row r="58" spans="7:8" x14ac:dyDescent="0.25">
      <c r="G58">
        <v>1800</v>
      </c>
      <c r="H58" t="s">
        <v>1060</v>
      </c>
    </row>
    <row r="59" spans="7:8" x14ac:dyDescent="0.25">
      <c r="G59">
        <v>1801</v>
      </c>
      <c r="H59" t="s">
        <v>1061</v>
      </c>
    </row>
    <row r="60" spans="7:8" x14ac:dyDescent="0.25">
      <c r="G60">
        <v>1802</v>
      </c>
      <c r="H60" t="s">
        <v>1062</v>
      </c>
    </row>
    <row r="61" spans="7:8" x14ac:dyDescent="0.25">
      <c r="G61">
        <v>1803</v>
      </c>
      <c r="H61" t="s">
        <v>1063</v>
      </c>
    </row>
    <row r="62" spans="7:8" x14ac:dyDescent="0.25">
      <c r="G62">
        <v>1804</v>
      </c>
      <c r="H62" t="s">
        <v>1064</v>
      </c>
    </row>
    <row r="63" spans="7:8" x14ac:dyDescent="0.25">
      <c r="G63">
        <v>1805</v>
      </c>
      <c r="H63" t="s">
        <v>1065</v>
      </c>
    </row>
    <row r="64" spans="7:8" x14ac:dyDescent="0.25">
      <c r="G64">
        <v>1806</v>
      </c>
      <c r="H64" t="s">
        <v>1066</v>
      </c>
    </row>
    <row r="65" spans="7:8" x14ac:dyDescent="0.25">
      <c r="G65">
        <v>1807</v>
      </c>
      <c r="H65" t="s">
        <v>1067</v>
      </c>
    </row>
    <row r="66" spans="7:8" x14ac:dyDescent="0.25">
      <c r="G66">
        <v>1808</v>
      </c>
      <c r="H66" t="s">
        <v>1068</v>
      </c>
    </row>
    <row r="67" spans="7:8" x14ac:dyDescent="0.25">
      <c r="G67">
        <v>1809</v>
      </c>
      <c r="H67" t="s">
        <v>1069</v>
      </c>
    </row>
    <row r="68" spans="7:8" x14ac:dyDescent="0.25">
      <c r="G68">
        <v>1810</v>
      </c>
      <c r="H68" t="s">
        <v>1070</v>
      </c>
    </row>
    <row r="69" spans="7:8" x14ac:dyDescent="0.25">
      <c r="G69">
        <v>1811</v>
      </c>
      <c r="H69" t="s">
        <v>1071</v>
      </c>
    </row>
    <row r="70" spans="7:8" x14ac:dyDescent="0.25">
      <c r="G70">
        <v>1812</v>
      </c>
      <c r="H70" t="s">
        <v>1072</v>
      </c>
    </row>
    <row r="71" spans="7:8" x14ac:dyDescent="0.25">
      <c r="G71">
        <v>1813</v>
      </c>
      <c r="H71" t="s">
        <v>1073</v>
      </c>
    </row>
    <row r="72" spans="7:8" x14ac:dyDescent="0.25">
      <c r="G72">
        <v>1814</v>
      </c>
      <c r="H72" t="s">
        <v>1074</v>
      </c>
    </row>
    <row r="73" spans="7:8" x14ac:dyDescent="0.25">
      <c r="G73">
        <v>1815</v>
      </c>
      <c r="H73" t="s">
        <v>1075</v>
      </c>
    </row>
    <row r="74" spans="7:8" x14ac:dyDescent="0.25">
      <c r="G74">
        <v>1816</v>
      </c>
      <c r="H74" t="s">
        <v>1076</v>
      </c>
    </row>
    <row r="75" spans="7:8" x14ac:dyDescent="0.25">
      <c r="G75">
        <v>1818</v>
      </c>
      <c r="H75" t="s">
        <v>1077</v>
      </c>
    </row>
    <row r="76" spans="7:8" x14ac:dyDescent="0.25">
      <c r="G76">
        <v>965</v>
      </c>
      <c r="H76" t="s">
        <v>1078</v>
      </c>
    </row>
    <row r="77" spans="7:8" x14ac:dyDescent="0.25">
      <c r="G77">
        <v>1819</v>
      </c>
      <c r="H77" t="s">
        <v>1079</v>
      </c>
    </row>
    <row r="78" spans="7:8" x14ac:dyDescent="0.25">
      <c r="G78">
        <v>1821</v>
      </c>
      <c r="H78" t="s">
        <v>1080</v>
      </c>
    </row>
    <row r="79" spans="7:8" x14ac:dyDescent="0.25">
      <c r="G79">
        <v>1817</v>
      </c>
      <c r="H79" t="s">
        <v>1081</v>
      </c>
    </row>
    <row r="80" spans="7:8" x14ac:dyDescent="0.25">
      <c r="G80">
        <v>1822</v>
      </c>
      <c r="H80" t="s">
        <v>1082</v>
      </c>
    </row>
    <row r="81" spans="7:8" x14ac:dyDescent="0.25">
      <c r="G81">
        <v>1823</v>
      </c>
      <c r="H81" t="s">
        <v>1083</v>
      </c>
    </row>
    <row r="82" spans="7:8" x14ac:dyDescent="0.25">
      <c r="G82">
        <v>2684</v>
      </c>
      <c r="H82" t="s">
        <v>1084</v>
      </c>
    </row>
    <row r="83" spans="7:8" x14ac:dyDescent="0.25">
      <c r="G83">
        <v>1755</v>
      </c>
      <c r="H83" t="s">
        <v>1085</v>
      </c>
    </row>
    <row r="84" spans="7:8" x14ac:dyDescent="0.25">
      <c r="G84">
        <v>252</v>
      </c>
      <c r="H84" t="s">
        <v>1086</v>
      </c>
    </row>
    <row r="85" spans="7:8" x14ac:dyDescent="0.25">
      <c r="G85">
        <v>140</v>
      </c>
      <c r="H85" t="s">
        <v>1087</v>
      </c>
    </row>
    <row r="86" spans="7:8" x14ac:dyDescent="0.25">
      <c r="G86">
        <v>1071</v>
      </c>
      <c r="H86" t="s">
        <v>1088</v>
      </c>
    </row>
    <row r="87" spans="7:8" x14ac:dyDescent="0.25">
      <c r="G87">
        <v>2641</v>
      </c>
      <c r="H87" t="s">
        <v>1089</v>
      </c>
    </row>
    <row r="88" spans="7:8" x14ac:dyDescent="0.25">
      <c r="G88">
        <v>1825</v>
      </c>
      <c r="H88" t="s">
        <v>1090</v>
      </c>
    </row>
    <row r="89" spans="7:8" x14ac:dyDescent="0.25">
      <c r="G89">
        <v>1619</v>
      </c>
      <c r="H89" t="s">
        <v>1091</v>
      </c>
    </row>
    <row r="90" spans="7:8" x14ac:dyDescent="0.25">
      <c r="G90">
        <v>1829</v>
      </c>
      <c r="H90" t="s">
        <v>1092</v>
      </c>
    </row>
    <row r="91" spans="7:8" x14ac:dyDescent="0.25">
      <c r="G91">
        <v>427</v>
      </c>
      <c r="H91" t="s">
        <v>1093</v>
      </c>
    </row>
    <row r="92" spans="7:8" x14ac:dyDescent="0.25">
      <c r="G92">
        <v>1144</v>
      </c>
      <c r="H92" t="s">
        <v>1094</v>
      </c>
    </row>
    <row r="93" spans="7:8" x14ac:dyDescent="0.25">
      <c r="G93">
        <v>1831</v>
      </c>
      <c r="H93" t="s">
        <v>1095</v>
      </c>
    </row>
    <row r="94" spans="7:8" x14ac:dyDescent="0.25">
      <c r="G94">
        <v>1832</v>
      </c>
      <c r="H94" t="s">
        <v>1096</v>
      </c>
    </row>
    <row r="95" spans="7:8" x14ac:dyDescent="0.25">
      <c r="G95">
        <v>1833</v>
      </c>
      <c r="H95" t="s">
        <v>1097</v>
      </c>
    </row>
    <row r="96" spans="7:8" x14ac:dyDescent="0.25">
      <c r="G96">
        <v>1834</v>
      </c>
      <c r="H96" t="s">
        <v>1098</v>
      </c>
    </row>
    <row r="97" spans="7:8" x14ac:dyDescent="0.25">
      <c r="G97">
        <v>2698</v>
      </c>
      <c r="H97" t="s">
        <v>1099</v>
      </c>
    </row>
    <row r="98" spans="7:8" x14ac:dyDescent="0.25">
      <c r="G98">
        <v>978</v>
      </c>
      <c r="H98" t="s">
        <v>1100</v>
      </c>
    </row>
    <row r="99" spans="7:8" x14ac:dyDescent="0.25">
      <c r="G99">
        <v>333</v>
      </c>
      <c r="H99" t="s">
        <v>1101</v>
      </c>
    </row>
    <row r="100" spans="7:8" x14ac:dyDescent="0.25">
      <c r="G100">
        <v>982</v>
      </c>
      <c r="H100" t="s">
        <v>1102</v>
      </c>
    </row>
    <row r="101" spans="7:8" x14ac:dyDescent="0.25">
      <c r="G101">
        <v>1836</v>
      </c>
      <c r="H101" t="s">
        <v>1103</v>
      </c>
    </row>
    <row r="102" spans="7:8" x14ac:dyDescent="0.25">
      <c r="G102">
        <v>1933</v>
      </c>
      <c r="H102" t="s">
        <v>1104</v>
      </c>
    </row>
    <row r="103" spans="7:8" x14ac:dyDescent="0.25">
      <c r="G103">
        <v>528</v>
      </c>
      <c r="H103" t="s">
        <v>1105</v>
      </c>
    </row>
    <row r="104" spans="7:8" x14ac:dyDescent="0.25">
      <c r="G104">
        <v>1049</v>
      </c>
      <c r="H104" t="s">
        <v>1106</v>
      </c>
    </row>
    <row r="105" spans="7:8" x14ac:dyDescent="0.25">
      <c r="G105">
        <v>430</v>
      </c>
      <c r="H105" t="s">
        <v>1107</v>
      </c>
    </row>
    <row r="106" spans="7:8" x14ac:dyDescent="0.25">
      <c r="G106">
        <v>1134</v>
      </c>
      <c r="H106" t="s">
        <v>1108</v>
      </c>
    </row>
    <row r="107" spans="7:8" x14ac:dyDescent="0.25">
      <c r="G107">
        <v>431</v>
      </c>
      <c r="H107" t="s">
        <v>1109</v>
      </c>
    </row>
    <row r="108" spans="7:8" x14ac:dyDescent="0.25">
      <c r="G108">
        <v>1839</v>
      </c>
      <c r="H108" t="s">
        <v>1110</v>
      </c>
    </row>
    <row r="109" spans="7:8" x14ac:dyDescent="0.25">
      <c r="G109">
        <v>1153</v>
      </c>
      <c r="H109" t="s">
        <v>1111</v>
      </c>
    </row>
    <row r="110" spans="7:8" x14ac:dyDescent="0.25">
      <c r="G110">
        <v>2674</v>
      </c>
      <c r="H110" t="s">
        <v>1112</v>
      </c>
    </row>
    <row r="111" spans="7:8" x14ac:dyDescent="0.25">
      <c r="G111">
        <v>2693</v>
      </c>
      <c r="H111" t="s">
        <v>1113</v>
      </c>
    </row>
    <row r="112" spans="7:8" x14ac:dyDescent="0.25">
      <c r="G112">
        <v>2627</v>
      </c>
      <c r="H112" t="s">
        <v>1114</v>
      </c>
    </row>
    <row r="113" spans="7:8" x14ac:dyDescent="0.25">
      <c r="G113">
        <v>983</v>
      </c>
      <c r="H113" t="s">
        <v>1115</v>
      </c>
    </row>
    <row r="114" spans="7:8" x14ac:dyDescent="0.25">
      <c r="G114">
        <v>1841</v>
      </c>
      <c r="H114" t="s">
        <v>1116</v>
      </c>
    </row>
    <row r="115" spans="7:8" x14ac:dyDescent="0.25">
      <c r="G115">
        <v>2542</v>
      </c>
      <c r="H115" t="s">
        <v>1117</v>
      </c>
    </row>
    <row r="116" spans="7:8" x14ac:dyDescent="0.25">
      <c r="G116">
        <v>2541</v>
      </c>
      <c r="H116" t="s">
        <v>1118</v>
      </c>
    </row>
    <row r="117" spans="7:8" x14ac:dyDescent="0.25">
      <c r="G117">
        <v>19</v>
      </c>
      <c r="H117" t="s">
        <v>1119</v>
      </c>
    </row>
    <row r="118" spans="7:8" x14ac:dyDescent="0.25">
      <c r="G118">
        <v>136</v>
      </c>
      <c r="H118" t="s">
        <v>1120</v>
      </c>
    </row>
    <row r="119" spans="7:8" x14ac:dyDescent="0.25">
      <c r="G119">
        <v>1593</v>
      </c>
      <c r="H119" t="s">
        <v>1121</v>
      </c>
    </row>
    <row r="120" spans="7:8" x14ac:dyDescent="0.25">
      <c r="G120">
        <v>1056</v>
      </c>
      <c r="H120" t="s">
        <v>1122</v>
      </c>
    </row>
    <row r="121" spans="7:8" x14ac:dyDescent="0.25">
      <c r="G121">
        <v>1107</v>
      </c>
      <c r="H121" t="s">
        <v>1123</v>
      </c>
    </row>
    <row r="122" spans="7:8" x14ac:dyDescent="0.25">
      <c r="G122">
        <v>984</v>
      </c>
      <c r="H122" t="s">
        <v>1124</v>
      </c>
    </row>
    <row r="123" spans="7:8" x14ac:dyDescent="0.25">
      <c r="G123">
        <v>1858</v>
      </c>
      <c r="H123" t="s">
        <v>1125</v>
      </c>
    </row>
    <row r="124" spans="7:8" x14ac:dyDescent="0.25">
      <c r="G124">
        <v>1611</v>
      </c>
      <c r="H124" t="s">
        <v>1126</v>
      </c>
    </row>
    <row r="125" spans="7:8" x14ac:dyDescent="0.25">
      <c r="G125">
        <v>2578</v>
      </c>
      <c r="H125" t="s">
        <v>1127</v>
      </c>
    </row>
    <row r="126" spans="7:8" x14ac:dyDescent="0.25">
      <c r="G126">
        <v>1523</v>
      </c>
      <c r="H126" t="s">
        <v>1128</v>
      </c>
    </row>
    <row r="127" spans="7:8" x14ac:dyDescent="0.25">
      <c r="G127">
        <v>1538</v>
      </c>
      <c r="H127" t="s">
        <v>1129</v>
      </c>
    </row>
    <row r="128" spans="7:8" x14ac:dyDescent="0.25">
      <c r="G128">
        <v>1859</v>
      </c>
      <c r="H128" t="s">
        <v>1130</v>
      </c>
    </row>
    <row r="129" spans="7:8" x14ac:dyDescent="0.25">
      <c r="G129">
        <v>1861</v>
      </c>
      <c r="H129" t="s">
        <v>1131</v>
      </c>
    </row>
    <row r="130" spans="7:8" x14ac:dyDescent="0.25">
      <c r="G130">
        <v>24</v>
      </c>
      <c r="H130" t="s">
        <v>1132</v>
      </c>
    </row>
    <row r="131" spans="7:8" x14ac:dyDescent="0.25">
      <c r="G131">
        <v>1863</v>
      </c>
      <c r="H131" t="s">
        <v>1133</v>
      </c>
    </row>
    <row r="132" spans="7:8" x14ac:dyDescent="0.25">
      <c r="G132">
        <v>2696</v>
      </c>
      <c r="H132" t="s">
        <v>1134</v>
      </c>
    </row>
    <row r="133" spans="7:8" x14ac:dyDescent="0.25">
      <c r="G133">
        <v>2631</v>
      </c>
      <c r="H133" t="s">
        <v>1135</v>
      </c>
    </row>
    <row r="134" spans="7:8" x14ac:dyDescent="0.25">
      <c r="G134">
        <v>2652</v>
      </c>
      <c r="H134" t="s">
        <v>1136</v>
      </c>
    </row>
    <row r="135" spans="7:8" x14ac:dyDescent="0.25">
      <c r="G135">
        <v>1869</v>
      </c>
      <c r="H135" t="s">
        <v>1137</v>
      </c>
    </row>
    <row r="136" spans="7:8" x14ac:dyDescent="0.25">
      <c r="G136">
        <v>2632</v>
      </c>
      <c r="H136" t="s">
        <v>1138</v>
      </c>
    </row>
    <row r="137" spans="7:8" x14ac:dyDescent="0.25">
      <c r="G137">
        <v>2630</v>
      </c>
      <c r="H137" t="s">
        <v>1139</v>
      </c>
    </row>
    <row r="138" spans="7:8" x14ac:dyDescent="0.25">
      <c r="G138">
        <v>2629</v>
      </c>
      <c r="H138" t="s">
        <v>1140</v>
      </c>
    </row>
    <row r="139" spans="7:8" x14ac:dyDescent="0.25">
      <c r="G139">
        <v>1870</v>
      </c>
      <c r="H139" t="s">
        <v>1141</v>
      </c>
    </row>
    <row r="140" spans="7:8" x14ac:dyDescent="0.25">
      <c r="G140">
        <v>1871</v>
      </c>
      <c r="H140" t="s">
        <v>1142</v>
      </c>
    </row>
    <row r="141" spans="7:8" x14ac:dyDescent="0.25">
      <c r="G141">
        <v>137</v>
      </c>
      <c r="H141" t="s">
        <v>1143</v>
      </c>
    </row>
    <row r="142" spans="7:8" x14ac:dyDescent="0.25">
      <c r="G142">
        <v>2595</v>
      </c>
      <c r="H142" t="s">
        <v>1144</v>
      </c>
    </row>
    <row r="143" spans="7:8" x14ac:dyDescent="0.25">
      <c r="G143">
        <v>1184</v>
      </c>
      <c r="H143" t="s">
        <v>1145</v>
      </c>
    </row>
    <row r="144" spans="7:8" x14ac:dyDescent="0.25">
      <c r="G144">
        <v>1186</v>
      </c>
      <c r="H144" t="s">
        <v>1146</v>
      </c>
    </row>
    <row r="145" spans="7:8" x14ac:dyDescent="0.25">
      <c r="G145">
        <v>2742</v>
      </c>
      <c r="H145" t="s">
        <v>1147</v>
      </c>
    </row>
    <row r="146" spans="7:8" x14ac:dyDescent="0.25">
      <c r="G146">
        <v>2697</v>
      </c>
      <c r="H146" t="s">
        <v>1148</v>
      </c>
    </row>
    <row r="147" spans="7:8" x14ac:dyDescent="0.25">
      <c r="G147">
        <v>1573</v>
      </c>
      <c r="H147" t="s">
        <v>1149</v>
      </c>
    </row>
    <row r="148" spans="7:8" x14ac:dyDescent="0.25">
      <c r="G148">
        <v>1572</v>
      </c>
      <c r="H148" t="s">
        <v>1149</v>
      </c>
    </row>
    <row r="149" spans="7:8" x14ac:dyDescent="0.25">
      <c r="G149">
        <v>2677</v>
      </c>
      <c r="H149" t="s">
        <v>1150</v>
      </c>
    </row>
    <row r="150" spans="7:8" x14ac:dyDescent="0.25">
      <c r="G150">
        <v>2620</v>
      </c>
      <c r="H150" t="s">
        <v>1151</v>
      </c>
    </row>
    <row r="151" spans="7:8" x14ac:dyDescent="0.25">
      <c r="G151">
        <v>435</v>
      </c>
      <c r="H151" t="s">
        <v>1152</v>
      </c>
    </row>
    <row r="152" spans="7:8" x14ac:dyDescent="0.25">
      <c r="G152">
        <v>358</v>
      </c>
      <c r="H152" t="s">
        <v>1153</v>
      </c>
    </row>
    <row r="153" spans="7:8" x14ac:dyDescent="0.25">
      <c r="G153">
        <v>887</v>
      </c>
      <c r="H153" t="s">
        <v>1154</v>
      </c>
    </row>
    <row r="154" spans="7:8" x14ac:dyDescent="0.25">
      <c r="G154">
        <v>1606</v>
      </c>
      <c r="H154" t="s">
        <v>1155</v>
      </c>
    </row>
    <row r="155" spans="7:8" x14ac:dyDescent="0.25">
      <c r="G155">
        <v>1089</v>
      </c>
      <c r="H155" t="s">
        <v>1156</v>
      </c>
    </row>
    <row r="156" spans="7:8" x14ac:dyDescent="0.25">
      <c r="G156">
        <v>1889</v>
      </c>
      <c r="H156" t="s">
        <v>1157</v>
      </c>
    </row>
    <row r="157" spans="7:8" x14ac:dyDescent="0.25">
      <c r="G157">
        <v>1244</v>
      </c>
      <c r="H157" t="s">
        <v>1158</v>
      </c>
    </row>
    <row r="158" spans="7:8" x14ac:dyDescent="0.25">
      <c r="G158">
        <v>1896</v>
      </c>
      <c r="H158" t="s">
        <v>1159</v>
      </c>
    </row>
    <row r="159" spans="7:8" x14ac:dyDescent="0.25">
      <c r="G159">
        <v>91</v>
      </c>
      <c r="H159" t="s">
        <v>1160</v>
      </c>
    </row>
    <row r="160" spans="7:8" x14ac:dyDescent="0.25">
      <c r="G160">
        <v>1874</v>
      </c>
      <c r="H160" t="s">
        <v>1161</v>
      </c>
    </row>
    <row r="161" spans="7:8" x14ac:dyDescent="0.25">
      <c r="G161">
        <v>1875</v>
      </c>
      <c r="H161" t="s">
        <v>1162</v>
      </c>
    </row>
    <row r="162" spans="7:8" x14ac:dyDescent="0.25">
      <c r="G162">
        <v>1877</v>
      </c>
      <c r="H162" t="s">
        <v>1163</v>
      </c>
    </row>
    <row r="163" spans="7:8" x14ac:dyDescent="0.25">
      <c r="G163">
        <v>1879</v>
      </c>
      <c r="H163" t="s">
        <v>1164</v>
      </c>
    </row>
    <row r="164" spans="7:8" x14ac:dyDescent="0.25">
      <c r="G164">
        <v>1881</v>
      </c>
      <c r="H164" t="s">
        <v>1165</v>
      </c>
    </row>
    <row r="165" spans="7:8" x14ac:dyDescent="0.25">
      <c r="G165">
        <v>1883</v>
      </c>
      <c r="H165" t="s">
        <v>1166</v>
      </c>
    </row>
    <row r="166" spans="7:8" x14ac:dyDescent="0.25">
      <c r="G166">
        <v>92</v>
      </c>
      <c r="H166" t="s">
        <v>1167</v>
      </c>
    </row>
    <row r="167" spans="7:8" x14ac:dyDescent="0.25">
      <c r="G167">
        <v>1885</v>
      </c>
      <c r="H167" t="s">
        <v>1168</v>
      </c>
    </row>
    <row r="168" spans="7:8" x14ac:dyDescent="0.25">
      <c r="G168">
        <v>1887</v>
      </c>
      <c r="H168" t="s">
        <v>1169</v>
      </c>
    </row>
    <row r="169" spans="7:8" x14ac:dyDescent="0.25">
      <c r="G169">
        <v>1888</v>
      </c>
      <c r="H169" t="s">
        <v>1170</v>
      </c>
    </row>
    <row r="170" spans="7:8" x14ac:dyDescent="0.25">
      <c r="G170">
        <v>1890</v>
      </c>
      <c r="H170" t="s">
        <v>1171</v>
      </c>
    </row>
    <row r="171" spans="7:8" x14ac:dyDescent="0.25">
      <c r="G171">
        <v>1892</v>
      </c>
      <c r="H171" t="s">
        <v>1172</v>
      </c>
    </row>
    <row r="172" spans="7:8" x14ac:dyDescent="0.25">
      <c r="G172">
        <v>1069</v>
      </c>
      <c r="H172" t="s">
        <v>1173</v>
      </c>
    </row>
    <row r="173" spans="7:8" x14ac:dyDescent="0.25">
      <c r="G173">
        <v>93</v>
      </c>
      <c r="H173" t="s">
        <v>1174</v>
      </c>
    </row>
    <row r="174" spans="7:8" x14ac:dyDescent="0.25">
      <c r="G174">
        <v>1895</v>
      </c>
      <c r="H174" t="s">
        <v>1175</v>
      </c>
    </row>
    <row r="175" spans="7:8" x14ac:dyDescent="0.25">
      <c r="G175">
        <v>1897</v>
      </c>
      <c r="H175" t="s">
        <v>1176</v>
      </c>
    </row>
    <row r="176" spans="7:8" x14ac:dyDescent="0.25">
      <c r="G176">
        <v>1898</v>
      </c>
      <c r="H176" t="s">
        <v>1177</v>
      </c>
    </row>
    <row r="177" spans="7:8" x14ac:dyDescent="0.25">
      <c r="G177">
        <v>1899</v>
      </c>
      <c r="H177" t="s">
        <v>1178</v>
      </c>
    </row>
    <row r="178" spans="7:8" x14ac:dyDescent="0.25">
      <c r="G178">
        <v>1900</v>
      </c>
      <c r="H178" t="s">
        <v>1179</v>
      </c>
    </row>
    <row r="179" spans="7:8" x14ac:dyDescent="0.25">
      <c r="G179">
        <v>94</v>
      </c>
      <c r="H179" t="s">
        <v>1180</v>
      </c>
    </row>
    <row r="180" spans="7:8" x14ac:dyDescent="0.25">
      <c r="G180">
        <v>497</v>
      </c>
      <c r="H180" t="s">
        <v>1181</v>
      </c>
    </row>
    <row r="181" spans="7:8" x14ac:dyDescent="0.25">
      <c r="G181">
        <v>496</v>
      </c>
      <c r="H181" t="s">
        <v>1182</v>
      </c>
    </row>
    <row r="182" spans="7:8" x14ac:dyDescent="0.25">
      <c r="G182">
        <v>157</v>
      </c>
      <c r="H182" t="s">
        <v>1183</v>
      </c>
    </row>
    <row r="183" spans="7:8" x14ac:dyDescent="0.25">
      <c r="G183">
        <v>1150</v>
      </c>
      <c r="H183" t="s">
        <v>1183</v>
      </c>
    </row>
    <row r="184" spans="7:8" x14ac:dyDescent="0.25">
      <c r="G184">
        <v>2540</v>
      </c>
      <c r="H184" t="s">
        <v>1184</v>
      </c>
    </row>
    <row r="185" spans="7:8" x14ac:dyDescent="0.25">
      <c r="G185">
        <v>2585</v>
      </c>
      <c r="H185" t="s">
        <v>1185</v>
      </c>
    </row>
    <row r="186" spans="7:8" x14ac:dyDescent="0.25">
      <c r="G186">
        <v>363</v>
      </c>
      <c r="H186" t="s">
        <v>1186</v>
      </c>
    </row>
    <row r="187" spans="7:8" x14ac:dyDescent="0.25">
      <c r="G187">
        <v>1906</v>
      </c>
      <c r="H187" t="s">
        <v>1186</v>
      </c>
    </row>
    <row r="188" spans="7:8" x14ac:dyDescent="0.25">
      <c r="G188">
        <v>540</v>
      </c>
      <c r="H188" t="s">
        <v>1187</v>
      </c>
    </row>
    <row r="189" spans="7:8" x14ac:dyDescent="0.25">
      <c r="G189">
        <v>1907</v>
      </c>
      <c r="H189" t="s">
        <v>1188</v>
      </c>
    </row>
    <row r="190" spans="7:8" x14ac:dyDescent="0.25">
      <c r="G190">
        <v>1916</v>
      </c>
      <c r="H190" t="s">
        <v>1189</v>
      </c>
    </row>
    <row r="191" spans="7:8" x14ac:dyDescent="0.25">
      <c r="G191">
        <v>1133</v>
      </c>
      <c r="H191" t="s">
        <v>1190</v>
      </c>
    </row>
    <row r="192" spans="7:8" x14ac:dyDescent="0.25">
      <c r="G192">
        <v>1921</v>
      </c>
      <c r="H192" t="s">
        <v>1191</v>
      </c>
    </row>
    <row r="193" spans="7:8" x14ac:dyDescent="0.25">
      <c r="G193">
        <v>969</v>
      </c>
      <c r="H193" t="s">
        <v>1192</v>
      </c>
    </row>
    <row r="194" spans="7:8" x14ac:dyDescent="0.25">
      <c r="G194">
        <v>1078</v>
      </c>
      <c r="H194" t="s">
        <v>1193</v>
      </c>
    </row>
    <row r="195" spans="7:8" x14ac:dyDescent="0.25">
      <c r="G195">
        <v>158</v>
      </c>
      <c r="H195" t="s">
        <v>1194</v>
      </c>
    </row>
    <row r="196" spans="7:8" x14ac:dyDescent="0.25">
      <c r="G196">
        <v>973</v>
      </c>
      <c r="H196" t="s">
        <v>1195</v>
      </c>
    </row>
    <row r="197" spans="7:8" x14ac:dyDescent="0.25">
      <c r="G197">
        <v>76</v>
      </c>
      <c r="H197" t="s">
        <v>1196</v>
      </c>
    </row>
    <row r="198" spans="7:8" x14ac:dyDescent="0.25">
      <c r="G198">
        <v>70</v>
      </c>
      <c r="H198" t="s">
        <v>1197</v>
      </c>
    </row>
    <row r="199" spans="7:8" x14ac:dyDescent="0.25">
      <c r="G199">
        <v>2536</v>
      </c>
      <c r="H199" t="s">
        <v>1198</v>
      </c>
    </row>
    <row r="200" spans="7:8" x14ac:dyDescent="0.25">
      <c r="G200">
        <v>1138</v>
      </c>
      <c r="H200" t="s">
        <v>1199</v>
      </c>
    </row>
    <row r="201" spans="7:8" x14ac:dyDescent="0.25">
      <c r="G201">
        <v>1199</v>
      </c>
      <c r="H201" t="s">
        <v>1200</v>
      </c>
    </row>
    <row r="202" spans="7:8" x14ac:dyDescent="0.25">
      <c r="G202">
        <v>1139</v>
      </c>
      <c r="H202" t="s">
        <v>1201</v>
      </c>
    </row>
    <row r="203" spans="7:8" x14ac:dyDescent="0.25">
      <c r="G203">
        <v>1200</v>
      </c>
      <c r="H203" t="s">
        <v>1202</v>
      </c>
    </row>
    <row r="204" spans="7:8" x14ac:dyDescent="0.25">
      <c r="G204">
        <v>2659</v>
      </c>
      <c r="H204" t="s">
        <v>1203</v>
      </c>
    </row>
    <row r="205" spans="7:8" x14ac:dyDescent="0.25">
      <c r="G205">
        <v>2608</v>
      </c>
      <c r="H205" t="s">
        <v>1203</v>
      </c>
    </row>
    <row r="206" spans="7:8" x14ac:dyDescent="0.25">
      <c r="G206">
        <v>383</v>
      </c>
      <c r="H206" t="s">
        <v>1204</v>
      </c>
    </row>
    <row r="207" spans="7:8" x14ac:dyDescent="0.25">
      <c r="G207">
        <v>990</v>
      </c>
      <c r="H207" t="s">
        <v>1205</v>
      </c>
    </row>
    <row r="208" spans="7:8" x14ac:dyDescent="0.25">
      <c r="G208">
        <v>2030</v>
      </c>
      <c r="H208" t="s">
        <v>1205</v>
      </c>
    </row>
    <row r="209" spans="7:8" x14ac:dyDescent="0.25">
      <c r="G209">
        <v>384</v>
      </c>
      <c r="H209" t="s">
        <v>1206</v>
      </c>
    </row>
    <row r="210" spans="7:8" x14ac:dyDescent="0.25">
      <c r="G210">
        <v>1597</v>
      </c>
      <c r="H210" t="s">
        <v>1207</v>
      </c>
    </row>
    <row r="211" spans="7:8" x14ac:dyDescent="0.25">
      <c r="G211">
        <v>159</v>
      </c>
      <c r="H211" t="s">
        <v>1208</v>
      </c>
    </row>
    <row r="212" spans="7:8" x14ac:dyDescent="0.25">
      <c r="G212">
        <v>160</v>
      </c>
      <c r="H212" t="s">
        <v>1209</v>
      </c>
    </row>
    <row r="213" spans="7:8" x14ac:dyDescent="0.25">
      <c r="G213">
        <v>161</v>
      </c>
      <c r="H213" t="s">
        <v>1210</v>
      </c>
    </row>
    <row r="214" spans="7:8" x14ac:dyDescent="0.25">
      <c r="G214">
        <v>162</v>
      </c>
      <c r="H214" t="s">
        <v>1211</v>
      </c>
    </row>
    <row r="215" spans="7:8" x14ac:dyDescent="0.25">
      <c r="G215">
        <v>163</v>
      </c>
      <c r="H215" t="s">
        <v>1212</v>
      </c>
    </row>
    <row r="216" spans="7:8" x14ac:dyDescent="0.25">
      <c r="G216">
        <v>2042</v>
      </c>
      <c r="H216" t="s">
        <v>1213</v>
      </c>
    </row>
    <row r="217" spans="7:8" x14ac:dyDescent="0.25">
      <c r="G217">
        <v>2047</v>
      </c>
      <c r="H217" t="s">
        <v>1214</v>
      </c>
    </row>
    <row r="218" spans="7:8" x14ac:dyDescent="0.25">
      <c r="G218">
        <v>2050</v>
      </c>
      <c r="H218" t="s">
        <v>1215</v>
      </c>
    </row>
    <row r="219" spans="7:8" x14ac:dyDescent="0.25">
      <c r="G219">
        <v>2051</v>
      </c>
      <c r="H219" t="s">
        <v>1216</v>
      </c>
    </row>
    <row r="220" spans="7:8" x14ac:dyDescent="0.25">
      <c r="G220">
        <v>2755</v>
      </c>
      <c r="H220" t="s">
        <v>1217</v>
      </c>
    </row>
    <row r="221" spans="7:8" x14ac:dyDescent="0.25">
      <c r="G221">
        <v>916</v>
      </c>
      <c r="H221" t="s">
        <v>1218</v>
      </c>
    </row>
    <row r="222" spans="7:8" x14ac:dyDescent="0.25">
      <c r="G222">
        <v>2666</v>
      </c>
      <c r="H222" t="s">
        <v>1219</v>
      </c>
    </row>
    <row r="223" spans="7:8" x14ac:dyDescent="0.25">
      <c r="G223">
        <v>164</v>
      </c>
      <c r="H223" t="s">
        <v>1220</v>
      </c>
    </row>
    <row r="224" spans="7:8" x14ac:dyDescent="0.25">
      <c r="G224">
        <v>2644</v>
      </c>
      <c r="H224" t="s">
        <v>1221</v>
      </c>
    </row>
    <row r="225" spans="7:8" x14ac:dyDescent="0.25">
      <c r="G225">
        <v>1265</v>
      </c>
      <c r="H225" t="s">
        <v>1222</v>
      </c>
    </row>
    <row r="226" spans="7:8" x14ac:dyDescent="0.25">
      <c r="G226">
        <v>2762</v>
      </c>
      <c r="H226" t="s">
        <v>1223</v>
      </c>
    </row>
    <row r="227" spans="7:8" x14ac:dyDescent="0.25">
      <c r="G227">
        <v>1154</v>
      </c>
      <c r="H227" t="s">
        <v>1224</v>
      </c>
    </row>
    <row r="228" spans="7:8" x14ac:dyDescent="0.25">
      <c r="G228">
        <v>2287</v>
      </c>
      <c r="H228" t="s">
        <v>1225</v>
      </c>
    </row>
    <row r="229" spans="7:8" x14ac:dyDescent="0.25">
      <c r="G229">
        <v>2572</v>
      </c>
      <c r="H229" t="s">
        <v>1226</v>
      </c>
    </row>
    <row r="230" spans="7:8" x14ac:dyDescent="0.25">
      <c r="G230">
        <v>2591</v>
      </c>
      <c r="H230" t="s">
        <v>1227</v>
      </c>
    </row>
    <row r="231" spans="7:8" x14ac:dyDescent="0.25">
      <c r="G231">
        <v>168</v>
      </c>
      <c r="H231" t="s">
        <v>1228</v>
      </c>
    </row>
    <row r="232" spans="7:8" x14ac:dyDescent="0.25">
      <c r="G232">
        <v>2072</v>
      </c>
      <c r="H232" t="s">
        <v>1229</v>
      </c>
    </row>
    <row r="233" spans="7:8" x14ac:dyDescent="0.25">
      <c r="G233">
        <v>491</v>
      </c>
      <c r="H233" t="s">
        <v>1230</v>
      </c>
    </row>
    <row r="234" spans="7:8" x14ac:dyDescent="0.25">
      <c r="G234">
        <v>2597</v>
      </c>
      <c r="H234" t="s">
        <v>1231</v>
      </c>
    </row>
    <row r="235" spans="7:8" x14ac:dyDescent="0.25">
      <c r="G235">
        <v>2605</v>
      </c>
      <c r="H235" t="s">
        <v>1232</v>
      </c>
    </row>
    <row r="236" spans="7:8" x14ac:dyDescent="0.25">
      <c r="G236">
        <v>1074</v>
      </c>
      <c r="H236" t="s">
        <v>1233</v>
      </c>
    </row>
    <row r="237" spans="7:8" x14ac:dyDescent="0.25">
      <c r="G237">
        <v>2086</v>
      </c>
      <c r="H237" t="s">
        <v>1234</v>
      </c>
    </row>
    <row r="238" spans="7:8" x14ac:dyDescent="0.25">
      <c r="G238">
        <v>2095</v>
      </c>
      <c r="H238" t="s">
        <v>1235</v>
      </c>
    </row>
    <row r="239" spans="7:8" x14ac:dyDescent="0.25">
      <c r="G239">
        <v>2624</v>
      </c>
      <c r="H239" t="s">
        <v>1236</v>
      </c>
    </row>
    <row r="240" spans="7:8" x14ac:dyDescent="0.25">
      <c r="G240">
        <v>1561</v>
      </c>
      <c r="H240" t="s">
        <v>1237</v>
      </c>
    </row>
    <row r="241" spans="7:8" x14ac:dyDescent="0.25">
      <c r="G241">
        <v>1649</v>
      </c>
      <c r="H241" t="s">
        <v>1238</v>
      </c>
    </row>
    <row r="242" spans="7:8" x14ac:dyDescent="0.25">
      <c r="G242">
        <v>1584</v>
      </c>
      <c r="H242" t="s">
        <v>1239</v>
      </c>
    </row>
    <row r="243" spans="7:8" x14ac:dyDescent="0.25">
      <c r="G243">
        <v>2662</v>
      </c>
      <c r="H243" t="s">
        <v>1240</v>
      </c>
    </row>
    <row r="244" spans="7:8" x14ac:dyDescent="0.25">
      <c r="G244">
        <v>2531</v>
      </c>
      <c r="H244" t="s">
        <v>1241</v>
      </c>
    </row>
    <row r="245" spans="7:8" x14ac:dyDescent="0.25">
      <c r="G245">
        <v>1587</v>
      </c>
      <c r="H245" t="s">
        <v>1242</v>
      </c>
    </row>
    <row r="246" spans="7:8" x14ac:dyDescent="0.25">
      <c r="G246">
        <v>1581</v>
      </c>
      <c r="H246" t="s">
        <v>1243</v>
      </c>
    </row>
    <row r="247" spans="7:8" x14ac:dyDescent="0.25">
      <c r="G247">
        <v>2517</v>
      </c>
      <c r="H247" t="s">
        <v>1244</v>
      </c>
    </row>
    <row r="248" spans="7:8" x14ac:dyDescent="0.25">
      <c r="G248">
        <v>2518</v>
      </c>
      <c r="H248" t="s">
        <v>1245</v>
      </c>
    </row>
    <row r="249" spans="7:8" x14ac:dyDescent="0.25">
      <c r="G249">
        <v>1232</v>
      </c>
      <c r="H249" t="s">
        <v>1246</v>
      </c>
    </row>
    <row r="250" spans="7:8" x14ac:dyDescent="0.25">
      <c r="G250">
        <v>2529</v>
      </c>
      <c r="H250" t="s">
        <v>1247</v>
      </c>
    </row>
    <row r="251" spans="7:8" x14ac:dyDescent="0.25">
      <c r="G251">
        <v>1589</v>
      </c>
      <c r="H251" t="s">
        <v>1248</v>
      </c>
    </row>
    <row r="252" spans="7:8" x14ac:dyDescent="0.25">
      <c r="G252">
        <v>1590</v>
      </c>
      <c r="H252" t="s">
        <v>1249</v>
      </c>
    </row>
    <row r="253" spans="7:8" x14ac:dyDescent="0.25">
      <c r="G253">
        <v>1591</v>
      </c>
      <c r="H253" t="s">
        <v>1250</v>
      </c>
    </row>
    <row r="254" spans="7:8" x14ac:dyDescent="0.25">
      <c r="G254">
        <v>2658</v>
      </c>
      <c r="H254" t="s">
        <v>1251</v>
      </c>
    </row>
    <row r="255" spans="7:8" x14ac:dyDescent="0.25">
      <c r="G255">
        <v>2525</v>
      </c>
      <c r="H255" t="s">
        <v>1252</v>
      </c>
    </row>
    <row r="256" spans="7:8" x14ac:dyDescent="0.25">
      <c r="G256">
        <v>2530</v>
      </c>
      <c r="H256" t="s">
        <v>1253</v>
      </c>
    </row>
    <row r="257" spans="7:8" x14ac:dyDescent="0.25">
      <c r="G257">
        <v>2664</v>
      </c>
      <c r="H257" t="s">
        <v>1254</v>
      </c>
    </row>
    <row r="258" spans="7:8" x14ac:dyDescent="0.25">
      <c r="G258">
        <v>1582</v>
      </c>
      <c r="H258" t="s">
        <v>1255</v>
      </c>
    </row>
    <row r="259" spans="7:8" x14ac:dyDescent="0.25">
      <c r="G259">
        <v>2514</v>
      </c>
      <c r="H259" t="s">
        <v>1256</v>
      </c>
    </row>
    <row r="260" spans="7:8" x14ac:dyDescent="0.25">
      <c r="G260">
        <v>1588</v>
      </c>
      <c r="H260" t="s">
        <v>1257</v>
      </c>
    </row>
    <row r="261" spans="7:8" x14ac:dyDescent="0.25">
      <c r="G261">
        <v>1583</v>
      </c>
      <c r="H261" t="s">
        <v>1258</v>
      </c>
    </row>
    <row r="262" spans="7:8" x14ac:dyDescent="0.25">
      <c r="G262">
        <v>2678</v>
      </c>
      <c r="H262" t="s">
        <v>1259</v>
      </c>
    </row>
    <row r="263" spans="7:8" x14ac:dyDescent="0.25">
      <c r="G263">
        <v>2512</v>
      </c>
      <c r="H263" t="s">
        <v>1260</v>
      </c>
    </row>
    <row r="264" spans="7:8" x14ac:dyDescent="0.25">
      <c r="G264">
        <v>2634</v>
      </c>
      <c r="H264" t="s">
        <v>1261</v>
      </c>
    </row>
    <row r="265" spans="7:8" x14ac:dyDescent="0.25">
      <c r="G265">
        <v>2515</v>
      </c>
      <c r="H265" t="s">
        <v>1262</v>
      </c>
    </row>
    <row r="266" spans="7:8" x14ac:dyDescent="0.25">
      <c r="G266">
        <v>2510</v>
      </c>
      <c r="H266" t="s">
        <v>1263</v>
      </c>
    </row>
    <row r="267" spans="7:8" x14ac:dyDescent="0.25">
      <c r="G267">
        <v>2532</v>
      </c>
      <c r="H267" t="s">
        <v>1264</v>
      </c>
    </row>
    <row r="268" spans="7:8" x14ac:dyDescent="0.25">
      <c r="G268">
        <v>2534</v>
      </c>
      <c r="H268" t="s">
        <v>1265</v>
      </c>
    </row>
    <row r="269" spans="7:8" x14ac:dyDescent="0.25">
      <c r="G269">
        <v>2523</v>
      </c>
      <c r="H269" t="s">
        <v>1266</v>
      </c>
    </row>
    <row r="270" spans="7:8" x14ac:dyDescent="0.25">
      <c r="G270">
        <v>2702</v>
      </c>
      <c r="H270" t="s">
        <v>1267</v>
      </c>
    </row>
    <row r="271" spans="7:8" x14ac:dyDescent="0.25">
      <c r="G271">
        <v>1580</v>
      </c>
      <c r="H271" t="s">
        <v>1268</v>
      </c>
    </row>
    <row r="272" spans="7:8" x14ac:dyDescent="0.25">
      <c r="G272">
        <v>1585</v>
      </c>
      <c r="H272" t="s">
        <v>1269</v>
      </c>
    </row>
    <row r="273" spans="7:8" x14ac:dyDescent="0.25">
      <c r="G273">
        <v>2535</v>
      </c>
      <c r="H273" t="s">
        <v>1270</v>
      </c>
    </row>
    <row r="274" spans="7:8" x14ac:dyDescent="0.25">
      <c r="G274">
        <v>2114</v>
      </c>
      <c r="H274" t="s">
        <v>1271</v>
      </c>
    </row>
    <row r="275" spans="7:8" x14ac:dyDescent="0.25">
      <c r="G275">
        <v>1249</v>
      </c>
      <c r="H275" t="s">
        <v>1272</v>
      </c>
    </row>
    <row r="276" spans="7:8" x14ac:dyDescent="0.25">
      <c r="G276">
        <v>1202</v>
      </c>
      <c r="H276" t="s">
        <v>1273</v>
      </c>
    </row>
    <row r="277" spans="7:8" x14ac:dyDescent="0.25">
      <c r="G277">
        <v>2705</v>
      </c>
      <c r="H277" t="s">
        <v>1274</v>
      </c>
    </row>
    <row r="278" spans="7:8" x14ac:dyDescent="0.25">
      <c r="G278">
        <v>1563</v>
      </c>
      <c r="H278" t="s">
        <v>1275</v>
      </c>
    </row>
    <row r="279" spans="7:8" x14ac:dyDescent="0.25">
      <c r="G279">
        <v>2118</v>
      </c>
      <c r="H279" t="s">
        <v>1275</v>
      </c>
    </row>
    <row r="280" spans="7:8" x14ac:dyDescent="0.25">
      <c r="G280">
        <v>1250</v>
      </c>
      <c r="H280" t="s">
        <v>1276</v>
      </c>
    </row>
    <row r="281" spans="7:8" x14ac:dyDescent="0.25">
      <c r="G281">
        <v>1156</v>
      </c>
      <c r="H281" t="s">
        <v>1277</v>
      </c>
    </row>
    <row r="282" spans="7:8" x14ac:dyDescent="0.25">
      <c r="G282">
        <v>1073</v>
      </c>
      <c r="H282" t="s">
        <v>1278</v>
      </c>
    </row>
    <row r="283" spans="7:8" x14ac:dyDescent="0.25">
      <c r="G283">
        <v>1542</v>
      </c>
      <c r="H283" t="s">
        <v>1279</v>
      </c>
    </row>
    <row r="284" spans="7:8" x14ac:dyDescent="0.25">
      <c r="G284">
        <v>440</v>
      </c>
      <c r="H284" t="s">
        <v>1280</v>
      </c>
    </row>
    <row r="285" spans="7:8" x14ac:dyDescent="0.25">
      <c r="G285">
        <v>1535</v>
      </c>
      <c r="H285" t="s">
        <v>1281</v>
      </c>
    </row>
    <row r="286" spans="7:8" x14ac:dyDescent="0.25">
      <c r="G286">
        <v>392</v>
      </c>
      <c r="H286" t="s">
        <v>1282</v>
      </c>
    </row>
    <row r="287" spans="7:8" x14ac:dyDescent="0.25">
      <c r="G287">
        <v>1157</v>
      </c>
      <c r="H287" t="s">
        <v>1283</v>
      </c>
    </row>
    <row r="288" spans="7:8" x14ac:dyDescent="0.25">
      <c r="G288">
        <v>971</v>
      </c>
      <c r="H288" t="s">
        <v>1284</v>
      </c>
    </row>
    <row r="289" spans="7:8" x14ac:dyDescent="0.25">
      <c r="G289">
        <v>1072</v>
      </c>
      <c r="H289" t="s">
        <v>1285</v>
      </c>
    </row>
    <row r="290" spans="7:8" x14ac:dyDescent="0.25">
      <c r="G290">
        <v>2182</v>
      </c>
      <c r="H290" t="s">
        <v>1286</v>
      </c>
    </row>
    <row r="291" spans="7:8" x14ac:dyDescent="0.25">
      <c r="G291">
        <v>1188</v>
      </c>
      <c r="H291" t="s">
        <v>1287</v>
      </c>
    </row>
    <row r="292" spans="7:8" x14ac:dyDescent="0.25">
      <c r="G292">
        <v>2186</v>
      </c>
      <c r="H292" t="s">
        <v>1288</v>
      </c>
    </row>
    <row r="293" spans="7:8" x14ac:dyDescent="0.25">
      <c r="G293">
        <v>2187</v>
      </c>
      <c r="H293" t="s">
        <v>1289</v>
      </c>
    </row>
    <row r="294" spans="7:8" x14ac:dyDescent="0.25">
      <c r="G294">
        <v>2582</v>
      </c>
      <c r="H294" t="s">
        <v>1290</v>
      </c>
    </row>
    <row r="295" spans="7:8" x14ac:dyDescent="0.25">
      <c r="G295">
        <v>2579</v>
      </c>
      <c r="H295" t="s">
        <v>1291</v>
      </c>
    </row>
    <row r="296" spans="7:8" x14ac:dyDescent="0.25">
      <c r="G296">
        <v>2195</v>
      </c>
      <c r="H296" t="s">
        <v>1292</v>
      </c>
    </row>
    <row r="297" spans="7:8" x14ac:dyDescent="0.25">
      <c r="G297">
        <v>2202</v>
      </c>
      <c r="H297" t="s">
        <v>1293</v>
      </c>
    </row>
    <row r="298" spans="7:8" x14ac:dyDescent="0.25">
      <c r="G298">
        <v>2197</v>
      </c>
      <c r="H298" t="s">
        <v>1294</v>
      </c>
    </row>
    <row r="299" spans="7:8" x14ac:dyDescent="0.25">
      <c r="G299">
        <v>2206</v>
      </c>
      <c r="H299" t="s">
        <v>1295</v>
      </c>
    </row>
    <row r="300" spans="7:8" x14ac:dyDescent="0.25">
      <c r="G300">
        <v>2216</v>
      </c>
      <c r="H300" t="s">
        <v>1296</v>
      </c>
    </row>
    <row r="301" spans="7:8" x14ac:dyDescent="0.25">
      <c r="G301">
        <v>1163</v>
      </c>
      <c r="H301" t="s">
        <v>1297</v>
      </c>
    </row>
    <row r="302" spans="7:8" x14ac:dyDescent="0.25">
      <c r="G302">
        <v>1613</v>
      </c>
      <c r="H302" t="s">
        <v>1298</v>
      </c>
    </row>
    <row r="303" spans="7:8" x14ac:dyDescent="0.25">
      <c r="G303">
        <v>2231</v>
      </c>
      <c r="H303" t="s">
        <v>1299</v>
      </c>
    </row>
    <row r="304" spans="7:8" x14ac:dyDescent="0.25">
      <c r="G304">
        <v>2221</v>
      </c>
      <c r="H304" t="s">
        <v>1300</v>
      </c>
    </row>
    <row r="305" spans="7:8" x14ac:dyDescent="0.25">
      <c r="G305">
        <v>2226</v>
      </c>
      <c r="H305" t="s">
        <v>1301</v>
      </c>
    </row>
    <row r="306" spans="7:8" x14ac:dyDescent="0.25">
      <c r="G306">
        <v>2646</v>
      </c>
      <c r="H306" t="s">
        <v>1302</v>
      </c>
    </row>
    <row r="307" spans="7:8" x14ac:dyDescent="0.25">
      <c r="G307">
        <v>2636</v>
      </c>
      <c r="H307" t="s">
        <v>1303</v>
      </c>
    </row>
    <row r="308" spans="7:8" x14ac:dyDescent="0.25">
      <c r="G308">
        <v>2587</v>
      </c>
      <c r="H308" t="s">
        <v>1304</v>
      </c>
    </row>
    <row r="309" spans="7:8" x14ac:dyDescent="0.25">
      <c r="G309">
        <v>2645</v>
      </c>
      <c r="H309" t="s">
        <v>1305</v>
      </c>
    </row>
    <row r="310" spans="7:8" x14ac:dyDescent="0.25">
      <c r="G310">
        <v>2559</v>
      </c>
      <c r="H310" t="s">
        <v>1306</v>
      </c>
    </row>
    <row r="311" spans="7:8" x14ac:dyDescent="0.25">
      <c r="G311">
        <v>2560</v>
      </c>
      <c r="H311" t="s">
        <v>1307</v>
      </c>
    </row>
    <row r="312" spans="7:8" x14ac:dyDescent="0.25">
      <c r="G312">
        <v>1796</v>
      </c>
      <c r="H312" t="s">
        <v>1308</v>
      </c>
    </row>
    <row r="313" spans="7:8" x14ac:dyDescent="0.25">
      <c r="G313">
        <v>2</v>
      </c>
      <c r="H313" t="s">
        <v>1309</v>
      </c>
    </row>
    <row r="314" spans="7:8" x14ac:dyDescent="0.25">
      <c r="G314">
        <v>2248</v>
      </c>
      <c r="H314" t="s">
        <v>1310</v>
      </c>
    </row>
    <row r="315" spans="7:8" x14ac:dyDescent="0.25">
      <c r="G315">
        <v>396</v>
      </c>
      <c r="H315" t="s">
        <v>1311</v>
      </c>
    </row>
    <row r="316" spans="7:8" x14ac:dyDescent="0.25">
      <c r="G316">
        <v>173</v>
      </c>
      <c r="H316" t="s">
        <v>1312</v>
      </c>
    </row>
    <row r="317" spans="7:8" x14ac:dyDescent="0.25">
      <c r="G317">
        <v>2257</v>
      </c>
      <c r="H317" t="s">
        <v>1313</v>
      </c>
    </row>
    <row r="318" spans="7:8" x14ac:dyDescent="0.25">
      <c r="G318">
        <v>1908</v>
      </c>
      <c r="H318" t="s">
        <v>1314</v>
      </c>
    </row>
    <row r="319" spans="7:8" x14ac:dyDescent="0.25">
      <c r="G319">
        <v>1910</v>
      </c>
      <c r="H319" t="s">
        <v>1315</v>
      </c>
    </row>
    <row r="320" spans="7:8" x14ac:dyDescent="0.25">
      <c r="G320">
        <v>2761</v>
      </c>
      <c r="H320" t="s">
        <v>1316</v>
      </c>
    </row>
    <row r="321" spans="7:8" x14ac:dyDescent="0.25">
      <c r="G321">
        <v>1028</v>
      </c>
      <c r="H321" t="s">
        <v>1317</v>
      </c>
    </row>
    <row r="322" spans="7:8" x14ac:dyDescent="0.25">
      <c r="G322">
        <v>175</v>
      </c>
      <c r="H322" t="s">
        <v>1318</v>
      </c>
    </row>
    <row r="323" spans="7:8" x14ac:dyDescent="0.25">
      <c r="G323">
        <v>439</v>
      </c>
      <c r="H323" t="s">
        <v>1319</v>
      </c>
    </row>
    <row r="324" spans="7:8" x14ac:dyDescent="0.25">
      <c r="G324">
        <v>993</v>
      </c>
      <c r="H324" t="s">
        <v>1320</v>
      </c>
    </row>
    <row r="325" spans="7:8" x14ac:dyDescent="0.25">
      <c r="G325">
        <v>1031</v>
      </c>
      <c r="H325" t="s">
        <v>1321</v>
      </c>
    </row>
    <row r="326" spans="7:8" x14ac:dyDescent="0.25">
      <c r="G326">
        <v>1017</v>
      </c>
      <c r="H326" t="s">
        <v>1322</v>
      </c>
    </row>
    <row r="327" spans="7:8" x14ac:dyDescent="0.25">
      <c r="G327">
        <v>1018</v>
      </c>
      <c r="H327" t="s">
        <v>1323</v>
      </c>
    </row>
    <row r="328" spans="7:8" x14ac:dyDescent="0.25">
      <c r="G328">
        <v>95</v>
      </c>
      <c r="H328" t="s">
        <v>1324</v>
      </c>
    </row>
    <row r="329" spans="7:8" x14ac:dyDescent="0.25">
      <c r="G329">
        <v>90</v>
      </c>
      <c r="H329" t="s">
        <v>1325</v>
      </c>
    </row>
    <row r="330" spans="7:8" x14ac:dyDescent="0.25">
      <c r="G330">
        <v>378</v>
      </c>
      <c r="H330" t="s">
        <v>1326</v>
      </c>
    </row>
    <row r="331" spans="7:8" x14ac:dyDescent="0.25">
      <c r="G331">
        <v>376</v>
      </c>
      <c r="H331" t="s">
        <v>1327</v>
      </c>
    </row>
    <row r="332" spans="7:8" x14ac:dyDescent="0.25">
      <c r="G332">
        <v>250</v>
      </c>
      <c r="H332" t="s">
        <v>1328</v>
      </c>
    </row>
    <row r="333" spans="7:8" x14ac:dyDescent="0.25">
      <c r="G333">
        <v>966</v>
      </c>
      <c r="H333" t="s">
        <v>1329</v>
      </c>
    </row>
    <row r="334" spans="7:8" x14ac:dyDescent="0.25">
      <c r="G334">
        <v>12</v>
      </c>
      <c r="H334" t="s">
        <v>1330</v>
      </c>
    </row>
    <row r="335" spans="7:8" x14ac:dyDescent="0.25">
      <c r="G335">
        <v>37</v>
      </c>
      <c r="H335" t="s">
        <v>1331</v>
      </c>
    </row>
    <row r="336" spans="7:8" x14ac:dyDescent="0.25">
      <c r="G336">
        <v>13</v>
      </c>
      <c r="H336" t="s">
        <v>1332</v>
      </c>
    </row>
    <row r="337" spans="7:8" x14ac:dyDescent="0.25">
      <c r="G337">
        <v>2019</v>
      </c>
      <c r="H337" t="s">
        <v>1333</v>
      </c>
    </row>
    <row r="338" spans="7:8" x14ac:dyDescent="0.25">
      <c r="G338">
        <v>2022</v>
      </c>
      <c r="H338" t="s">
        <v>1334</v>
      </c>
    </row>
    <row r="339" spans="7:8" x14ac:dyDescent="0.25">
      <c r="G339">
        <v>2026</v>
      </c>
      <c r="H339" t="s">
        <v>1335</v>
      </c>
    </row>
    <row r="340" spans="7:8" x14ac:dyDescent="0.25">
      <c r="G340">
        <v>174</v>
      </c>
      <c r="H340" t="s">
        <v>1336</v>
      </c>
    </row>
    <row r="341" spans="7:8" x14ac:dyDescent="0.25">
      <c r="G341">
        <v>2701</v>
      </c>
      <c r="H341" t="s">
        <v>1337</v>
      </c>
    </row>
    <row r="342" spans="7:8" x14ac:dyDescent="0.25">
      <c r="G342">
        <v>2035</v>
      </c>
      <c r="H342" t="s">
        <v>1338</v>
      </c>
    </row>
    <row r="343" spans="7:8" x14ac:dyDescent="0.25">
      <c r="G343">
        <v>2657</v>
      </c>
      <c r="H343" t="s">
        <v>1339</v>
      </c>
    </row>
    <row r="344" spans="7:8" x14ac:dyDescent="0.25">
      <c r="G344">
        <v>2628</v>
      </c>
      <c r="H344" t="s">
        <v>1340</v>
      </c>
    </row>
    <row r="345" spans="7:8" x14ac:dyDescent="0.25">
      <c r="G345">
        <v>2679</v>
      </c>
      <c r="H345" t="s">
        <v>1341</v>
      </c>
    </row>
    <row r="346" spans="7:8" x14ac:dyDescent="0.25">
      <c r="G346">
        <v>2049</v>
      </c>
      <c r="H346" t="s">
        <v>1342</v>
      </c>
    </row>
    <row r="347" spans="7:8" x14ac:dyDescent="0.25">
      <c r="G347">
        <v>2055</v>
      </c>
      <c r="H347" t="s">
        <v>1343</v>
      </c>
    </row>
    <row r="348" spans="7:8" x14ac:dyDescent="0.25">
      <c r="G348">
        <v>2596</v>
      </c>
      <c r="H348" t="s">
        <v>1344</v>
      </c>
    </row>
    <row r="349" spans="7:8" x14ac:dyDescent="0.25">
      <c r="G349">
        <v>1118</v>
      </c>
      <c r="H349" t="s">
        <v>1345</v>
      </c>
    </row>
    <row r="350" spans="7:8" x14ac:dyDescent="0.25">
      <c r="G350">
        <v>2087</v>
      </c>
      <c r="H350" t="s">
        <v>1346</v>
      </c>
    </row>
    <row r="351" spans="7:8" x14ac:dyDescent="0.25">
      <c r="G351">
        <v>301</v>
      </c>
      <c r="H351" t="s">
        <v>1347</v>
      </c>
    </row>
    <row r="352" spans="7:8" x14ac:dyDescent="0.25">
      <c r="G352">
        <v>293</v>
      </c>
      <c r="H352" t="s">
        <v>1348</v>
      </c>
    </row>
    <row r="353" spans="7:8" x14ac:dyDescent="0.25">
      <c r="G353">
        <v>302</v>
      </c>
      <c r="H353" t="s">
        <v>1349</v>
      </c>
    </row>
    <row r="354" spans="7:8" x14ac:dyDescent="0.25">
      <c r="G354">
        <v>2111</v>
      </c>
      <c r="H354" t="s">
        <v>1350</v>
      </c>
    </row>
    <row r="355" spans="7:8" x14ac:dyDescent="0.25">
      <c r="G355">
        <v>997</v>
      </c>
      <c r="H355" t="s">
        <v>1350</v>
      </c>
    </row>
    <row r="356" spans="7:8" x14ac:dyDescent="0.25">
      <c r="G356">
        <v>996</v>
      </c>
      <c r="H356" t="s">
        <v>1351</v>
      </c>
    </row>
    <row r="357" spans="7:8" x14ac:dyDescent="0.25">
      <c r="G357">
        <v>2115</v>
      </c>
      <c r="H357" t="s">
        <v>1351</v>
      </c>
    </row>
    <row r="358" spans="7:8" x14ac:dyDescent="0.25">
      <c r="G358">
        <v>292</v>
      </c>
      <c r="H358" t="s">
        <v>1352</v>
      </c>
    </row>
    <row r="359" spans="7:8" x14ac:dyDescent="0.25">
      <c r="G359">
        <v>2119</v>
      </c>
      <c r="H359" t="s">
        <v>1352</v>
      </c>
    </row>
    <row r="360" spans="7:8" x14ac:dyDescent="0.25">
      <c r="G360">
        <v>305</v>
      </c>
      <c r="H360" t="s">
        <v>1353</v>
      </c>
    </row>
    <row r="361" spans="7:8" x14ac:dyDescent="0.25">
      <c r="G361">
        <v>2121</v>
      </c>
      <c r="H361" t="s">
        <v>1353</v>
      </c>
    </row>
    <row r="362" spans="7:8" x14ac:dyDescent="0.25">
      <c r="G362">
        <v>304</v>
      </c>
      <c r="H362" t="s">
        <v>1354</v>
      </c>
    </row>
    <row r="363" spans="7:8" x14ac:dyDescent="0.25">
      <c r="G363">
        <v>2125</v>
      </c>
      <c r="H363" t="s">
        <v>1354</v>
      </c>
    </row>
    <row r="364" spans="7:8" x14ac:dyDescent="0.25">
      <c r="G364">
        <v>294</v>
      </c>
      <c r="H364" t="s">
        <v>1355</v>
      </c>
    </row>
    <row r="365" spans="7:8" x14ac:dyDescent="0.25">
      <c r="G365">
        <v>2130</v>
      </c>
      <c r="H365" t="s">
        <v>1355</v>
      </c>
    </row>
    <row r="366" spans="7:8" x14ac:dyDescent="0.25">
      <c r="G366">
        <v>2133</v>
      </c>
      <c r="H366" t="s">
        <v>1356</v>
      </c>
    </row>
    <row r="367" spans="7:8" x14ac:dyDescent="0.25">
      <c r="G367">
        <v>1128</v>
      </c>
      <c r="H367" t="s">
        <v>1356</v>
      </c>
    </row>
    <row r="368" spans="7:8" x14ac:dyDescent="0.25">
      <c r="G368">
        <v>2668</v>
      </c>
      <c r="H368" t="s">
        <v>1357</v>
      </c>
    </row>
    <row r="369" spans="7:8" x14ac:dyDescent="0.25">
      <c r="G369">
        <v>2669</v>
      </c>
      <c r="H369" t="s">
        <v>1358</v>
      </c>
    </row>
    <row r="370" spans="7:8" x14ac:dyDescent="0.25">
      <c r="G370">
        <v>295</v>
      </c>
      <c r="H370" t="s">
        <v>1359</v>
      </c>
    </row>
    <row r="371" spans="7:8" x14ac:dyDescent="0.25">
      <c r="G371">
        <v>296</v>
      </c>
      <c r="H371" t="s">
        <v>1360</v>
      </c>
    </row>
    <row r="372" spans="7:8" x14ac:dyDescent="0.25">
      <c r="G372">
        <v>297</v>
      </c>
      <c r="H372" t="s">
        <v>1361</v>
      </c>
    </row>
    <row r="373" spans="7:8" x14ac:dyDescent="0.25">
      <c r="G373">
        <v>2149</v>
      </c>
      <c r="H373" t="s">
        <v>1362</v>
      </c>
    </row>
    <row r="374" spans="7:8" x14ac:dyDescent="0.25">
      <c r="G374">
        <v>298</v>
      </c>
      <c r="H374" t="s">
        <v>1362</v>
      </c>
    </row>
    <row r="375" spans="7:8" x14ac:dyDescent="0.25">
      <c r="G375">
        <v>300</v>
      </c>
      <c r="H375" t="s">
        <v>1363</v>
      </c>
    </row>
    <row r="376" spans="7:8" x14ac:dyDescent="0.25">
      <c r="G376">
        <v>2098</v>
      </c>
      <c r="H376" t="s">
        <v>1364</v>
      </c>
    </row>
    <row r="377" spans="7:8" x14ac:dyDescent="0.25">
      <c r="G377">
        <v>303</v>
      </c>
      <c r="H377" t="s">
        <v>1365</v>
      </c>
    </row>
    <row r="378" spans="7:8" x14ac:dyDescent="0.25">
      <c r="G378">
        <v>2103</v>
      </c>
      <c r="H378" t="s">
        <v>1365</v>
      </c>
    </row>
    <row r="379" spans="7:8" x14ac:dyDescent="0.25">
      <c r="G379">
        <v>2106</v>
      </c>
      <c r="H379" t="s">
        <v>1366</v>
      </c>
    </row>
    <row r="380" spans="7:8" x14ac:dyDescent="0.25">
      <c r="G380">
        <v>2162</v>
      </c>
      <c r="H380" t="s">
        <v>1367</v>
      </c>
    </row>
    <row r="381" spans="7:8" x14ac:dyDescent="0.25">
      <c r="G381">
        <v>2166</v>
      </c>
      <c r="H381" t="s">
        <v>1368</v>
      </c>
    </row>
    <row r="382" spans="7:8" x14ac:dyDescent="0.25">
      <c r="G382">
        <v>2173</v>
      </c>
      <c r="H382" t="s">
        <v>1369</v>
      </c>
    </row>
    <row r="383" spans="7:8" x14ac:dyDescent="0.25">
      <c r="G383">
        <v>898</v>
      </c>
      <c r="H383" t="s">
        <v>1369</v>
      </c>
    </row>
    <row r="384" spans="7:8" x14ac:dyDescent="0.25">
      <c r="G384">
        <v>2178</v>
      </c>
      <c r="H384" t="s">
        <v>1370</v>
      </c>
    </row>
    <row r="385" spans="7:8" x14ac:dyDescent="0.25">
      <c r="G385">
        <v>2192</v>
      </c>
      <c r="H385" t="s">
        <v>1370</v>
      </c>
    </row>
    <row r="386" spans="7:8" x14ac:dyDescent="0.25">
      <c r="G386">
        <v>2208</v>
      </c>
      <c r="H386" t="s">
        <v>1371</v>
      </c>
    </row>
    <row r="387" spans="7:8" x14ac:dyDescent="0.25">
      <c r="G387">
        <v>14</v>
      </c>
      <c r="H387" t="s">
        <v>1371</v>
      </c>
    </row>
    <row r="388" spans="7:8" x14ac:dyDescent="0.25">
      <c r="G388">
        <v>2198</v>
      </c>
      <c r="H388" t="s">
        <v>1372</v>
      </c>
    </row>
    <row r="389" spans="7:8" x14ac:dyDescent="0.25">
      <c r="G389">
        <v>2213</v>
      </c>
      <c r="H389" t="s">
        <v>1373</v>
      </c>
    </row>
    <row r="390" spans="7:8" x14ac:dyDescent="0.25">
      <c r="G390">
        <v>2223</v>
      </c>
      <c r="H390" t="s">
        <v>1374</v>
      </c>
    </row>
    <row r="391" spans="7:8" x14ac:dyDescent="0.25">
      <c r="G391">
        <v>2227</v>
      </c>
      <c r="H391" t="s">
        <v>1375</v>
      </c>
    </row>
    <row r="392" spans="7:8" x14ac:dyDescent="0.25">
      <c r="G392">
        <v>2218</v>
      </c>
      <c r="H392" t="s">
        <v>1375</v>
      </c>
    </row>
    <row r="393" spans="7:8" x14ac:dyDescent="0.25">
      <c r="G393">
        <v>299</v>
      </c>
      <c r="H393" t="s">
        <v>1376</v>
      </c>
    </row>
    <row r="394" spans="7:8" x14ac:dyDescent="0.25">
      <c r="G394">
        <v>2637</v>
      </c>
      <c r="H394" t="s">
        <v>1377</v>
      </c>
    </row>
    <row r="395" spans="7:8" x14ac:dyDescent="0.25">
      <c r="G395">
        <v>2296</v>
      </c>
      <c r="H395" t="s">
        <v>1378</v>
      </c>
    </row>
    <row r="396" spans="7:8" x14ac:dyDescent="0.25">
      <c r="G396">
        <v>2650</v>
      </c>
      <c r="H396" t="s">
        <v>1379</v>
      </c>
    </row>
    <row r="397" spans="7:8" x14ac:dyDescent="0.25">
      <c r="G397">
        <v>2300</v>
      </c>
      <c r="H397" t="s">
        <v>1380</v>
      </c>
    </row>
    <row r="398" spans="7:8" x14ac:dyDescent="0.25">
      <c r="G398">
        <v>2301</v>
      </c>
      <c r="H398" t="s">
        <v>1381</v>
      </c>
    </row>
    <row r="399" spans="7:8" x14ac:dyDescent="0.25">
      <c r="G399">
        <v>179</v>
      </c>
      <c r="H399" t="s">
        <v>1382</v>
      </c>
    </row>
    <row r="400" spans="7:8" x14ac:dyDescent="0.25">
      <c r="G400">
        <v>2734</v>
      </c>
      <c r="H400" t="s">
        <v>1383</v>
      </c>
    </row>
    <row r="401" spans="7:8" x14ac:dyDescent="0.25">
      <c r="G401">
        <v>2318</v>
      </c>
      <c r="H401" t="s">
        <v>1384</v>
      </c>
    </row>
    <row r="402" spans="7:8" x14ac:dyDescent="0.25">
      <c r="G402">
        <v>2320</v>
      </c>
      <c r="H402" t="s">
        <v>1385</v>
      </c>
    </row>
    <row r="403" spans="7:8" x14ac:dyDescent="0.25">
      <c r="G403">
        <v>2600</v>
      </c>
      <c r="H403" t="s">
        <v>1386</v>
      </c>
    </row>
    <row r="404" spans="7:8" x14ac:dyDescent="0.25">
      <c r="G404">
        <v>2708</v>
      </c>
      <c r="H404" t="s">
        <v>1387</v>
      </c>
    </row>
    <row r="405" spans="7:8" x14ac:dyDescent="0.25">
      <c r="G405">
        <v>2709</v>
      </c>
      <c r="H405" t="s">
        <v>1388</v>
      </c>
    </row>
    <row r="406" spans="7:8" x14ac:dyDescent="0.25">
      <c r="G406">
        <v>2710</v>
      </c>
      <c r="H406" t="s">
        <v>1389</v>
      </c>
    </row>
    <row r="407" spans="7:8" x14ac:dyDescent="0.25">
      <c r="G407">
        <v>2711</v>
      </c>
      <c r="H407" t="s">
        <v>1390</v>
      </c>
    </row>
    <row r="408" spans="7:8" x14ac:dyDescent="0.25">
      <c r="G408">
        <v>2757</v>
      </c>
      <c r="H408" t="s">
        <v>1391</v>
      </c>
    </row>
    <row r="409" spans="7:8" x14ac:dyDescent="0.25">
      <c r="G409">
        <v>1543</v>
      </c>
      <c r="H409" t="s">
        <v>1014</v>
      </c>
    </row>
    <row r="410" spans="7:8" x14ac:dyDescent="0.25">
      <c r="G410">
        <v>2324</v>
      </c>
      <c r="H410" t="s">
        <v>1392</v>
      </c>
    </row>
    <row r="411" spans="7:8" x14ac:dyDescent="0.25">
      <c r="G411">
        <v>2660</v>
      </c>
      <c r="H411" t="s">
        <v>1393</v>
      </c>
    </row>
    <row r="412" spans="7:8" x14ac:dyDescent="0.25">
      <c r="G412">
        <v>2687</v>
      </c>
      <c r="H412" t="s">
        <v>1394</v>
      </c>
    </row>
    <row r="413" spans="7:8" x14ac:dyDescent="0.25">
      <c r="G413">
        <v>1616</v>
      </c>
      <c r="H413" t="s">
        <v>1395</v>
      </c>
    </row>
    <row r="414" spans="7:8" x14ac:dyDescent="0.25">
      <c r="G414">
        <v>2348</v>
      </c>
      <c r="H414" t="s">
        <v>1396</v>
      </c>
    </row>
    <row r="415" spans="7:8" x14ac:dyDescent="0.25">
      <c r="G415">
        <v>2712</v>
      </c>
      <c r="H415" t="s">
        <v>1397</v>
      </c>
    </row>
    <row r="416" spans="7:8" x14ac:dyDescent="0.25">
      <c r="G416">
        <v>2568</v>
      </c>
      <c r="H416" t="s">
        <v>1398</v>
      </c>
    </row>
    <row r="417" spans="7:8" x14ac:dyDescent="0.25">
      <c r="G417">
        <v>1534</v>
      </c>
      <c r="H417" t="s">
        <v>1399</v>
      </c>
    </row>
    <row r="418" spans="7:8" x14ac:dyDescent="0.25">
      <c r="G418">
        <v>26</v>
      </c>
      <c r="H418" t="s">
        <v>1400</v>
      </c>
    </row>
    <row r="419" spans="7:8" x14ac:dyDescent="0.25">
      <c r="G419">
        <v>1936</v>
      </c>
      <c r="H419" t="s">
        <v>1401</v>
      </c>
    </row>
    <row r="420" spans="7:8" x14ac:dyDescent="0.25">
      <c r="G420">
        <v>1970</v>
      </c>
      <c r="H420" t="s">
        <v>1402</v>
      </c>
    </row>
    <row r="421" spans="7:8" x14ac:dyDescent="0.25">
      <c r="G421">
        <v>1980</v>
      </c>
      <c r="H421" t="s">
        <v>1403</v>
      </c>
    </row>
    <row r="422" spans="7:8" x14ac:dyDescent="0.25">
      <c r="G422">
        <v>1624</v>
      </c>
      <c r="H422" t="s">
        <v>1404</v>
      </c>
    </row>
    <row r="423" spans="7:8" x14ac:dyDescent="0.25">
      <c r="G423">
        <v>1262</v>
      </c>
      <c r="H423" t="s">
        <v>1405</v>
      </c>
    </row>
    <row r="424" spans="7:8" x14ac:dyDescent="0.25">
      <c r="G424">
        <v>1496</v>
      </c>
      <c r="H424" t="s">
        <v>1406</v>
      </c>
    </row>
    <row r="425" spans="7:8" x14ac:dyDescent="0.25">
      <c r="G425">
        <v>1625</v>
      </c>
      <c r="H425" t="s">
        <v>1407</v>
      </c>
    </row>
    <row r="426" spans="7:8" x14ac:dyDescent="0.25">
      <c r="G426">
        <v>1626</v>
      </c>
      <c r="H426" t="s">
        <v>1408</v>
      </c>
    </row>
    <row r="427" spans="7:8" x14ac:dyDescent="0.25">
      <c r="G427">
        <v>1575</v>
      </c>
      <c r="H427" t="s">
        <v>1409</v>
      </c>
    </row>
    <row r="428" spans="7:8" x14ac:dyDescent="0.25">
      <c r="G428">
        <v>1519</v>
      </c>
      <c r="H428" t="s">
        <v>1410</v>
      </c>
    </row>
    <row r="429" spans="7:8" x14ac:dyDescent="0.25">
      <c r="G429">
        <v>1267</v>
      </c>
      <c r="H429" t="s">
        <v>1411</v>
      </c>
    </row>
    <row r="430" spans="7:8" x14ac:dyDescent="0.25">
      <c r="G430">
        <v>1268</v>
      </c>
      <c r="H430" t="s">
        <v>1412</v>
      </c>
    </row>
    <row r="431" spans="7:8" x14ac:dyDescent="0.25">
      <c r="G431">
        <v>3</v>
      </c>
      <c r="H431" t="s">
        <v>1413</v>
      </c>
    </row>
    <row r="432" spans="7:8" x14ac:dyDescent="0.25">
      <c r="G432">
        <v>1272</v>
      </c>
      <c r="H432" t="s">
        <v>1414</v>
      </c>
    </row>
    <row r="433" spans="7:8" x14ac:dyDescent="0.25">
      <c r="G433">
        <v>1273</v>
      </c>
      <c r="H433" t="s">
        <v>1415</v>
      </c>
    </row>
    <row r="434" spans="7:8" x14ac:dyDescent="0.25">
      <c r="G434">
        <v>1470</v>
      </c>
      <c r="H434" t="s">
        <v>1416</v>
      </c>
    </row>
    <row r="435" spans="7:8" x14ac:dyDescent="0.25">
      <c r="G435">
        <v>1274</v>
      </c>
      <c r="H435" t="s">
        <v>1417</v>
      </c>
    </row>
    <row r="436" spans="7:8" x14ac:dyDescent="0.25">
      <c r="G436">
        <v>1629</v>
      </c>
      <c r="H436" t="s">
        <v>1418</v>
      </c>
    </row>
    <row r="437" spans="7:8" x14ac:dyDescent="0.25">
      <c r="G437">
        <v>1487</v>
      </c>
      <c r="H437" t="s">
        <v>1419</v>
      </c>
    </row>
    <row r="438" spans="7:8" x14ac:dyDescent="0.25">
      <c r="G438">
        <v>1576</v>
      </c>
      <c r="H438" t="s">
        <v>1420</v>
      </c>
    </row>
    <row r="439" spans="7:8" x14ac:dyDescent="0.25">
      <c r="G439">
        <v>2539</v>
      </c>
      <c r="H439" t="s">
        <v>1421</v>
      </c>
    </row>
    <row r="440" spans="7:8" x14ac:dyDescent="0.25">
      <c r="G440">
        <v>1630</v>
      </c>
      <c r="H440" t="s">
        <v>1422</v>
      </c>
    </row>
    <row r="441" spans="7:8" x14ac:dyDescent="0.25">
      <c r="G441">
        <v>1544</v>
      </c>
      <c r="H441" t="s">
        <v>1423</v>
      </c>
    </row>
    <row r="442" spans="7:8" x14ac:dyDescent="0.25">
      <c r="G442">
        <v>1276</v>
      </c>
      <c r="H442" t="s">
        <v>1424</v>
      </c>
    </row>
    <row r="443" spans="7:8" x14ac:dyDescent="0.25">
      <c r="G443">
        <v>1546</v>
      </c>
      <c r="H443" t="s">
        <v>1425</v>
      </c>
    </row>
    <row r="444" spans="7:8" x14ac:dyDescent="0.25">
      <c r="G444">
        <v>1631</v>
      </c>
      <c r="H444" t="s">
        <v>1426</v>
      </c>
    </row>
    <row r="445" spans="7:8" x14ac:dyDescent="0.25">
      <c r="G445">
        <v>1277</v>
      </c>
      <c r="H445" t="s">
        <v>1427</v>
      </c>
    </row>
    <row r="446" spans="7:8" x14ac:dyDescent="0.25">
      <c r="G446">
        <v>1545</v>
      </c>
      <c r="H446" t="s">
        <v>1428</v>
      </c>
    </row>
    <row r="447" spans="7:8" x14ac:dyDescent="0.25">
      <c r="G447">
        <v>1549</v>
      </c>
      <c r="H447" t="s">
        <v>1429</v>
      </c>
    </row>
    <row r="448" spans="7:8" x14ac:dyDescent="0.25">
      <c r="G448">
        <v>406</v>
      </c>
      <c r="H448" t="s">
        <v>1430</v>
      </c>
    </row>
    <row r="449" spans="7:8" x14ac:dyDescent="0.25">
      <c r="G449">
        <v>1283</v>
      </c>
      <c r="H449" t="s">
        <v>1431</v>
      </c>
    </row>
    <row r="450" spans="7:8" x14ac:dyDescent="0.25">
      <c r="G450">
        <v>1284</v>
      </c>
      <c r="H450" t="s">
        <v>1432</v>
      </c>
    </row>
    <row r="451" spans="7:8" x14ac:dyDescent="0.25">
      <c r="G451">
        <v>1285</v>
      </c>
      <c r="H451" t="s">
        <v>1433</v>
      </c>
    </row>
    <row r="452" spans="7:8" x14ac:dyDescent="0.25">
      <c r="G452">
        <v>1638</v>
      </c>
      <c r="H452" t="s">
        <v>1434</v>
      </c>
    </row>
    <row r="453" spans="7:8" x14ac:dyDescent="0.25">
      <c r="G453">
        <v>1286</v>
      </c>
      <c r="H453" t="s">
        <v>1435</v>
      </c>
    </row>
    <row r="454" spans="7:8" x14ac:dyDescent="0.25">
      <c r="G454">
        <v>1287</v>
      </c>
      <c r="H454" t="s">
        <v>1436</v>
      </c>
    </row>
    <row r="455" spans="7:8" x14ac:dyDescent="0.25">
      <c r="G455">
        <v>437</v>
      </c>
      <c r="H455" t="s">
        <v>1437</v>
      </c>
    </row>
    <row r="456" spans="7:8" x14ac:dyDescent="0.25">
      <c r="G456">
        <v>1291</v>
      </c>
      <c r="H456" t="s">
        <v>1438</v>
      </c>
    </row>
    <row r="457" spans="7:8" x14ac:dyDescent="0.25">
      <c r="G457">
        <v>1292</v>
      </c>
      <c r="H457" t="s">
        <v>1439</v>
      </c>
    </row>
    <row r="458" spans="7:8" x14ac:dyDescent="0.25">
      <c r="G458">
        <v>1293</v>
      </c>
      <c r="H458" t="s">
        <v>1440</v>
      </c>
    </row>
    <row r="459" spans="7:8" x14ac:dyDescent="0.25">
      <c r="G459">
        <v>2671</v>
      </c>
      <c r="H459" t="s">
        <v>1441</v>
      </c>
    </row>
    <row r="460" spans="7:8" x14ac:dyDescent="0.25">
      <c r="G460">
        <v>1294</v>
      </c>
      <c r="H460" t="s">
        <v>1442</v>
      </c>
    </row>
    <row r="461" spans="7:8" x14ac:dyDescent="0.25">
      <c r="G461">
        <v>1295</v>
      </c>
      <c r="H461" t="s">
        <v>1443</v>
      </c>
    </row>
    <row r="462" spans="7:8" x14ac:dyDescent="0.25">
      <c r="G462">
        <v>1296</v>
      </c>
      <c r="H462" t="s">
        <v>1444</v>
      </c>
    </row>
    <row r="463" spans="7:8" x14ac:dyDescent="0.25">
      <c r="G463">
        <v>1640</v>
      </c>
      <c r="H463" t="s">
        <v>1445</v>
      </c>
    </row>
    <row r="464" spans="7:8" x14ac:dyDescent="0.25">
      <c r="G464">
        <v>1299</v>
      </c>
      <c r="H464" t="s">
        <v>1446</v>
      </c>
    </row>
    <row r="465" spans="7:8" x14ac:dyDescent="0.25">
      <c r="G465">
        <v>1642</v>
      </c>
      <c r="H465" t="s">
        <v>1447</v>
      </c>
    </row>
    <row r="466" spans="7:8" x14ac:dyDescent="0.25">
      <c r="G466">
        <v>1684</v>
      </c>
      <c r="H466" t="s">
        <v>1448</v>
      </c>
    </row>
    <row r="467" spans="7:8" x14ac:dyDescent="0.25">
      <c r="G467">
        <v>1306</v>
      </c>
      <c r="H467" t="s">
        <v>1449</v>
      </c>
    </row>
    <row r="468" spans="7:8" x14ac:dyDescent="0.25">
      <c r="G468">
        <v>1308</v>
      </c>
      <c r="H468" t="s">
        <v>1450</v>
      </c>
    </row>
    <row r="469" spans="7:8" x14ac:dyDescent="0.25">
      <c r="G469">
        <v>1517</v>
      </c>
      <c r="H469" t="s">
        <v>1451</v>
      </c>
    </row>
    <row r="470" spans="7:8" x14ac:dyDescent="0.25">
      <c r="G470">
        <v>2607</v>
      </c>
      <c r="H470" t="s">
        <v>1452</v>
      </c>
    </row>
    <row r="471" spans="7:8" x14ac:dyDescent="0.25">
      <c r="G471">
        <v>1310</v>
      </c>
      <c r="H471" t="s">
        <v>1453</v>
      </c>
    </row>
    <row r="472" spans="7:8" x14ac:dyDescent="0.25">
      <c r="G472">
        <v>1648</v>
      </c>
      <c r="H472" t="s">
        <v>1454</v>
      </c>
    </row>
    <row r="473" spans="7:8" x14ac:dyDescent="0.25">
      <c r="G473">
        <v>1311</v>
      </c>
      <c r="H473" t="s">
        <v>1455</v>
      </c>
    </row>
    <row r="474" spans="7:8" x14ac:dyDescent="0.25">
      <c r="G474">
        <v>1550</v>
      </c>
      <c r="H474" t="s">
        <v>1456</v>
      </c>
    </row>
    <row r="475" spans="7:8" x14ac:dyDescent="0.25">
      <c r="G475">
        <v>1530</v>
      </c>
      <c r="H475" t="s">
        <v>1457</v>
      </c>
    </row>
    <row r="476" spans="7:8" x14ac:dyDescent="0.25">
      <c r="G476">
        <v>1312</v>
      </c>
      <c r="H476" t="s">
        <v>1458</v>
      </c>
    </row>
    <row r="477" spans="7:8" x14ac:dyDescent="0.25">
      <c r="G477">
        <v>1313</v>
      </c>
      <c r="H477" t="s">
        <v>1459</v>
      </c>
    </row>
    <row r="478" spans="7:8" x14ac:dyDescent="0.25">
      <c r="G478">
        <v>1314</v>
      </c>
      <c r="H478" t="s">
        <v>1460</v>
      </c>
    </row>
    <row r="479" spans="7:8" x14ac:dyDescent="0.25">
      <c r="G479">
        <v>1315</v>
      </c>
      <c r="H479" t="s">
        <v>1461</v>
      </c>
    </row>
    <row r="480" spans="7:8" x14ac:dyDescent="0.25">
      <c r="G480">
        <v>1324</v>
      </c>
      <c r="H480" t="s">
        <v>1462</v>
      </c>
    </row>
    <row r="481" spans="7:8" x14ac:dyDescent="0.25">
      <c r="G481">
        <v>1651</v>
      </c>
      <c r="H481" t="s">
        <v>1463</v>
      </c>
    </row>
    <row r="482" spans="7:8" x14ac:dyDescent="0.25">
      <c r="G482">
        <v>1326</v>
      </c>
      <c r="H482" t="s">
        <v>1464</v>
      </c>
    </row>
    <row r="483" spans="7:8" x14ac:dyDescent="0.25">
      <c r="G483">
        <v>2707</v>
      </c>
      <c r="H483" t="s">
        <v>1465</v>
      </c>
    </row>
    <row r="484" spans="7:8" x14ac:dyDescent="0.25">
      <c r="G484">
        <v>1653</v>
      </c>
      <c r="H484" t="s">
        <v>1466</v>
      </c>
    </row>
    <row r="485" spans="7:8" x14ac:dyDescent="0.25">
      <c r="G485">
        <v>1329</v>
      </c>
      <c r="H485" t="s">
        <v>1467</v>
      </c>
    </row>
    <row r="486" spans="7:8" x14ac:dyDescent="0.25">
      <c r="G486">
        <v>1330</v>
      </c>
      <c r="H486" t="s">
        <v>1468</v>
      </c>
    </row>
    <row r="487" spans="7:8" x14ac:dyDescent="0.25">
      <c r="G487">
        <v>1333</v>
      </c>
      <c r="H487" t="s">
        <v>1469</v>
      </c>
    </row>
    <row r="488" spans="7:8" x14ac:dyDescent="0.25">
      <c r="G488">
        <v>2545</v>
      </c>
      <c r="H488" t="s">
        <v>1470</v>
      </c>
    </row>
    <row r="489" spans="7:8" x14ac:dyDescent="0.25">
      <c r="G489">
        <v>1664</v>
      </c>
      <c r="H489" t="s">
        <v>1471</v>
      </c>
    </row>
    <row r="490" spans="7:8" x14ac:dyDescent="0.25">
      <c r="G490">
        <v>1339</v>
      </c>
      <c r="H490" t="s">
        <v>1472</v>
      </c>
    </row>
    <row r="491" spans="7:8" x14ac:dyDescent="0.25">
      <c r="G491">
        <v>1668</v>
      </c>
      <c r="H491" t="s">
        <v>1473</v>
      </c>
    </row>
    <row r="492" spans="7:8" x14ac:dyDescent="0.25">
      <c r="G492">
        <v>1340</v>
      </c>
      <c r="H492" t="s">
        <v>1474</v>
      </c>
    </row>
    <row r="493" spans="7:8" x14ac:dyDescent="0.25">
      <c r="G493">
        <v>1342</v>
      </c>
      <c r="H493" t="s">
        <v>1475</v>
      </c>
    </row>
    <row r="494" spans="7:8" x14ac:dyDescent="0.25">
      <c r="G494">
        <v>1344</v>
      </c>
      <c r="H494" t="s">
        <v>1476</v>
      </c>
    </row>
    <row r="495" spans="7:8" x14ac:dyDescent="0.25">
      <c r="G495">
        <v>1654</v>
      </c>
      <c r="H495" t="s">
        <v>1477</v>
      </c>
    </row>
    <row r="496" spans="7:8" x14ac:dyDescent="0.25">
      <c r="G496">
        <v>1346</v>
      </c>
      <c r="H496" t="s">
        <v>1478</v>
      </c>
    </row>
    <row r="497" spans="7:8" x14ac:dyDescent="0.25">
      <c r="G497">
        <v>1655</v>
      </c>
      <c r="H497" t="s">
        <v>1479</v>
      </c>
    </row>
    <row r="498" spans="7:8" x14ac:dyDescent="0.25">
      <c r="G498">
        <v>1656</v>
      </c>
      <c r="H498" t="s">
        <v>1480</v>
      </c>
    </row>
    <row r="499" spans="7:8" x14ac:dyDescent="0.25">
      <c r="G499">
        <v>1657</v>
      </c>
      <c r="H499" t="s">
        <v>1481</v>
      </c>
    </row>
    <row r="500" spans="7:8" x14ac:dyDescent="0.25">
      <c r="G500">
        <v>1659</v>
      </c>
      <c r="H500" t="s">
        <v>1482</v>
      </c>
    </row>
    <row r="501" spans="7:8" x14ac:dyDescent="0.25">
      <c r="G501">
        <v>1347</v>
      </c>
      <c r="H501" t="s">
        <v>1483</v>
      </c>
    </row>
    <row r="502" spans="7:8" x14ac:dyDescent="0.25">
      <c r="G502">
        <v>1348</v>
      </c>
      <c r="H502" t="s">
        <v>1484</v>
      </c>
    </row>
    <row r="503" spans="7:8" x14ac:dyDescent="0.25">
      <c r="G503">
        <v>1349</v>
      </c>
      <c r="H503" t="s">
        <v>1485</v>
      </c>
    </row>
    <row r="504" spans="7:8" x14ac:dyDescent="0.25">
      <c r="G504">
        <v>1350</v>
      </c>
      <c r="H504" t="s">
        <v>1486</v>
      </c>
    </row>
    <row r="505" spans="7:8" x14ac:dyDescent="0.25">
      <c r="G505">
        <v>2561</v>
      </c>
      <c r="H505" t="s">
        <v>1487</v>
      </c>
    </row>
    <row r="506" spans="7:8" x14ac:dyDescent="0.25">
      <c r="G506">
        <v>2562</v>
      </c>
      <c r="H506" t="s">
        <v>1488</v>
      </c>
    </row>
    <row r="507" spans="7:8" x14ac:dyDescent="0.25">
      <c r="G507">
        <v>1667</v>
      </c>
      <c r="H507" t="s">
        <v>1489</v>
      </c>
    </row>
    <row r="508" spans="7:8" x14ac:dyDescent="0.25">
      <c r="G508">
        <v>1351</v>
      </c>
      <c r="H508" t="s">
        <v>1490</v>
      </c>
    </row>
    <row r="509" spans="7:8" x14ac:dyDescent="0.25">
      <c r="G509">
        <v>2623</v>
      </c>
      <c r="H509" t="s">
        <v>1491</v>
      </c>
    </row>
    <row r="510" spans="7:8" x14ac:dyDescent="0.25">
      <c r="G510">
        <v>1352</v>
      </c>
      <c r="H510" t="s">
        <v>1492</v>
      </c>
    </row>
    <row r="511" spans="7:8" x14ac:dyDescent="0.25">
      <c r="G511">
        <v>1360</v>
      </c>
      <c r="H511" t="s">
        <v>1493</v>
      </c>
    </row>
    <row r="512" spans="7:8" x14ac:dyDescent="0.25">
      <c r="G512">
        <v>1361</v>
      </c>
      <c r="H512" t="s">
        <v>1494</v>
      </c>
    </row>
    <row r="513" spans="7:8" x14ac:dyDescent="0.25">
      <c r="G513">
        <v>1362</v>
      </c>
      <c r="H513" t="s">
        <v>1495</v>
      </c>
    </row>
    <row r="514" spans="7:8" x14ac:dyDescent="0.25">
      <c r="G514">
        <v>1130</v>
      </c>
      <c r="H514" t="s">
        <v>1496</v>
      </c>
    </row>
    <row r="515" spans="7:8" x14ac:dyDescent="0.25">
      <c r="G515">
        <v>1610</v>
      </c>
      <c r="H515" t="s">
        <v>1497</v>
      </c>
    </row>
    <row r="516" spans="7:8" x14ac:dyDescent="0.25">
      <c r="G516">
        <v>1372</v>
      </c>
      <c r="H516" t="s">
        <v>1498</v>
      </c>
    </row>
    <row r="517" spans="7:8" x14ac:dyDescent="0.25">
      <c r="G517">
        <v>1675</v>
      </c>
      <c r="H517" t="s">
        <v>1499</v>
      </c>
    </row>
    <row r="518" spans="7:8" x14ac:dyDescent="0.25">
      <c r="G518">
        <v>1387</v>
      </c>
      <c r="H518" t="s">
        <v>1499</v>
      </c>
    </row>
    <row r="519" spans="7:8" x14ac:dyDescent="0.25">
      <c r="G519">
        <v>1379</v>
      </c>
      <c r="H519" t="s">
        <v>1500</v>
      </c>
    </row>
    <row r="520" spans="7:8" x14ac:dyDescent="0.25">
      <c r="G520">
        <v>1384</v>
      </c>
      <c r="H520" t="s">
        <v>1501</v>
      </c>
    </row>
    <row r="521" spans="7:8" x14ac:dyDescent="0.25">
      <c r="G521">
        <v>2754</v>
      </c>
      <c r="H521" t="s">
        <v>1502</v>
      </c>
    </row>
    <row r="522" spans="7:8" x14ac:dyDescent="0.25">
      <c r="G522">
        <v>1677</v>
      </c>
      <c r="H522" t="s">
        <v>1503</v>
      </c>
    </row>
    <row r="523" spans="7:8" x14ac:dyDescent="0.25">
      <c r="G523">
        <v>1393</v>
      </c>
      <c r="H523" t="s">
        <v>1504</v>
      </c>
    </row>
    <row r="524" spans="7:8" x14ac:dyDescent="0.25">
      <c r="G524">
        <v>1394</v>
      </c>
      <c r="H524" t="s">
        <v>1505</v>
      </c>
    </row>
    <row r="525" spans="7:8" x14ac:dyDescent="0.25">
      <c r="G525">
        <v>1568</v>
      </c>
      <c r="H525" t="s">
        <v>1506</v>
      </c>
    </row>
    <row r="526" spans="7:8" x14ac:dyDescent="0.25">
      <c r="G526">
        <v>1683</v>
      </c>
      <c r="H526" t="s">
        <v>1507</v>
      </c>
    </row>
    <row r="527" spans="7:8" x14ac:dyDescent="0.25">
      <c r="G527">
        <v>17</v>
      </c>
      <c r="H527" t="s">
        <v>1508</v>
      </c>
    </row>
    <row r="528" spans="7:8" x14ac:dyDescent="0.25">
      <c r="G528">
        <v>1397</v>
      </c>
      <c r="H528" t="s">
        <v>1509</v>
      </c>
    </row>
    <row r="529" spans="7:8" x14ac:dyDescent="0.25">
      <c r="G529">
        <v>1398</v>
      </c>
      <c r="H529" t="s">
        <v>1510</v>
      </c>
    </row>
    <row r="530" spans="7:8" x14ac:dyDescent="0.25">
      <c r="G530">
        <v>1399</v>
      </c>
      <c r="H530" t="s">
        <v>1511</v>
      </c>
    </row>
    <row r="531" spans="7:8" x14ac:dyDescent="0.25">
      <c r="G531">
        <v>1400</v>
      </c>
      <c r="H531" t="s">
        <v>1512</v>
      </c>
    </row>
    <row r="532" spans="7:8" x14ac:dyDescent="0.25">
      <c r="G532">
        <v>1602</v>
      </c>
      <c r="H532" t="s">
        <v>1513</v>
      </c>
    </row>
    <row r="533" spans="7:8" x14ac:dyDescent="0.25">
      <c r="G533">
        <v>1692</v>
      </c>
      <c r="H533" t="s">
        <v>1514</v>
      </c>
    </row>
    <row r="534" spans="7:8" x14ac:dyDescent="0.25">
      <c r="G534">
        <v>1403</v>
      </c>
      <c r="H534" t="s">
        <v>1515</v>
      </c>
    </row>
    <row r="535" spans="7:8" x14ac:dyDescent="0.25">
      <c r="G535">
        <v>1623</v>
      </c>
      <c r="H535" t="s">
        <v>1516</v>
      </c>
    </row>
    <row r="536" spans="7:8" x14ac:dyDescent="0.25">
      <c r="G536">
        <v>1404</v>
      </c>
      <c r="H536" t="s">
        <v>1517</v>
      </c>
    </row>
    <row r="537" spans="7:8" x14ac:dyDescent="0.25">
      <c r="G537">
        <v>1695</v>
      </c>
      <c r="H537" t="s">
        <v>1518</v>
      </c>
    </row>
    <row r="538" spans="7:8" x14ac:dyDescent="0.25">
      <c r="G538">
        <v>1696</v>
      </c>
      <c r="H538" t="s">
        <v>1519</v>
      </c>
    </row>
    <row r="539" spans="7:8" x14ac:dyDescent="0.25">
      <c r="G539">
        <v>1698</v>
      </c>
      <c r="H539" t="s">
        <v>1520</v>
      </c>
    </row>
    <row r="540" spans="7:8" x14ac:dyDescent="0.25">
      <c r="G540">
        <v>1699</v>
      </c>
      <c r="H540" t="s">
        <v>1521</v>
      </c>
    </row>
    <row r="541" spans="7:8" x14ac:dyDescent="0.25">
      <c r="G541">
        <v>1700</v>
      </c>
      <c r="H541" t="s">
        <v>1522</v>
      </c>
    </row>
    <row r="542" spans="7:8" x14ac:dyDescent="0.25">
      <c r="G542">
        <v>1701</v>
      </c>
      <c r="H542" t="s">
        <v>1523</v>
      </c>
    </row>
    <row r="543" spans="7:8" x14ac:dyDescent="0.25">
      <c r="G543">
        <v>1702</v>
      </c>
      <c r="H543" t="s">
        <v>1524</v>
      </c>
    </row>
    <row r="544" spans="7:8" x14ac:dyDescent="0.25">
      <c r="G544">
        <v>1703</v>
      </c>
      <c r="H544" t="s">
        <v>1525</v>
      </c>
    </row>
    <row r="545" spans="7:8" x14ac:dyDescent="0.25">
      <c r="G545">
        <v>1704</v>
      </c>
      <c r="H545" t="s">
        <v>1526</v>
      </c>
    </row>
    <row r="546" spans="7:8" x14ac:dyDescent="0.25">
      <c r="G546">
        <v>1705</v>
      </c>
      <c r="H546" t="s">
        <v>1527</v>
      </c>
    </row>
    <row r="547" spans="7:8" x14ac:dyDescent="0.25">
      <c r="G547">
        <v>1706</v>
      </c>
      <c r="H547" t="s">
        <v>1528</v>
      </c>
    </row>
    <row r="548" spans="7:8" x14ac:dyDescent="0.25">
      <c r="G548">
        <v>1707</v>
      </c>
      <c r="H548" t="s">
        <v>1529</v>
      </c>
    </row>
    <row r="549" spans="7:8" x14ac:dyDescent="0.25">
      <c r="G549">
        <v>1708</v>
      </c>
      <c r="H549" t="s">
        <v>1530</v>
      </c>
    </row>
    <row r="550" spans="7:8" x14ac:dyDescent="0.25">
      <c r="G550">
        <v>1709</v>
      </c>
      <c r="H550" t="s">
        <v>1531</v>
      </c>
    </row>
    <row r="551" spans="7:8" x14ac:dyDescent="0.25">
      <c r="G551">
        <v>1710</v>
      </c>
      <c r="H551" t="s">
        <v>1532</v>
      </c>
    </row>
    <row r="552" spans="7:8" x14ac:dyDescent="0.25">
      <c r="G552">
        <v>1711</v>
      </c>
      <c r="H552" t="s">
        <v>1533</v>
      </c>
    </row>
    <row r="553" spans="7:8" x14ac:dyDescent="0.25">
      <c r="G553">
        <v>1712</v>
      </c>
      <c r="H553" t="s">
        <v>1534</v>
      </c>
    </row>
    <row r="554" spans="7:8" x14ac:dyDescent="0.25">
      <c r="G554">
        <v>1713</v>
      </c>
      <c r="H554" t="s">
        <v>1535</v>
      </c>
    </row>
    <row r="555" spans="7:8" x14ac:dyDescent="0.25">
      <c r="G555">
        <v>1714</v>
      </c>
      <c r="H555" t="s">
        <v>1536</v>
      </c>
    </row>
    <row r="556" spans="7:8" x14ac:dyDescent="0.25">
      <c r="G556">
        <v>1715</v>
      </c>
      <c r="H556" t="s">
        <v>1537</v>
      </c>
    </row>
    <row r="557" spans="7:8" x14ac:dyDescent="0.25">
      <c r="G557">
        <v>1716</v>
      </c>
      <c r="H557" t="s">
        <v>1538</v>
      </c>
    </row>
    <row r="558" spans="7:8" x14ac:dyDescent="0.25">
      <c r="G558">
        <v>1718</v>
      </c>
      <c r="H558" t="s">
        <v>1539</v>
      </c>
    </row>
    <row r="559" spans="7:8" x14ac:dyDescent="0.25">
      <c r="G559">
        <v>1719</v>
      </c>
      <c r="H559" t="s">
        <v>1540</v>
      </c>
    </row>
    <row r="560" spans="7:8" x14ac:dyDescent="0.25">
      <c r="G560">
        <v>1720</v>
      </c>
      <c r="H560" t="s">
        <v>1541</v>
      </c>
    </row>
    <row r="561" spans="7:8" x14ac:dyDescent="0.25">
      <c r="G561">
        <v>1721</v>
      </c>
      <c r="H561" t="s">
        <v>1542</v>
      </c>
    </row>
    <row r="562" spans="7:8" x14ac:dyDescent="0.25">
      <c r="G562">
        <v>1722</v>
      </c>
      <c r="H562" t="s">
        <v>1543</v>
      </c>
    </row>
    <row r="563" spans="7:8" x14ac:dyDescent="0.25">
      <c r="G563">
        <v>1723</v>
      </c>
      <c r="H563" t="s">
        <v>1544</v>
      </c>
    </row>
    <row r="564" spans="7:8" x14ac:dyDescent="0.25">
      <c r="G564">
        <v>1724</v>
      </c>
      <c r="H564" t="s">
        <v>1545</v>
      </c>
    </row>
    <row r="565" spans="7:8" x14ac:dyDescent="0.25">
      <c r="G565">
        <v>1515</v>
      </c>
      <c r="H565" t="s">
        <v>1546</v>
      </c>
    </row>
    <row r="566" spans="7:8" x14ac:dyDescent="0.25">
      <c r="G566">
        <v>1507</v>
      </c>
      <c r="H566" t="s">
        <v>1547</v>
      </c>
    </row>
    <row r="567" spans="7:8" x14ac:dyDescent="0.25">
      <c r="G567">
        <v>2077</v>
      </c>
      <c r="H567" t="s">
        <v>1548</v>
      </c>
    </row>
    <row r="568" spans="7:8" x14ac:dyDescent="0.25">
      <c r="G568">
        <v>1407</v>
      </c>
      <c r="H568" t="s">
        <v>1549</v>
      </c>
    </row>
    <row r="569" spans="7:8" x14ac:dyDescent="0.25">
      <c r="G569">
        <v>1410</v>
      </c>
      <c r="H569" t="s">
        <v>1550</v>
      </c>
    </row>
    <row r="570" spans="7:8" x14ac:dyDescent="0.25">
      <c r="G570">
        <v>1726</v>
      </c>
      <c r="H570" t="s">
        <v>1551</v>
      </c>
    </row>
    <row r="571" spans="7:8" x14ac:dyDescent="0.25">
      <c r="G571">
        <v>882</v>
      </c>
      <c r="H571" t="s">
        <v>1552</v>
      </c>
    </row>
    <row r="572" spans="7:8" x14ac:dyDescent="0.25">
      <c r="G572">
        <v>1415</v>
      </c>
      <c r="H572" t="s">
        <v>1553</v>
      </c>
    </row>
    <row r="573" spans="7:8" x14ac:dyDescent="0.25">
      <c r="G573">
        <v>1729</v>
      </c>
      <c r="H573" t="s">
        <v>1554</v>
      </c>
    </row>
    <row r="574" spans="7:8" x14ac:dyDescent="0.25">
      <c r="G574">
        <v>1416</v>
      </c>
      <c r="H574" t="s">
        <v>1555</v>
      </c>
    </row>
    <row r="575" spans="7:8" x14ac:dyDescent="0.25">
      <c r="G575">
        <v>1417</v>
      </c>
      <c r="H575" t="s">
        <v>1556</v>
      </c>
    </row>
    <row r="576" spans="7:8" x14ac:dyDescent="0.25">
      <c r="G576">
        <v>1731</v>
      </c>
      <c r="H576" t="s">
        <v>1557</v>
      </c>
    </row>
    <row r="577" spans="7:8" x14ac:dyDescent="0.25">
      <c r="G577">
        <v>1418</v>
      </c>
      <c r="H577" t="s">
        <v>1558</v>
      </c>
    </row>
    <row r="578" spans="7:8" x14ac:dyDescent="0.25">
      <c r="G578">
        <v>1730</v>
      </c>
      <c r="H578" t="s">
        <v>1559</v>
      </c>
    </row>
    <row r="579" spans="7:8" x14ac:dyDescent="0.25">
      <c r="G579">
        <v>1421</v>
      </c>
      <c r="H579" t="s">
        <v>1560</v>
      </c>
    </row>
    <row r="580" spans="7:8" x14ac:dyDescent="0.25">
      <c r="G580">
        <v>1177</v>
      </c>
      <c r="H580" t="s">
        <v>1561</v>
      </c>
    </row>
    <row r="581" spans="7:8" x14ac:dyDescent="0.25">
      <c r="G581">
        <v>1422</v>
      </c>
      <c r="H581" t="s">
        <v>1562</v>
      </c>
    </row>
    <row r="582" spans="7:8" x14ac:dyDescent="0.25">
      <c r="G582">
        <v>1574</v>
      </c>
      <c r="H582" t="s">
        <v>1563</v>
      </c>
    </row>
    <row r="583" spans="7:8" x14ac:dyDescent="0.25">
      <c r="G583">
        <v>1423</v>
      </c>
      <c r="H583" t="s">
        <v>1564</v>
      </c>
    </row>
    <row r="584" spans="7:8" x14ac:dyDescent="0.25">
      <c r="G584">
        <v>1518</v>
      </c>
      <c r="H584" t="s">
        <v>1565</v>
      </c>
    </row>
    <row r="585" spans="7:8" x14ac:dyDescent="0.25">
      <c r="G585">
        <v>1732</v>
      </c>
      <c r="H585" t="s">
        <v>1566</v>
      </c>
    </row>
    <row r="586" spans="7:8" x14ac:dyDescent="0.25">
      <c r="G586">
        <v>1734</v>
      </c>
      <c r="H586" t="s">
        <v>1567</v>
      </c>
    </row>
    <row r="587" spans="7:8" x14ac:dyDescent="0.25">
      <c r="G587">
        <v>1735</v>
      </c>
      <c r="H587" t="s">
        <v>1568</v>
      </c>
    </row>
    <row r="588" spans="7:8" x14ac:dyDescent="0.25">
      <c r="G588">
        <v>1736</v>
      </c>
      <c r="H588" t="s">
        <v>1569</v>
      </c>
    </row>
    <row r="589" spans="7:8" x14ac:dyDescent="0.25">
      <c r="G589">
        <v>1737</v>
      </c>
      <c r="H589" t="s">
        <v>1570</v>
      </c>
    </row>
    <row r="590" spans="7:8" x14ac:dyDescent="0.25">
      <c r="G590">
        <v>1738</v>
      </c>
      <c r="H590" t="s">
        <v>1571</v>
      </c>
    </row>
    <row r="591" spans="7:8" x14ac:dyDescent="0.25">
      <c r="G591">
        <v>1740</v>
      </c>
      <c r="H591" t="s">
        <v>1572</v>
      </c>
    </row>
    <row r="592" spans="7:8" x14ac:dyDescent="0.25">
      <c r="G592">
        <v>1551</v>
      </c>
      <c r="H592" t="s">
        <v>1573</v>
      </c>
    </row>
    <row r="593" spans="7:8" x14ac:dyDescent="0.25">
      <c r="G593">
        <v>1565</v>
      </c>
      <c r="H593" t="s">
        <v>1574</v>
      </c>
    </row>
    <row r="594" spans="7:8" x14ac:dyDescent="0.25">
      <c r="G594">
        <v>1427</v>
      </c>
      <c r="H594" t="s">
        <v>1575</v>
      </c>
    </row>
    <row r="595" spans="7:8" x14ac:dyDescent="0.25">
      <c r="G595">
        <v>1429</v>
      </c>
      <c r="H595" t="s">
        <v>1576</v>
      </c>
    </row>
    <row r="596" spans="7:8" x14ac:dyDescent="0.25">
      <c r="G596">
        <v>1430</v>
      </c>
      <c r="H596" t="s">
        <v>1577</v>
      </c>
    </row>
    <row r="597" spans="7:8" x14ac:dyDescent="0.25">
      <c r="G597">
        <v>1614</v>
      </c>
      <c r="H597" t="s">
        <v>1578</v>
      </c>
    </row>
    <row r="598" spans="7:8" x14ac:dyDescent="0.25">
      <c r="G598">
        <v>1741</v>
      </c>
      <c r="H598" t="s">
        <v>1579</v>
      </c>
    </row>
    <row r="599" spans="7:8" x14ac:dyDescent="0.25">
      <c r="G599">
        <v>1525</v>
      </c>
      <c r="H599" t="s">
        <v>1580</v>
      </c>
    </row>
    <row r="600" spans="7:8" x14ac:dyDescent="0.25">
      <c r="G600">
        <v>1431</v>
      </c>
      <c r="H600" t="s">
        <v>1581</v>
      </c>
    </row>
    <row r="601" spans="7:8" x14ac:dyDescent="0.25">
      <c r="G601">
        <v>1432</v>
      </c>
      <c r="H601" t="s">
        <v>1582</v>
      </c>
    </row>
    <row r="602" spans="7:8" x14ac:dyDescent="0.25">
      <c r="G602">
        <v>1434</v>
      </c>
      <c r="H602" t="s">
        <v>1583</v>
      </c>
    </row>
    <row r="603" spans="7:8" x14ac:dyDescent="0.25">
      <c r="G603">
        <v>1436</v>
      </c>
      <c r="H603" t="s">
        <v>1584</v>
      </c>
    </row>
    <row r="604" spans="7:8" x14ac:dyDescent="0.25">
      <c r="G604">
        <v>1437</v>
      </c>
      <c r="H604" t="s">
        <v>1585</v>
      </c>
    </row>
    <row r="605" spans="7:8" x14ac:dyDescent="0.25">
      <c r="G605">
        <v>1441</v>
      </c>
      <c r="H605" t="s">
        <v>1586</v>
      </c>
    </row>
    <row r="606" spans="7:8" x14ac:dyDescent="0.25">
      <c r="G606">
        <v>1746</v>
      </c>
      <c r="H606" t="s">
        <v>1587</v>
      </c>
    </row>
    <row r="607" spans="7:8" x14ac:dyDescent="0.25">
      <c r="G607">
        <v>1615</v>
      </c>
      <c r="H607" t="s">
        <v>1588</v>
      </c>
    </row>
    <row r="608" spans="7:8" x14ac:dyDescent="0.25">
      <c r="G608">
        <v>1444</v>
      </c>
      <c r="H608" t="s">
        <v>1589</v>
      </c>
    </row>
    <row r="609" spans="7:8" x14ac:dyDescent="0.25">
      <c r="G609">
        <v>1446</v>
      </c>
      <c r="H609" t="s">
        <v>1590</v>
      </c>
    </row>
    <row r="610" spans="7:8" x14ac:dyDescent="0.25">
      <c r="G610">
        <v>1447</v>
      </c>
      <c r="H610" t="s">
        <v>1591</v>
      </c>
    </row>
    <row r="611" spans="7:8" x14ac:dyDescent="0.25">
      <c r="G611">
        <v>1750</v>
      </c>
      <c r="H611" t="s">
        <v>1592</v>
      </c>
    </row>
    <row r="612" spans="7:8" x14ac:dyDescent="0.25">
      <c r="G612">
        <v>1751</v>
      </c>
      <c r="H612" t="s">
        <v>1593</v>
      </c>
    </row>
    <row r="613" spans="7:8" x14ac:dyDescent="0.25">
      <c r="G613">
        <v>1450</v>
      </c>
      <c r="H613" t="s">
        <v>1594</v>
      </c>
    </row>
    <row r="614" spans="7:8" x14ac:dyDescent="0.25">
      <c r="G614">
        <v>1451</v>
      </c>
      <c r="H614" t="s">
        <v>1595</v>
      </c>
    </row>
    <row r="615" spans="7:8" x14ac:dyDescent="0.25">
      <c r="G615">
        <v>1502</v>
      </c>
      <c r="H615" t="s">
        <v>1596</v>
      </c>
    </row>
    <row r="616" spans="7:8" x14ac:dyDescent="0.25">
      <c r="G616">
        <v>1456</v>
      </c>
      <c r="H616" t="s">
        <v>1597</v>
      </c>
    </row>
    <row r="617" spans="7:8" x14ac:dyDescent="0.25">
      <c r="G617">
        <v>1458</v>
      </c>
      <c r="H617" t="s">
        <v>1598</v>
      </c>
    </row>
    <row r="618" spans="7:8" x14ac:dyDescent="0.25">
      <c r="G618">
        <v>1459</v>
      </c>
      <c r="H618" t="s">
        <v>1599</v>
      </c>
    </row>
    <row r="619" spans="7:8" x14ac:dyDescent="0.25">
      <c r="G619">
        <v>1460</v>
      </c>
      <c r="H619" t="s">
        <v>1600</v>
      </c>
    </row>
    <row r="620" spans="7:8" x14ac:dyDescent="0.25">
      <c r="G620">
        <v>1461</v>
      </c>
      <c r="H620" t="s">
        <v>1601</v>
      </c>
    </row>
    <row r="621" spans="7:8" x14ac:dyDescent="0.25">
      <c r="G621">
        <v>1752</v>
      </c>
      <c r="H621" t="s">
        <v>1602</v>
      </c>
    </row>
    <row r="622" spans="7:8" x14ac:dyDescent="0.25">
      <c r="G622">
        <v>1754</v>
      </c>
      <c r="H622" t="s">
        <v>1603</v>
      </c>
    </row>
    <row r="623" spans="7:8" x14ac:dyDescent="0.25">
      <c r="G623">
        <v>2044</v>
      </c>
      <c r="H623" t="s">
        <v>1604</v>
      </c>
    </row>
    <row r="624" spans="7:8" x14ac:dyDescent="0.25">
      <c r="G624">
        <v>1257</v>
      </c>
      <c r="H624" t="s">
        <v>1604</v>
      </c>
    </row>
    <row r="625" spans="7:8" x14ac:dyDescent="0.25">
      <c r="G625">
        <v>1258</v>
      </c>
      <c r="H625" t="s">
        <v>1605</v>
      </c>
    </row>
    <row r="626" spans="7:8" x14ac:dyDescent="0.25">
      <c r="G626">
        <v>1259</v>
      </c>
      <c r="H626" t="s">
        <v>1606</v>
      </c>
    </row>
    <row r="627" spans="7:8" x14ac:dyDescent="0.25">
      <c r="G627">
        <v>1260</v>
      </c>
      <c r="H627" t="s">
        <v>1607</v>
      </c>
    </row>
    <row r="628" spans="7:8" x14ac:dyDescent="0.25">
      <c r="G628">
        <v>1245</v>
      </c>
      <c r="H628" t="s">
        <v>1608</v>
      </c>
    </row>
    <row r="629" spans="7:8" x14ac:dyDescent="0.25">
      <c r="G629">
        <v>40</v>
      </c>
      <c r="H629" t="s">
        <v>428</v>
      </c>
    </row>
    <row r="630" spans="7:8" x14ac:dyDescent="0.25">
      <c r="G630">
        <v>2654</v>
      </c>
      <c r="H630" t="s">
        <v>1609</v>
      </c>
    </row>
    <row r="631" spans="7:8" x14ac:dyDescent="0.25">
      <c r="G631">
        <v>2447</v>
      </c>
      <c r="H631" t="s">
        <v>1610</v>
      </c>
    </row>
    <row r="632" spans="7:8" x14ac:dyDescent="0.25">
      <c r="G632">
        <v>2675</v>
      </c>
      <c r="H632" t="s">
        <v>1611</v>
      </c>
    </row>
    <row r="633" spans="7:8" x14ac:dyDescent="0.25">
      <c r="G633">
        <v>2747</v>
      </c>
      <c r="H633" t="s">
        <v>1612</v>
      </c>
    </row>
    <row r="634" spans="7:8" x14ac:dyDescent="0.25">
      <c r="G634">
        <v>2751</v>
      </c>
      <c r="H634" t="s">
        <v>1613</v>
      </c>
    </row>
    <row r="635" spans="7:8" x14ac:dyDescent="0.25">
      <c r="G635">
        <v>2736</v>
      </c>
      <c r="H635" t="s">
        <v>1614</v>
      </c>
    </row>
    <row r="636" spans="7:8" x14ac:dyDescent="0.25">
      <c r="G636">
        <v>2737</v>
      </c>
      <c r="H636" t="s">
        <v>1615</v>
      </c>
    </row>
    <row r="637" spans="7:8" x14ac:dyDescent="0.25">
      <c r="G637">
        <v>2733</v>
      </c>
      <c r="H637" t="s">
        <v>1616</v>
      </c>
    </row>
    <row r="638" spans="7:8" x14ac:dyDescent="0.25">
      <c r="G638">
        <v>2748</v>
      </c>
      <c r="H638" t="s">
        <v>1617</v>
      </c>
    </row>
    <row r="639" spans="7:8" x14ac:dyDescent="0.25">
      <c r="G639">
        <v>2661</v>
      </c>
      <c r="H639" t="s">
        <v>1618</v>
      </c>
    </row>
    <row r="640" spans="7:8" x14ac:dyDescent="0.25">
      <c r="G640">
        <v>539</v>
      </c>
      <c r="H640" t="s">
        <v>1619</v>
      </c>
    </row>
    <row r="641" spans="7:8" x14ac:dyDescent="0.25">
      <c r="G641">
        <v>2738</v>
      </c>
      <c r="H641" t="s">
        <v>1620</v>
      </c>
    </row>
    <row r="642" spans="7:8" x14ac:dyDescent="0.25">
      <c r="G642">
        <v>2745</v>
      </c>
      <c r="H642" t="s">
        <v>1621</v>
      </c>
    </row>
    <row r="643" spans="7:8" x14ac:dyDescent="0.25">
      <c r="G643">
        <v>2744</v>
      </c>
      <c r="H643" t="s">
        <v>1622</v>
      </c>
    </row>
    <row r="644" spans="7:8" x14ac:dyDescent="0.25">
      <c r="G644">
        <v>2640</v>
      </c>
      <c r="H644" t="s">
        <v>1623</v>
      </c>
    </row>
    <row r="645" spans="7:8" x14ac:dyDescent="0.25">
      <c r="G645">
        <v>2743</v>
      </c>
      <c r="H645" t="s">
        <v>1624</v>
      </c>
    </row>
    <row r="646" spans="7:8" x14ac:dyDescent="0.25">
      <c r="G646">
        <v>2752</v>
      </c>
      <c r="H646" t="s">
        <v>1625</v>
      </c>
    </row>
    <row r="647" spans="7:8" x14ac:dyDescent="0.25">
      <c r="G647">
        <v>2753</v>
      </c>
      <c r="H647" t="s">
        <v>1626</v>
      </c>
    </row>
    <row r="648" spans="7:8" x14ac:dyDescent="0.25">
      <c r="G648">
        <v>2750</v>
      </c>
      <c r="H648" t="s">
        <v>1627</v>
      </c>
    </row>
    <row r="649" spans="7:8" x14ac:dyDescent="0.25">
      <c r="G649">
        <v>2739</v>
      </c>
      <c r="H649" t="s">
        <v>1628</v>
      </c>
    </row>
    <row r="650" spans="7:8" x14ac:dyDescent="0.25">
      <c r="G650">
        <v>2740</v>
      </c>
      <c r="H650" t="s">
        <v>1629</v>
      </c>
    </row>
    <row r="651" spans="7:8" x14ac:dyDescent="0.25">
      <c r="G651">
        <v>2741</v>
      </c>
      <c r="H651" t="s">
        <v>1630</v>
      </c>
    </row>
    <row r="652" spans="7:8" x14ac:dyDescent="0.25">
      <c r="G652">
        <v>2749</v>
      </c>
      <c r="H652" t="s">
        <v>1631</v>
      </c>
    </row>
    <row r="653" spans="7:8" x14ac:dyDescent="0.25">
      <c r="G653">
        <v>2746</v>
      </c>
      <c r="H653" t="s">
        <v>1632</v>
      </c>
    </row>
    <row r="654" spans="7:8" x14ac:dyDescent="0.25">
      <c r="G654">
        <v>2074</v>
      </c>
      <c r="H654" t="s">
        <v>1633</v>
      </c>
    </row>
    <row r="655" spans="7:8" x14ac:dyDescent="0.25">
      <c r="G655">
        <v>2760</v>
      </c>
      <c r="H655" t="s">
        <v>1634</v>
      </c>
    </row>
    <row r="656" spans="7:8" x14ac:dyDescent="0.25">
      <c r="G656">
        <v>2586</v>
      </c>
      <c r="H656" t="s">
        <v>1635</v>
      </c>
    </row>
    <row r="657" spans="7:8" x14ac:dyDescent="0.25">
      <c r="G657">
        <v>2088</v>
      </c>
      <c r="H657" t="s">
        <v>1636</v>
      </c>
    </row>
    <row r="658" spans="7:8" x14ac:dyDescent="0.25">
      <c r="G658">
        <v>2092</v>
      </c>
      <c r="H658" t="s">
        <v>1637</v>
      </c>
    </row>
    <row r="659" spans="7:8" x14ac:dyDescent="0.25">
      <c r="G659">
        <v>2101</v>
      </c>
      <c r="H659" t="s">
        <v>1638</v>
      </c>
    </row>
    <row r="660" spans="7:8" x14ac:dyDescent="0.25">
      <c r="G660">
        <v>2576</v>
      </c>
      <c r="H660" t="s">
        <v>1639</v>
      </c>
    </row>
    <row r="661" spans="7:8" x14ac:dyDescent="0.25">
      <c r="G661">
        <v>1126</v>
      </c>
      <c r="H661" t="s">
        <v>1639</v>
      </c>
    </row>
    <row r="662" spans="7:8" x14ac:dyDescent="0.25">
      <c r="G662">
        <v>2110</v>
      </c>
      <c r="H662" t="s">
        <v>1640</v>
      </c>
    </row>
    <row r="663" spans="7:8" x14ac:dyDescent="0.25">
      <c r="G663">
        <v>2758</v>
      </c>
      <c r="H663" t="s">
        <v>1641</v>
      </c>
    </row>
    <row r="664" spans="7:8" x14ac:dyDescent="0.25">
      <c r="G664">
        <v>192</v>
      </c>
      <c r="H664" t="s">
        <v>1642</v>
      </c>
    </row>
    <row r="665" spans="7:8" x14ac:dyDescent="0.25">
      <c r="G665">
        <v>477</v>
      </c>
      <c r="H665" t="s">
        <v>1643</v>
      </c>
    </row>
    <row r="666" spans="7:8" x14ac:dyDescent="0.25">
      <c r="G666">
        <v>1553</v>
      </c>
      <c r="H666" t="s">
        <v>1644</v>
      </c>
    </row>
    <row r="667" spans="7:8" x14ac:dyDescent="0.25">
      <c r="G667">
        <v>2553</v>
      </c>
      <c r="H667" t="s">
        <v>1645</v>
      </c>
    </row>
    <row r="668" spans="7:8" x14ac:dyDescent="0.25">
      <c r="G668">
        <v>1554</v>
      </c>
      <c r="H668" t="s">
        <v>1646</v>
      </c>
    </row>
    <row r="669" spans="7:8" x14ac:dyDescent="0.25">
      <c r="G669">
        <v>2656</v>
      </c>
      <c r="H669" t="s">
        <v>1647</v>
      </c>
    </row>
    <row r="670" spans="7:8" x14ac:dyDescent="0.25">
      <c r="G670">
        <v>1557</v>
      </c>
      <c r="H670" t="s">
        <v>1648</v>
      </c>
    </row>
    <row r="671" spans="7:8" x14ac:dyDescent="0.25">
      <c r="G671">
        <v>2653</v>
      </c>
      <c r="H671" t="s">
        <v>1649</v>
      </c>
    </row>
    <row r="672" spans="7:8" x14ac:dyDescent="0.25">
      <c r="G672">
        <v>1555</v>
      </c>
      <c r="H672" t="s">
        <v>1650</v>
      </c>
    </row>
    <row r="673" spans="7:8" x14ac:dyDescent="0.25">
      <c r="G673">
        <v>1556</v>
      </c>
      <c r="H673" t="s">
        <v>1651</v>
      </c>
    </row>
    <row r="674" spans="7:8" x14ac:dyDescent="0.25">
      <c r="G674">
        <v>53</v>
      </c>
      <c r="H674" t="s">
        <v>1652</v>
      </c>
    </row>
    <row r="675" spans="7:8" x14ac:dyDescent="0.25">
      <c r="G675">
        <v>2635</v>
      </c>
      <c r="H675" t="s">
        <v>1653</v>
      </c>
    </row>
    <row r="676" spans="7:8" x14ac:dyDescent="0.25">
      <c r="G676">
        <v>968</v>
      </c>
      <c r="H676" t="s">
        <v>1654</v>
      </c>
    </row>
    <row r="677" spans="7:8" x14ac:dyDescent="0.25">
      <c r="G677">
        <v>2688</v>
      </c>
      <c r="H677" t="s">
        <v>1655</v>
      </c>
    </row>
    <row r="678" spans="7:8" x14ac:dyDescent="0.25">
      <c r="G678">
        <v>379</v>
      </c>
      <c r="H678" t="s">
        <v>1656</v>
      </c>
    </row>
    <row r="679" spans="7:8" x14ac:dyDescent="0.25">
      <c r="G679">
        <v>1158</v>
      </c>
      <c r="H679" t="s">
        <v>1657</v>
      </c>
    </row>
    <row r="680" spans="7:8" x14ac:dyDescent="0.25">
      <c r="G680">
        <v>2264</v>
      </c>
      <c r="H680" t="s">
        <v>1658</v>
      </c>
    </row>
    <row r="681" spans="7:8" x14ac:dyDescent="0.25">
      <c r="G681">
        <v>2268</v>
      </c>
      <c r="H681" t="s">
        <v>1659</v>
      </c>
    </row>
    <row r="682" spans="7:8" x14ac:dyDescent="0.25">
      <c r="G682">
        <v>166</v>
      </c>
      <c r="H682" t="s">
        <v>1660</v>
      </c>
    </row>
    <row r="683" spans="7:8" x14ac:dyDescent="0.25">
      <c r="G683">
        <v>1255</v>
      </c>
      <c r="H683" t="s">
        <v>1661</v>
      </c>
    </row>
    <row r="684" spans="7:8" x14ac:dyDescent="0.25">
      <c r="G684">
        <v>2283</v>
      </c>
      <c r="H684" t="s">
        <v>1662</v>
      </c>
    </row>
    <row r="685" spans="7:8" x14ac:dyDescent="0.25">
      <c r="G685">
        <v>2288</v>
      </c>
      <c r="H685" t="s">
        <v>1663</v>
      </c>
    </row>
    <row r="686" spans="7:8" x14ac:dyDescent="0.25">
      <c r="G686">
        <v>2290</v>
      </c>
      <c r="H686" t="s">
        <v>1664</v>
      </c>
    </row>
    <row r="687" spans="7:8" x14ac:dyDescent="0.25">
      <c r="G687">
        <v>2588</v>
      </c>
      <c r="H687" t="s">
        <v>1665</v>
      </c>
    </row>
    <row r="688" spans="7:8" x14ac:dyDescent="0.25">
      <c r="G688">
        <v>2647</v>
      </c>
      <c r="H688" t="s">
        <v>1666</v>
      </c>
    </row>
    <row r="689" spans="7:8" x14ac:dyDescent="0.25">
      <c r="G689">
        <v>2295</v>
      </c>
      <c r="H689" t="s">
        <v>1667</v>
      </c>
    </row>
    <row r="690" spans="7:8" x14ac:dyDescent="0.25">
      <c r="G690">
        <v>2589</v>
      </c>
      <c r="H690" t="s">
        <v>1668</v>
      </c>
    </row>
    <row r="691" spans="7:8" x14ac:dyDescent="0.25">
      <c r="G691">
        <v>1113</v>
      </c>
      <c r="H691" t="s">
        <v>1669</v>
      </c>
    </row>
    <row r="692" spans="7:8" x14ac:dyDescent="0.25">
      <c r="G692">
        <v>2298</v>
      </c>
      <c r="H692" t="s">
        <v>1670</v>
      </c>
    </row>
    <row r="693" spans="7:8" x14ac:dyDescent="0.25">
      <c r="G693">
        <v>2665</v>
      </c>
      <c r="H693" t="s">
        <v>1671</v>
      </c>
    </row>
    <row r="694" spans="7:8" x14ac:dyDescent="0.25">
      <c r="G694">
        <v>2556</v>
      </c>
      <c r="H694" t="s">
        <v>1672</v>
      </c>
    </row>
    <row r="695" spans="7:8" x14ac:dyDescent="0.25">
      <c r="G695">
        <v>451</v>
      </c>
      <c r="H695" t="s">
        <v>1673</v>
      </c>
    </row>
    <row r="696" spans="7:8" x14ac:dyDescent="0.25">
      <c r="G696">
        <v>1190</v>
      </c>
      <c r="H696" t="s">
        <v>1674</v>
      </c>
    </row>
    <row r="697" spans="7:8" x14ac:dyDescent="0.25">
      <c r="G697">
        <v>2574</v>
      </c>
      <c r="H697" t="s">
        <v>1675</v>
      </c>
    </row>
    <row r="698" spans="7:8" x14ac:dyDescent="0.25">
      <c r="G698">
        <v>1989</v>
      </c>
      <c r="H698" t="s">
        <v>1676</v>
      </c>
    </row>
    <row r="699" spans="7:8" x14ac:dyDescent="0.25">
      <c r="G699">
        <v>1230</v>
      </c>
      <c r="H699" t="s">
        <v>1677</v>
      </c>
    </row>
    <row r="700" spans="7:8" x14ac:dyDescent="0.25">
      <c r="G700">
        <v>1607</v>
      </c>
      <c r="H700" t="s">
        <v>1678</v>
      </c>
    </row>
    <row r="701" spans="7:8" x14ac:dyDescent="0.25">
      <c r="G701">
        <v>1527</v>
      </c>
      <c r="H701" t="s">
        <v>1679</v>
      </c>
    </row>
    <row r="702" spans="7:8" x14ac:dyDescent="0.25">
      <c r="G702">
        <v>189</v>
      </c>
      <c r="H702" t="s">
        <v>1680</v>
      </c>
    </row>
    <row r="703" spans="7:8" x14ac:dyDescent="0.25">
      <c r="G703">
        <v>1618</v>
      </c>
      <c r="H703" t="s">
        <v>1681</v>
      </c>
    </row>
    <row r="704" spans="7:8" x14ac:dyDescent="0.25">
      <c r="G704">
        <v>981</v>
      </c>
      <c r="H704" t="s">
        <v>1682</v>
      </c>
    </row>
    <row r="705" spans="7:8" x14ac:dyDescent="0.25">
      <c r="G705">
        <v>2009</v>
      </c>
      <c r="H705" t="s">
        <v>1683</v>
      </c>
    </row>
    <row r="706" spans="7:8" x14ac:dyDescent="0.25">
      <c r="G706">
        <v>2735</v>
      </c>
      <c r="H706" t="s">
        <v>1684</v>
      </c>
    </row>
    <row r="707" spans="7:8" x14ac:dyDescent="0.25">
      <c r="G707">
        <v>1248</v>
      </c>
      <c r="H707" t="s">
        <v>1685</v>
      </c>
    </row>
    <row r="708" spans="7:8" x14ac:dyDescent="0.25">
      <c r="G708">
        <v>2012</v>
      </c>
      <c r="H708" t="s">
        <v>1686</v>
      </c>
    </row>
    <row r="709" spans="7:8" x14ac:dyDescent="0.25">
      <c r="G709">
        <v>2563</v>
      </c>
      <c r="H709" t="s">
        <v>1687</v>
      </c>
    </row>
    <row r="710" spans="7:8" x14ac:dyDescent="0.25">
      <c r="G710">
        <v>1006</v>
      </c>
      <c r="H710" t="s">
        <v>1688</v>
      </c>
    </row>
    <row r="711" spans="7:8" x14ac:dyDescent="0.25">
      <c r="G711">
        <v>2691</v>
      </c>
      <c r="H711" t="s">
        <v>1689</v>
      </c>
    </row>
    <row r="712" spans="7:8" x14ac:dyDescent="0.25">
      <c r="G712">
        <v>2690</v>
      </c>
      <c r="H712" t="s">
        <v>1690</v>
      </c>
    </row>
    <row r="713" spans="7:8" x14ac:dyDescent="0.25">
      <c r="G713">
        <v>1537</v>
      </c>
      <c r="H713" t="s">
        <v>1691</v>
      </c>
    </row>
    <row r="714" spans="7:8" x14ac:dyDescent="0.25">
      <c r="G714">
        <v>2619</v>
      </c>
      <c r="H714" t="s">
        <v>1692</v>
      </c>
    </row>
    <row r="715" spans="7:8" x14ac:dyDescent="0.25">
      <c r="G715">
        <v>191</v>
      </c>
      <c r="H715" t="s">
        <v>1693</v>
      </c>
    </row>
    <row r="716" spans="7:8" x14ac:dyDescent="0.25">
      <c r="G716">
        <v>998</v>
      </c>
      <c r="H716" t="s">
        <v>1694</v>
      </c>
    </row>
    <row r="717" spans="7:8" x14ac:dyDescent="0.25">
      <c r="G717">
        <v>2023</v>
      </c>
      <c r="H717" t="s">
        <v>1695</v>
      </c>
    </row>
    <row r="718" spans="7:8" x14ac:dyDescent="0.25">
      <c r="G718">
        <v>2027</v>
      </c>
      <c r="H718" t="s">
        <v>1696</v>
      </c>
    </row>
    <row r="719" spans="7:8" x14ac:dyDescent="0.25">
      <c r="G719">
        <v>2037</v>
      </c>
      <c r="H719" t="s">
        <v>1697</v>
      </c>
    </row>
    <row r="720" spans="7:8" x14ac:dyDescent="0.25">
      <c r="G720">
        <v>2566</v>
      </c>
      <c r="H720" t="s">
        <v>1698</v>
      </c>
    </row>
    <row r="721" spans="7:8" x14ac:dyDescent="0.25">
      <c r="G721">
        <v>2648</v>
      </c>
      <c r="H721" t="s">
        <v>1699</v>
      </c>
    </row>
    <row r="722" spans="7:8" x14ac:dyDescent="0.25">
      <c r="G722">
        <v>132</v>
      </c>
      <c r="H722" t="s">
        <v>1700</v>
      </c>
    </row>
    <row r="723" spans="7:8" x14ac:dyDescent="0.25">
      <c r="G723">
        <v>1536</v>
      </c>
      <c r="H723" t="s">
        <v>1701</v>
      </c>
    </row>
    <row r="724" spans="7:8" x14ac:dyDescent="0.25">
      <c r="G724">
        <v>2564</v>
      </c>
      <c r="H724" t="s">
        <v>1702</v>
      </c>
    </row>
    <row r="725" spans="7:8" x14ac:dyDescent="0.25">
      <c r="G725">
        <v>2474</v>
      </c>
      <c r="H725" t="s">
        <v>1703</v>
      </c>
    </row>
    <row r="726" spans="7:8" x14ac:dyDescent="0.25">
      <c r="G726">
        <v>2673</v>
      </c>
      <c r="H726" t="s">
        <v>1704</v>
      </c>
    </row>
    <row r="727" spans="7:8" x14ac:dyDescent="0.25">
      <c r="G727">
        <v>2061</v>
      </c>
      <c r="H727" t="s">
        <v>1705</v>
      </c>
    </row>
    <row r="728" spans="7:8" x14ac:dyDescent="0.25">
      <c r="G728">
        <v>1226</v>
      </c>
      <c r="H728" t="s">
        <v>1706</v>
      </c>
    </row>
    <row r="729" spans="7:8" x14ac:dyDescent="0.25">
      <c r="G729">
        <v>62</v>
      </c>
      <c r="H729" t="s">
        <v>1706</v>
      </c>
    </row>
    <row r="730" spans="7:8" x14ac:dyDescent="0.25">
      <c r="G730">
        <v>2063</v>
      </c>
      <c r="H730" t="s">
        <v>1707</v>
      </c>
    </row>
    <row r="731" spans="7:8" x14ac:dyDescent="0.25">
      <c r="G731">
        <v>65</v>
      </c>
      <c r="H731" t="s">
        <v>1708</v>
      </c>
    </row>
    <row r="732" spans="7:8" x14ac:dyDescent="0.25">
      <c r="G732">
        <v>2067</v>
      </c>
      <c r="H732" t="s">
        <v>1708</v>
      </c>
    </row>
    <row r="733" spans="7:8" x14ac:dyDescent="0.25">
      <c r="G733">
        <v>63</v>
      </c>
      <c r="H733" t="s">
        <v>1709</v>
      </c>
    </row>
    <row r="734" spans="7:8" x14ac:dyDescent="0.25">
      <c r="G734">
        <v>66</v>
      </c>
      <c r="H734" t="s">
        <v>1710</v>
      </c>
    </row>
    <row r="735" spans="7:8" x14ac:dyDescent="0.25">
      <c r="G735">
        <v>2714</v>
      </c>
      <c r="H735" t="s">
        <v>1711</v>
      </c>
    </row>
    <row r="736" spans="7:8" x14ac:dyDescent="0.25">
      <c r="G736">
        <v>1396</v>
      </c>
      <c r="H736" t="s">
        <v>1712</v>
      </c>
    </row>
    <row r="737" spans="7:8" x14ac:dyDescent="0.25">
      <c r="G737">
        <v>2713</v>
      </c>
      <c r="H737" t="s">
        <v>1713</v>
      </c>
    </row>
    <row r="738" spans="7:8" x14ac:dyDescent="0.25">
      <c r="G738">
        <v>2117</v>
      </c>
      <c r="H738" t="s">
        <v>1714</v>
      </c>
    </row>
    <row r="739" spans="7:8" x14ac:dyDescent="0.25">
      <c r="G739">
        <v>1142</v>
      </c>
      <c r="H739" t="s">
        <v>1715</v>
      </c>
    </row>
    <row r="740" spans="7:8" x14ac:dyDescent="0.25">
      <c r="G740">
        <v>1205</v>
      </c>
      <c r="H740" t="s">
        <v>1716</v>
      </c>
    </row>
    <row r="741" spans="7:8" x14ac:dyDescent="0.25">
      <c r="G741">
        <v>2122</v>
      </c>
      <c r="H741" t="s">
        <v>1717</v>
      </c>
    </row>
    <row r="742" spans="7:8" x14ac:dyDescent="0.25">
      <c r="G742">
        <v>1099</v>
      </c>
      <c r="H742" t="s">
        <v>1718</v>
      </c>
    </row>
    <row r="743" spans="7:8" x14ac:dyDescent="0.25">
      <c r="G743">
        <v>2126</v>
      </c>
      <c r="H743" t="s">
        <v>1719</v>
      </c>
    </row>
    <row r="744" spans="7:8" x14ac:dyDescent="0.25">
      <c r="G744">
        <v>525</v>
      </c>
      <c r="H744" t="s">
        <v>1720</v>
      </c>
    </row>
    <row r="745" spans="7:8" x14ac:dyDescent="0.25">
      <c r="G745">
        <v>885</v>
      </c>
      <c r="H745" t="s">
        <v>1721</v>
      </c>
    </row>
    <row r="746" spans="7:8" x14ac:dyDescent="0.25">
      <c r="G746">
        <v>2170</v>
      </c>
      <c r="H746" t="s">
        <v>1722</v>
      </c>
    </row>
    <row r="747" spans="7:8" x14ac:dyDescent="0.25">
      <c r="G747">
        <v>2756</v>
      </c>
      <c r="H747" t="s">
        <v>1723</v>
      </c>
    </row>
    <row r="748" spans="7:8" x14ac:dyDescent="0.25">
      <c r="G748">
        <v>9</v>
      </c>
      <c r="H748" t="s">
        <v>1724</v>
      </c>
    </row>
    <row r="749" spans="7:8" x14ac:dyDescent="0.25">
      <c r="G749">
        <v>2175</v>
      </c>
      <c r="H749" t="s">
        <v>1725</v>
      </c>
    </row>
    <row r="750" spans="7:8" x14ac:dyDescent="0.25">
      <c r="G750">
        <v>2180</v>
      </c>
      <c r="H750" t="s">
        <v>1726</v>
      </c>
    </row>
    <row r="751" spans="7:8" x14ac:dyDescent="0.25">
      <c r="G751">
        <v>445</v>
      </c>
      <c r="H751" t="s">
        <v>1727</v>
      </c>
    </row>
    <row r="752" spans="7:8" x14ac:dyDescent="0.25">
      <c r="G752">
        <v>98</v>
      </c>
      <c r="H752" t="s">
        <v>1728</v>
      </c>
    </row>
    <row r="753" spans="7:8" x14ac:dyDescent="0.25">
      <c r="G753">
        <v>1105</v>
      </c>
      <c r="H753" t="s">
        <v>1729</v>
      </c>
    </row>
    <row r="754" spans="7:8" x14ac:dyDescent="0.25">
      <c r="G754">
        <v>2189</v>
      </c>
      <c r="H754" t="s">
        <v>1729</v>
      </c>
    </row>
    <row r="755" spans="7:8" x14ac:dyDescent="0.25">
      <c r="G755">
        <v>1109</v>
      </c>
      <c r="H755" t="s">
        <v>1730</v>
      </c>
    </row>
    <row r="756" spans="7:8" x14ac:dyDescent="0.25">
      <c r="G756">
        <v>2730</v>
      </c>
      <c r="H756" t="s">
        <v>1731</v>
      </c>
    </row>
    <row r="757" spans="7:8" x14ac:dyDescent="0.25">
      <c r="G757">
        <v>2207</v>
      </c>
      <c r="H757" t="s">
        <v>1732</v>
      </c>
    </row>
    <row r="758" spans="7:8" x14ac:dyDescent="0.25">
      <c r="G758">
        <v>1172</v>
      </c>
      <c r="H758" t="s">
        <v>1733</v>
      </c>
    </row>
    <row r="759" spans="7:8" x14ac:dyDescent="0.25">
      <c r="G759">
        <v>452</v>
      </c>
      <c r="H759" t="s">
        <v>1734</v>
      </c>
    </row>
    <row r="760" spans="7:8" x14ac:dyDescent="0.25">
      <c r="G760">
        <v>2689</v>
      </c>
      <c r="H760" t="s">
        <v>1735</v>
      </c>
    </row>
    <row r="761" spans="7:8" x14ac:dyDescent="0.25">
      <c r="G761">
        <v>2245</v>
      </c>
      <c r="H761" t="s">
        <v>1735</v>
      </c>
    </row>
    <row r="762" spans="7:8" x14ac:dyDescent="0.25">
      <c r="G762">
        <v>2667</v>
      </c>
      <c r="H762" t="s">
        <v>1736</v>
      </c>
    </row>
    <row r="763" spans="7:8" x14ac:dyDescent="0.25">
      <c r="G763">
        <v>2250</v>
      </c>
      <c r="H763" t="s">
        <v>1737</v>
      </c>
    </row>
    <row r="764" spans="7:8" x14ac:dyDescent="0.25">
      <c r="G764">
        <v>2255</v>
      </c>
      <c r="H764" t="s">
        <v>1738</v>
      </c>
    </row>
    <row r="765" spans="7:8" x14ac:dyDescent="0.25">
      <c r="G765">
        <v>2259</v>
      </c>
      <c r="H765" t="s">
        <v>1739</v>
      </c>
    </row>
    <row r="766" spans="7:8" x14ac:dyDescent="0.25">
      <c r="G766">
        <v>2262</v>
      </c>
      <c r="H766" t="s">
        <v>1740</v>
      </c>
    </row>
    <row r="767" spans="7:8" x14ac:dyDescent="0.25">
      <c r="G767">
        <v>2267</v>
      </c>
      <c r="H767" t="s">
        <v>1741</v>
      </c>
    </row>
    <row r="768" spans="7:8" x14ac:dyDescent="0.25">
      <c r="G768">
        <v>2271</v>
      </c>
      <c r="H768" t="s">
        <v>1742</v>
      </c>
    </row>
    <row r="769" spans="7:8" x14ac:dyDescent="0.25">
      <c r="G769">
        <v>2274</v>
      </c>
      <c r="H769" t="s">
        <v>1743</v>
      </c>
    </row>
    <row r="770" spans="7:8" x14ac:dyDescent="0.25">
      <c r="G770">
        <v>2282</v>
      </c>
      <c r="H770" t="s">
        <v>1744</v>
      </c>
    </row>
    <row r="771" spans="7:8" x14ac:dyDescent="0.25">
      <c r="G771">
        <v>2581</v>
      </c>
      <c r="H771" t="s">
        <v>1745</v>
      </c>
    </row>
    <row r="772" spans="7:8" x14ac:dyDescent="0.25">
      <c r="G772">
        <v>453</v>
      </c>
      <c r="H772" t="s">
        <v>1746</v>
      </c>
    </row>
    <row r="773" spans="7:8" x14ac:dyDescent="0.25">
      <c r="G773">
        <v>2353</v>
      </c>
      <c r="H773" t="s">
        <v>1747</v>
      </c>
    </row>
    <row r="774" spans="7:8" x14ac:dyDescent="0.25">
      <c r="G774">
        <v>468</v>
      </c>
      <c r="H774" t="s">
        <v>70</v>
      </c>
    </row>
    <row r="775" spans="7:8" x14ac:dyDescent="0.25">
      <c r="G775">
        <v>1132</v>
      </c>
      <c r="H775" t="s">
        <v>1748</v>
      </c>
    </row>
    <row r="776" spans="7:8" x14ac:dyDescent="0.25">
      <c r="G776">
        <v>521</v>
      </c>
      <c r="H776" t="s">
        <v>1749</v>
      </c>
    </row>
    <row r="777" spans="7:8" x14ac:dyDescent="0.25">
      <c r="G777">
        <v>1167</v>
      </c>
      <c r="H777" t="s">
        <v>1750</v>
      </c>
    </row>
    <row r="778" spans="7:8" x14ac:dyDescent="0.25">
      <c r="G778">
        <v>1168</v>
      </c>
      <c r="H778" t="s">
        <v>1751</v>
      </c>
    </row>
    <row r="779" spans="7:8" x14ac:dyDescent="0.25">
      <c r="G779">
        <v>1165</v>
      </c>
      <c r="H779" t="s">
        <v>1752</v>
      </c>
    </row>
    <row r="780" spans="7:8" x14ac:dyDescent="0.25">
      <c r="G780">
        <v>2405</v>
      </c>
      <c r="H780" t="s">
        <v>1753</v>
      </c>
    </row>
    <row r="781" spans="7:8" x14ac:dyDescent="0.25">
      <c r="G781">
        <v>2411</v>
      </c>
      <c r="H781" t="s">
        <v>1754</v>
      </c>
    </row>
    <row r="782" spans="7:8" x14ac:dyDescent="0.25">
      <c r="G782">
        <v>1942</v>
      </c>
      <c r="H782" t="s">
        <v>1755</v>
      </c>
    </row>
    <row r="783" spans="7:8" x14ac:dyDescent="0.25">
      <c r="G783">
        <v>1947</v>
      </c>
      <c r="H783" t="s">
        <v>1756</v>
      </c>
    </row>
    <row r="784" spans="7:8" x14ac:dyDescent="0.25">
      <c r="G784">
        <v>1951</v>
      </c>
      <c r="H784" t="s">
        <v>1757</v>
      </c>
    </row>
    <row r="785" spans="7:8" x14ac:dyDescent="0.25">
      <c r="G785">
        <v>1956</v>
      </c>
      <c r="H785" t="s">
        <v>1758</v>
      </c>
    </row>
    <row r="786" spans="7:8" x14ac:dyDescent="0.25">
      <c r="G786">
        <v>1959</v>
      </c>
      <c r="H786" t="s">
        <v>1759</v>
      </c>
    </row>
    <row r="787" spans="7:8" x14ac:dyDescent="0.25">
      <c r="G787">
        <v>1964</v>
      </c>
      <c r="H787" t="s">
        <v>1760</v>
      </c>
    </row>
    <row r="788" spans="7:8" x14ac:dyDescent="0.25">
      <c r="G788">
        <v>1968</v>
      </c>
      <c r="H788" t="s">
        <v>1761</v>
      </c>
    </row>
    <row r="789" spans="7:8" x14ac:dyDescent="0.25">
      <c r="G789">
        <v>1972</v>
      </c>
      <c r="H789" t="s">
        <v>1762</v>
      </c>
    </row>
    <row r="790" spans="7:8" x14ac:dyDescent="0.25">
      <c r="G790">
        <v>1977</v>
      </c>
      <c r="H790" t="s">
        <v>1763</v>
      </c>
    </row>
    <row r="791" spans="7:8" x14ac:dyDescent="0.25">
      <c r="G791">
        <v>1981</v>
      </c>
      <c r="H791" t="s">
        <v>1764</v>
      </c>
    </row>
    <row r="792" spans="7:8" x14ac:dyDescent="0.25">
      <c r="G792">
        <v>1985</v>
      </c>
      <c r="H792" t="s">
        <v>1765</v>
      </c>
    </row>
    <row r="793" spans="7:8" x14ac:dyDescent="0.25">
      <c r="G793">
        <v>1990</v>
      </c>
      <c r="H793" t="s">
        <v>1766</v>
      </c>
    </row>
    <row r="794" spans="7:8" x14ac:dyDescent="0.25">
      <c r="G794">
        <v>1994</v>
      </c>
      <c r="H794" t="s">
        <v>1767</v>
      </c>
    </row>
    <row r="795" spans="7:8" x14ac:dyDescent="0.25">
      <c r="G795">
        <v>1997</v>
      </c>
      <c r="H795" t="s">
        <v>1768</v>
      </c>
    </row>
    <row r="796" spans="7:8" x14ac:dyDescent="0.25">
      <c r="G796">
        <v>2001</v>
      </c>
      <c r="H796" t="s">
        <v>1769</v>
      </c>
    </row>
    <row r="797" spans="7:8" x14ac:dyDescent="0.25">
      <c r="G797">
        <v>2005</v>
      </c>
      <c r="H797" t="s">
        <v>1770</v>
      </c>
    </row>
    <row r="798" spans="7:8" x14ac:dyDescent="0.25">
      <c r="G798">
        <v>2010</v>
      </c>
      <c r="H798" t="s">
        <v>1771</v>
      </c>
    </row>
    <row r="799" spans="7:8" x14ac:dyDescent="0.25">
      <c r="G799">
        <v>2018</v>
      </c>
      <c r="H799" t="s">
        <v>1772</v>
      </c>
    </row>
    <row r="800" spans="7:8" x14ac:dyDescent="0.25">
      <c r="G800">
        <v>2024</v>
      </c>
      <c r="H800" t="s">
        <v>1773</v>
      </c>
    </row>
    <row r="801" spans="7:8" x14ac:dyDescent="0.25">
      <c r="G801">
        <v>2028</v>
      </c>
      <c r="H801" t="s">
        <v>1774</v>
      </c>
    </row>
    <row r="802" spans="7:8" x14ac:dyDescent="0.25">
      <c r="G802">
        <v>2033</v>
      </c>
      <c r="H802" t="s">
        <v>1775</v>
      </c>
    </row>
    <row r="803" spans="7:8" x14ac:dyDescent="0.25">
      <c r="G803">
        <v>2036</v>
      </c>
      <c r="H803" t="s">
        <v>1776</v>
      </c>
    </row>
    <row r="804" spans="7:8" x14ac:dyDescent="0.25">
      <c r="G804">
        <v>2041</v>
      </c>
      <c r="H804" t="s">
        <v>1777</v>
      </c>
    </row>
    <row r="805" spans="7:8" x14ac:dyDescent="0.25">
      <c r="G805">
        <v>2046</v>
      </c>
      <c r="H805" t="s">
        <v>1778</v>
      </c>
    </row>
    <row r="806" spans="7:8" x14ac:dyDescent="0.25">
      <c r="G806">
        <v>1170</v>
      </c>
      <c r="H806" t="s">
        <v>1779</v>
      </c>
    </row>
    <row r="807" spans="7:8" x14ac:dyDescent="0.25">
      <c r="G807">
        <v>1166</v>
      </c>
      <c r="H807" t="s">
        <v>1780</v>
      </c>
    </row>
    <row r="808" spans="7:8" x14ac:dyDescent="0.25">
      <c r="G808">
        <v>1697</v>
      </c>
      <c r="H808" t="s">
        <v>1781</v>
      </c>
    </row>
    <row r="809" spans="7:8" x14ac:dyDescent="0.25">
      <c r="G809">
        <v>2416</v>
      </c>
      <c r="H809" t="s">
        <v>1781</v>
      </c>
    </row>
    <row r="810" spans="7:8" x14ac:dyDescent="0.25">
      <c r="G810">
        <v>2014</v>
      </c>
      <c r="H810" t="s">
        <v>1782</v>
      </c>
    </row>
    <row r="811" spans="7:8" x14ac:dyDescent="0.25">
      <c r="G811">
        <v>1717</v>
      </c>
      <c r="H811" t="s">
        <v>1782</v>
      </c>
    </row>
    <row r="812" spans="7:8" x14ac:dyDescent="0.25">
      <c r="G812">
        <v>2703</v>
      </c>
      <c r="H812" t="s">
        <v>1783</v>
      </c>
    </row>
    <row r="813" spans="7:8" x14ac:dyDescent="0.25">
      <c r="G813">
        <v>2066</v>
      </c>
      <c r="H813" t="s">
        <v>1784</v>
      </c>
    </row>
    <row r="814" spans="7:8" x14ac:dyDescent="0.25">
      <c r="G814">
        <v>2070</v>
      </c>
      <c r="H814" t="s">
        <v>1785</v>
      </c>
    </row>
    <row r="815" spans="7:8" x14ac:dyDescent="0.25">
      <c r="G815">
        <v>2073</v>
      </c>
      <c r="H815" t="s">
        <v>1786</v>
      </c>
    </row>
    <row r="816" spans="7:8" x14ac:dyDescent="0.25">
      <c r="G816">
        <v>2759</v>
      </c>
      <c r="H816" t="s">
        <v>1787</v>
      </c>
    </row>
    <row r="817" spans="7:8" x14ac:dyDescent="0.25">
      <c r="G817">
        <v>460</v>
      </c>
      <c r="H817" t="s">
        <v>1788</v>
      </c>
    </row>
    <row r="818" spans="7:8" x14ac:dyDescent="0.25">
      <c r="G818">
        <v>375</v>
      </c>
      <c r="H818" t="s">
        <v>1789</v>
      </c>
    </row>
    <row r="819" spans="7:8" x14ac:dyDescent="0.25">
      <c r="G819">
        <v>2599</v>
      </c>
      <c r="H819" t="s">
        <v>1790</v>
      </c>
    </row>
    <row r="820" spans="7:8" x14ac:dyDescent="0.25">
      <c r="G820">
        <v>1075</v>
      </c>
      <c r="H820" t="s">
        <v>1791</v>
      </c>
    </row>
    <row r="821" spans="7:8" x14ac:dyDescent="0.25">
      <c r="G821">
        <v>1413</v>
      </c>
      <c r="H821" t="s">
        <v>1792</v>
      </c>
    </row>
    <row r="822" spans="7:8" x14ac:dyDescent="0.25">
      <c r="G822">
        <v>2626</v>
      </c>
      <c r="H822" t="s">
        <v>1793</v>
      </c>
    </row>
    <row r="823" spans="7:8" x14ac:dyDescent="0.25">
      <c r="G823">
        <v>2096</v>
      </c>
      <c r="H823" t="s">
        <v>1794</v>
      </c>
    </row>
    <row r="824" spans="7:8" x14ac:dyDescent="0.25">
      <c r="G824">
        <v>1173</v>
      </c>
      <c r="H824" t="s">
        <v>1795</v>
      </c>
    </row>
    <row r="825" spans="7:8" x14ac:dyDescent="0.25">
      <c r="G825">
        <v>2651</v>
      </c>
      <c r="H825" t="s">
        <v>1796</v>
      </c>
    </row>
    <row r="826" spans="7:8" x14ac:dyDescent="0.25">
      <c r="G826">
        <v>201</v>
      </c>
      <c r="H826" t="s">
        <v>1797</v>
      </c>
    </row>
    <row r="827" spans="7:8" x14ac:dyDescent="0.25">
      <c r="G827">
        <v>1598</v>
      </c>
      <c r="H827" t="s">
        <v>1798</v>
      </c>
    </row>
    <row r="828" spans="7:8" x14ac:dyDescent="0.25">
      <c r="G828">
        <v>1061</v>
      </c>
      <c r="H828" t="s">
        <v>1799</v>
      </c>
    </row>
    <row r="829" spans="7:8" x14ac:dyDescent="0.25">
      <c r="G829">
        <v>202</v>
      </c>
      <c r="H829" t="s">
        <v>1800</v>
      </c>
    </row>
    <row r="830" spans="7:8" x14ac:dyDescent="0.25">
      <c r="G830">
        <v>462</v>
      </c>
      <c r="H830" t="s">
        <v>1801</v>
      </c>
    </row>
    <row r="831" spans="7:8" x14ac:dyDescent="0.25">
      <c r="G831">
        <v>350</v>
      </c>
      <c r="H831" t="s">
        <v>1802</v>
      </c>
    </row>
    <row r="832" spans="7:8" x14ac:dyDescent="0.25">
      <c r="G832">
        <v>351</v>
      </c>
      <c r="H832" t="s">
        <v>1803</v>
      </c>
    </row>
    <row r="833" spans="7:8" x14ac:dyDescent="0.25">
      <c r="G833">
        <v>2131</v>
      </c>
      <c r="H833" t="s">
        <v>1804</v>
      </c>
    </row>
    <row r="834" spans="7:8" x14ac:dyDescent="0.25">
      <c r="G834">
        <v>2580</v>
      </c>
      <c r="H834" t="s">
        <v>1805</v>
      </c>
    </row>
    <row r="835" spans="7:8" x14ac:dyDescent="0.25">
      <c r="G835">
        <v>341</v>
      </c>
      <c r="H835" t="s">
        <v>1806</v>
      </c>
    </row>
    <row r="836" spans="7:8" x14ac:dyDescent="0.25">
      <c r="G836">
        <v>2143</v>
      </c>
      <c r="H836" t="s">
        <v>1807</v>
      </c>
    </row>
    <row r="837" spans="7:8" x14ac:dyDescent="0.25">
      <c r="G837">
        <v>2147</v>
      </c>
      <c r="H837" t="s">
        <v>1808</v>
      </c>
    </row>
    <row r="838" spans="7:8" x14ac:dyDescent="0.25">
      <c r="G838">
        <v>2682</v>
      </c>
      <c r="H838" t="s">
        <v>1809</v>
      </c>
    </row>
    <row r="839" spans="7:8" x14ac:dyDescent="0.25">
      <c r="G839">
        <v>530</v>
      </c>
      <c r="H839" t="s">
        <v>1810</v>
      </c>
    </row>
    <row r="840" spans="7:8" x14ac:dyDescent="0.25">
      <c r="G840">
        <v>2570</v>
      </c>
      <c r="H840" t="s">
        <v>1811</v>
      </c>
    </row>
    <row r="841" spans="7:8" x14ac:dyDescent="0.25">
      <c r="G841">
        <v>2163</v>
      </c>
      <c r="H841" t="s">
        <v>1812</v>
      </c>
    </row>
    <row r="842" spans="7:8" x14ac:dyDescent="0.25">
      <c r="G842">
        <v>2171</v>
      </c>
      <c r="H842" t="s">
        <v>1813</v>
      </c>
    </row>
    <row r="843" spans="7:8" x14ac:dyDescent="0.25">
      <c r="G843">
        <v>2167</v>
      </c>
      <c r="H843" t="s">
        <v>1814</v>
      </c>
    </row>
    <row r="844" spans="7:8" x14ac:dyDescent="0.25">
      <c r="G844">
        <v>2177</v>
      </c>
      <c r="H844" t="s">
        <v>1815</v>
      </c>
    </row>
    <row r="845" spans="7:8" x14ac:dyDescent="0.25">
      <c r="G845">
        <v>2663</v>
      </c>
      <c r="H845" t="s">
        <v>1816</v>
      </c>
    </row>
    <row r="846" spans="7:8" x14ac:dyDescent="0.25">
      <c r="G846">
        <v>359</v>
      </c>
      <c r="H846" t="s">
        <v>1817</v>
      </c>
    </row>
    <row r="847" spans="7:8" x14ac:dyDescent="0.25">
      <c r="G847">
        <v>1243</v>
      </c>
      <c r="H847" t="s">
        <v>1818</v>
      </c>
    </row>
    <row r="848" spans="7:8" x14ac:dyDescent="0.25">
      <c r="G848">
        <v>2704</v>
      </c>
      <c r="H848" t="s">
        <v>1819</v>
      </c>
    </row>
    <row r="849" spans="7:8" x14ac:dyDescent="0.25">
      <c r="G849">
        <v>205</v>
      </c>
      <c r="H849" t="s">
        <v>1820</v>
      </c>
    </row>
    <row r="850" spans="7:8" x14ac:dyDescent="0.25">
      <c r="G850">
        <v>465</v>
      </c>
      <c r="H850" t="s">
        <v>1821</v>
      </c>
    </row>
    <row r="851" spans="7:8" x14ac:dyDescent="0.25">
      <c r="G851">
        <v>1108</v>
      </c>
      <c r="H851" t="s">
        <v>1821</v>
      </c>
    </row>
    <row r="852" spans="7:8" x14ac:dyDescent="0.25">
      <c r="G852">
        <v>449</v>
      </c>
      <c r="H852" t="s">
        <v>1822</v>
      </c>
    </row>
    <row r="853" spans="7:8" x14ac:dyDescent="0.25">
      <c r="G853">
        <v>2214</v>
      </c>
      <c r="H853" t="s">
        <v>1823</v>
      </c>
    </row>
    <row r="854" spans="7:8" x14ac:dyDescent="0.25">
      <c r="G854">
        <v>1521</v>
      </c>
      <c r="H854" t="s">
        <v>1824</v>
      </c>
    </row>
    <row r="855" spans="7:8" x14ac:dyDescent="0.25">
      <c r="G855">
        <v>334</v>
      </c>
      <c r="H855" t="s">
        <v>1825</v>
      </c>
    </row>
    <row r="856" spans="7:8" x14ac:dyDescent="0.25">
      <c r="G856">
        <v>1214</v>
      </c>
      <c r="H856" t="s">
        <v>1826</v>
      </c>
    </row>
    <row r="857" spans="7:8" x14ac:dyDescent="0.25">
      <c r="G857">
        <v>2319</v>
      </c>
      <c r="H857" t="s">
        <v>1827</v>
      </c>
    </row>
    <row r="858" spans="7:8" x14ac:dyDescent="0.25">
      <c r="G858">
        <v>2323</v>
      </c>
      <c r="H858" t="s">
        <v>1828</v>
      </c>
    </row>
    <row r="859" spans="7:8" x14ac:dyDescent="0.25">
      <c r="G859">
        <v>2376</v>
      </c>
      <c r="H859" t="s">
        <v>1829</v>
      </c>
    </row>
    <row r="860" spans="7:8" x14ac:dyDescent="0.25">
      <c r="G860">
        <v>1600</v>
      </c>
      <c r="H860" t="s">
        <v>1830</v>
      </c>
    </row>
    <row r="861" spans="7:8" x14ac:dyDescent="0.25">
      <c r="G861">
        <v>2699</v>
      </c>
      <c r="H861" t="s">
        <v>1831</v>
      </c>
    </row>
    <row r="862" spans="7:8" x14ac:dyDescent="0.25">
      <c r="G862">
        <v>471</v>
      </c>
      <c r="H862" t="s">
        <v>1832</v>
      </c>
    </row>
    <row r="863" spans="7:8" x14ac:dyDescent="0.25">
      <c r="G863">
        <v>352</v>
      </c>
      <c r="H863" t="s">
        <v>1833</v>
      </c>
    </row>
    <row r="864" spans="7:8" x14ac:dyDescent="0.25">
      <c r="G864">
        <v>2396</v>
      </c>
      <c r="H864" t="s">
        <v>1834</v>
      </c>
    </row>
    <row r="865" spans="7:8" x14ac:dyDescent="0.25">
      <c r="G865">
        <v>2403</v>
      </c>
      <c r="H865" t="s">
        <v>1835</v>
      </c>
    </row>
    <row r="866" spans="7:8" x14ac:dyDescent="0.25">
      <c r="G866">
        <v>472</v>
      </c>
      <c r="H866" t="s">
        <v>1836</v>
      </c>
    </row>
    <row r="867" spans="7:8" x14ac:dyDescent="0.25">
      <c r="G867">
        <v>2408</v>
      </c>
      <c r="H867" t="s">
        <v>1837</v>
      </c>
    </row>
    <row r="868" spans="7:8" x14ac:dyDescent="0.25">
      <c r="G868">
        <v>2410</v>
      </c>
      <c r="H868" t="s">
        <v>1838</v>
      </c>
    </row>
    <row r="869" spans="7:8" x14ac:dyDescent="0.25">
      <c r="G869">
        <v>2622</v>
      </c>
      <c r="H869" t="s">
        <v>1839</v>
      </c>
    </row>
    <row r="870" spans="7:8" x14ac:dyDescent="0.25">
      <c r="G870">
        <v>2643</v>
      </c>
      <c r="H870" t="s">
        <v>1840</v>
      </c>
    </row>
    <row r="871" spans="7:8" x14ac:dyDescent="0.25">
      <c r="G871">
        <v>1592</v>
      </c>
      <c r="H871" t="s">
        <v>1841</v>
      </c>
    </row>
    <row r="872" spans="7:8" x14ac:dyDescent="0.25">
      <c r="G872">
        <v>2655</v>
      </c>
      <c r="H872" t="s">
        <v>1842</v>
      </c>
    </row>
    <row r="873" spans="7:8" x14ac:dyDescent="0.25">
      <c r="G873">
        <v>2374</v>
      </c>
      <c r="H873" t="s">
        <v>1843</v>
      </c>
    </row>
    <row r="874" spans="7:8" x14ac:dyDescent="0.25">
      <c r="G874">
        <v>2378</v>
      </c>
      <c r="H874" t="s">
        <v>1844</v>
      </c>
    </row>
    <row r="875" spans="7:8" x14ac:dyDescent="0.25">
      <c r="G875">
        <v>2638</v>
      </c>
      <c r="H875" t="s">
        <v>1845</v>
      </c>
    </row>
    <row r="876" spans="7:8" x14ac:dyDescent="0.25">
      <c r="G876">
        <v>236</v>
      </c>
      <c r="H876" t="s">
        <v>1846</v>
      </c>
    </row>
    <row r="877" spans="7:8" x14ac:dyDescent="0.25">
      <c r="G877">
        <v>2390</v>
      </c>
      <c r="H877" t="s">
        <v>1847</v>
      </c>
    </row>
    <row r="878" spans="7:8" x14ac:dyDescent="0.25">
      <c r="G878">
        <v>1222</v>
      </c>
      <c r="H878" t="s">
        <v>1848</v>
      </c>
    </row>
    <row r="879" spans="7:8" x14ac:dyDescent="0.25">
      <c r="G879">
        <v>253</v>
      </c>
      <c r="H879" t="s">
        <v>1849</v>
      </c>
    </row>
    <row r="880" spans="7:8" x14ac:dyDescent="0.25">
      <c r="G880">
        <v>254</v>
      </c>
      <c r="H880" t="s">
        <v>1850</v>
      </c>
    </row>
    <row r="881" spans="7:8" x14ac:dyDescent="0.25">
      <c r="G881">
        <v>255</v>
      </c>
      <c r="H881" t="s">
        <v>1851</v>
      </c>
    </row>
    <row r="882" spans="7:8" x14ac:dyDescent="0.25">
      <c r="G882">
        <v>380</v>
      </c>
      <c r="H882" t="s">
        <v>1852</v>
      </c>
    </row>
    <row r="883" spans="7:8" x14ac:dyDescent="0.25">
      <c r="G883">
        <v>2406</v>
      </c>
      <c r="H883" t="s">
        <v>1853</v>
      </c>
    </row>
    <row r="884" spans="7:8" x14ac:dyDescent="0.25">
      <c r="G884">
        <v>1149</v>
      </c>
      <c r="H884" t="s">
        <v>1854</v>
      </c>
    </row>
    <row r="885" spans="7:8" x14ac:dyDescent="0.25">
      <c r="G885">
        <v>256</v>
      </c>
      <c r="H885" t="s">
        <v>1855</v>
      </c>
    </row>
    <row r="886" spans="7:8" x14ac:dyDescent="0.25">
      <c r="G886">
        <v>2415</v>
      </c>
      <c r="H886" t="s">
        <v>1856</v>
      </c>
    </row>
    <row r="887" spans="7:8" x14ac:dyDescent="0.25">
      <c r="G887">
        <v>257</v>
      </c>
      <c r="H887" t="s">
        <v>1857</v>
      </c>
    </row>
    <row r="888" spans="7:8" x14ac:dyDescent="0.25">
      <c r="G888">
        <v>897</v>
      </c>
      <c r="H888" t="s">
        <v>1858</v>
      </c>
    </row>
    <row r="889" spans="7:8" x14ac:dyDescent="0.25">
      <c r="G889">
        <v>2423</v>
      </c>
      <c r="H889" t="s">
        <v>1858</v>
      </c>
    </row>
    <row r="890" spans="7:8" x14ac:dyDescent="0.25">
      <c r="G890">
        <v>895</v>
      </c>
      <c r="H890" t="s">
        <v>1859</v>
      </c>
    </row>
    <row r="891" spans="7:8" x14ac:dyDescent="0.25">
      <c r="G891">
        <v>2428</v>
      </c>
      <c r="H891" t="s">
        <v>1860</v>
      </c>
    </row>
    <row r="892" spans="7:8" x14ac:dyDescent="0.25">
      <c r="G892">
        <v>259</v>
      </c>
      <c r="H892" t="s">
        <v>1861</v>
      </c>
    </row>
    <row r="893" spans="7:8" x14ac:dyDescent="0.25">
      <c r="G893">
        <v>2430</v>
      </c>
      <c r="H893" t="s">
        <v>1862</v>
      </c>
    </row>
    <row r="894" spans="7:8" x14ac:dyDescent="0.25">
      <c r="G894">
        <v>1009</v>
      </c>
      <c r="H894" t="s">
        <v>1862</v>
      </c>
    </row>
    <row r="895" spans="7:8" x14ac:dyDescent="0.25">
      <c r="G895">
        <v>1207</v>
      </c>
      <c r="H895" t="s">
        <v>1863</v>
      </c>
    </row>
    <row r="896" spans="7:8" x14ac:dyDescent="0.25">
      <c r="G896">
        <v>1016</v>
      </c>
      <c r="H896" t="s">
        <v>1864</v>
      </c>
    </row>
    <row r="897" spans="7:8" x14ac:dyDescent="0.25">
      <c r="G897">
        <v>260</v>
      </c>
      <c r="H897" t="s">
        <v>1865</v>
      </c>
    </row>
    <row r="898" spans="7:8" x14ac:dyDescent="0.25">
      <c r="G898">
        <v>261</v>
      </c>
      <c r="H898" t="s">
        <v>1866</v>
      </c>
    </row>
    <row r="899" spans="7:8" x14ac:dyDescent="0.25">
      <c r="G899">
        <v>1220</v>
      </c>
      <c r="H899" t="s">
        <v>1867</v>
      </c>
    </row>
    <row r="900" spans="7:8" x14ac:dyDescent="0.25">
      <c r="G900">
        <v>896</v>
      </c>
      <c r="H900" t="s">
        <v>1868</v>
      </c>
    </row>
    <row r="901" spans="7:8" x14ac:dyDescent="0.25">
      <c r="G901">
        <v>262</v>
      </c>
      <c r="H901" t="s">
        <v>1869</v>
      </c>
    </row>
    <row r="902" spans="7:8" x14ac:dyDescent="0.25">
      <c r="G902">
        <v>899</v>
      </c>
      <c r="H902" t="s">
        <v>1870</v>
      </c>
    </row>
    <row r="903" spans="7:8" x14ac:dyDescent="0.25">
      <c r="G903">
        <v>2434</v>
      </c>
      <c r="H903" t="s">
        <v>1871</v>
      </c>
    </row>
    <row r="904" spans="7:8" x14ac:dyDescent="0.25">
      <c r="G904">
        <v>488</v>
      </c>
      <c r="H904" t="s">
        <v>1872</v>
      </c>
    </row>
    <row r="905" spans="7:8" x14ac:dyDescent="0.25">
      <c r="G905">
        <v>1193</v>
      </c>
      <c r="H905" t="s">
        <v>1873</v>
      </c>
    </row>
    <row r="906" spans="7:8" x14ac:dyDescent="0.25">
      <c r="G906">
        <v>339</v>
      </c>
      <c r="H906" t="s">
        <v>1874</v>
      </c>
    </row>
    <row r="907" spans="7:8" x14ac:dyDescent="0.25">
      <c r="G907">
        <v>2438</v>
      </c>
      <c r="H907" t="s">
        <v>1875</v>
      </c>
    </row>
    <row r="908" spans="7:8" x14ac:dyDescent="0.25">
      <c r="G908">
        <v>2439</v>
      </c>
      <c r="H908" t="s">
        <v>1876</v>
      </c>
    </row>
    <row r="909" spans="7:8" x14ac:dyDescent="0.25">
      <c r="G909">
        <v>2441</v>
      </c>
      <c r="H909" t="s">
        <v>1877</v>
      </c>
    </row>
    <row r="910" spans="7:8" x14ac:dyDescent="0.25">
      <c r="G910">
        <v>1119</v>
      </c>
      <c r="H910" t="s">
        <v>1878</v>
      </c>
    </row>
    <row r="911" spans="7:8" x14ac:dyDescent="0.25">
      <c r="G911">
        <v>2639</v>
      </c>
      <c r="H911" t="s">
        <v>1879</v>
      </c>
    </row>
    <row r="912" spans="7:8" x14ac:dyDescent="0.25">
      <c r="G912">
        <v>2446</v>
      </c>
      <c r="H912" t="s">
        <v>1880</v>
      </c>
    </row>
    <row r="913" spans="7:8" x14ac:dyDescent="0.25">
      <c r="G913">
        <v>494</v>
      </c>
      <c r="H913" t="s">
        <v>1881</v>
      </c>
    </row>
    <row r="914" spans="7:8" x14ac:dyDescent="0.25">
      <c r="G914">
        <v>2649</v>
      </c>
      <c r="H914" t="s">
        <v>1882</v>
      </c>
    </row>
    <row r="915" spans="7:8" x14ac:dyDescent="0.25">
      <c r="G915">
        <v>2448</v>
      </c>
      <c r="H915" t="s">
        <v>1883</v>
      </c>
    </row>
    <row r="916" spans="7:8" x14ac:dyDescent="0.25">
      <c r="G916">
        <v>1143</v>
      </c>
      <c r="H916" t="s">
        <v>1884</v>
      </c>
    </row>
    <row r="917" spans="7:8" x14ac:dyDescent="0.25">
      <c r="G917">
        <v>1208</v>
      </c>
      <c r="H917" t="s">
        <v>1885</v>
      </c>
    </row>
    <row r="918" spans="7:8" x14ac:dyDescent="0.25">
      <c r="G918">
        <v>2686</v>
      </c>
      <c r="H918" t="s">
        <v>1886</v>
      </c>
    </row>
    <row r="919" spans="7:8" x14ac:dyDescent="0.25">
      <c r="G919">
        <v>1011</v>
      </c>
      <c r="H919" t="s">
        <v>1887</v>
      </c>
    </row>
    <row r="920" spans="7:8" x14ac:dyDescent="0.25">
      <c r="G920">
        <v>900</v>
      </c>
      <c r="H920" t="s">
        <v>1888</v>
      </c>
    </row>
    <row r="921" spans="7:8" x14ac:dyDescent="0.25">
      <c r="G921">
        <v>402</v>
      </c>
      <c r="H921" t="s">
        <v>1889</v>
      </c>
    </row>
    <row r="922" spans="7:8" x14ac:dyDescent="0.25">
      <c r="G922">
        <v>2450</v>
      </c>
      <c r="H922" t="s">
        <v>1890</v>
      </c>
    </row>
    <row r="923" spans="7:8" x14ac:dyDescent="0.25">
      <c r="G923">
        <v>2538</v>
      </c>
      <c r="H923" t="s">
        <v>1891</v>
      </c>
    </row>
    <row r="924" spans="7:8" x14ac:dyDescent="0.25">
      <c r="G924">
        <v>1449</v>
      </c>
      <c r="H924" t="s">
        <v>1892</v>
      </c>
    </row>
    <row r="925" spans="7:8" x14ac:dyDescent="0.25">
      <c r="G925">
        <v>2552</v>
      </c>
      <c r="H925" t="s">
        <v>1893</v>
      </c>
    </row>
    <row r="926" spans="7:8" x14ac:dyDescent="0.25">
      <c r="G926">
        <v>1540</v>
      </c>
      <c r="H926" t="s">
        <v>1894</v>
      </c>
    </row>
    <row r="927" spans="7:8" x14ac:dyDescent="0.25">
      <c r="G927">
        <v>44</v>
      </c>
      <c r="H927" t="s">
        <v>1895</v>
      </c>
    </row>
    <row r="928" spans="7:8" x14ac:dyDescent="0.25">
      <c r="G928">
        <v>336</v>
      </c>
      <c r="H928" t="s">
        <v>1896</v>
      </c>
    </row>
    <row r="929" spans="7:8" x14ac:dyDescent="0.25">
      <c r="G929">
        <v>2544</v>
      </c>
      <c r="H929" t="s">
        <v>1897</v>
      </c>
    </row>
    <row r="930" spans="7:8" x14ac:dyDescent="0.25">
      <c r="G930">
        <v>1127</v>
      </c>
      <c r="H930" t="s">
        <v>1898</v>
      </c>
    </row>
    <row r="931" spans="7:8" x14ac:dyDescent="0.25">
      <c r="G931">
        <v>2473</v>
      </c>
      <c r="H931" t="s">
        <v>1899</v>
      </c>
    </row>
    <row r="932" spans="7:8" x14ac:dyDescent="0.25">
      <c r="G932">
        <v>2715</v>
      </c>
      <c r="H932" t="s">
        <v>1900</v>
      </c>
    </row>
    <row r="933" spans="7:8" x14ac:dyDescent="0.25">
      <c r="G933">
        <v>2716</v>
      </c>
      <c r="H933" t="s">
        <v>1901</v>
      </c>
    </row>
    <row r="934" spans="7:8" x14ac:dyDescent="0.25">
      <c r="G934">
        <v>2717</v>
      </c>
      <c r="H934" t="s">
        <v>1902</v>
      </c>
    </row>
    <row r="935" spans="7:8" x14ac:dyDescent="0.25">
      <c r="G935">
        <v>2718</v>
      </c>
      <c r="H935" t="s">
        <v>1903</v>
      </c>
    </row>
    <row r="936" spans="7:8" x14ac:dyDescent="0.25">
      <c r="G936">
        <v>2719</v>
      </c>
      <c r="H936" t="s">
        <v>1904</v>
      </c>
    </row>
    <row r="937" spans="7:8" x14ac:dyDescent="0.25">
      <c r="G937">
        <v>2720</v>
      </c>
      <c r="H937" t="s">
        <v>1905</v>
      </c>
    </row>
    <row r="938" spans="7:8" x14ac:dyDescent="0.25">
      <c r="G938">
        <v>2721</v>
      </c>
      <c r="H938" t="s">
        <v>1906</v>
      </c>
    </row>
    <row r="939" spans="7:8" x14ac:dyDescent="0.25">
      <c r="G939">
        <v>2722</v>
      </c>
      <c r="H939" t="s">
        <v>1907</v>
      </c>
    </row>
    <row r="940" spans="7:8" x14ac:dyDescent="0.25">
      <c r="G940">
        <v>2723</v>
      </c>
      <c r="H940" t="s">
        <v>1908</v>
      </c>
    </row>
    <row r="941" spans="7:8" x14ac:dyDescent="0.25">
      <c r="G941">
        <v>2724</v>
      </c>
      <c r="H941" t="s">
        <v>1909</v>
      </c>
    </row>
    <row r="942" spans="7:8" x14ac:dyDescent="0.25">
      <c r="G942">
        <v>2725</v>
      </c>
      <c r="H942" t="s">
        <v>1910</v>
      </c>
    </row>
    <row r="943" spans="7:8" x14ac:dyDescent="0.25">
      <c r="G943">
        <v>2726</v>
      </c>
      <c r="H943" t="s">
        <v>1911</v>
      </c>
    </row>
    <row r="944" spans="7:8" x14ac:dyDescent="0.25">
      <c r="G944">
        <v>2727</v>
      </c>
      <c r="H944" t="s">
        <v>1912</v>
      </c>
    </row>
    <row r="945" spans="7:8" x14ac:dyDescent="0.25">
      <c r="G945">
        <v>2728</v>
      </c>
      <c r="H945" t="s">
        <v>1913</v>
      </c>
    </row>
    <row r="946" spans="7:8" x14ac:dyDescent="0.25">
      <c r="G946">
        <v>2729</v>
      </c>
      <c r="H946" t="s">
        <v>1914</v>
      </c>
    </row>
    <row r="947" spans="7:8" x14ac:dyDescent="0.25">
      <c r="G947">
        <v>2731</v>
      </c>
      <c r="H947" t="s">
        <v>1915</v>
      </c>
    </row>
    <row r="948" spans="7:8" x14ac:dyDescent="0.25">
      <c r="G948">
        <v>2732</v>
      </c>
      <c r="H948" t="s">
        <v>1916</v>
      </c>
    </row>
    <row r="949" spans="7:8" x14ac:dyDescent="0.25">
      <c r="G949">
        <v>1063</v>
      </c>
      <c r="H949" t="s">
        <v>1917</v>
      </c>
    </row>
    <row r="950" spans="7:8" x14ac:dyDescent="0.25">
      <c r="G950">
        <v>2475</v>
      </c>
      <c r="H950" t="s">
        <v>1918</v>
      </c>
    </row>
    <row r="951" spans="7:8" x14ac:dyDescent="0.25">
      <c r="G951">
        <v>2476</v>
      </c>
      <c r="H951" t="s">
        <v>1919</v>
      </c>
    </row>
    <row r="952" spans="7:8" x14ac:dyDescent="0.25">
      <c r="G952">
        <v>1529</v>
      </c>
      <c r="H952" t="s">
        <v>1920</v>
      </c>
    </row>
    <row r="953" spans="7:8" x14ac:dyDescent="0.25">
      <c r="G953">
        <v>233</v>
      </c>
      <c r="H953" t="s">
        <v>1921</v>
      </c>
    </row>
    <row r="954" spans="7:8" x14ac:dyDescent="0.25">
      <c r="G954">
        <v>1617</v>
      </c>
      <c r="H954" t="s">
        <v>1922</v>
      </c>
    </row>
    <row r="955" spans="7:8" x14ac:dyDescent="0.25">
      <c r="G955">
        <v>1209</v>
      </c>
      <c r="H955" t="s">
        <v>1923</v>
      </c>
    </row>
    <row r="956" spans="7:8" x14ac:dyDescent="0.25">
      <c r="G956">
        <v>1194</v>
      </c>
      <c r="H956" t="s">
        <v>1924</v>
      </c>
    </row>
    <row r="957" spans="7:8" x14ac:dyDescent="0.25">
      <c r="G957">
        <v>1567</v>
      </c>
      <c r="H957" t="s">
        <v>1925</v>
      </c>
    </row>
    <row r="958" spans="7:8" x14ac:dyDescent="0.25">
      <c r="G958">
        <v>1145</v>
      </c>
      <c r="H958" t="s">
        <v>1926</v>
      </c>
    </row>
    <row r="959" spans="7:8" x14ac:dyDescent="0.25">
      <c r="G959">
        <v>1211</v>
      </c>
      <c r="H959" t="s">
        <v>1927</v>
      </c>
    </row>
    <row r="960" spans="7:8" x14ac:dyDescent="0.25">
      <c r="G960">
        <v>523</v>
      </c>
      <c r="H960" t="s">
        <v>1928</v>
      </c>
    </row>
    <row r="961" spans="7:8" x14ac:dyDescent="0.25">
      <c r="G961">
        <v>1054</v>
      </c>
      <c r="H961" t="s">
        <v>1929</v>
      </c>
    </row>
    <row r="962" spans="7:8" x14ac:dyDescent="0.25">
      <c r="G962">
        <v>1221</v>
      </c>
      <c r="H962" t="s">
        <v>1930</v>
      </c>
    </row>
    <row r="963" spans="7:8" x14ac:dyDescent="0.25">
      <c r="G963">
        <v>484</v>
      </c>
      <c r="H963" t="s">
        <v>1931</v>
      </c>
    </row>
    <row r="964" spans="7:8" x14ac:dyDescent="0.25">
      <c r="G964">
        <v>1055</v>
      </c>
      <c r="H964" t="s">
        <v>1932</v>
      </c>
    </row>
    <row r="965" spans="7:8" x14ac:dyDescent="0.25">
      <c r="G965">
        <v>1223</v>
      </c>
      <c r="H965" t="s">
        <v>1933</v>
      </c>
    </row>
    <row r="966" spans="7:8" x14ac:dyDescent="0.25">
      <c r="G966">
        <v>485</v>
      </c>
      <c r="H966" t="s">
        <v>1934</v>
      </c>
    </row>
    <row r="967" spans="7:8" x14ac:dyDescent="0.25">
      <c r="G967">
        <v>1146</v>
      </c>
      <c r="H967" t="s">
        <v>1935</v>
      </c>
    </row>
    <row r="968" spans="7:8" x14ac:dyDescent="0.25">
      <c r="G968">
        <v>1213</v>
      </c>
      <c r="H968" t="s">
        <v>1936</v>
      </c>
    </row>
    <row r="969" spans="7:8" x14ac:dyDescent="0.25">
      <c r="G969">
        <v>486</v>
      </c>
      <c r="H969" t="s">
        <v>1937</v>
      </c>
    </row>
    <row r="970" spans="7:8" x14ac:dyDescent="0.25">
      <c r="G970">
        <v>1013</v>
      </c>
      <c r="H970" t="s">
        <v>1938</v>
      </c>
    </row>
    <row r="971" spans="7:8" x14ac:dyDescent="0.25">
      <c r="G971">
        <v>1066</v>
      </c>
      <c r="H971" t="s">
        <v>1046</v>
      </c>
    </row>
    <row r="972" spans="7:8" x14ac:dyDescent="0.25">
      <c r="G972">
        <v>2486</v>
      </c>
      <c r="H972" t="s">
        <v>1939</v>
      </c>
    </row>
    <row r="973" spans="7:8" x14ac:dyDescent="0.25">
      <c r="G973">
        <v>1552</v>
      </c>
      <c r="H973" t="s">
        <v>1940</v>
      </c>
    </row>
    <row r="974" spans="7:8" x14ac:dyDescent="0.25">
      <c r="G974">
        <v>2488</v>
      </c>
      <c r="H974" t="s">
        <v>1941</v>
      </c>
    </row>
    <row r="975" spans="7:8" x14ac:dyDescent="0.25">
      <c r="G975">
        <v>1103</v>
      </c>
      <c r="H975" t="s">
        <v>1942</v>
      </c>
    </row>
    <row r="976" spans="7:8" x14ac:dyDescent="0.25">
      <c r="G976">
        <v>2490</v>
      </c>
      <c r="H976" t="s">
        <v>1943</v>
      </c>
    </row>
    <row r="977" spans="7:8" x14ac:dyDescent="0.25">
      <c r="G977">
        <v>2681</v>
      </c>
      <c r="H977" t="s">
        <v>1944</v>
      </c>
    </row>
    <row r="978" spans="7:8" x14ac:dyDescent="0.25">
      <c r="G978">
        <v>2498</v>
      </c>
      <c r="H978" t="s">
        <v>1945</v>
      </c>
    </row>
    <row r="979" spans="7:8" x14ac:dyDescent="0.25">
      <c r="G979">
        <v>2500</v>
      </c>
      <c r="H979" t="s">
        <v>1946</v>
      </c>
    </row>
    <row r="980" spans="7:8" x14ac:dyDescent="0.25">
      <c r="G980">
        <v>2501</v>
      </c>
      <c r="H980" t="s">
        <v>1947</v>
      </c>
    </row>
    <row r="981" spans="7:8" x14ac:dyDescent="0.25">
      <c r="G981">
        <v>2502</v>
      </c>
      <c r="H981" t="s">
        <v>1948</v>
      </c>
    </row>
    <row r="982" spans="7:8" x14ac:dyDescent="0.25">
      <c r="G982">
        <v>2503</v>
      </c>
      <c r="H982" t="s">
        <v>1949</v>
      </c>
    </row>
    <row r="983" spans="7:8" x14ac:dyDescent="0.25">
      <c r="G983">
        <v>2504</v>
      </c>
      <c r="H983" t="s">
        <v>1950</v>
      </c>
    </row>
    <row r="984" spans="7:8" x14ac:dyDescent="0.25">
      <c r="G984">
        <v>2505</v>
      </c>
      <c r="H984" t="s">
        <v>1951</v>
      </c>
    </row>
    <row r="985" spans="7:8" x14ac:dyDescent="0.25">
      <c r="G985">
        <v>2506</v>
      </c>
      <c r="H985" t="s">
        <v>1952</v>
      </c>
    </row>
    <row r="986" spans="7:8" x14ac:dyDescent="0.25">
      <c r="G986">
        <v>2507</v>
      </c>
      <c r="H986" t="s">
        <v>1953</v>
      </c>
    </row>
    <row r="987" spans="7:8" x14ac:dyDescent="0.25">
      <c r="G987">
        <v>2497</v>
      </c>
      <c r="H987" t="s">
        <v>1954</v>
      </c>
    </row>
    <row r="988" spans="7:8" x14ac:dyDescent="0.25">
      <c r="G988">
        <v>1566</v>
      </c>
      <c r="H988" t="s">
        <v>1955</v>
      </c>
    </row>
    <row r="989" spans="7:8" x14ac:dyDescent="0.25">
      <c r="G989">
        <v>2371</v>
      </c>
      <c r="H989" t="s">
        <v>1956</v>
      </c>
    </row>
    <row r="990" spans="7:8" x14ac:dyDescent="0.25">
      <c r="G990">
        <v>2375</v>
      </c>
      <c r="H990" t="s">
        <v>1957</v>
      </c>
    </row>
    <row r="991" spans="7:8" x14ac:dyDescent="0.25">
      <c r="G991">
        <v>2692</v>
      </c>
      <c r="H991" t="s">
        <v>1958</v>
      </c>
    </row>
    <row r="992" spans="7:8" x14ac:dyDescent="0.25">
      <c r="G992">
        <v>2384</v>
      </c>
      <c r="H992" t="s">
        <v>1959</v>
      </c>
    </row>
    <row r="993" spans="7:8" x14ac:dyDescent="0.25">
      <c r="G993">
        <v>2606</v>
      </c>
      <c r="H993" t="s">
        <v>1960</v>
      </c>
    </row>
    <row r="994" spans="7:8" x14ac:dyDescent="0.25">
      <c r="G994">
        <v>490</v>
      </c>
      <c r="H994" t="s">
        <v>1961</v>
      </c>
    </row>
    <row r="995" spans="7:8" x14ac:dyDescent="0.25">
      <c r="G995">
        <v>60</v>
      </c>
      <c r="H995" t="s">
        <v>1962</v>
      </c>
    </row>
    <row r="996" spans="7:8" x14ac:dyDescent="0.25">
      <c r="G996">
        <v>2401</v>
      </c>
      <c r="H996" t="s">
        <v>1963</v>
      </c>
    </row>
    <row r="997" spans="7:8" x14ac:dyDescent="0.25">
      <c r="G997">
        <v>541</v>
      </c>
      <c r="H997" t="s">
        <v>1964</v>
      </c>
    </row>
    <row r="998" spans="7:8" x14ac:dyDescent="0.25">
      <c r="G998">
        <v>1608</v>
      </c>
      <c r="H998" t="s">
        <v>1965</v>
      </c>
    </row>
    <row r="999" spans="7:8" x14ac:dyDescent="0.25">
      <c r="G999">
        <v>403</v>
      </c>
      <c r="H999" t="s">
        <v>1966</v>
      </c>
    </row>
    <row r="1000" spans="7:8" x14ac:dyDescent="0.25">
      <c r="G1000">
        <v>2431</v>
      </c>
      <c r="H1000" t="s">
        <v>1967</v>
      </c>
    </row>
    <row r="1001" spans="7:8" x14ac:dyDescent="0.25">
      <c r="G1001">
        <v>1503</v>
      </c>
      <c r="H1001" t="s">
        <v>1968</v>
      </c>
    </row>
    <row r="1002" spans="7:8" x14ac:dyDescent="0.25">
      <c r="G1002">
        <v>2432</v>
      </c>
      <c r="H1002" t="s">
        <v>1969</v>
      </c>
    </row>
    <row r="1003" spans="7:8" x14ac:dyDescent="0.25">
      <c r="G1003">
        <v>36</v>
      </c>
      <c r="H1003" t="s">
        <v>1970</v>
      </c>
    </row>
    <row r="1004" spans="7:8" x14ac:dyDescent="0.25">
      <c r="G1004">
        <v>1733</v>
      </c>
      <c r="H1004" t="s">
        <v>1971</v>
      </c>
    </row>
    <row r="1005" spans="7:8" x14ac:dyDescent="0.25">
      <c r="G1005">
        <v>2436</v>
      </c>
      <c r="H1005" t="s">
        <v>1972</v>
      </c>
    </row>
    <row r="1006" spans="7:8" x14ac:dyDescent="0.25">
      <c r="G1006">
        <v>2437</v>
      </c>
      <c r="H1006" t="s">
        <v>1973</v>
      </c>
    </row>
    <row r="1007" spans="7:8" x14ac:dyDescent="0.25">
      <c r="G1007">
        <v>2549</v>
      </c>
      <c r="H1007" t="s">
        <v>1974</v>
      </c>
    </row>
    <row r="1008" spans="7:8" x14ac:dyDescent="0.25">
      <c r="G1008">
        <v>1756</v>
      </c>
      <c r="H1008" t="s">
        <v>1975</v>
      </c>
    </row>
  </sheetData>
  <pageMargins left="0.511811024" right="0.511811024" top="0.78740157499999996" bottom="0.78740157499999996" header="0.31496062000000002" footer="0.31496062000000002"/>
  <tableParts count="2">
    <tablePart r:id="rId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N9"/>
  <sheetViews>
    <sheetView showGridLines="0" zoomScale="85" zoomScaleNormal="85" workbookViewId="0">
      <pane xSplit="1" ySplit="3" topLeftCell="B4" activePane="bottomRight" state="frozen"/>
      <selection pane="topRight" activeCell="B1" sqref="B1"/>
      <selection pane="bottomLeft" activeCell="A2" sqref="A2"/>
      <selection pane="bottomRight" activeCell="A3" sqref="A3"/>
    </sheetView>
  </sheetViews>
  <sheetFormatPr defaultRowHeight="15" x14ac:dyDescent="0.25"/>
  <cols>
    <col min="1" max="1" width="17.42578125" customWidth="1"/>
    <col min="2" max="8" width="24.42578125" customWidth="1"/>
    <col min="9" max="9" width="25.140625" customWidth="1"/>
    <col min="10" max="14" width="24.42578125" customWidth="1"/>
  </cols>
  <sheetData>
    <row r="1" spans="1:14" ht="15.75" x14ac:dyDescent="0.25">
      <c r="A1" s="195" t="s">
        <v>1976</v>
      </c>
    </row>
    <row r="2" spans="1:14" ht="15.75" thickBot="1" x14ac:dyDescent="0.3"/>
    <row r="3" spans="1:14" s="202" customFormat="1" ht="45" x14ac:dyDescent="0.25">
      <c r="A3" s="196" t="s">
        <v>928</v>
      </c>
      <c r="B3" s="197" t="s">
        <v>5</v>
      </c>
      <c r="C3" s="197" t="s">
        <v>1977</v>
      </c>
      <c r="D3" s="197" t="s">
        <v>1978</v>
      </c>
      <c r="E3" s="197" t="s">
        <v>1979</v>
      </c>
      <c r="F3" s="197" t="s">
        <v>1980</v>
      </c>
      <c r="G3" s="197" t="s">
        <v>1981</v>
      </c>
      <c r="H3" s="198" t="s">
        <v>1982</v>
      </c>
      <c r="I3" s="199" t="s">
        <v>1983</v>
      </c>
      <c r="J3" s="199" t="s">
        <v>1984</v>
      </c>
      <c r="K3" s="200" t="s">
        <v>1985</v>
      </c>
      <c r="L3" s="200" t="s">
        <v>1986</v>
      </c>
      <c r="M3" s="197" t="s">
        <v>1987</v>
      </c>
      <c r="N3" s="201" t="s">
        <v>1988</v>
      </c>
    </row>
    <row r="4" spans="1:14" s="208" customFormat="1" ht="48" customHeight="1" x14ac:dyDescent="0.25">
      <c r="A4" s="203" t="str">
        <f>IF(Macro!B3="","",Macro!B3)</f>
        <v/>
      </c>
      <c r="B4" s="203" t="str">
        <f>TEXT(Macro!D3,)</f>
        <v/>
      </c>
      <c r="C4" s="203"/>
      <c r="D4" s="204"/>
      <c r="E4" s="204"/>
      <c r="F4" s="205"/>
      <c r="G4" s="206"/>
      <c r="H4" s="206"/>
      <c r="I4" s="206"/>
      <c r="J4" s="206"/>
      <c r="K4" s="206"/>
      <c r="L4" s="206"/>
      <c r="M4" s="207"/>
      <c r="N4" s="207"/>
    </row>
    <row r="5" spans="1:14" x14ac:dyDescent="0.25">
      <c r="C5" s="209"/>
      <c r="H5" s="210"/>
      <c r="I5" s="210"/>
      <c r="J5" s="210"/>
      <c r="K5" s="210"/>
      <c r="L5" s="210"/>
    </row>
    <row r="6" spans="1:14" x14ac:dyDescent="0.25">
      <c r="H6" s="210"/>
      <c r="I6" s="210"/>
      <c r="J6" s="210"/>
      <c r="K6" s="210"/>
      <c r="L6" s="210"/>
    </row>
    <row r="7" spans="1:14" x14ac:dyDescent="0.25">
      <c r="H7" s="210"/>
      <c r="I7" s="210"/>
      <c r="J7" s="210"/>
      <c r="K7" s="210"/>
      <c r="L7" s="210"/>
    </row>
    <row r="8" spans="1:14" x14ac:dyDescent="0.25">
      <c r="H8" s="210"/>
      <c r="I8" s="210"/>
      <c r="J8" s="210"/>
      <c r="K8" s="210"/>
      <c r="L8" s="210"/>
    </row>
    <row r="9" spans="1:14" x14ac:dyDescent="0.25">
      <c r="H9" s="210"/>
      <c r="I9" s="210"/>
      <c r="J9" s="210"/>
      <c r="K9" s="210"/>
      <c r="L9" s="210"/>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Voltar" altText="Voltar a tabela de preenchimento da Macro Estimativa">
                <anchor moveWithCells="1" sizeWithCells="1">
                  <from>
                    <xdr:col>0</xdr:col>
                    <xdr:colOff>200025</xdr:colOff>
                    <xdr:row>15</xdr:row>
                    <xdr:rowOff>76200</xdr:rowOff>
                  </from>
                  <to>
                    <xdr:col>0</xdr:col>
                    <xdr:colOff>1076325</xdr:colOff>
                    <xdr:row>16</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H35"/>
  <sheetViews>
    <sheetView showGridLines="0" zoomScale="85" zoomScaleNormal="85" workbookViewId="0">
      <selection activeCell="H5" sqref="H5"/>
    </sheetView>
  </sheetViews>
  <sheetFormatPr defaultRowHeight="15" x14ac:dyDescent="0.25"/>
  <cols>
    <col min="2" max="2" width="14.85546875" customWidth="1"/>
    <col min="3" max="3" width="68.28515625" customWidth="1"/>
    <col min="4" max="4" width="35.5703125" bestFit="1" customWidth="1"/>
  </cols>
  <sheetData>
    <row r="1" spans="1:8" x14ac:dyDescent="0.25">
      <c r="H1" s="211" t="s">
        <v>1989</v>
      </c>
    </row>
    <row r="2" spans="1:8" x14ac:dyDescent="0.25">
      <c r="C2" s="212"/>
    </row>
    <row r="3" spans="1:8" ht="15.75" x14ac:dyDescent="0.25">
      <c r="C3" s="213" t="s">
        <v>1990</v>
      </c>
    </row>
    <row r="5" spans="1:8" ht="15.75" thickBot="1" x14ac:dyDescent="0.3"/>
    <row r="6" spans="1:8" ht="16.5" thickTop="1" thickBot="1" x14ac:dyDescent="0.3">
      <c r="A6" s="243" t="s">
        <v>1991</v>
      </c>
      <c r="B6" s="244"/>
      <c r="C6" s="244"/>
      <c r="D6" s="244"/>
    </row>
    <row r="7" spans="1:8" ht="15.75" thickTop="1" x14ac:dyDescent="0.25">
      <c r="A7" s="214" t="s">
        <v>1992</v>
      </c>
      <c r="B7" s="215" t="s">
        <v>1993</v>
      </c>
      <c r="C7" s="215" t="s">
        <v>1994</v>
      </c>
      <c r="D7" s="216" t="s">
        <v>1995</v>
      </c>
    </row>
    <row r="8" spans="1:8" x14ac:dyDescent="0.25">
      <c r="A8" s="217">
        <v>1</v>
      </c>
      <c r="B8" s="218">
        <v>41487</v>
      </c>
      <c r="C8" s="219" t="s">
        <v>1996</v>
      </c>
      <c r="D8" s="219" t="s">
        <v>1997</v>
      </c>
    </row>
    <row r="9" spans="1:8" x14ac:dyDescent="0.25">
      <c r="A9" s="217">
        <v>2</v>
      </c>
      <c r="B9" s="218">
        <v>41653</v>
      </c>
      <c r="C9" s="219" t="s">
        <v>1998</v>
      </c>
      <c r="D9" s="219" t="s">
        <v>1999</v>
      </c>
    </row>
    <row r="10" spans="1:8" x14ac:dyDescent="0.25">
      <c r="A10" s="217">
        <v>3</v>
      </c>
      <c r="B10" s="218">
        <v>41698</v>
      </c>
      <c r="C10" s="219" t="s">
        <v>2000</v>
      </c>
      <c r="D10" s="219" t="s">
        <v>2001</v>
      </c>
    </row>
    <row r="11" spans="1:8" x14ac:dyDescent="0.25">
      <c r="A11" s="217">
        <v>4</v>
      </c>
      <c r="B11" s="218">
        <v>41708</v>
      </c>
      <c r="C11" s="219" t="s">
        <v>2002</v>
      </c>
      <c r="D11" s="219" t="s">
        <v>2003</v>
      </c>
    </row>
    <row r="12" spans="1:8" x14ac:dyDescent="0.25">
      <c r="A12" s="217">
        <v>5</v>
      </c>
      <c r="B12" s="218">
        <v>41710</v>
      </c>
      <c r="C12" s="219" t="s">
        <v>2004</v>
      </c>
      <c r="D12" s="219" t="s">
        <v>2005</v>
      </c>
    </row>
    <row r="13" spans="1:8" x14ac:dyDescent="0.25">
      <c r="A13" s="217">
        <v>6</v>
      </c>
      <c r="B13" s="218">
        <v>41710</v>
      </c>
      <c r="C13" s="219" t="s">
        <v>2006</v>
      </c>
      <c r="D13" s="219" t="s">
        <v>2007</v>
      </c>
    </row>
    <row r="14" spans="1:8" x14ac:dyDescent="0.25">
      <c r="A14" s="217">
        <v>7</v>
      </c>
      <c r="B14" s="218">
        <v>41710</v>
      </c>
      <c r="C14" s="219" t="s">
        <v>2008</v>
      </c>
      <c r="D14" s="219" t="s">
        <v>2007</v>
      </c>
    </row>
    <row r="15" spans="1:8" x14ac:dyDescent="0.25">
      <c r="A15" s="217">
        <v>8</v>
      </c>
      <c r="B15" s="218">
        <v>41725</v>
      </c>
      <c r="C15" s="219" t="s">
        <v>2009</v>
      </c>
      <c r="D15" s="219" t="s">
        <v>2007</v>
      </c>
    </row>
    <row r="16" spans="1:8" x14ac:dyDescent="0.25">
      <c r="A16" s="217" t="s">
        <v>2010</v>
      </c>
      <c r="B16" s="218">
        <v>41725</v>
      </c>
      <c r="C16" s="219" t="s">
        <v>2011</v>
      </c>
      <c r="D16" s="219" t="s">
        <v>2007</v>
      </c>
    </row>
    <row r="17" spans="1:4" x14ac:dyDescent="0.25">
      <c r="A17" s="217">
        <v>9</v>
      </c>
      <c r="B17" s="218">
        <v>41729</v>
      </c>
      <c r="C17" s="219" t="s">
        <v>2012</v>
      </c>
      <c r="D17" s="219" t="s">
        <v>2013</v>
      </c>
    </row>
    <row r="18" spans="1:4" x14ac:dyDescent="0.25">
      <c r="A18" s="217">
        <v>10</v>
      </c>
      <c r="B18" s="218">
        <v>41730</v>
      </c>
      <c r="C18" s="219" t="s">
        <v>2014</v>
      </c>
      <c r="D18" s="219" t="s">
        <v>2015</v>
      </c>
    </row>
    <row r="19" spans="1:4" x14ac:dyDescent="0.25">
      <c r="A19" s="217">
        <v>11</v>
      </c>
      <c r="B19" s="218">
        <v>41740</v>
      </c>
      <c r="C19" s="219" t="s">
        <v>2016</v>
      </c>
      <c r="D19" s="219" t="s">
        <v>2007</v>
      </c>
    </row>
    <row r="20" spans="1:4" x14ac:dyDescent="0.25">
      <c r="A20" s="217">
        <v>12</v>
      </c>
      <c r="B20" s="218">
        <v>41754</v>
      </c>
      <c r="C20" s="219" t="s">
        <v>2017</v>
      </c>
      <c r="D20" s="219" t="s">
        <v>2018</v>
      </c>
    </row>
    <row r="21" spans="1:4" x14ac:dyDescent="0.25">
      <c r="A21" s="217">
        <v>13</v>
      </c>
      <c r="B21" s="218">
        <v>41814</v>
      </c>
      <c r="C21" s="219" t="s">
        <v>2019</v>
      </c>
      <c r="D21" s="219" t="s">
        <v>2007</v>
      </c>
    </row>
    <row r="22" spans="1:4" x14ac:dyDescent="0.25">
      <c r="A22" s="217">
        <v>14</v>
      </c>
      <c r="B22" s="218">
        <v>41841</v>
      </c>
      <c r="C22" s="219" t="s">
        <v>2020</v>
      </c>
      <c r="D22" s="219" t="s">
        <v>2021</v>
      </c>
    </row>
    <row r="23" spans="1:4" x14ac:dyDescent="0.25">
      <c r="A23" s="220">
        <v>15</v>
      </c>
      <c r="B23" s="221">
        <v>41873</v>
      </c>
      <c r="C23" s="222" t="s">
        <v>2022</v>
      </c>
      <c r="D23" s="222" t="s">
        <v>2007</v>
      </c>
    </row>
    <row r="24" spans="1:4" x14ac:dyDescent="0.25">
      <c r="A24" s="217">
        <v>16</v>
      </c>
      <c r="B24" s="218">
        <v>41898</v>
      </c>
      <c r="C24" s="219" t="s">
        <v>2023</v>
      </c>
      <c r="D24" s="219" t="s">
        <v>2007</v>
      </c>
    </row>
    <row r="25" spans="1:4" x14ac:dyDescent="0.25">
      <c r="A25" s="217">
        <v>17</v>
      </c>
      <c r="B25" s="218">
        <v>41922</v>
      </c>
      <c r="C25" s="219" t="s">
        <v>2024</v>
      </c>
      <c r="D25" s="219" t="s">
        <v>2007</v>
      </c>
    </row>
    <row r="26" spans="1:4" x14ac:dyDescent="0.25">
      <c r="A26" s="217">
        <v>18</v>
      </c>
      <c r="B26" s="218">
        <v>41932</v>
      </c>
      <c r="C26" s="219" t="s">
        <v>2026</v>
      </c>
      <c r="D26" s="219" t="s">
        <v>2027</v>
      </c>
    </row>
    <row r="27" spans="1:4" x14ac:dyDescent="0.25">
      <c r="A27" s="220">
        <v>19</v>
      </c>
      <c r="B27" s="221">
        <v>42726</v>
      </c>
      <c r="C27" s="222" t="s">
        <v>2029</v>
      </c>
      <c r="D27" s="222" t="s">
        <v>2030</v>
      </c>
    </row>
    <row r="28" spans="1:4" x14ac:dyDescent="0.25">
      <c r="A28" s="217"/>
      <c r="B28" s="218"/>
      <c r="C28" s="219"/>
      <c r="D28" s="219"/>
    </row>
    <row r="29" spans="1:4" x14ac:dyDescent="0.25">
      <c r="A29" s="217"/>
      <c r="B29" s="218"/>
      <c r="C29" s="219"/>
      <c r="D29" s="219"/>
    </row>
    <row r="30" spans="1:4" x14ac:dyDescent="0.25">
      <c r="A30" s="220"/>
      <c r="B30" s="221"/>
      <c r="C30" s="222"/>
      <c r="D30" s="222"/>
    </row>
    <row r="31" spans="1:4" x14ac:dyDescent="0.25">
      <c r="A31" s="217"/>
      <c r="B31" s="218"/>
      <c r="C31" s="219"/>
      <c r="D31" s="219"/>
    </row>
    <row r="32" spans="1:4" x14ac:dyDescent="0.25">
      <c r="A32" s="217"/>
      <c r="B32" s="218"/>
      <c r="C32" s="219"/>
      <c r="D32" s="219"/>
    </row>
    <row r="33" spans="1:4" x14ac:dyDescent="0.25">
      <c r="A33" s="217"/>
      <c r="B33" s="218"/>
      <c r="C33" s="219"/>
      <c r="D33" s="219"/>
    </row>
    <row r="34" spans="1:4" x14ac:dyDescent="0.25">
      <c r="A34" s="217"/>
      <c r="B34" s="218"/>
      <c r="C34" s="219"/>
      <c r="D34" s="219"/>
    </row>
    <row r="35" spans="1:4" x14ac:dyDescent="0.25">
      <c r="A35" s="220"/>
      <c r="B35" s="221"/>
      <c r="C35" s="222"/>
      <c r="D35" s="222"/>
    </row>
  </sheetData>
  <mergeCells count="1">
    <mergeCell ref="A6:D6"/>
  </mergeCells>
  <pageMargins left="0.511811024" right="0.511811024" top="0.78740157499999996" bottom="0.78740157499999996" header="0.31496062000000002" footer="0.31496062000000002"/>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55D532-5A98-4D68-9AF5-0FD41EAAB1DA}"/>
</file>

<file path=customXml/itemProps2.xml><?xml version="1.0" encoding="utf-8"?>
<ds:datastoreItem xmlns:ds="http://schemas.openxmlformats.org/officeDocument/2006/customXml" ds:itemID="{CB5336BE-C284-4625-AA02-F4A4E65CEF56}"/>
</file>

<file path=customXml/itemProps3.xml><?xml version="1.0" encoding="utf-8"?>
<ds:datastoreItem xmlns:ds="http://schemas.openxmlformats.org/officeDocument/2006/customXml" ds:itemID="{64C8796F-558E-401F-81CE-A39741C5AAA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vt:i4>
      </vt:variant>
    </vt:vector>
  </HeadingPairs>
  <TitlesOfParts>
    <vt:vector size="12" baseType="lpstr">
      <vt:lpstr>Macro</vt:lpstr>
      <vt:lpstr>Sistemas</vt:lpstr>
      <vt:lpstr>DW</vt:lpstr>
      <vt:lpstr>Resultado</vt:lpstr>
      <vt:lpstr>Sobre a planilha</vt:lpstr>
      <vt:lpstr>Dados</vt:lpstr>
      <vt:lpstr>Forum Especializado</vt:lpstr>
      <vt:lpstr>Versões</vt:lpstr>
      <vt:lpstr>Macro!Area_de_impressao</vt:lpstr>
      <vt:lpstr>Resultado!Area_de_impressao</vt:lpstr>
      <vt:lpstr>Fornecedor</vt:lpstr>
      <vt:lpstr>Lista_Sistemas</vt:lpstr>
    </vt:vector>
  </TitlesOfParts>
  <Company>OI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Memória de Cálculo</dc:title>
  <dc:creator>Daniel</dc:creator>
  <cp:lastModifiedBy>supervisor</cp:lastModifiedBy>
  <dcterms:created xsi:type="dcterms:W3CDTF">2014-10-10T14:57:40Z</dcterms:created>
  <dcterms:modified xsi:type="dcterms:W3CDTF">2016-12-22T17:18:09Z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