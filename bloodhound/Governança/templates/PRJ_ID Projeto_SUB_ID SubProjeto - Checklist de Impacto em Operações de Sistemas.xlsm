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workbookProtection workbookPassword="818F" lockStructure="1"/>
  <bookViews>
    <workbookView xWindow="240" yWindow="555" windowWidth="15120" windowHeight="7350" tabRatio="944" firstSheet="2" activeTab="3"/>
  </bookViews>
  <sheets>
    <sheet name="D-Temas x Perguntas" sheetId="15" state="hidden" r:id="rId1"/>
    <sheet name="Checklist Impacto Operações TI" sheetId="14" state="hidden" r:id="rId2"/>
    <sheet name="Capa" sheetId="19" r:id="rId3"/>
    <sheet name="Guia_Preenchimento" sheetId="2" r:id="rId4"/>
    <sheet name="Controle_versão" sheetId="3" r:id="rId5"/>
    <sheet name="Mapa Impacto" sheetId="18" r:id="rId6"/>
    <sheet name="Resumo Atividades x Sistema" sheetId="5" r:id="rId7"/>
    <sheet name="Resumo Impacto x Sistema" sheetId="21" r:id="rId8"/>
    <sheet name="Funcionalidades Críticas" sheetId="20" r:id="rId9"/>
    <sheet name="Glossário" sheetId="10" r:id="rId10"/>
  </sheets>
  <definedNames>
    <definedName name="_xlnm._FilterDatabase" localSheetId="1" hidden="1">'Checklist Impacto Operações TI'!$A$1:$F$48</definedName>
    <definedName name="_xlnm._FilterDatabase" localSheetId="5" hidden="1">'Mapa Impacto'!$A$6:$AK$52</definedName>
    <definedName name="_xlnm._FilterDatabase" localSheetId="6" hidden="1">'Resumo Atividades x Sistema'!$B$5:$AK$50</definedName>
    <definedName name="A" localSheetId="2">#REF!</definedName>
    <definedName name="A">#REF!</definedName>
    <definedName name="ARBOR" localSheetId="2">#REF!</definedName>
    <definedName name="ARBOR">#REF!</definedName>
    <definedName name="_xlnm.Extract" localSheetId="6">'Resumo Atividades x Sistema'!#REF!</definedName>
    <definedName name="_xlnm.Criteria" localSheetId="6">'Resumo Atividades x Sistema'!$F$5:$G$5</definedName>
    <definedName name="Sistema" localSheetId="2">#REF!</definedName>
    <definedName name="Sistema">#REF!</definedName>
    <definedName name="sistemas" localSheetId="2">#REF!</definedName>
    <definedName name="sistemas">#REF!</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1"/>
  </pivotCaches>
</workbook>
</file>

<file path=xl/calcChain.xml><?xml version="1.0" encoding="utf-8"?>
<calcChain xmlns="http://schemas.openxmlformats.org/spreadsheetml/2006/main">
  <c r="D3" i="21" l="1"/>
  <c r="E3" i="21"/>
  <c r="F3" i="21"/>
  <c r="G3" i="21"/>
  <c r="H3" i="21"/>
  <c r="I3" i="21"/>
  <c r="J3" i="21"/>
  <c r="K3" i="21"/>
  <c r="L3" i="21"/>
  <c r="M3" i="21"/>
  <c r="N3" i="21"/>
  <c r="O3" i="21"/>
  <c r="P3" i="21"/>
  <c r="Q3" i="21"/>
  <c r="R3" i="21"/>
  <c r="S3" i="21"/>
  <c r="T3" i="21"/>
  <c r="U3" i="21"/>
  <c r="V3" i="21"/>
  <c r="W3" i="21"/>
  <c r="X3" i="21"/>
  <c r="Y3" i="21"/>
  <c r="Z3" i="21"/>
  <c r="AA3" i="21"/>
  <c r="AB3" i="21"/>
  <c r="AC3" i="21"/>
  <c r="AD3" i="21"/>
  <c r="AE3" i="21"/>
  <c r="AF3" i="21"/>
  <c r="AG3" i="21"/>
  <c r="D4" i="21"/>
  <c r="E4" i="21"/>
  <c r="F4" i="21"/>
  <c r="G4" i="21"/>
  <c r="H4" i="21"/>
  <c r="I4" i="21"/>
  <c r="J4" i="21"/>
  <c r="K4" i="21"/>
  <c r="L4" i="21"/>
  <c r="M4" i="21"/>
  <c r="N4" i="21"/>
  <c r="O4" i="21"/>
  <c r="P4" i="21"/>
  <c r="Q4" i="21"/>
  <c r="R4" i="21"/>
  <c r="S4" i="21"/>
  <c r="T4" i="21"/>
  <c r="U4" i="21"/>
  <c r="V4" i="21"/>
  <c r="W4" i="21"/>
  <c r="X4" i="21"/>
  <c r="Y4" i="21"/>
  <c r="Z4" i="21"/>
  <c r="AA4" i="21"/>
  <c r="AB4" i="21"/>
  <c r="AC4" i="21"/>
  <c r="AD4" i="21"/>
  <c r="AE4" i="21"/>
  <c r="AF4" i="21"/>
  <c r="AG4"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D6" i="21"/>
  <c r="E6" i="21"/>
  <c r="F6" i="21"/>
  <c r="G6" i="21"/>
  <c r="H6" i="21"/>
  <c r="I6" i="21"/>
  <c r="J6" i="21"/>
  <c r="K6" i="21"/>
  <c r="L6" i="21"/>
  <c r="M6" i="21"/>
  <c r="N6" i="21"/>
  <c r="O6" i="21"/>
  <c r="P6" i="21"/>
  <c r="Q6" i="21"/>
  <c r="R6" i="21"/>
  <c r="S6" i="21"/>
  <c r="T6" i="21"/>
  <c r="U6" i="21"/>
  <c r="V6" i="21"/>
  <c r="W6" i="21"/>
  <c r="X6" i="21"/>
  <c r="Y6" i="21"/>
  <c r="Z6" i="21"/>
  <c r="AA6" i="21"/>
  <c r="AB6" i="21"/>
  <c r="AC6" i="21"/>
  <c r="AD6" i="21"/>
  <c r="AE6" i="21"/>
  <c r="AF6" i="21"/>
  <c r="AG6" i="21"/>
  <c r="D7" i="21"/>
  <c r="E7" i="21"/>
  <c r="F7" i="21"/>
  <c r="G7" i="21"/>
  <c r="H7" i="21"/>
  <c r="I7" i="21"/>
  <c r="J7" i="21"/>
  <c r="K7" i="21"/>
  <c r="L7" i="21"/>
  <c r="M7" i="21"/>
  <c r="N7" i="21"/>
  <c r="O7" i="21"/>
  <c r="P7" i="21"/>
  <c r="Q7" i="21"/>
  <c r="R7" i="21"/>
  <c r="S7" i="21"/>
  <c r="T7" i="21"/>
  <c r="U7" i="21"/>
  <c r="V7" i="21"/>
  <c r="W7" i="21"/>
  <c r="X7" i="21"/>
  <c r="Y7" i="21"/>
  <c r="Z7" i="21"/>
  <c r="AA7" i="21"/>
  <c r="AB7" i="21"/>
  <c r="AC7" i="21"/>
  <c r="AD7" i="21"/>
  <c r="AE7" i="21"/>
  <c r="AF7" i="21"/>
  <c r="AG7" i="21"/>
  <c r="D8" i="21"/>
  <c r="E8" i="21"/>
  <c r="F8" i="21"/>
  <c r="G8" i="21"/>
  <c r="H8" i="21"/>
  <c r="I8" i="21"/>
  <c r="J8" i="21"/>
  <c r="K8" i="21"/>
  <c r="L8" i="21"/>
  <c r="M8" i="21"/>
  <c r="N8" i="21"/>
  <c r="O8" i="21"/>
  <c r="P8" i="21"/>
  <c r="Q8" i="21"/>
  <c r="R8" i="21"/>
  <c r="S8" i="21"/>
  <c r="T8" i="21"/>
  <c r="U8" i="21"/>
  <c r="V8" i="21"/>
  <c r="W8" i="21"/>
  <c r="X8" i="21"/>
  <c r="Y8" i="21"/>
  <c r="Z8" i="21"/>
  <c r="AA8" i="21"/>
  <c r="AB8" i="21"/>
  <c r="AC8" i="21"/>
  <c r="AD8" i="21"/>
  <c r="AE8" i="21"/>
  <c r="AF8" i="21"/>
  <c r="AG8" i="21"/>
  <c r="D9" i="21"/>
  <c r="E9" i="21"/>
  <c r="F9" i="21"/>
  <c r="G9" i="21"/>
  <c r="H9" i="21"/>
  <c r="I9" i="21"/>
  <c r="J9" i="21"/>
  <c r="K9" i="21"/>
  <c r="L9" i="21"/>
  <c r="M9" i="21"/>
  <c r="N9" i="21"/>
  <c r="O9" i="21"/>
  <c r="P9" i="21"/>
  <c r="Q9" i="21"/>
  <c r="R9" i="21"/>
  <c r="S9" i="21"/>
  <c r="T9" i="21"/>
  <c r="U9" i="21"/>
  <c r="V9" i="21"/>
  <c r="W9" i="21"/>
  <c r="X9" i="21"/>
  <c r="Y9" i="21"/>
  <c r="Z9" i="21"/>
  <c r="AA9" i="21"/>
  <c r="AB9" i="21"/>
  <c r="AC9" i="21"/>
  <c r="AD9" i="21"/>
  <c r="AE9" i="21"/>
  <c r="AF9" i="21"/>
  <c r="AG9" i="21"/>
  <c r="D10" i="21"/>
  <c r="E10" i="21"/>
  <c r="F10" i="21"/>
  <c r="G10" i="21"/>
  <c r="H10" i="21"/>
  <c r="I10" i="21"/>
  <c r="J10" i="21"/>
  <c r="K10" i="21"/>
  <c r="L10" i="21"/>
  <c r="M10" i="21"/>
  <c r="N10" i="21"/>
  <c r="O10" i="21"/>
  <c r="P10" i="21"/>
  <c r="Q10" i="21"/>
  <c r="R10" i="21"/>
  <c r="S10" i="21"/>
  <c r="T10" i="21"/>
  <c r="U10" i="21"/>
  <c r="V10" i="21"/>
  <c r="W10" i="21"/>
  <c r="X10" i="21"/>
  <c r="Y10" i="21"/>
  <c r="Z10" i="21"/>
  <c r="AA10" i="21"/>
  <c r="AB10" i="21"/>
  <c r="AC10" i="21"/>
  <c r="AD10" i="21"/>
  <c r="AE10" i="21"/>
  <c r="AF10" i="21"/>
  <c r="AG10" i="21"/>
  <c r="D11" i="21"/>
  <c r="E11" i="21"/>
  <c r="F11" i="21"/>
  <c r="G11" i="21"/>
  <c r="H11" i="21"/>
  <c r="I11" i="21"/>
  <c r="J11" i="21"/>
  <c r="K11" i="21"/>
  <c r="L11" i="21"/>
  <c r="M11" i="21"/>
  <c r="N11" i="21"/>
  <c r="O11" i="21"/>
  <c r="P11" i="21"/>
  <c r="Q11" i="21"/>
  <c r="R11" i="21"/>
  <c r="S11" i="21"/>
  <c r="T11" i="21"/>
  <c r="U11" i="21"/>
  <c r="V11" i="21"/>
  <c r="W11" i="21"/>
  <c r="X11" i="21"/>
  <c r="Y11" i="21"/>
  <c r="Z11" i="21"/>
  <c r="AA11" i="21"/>
  <c r="AB11" i="21"/>
  <c r="AC11" i="21"/>
  <c r="AD11" i="21"/>
  <c r="AE11" i="21"/>
  <c r="AF11" i="21"/>
  <c r="AG11" i="21"/>
  <c r="D12" i="21"/>
  <c r="E12" i="21"/>
  <c r="F12" i="21"/>
  <c r="G12" i="21"/>
  <c r="H12" i="21"/>
  <c r="I12" i="21"/>
  <c r="J12" i="21"/>
  <c r="K12" i="21"/>
  <c r="L12" i="21"/>
  <c r="M12" i="21"/>
  <c r="N12" i="21"/>
  <c r="O12" i="21"/>
  <c r="P12" i="21"/>
  <c r="Q12" i="21"/>
  <c r="R12" i="21"/>
  <c r="S12" i="21"/>
  <c r="T12" i="21"/>
  <c r="U12" i="21"/>
  <c r="V12" i="21"/>
  <c r="W12" i="21"/>
  <c r="X12" i="21"/>
  <c r="Y12" i="21"/>
  <c r="Z12" i="21"/>
  <c r="AA12" i="21"/>
  <c r="AB12" i="21"/>
  <c r="AC12" i="21"/>
  <c r="AD12" i="21"/>
  <c r="AE12" i="21"/>
  <c r="AF12" i="21"/>
  <c r="AG12" i="21"/>
  <c r="D13" i="21"/>
  <c r="E13" i="21"/>
  <c r="F13" i="21"/>
  <c r="G13" i="21"/>
  <c r="H13" i="21"/>
  <c r="I13" i="21"/>
  <c r="J13" i="21"/>
  <c r="K13" i="21"/>
  <c r="L13" i="21"/>
  <c r="M13" i="21"/>
  <c r="N13" i="21"/>
  <c r="O13" i="21"/>
  <c r="P13" i="21"/>
  <c r="Q13" i="21"/>
  <c r="R13" i="21"/>
  <c r="S13" i="21"/>
  <c r="T13" i="21"/>
  <c r="U13" i="21"/>
  <c r="V13" i="21"/>
  <c r="W13" i="21"/>
  <c r="X13" i="21"/>
  <c r="Y13" i="21"/>
  <c r="Z13" i="21"/>
  <c r="AA13" i="21"/>
  <c r="AB13" i="21"/>
  <c r="AC13" i="21"/>
  <c r="AD13" i="21"/>
  <c r="AE13" i="21"/>
  <c r="AF13" i="21"/>
  <c r="AG13" i="21"/>
  <c r="D15" i="21"/>
  <c r="E15" i="21"/>
  <c r="F15" i="21"/>
  <c r="G15" i="21"/>
  <c r="H15" i="21"/>
  <c r="I15" i="21"/>
  <c r="J15" i="21"/>
  <c r="K15" i="21"/>
  <c r="L15" i="21"/>
  <c r="M15" i="21"/>
  <c r="N15" i="21"/>
  <c r="O15" i="21"/>
  <c r="P15" i="21"/>
  <c r="Q15" i="21"/>
  <c r="R15" i="21"/>
  <c r="S15" i="21"/>
  <c r="T15" i="21"/>
  <c r="U15" i="21"/>
  <c r="V15" i="21"/>
  <c r="W15" i="21"/>
  <c r="X15" i="21"/>
  <c r="Y15" i="21"/>
  <c r="Z15" i="21"/>
  <c r="AA15" i="21"/>
  <c r="AB15" i="21"/>
  <c r="AC15" i="21"/>
  <c r="AD15" i="21"/>
  <c r="AE15" i="21"/>
  <c r="AF15" i="21"/>
  <c r="AG15" i="21"/>
  <c r="C15" i="21"/>
  <c r="C4" i="21"/>
  <c r="C5" i="21"/>
  <c r="C6" i="21"/>
  <c r="C7" i="21"/>
  <c r="C8" i="21"/>
  <c r="C9" i="21"/>
  <c r="C10" i="21"/>
  <c r="C11" i="21"/>
  <c r="C12" i="21"/>
  <c r="C13" i="21"/>
  <c r="C3" i="21"/>
  <c r="F52"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E52"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D52"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B52"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3" i="18"/>
  <c r="D53" i="18"/>
  <c r="E53" i="18"/>
  <c r="G2" i="5" l="1"/>
  <c r="D7" i="5"/>
  <c r="D6" i="5"/>
  <c r="G10" i="5" l="1"/>
  <c r="G14" i="5"/>
  <c r="G18" i="5"/>
  <c r="G22" i="5"/>
  <c r="G26" i="5"/>
  <c r="G30" i="5"/>
  <c r="G34" i="5"/>
  <c r="G38" i="5"/>
  <c r="G42" i="5"/>
  <c r="G46" i="5"/>
  <c r="G50" i="5"/>
  <c r="G7" i="5"/>
  <c r="G12" i="5"/>
  <c r="G17" i="5"/>
  <c r="G23" i="5"/>
  <c r="G28" i="5"/>
  <c r="G33" i="5"/>
  <c r="G39" i="5"/>
  <c r="G44" i="5"/>
  <c r="G49" i="5"/>
  <c r="G13" i="5"/>
  <c r="G24" i="5"/>
  <c r="G35" i="5"/>
  <c r="G51" i="5"/>
  <c r="G9" i="5"/>
  <c r="G15" i="5"/>
  <c r="G20" i="5"/>
  <c r="G25" i="5"/>
  <c r="G31" i="5"/>
  <c r="G36" i="5"/>
  <c r="G41" i="5"/>
  <c r="G47" i="5"/>
  <c r="G52" i="5"/>
  <c r="G11" i="5"/>
  <c r="G16" i="5"/>
  <c r="G21" i="5"/>
  <c r="G27" i="5"/>
  <c r="G32" i="5"/>
  <c r="G37" i="5"/>
  <c r="G43" i="5"/>
  <c r="G48" i="5"/>
  <c r="G6" i="5"/>
  <c r="G8" i="5"/>
  <c r="G19" i="5"/>
  <c r="G29" i="5"/>
  <c r="G40" i="5"/>
  <c r="G45" i="5"/>
  <c r="F7" i="5"/>
  <c r="F8" i="5"/>
  <c r="E7" i="5"/>
  <c r="B52" i="18"/>
  <c r="D52" i="18"/>
  <c r="E52" i="18"/>
  <c r="E8" i="18" l="1"/>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35" i="18"/>
  <c r="E36" i="18"/>
  <c r="E37" i="18"/>
  <c r="E38" i="18"/>
  <c r="E39" i="18"/>
  <c r="E40" i="18"/>
  <c r="E41" i="18"/>
  <c r="E42" i="18"/>
  <c r="E43" i="18"/>
  <c r="E44" i="18"/>
  <c r="E45" i="18"/>
  <c r="E46" i="18"/>
  <c r="E47" i="18"/>
  <c r="E48" i="18"/>
  <c r="E49" i="18"/>
  <c r="E50" i="18"/>
  <c r="E51" i="18"/>
  <c r="E7" i="18"/>
  <c r="B51" i="18" l="1"/>
  <c r="D51" i="18"/>
  <c r="B49" i="18"/>
  <c r="D49" i="18"/>
  <c r="B50" i="18"/>
  <c r="D50" i="18"/>
  <c r="D47" i="18"/>
  <c r="D48" i="18"/>
  <c r="B48" i="18"/>
  <c r="AK2" i="5" l="1"/>
  <c r="AH2" i="5"/>
  <c r="AI2" i="5"/>
  <c r="AJ2" i="5"/>
  <c r="AC2" i="5"/>
  <c r="AD2" i="5"/>
  <c r="AE2" i="5"/>
  <c r="AF2" i="5"/>
  <c r="AG2" i="5"/>
  <c r="T2" i="5"/>
  <c r="U2" i="5"/>
  <c r="V2" i="5"/>
  <c r="W2" i="5"/>
  <c r="X2" i="5"/>
  <c r="Y2" i="5"/>
  <c r="Z2" i="5"/>
  <c r="AA2" i="5"/>
  <c r="AB2" i="5"/>
  <c r="I2" i="5"/>
  <c r="J2" i="5"/>
  <c r="K2" i="5"/>
  <c r="L2" i="5"/>
  <c r="M2" i="5"/>
  <c r="N2" i="5"/>
  <c r="O2" i="5"/>
  <c r="P2" i="5"/>
  <c r="Q2" i="5"/>
  <c r="R2" i="5"/>
  <c r="S2" i="5"/>
  <c r="H2" i="5"/>
  <c r="N2" i="21" l="1"/>
  <c r="R6" i="5"/>
  <c r="R8" i="5"/>
  <c r="R10" i="5"/>
  <c r="R12" i="5"/>
  <c r="R14" i="5"/>
  <c r="R16" i="5"/>
  <c r="R7" i="5"/>
  <c r="R11" i="5"/>
  <c r="R15" i="5"/>
  <c r="R9" i="5"/>
  <c r="R13" i="5"/>
  <c r="R19" i="5"/>
  <c r="R23" i="5"/>
  <c r="R28" i="5"/>
  <c r="R17" i="5"/>
  <c r="R21" i="5"/>
  <c r="R24" i="5"/>
  <c r="R27" i="5"/>
  <c r="R22" i="5"/>
  <c r="R37" i="5"/>
  <c r="R40" i="5"/>
  <c r="R18" i="5"/>
  <c r="R25" i="5"/>
  <c r="R30" i="5"/>
  <c r="R32" i="5"/>
  <c r="R33" i="5"/>
  <c r="R36" i="5"/>
  <c r="R41" i="5"/>
  <c r="R29" i="5"/>
  <c r="R31" i="5"/>
  <c r="R35" i="5"/>
  <c r="R44" i="5"/>
  <c r="R48" i="5"/>
  <c r="R20" i="5"/>
  <c r="R38" i="5"/>
  <c r="R42" i="5"/>
  <c r="R46" i="5"/>
  <c r="R50" i="5"/>
  <c r="R26" i="5"/>
  <c r="R45" i="5"/>
  <c r="R49" i="5"/>
  <c r="R51" i="5"/>
  <c r="R34" i="5"/>
  <c r="R39" i="5"/>
  <c r="R43" i="5"/>
  <c r="R47" i="5"/>
  <c r="R52" i="5"/>
  <c r="V2" i="21"/>
  <c r="Z6" i="5"/>
  <c r="Z8" i="5"/>
  <c r="Z10" i="5"/>
  <c r="Z12" i="5"/>
  <c r="Z14" i="5"/>
  <c r="Z16" i="5"/>
  <c r="Z7" i="5"/>
  <c r="Z11" i="5"/>
  <c r="Z9" i="5"/>
  <c r="Z13" i="5"/>
  <c r="Z15" i="5"/>
  <c r="Z19" i="5"/>
  <c r="Z24" i="5"/>
  <c r="Z27" i="5"/>
  <c r="Z17" i="5"/>
  <c r="Z21" i="5"/>
  <c r="Z23" i="5"/>
  <c r="Z28" i="5"/>
  <c r="Z18" i="5"/>
  <c r="Z26" i="5"/>
  <c r="Z33" i="5"/>
  <c r="Z36" i="5"/>
  <c r="Z29" i="5"/>
  <c r="Z32" i="5"/>
  <c r="Z37" i="5"/>
  <c r="Z40" i="5"/>
  <c r="Z34" i="5"/>
  <c r="Z39" i="5"/>
  <c r="Z44" i="5"/>
  <c r="Z48" i="5"/>
  <c r="Z38" i="5"/>
  <c r="Z51" i="5"/>
  <c r="Z20" i="5"/>
  <c r="Z22" i="5"/>
  <c r="Z31" i="5"/>
  <c r="Z42" i="5"/>
  <c r="Z46" i="5"/>
  <c r="Z50" i="5"/>
  <c r="Z25" i="5"/>
  <c r="Z30" i="5"/>
  <c r="Z35" i="5"/>
  <c r="Z41" i="5"/>
  <c r="Z45" i="5"/>
  <c r="Z49" i="5"/>
  <c r="Z52" i="5"/>
  <c r="Z43" i="5"/>
  <c r="Z47" i="5"/>
  <c r="R2" i="21"/>
  <c r="V6" i="5"/>
  <c r="V8" i="5"/>
  <c r="V10" i="5"/>
  <c r="V12" i="5"/>
  <c r="V14" i="5"/>
  <c r="V16" i="5"/>
  <c r="V9" i="5"/>
  <c r="V13" i="5"/>
  <c r="V7" i="5"/>
  <c r="V11" i="5"/>
  <c r="V17" i="5"/>
  <c r="V21" i="5"/>
  <c r="V22" i="5"/>
  <c r="V25" i="5"/>
  <c r="V30" i="5"/>
  <c r="V19" i="5"/>
  <c r="V26" i="5"/>
  <c r="V29" i="5"/>
  <c r="V15" i="5"/>
  <c r="V24" i="5"/>
  <c r="V32" i="5"/>
  <c r="V34" i="5"/>
  <c r="V39" i="5"/>
  <c r="V20" i="5"/>
  <c r="V27" i="5"/>
  <c r="V35" i="5"/>
  <c r="V38" i="5"/>
  <c r="V37" i="5"/>
  <c r="V42" i="5"/>
  <c r="V46" i="5"/>
  <c r="V50" i="5"/>
  <c r="V52" i="5"/>
  <c r="V31" i="5"/>
  <c r="V41" i="5"/>
  <c r="V18" i="5"/>
  <c r="V40" i="5"/>
  <c r="V44" i="5"/>
  <c r="V48" i="5"/>
  <c r="V51" i="5"/>
  <c r="V23" i="5"/>
  <c r="V28" i="5"/>
  <c r="V33" i="5"/>
  <c r="V43" i="5"/>
  <c r="V47" i="5"/>
  <c r="V36" i="5"/>
  <c r="V45" i="5"/>
  <c r="V49" i="5"/>
  <c r="AB2" i="21"/>
  <c r="AF7" i="5"/>
  <c r="AF9" i="5"/>
  <c r="AF11" i="5"/>
  <c r="AF13" i="5"/>
  <c r="AF15" i="5"/>
  <c r="AF6" i="5"/>
  <c r="AF10" i="5"/>
  <c r="AF14" i="5"/>
  <c r="AF8" i="5"/>
  <c r="AF12" i="5"/>
  <c r="AF16" i="5"/>
  <c r="AF18" i="5"/>
  <c r="AF22" i="5"/>
  <c r="AF27" i="5"/>
  <c r="AF30" i="5"/>
  <c r="AF20" i="5"/>
  <c r="AF23" i="5"/>
  <c r="AF26" i="5"/>
  <c r="AF21" i="5"/>
  <c r="AF24" i="5"/>
  <c r="AF29" i="5"/>
  <c r="AF36" i="5"/>
  <c r="AF39" i="5"/>
  <c r="AF17" i="5"/>
  <c r="AF31" i="5"/>
  <c r="AF32" i="5"/>
  <c r="AF35" i="5"/>
  <c r="AF40" i="5"/>
  <c r="AF25" i="5"/>
  <c r="AF37" i="5"/>
  <c r="AF43" i="5"/>
  <c r="AF47" i="5"/>
  <c r="AF52" i="5"/>
  <c r="AF28" i="5"/>
  <c r="AF34" i="5"/>
  <c r="AF41" i="5"/>
  <c r="AF45" i="5"/>
  <c r="AF49" i="5"/>
  <c r="AF19" i="5"/>
  <c r="AF33" i="5"/>
  <c r="AF38" i="5"/>
  <c r="AF44" i="5"/>
  <c r="AF48" i="5"/>
  <c r="AF50" i="5"/>
  <c r="AF42" i="5"/>
  <c r="AF46" i="5"/>
  <c r="AF51" i="5"/>
  <c r="AF2" i="21"/>
  <c r="AJ7" i="5"/>
  <c r="AJ9" i="5"/>
  <c r="AJ11" i="5"/>
  <c r="AJ13" i="5"/>
  <c r="AJ15" i="5"/>
  <c r="AJ8" i="5"/>
  <c r="AJ12" i="5"/>
  <c r="AJ16" i="5"/>
  <c r="AJ6" i="5"/>
  <c r="AJ10" i="5"/>
  <c r="AJ20" i="5"/>
  <c r="AJ24" i="5"/>
  <c r="AJ29" i="5"/>
  <c r="AJ18" i="5"/>
  <c r="AJ25" i="5"/>
  <c r="AJ28" i="5"/>
  <c r="AJ26" i="5"/>
  <c r="AJ31" i="5"/>
  <c r="AJ33" i="5"/>
  <c r="AJ38" i="5"/>
  <c r="AJ19" i="5"/>
  <c r="AJ23" i="5"/>
  <c r="AJ34" i="5"/>
  <c r="AJ37" i="5"/>
  <c r="AJ17" i="5"/>
  <c r="AJ22" i="5"/>
  <c r="AJ27" i="5"/>
  <c r="AJ39" i="5"/>
  <c r="AJ41" i="5"/>
  <c r="AJ45" i="5"/>
  <c r="AJ49" i="5"/>
  <c r="AJ51" i="5"/>
  <c r="AJ30" i="5"/>
  <c r="AJ36" i="5"/>
  <c r="AJ43" i="5"/>
  <c r="AJ47" i="5"/>
  <c r="AJ50" i="5"/>
  <c r="AJ14" i="5"/>
  <c r="AJ21" i="5"/>
  <c r="AJ35" i="5"/>
  <c r="AJ40" i="5"/>
  <c r="AJ42" i="5"/>
  <c r="AJ46" i="5"/>
  <c r="AJ52" i="5"/>
  <c r="AJ32" i="5"/>
  <c r="AJ44" i="5"/>
  <c r="AJ48" i="5"/>
  <c r="M2" i="21"/>
  <c r="Q7" i="5"/>
  <c r="Q9" i="5"/>
  <c r="Q11" i="5"/>
  <c r="Q13" i="5"/>
  <c r="Q17" i="5"/>
  <c r="Q19" i="5"/>
  <c r="Q21" i="5"/>
  <c r="Q16" i="5"/>
  <c r="Q18" i="5"/>
  <c r="Q20" i="5"/>
  <c r="Q22" i="5"/>
  <c r="Q24" i="5"/>
  <c r="Q26" i="5"/>
  <c r="Q28" i="5"/>
  <c r="Q30" i="5"/>
  <c r="Q10" i="5"/>
  <c r="Q25" i="5"/>
  <c r="Q32" i="5"/>
  <c r="Q6" i="5"/>
  <c r="Q14" i="5"/>
  <c r="Q29" i="5"/>
  <c r="Q31" i="5"/>
  <c r="Q33" i="5"/>
  <c r="Q35" i="5"/>
  <c r="Q37" i="5"/>
  <c r="Q39" i="5"/>
  <c r="Q41" i="5"/>
  <c r="Q8" i="5"/>
  <c r="Q27" i="5"/>
  <c r="Q34" i="5"/>
  <c r="Q43" i="5"/>
  <c r="Q45" i="5"/>
  <c r="Q47" i="5"/>
  <c r="Q49" i="5"/>
  <c r="Q38" i="5"/>
  <c r="Q42" i="5"/>
  <c r="Q44" i="5"/>
  <c r="Q46" i="5"/>
  <c r="Q48" i="5"/>
  <c r="Q50" i="5"/>
  <c r="Q52" i="5"/>
  <c r="Q15" i="5"/>
  <c r="Q40" i="5"/>
  <c r="Q12" i="5"/>
  <c r="Q23" i="5"/>
  <c r="Q51" i="5"/>
  <c r="Q36" i="5"/>
  <c r="I2" i="21"/>
  <c r="M7" i="5"/>
  <c r="M9" i="5"/>
  <c r="M11" i="5"/>
  <c r="M13" i="5"/>
  <c r="M15" i="5"/>
  <c r="M19" i="5"/>
  <c r="M21" i="5"/>
  <c r="M18" i="5"/>
  <c r="M20" i="5"/>
  <c r="M22" i="5"/>
  <c r="M24" i="5"/>
  <c r="M26" i="5"/>
  <c r="M28" i="5"/>
  <c r="M30" i="5"/>
  <c r="M8" i="5"/>
  <c r="M17" i="5"/>
  <c r="M23" i="5"/>
  <c r="M32" i="5"/>
  <c r="M12" i="5"/>
  <c r="M27" i="5"/>
  <c r="M31" i="5"/>
  <c r="M33" i="5"/>
  <c r="M35" i="5"/>
  <c r="M37" i="5"/>
  <c r="M39" i="5"/>
  <c r="M41" i="5"/>
  <c r="M6" i="5"/>
  <c r="M16" i="5"/>
  <c r="M25" i="5"/>
  <c r="M40" i="5"/>
  <c r="M43" i="5"/>
  <c r="M45" i="5"/>
  <c r="M47" i="5"/>
  <c r="M49" i="5"/>
  <c r="M14" i="5"/>
  <c r="M36" i="5"/>
  <c r="M42" i="5"/>
  <c r="M44" i="5"/>
  <c r="M46" i="5"/>
  <c r="M48" i="5"/>
  <c r="M50" i="5"/>
  <c r="M52" i="5"/>
  <c r="M38" i="5"/>
  <c r="M10" i="5"/>
  <c r="M29" i="5"/>
  <c r="M34" i="5"/>
  <c r="M51" i="5"/>
  <c r="E2" i="21"/>
  <c r="I7" i="5"/>
  <c r="I9" i="5"/>
  <c r="I11" i="5"/>
  <c r="I13" i="5"/>
  <c r="I16" i="5"/>
  <c r="I19" i="5"/>
  <c r="I21" i="5"/>
  <c r="I17" i="5"/>
  <c r="I18" i="5"/>
  <c r="I20" i="5"/>
  <c r="I22" i="5"/>
  <c r="I24" i="5"/>
  <c r="I26" i="5"/>
  <c r="I28" i="5"/>
  <c r="I30" i="5"/>
  <c r="I6" i="5"/>
  <c r="I14" i="5"/>
  <c r="I15" i="5"/>
  <c r="I29" i="5"/>
  <c r="I32" i="5"/>
  <c r="I10" i="5"/>
  <c r="I25" i="5"/>
  <c r="I31" i="5"/>
  <c r="I33" i="5"/>
  <c r="I35" i="5"/>
  <c r="I37" i="5"/>
  <c r="I39" i="5"/>
  <c r="I41" i="5"/>
  <c r="I23" i="5"/>
  <c r="I38" i="5"/>
  <c r="I43" i="5"/>
  <c r="I45" i="5"/>
  <c r="I47" i="5"/>
  <c r="I49" i="5"/>
  <c r="I12" i="5"/>
  <c r="I34" i="5"/>
  <c r="I42" i="5"/>
  <c r="I44" i="5"/>
  <c r="I46" i="5"/>
  <c r="I48" i="5"/>
  <c r="I50" i="5"/>
  <c r="I52" i="5"/>
  <c r="I36" i="5"/>
  <c r="I51" i="5"/>
  <c r="I8" i="5"/>
  <c r="I27" i="5"/>
  <c r="I40" i="5"/>
  <c r="U2" i="21"/>
  <c r="Y7" i="5"/>
  <c r="Y9" i="5"/>
  <c r="Y11" i="5"/>
  <c r="Y13" i="5"/>
  <c r="Y16" i="5"/>
  <c r="Y17" i="5"/>
  <c r="Y19" i="5"/>
  <c r="Y21" i="5"/>
  <c r="Y18" i="5"/>
  <c r="Y20" i="5"/>
  <c r="Y22" i="5"/>
  <c r="Y24" i="5"/>
  <c r="Y26" i="5"/>
  <c r="Y28" i="5"/>
  <c r="Y30" i="5"/>
  <c r="Y6" i="5"/>
  <c r="Y14" i="5"/>
  <c r="Y29" i="5"/>
  <c r="Y32" i="5"/>
  <c r="Y10" i="5"/>
  <c r="Y15" i="5"/>
  <c r="Y25" i="5"/>
  <c r="Y31" i="5"/>
  <c r="Y33" i="5"/>
  <c r="Y35" i="5"/>
  <c r="Y37" i="5"/>
  <c r="Y39" i="5"/>
  <c r="Y12" i="5"/>
  <c r="Y38" i="5"/>
  <c r="Y41" i="5"/>
  <c r="Y43" i="5"/>
  <c r="Y45" i="5"/>
  <c r="Y47" i="5"/>
  <c r="Y49" i="5"/>
  <c r="Y23" i="5"/>
  <c r="Y34" i="5"/>
  <c r="Y42" i="5"/>
  <c r="Y44" i="5"/>
  <c r="Y46" i="5"/>
  <c r="Y48" i="5"/>
  <c r="Y50" i="5"/>
  <c r="Y52" i="5"/>
  <c r="Y51" i="5"/>
  <c r="Y27" i="5"/>
  <c r="Y36" i="5"/>
  <c r="Y8" i="5"/>
  <c r="Y40" i="5"/>
  <c r="Q2" i="21"/>
  <c r="U7" i="5"/>
  <c r="U9" i="5"/>
  <c r="U11" i="5"/>
  <c r="U13" i="5"/>
  <c r="U17" i="5"/>
  <c r="U19" i="5"/>
  <c r="U21" i="5"/>
  <c r="U15" i="5"/>
  <c r="U18" i="5"/>
  <c r="U20" i="5"/>
  <c r="U22" i="5"/>
  <c r="U24" i="5"/>
  <c r="U26" i="5"/>
  <c r="U28" i="5"/>
  <c r="U30" i="5"/>
  <c r="U12" i="5"/>
  <c r="U16" i="5"/>
  <c r="U27" i="5"/>
  <c r="U32" i="5"/>
  <c r="U8" i="5"/>
  <c r="U23" i="5"/>
  <c r="U31" i="5"/>
  <c r="U33" i="5"/>
  <c r="U35" i="5"/>
  <c r="U37" i="5"/>
  <c r="U39" i="5"/>
  <c r="U41" i="5"/>
  <c r="U10" i="5"/>
  <c r="U29" i="5"/>
  <c r="U36" i="5"/>
  <c r="U43" i="5"/>
  <c r="U45" i="5"/>
  <c r="U47" i="5"/>
  <c r="U49" i="5"/>
  <c r="U40" i="5"/>
  <c r="U42" i="5"/>
  <c r="U44" i="5"/>
  <c r="U46" i="5"/>
  <c r="U48" i="5"/>
  <c r="U50" i="5"/>
  <c r="U52" i="5"/>
  <c r="U6" i="5"/>
  <c r="U14" i="5"/>
  <c r="U25" i="5"/>
  <c r="U34" i="5"/>
  <c r="U38" i="5"/>
  <c r="U51" i="5"/>
  <c r="AA2" i="21"/>
  <c r="AE6" i="5"/>
  <c r="AE8" i="5"/>
  <c r="AE10" i="5"/>
  <c r="AE12" i="5"/>
  <c r="AE14" i="5"/>
  <c r="AE16" i="5"/>
  <c r="AE18" i="5"/>
  <c r="AE20" i="5"/>
  <c r="AE15" i="5"/>
  <c r="AE17" i="5"/>
  <c r="AE19" i="5"/>
  <c r="AE21" i="5"/>
  <c r="AE23" i="5"/>
  <c r="AE25" i="5"/>
  <c r="AE27" i="5"/>
  <c r="AE29" i="5"/>
  <c r="AE9" i="5"/>
  <c r="AE24" i="5"/>
  <c r="AE31" i="5"/>
  <c r="AE13" i="5"/>
  <c r="AE28" i="5"/>
  <c r="AE32" i="5"/>
  <c r="AE34" i="5"/>
  <c r="AE36" i="5"/>
  <c r="AE38" i="5"/>
  <c r="AE40" i="5"/>
  <c r="AE33" i="5"/>
  <c r="AE42" i="5"/>
  <c r="AE44" i="5"/>
  <c r="AE46" i="5"/>
  <c r="AE48" i="5"/>
  <c r="AE7" i="5"/>
  <c r="AE26" i="5"/>
  <c r="AE37" i="5"/>
  <c r="AE41" i="5"/>
  <c r="AE43" i="5"/>
  <c r="AE45" i="5"/>
  <c r="AE47" i="5"/>
  <c r="AE49" i="5"/>
  <c r="AE51" i="5"/>
  <c r="AE30" i="5"/>
  <c r="AE11" i="5"/>
  <c r="AE35" i="5"/>
  <c r="AE39" i="5"/>
  <c r="AE50" i="5"/>
  <c r="AE22" i="5"/>
  <c r="AE52" i="5"/>
  <c r="AE2" i="21"/>
  <c r="AI6" i="5"/>
  <c r="AI8" i="5"/>
  <c r="AI10" i="5"/>
  <c r="AI12" i="5"/>
  <c r="AI18" i="5"/>
  <c r="AI20" i="5"/>
  <c r="AI14" i="5"/>
  <c r="AI17" i="5"/>
  <c r="AI19" i="5"/>
  <c r="AI21" i="5"/>
  <c r="AI23" i="5"/>
  <c r="AI25" i="5"/>
  <c r="AI27" i="5"/>
  <c r="AI29" i="5"/>
  <c r="AI11" i="5"/>
  <c r="AI26" i="5"/>
  <c r="AI31" i="5"/>
  <c r="AI7" i="5"/>
  <c r="AI15" i="5"/>
  <c r="AI22" i="5"/>
  <c r="AI30" i="5"/>
  <c r="AI32" i="5"/>
  <c r="AI34" i="5"/>
  <c r="AI36" i="5"/>
  <c r="AI38" i="5"/>
  <c r="AI40" i="5"/>
  <c r="AI16" i="5"/>
  <c r="AI35" i="5"/>
  <c r="AI42" i="5"/>
  <c r="AI44" i="5"/>
  <c r="AI46" i="5"/>
  <c r="AI48" i="5"/>
  <c r="AI9" i="5"/>
  <c r="AI28" i="5"/>
  <c r="AI39" i="5"/>
  <c r="AI41" i="5"/>
  <c r="AI43" i="5"/>
  <c r="AI45" i="5"/>
  <c r="AI47" i="5"/>
  <c r="AI49" i="5"/>
  <c r="AI51" i="5"/>
  <c r="AI33" i="5"/>
  <c r="AI13" i="5"/>
  <c r="AI37" i="5"/>
  <c r="AI52" i="5"/>
  <c r="AI24" i="5"/>
  <c r="AI50" i="5"/>
  <c r="J2" i="21"/>
  <c r="N6" i="5"/>
  <c r="N8" i="5"/>
  <c r="N10" i="5"/>
  <c r="N12" i="5"/>
  <c r="N14" i="5"/>
  <c r="N16" i="5"/>
  <c r="N9" i="5"/>
  <c r="N13" i="5"/>
  <c r="N7" i="5"/>
  <c r="N11" i="5"/>
  <c r="N17" i="5"/>
  <c r="N21" i="5"/>
  <c r="N26" i="5"/>
  <c r="N29" i="5"/>
  <c r="N15" i="5"/>
  <c r="N19" i="5"/>
  <c r="N25" i="5"/>
  <c r="N30" i="5"/>
  <c r="N20" i="5"/>
  <c r="N32" i="5"/>
  <c r="N35" i="5"/>
  <c r="N38" i="5"/>
  <c r="N23" i="5"/>
  <c r="N28" i="5"/>
  <c r="N34" i="5"/>
  <c r="N39" i="5"/>
  <c r="N22" i="5"/>
  <c r="N27" i="5"/>
  <c r="N33" i="5"/>
  <c r="N42" i="5"/>
  <c r="N46" i="5"/>
  <c r="N50" i="5"/>
  <c r="N51" i="5"/>
  <c r="N18" i="5"/>
  <c r="N45" i="5"/>
  <c r="N49" i="5"/>
  <c r="N36" i="5"/>
  <c r="N41" i="5"/>
  <c r="N44" i="5"/>
  <c r="N48" i="5"/>
  <c r="N52" i="5"/>
  <c r="N24" i="5"/>
  <c r="N31" i="5"/>
  <c r="N40" i="5"/>
  <c r="N43" i="5"/>
  <c r="N47" i="5"/>
  <c r="N37" i="5"/>
  <c r="D2" i="21"/>
  <c r="H7" i="5"/>
  <c r="H9" i="5"/>
  <c r="H11" i="5"/>
  <c r="H13" i="5"/>
  <c r="H15" i="5"/>
  <c r="H17" i="5"/>
  <c r="H6" i="5"/>
  <c r="H10" i="5"/>
  <c r="H14" i="5"/>
  <c r="H8" i="5"/>
  <c r="H12" i="5"/>
  <c r="H18" i="5"/>
  <c r="H22" i="5"/>
  <c r="H23" i="5"/>
  <c r="H26" i="5"/>
  <c r="H20" i="5"/>
  <c r="H27" i="5"/>
  <c r="H30" i="5"/>
  <c r="H28" i="5"/>
  <c r="H35" i="5"/>
  <c r="H40" i="5"/>
  <c r="H21" i="5"/>
  <c r="H25" i="5"/>
  <c r="H31" i="5"/>
  <c r="H36" i="5"/>
  <c r="H39" i="5"/>
  <c r="H19" i="5"/>
  <c r="H41" i="5"/>
  <c r="H43" i="5"/>
  <c r="H47" i="5"/>
  <c r="H34" i="5"/>
  <c r="H46" i="5"/>
  <c r="H50" i="5"/>
  <c r="H16" i="5"/>
  <c r="H24" i="5"/>
  <c r="H29" i="5"/>
  <c r="H33" i="5"/>
  <c r="H38" i="5"/>
  <c r="H45" i="5"/>
  <c r="H49" i="5"/>
  <c r="H52" i="5"/>
  <c r="H37" i="5"/>
  <c r="H44" i="5"/>
  <c r="H48" i="5"/>
  <c r="H51" i="5"/>
  <c r="H32" i="5"/>
  <c r="H42" i="5"/>
  <c r="L2" i="21"/>
  <c r="P7" i="5"/>
  <c r="P9" i="5"/>
  <c r="P11" i="5"/>
  <c r="P13" i="5"/>
  <c r="P15" i="5"/>
  <c r="P17" i="5"/>
  <c r="P6" i="5"/>
  <c r="P10" i="5"/>
  <c r="P14" i="5"/>
  <c r="P8" i="5"/>
  <c r="P12" i="5"/>
  <c r="P18" i="5"/>
  <c r="P22" i="5"/>
  <c r="P27" i="5"/>
  <c r="P30" i="5"/>
  <c r="P16" i="5"/>
  <c r="P20" i="5"/>
  <c r="P23" i="5"/>
  <c r="P26" i="5"/>
  <c r="P21" i="5"/>
  <c r="P36" i="5"/>
  <c r="P39" i="5"/>
  <c r="P24" i="5"/>
  <c r="P29" i="5"/>
  <c r="P31" i="5"/>
  <c r="P35" i="5"/>
  <c r="P40" i="5"/>
  <c r="P34" i="5"/>
  <c r="P43" i="5"/>
  <c r="P47" i="5"/>
  <c r="P52" i="5"/>
  <c r="P19" i="5"/>
  <c r="P33" i="5"/>
  <c r="P42" i="5"/>
  <c r="P51" i="5"/>
  <c r="P28" i="5"/>
  <c r="P37" i="5"/>
  <c r="P45" i="5"/>
  <c r="P49" i="5"/>
  <c r="P32" i="5"/>
  <c r="P41" i="5"/>
  <c r="P44" i="5"/>
  <c r="P48" i="5"/>
  <c r="P25" i="5"/>
  <c r="P38" i="5"/>
  <c r="P46" i="5"/>
  <c r="P50" i="5"/>
  <c r="H2" i="21"/>
  <c r="L7" i="5"/>
  <c r="L9" i="5"/>
  <c r="L11" i="5"/>
  <c r="L13" i="5"/>
  <c r="L15" i="5"/>
  <c r="L17" i="5"/>
  <c r="L8" i="5"/>
  <c r="L12" i="5"/>
  <c r="L6" i="5"/>
  <c r="L10" i="5"/>
  <c r="L14" i="5"/>
  <c r="L16" i="5"/>
  <c r="L20" i="5"/>
  <c r="L25" i="5"/>
  <c r="L28" i="5"/>
  <c r="L18" i="5"/>
  <c r="L22" i="5"/>
  <c r="L24" i="5"/>
  <c r="L29" i="5"/>
  <c r="L19" i="5"/>
  <c r="L30" i="5"/>
  <c r="L31" i="5"/>
  <c r="L34" i="5"/>
  <c r="L37" i="5"/>
  <c r="L27" i="5"/>
  <c r="L33" i="5"/>
  <c r="L38" i="5"/>
  <c r="L41" i="5"/>
  <c r="L21" i="5"/>
  <c r="L45" i="5"/>
  <c r="L49" i="5"/>
  <c r="L23" i="5"/>
  <c r="L52" i="5"/>
  <c r="L26" i="5"/>
  <c r="L32" i="5"/>
  <c r="L35" i="5"/>
  <c r="L40" i="5"/>
  <c r="L43" i="5"/>
  <c r="L47" i="5"/>
  <c r="L51" i="5"/>
  <c r="L39" i="5"/>
  <c r="L42" i="5"/>
  <c r="L46" i="5"/>
  <c r="L50" i="5"/>
  <c r="L36" i="5"/>
  <c r="L44" i="5"/>
  <c r="L48" i="5"/>
  <c r="X2" i="21"/>
  <c r="AB7" i="5"/>
  <c r="AB9" i="5"/>
  <c r="AB11" i="5"/>
  <c r="AB13" i="5"/>
  <c r="AB15" i="5"/>
  <c r="AB8" i="5"/>
  <c r="AB12" i="5"/>
  <c r="AB6" i="5"/>
  <c r="AB10" i="5"/>
  <c r="AB14" i="5"/>
  <c r="AB16" i="5"/>
  <c r="AB20" i="5"/>
  <c r="AB25" i="5"/>
  <c r="AB28" i="5"/>
  <c r="AB18" i="5"/>
  <c r="AB24" i="5"/>
  <c r="AB29" i="5"/>
  <c r="AB19" i="5"/>
  <c r="AB22" i="5"/>
  <c r="AB27" i="5"/>
  <c r="AB31" i="5"/>
  <c r="AB34" i="5"/>
  <c r="AB37" i="5"/>
  <c r="AB30" i="5"/>
  <c r="AB33" i="5"/>
  <c r="AB38" i="5"/>
  <c r="AB23" i="5"/>
  <c r="AB35" i="5"/>
  <c r="AB40" i="5"/>
  <c r="AB41" i="5"/>
  <c r="AB45" i="5"/>
  <c r="AB49" i="5"/>
  <c r="AB50" i="5"/>
  <c r="AB26" i="5"/>
  <c r="AB39" i="5"/>
  <c r="AB44" i="5"/>
  <c r="AB48" i="5"/>
  <c r="AB52" i="5"/>
  <c r="AB21" i="5"/>
  <c r="AB32" i="5"/>
  <c r="AB43" i="5"/>
  <c r="AB47" i="5"/>
  <c r="AB51" i="5"/>
  <c r="AB17" i="5"/>
  <c r="AB36" i="5"/>
  <c r="AB42" i="5"/>
  <c r="AB46" i="5"/>
  <c r="T2" i="21"/>
  <c r="X7" i="5"/>
  <c r="X9" i="5"/>
  <c r="X11" i="5"/>
  <c r="X13" i="5"/>
  <c r="X15" i="5"/>
  <c r="X6" i="5"/>
  <c r="X10" i="5"/>
  <c r="X14" i="5"/>
  <c r="X8" i="5"/>
  <c r="X12" i="5"/>
  <c r="X18" i="5"/>
  <c r="X23" i="5"/>
  <c r="X26" i="5"/>
  <c r="X20" i="5"/>
  <c r="X22" i="5"/>
  <c r="X27" i="5"/>
  <c r="X30" i="5"/>
  <c r="X17" i="5"/>
  <c r="X25" i="5"/>
  <c r="X35" i="5"/>
  <c r="X40" i="5"/>
  <c r="X16" i="5"/>
  <c r="X21" i="5"/>
  <c r="X28" i="5"/>
  <c r="X31" i="5"/>
  <c r="X36" i="5"/>
  <c r="X39" i="5"/>
  <c r="X33" i="5"/>
  <c r="X38" i="5"/>
  <c r="X43" i="5"/>
  <c r="X47" i="5"/>
  <c r="X24" i="5"/>
  <c r="X29" i="5"/>
  <c r="X32" i="5"/>
  <c r="X46" i="5"/>
  <c r="X19" i="5"/>
  <c r="X41" i="5"/>
  <c r="X45" i="5"/>
  <c r="X49" i="5"/>
  <c r="X52" i="5"/>
  <c r="X34" i="5"/>
  <c r="X44" i="5"/>
  <c r="X48" i="5"/>
  <c r="X51" i="5"/>
  <c r="X37" i="5"/>
  <c r="X42" i="5"/>
  <c r="X50" i="5"/>
  <c r="P2" i="21"/>
  <c r="T7" i="5"/>
  <c r="T9" i="5"/>
  <c r="T11" i="5"/>
  <c r="T13" i="5"/>
  <c r="T15" i="5"/>
  <c r="T8" i="5"/>
  <c r="T12" i="5"/>
  <c r="T16" i="5"/>
  <c r="T6" i="5"/>
  <c r="T10" i="5"/>
  <c r="T14" i="5"/>
  <c r="T20" i="5"/>
  <c r="T24" i="5"/>
  <c r="T29" i="5"/>
  <c r="T18" i="5"/>
  <c r="T25" i="5"/>
  <c r="T28" i="5"/>
  <c r="T23" i="5"/>
  <c r="T31" i="5"/>
  <c r="T33" i="5"/>
  <c r="T38" i="5"/>
  <c r="T41" i="5"/>
  <c r="T19" i="5"/>
  <c r="T26" i="5"/>
  <c r="T34" i="5"/>
  <c r="T37" i="5"/>
  <c r="T32" i="5"/>
  <c r="T36" i="5"/>
  <c r="T45" i="5"/>
  <c r="T49" i="5"/>
  <c r="T51" i="5"/>
  <c r="T21" i="5"/>
  <c r="T22" i="5"/>
  <c r="T27" i="5"/>
  <c r="T40" i="5"/>
  <c r="T17" i="5"/>
  <c r="T30" i="5"/>
  <c r="T39" i="5"/>
  <c r="T43" i="5"/>
  <c r="T47" i="5"/>
  <c r="T42" i="5"/>
  <c r="T46" i="5"/>
  <c r="T50" i="5"/>
  <c r="T52" i="5"/>
  <c r="T35" i="5"/>
  <c r="T44" i="5"/>
  <c r="T48" i="5"/>
  <c r="Z2" i="21"/>
  <c r="AD6" i="5"/>
  <c r="AD8" i="5"/>
  <c r="AD10" i="5"/>
  <c r="AD12" i="5"/>
  <c r="AD14" i="5"/>
  <c r="AD16" i="5"/>
  <c r="AD9" i="5"/>
  <c r="AD13" i="5"/>
  <c r="AD7" i="5"/>
  <c r="AD11" i="5"/>
  <c r="AD15" i="5"/>
  <c r="AD17" i="5"/>
  <c r="AD21" i="5"/>
  <c r="AD26" i="5"/>
  <c r="AD29" i="5"/>
  <c r="AD19" i="5"/>
  <c r="AD22" i="5"/>
  <c r="AD25" i="5"/>
  <c r="AD30" i="5"/>
  <c r="AD20" i="5"/>
  <c r="AD23" i="5"/>
  <c r="AD28" i="5"/>
  <c r="AD35" i="5"/>
  <c r="AD38" i="5"/>
  <c r="AD34" i="5"/>
  <c r="AD39" i="5"/>
  <c r="AD36" i="5"/>
  <c r="AD42" i="5"/>
  <c r="AD46" i="5"/>
  <c r="AD51" i="5"/>
  <c r="AD50" i="5"/>
  <c r="AD24" i="5"/>
  <c r="AD33" i="5"/>
  <c r="AD44" i="5"/>
  <c r="AD48" i="5"/>
  <c r="AD52" i="5"/>
  <c r="AD18" i="5"/>
  <c r="AD27" i="5"/>
  <c r="AD31" i="5"/>
  <c r="AD32" i="5"/>
  <c r="AD37" i="5"/>
  <c r="AD43" i="5"/>
  <c r="AD47" i="5"/>
  <c r="AD40" i="5"/>
  <c r="AD41" i="5"/>
  <c r="AD45" i="5"/>
  <c r="AD49" i="5"/>
  <c r="AD2" i="21"/>
  <c r="AH6" i="5"/>
  <c r="AH8" i="5"/>
  <c r="AH10" i="5"/>
  <c r="AH12" i="5"/>
  <c r="AH14" i="5"/>
  <c r="AH16" i="5"/>
  <c r="AH7" i="5"/>
  <c r="AH11" i="5"/>
  <c r="AH15" i="5"/>
  <c r="AH9" i="5"/>
  <c r="AH13" i="5"/>
  <c r="AH19" i="5"/>
  <c r="AH23" i="5"/>
  <c r="AH28" i="5"/>
  <c r="AH17" i="5"/>
  <c r="AH21" i="5"/>
  <c r="AH24" i="5"/>
  <c r="AH27" i="5"/>
  <c r="AH25" i="5"/>
  <c r="AH30" i="5"/>
  <c r="AH32" i="5"/>
  <c r="AH37" i="5"/>
  <c r="AH40" i="5"/>
  <c r="AH18" i="5"/>
  <c r="AH22" i="5"/>
  <c r="AH33" i="5"/>
  <c r="AH36" i="5"/>
  <c r="AH31" i="5"/>
  <c r="AH38" i="5"/>
  <c r="AH44" i="5"/>
  <c r="AH48" i="5"/>
  <c r="AH50" i="5"/>
  <c r="AH43" i="5"/>
  <c r="AH47" i="5"/>
  <c r="AH26" i="5"/>
  <c r="AH35" i="5"/>
  <c r="AH42" i="5"/>
  <c r="AH46" i="5"/>
  <c r="AH20" i="5"/>
  <c r="AH29" i="5"/>
  <c r="AH34" i="5"/>
  <c r="AH39" i="5"/>
  <c r="AH41" i="5"/>
  <c r="AH45" i="5"/>
  <c r="AH49" i="5"/>
  <c r="AH51" i="5"/>
  <c r="AH52" i="5"/>
  <c r="F2" i="21"/>
  <c r="J6" i="5"/>
  <c r="J8" i="5"/>
  <c r="J10" i="5"/>
  <c r="J12" i="5"/>
  <c r="J14" i="5"/>
  <c r="J16" i="5"/>
  <c r="J7" i="5"/>
  <c r="J11" i="5"/>
  <c r="J9" i="5"/>
  <c r="J13" i="5"/>
  <c r="J15" i="5"/>
  <c r="J19" i="5"/>
  <c r="J24" i="5"/>
  <c r="J27" i="5"/>
  <c r="J21" i="5"/>
  <c r="J23" i="5"/>
  <c r="J28" i="5"/>
  <c r="J18" i="5"/>
  <c r="J29" i="5"/>
  <c r="J33" i="5"/>
  <c r="J36" i="5"/>
  <c r="J41" i="5"/>
  <c r="J22" i="5"/>
  <c r="J26" i="5"/>
  <c r="J32" i="5"/>
  <c r="J37" i="5"/>
  <c r="J40" i="5"/>
  <c r="J20" i="5"/>
  <c r="J25" i="5"/>
  <c r="J30" i="5"/>
  <c r="J44" i="5"/>
  <c r="J48" i="5"/>
  <c r="J17" i="5"/>
  <c r="J35" i="5"/>
  <c r="J43" i="5"/>
  <c r="J47" i="5"/>
  <c r="J31" i="5"/>
  <c r="J34" i="5"/>
  <c r="J39" i="5"/>
  <c r="J42" i="5"/>
  <c r="J46" i="5"/>
  <c r="J50" i="5"/>
  <c r="J38" i="5"/>
  <c r="J45" i="5"/>
  <c r="J49" i="5"/>
  <c r="J52" i="5"/>
  <c r="J51" i="5"/>
  <c r="O2" i="21"/>
  <c r="S6" i="5"/>
  <c r="S8" i="5"/>
  <c r="S10" i="5"/>
  <c r="S12" i="5"/>
  <c r="S14" i="5"/>
  <c r="S18" i="5"/>
  <c r="S20" i="5"/>
  <c r="S17" i="5"/>
  <c r="S19" i="5"/>
  <c r="S21" i="5"/>
  <c r="S23" i="5"/>
  <c r="S25" i="5"/>
  <c r="S27" i="5"/>
  <c r="S29" i="5"/>
  <c r="S11" i="5"/>
  <c r="S15" i="5"/>
  <c r="S26" i="5"/>
  <c r="S31" i="5"/>
  <c r="S7" i="5"/>
  <c r="S22" i="5"/>
  <c r="S30" i="5"/>
  <c r="S32" i="5"/>
  <c r="S34" i="5"/>
  <c r="S36" i="5"/>
  <c r="S38" i="5"/>
  <c r="S40" i="5"/>
  <c r="S9" i="5"/>
  <c r="S28" i="5"/>
  <c r="S35" i="5"/>
  <c r="S42" i="5"/>
  <c r="S44" i="5"/>
  <c r="S46" i="5"/>
  <c r="S48" i="5"/>
  <c r="S50" i="5"/>
  <c r="S39" i="5"/>
  <c r="S43" i="5"/>
  <c r="S45" i="5"/>
  <c r="S47" i="5"/>
  <c r="S49" i="5"/>
  <c r="S51" i="5"/>
  <c r="S13" i="5"/>
  <c r="S24" i="5"/>
  <c r="S41" i="5"/>
  <c r="S33" i="5"/>
  <c r="S52" i="5"/>
  <c r="S16" i="5"/>
  <c r="S37" i="5"/>
  <c r="K2" i="21"/>
  <c r="O6" i="5"/>
  <c r="O8" i="5"/>
  <c r="O10" i="5"/>
  <c r="O12" i="5"/>
  <c r="O14" i="5"/>
  <c r="O16" i="5"/>
  <c r="O18" i="5"/>
  <c r="O20" i="5"/>
  <c r="O22" i="5"/>
  <c r="O15" i="5"/>
  <c r="O19" i="5"/>
  <c r="O21" i="5"/>
  <c r="O23" i="5"/>
  <c r="O25" i="5"/>
  <c r="O27" i="5"/>
  <c r="O29" i="5"/>
  <c r="O9" i="5"/>
  <c r="O24" i="5"/>
  <c r="O31" i="5"/>
  <c r="O13" i="5"/>
  <c r="O28" i="5"/>
  <c r="O32" i="5"/>
  <c r="O34" i="5"/>
  <c r="O36" i="5"/>
  <c r="O38" i="5"/>
  <c r="O40" i="5"/>
  <c r="O7" i="5"/>
  <c r="O26" i="5"/>
  <c r="O33" i="5"/>
  <c r="O41" i="5"/>
  <c r="O42" i="5"/>
  <c r="O44" i="5"/>
  <c r="O46" i="5"/>
  <c r="O48" i="5"/>
  <c r="O50" i="5"/>
  <c r="O17" i="5"/>
  <c r="O37" i="5"/>
  <c r="O43" i="5"/>
  <c r="O45" i="5"/>
  <c r="O47" i="5"/>
  <c r="O49" i="5"/>
  <c r="O51" i="5"/>
  <c r="O11" i="5"/>
  <c r="O39" i="5"/>
  <c r="O30" i="5"/>
  <c r="O35" i="5"/>
  <c r="O52" i="5"/>
  <c r="G2" i="21"/>
  <c r="K6" i="5"/>
  <c r="K8" i="5"/>
  <c r="K10" i="5"/>
  <c r="K12" i="5"/>
  <c r="K14" i="5"/>
  <c r="K17" i="5"/>
  <c r="K18" i="5"/>
  <c r="K20" i="5"/>
  <c r="K22" i="5"/>
  <c r="K19" i="5"/>
  <c r="K21" i="5"/>
  <c r="K23" i="5"/>
  <c r="K25" i="5"/>
  <c r="K27" i="5"/>
  <c r="K29" i="5"/>
  <c r="K7" i="5"/>
  <c r="K16" i="5"/>
  <c r="K30" i="5"/>
  <c r="K31" i="5"/>
  <c r="K11" i="5"/>
  <c r="K26" i="5"/>
  <c r="K32" i="5"/>
  <c r="K34" i="5"/>
  <c r="K36" i="5"/>
  <c r="K38" i="5"/>
  <c r="K40" i="5"/>
  <c r="K24" i="5"/>
  <c r="K39" i="5"/>
  <c r="K42" i="5"/>
  <c r="K44" i="5"/>
  <c r="K46" i="5"/>
  <c r="K48" i="5"/>
  <c r="K50" i="5"/>
  <c r="K13" i="5"/>
  <c r="K15" i="5"/>
  <c r="K35" i="5"/>
  <c r="K43" i="5"/>
  <c r="K45" i="5"/>
  <c r="K47" i="5"/>
  <c r="K49" i="5"/>
  <c r="K51" i="5"/>
  <c r="K9" i="5"/>
  <c r="K37" i="5"/>
  <c r="K52" i="5"/>
  <c r="K28" i="5"/>
  <c r="K33" i="5"/>
  <c r="K41" i="5"/>
  <c r="W2" i="21"/>
  <c r="AA6" i="5"/>
  <c r="AA8" i="5"/>
  <c r="AA10" i="5"/>
  <c r="AA12" i="5"/>
  <c r="AA14" i="5"/>
  <c r="AA18" i="5"/>
  <c r="AA20" i="5"/>
  <c r="AA17" i="5"/>
  <c r="AA19" i="5"/>
  <c r="AA21" i="5"/>
  <c r="AA23" i="5"/>
  <c r="AA25" i="5"/>
  <c r="AA27" i="5"/>
  <c r="AA29" i="5"/>
  <c r="AA7" i="5"/>
  <c r="AA22" i="5"/>
  <c r="AA30" i="5"/>
  <c r="AA31" i="5"/>
  <c r="AA11" i="5"/>
  <c r="AA16" i="5"/>
  <c r="AA26" i="5"/>
  <c r="AA32" i="5"/>
  <c r="AA34" i="5"/>
  <c r="AA36" i="5"/>
  <c r="AA38" i="5"/>
  <c r="AA40" i="5"/>
  <c r="AA13" i="5"/>
  <c r="AA39" i="5"/>
  <c r="AA42" i="5"/>
  <c r="AA44" i="5"/>
  <c r="AA46" i="5"/>
  <c r="AA48" i="5"/>
  <c r="AA24" i="5"/>
  <c r="AA35" i="5"/>
  <c r="AA41" i="5"/>
  <c r="AA43" i="5"/>
  <c r="AA45" i="5"/>
  <c r="AA47" i="5"/>
  <c r="AA49" i="5"/>
  <c r="AA51" i="5"/>
  <c r="AA28" i="5"/>
  <c r="AA52" i="5"/>
  <c r="AA9" i="5"/>
  <c r="AA15" i="5"/>
  <c r="AA37" i="5"/>
  <c r="AA50" i="5"/>
  <c r="AA33" i="5"/>
  <c r="S2" i="21"/>
  <c r="W6" i="5"/>
  <c r="W8" i="5"/>
  <c r="W10" i="5"/>
  <c r="W12" i="5"/>
  <c r="W14" i="5"/>
  <c r="W15" i="5"/>
  <c r="W18" i="5"/>
  <c r="W20" i="5"/>
  <c r="W16" i="5"/>
  <c r="W17" i="5"/>
  <c r="W19" i="5"/>
  <c r="W21" i="5"/>
  <c r="W23" i="5"/>
  <c r="W25" i="5"/>
  <c r="W27" i="5"/>
  <c r="W29" i="5"/>
  <c r="W13" i="5"/>
  <c r="W28" i="5"/>
  <c r="W31" i="5"/>
  <c r="W9" i="5"/>
  <c r="W24" i="5"/>
  <c r="W32" i="5"/>
  <c r="W34" i="5"/>
  <c r="W36" i="5"/>
  <c r="W38" i="5"/>
  <c r="W40" i="5"/>
  <c r="W11" i="5"/>
  <c r="W30" i="5"/>
  <c r="W37" i="5"/>
  <c r="W42" i="5"/>
  <c r="W44" i="5"/>
  <c r="W46" i="5"/>
  <c r="W48" i="5"/>
  <c r="W50" i="5"/>
  <c r="W22" i="5"/>
  <c r="W33" i="5"/>
  <c r="W41" i="5"/>
  <c r="W43" i="5"/>
  <c r="W45" i="5"/>
  <c r="W47" i="5"/>
  <c r="W49" i="5"/>
  <c r="W51" i="5"/>
  <c r="W26" i="5"/>
  <c r="W7" i="5"/>
  <c r="W35" i="5"/>
  <c r="W39" i="5"/>
  <c r="W52" i="5"/>
  <c r="AC2" i="21"/>
  <c r="AG7" i="5"/>
  <c r="AG9" i="5"/>
  <c r="AG11" i="5"/>
  <c r="AG13" i="5"/>
  <c r="AG17" i="5"/>
  <c r="AG19" i="5"/>
  <c r="AG21" i="5"/>
  <c r="AG16" i="5"/>
  <c r="AG18" i="5"/>
  <c r="AG20" i="5"/>
  <c r="AG22" i="5"/>
  <c r="AG24" i="5"/>
  <c r="AG26" i="5"/>
  <c r="AG28" i="5"/>
  <c r="AG30" i="5"/>
  <c r="AG10" i="5"/>
  <c r="AG25" i="5"/>
  <c r="AG6" i="5"/>
  <c r="AG14" i="5"/>
  <c r="AG29" i="5"/>
  <c r="AG31" i="5"/>
  <c r="AG33" i="5"/>
  <c r="AG35" i="5"/>
  <c r="AG37" i="5"/>
  <c r="AG39" i="5"/>
  <c r="AG34" i="5"/>
  <c r="AG41" i="5"/>
  <c r="AG43" i="5"/>
  <c r="AG45" i="5"/>
  <c r="AG47" i="5"/>
  <c r="AG49" i="5"/>
  <c r="AG8" i="5"/>
  <c r="AG15" i="5"/>
  <c r="AG27" i="5"/>
  <c r="AG38" i="5"/>
  <c r="AG42" i="5"/>
  <c r="AG44" i="5"/>
  <c r="AG46" i="5"/>
  <c r="AG48" i="5"/>
  <c r="AG50" i="5"/>
  <c r="AG52" i="5"/>
  <c r="AG32" i="5"/>
  <c r="AG23" i="5"/>
  <c r="AG36" i="5"/>
  <c r="AG40" i="5"/>
  <c r="AG51" i="5"/>
  <c r="AG12" i="5"/>
  <c r="Y2" i="21"/>
  <c r="AC7" i="5"/>
  <c r="AC9" i="5"/>
  <c r="AC11" i="5"/>
  <c r="AC13" i="5"/>
  <c r="AC15" i="5"/>
  <c r="AC17" i="5"/>
  <c r="AC19" i="5"/>
  <c r="AC21" i="5"/>
  <c r="AC18" i="5"/>
  <c r="AC20" i="5"/>
  <c r="AC22" i="5"/>
  <c r="AC24" i="5"/>
  <c r="AC26" i="5"/>
  <c r="AC28" i="5"/>
  <c r="AC30" i="5"/>
  <c r="AC8" i="5"/>
  <c r="AC23" i="5"/>
  <c r="AC12" i="5"/>
  <c r="AC27" i="5"/>
  <c r="AC31" i="5"/>
  <c r="AC33" i="5"/>
  <c r="AC35" i="5"/>
  <c r="AC37" i="5"/>
  <c r="AC39" i="5"/>
  <c r="AC14" i="5"/>
  <c r="AC32" i="5"/>
  <c r="AC40" i="5"/>
  <c r="AC41" i="5"/>
  <c r="AC43" i="5"/>
  <c r="AC45" i="5"/>
  <c r="AC47" i="5"/>
  <c r="AC49" i="5"/>
  <c r="AC6" i="5"/>
  <c r="AC25" i="5"/>
  <c r="AC36" i="5"/>
  <c r="AC42" i="5"/>
  <c r="AC44" i="5"/>
  <c r="AC46" i="5"/>
  <c r="AC48" i="5"/>
  <c r="AC50" i="5"/>
  <c r="AC52" i="5"/>
  <c r="AC16" i="5"/>
  <c r="AC29" i="5"/>
  <c r="AC38" i="5"/>
  <c r="AC10" i="5"/>
  <c r="AC51" i="5"/>
  <c r="AC34" i="5"/>
  <c r="AG2" i="21"/>
  <c r="AK7" i="5"/>
  <c r="AK9" i="5"/>
  <c r="AK11" i="5"/>
  <c r="AK13" i="5"/>
  <c r="AK14" i="5"/>
  <c r="AK17" i="5"/>
  <c r="AK19" i="5"/>
  <c r="AK21" i="5"/>
  <c r="AK15" i="5"/>
  <c r="AK18" i="5"/>
  <c r="AK20" i="5"/>
  <c r="AK22" i="5"/>
  <c r="AK24" i="5"/>
  <c r="AK26" i="5"/>
  <c r="AK28" i="5"/>
  <c r="AK12" i="5"/>
  <c r="AK27" i="5"/>
  <c r="AK30" i="5"/>
  <c r="AK8" i="5"/>
  <c r="AK16" i="5"/>
  <c r="AK23" i="5"/>
  <c r="AK31" i="5"/>
  <c r="AK33" i="5"/>
  <c r="AK35" i="5"/>
  <c r="AK37" i="5"/>
  <c r="AK39" i="5"/>
  <c r="AK36" i="5"/>
  <c r="AK41" i="5"/>
  <c r="AK43" i="5"/>
  <c r="AK45" i="5"/>
  <c r="AK47" i="5"/>
  <c r="AK49" i="5"/>
  <c r="AK10" i="5"/>
  <c r="AK29" i="5"/>
  <c r="AK32" i="5"/>
  <c r="AK40" i="5"/>
  <c r="AK42" i="5"/>
  <c r="AK44" i="5"/>
  <c r="AK46" i="5"/>
  <c r="AK48" i="5"/>
  <c r="AK50" i="5"/>
  <c r="AK52" i="5"/>
  <c r="AK6" i="5"/>
  <c r="AK34" i="5"/>
  <c r="AK25" i="5"/>
  <c r="AK38" i="5"/>
  <c r="AK51" i="5"/>
  <c r="B46" i="18"/>
  <c r="B47" i="18"/>
  <c r="D46" i="18" l="1"/>
  <c r="B8" i="18"/>
  <c r="D8" i="18"/>
  <c r="B9" i="18"/>
  <c r="D9" i="18"/>
  <c r="B10" i="18"/>
  <c r="D10" i="18"/>
  <c r="B11" i="18"/>
  <c r="D11" i="18"/>
  <c r="B12" i="18"/>
  <c r="D12" i="18"/>
  <c r="B13" i="18"/>
  <c r="D13" i="18"/>
  <c r="B14" i="18"/>
  <c r="D14" i="18"/>
  <c r="B15" i="18"/>
  <c r="D15" i="18"/>
  <c r="B16" i="18"/>
  <c r="D16" i="18"/>
  <c r="B17" i="18"/>
  <c r="D17" i="18"/>
  <c r="B18" i="18"/>
  <c r="D18" i="18"/>
  <c r="B19" i="18"/>
  <c r="D19" i="18"/>
  <c r="B20" i="18"/>
  <c r="D20" i="18"/>
  <c r="B21" i="18"/>
  <c r="D21" i="18"/>
  <c r="B22" i="18"/>
  <c r="D22" i="18"/>
  <c r="B23" i="18"/>
  <c r="D23" i="18"/>
  <c r="B24" i="18"/>
  <c r="D24" i="18"/>
  <c r="B25" i="18"/>
  <c r="D25" i="18"/>
  <c r="B26" i="18"/>
  <c r="D26" i="18"/>
  <c r="B27" i="18"/>
  <c r="D27" i="18"/>
  <c r="B28" i="18"/>
  <c r="D28" i="18"/>
  <c r="B29" i="18"/>
  <c r="D29" i="18"/>
  <c r="B30" i="18"/>
  <c r="D30" i="18"/>
  <c r="B31" i="18"/>
  <c r="D31" i="18"/>
  <c r="B32" i="18"/>
  <c r="D32" i="18"/>
  <c r="B33" i="18"/>
  <c r="D33" i="18"/>
  <c r="B34" i="18"/>
  <c r="D34" i="18"/>
  <c r="B35" i="18"/>
  <c r="D35" i="18"/>
  <c r="B36" i="18"/>
  <c r="D36" i="18"/>
  <c r="B37" i="18"/>
  <c r="D37" i="18"/>
  <c r="B38" i="18"/>
  <c r="D38" i="18"/>
  <c r="B39" i="18"/>
  <c r="D39" i="18"/>
  <c r="B40" i="18"/>
  <c r="D40" i="18"/>
  <c r="B41" i="18"/>
  <c r="D41" i="18"/>
  <c r="B42" i="18"/>
  <c r="D42" i="18"/>
  <c r="B43" i="18"/>
  <c r="D43" i="18"/>
  <c r="B44" i="18"/>
  <c r="D44" i="18"/>
  <c r="B45" i="18"/>
  <c r="D45" i="18"/>
  <c r="D7" i="18" l="1"/>
  <c r="C2" i="21" l="1"/>
  <c r="B7" i="18"/>
  <c r="E6" i="5"/>
  <c r="F6" i="5"/>
  <c r="B6" i="5" l="1"/>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profile</author>
  </authors>
  <commentList>
    <comment ref="F2" authorId="0">
      <text>
        <r>
          <rPr>
            <b/>
            <sz val="9"/>
            <color indexed="81"/>
            <rFont val="Tahoma"/>
            <family val="2"/>
          </rPr>
          <t>Informe o nome da aplicação para a qual está respondendo as questões</t>
        </r>
        <r>
          <rPr>
            <sz val="9"/>
            <color indexed="81"/>
            <rFont val="Tahoma"/>
            <family val="2"/>
          </rPr>
          <t xml:space="preserve">
</t>
        </r>
      </text>
    </comment>
    <comment ref="G2" authorId="0">
      <text>
        <r>
          <rPr>
            <b/>
            <sz val="9"/>
            <color indexed="81"/>
            <rFont val="Tahoma"/>
            <family val="2"/>
          </rPr>
          <t>Informe o nome da aplicação para a qual está respondendo as questões</t>
        </r>
        <r>
          <rPr>
            <sz val="9"/>
            <color indexed="81"/>
            <rFont val="Tahoma"/>
            <family val="2"/>
          </rPr>
          <t xml:space="preserve">
</t>
        </r>
      </text>
    </comment>
    <comment ref="H2" authorId="0">
      <text>
        <r>
          <rPr>
            <b/>
            <sz val="9"/>
            <color indexed="81"/>
            <rFont val="Tahoma"/>
            <family val="2"/>
          </rPr>
          <t>Informe o nome da aplicação para a qual está respondendo as questões</t>
        </r>
        <r>
          <rPr>
            <sz val="9"/>
            <color indexed="81"/>
            <rFont val="Tahoma"/>
            <family val="2"/>
          </rPr>
          <t xml:space="preserve">
</t>
        </r>
      </text>
    </comment>
    <comment ref="I2" authorId="0">
      <text>
        <r>
          <rPr>
            <b/>
            <sz val="9"/>
            <color indexed="81"/>
            <rFont val="Tahoma"/>
            <family val="2"/>
          </rPr>
          <t>Informe o nome da aplicação para a qual está respondendo as questões</t>
        </r>
        <r>
          <rPr>
            <sz val="9"/>
            <color indexed="81"/>
            <rFont val="Tahoma"/>
            <family val="2"/>
          </rPr>
          <t xml:space="preserve">
</t>
        </r>
      </text>
    </comment>
    <comment ref="J2" authorId="0">
      <text>
        <r>
          <rPr>
            <b/>
            <sz val="9"/>
            <color indexed="81"/>
            <rFont val="Tahoma"/>
            <family val="2"/>
          </rPr>
          <t>Informe o nome da aplicação para a qual está respondendo as questões</t>
        </r>
        <r>
          <rPr>
            <sz val="9"/>
            <color indexed="81"/>
            <rFont val="Tahoma"/>
            <family val="2"/>
          </rPr>
          <t xml:space="preserve">
</t>
        </r>
      </text>
    </comment>
    <comment ref="K2" authorId="0">
      <text>
        <r>
          <rPr>
            <b/>
            <sz val="9"/>
            <color indexed="81"/>
            <rFont val="Tahoma"/>
            <family val="2"/>
          </rPr>
          <t>Informe o nome da aplicação para a qual está respondendo as questões</t>
        </r>
        <r>
          <rPr>
            <sz val="9"/>
            <color indexed="81"/>
            <rFont val="Tahoma"/>
            <family val="2"/>
          </rPr>
          <t xml:space="preserve">
</t>
        </r>
      </text>
    </comment>
    <comment ref="L2" authorId="0">
      <text>
        <r>
          <rPr>
            <b/>
            <sz val="9"/>
            <color indexed="81"/>
            <rFont val="Tahoma"/>
            <family val="2"/>
          </rPr>
          <t>Informe o nome da aplicação para a qual está respondendo as questões</t>
        </r>
        <r>
          <rPr>
            <sz val="9"/>
            <color indexed="81"/>
            <rFont val="Tahoma"/>
            <family val="2"/>
          </rPr>
          <t xml:space="preserve">
</t>
        </r>
      </text>
    </comment>
    <comment ref="M2" authorId="0">
      <text>
        <r>
          <rPr>
            <b/>
            <sz val="9"/>
            <color indexed="81"/>
            <rFont val="Tahoma"/>
            <family val="2"/>
          </rPr>
          <t>Informe o nome da aplicação para a qual está respondendo as questões</t>
        </r>
        <r>
          <rPr>
            <sz val="9"/>
            <color indexed="81"/>
            <rFont val="Tahoma"/>
            <family val="2"/>
          </rPr>
          <t xml:space="preserve">
</t>
        </r>
      </text>
    </comment>
    <comment ref="N2" authorId="0">
      <text>
        <r>
          <rPr>
            <b/>
            <sz val="9"/>
            <color indexed="81"/>
            <rFont val="Tahoma"/>
            <family val="2"/>
          </rPr>
          <t>Informe o nome da aplicação para a qual está respondendo as questões</t>
        </r>
        <r>
          <rPr>
            <sz val="9"/>
            <color indexed="81"/>
            <rFont val="Tahoma"/>
            <family val="2"/>
          </rPr>
          <t xml:space="preserve">
</t>
        </r>
      </text>
    </comment>
    <comment ref="O2" authorId="0">
      <text>
        <r>
          <rPr>
            <b/>
            <sz val="9"/>
            <color indexed="81"/>
            <rFont val="Tahoma"/>
            <family val="2"/>
          </rPr>
          <t>Informe o nome da aplicação para a qual está respondendo as questões</t>
        </r>
        <r>
          <rPr>
            <sz val="9"/>
            <color indexed="81"/>
            <rFont val="Tahoma"/>
            <family val="2"/>
          </rPr>
          <t xml:space="preserve">
</t>
        </r>
      </text>
    </comment>
    <comment ref="P2" authorId="0">
      <text>
        <r>
          <rPr>
            <b/>
            <sz val="9"/>
            <color indexed="81"/>
            <rFont val="Tahoma"/>
            <family val="2"/>
          </rPr>
          <t>Informe o nome da aplicação para a qual está respondendo as questões</t>
        </r>
        <r>
          <rPr>
            <sz val="9"/>
            <color indexed="81"/>
            <rFont val="Tahoma"/>
            <family val="2"/>
          </rPr>
          <t xml:space="preserve">
</t>
        </r>
      </text>
    </comment>
    <comment ref="Q2" authorId="0">
      <text>
        <r>
          <rPr>
            <b/>
            <sz val="9"/>
            <color indexed="81"/>
            <rFont val="Tahoma"/>
            <family val="2"/>
          </rPr>
          <t>Informe o nome da aplicação para a qual está respondendo as questões</t>
        </r>
        <r>
          <rPr>
            <sz val="9"/>
            <color indexed="81"/>
            <rFont val="Tahoma"/>
            <family val="2"/>
          </rPr>
          <t xml:space="preserve">
</t>
        </r>
      </text>
    </comment>
    <comment ref="R2" authorId="0">
      <text>
        <r>
          <rPr>
            <b/>
            <sz val="9"/>
            <color indexed="81"/>
            <rFont val="Tahoma"/>
            <family val="2"/>
          </rPr>
          <t>Informe o nome da aplicação para a qual está respondendo as questões</t>
        </r>
        <r>
          <rPr>
            <sz val="9"/>
            <color indexed="81"/>
            <rFont val="Tahoma"/>
            <family val="2"/>
          </rPr>
          <t xml:space="preserve">
</t>
        </r>
      </text>
    </comment>
    <comment ref="S2" authorId="0">
      <text>
        <r>
          <rPr>
            <b/>
            <sz val="9"/>
            <color indexed="81"/>
            <rFont val="Tahoma"/>
            <family val="2"/>
          </rPr>
          <t>Informe o nome da aplicação para a qual está respondendo as questões</t>
        </r>
        <r>
          <rPr>
            <sz val="9"/>
            <color indexed="81"/>
            <rFont val="Tahoma"/>
            <family val="2"/>
          </rPr>
          <t xml:space="preserve">
</t>
        </r>
      </text>
    </comment>
    <comment ref="T2" authorId="0">
      <text>
        <r>
          <rPr>
            <b/>
            <sz val="9"/>
            <color indexed="81"/>
            <rFont val="Tahoma"/>
            <family val="2"/>
          </rPr>
          <t>Informe o nome da aplicação para a qual está respondendo as questões</t>
        </r>
        <r>
          <rPr>
            <sz val="9"/>
            <color indexed="81"/>
            <rFont val="Tahoma"/>
            <family val="2"/>
          </rPr>
          <t xml:space="preserve">
</t>
        </r>
      </text>
    </comment>
    <comment ref="U2" authorId="0">
      <text>
        <r>
          <rPr>
            <b/>
            <sz val="9"/>
            <color indexed="81"/>
            <rFont val="Tahoma"/>
            <family val="2"/>
          </rPr>
          <t>Informe o nome da aplicação para a qual está respondendo as questões</t>
        </r>
        <r>
          <rPr>
            <sz val="9"/>
            <color indexed="81"/>
            <rFont val="Tahoma"/>
            <family val="2"/>
          </rPr>
          <t xml:space="preserve">
</t>
        </r>
      </text>
    </comment>
    <comment ref="V2" authorId="0">
      <text>
        <r>
          <rPr>
            <b/>
            <sz val="9"/>
            <color indexed="81"/>
            <rFont val="Tahoma"/>
            <family val="2"/>
          </rPr>
          <t>Informe o nome da aplicação para a qual está respondendo as questões</t>
        </r>
        <r>
          <rPr>
            <sz val="9"/>
            <color indexed="81"/>
            <rFont val="Tahoma"/>
            <family val="2"/>
          </rPr>
          <t xml:space="preserve">
</t>
        </r>
      </text>
    </comment>
    <comment ref="W2" authorId="0">
      <text>
        <r>
          <rPr>
            <b/>
            <sz val="9"/>
            <color indexed="81"/>
            <rFont val="Tahoma"/>
            <family val="2"/>
          </rPr>
          <t>Informe o nome da aplicação para a qual está respondendo as questões</t>
        </r>
        <r>
          <rPr>
            <sz val="9"/>
            <color indexed="81"/>
            <rFont val="Tahoma"/>
            <family val="2"/>
          </rPr>
          <t xml:space="preserve">
</t>
        </r>
      </text>
    </comment>
    <comment ref="X2" authorId="0">
      <text>
        <r>
          <rPr>
            <b/>
            <sz val="9"/>
            <color indexed="81"/>
            <rFont val="Tahoma"/>
            <family val="2"/>
          </rPr>
          <t>Informe o nome da aplicação para a qual está respondendo as questões</t>
        </r>
        <r>
          <rPr>
            <sz val="9"/>
            <color indexed="81"/>
            <rFont val="Tahoma"/>
            <family val="2"/>
          </rPr>
          <t xml:space="preserve">
</t>
        </r>
      </text>
    </comment>
    <comment ref="Y2" authorId="0">
      <text>
        <r>
          <rPr>
            <b/>
            <sz val="9"/>
            <color indexed="81"/>
            <rFont val="Tahoma"/>
            <family val="2"/>
          </rPr>
          <t>Informe o nome da aplicação para a qual está respondendo as questões</t>
        </r>
        <r>
          <rPr>
            <sz val="9"/>
            <color indexed="81"/>
            <rFont val="Tahoma"/>
            <family val="2"/>
          </rPr>
          <t xml:space="preserve">
</t>
        </r>
      </text>
    </comment>
    <comment ref="Z2" authorId="0">
      <text>
        <r>
          <rPr>
            <b/>
            <sz val="9"/>
            <color indexed="81"/>
            <rFont val="Tahoma"/>
            <family val="2"/>
          </rPr>
          <t>Informe o nome da aplicação para a qual está respondendo as questões</t>
        </r>
        <r>
          <rPr>
            <sz val="9"/>
            <color indexed="81"/>
            <rFont val="Tahoma"/>
            <family val="2"/>
          </rPr>
          <t xml:space="preserve">
</t>
        </r>
      </text>
    </comment>
    <comment ref="AA2" authorId="0">
      <text>
        <r>
          <rPr>
            <b/>
            <sz val="9"/>
            <color indexed="81"/>
            <rFont val="Tahoma"/>
            <family val="2"/>
          </rPr>
          <t>Informe o nome da aplicação para a qual está respondendo as questões</t>
        </r>
        <r>
          <rPr>
            <sz val="9"/>
            <color indexed="81"/>
            <rFont val="Tahoma"/>
            <family val="2"/>
          </rPr>
          <t xml:space="preserve">
</t>
        </r>
      </text>
    </comment>
    <comment ref="AB2" authorId="0">
      <text>
        <r>
          <rPr>
            <b/>
            <sz val="9"/>
            <color indexed="81"/>
            <rFont val="Tahoma"/>
            <family val="2"/>
          </rPr>
          <t>Informe o nome da aplicação para a qual está respondendo as questões</t>
        </r>
        <r>
          <rPr>
            <sz val="9"/>
            <color indexed="81"/>
            <rFont val="Tahoma"/>
            <family val="2"/>
          </rPr>
          <t xml:space="preserve">
</t>
        </r>
      </text>
    </comment>
    <comment ref="AC2" authorId="0">
      <text>
        <r>
          <rPr>
            <b/>
            <sz val="9"/>
            <color indexed="81"/>
            <rFont val="Tahoma"/>
            <family val="2"/>
          </rPr>
          <t>Informe o nome da aplicação para a qual está respondendo as questões</t>
        </r>
        <r>
          <rPr>
            <sz val="9"/>
            <color indexed="81"/>
            <rFont val="Tahoma"/>
            <family val="2"/>
          </rPr>
          <t xml:space="preserve">
</t>
        </r>
      </text>
    </comment>
    <comment ref="AD2" authorId="0">
      <text>
        <r>
          <rPr>
            <b/>
            <sz val="9"/>
            <color indexed="81"/>
            <rFont val="Tahoma"/>
            <family val="2"/>
          </rPr>
          <t>Informe o nome da aplicação para a qual está respondendo as questões</t>
        </r>
        <r>
          <rPr>
            <sz val="9"/>
            <color indexed="81"/>
            <rFont val="Tahoma"/>
            <family val="2"/>
          </rPr>
          <t xml:space="preserve">
</t>
        </r>
      </text>
    </comment>
    <comment ref="AE2" authorId="0">
      <text>
        <r>
          <rPr>
            <b/>
            <sz val="9"/>
            <color indexed="81"/>
            <rFont val="Tahoma"/>
            <family val="2"/>
          </rPr>
          <t>Informe o nome da aplicação para a qual está respondendo as questões</t>
        </r>
        <r>
          <rPr>
            <sz val="9"/>
            <color indexed="81"/>
            <rFont val="Tahoma"/>
            <family val="2"/>
          </rPr>
          <t xml:space="preserve">
</t>
        </r>
      </text>
    </comment>
    <comment ref="AF2" authorId="0">
      <text>
        <r>
          <rPr>
            <b/>
            <sz val="9"/>
            <color indexed="81"/>
            <rFont val="Tahoma"/>
            <family val="2"/>
          </rPr>
          <t>Informe o nome da aplicação para a qual está respondendo as questões</t>
        </r>
        <r>
          <rPr>
            <sz val="9"/>
            <color indexed="81"/>
            <rFont val="Tahoma"/>
            <family val="2"/>
          </rPr>
          <t xml:space="preserve">
</t>
        </r>
      </text>
    </comment>
    <comment ref="AG2" authorId="0">
      <text>
        <r>
          <rPr>
            <b/>
            <sz val="9"/>
            <color indexed="81"/>
            <rFont val="Tahoma"/>
            <family val="2"/>
          </rPr>
          <t>Informe o nome da aplicação para a qual está respondendo as questões</t>
        </r>
        <r>
          <rPr>
            <sz val="9"/>
            <color indexed="81"/>
            <rFont val="Tahoma"/>
            <family val="2"/>
          </rPr>
          <t xml:space="preserve">
</t>
        </r>
      </text>
    </comment>
    <comment ref="AH2" authorId="0">
      <text>
        <r>
          <rPr>
            <b/>
            <sz val="9"/>
            <color indexed="81"/>
            <rFont val="Tahoma"/>
            <family val="2"/>
          </rPr>
          <t>Informe o nome da aplicação para a qual está respondendo as questões</t>
        </r>
        <r>
          <rPr>
            <sz val="9"/>
            <color indexed="81"/>
            <rFont val="Tahoma"/>
            <family val="2"/>
          </rPr>
          <t xml:space="preserve">
</t>
        </r>
      </text>
    </comment>
    <comment ref="AI2" authorId="0">
      <text>
        <r>
          <rPr>
            <b/>
            <sz val="9"/>
            <color indexed="81"/>
            <rFont val="Tahoma"/>
            <family val="2"/>
          </rPr>
          <t>Informe o nome da aplicação para a qual está respondendo as questões</t>
        </r>
        <r>
          <rPr>
            <sz val="9"/>
            <color indexed="81"/>
            <rFont val="Tahoma"/>
            <family val="2"/>
          </rPr>
          <t xml:space="preserve">
</t>
        </r>
      </text>
    </comment>
    <comment ref="AJ2" authorId="0">
      <text>
        <r>
          <rPr>
            <b/>
            <sz val="9"/>
            <color indexed="81"/>
            <rFont val="Tahoma"/>
            <family val="2"/>
          </rPr>
          <t>Informe o nome da aplicação para a qual está respondendo as questões</t>
        </r>
        <r>
          <rPr>
            <sz val="9"/>
            <color indexed="81"/>
            <rFont val="Tahoma"/>
            <family val="2"/>
          </rPr>
          <t xml:space="preserve">
</t>
        </r>
      </text>
    </comment>
  </commentList>
</comments>
</file>

<file path=xl/sharedStrings.xml><?xml version="1.0" encoding="utf-8"?>
<sst xmlns="http://schemas.openxmlformats.org/spreadsheetml/2006/main" count="565" uniqueCount="346">
  <si>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</si>
  <si>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</si>
  <si>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</si>
  <si>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</si>
  <si>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</si>
  <si>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</si>
  <si>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</si>
  <si>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</si>
  <si>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</si>
  <si>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</si>
  <si>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</si>
  <si>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</si>
  <si>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</si>
  <si>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</si>
  <si>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</si>
  <si>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</si>
  <si>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</si>
  <si>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Glossário</t>
  </si>
  <si>
    <t>Termo</t>
  </si>
  <si>
    <t>Descrição</t>
  </si>
  <si>
    <t>Guia de Preenchimento</t>
  </si>
  <si>
    <t>Controle de Versão</t>
  </si>
  <si>
    <t>Versão do template: 1.1</t>
  </si>
  <si>
    <t>Checklist de Impacto em Operações de TI</t>
  </si>
  <si>
    <t>Tema</t>
  </si>
  <si>
    <t>Sequencial</t>
  </si>
  <si>
    <t>Pergunta</t>
  </si>
  <si>
    <t>Entregável</t>
  </si>
  <si>
    <t>Atividade Associada</t>
  </si>
  <si>
    <t>01 - Governança</t>
  </si>
  <si>
    <t>Cadastro da Aplicação no Site da Aquitetura e CMDB</t>
  </si>
  <si>
    <t>Blindagem dos Ambientes (aderência as políticas de Blindagem e Segurança de TI</t>
  </si>
  <si>
    <t>02 - Operação Infraweb</t>
  </si>
  <si>
    <t>Manual de Deploy Produção</t>
  </si>
  <si>
    <t>Informação se a solução usa recurso de Replicação de dados (Exemplo: rsync)</t>
  </si>
  <si>
    <t>03 - Operação de Sistemas</t>
  </si>
  <si>
    <t>Especificação de espaço para os novos filesystens e databases.</t>
  </si>
  <si>
    <t>Identificar se a aplicação usa recurso de Balanceamento de carga (Exemplo: F5)</t>
  </si>
  <si>
    <t>Identificar se a aplicação usa recurso de Cluster de sistema operacional (Exemplo: RedHat Cluster)</t>
  </si>
  <si>
    <t>Identificar se a aplicação usa recurso de Compartilhamento de disco (Exemplo: OCFS2)</t>
  </si>
  <si>
    <t>Identificar se a aplicação usa recurso de Persistência em fila (Exemplo: JMS)</t>
  </si>
  <si>
    <t>04 - Integração entre Sistemas</t>
  </si>
  <si>
    <t>Identificação da existência de integração com a engenharia</t>
  </si>
  <si>
    <t>Identificar se há necessidade de comunicação SSL</t>
  </si>
  <si>
    <t>Relação de  integrações assíncronas.</t>
  </si>
  <si>
    <t>Relação de  integrações síncronas.</t>
  </si>
  <si>
    <t>Haverá criação de novos extratores?</t>
  </si>
  <si>
    <t>Haverá transmissão de novos arquivos?</t>
  </si>
  <si>
    <t>05 - Gestão Ambiente DW</t>
  </si>
  <si>
    <t>Informada as frentes mais impactadas pelo projeto.</t>
  </si>
  <si>
    <t>06 - Rotinas Batch</t>
  </si>
  <si>
    <t>Documento de Solicitação de Transmissão de arquivos</t>
  </si>
  <si>
    <t>07 - Monitoração e Gestão de Serviços</t>
  </si>
  <si>
    <t>EMS - Especificação de Monitoração de Sistemas (Monitoração do SIM)</t>
  </si>
  <si>
    <t>Funcionalidade para coleta de volumetria das transações/cases do sistema</t>
  </si>
  <si>
    <t>08 - Disponibilidade e Continuidade</t>
  </si>
  <si>
    <t>09 - Segurança</t>
  </si>
  <si>
    <t>Equipe de Operações</t>
  </si>
  <si>
    <t>Pergunta Associada</t>
  </si>
  <si>
    <t>Atividade associada</t>
  </si>
  <si>
    <t xml:space="preserve">                                    Checklist de Impacto em Operações de TI</t>
  </si>
  <si>
    <t>Objetivo:</t>
  </si>
  <si>
    <t>Total</t>
  </si>
  <si>
    <t>Sistema</t>
  </si>
  <si>
    <t>&lt;&lt; ESCOLHA A VERSÃO DO ARTEFATO &gt;&gt;</t>
  </si>
  <si>
    <t>Escolha a versão do artefato</t>
  </si>
  <si>
    <t>(*) Todos os campos são de preenchimento obrigatório</t>
  </si>
  <si>
    <t>&lt;PRJ+ID Projeto* - Nome do Projeto*&gt;</t>
  </si>
  <si>
    <t>&lt;Área Solicitante*&gt;</t>
  </si>
  <si>
    <t>2010/2013</t>
  </si>
  <si>
    <t>Necessidade*</t>
  </si>
  <si>
    <t>Cenário Atual*</t>
  </si>
  <si>
    <r>
      <t xml:space="preserve">Para cada pergunta da aba </t>
    </r>
    <r>
      <rPr>
        <b/>
        <sz val="11"/>
        <color theme="1"/>
        <rFont val="Calibri"/>
        <family val="2"/>
        <scheme val="minor"/>
      </rPr>
      <t>Mapa Impacto</t>
    </r>
    <r>
      <rPr>
        <sz val="11"/>
        <color theme="1"/>
        <rFont val="Calibri"/>
        <family val="2"/>
        <scheme val="minor"/>
      </rPr>
      <t xml:space="preserve"> responder </t>
    </r>
    <r>
      <rPr>
        <b/>
        <sz val="11"/>
        <color theme="1"/>
        <rFont val="Calibri"/>
        <family val="2"/>
        <scheme val="minor"/>
      </rPr>
      <t>Sim</t>
    </r>
    <r>
      <rPr>
        <sz val="11"/>
        <color theme="1"/>
        <rFont val="Calibri"/>
        <family val="2"/>
        <scheme val="minor"/>
      </rPr>
      <t xml:space="preserve">, </t>
    </r>
    <r>
      <rPr>
        <b/>
        <sz val="11"/>
        <color theme="1"/>
        <rFont val="Calibri"/>
        <family val="2"/>
        <scheme val="minor"/>
      </rPr>
      <t>Não</t>
    </r>
    <r>
      <rPr>
        <sz val="11"/>
        <color theme="1"/>
        <rFont val="Calibri"/>
        <family val="2"/>
        <scheme val="minor"/>
      </rPr>
      <t xml:space="preserve">, </t>
    </r>
    <r>
      <rPr>
        <b/>
        <sz val="11"/>
        <color theme="1"/>
        <rFont val="Calibri"/>
        <family val="2"/>
        <scheme val="minor"/>
      </rPr>
      <t>Verificar</t>
    </r>
    <r>
      <rPr>
        <sz val="11"/>
        <color theme="1"/>
        <rFont val="Calibri"/>
        <family val="2"/>
        <scheme val="minor"/>
      </rPr>
      <t xml:space="preserve"> ou </t>
    </r>
    <r>
      <rPr>
        <b/>
        <sz val="11"/>
        <color theme="1"/>
        <rFont val="Calibri"/>
        <family val="2"/>
        <scheme val="minor"/>
      </rPr>
      <t>NA</t>
    </r>
    <r>
      <rPr>
        <sz val="11"/>
        <color theme="1"/>
        <rFont val="Calibri"/>
        <family val="2"/>
        <scheme val="minor"/>
      </rPr>
      <t xml:space="preserve"> (Não se Aplica) conforme o entendimento.</t>
    </r>
  </si>
  <si>
    <r>
      <t xml:space="preserve">A Aba </t>
    </r>
    <r>
      <rPr>
        <b/>
        <sz val="11"/>
        <color theme="1"/>
        <rFont val="Calibri"/>
        <family val="2"/>
        <scheme val="minor"/>
      </rPr>
      <t xml:space="preserve">Resumo Atividades x Sistema </t>
    </r>
    <r>
      <rPr>
        <sz val="11"/>
        <color theme="1"/>
        <rFont val="Calibri"/>
        <family val="2"/>
        <scheme val="minor"/>
      </rPr>
      <t>conterá a lista de atividades a ser perseguida, em função das respostas fornecidas.</t>
    </r>
  </si>
  <si>
    <t>Responsável:</t>
  </si>
  <si>
    <t>LO, Operações de TI BSS/OSS, LT e RT</t>
  </si>
  <si>
    <t>Padrão de Nomenclatura:</t>
  </si>
  <si>
    <t>Novos extratores implantados</t>
  </si>
  <si>
    <t>Novas Tramissões Implantadas</t>
  </si>
  <si>
    <t>Identificar integrações assíncronas. Usado para formação do conhecimento da solução. Não tem atividade a ser desenvolvida.</t>
  </si>
  <si>
    <t>Identificar integrações síncronas.  Usado para formação do conhecimento da solução. Não tem atividade a ser desenvolvida.</t>
  </si>
  <si>
    <t>Ambiente BO e SAS preparado para atender ao projeto</t>
  </si>
  <si>
    <t>Equipe de Operações capacitada e suportando o novo software</t>
  </si>
  <si>
    <t>Aplicação integrado com Identidade Digital</t>
  </si>
  <si>
    <t>Interface Implantada</t>
  </si>
  <si>
    <t>Jobs do Control-M adequados à necessidado projeto.</t>
  </si>
  <si>
    <t>Contrato para operação da aplicação</t>
  </si>
  <si>
    <t>A solução tem ambiente de DR e/ou ambiente com HA (alta disponibilidade)?</t>
  </si>
  <si>
    <t>Doumentos PCS - Plano de Continuidade de Sistemas, Planto de Teste de H.A. e suas respectivas exucuções.</t>
  </si>
  <si>
    <t>Identificar se a aplicação usa recurso de Replicação de dados (Exemplo: rsync).  Usado para formação do conhecimento da solução. Não tem atividade a ser desenvolvida.</t>
  </si>
  <si>
    <t>Identificar estimativa de volumetria para processos online e/ou processos batch.  Usado para formação do conhecimento da solução. Não tem atividade a ser desenvolvida.</t>
  </si>
  <si>
    <t>Identificar se a aplicação usa recurso de Balanceamento de carga (Exemplo: F5).  Usado para formação do conhecimento da solução. Não tem atividade a ser desenvolvida.</t>
  </si>
  <si>
    <t>Identificar se a aplicação usa recurso de Cluster de sistema operacional (Exemplo: RedHat Cluster).  Usado para formação do conhecimento da solução. Não tem atividade a ser desenvolvida.</t>
  </si>
  <si>
    <t>Identificar se a aplicação usa recurso de Compartilhamento de disco (Exemplo: OCFS2). Usado para formação do conhecimento da solução. Não tem atividade a ser desenvolvida.</t>
  </si>
  <si>
    <t>Identificar se a aplicação usa recurso de Persistência em fila (Exemplo: JMS).  Usado para formação do conhecimento da solução. Não tem atividade a ser desenvolvida.</t>
  </si>
  <si>
    <t>Identificar se há necessidade de comunicação SSL. Usado para formação do conhecimento da solução. Não tem atividade a ser desenvolvida.</t>
  </si>
  <si>
    <t>Identificar se há integração com a engenharia. Usado para formação do conhecimento da solução. Não tem atividade a ser desenvolvida.</t>
  </si>
  <si>
    <t>Adequação dos objetos do Metadados, PowerCentrer, DataQuality</t>
  </si>
  <si>
    <t>Desenvolver carga/reprocessamento automático (Sem necessidade de intervenção manual da equipe de Operações).</t>
  </si>
  <si>
    <t>Rotina automática de reprossamento/carga.</t>
  </si>
  <si>
    <t>Objetos de banco criados e adquados a gestão.</t>
  </si>
  <si>
    <t>Bloco - Implantar Governança para Aplicação</t>
  </si>
  <si>
    <t>Bloco - Executar Deploy Ambiente Produção</t>
  </si>
  <si>
    <t>Bloco - Absorver Software não suportado</t>
  </si>
  <si>
    <t>Bloco - Contratar Operação da Aplicação</t>
  </si>
  <si>
    <t>Bloco - Implantar Novos Extratores</t>
  </si>
  <si>
    <t>Bloco - Implantar Transmissão de Arquivos</t>
  </si>
  <si>
    <t>Bloco - Criar-Alterar Objeto co Informática</t>
  </si>
  <si>
    <t>Bloco - Preparar Ambiente BO e SAS</t>
  </si>
  <si>
    <t>Bloco - Configurar Transmissão de Arquivos</t>
  </si>
  <si>
    <t>Bloco - Criar-Alterar-Excluir Jobs do Control-M</t>
  </si>
  <si>
    <t>Bloco - Implantar monitoração de serviços</t>
  </si>
  <si>
    <t>Bloco - Documentar e executar Plano de Teste de HA e PCS (Teste de DR)</t>
  </si>
  <si>
    <t>Bloco - Integrar aplicação à Identididade Digital</t>
  </si>
  <si>
    <t>Sistema dotado de trilha de auditoria</t>
  </si>
  <si>
    <t>Bloco - Implantar mecanismos de auditoria</t>
  </si>
  <si>
    <t>Bloco - Implantar governança dos novos objetos (file-systems, tablespaces, databases, diretórios)</t>
  </si>
  <si>
    <t>Console centralizada para administração da aplicação.</t>
  </si>
  <si>
    <t>A demanda implantará mecanismo de coleta de volumetria das transações?</t>
  </si>
  <si>
    <t>A demanda fará integração com a engenharia?</t>
  </si>
  <si>
    <t>Bloco - Blindar Ambiente de Produção e/ou ambiente de Teste Integrado</t>
  </si>
  <si>
    <t>Há necessidade de fazer blindagem do ambiente de produção e/ou ambiente de Teste Integrado?</t>
  </si>
  <si>
    <t>A demanda tem necessidade de comunicação SSL?</t>
  </si>
  <si>
    <t>A demanda implica em usar recurso de balanceamento de carga (Exemplo: F5)?</t>
  </si>
  <si>
    <t>A demanda implica em usar recurso de compartilhamento de disco? (Exemplo: OCFS2)</t>
  </si>
  <si>
    <t>A demanda implica em usar recurso de cluster de sistema operacional? (Exemplo: RedHat Cluster)</t>
  </si>
  <si>
    <t>A demanda implica em usar recurso de persistência em fila? (exemplo: JMS)</t>
  </si>
  <si>
    <t>A demanda implica em usar integração síncrona?</t>
  </si>
  <si>
    <t>A demanda implica em usar integração assíncrona?</t>
  </si>
  <si>
    <t>A implantação da demanda será feita através de pacote? (Web, RPM, etc.)</t>
  </si>
  <si>
    <t>A demanda requer criação/alteração de processo de carga?</t>
  </si>
  <si>
    <t>A demanda requer uso de software de transferência de dados entre servidores?</t>
  </si>
  <si>
    <t>A demanda requer implantação e/ou alteração da monitoração de serviços (Monitoração do SIM)?</t>
  </si>
  <si>
    <t>A demanda requer integração com Identidade Digital (NAM e/ou NDS)?</t>
  </si>
  <si>
    <t>A demanda requer criação, alteração ou exclusão de jobs no Control-M?</t>
  </si>
  <si>
    <t>A demanda implica em usar recurso de replicação de dados (exemplo: rsync)?</t>
  </si>
  <si>
    <t>A demanda implica em instalar novo Application Server (ambiente de infraweb)?</t>
  </si>
  <si>
    <t>A demanda implica em fazer uso de algum software ou versão não suportado por infraweb ? (alguma tecnologia de Application server diferente das listadas a seguir: Weblogic, Oracle Service Bus, Websphere, Jboss, Tomcat, Microsoft IIS, PHP, Apache, HTTP)</t>
  </si>
  <si>
    <t>Há necessidade de novos recursos (pessoal) para a operação da aplicação e/ou operação assistida em decorrência dessa demanda?</t>
  </si>
  <si>
    <t>A demanda requer atividades de preparação de ambiente Business Object (BO)  e/ou SAS (criação usuários, grupos, pastas e conexões) ou requer registro da Posição de Carga dos módulos?</t>
  </si>
  <si>
    <t>A demanda requer implantação e/ou alteração no Spotfire?</t>
  </si>
  <si>
    <t>Bloco - Implantar/Alterar Spotfire</t>
  </si>
  <si>
    <t>Relatórios de monitoração implantado no Spotfire</t>
  </si>
  <si>
    <t>A demanda implica na implantação de um console centralizada para administração da aplicação?</t>
  </si>
  <si>
    <t>A demanda requer criação/alteração de objetos de banco de dados do DW?</t>
  </si>
  <si>
    <t>A demanda requer criação de novos usuários/grupos no Unix/Linux/etc do ambiente DW?</t>
  </si>
  <si>
    <t>A demanda implica na criação de novos diretórios, file-systems, tabelas, tablespaces, banco de dados?</t>
  </si>
  <si>
    <t>Haverá alteração/implantação de interfaces ou  terá integração com outros sistemas sob a responsabilidade da Equipe de Integração de Sistemas?</t>
  </si>
  <si>
    <t>Bloco - Alterar/Implantar Interfaces - Integração</t>
  </si>
  <si>
    <t>Bloco - Alterar/Implantar Interfaces - Ponto a Ponto</t>
  </si>
  <si>
    <t>99 - Entendimento da solução</t>
  </si>
  <si>
    <t>Ambientes criados e disponiveis para uso</t>
  </si>
  <si>
    <t>10 - Funcionalidades Críticas</t>
  </si>
  <si>
    <t>Arbor</t>
  </si>
  <si>
    <t>Cadeia de Faturamento</t>
  </si>
  <si>
    <t>SAC</t>
  </si>
  <si>
    <t>Abertura de OS</t>
  </si>
  <si>
    <t>Alteração na opção AES* - Compartilhamento de franquias</t>
  </si>
  <si>
    <t>Alteração na opção AELB* - Combos</t>
  </si>
  <si>
    <t>Alteração no fluxo com o Click</t>
  </si>
  <si>
    <t>EAI</t>
  </si>
  <si>
    <t>Integração</t>
  </si>
  <si>
    <t>Alteração no mapeamento da interface SAC x OMS (ponto a ponto / voz plus)</t>
  </si>
  <si>
    <t>Alteração no mapeamento da interface SAC x SGE (abertura/fechamneto de BA)</t>
  </si>
  <si>
    <t>Alteração no mapeamento da interface Clarify x SAC (OS voz pluz)</t>
  </si>
  <si>
    <t>STC</t>
  </si>
  <si>
    <t>Voice Net (ativação, desativação de VPN móvel, e migração shortcode)</t>
  </si>
  <si>
    <t>Voz e Dados</t>
  </si>
  <si>
    <t>Siebel 6.3</t>
  </si>
  <si>
    <t>Modulos de corporativo e empresarial</t>
  </si>
  <si>
    <t xml:space="preserve">Integracao de OS </t>
  </si>
  <si>
    <t>Alterações estruturais na integração de OS (Siebel/SOA/SIS) e com Arbor (Siebel/Vitria/Arbor)</t>
  </si>
  <si>
    <t xml:space="preserve"> Informacional</t>
  </si>
  <si>
    <r>
      <rPr>
        <sz val="12"/>
        <rFont val="Times New Roman"/>
        <family val="1"/>
      </rPr>
      <t xml:space="preserve">    </t>
    </r>
    <r>
      <rPr>
        <sz val="12"/>
        <rFont val="Calibri"/>
        <family val="2"/>
        <scheme val="minor"/>
      </rPr>
      <t>Relatórios da BOV</t>
    </r>
  </si>
  <si>
    <r>
      <rPr>
        <sz val="12"/>
        <rFont val="Times New Roman"/>
        <family val="1"/>
      </rPr>
      <t xml:space="preserve"> </t>
    </r>
    <r>
      <rPr>
        <sz val="12"/>
        <rFont val="Calibri"/>
        <family val="2"/>
        <scheme val="minor"/>
      </rPr>
      <t xml:space="preserve">CDI </t>
    </r>
  </si>
  <si>
    <t xml:space="preserve">Atualização </t>
  </si>
  <si>
    <t>Siebel 8</t>
  </si>
  <si>
    <t>WLL e interfaces</t>
  </si>
  <si>
    <t>Voz</t>
  </si>
  <si>
    <t>Alteração estrutural na opção AA - Tratamento de OS</t>
  </si>
  <si>
    <t>Processos envolvendo a Interoperação (STC x SIS)</t>
  </si>
  <si>
    <t>Portabilidade Numérica</t>
  </si>
  <si>
    <t>Dados</t>
  </si>
  <si>
    <t>Tratamento de Campanhas de Velox (STC x Siebel MKT)</t>
  </si>
  <si>
    <t>Instalação Conjunta (Fixo + Velox)</t>
  </si>
  <si>
    <t>Alteração estrutural  na opção AA – Tratamento de OS/BD</t>
  </si>
  <si>
    <t>Alteração estrutural  na HDCA/HDCBJ – Tratamento de OS/BD Velox</t>
  </si>
  <si>
    <t>Alteração no fluxo com o SVOI</t>
  </si>
  <si>
    <t>Alteração nas API´s entre SAC e OI Vende</t>
  </si>
  <si>
    <t>Alteração no fluxo com o OMS</t>
  </si>
  <si>
    <t>interface STC x OM (Velox)</t>
  </si>
  <si>
    <t>Agendamento de BA Voz e Dados (STC x Click)</t>
  </si>
  <si>
    <t>OCT (Bloqueio 30, ativação, desativação e migração de planos OCT) (STC x Siebel)</t>
  </si>
  <si>
    <t>Alterações no processo de faturamente e no BIF (tudo que aumenta o tempo da cadeia de faturamento)</t>
  </si>
  <si>
    <t>Alteração no mapeamento da interface Cllick x SAC/STC</t>
  </si>
  <si>
    <t>VPN</t>
  </si>
  <si>
    <t>Atualização de Segmentação (interna e via interface - SFA);</t>
  </si>
  <si>
    <t>Atualização de Produtos; Interface CDI x Portal (consulta e replicação);</t>
  </si>
  <si>
    <t>Relatórios da BOV</t>
  </si>
  <si>
    <t>Oi Gestor</t>
  </si>
  <si>
    <t>APN corporativa</t>
  </si>
  <si>
    <t>Pedido de Venda</t>
  </si>
  <si>
    <t>WLL - Ações de Cobrança (bloqueio, desbloqueio);</t>
  </si>
  <si>
    <t>Interface Siebel 8 x OM.</t>
  </si>
  <si>
    <t xml:space="preserve">Criação/adaptar ferramentas de TI para tratamento de passivo (seja ele de casos pontuais em produção ou em massa) </t>
  </si>
  <si>
    <t>Ferramenta para tratamento de passivo pontuais ou em massa</t>
  </si>
  <si>
    <t>Envolver equipe de Operações TI responsável pela Funcionalidade Critica na fase de DSOL.</t>
  </si>
  <si>
    <t>Envolvimento equipe de Operações TI responsável pela Funcionalidade Critica na fase de DSOL.</t>
  </si>
  <si>
    <t>Funcionalidade Críticas de Impacto em Projeto</t>
  </si>
  <si>
    <t>Há necessidade de adequação das funcionalidades de contingenciamento hoje existentes  (será necessário criação/adaptação de ferramentas de TI para tratamento de passivo?)</t>
  </si>
  <si>
    <t>Bloco - Criar-Alterar objetos de Banco de Dados de DW</t>
  </si>
  <si>
    <t>Elaboração de MOP + Passagem de conhecimento</t>
  </si>
  <si>
    <t>O objetivo da demanda é a melhoria de performance (tunning)?</t>
  </si>
  <si>
    <t>Elaborar documentação para avaliar o ganho (baseline para comparação), medição e acompanhamento dos processos ofensores. Analisar necessidade de operação assistida.</t>
  </si>
  <si>
    <t>A demanda implica em usar mecanismos de auditoria tais como trilhas, logs etc? (somente para plataforma open)</t>
  </si>
  <si>
    <t>O projeto envolve alteração em alguma funcionalidade critica que necessite da participação da equipe de Operações de TI na fase de DSOL?  (Funcionalidades Críticas encontram-se na aba de mesmo nome).</t>
  </si>
  <si>
    <r>
      <rPr>
        <b/>
        <sz val="9"/>
        <color rgb="FFFF0000"/>
        <rFont val="Calibri"/>
        <family val="2"/>
        <scheme val="minor"/>
      </rPr>
      <t>Atenção: A tabela dinâmica da aba Resumo Atividades x Sistema é alimentada através das informações dessa planilha.</t>
    </r>
    <r>
      <rPr>
        <b/>
        <sz val="9"/>
        <color theme="1"/>
        <rFont val="Calibri"/>
        <family val="2"/>
        <scheme val="minor"/>
      </rPr>
      <t xml:space="preserve">
Com isso, seguir as seguintes orientações abaixo:</t>
    </r>
  </si>
  <si>
    <t>Sistema 1</t>
  </si>
  <si>
    <t>Sistema 2</t>
  </si>
  <si>
    <t>Sistema 3</t>
  </si>
  <si>
    <t>Sistema 4</t>
  </si>
  <si>
    <t>Sistema 5</t>
  </si>
  <si>
    <t>Sistema 6</t>
  </si>
  <si>
    <t>Sistema 7</t>
  </si>
  <si>
    <t>Sistema 8</t>
  </si>
  <si>
    <t>Sistema 9</t>
  </si>
  <si>
    <t>Sistema 10</t>
  </si>
  <si>
    <t>Sistema 11</t>
  </si>
  <si>
    <t>Sistema 12</t>
  </si>
  <si>
    <t>Sistema 13</t>
  </si>
  <si>
    <t>Sistema 14</t>
  </si>
  <si>
    <t>Sistema 15</t>
  </si>
  <si>
    <t>Sistema 16</t>
  </si>
  <si>
    <t>Sistema 17</t>
  </si>
  <si>
    <t>Sistema 18</t>
  </si>
  <si>
    <t>Sistema 19</t>
  </si>
  <si>
    <t>Sistema 20</t>
  </si>
  <si>
    <t>Sistema 21</t>
  </si>
  <si>
    <t>Sistema 22</t>
  </si>
  <si>
    <t>Sistema 23</t>
  </si>
  <si>
    <t>Sistema 24</t>
  </si>
  <si>
    <t>Sistema 25</t>
  </si>
  <si>
    <t>Sistema 26</t>
  </si>
  <si>
    <t>Sistema 27</t>
  </si>
  <si>
    <t>Sistema 28</t>
  </si>
  <si>
    <t>Sistema 29</t>
  </si>
  <si>
    <t>Sistema 30</t>
  </si>
  <si>
    <t>Sistema 31</t>
  </si>
  <si>
    <t>ID Projeto = Número Clarity do Projeto
ID SubProjeto = Número Clarity do SubProjeto</t>
  </si>
  <si>
    <r>
      <t xml:space="preserve">Este documento se refere ao Projeto e deve seguir o padrão de nomenclatura:
</t>
    </r>
    <r>
      <rPr>
        <b/>
        <sz val="11"/>
        <color theme="1"/>
        <rFont val="Calibri"/>
        <family val="2"/>
        <scheme val="minor"/>
      </rPr>
      <t>PRJ_</t>
    </r>
    <r>
      <rPr>
        <b/>
        <sz val="11"/>
        <color rgb="FFFF0000"/>
        <rFont val="Calibri"/>
        <family val="2"/>
        <scheme val="minor"/>
      </rPr>
      <t>ID Projeto</t>
    </r>
    <r>
      <rPr>
        <b/>
        <sz val="11"/>
        <color theme="1"/>
        <rFont val="Calibri"/>
        <family val="2"/>
        <scheme val="minor"/>
      </rPr>
      <t>_SUB_</t>
    </r>
    <r>
      <rPr>
        <b/>
        <sz val="11"/>
        <color rgb="FFFF0000"/>
        <rFont val="Calibri"/>
        <family val="2"/>
        <scheme val="minor"/>
      </rPr>
      <t>ID SubProjeto</t>
    </r>
    <r>
      <rPr>
        <b/>
        <sz val="11"/>
        <color theme="1"/>
        <rFont val="Calibri"/>
        <family val="2"/>
        <scheme val="minor"/>
      </rPr>
      <t xml:space="preserve"> - CKLIOTI</t>
    </r>
    <r>
      <rPr>
        <b/>
        <sz val="11"/>
        <color theme="1"/>
        <rFont val="Calibri"/>
        <family val="2"/>
        <scheme val="minor"/>
      </rPr>
      <t xml:space="preserve">.xlsx, </t>
    </r>
    <r>
      <rPr>
        <sz val="11"/>
        <color theme="1"/>
        <rFont val="Calibri"/>
        <family val="2"/>
        <scheme val="minor"/>
      </rPr>
      <t>onde:</t>
    </r>
  </si>
  <si>
    <t>Resumo de Atividade por Frente de Trabalho</t>
  </si>
  <si>
    <t>A demanda requer criação ou alteração do procedimento a ser adotado para realizar o tratamento de falha das rotinas batchs?</t>
  </si>
  <si>
    <t>Procura identificar se a solução introduzirá algum Software Básico que ainda não é suportado pelos times de Operações de Sistemas, e, com isto, as ações associadas à absorção do novo software a exemplo de, mas não limitado a:
• Treinamento formal do fornecedor para o time de Operações de Sistemas;
• Contrato de licenciamento e manutenção do software;
• Instalação on-site e assistida pelo fornecedor do produto;
• Operação assistida por um período razoável, para transferência de conhecimento (normalmente cerda de 60 dias).</t>
  </si>
  <si>
    <t>Descritivo do contexto e intenção da pergunta</t>
  </si>
  <si>
    <t>Procura identificar a necessidade de implantar os processos básicos de governança de objetos: política de expurgos de dados; política de backup de negócio; política de monitoração do objeto.</t>
  </si>
  <si>
    <t>Procura identificar se há ação específica para melhoria de performance de algum processo. Caso haja, deve ser montada forma de aferição de ganho esperado através de um plano que contemple, entre outros: 
• Definição dos indicadores (processos/rotinas etc) a serem avaliados;
• Coleta de baseline (tempos de execução x quantidade) para os indicadores definidos
• Execução do processo melhorado com coleta dos dados de desempenho dos indicadores definidos
• Apresentação das evidências de atingimento da melhoria de performance</t>
  </si>
  <si>
    <t>Procura identificar, através da análise da topologia física e lógica da solução, as complexidades associadas ao dia-a-dia do ambiente para determinar  a exigência de uma console centralizada que suporte as atividades, a exemplo de mais não limitadas a: configuração, manuntenção,  deploy, investigação de falhas do ambiente, coleta de logs etc.</t>
  </si>
  <si>
    <t>Procura identificar, através da análise da topologia física e lógica da solução, as complexidades associadas ao dia-a-dia do ambiente para determinar  a exigência de mecanismo de auditoria (trilha de audioria) para suportar as atividades de investigação de problemas (troubleshooting), coletas estatísticas e uso indevido.</t>
  </si>
  <si>
    <t>Procura identificar se há necessidade de implantar um processo específico de blindagem dos ambientes de produção e teste integrado e, se positivo, perseguir as atividades relacionadas, tais como produção do manual de blindagem, passagem de conhecimento e execução da blindagem propriamente dita.</t>
  </si>
  <si>
    <t>Procura identificar a necessidade de aumento de pessoal para fazer a operação da solução ou para a operação assistida.</t>
  </si>
  <si>
    <t>Bloco - Adequar gestão da Operação de Sistemas</t>
  </si>
  <si>
    <t>Procura identificar as atividades que devem ser perseguidas caso haja criação/alteração de objetos de banco de dados do DW,  a exemplo de mas não limitado a: cadastrar coleta de estatísticas; construção de tabelas de compress; implantar a governança dos objetos; atividades relativas a implatanção da nova carga no Teradata (alinhamento com a Fente DW Impactada, desenvolvimento de scripts de carga, criação de usuários, etc)</t>
  </si>
  <si>
    <t xml:space="preserve">Bloco - Disponibilizar ambientes operacionais do projeto (Produção, Homologação Testes Integrado etc) </t>
  </si>
  <si>
    <t>Procura assegurar que a demanda atente para a necessidade de incluir no Dsol, no código e no runbook um mecanismo de carga que tenha reprocessamento automático, sem necessidade de intervenção manual da equipe de Operações.</t>
  </si>
  <si>
    <t>Procura identificar as atividades que devem ser perseguidas caso haja implantação de novos extratores, a exemplo de mas não limitado a: definir agente de solução; definir local de armazenamento; solicitar espaço para armazenamento; definir forma de reprocessamento; definir forma de tratamento de backlog; criar governança para os objetos envolvidos (expurgo; backup; monitoração).</t>
  </si>
  <si>
    <t>Procurar identificar a necessidade de desenvolvimento e validação de documentos relativos a transferência de arquivos tais como: Runbook e Solicitação de Configuração de Trasmissão de Arquivos.</t>
  </si>
  <si>
    <t>Procura identificar as atividades que precisam ser perseguidas caso o projeto contemple a implementação de integração com NAM/NDS.</t>
  </si>
  <si>
    <r>
      <t xml:space="preserve">Bloco – Adequar governança das Rotinas Operacionais
</t>
    </r>
    <r>
      <rPr>
        <b/>
        <u/>
        <sz val="11"/>
        <color theme="1"/>
        <rFont val="Calibri"/>
        <family val="2"/>
        <scheme val="minor"/>
      </rPr>
      <t xml:space="preserve">AINDA NÃO EXISTE
</t>
    </r>
    <r>
      <rPr>
        <sz val="11"/>
        <color theme="1"/>
        <rFont val="Calibri"/>
        <family val="2"/>
        <scheme val="minor"/>
      </rPr>
      <t xml:space="preserve"> (Elaboração de MOP / Run Book + Passagem de conhecimento)</t>
    </r>
  </si>
  <si>
    <t>Procurar identificar a necessidade de adequação dos procedimentos em caso de falha do processo sendo implantado. De maneira geral deve-se elaborar/alterar o MOP e o Runbook além de fazer uma passagem de conhecimento explicando qual(is) a mudança(s) está(ão) sendo adotada(s) em função do projeto.</t>
  </si>
  <si>
    <t>Procurar identificar a necessidade de adequação dos procedimentos em caso de falha da rotina batch que está sendo implantada. De maneira geral deve-se elaborar/alterar o MOP e o Runbook além de fazer uma passagem de conhecimento explicando qual(is) a mudança(s) está(ão) sendo adotada(s) em função do projeto.</t>
  </si>
  <si>
    <t>Procura identificar se foram consideradas as questões de configuração do tempo de timeout para as configurações síncronas.
Essa atividade deve ser entregue no releasenote da GMUD.</t>
  </si>
  <si>
    <t>Procura identificar se foram consideradas as questões de configuração do controle de fila. (Exemplo: JMS).
Essa atividade deve ser entregue no releasenote da GMUD.</t>
  </si>
  <si>
    <t>Ver com Augusto se não pode ser consolidada na pergunta "A demanda implica em usar integração assíncrona?"</t>
  </si>
  <si>
    <t>Ver com Augusto se não pode ser consolidada na pergunta "A demanda implica em usar integração síncrona?"</t>
  </si>
  <si>
    <t>Bloco – Adequar governança das Rotinas Operacionais
AINDA NÃO EXISTE
 (Elaboração de MOP / Run Book + Passagem de conhecimento)</t>
  </si>
  <si>
    <t>Descritivo do objetivo / intenção da pergunta</t>
  </si>
  <si>
    <t>Checklist de Impacto em Operações de Sistemas</t>
  </si>
  <si>
    <t>Este documento tem como objetivo a coleta de informações sobre os impactos de um dado Projeto sobre as equipes de Operações de Sistemas da OI, servindo, entre outras coisas, de fonte de informação para apoiar o Desenho de Solução e o desenvolvimento do Cronograma (aspectos relativos a Operações de Sistemas).</t>
  </si>
  <si>
    <r>
      <t xml:space="preserve">Informar na célula F2 da aba </t>
    </r>
    <r>
      <rPr>
        <b/>
        <u/>
        <sz val="11"/>
        <color theme="1"/>
        <rFont val="Calibri"/>
        <family val="2"/>
        <scheme val="minor"/>
      </rPr>
      <t>Mapa Impacto</t>
    </r>
    <r>
      <rPr>
        <sz val="11"/>
        <color theme="1"/>
        <rFont val="Calibri"/>
        <family val="2"/>
        <scheme val="minor"/>
      </rPr>
      <t xml:space="preserve"> o nome da aplicação para qual está sendo respondido o checklist. Repetir o processo para cada uma das frentes de trabalho refentes ao projeto, informando o nome da aplicação nas células subsequentes da aba Mapa Impacto.</t>
    </r>
  </si>
  <si>
    <t>Última Atualização do template: 14/01/2016</t>
  </si>
  <si>
    <t>1) Ao responder as perguntas considere somente os impactos decorrentes desse Projeto no Sistema em questão.
2) Nunca renomear a aba "Mapa de Impacto" e nenhuma das suas colunas.
3) Não incluir colunas entre as já existentes. Se for o caso, incluir as novas colunas ao final da tabela.</t>
  </si>
  <si>
    <t>Procura identificar a necessidade da elaboração ou atualização do Manual de Operações e Produção (MOP).
Em adição deve ser verificada a necessidade de fazer passagem de conhecimento.</t>
  </si>
  <si>
    <t>A demanda implica na elaboração ou atualização do Manual de Operação e Produção (MOP)?</t>
  </si>
  <si>
    <t>Procura assegurar que o projeto contemple as atividades relativas à implantação de rotinas batchs, a exemplo de, mas não limitadas a: desenvolver runbook; validar runbook; abrir CRQs; adequar categorização associada; abrir e executar Gmuds etc.</t>
  </si>
  <si>
    <t>Procura identificar se foram consideradas as questões de configuração do controle de fila. (Exemplo: Java Message Service - JMS.
Essa atividade deve ser entregue no Release Notes da GMUD.</t>
  </si>
  <si>
    <t>Haverá alteração ou implantação de interfaces ou  terá integração com outros sistemas através de processamento Batch (ponto a ponto)?</t>
  </si>
  <si>
    <t>Procura identificar se haverá necessidade de adequação de ambiente físico/lógico para o processo de transerência de arquivos, a exemplo de mas não limitado a: disponibilização dos softwares de transferências (Pelican / Connect Direct); definir agente de solução; definir local de armazenamento; solicitar espaço para armazenamento; definir forma de reprocessamento; definir forma de tratamento de backlog; criar governança para os objetos envolvidos (expurgo; backup; monitoração).</t>
  </si>
  <si>
    <t xml:space="preserve">Bloco - Disponibilizar ambientes funcionais do projeto (Desenvolvimento? Homologação? Testes Integrado etc?) </t>
  </si>
  <si>
    <t>A demanda requer criação-alteração de objeto do Informática?</t>
  </si>
  <si>
    <t>Procura identificar a necessidade de perseguir, em tempo de projeto, as atividades originadas no detalhamento da criação/alteração de objetos do informatica, a exemplo de mas não limitadas a: criação de usuários e grupos de usuários; análise de impacto no Data Quality e Metadados; criação dos objetos propriamente dita; análises dos ambiente afetados, etc.</t>
  </si>
  <si>
    <t>Procura identificar se o projeto terá ambiente em Alta Disponibilidade (H.A) ou ambiente para Recuperação de Desastre (D.R), com vista a perseguir as atividades a eles relacionadas, a exemplo de mas não limitadas a: configuração dos ambiente de H.A; criação do plano de teste de H.A; execução do plano de teste de H.A; configuração dos ambiente de D.R; criação do Plano de Continuidade de Sistemas (PCS); execução do PCS.</t>
  </si>
  <si>
    <t>Procura identificar se há necessidade de regularizar os diversos padrões de governança no ambiente Oi, tais como:
• Cadastrar no System Architect (Portal Arquitetura) 
• Cadastrar no CMDB 
• Definir e/ou criar Agente de Solução
• Definr e/ou criar categorizações básicas de ARS (falha, indisponibilidade, lentidão) 
• Incluir na Gestão da Incidentes / Mudanças
• Incluir no versionador (Dimensions)
• Incluir na Monitoração de Gestão de Serviços (SIM)
• Incluir na Gestão de Release</t>
  </si>
  <si>
    <t>Procura identificar se tem necessidade de fazer nova instalação de Application Server, e, caso haja, quais os desdobramentos relativos a:
• Quais os ambientes terão instalação de Application server
• Quais os responsáveis pela gestão ambientes não-produção durante a fase de projeto e pós-implantação (usualmente apenas os ambiente de Produção e de Teste Integrado são de responsabilidade dos times de Operações de Sistemas)
• Necessidades de transferência de conhecimento
Esta ação compreende a ações necessárias à disponibilização do ambiente, tais como criar usuários e grupos de usuários; criar regras de acesso (firewall); desenvolvimento e validação de manual de deploy, entre outras.</t>
  </si>
  <si>
    <t>Procura identificar se haverá uso de ferramenta ou processo específico para fazer o deploy da aplicação. O uso destas ferramentas ou processos pressupõe o desenvolvimento de um documento que detalhe o passo-a-passo para fazer o deploy.
Desta forma as atividades relativas a desenvolvimento e  validação do deploy devem ser incluídas no cronograma do projeto, assim como o a execução do deploy propriamente dito, que seria o uso do documento.</t>
  </si>
  <si>
    <t>Desenvolver uma Console de Administração da Aplicação.</t>
  </si>
  <si>
    <t>Gerar parecer e plano de ação para prepração do ambiente de teste integrado</t>
  </si>
  <si>
    <t>Ambientes de teste integrado impactado adaptados para as necessidades do projeto.</t>
  </si>
  <si>
    <t>Procura identificar quais os ambientes de Teste Integrado dos quais o projeto fará uso e, a partir desta informação, quais as ações associadas, passando por adequação do ambiente (aspectos físicos) adquação da solução (aspectos lógicos), transferência de conhecimento para o time de teste integrado da DIEO, preparação de massa de dados etc.
A definição das ações associdadas a esta necessidade, se houver, devem ser lenvantadas com a equipe do Projeto, a equipe de Operações de Sistemas (DIEO),  a equipe de Teste Integrado (DIEO).</t>
  </si>
  <si>
    <t>Documento de pós produção com evidências do projeto demonstrando Tunning ( Se o projeto é de melhoria de performance há que se ter uma evidência com massa de teste adequada ao processo em questão).</t>
  </si>
  <si>
    <t>Rotinas Operacionais adequadas à necessidade projeto.</t>
  </si>
  <si>
    <t>Informar o módulo/assunto de DW mais impactada pelo projeto (Cadastro, Tráfego, Financeiro) para criação de profile do usuário.</t>
  </si>
  <si>
    <t>Procura identificar se a demanda/projeto prevê a criação de usuários ou grupo de usuários nos ambiente Unix/Linux. Esta ação visa fazer entendimento da demanda para definir a Frente DW mais impactada e adequar o desenho proposto aos padrões e práticas da equipe de operações do DW.</t>
  </si>
  <si>
    <t>Procura identificar as atividades relacionada a implatação de monitoração de serviços na aplicação SIM, a exemplo de mas não limitadas a: necessidade de desenvolvimento/adaptação de módulos para coleta de monitoração;reuniões de alinhamento para entendimento da solução; desenvolvimento e validação do documento Especificação da Monitoração de Serviço (EMS); desenvolvimento da planilha de ICs para monitoração e validação dos dados; definição das categorias de acionamento, severidades e agentes resolvedores, etc.</t>
  </si>
  <si>
    <t>Procura identificar as atividades relacionada a implatação de coleta de indicadores via Spotfire, a exemplo de mas não limitadas a: reuniões de alinhamento para entendimento da solução; definição dos indicadores a serem coletados; definição da infraestrutura e metodologia de coleta dos indicadores etc.</t>
  </si>
  <si>
    <t>A demanda implica em usar algum ambiente de Teste Integrado sob responsabilidade da equipe Operações e Ambientes?</t>
  </si>
  <si>
    <t>O projeto fará uso de NOVO ambiente não-produção 
ou
fará alteração na configuração de software básico de ambiente não-produção pré-existente (Desenvolvimento? Homologação? Testes Integrado etc?)</t>
  </si>
  <si>
    <t>Procura identificar se haverá uso de ambiente não-produção NOVO ou se fará NOVO uso de ambiente não-produção pré-existente. Caso haja, deve-se formalizar os papéis e responsalbilidades para os casos NOVOS durante a fase de projeto e após a implantação, para perseguir o desenvolvimento das atividades que possibilitem à Operações de Sistemas absorver os ambientes que ficarem sob responsabilidade da DIEO, a exemplo de mas não limitadas a: definir matriz de responsabilidade; desenvolver manual de deploy; passagem de conhecimento; criação de usuários e grupos de usuários; liberações de acessos etc.</t>
  </si>
  <si>
    <r>
      <t xml:space="preserve">Bloco – Adequar governança das Rotinas Operacionais
</t>
    </r>
    <r>
      <rPr>
        <b/>
        <u/>
        <sz val="11"/>
        <color theme="1"/>
        <rFont val="Calibri"/>
        <family val="2"/>
        <scheme val="minor"/>
      </rPr>
      <t xml:space="preserve">AINDA NÃO EXISTE
</t>
    </r>
    <r>
      <rPr>
        <sz val="11"/>
        <color theme="1"/>
        <rFont val="Calibri"/>
        <family val="2"/>
        <scheme val="minor"/>
      </rPr>
      <t xml:space="preserve"> (Elaboração de MOP / Run Book + DI + Passagem de conhecimento)</t>
    </r>
  </si>
  <si>
    <t>Procura identificar se haverá alteração ou implantação de interfaces entre sistemas, sob responsabilidade da equipe de INTEGRAÇÃO DE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fisica e lógica a ser usada pela interface etc.</t>
  </si>
  <si>
    <t>Procura identificar se haverá alteração ou implatação de interfaces que NÃO estão sob responsabilidade da equipe de INTEGRAÇÃO DE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física e lógica a ser usada pela interface etc.</t>
  </si>
  <si>
    <t>Procura identificar a necessidade de perseguir, em tempo de projeto, as atividades originadas no detalhamento da ciração/alteração de objetos do informatica no tocante a Business Object (BO), a exemplo de mas não limitadas a: criação de usuários e grupos de usuários; definição do fluxo, cadastro no portal, análise dos ambientes afetados, etc.</t>
  </si>
  <si>
    <t>Algumas aplicações têm um plano de contingência desenhado para uso na eventualidade de sua interrupção, programada ou não.
Esta questão procura verificar se existe tal plano para a aplicação/demanda em questão e, se sim, se será necessário a adequação em função do projeto que está sendo avaliado.</t>
  </si>
  <si>
    <t>Bloco – Adequar governança das Rotinas Operacionais
AINDA NÃO EXISTE
 (Elaboração de MOP / Run Book + DI + Passagem de conhecimento)</t>
  </si>
  <si>
    <t xml:space="preserve">A aplicação é nova ou não cadastrada no Portal da Arquitetura/CMDB? </t>
  </si>
  <si>
    <t>Bloco - Planejar, Documentar e Executar Operação Assistida</t>
  </si>
  <si>
    <t>Bloco - Planejar, Documentar e Executar Rollout</t>
  </si>
  <si>
    <t>Rotinas Operacionais adequadas à necessidade do projeto.</t>
  </si>
  <si>
    <t>Plano de Operação Assistida + Execução da Operação Assistida</t>
  </si>
  <si>
    <t>Plano de Rollout + Execução do Rollout</t>
  </si>
  <si>
    <t>Procura identificar a necessidade de elaborar um plano de Operação Assistida assim como a sua documentação e execução.  Em caso de resposta positiva é esperado que sejam formalizadas no cronograma as atividades para este fim.</t>
  </si>
  <si>
    <t>Procura identificar a necessidade de elaborar um plano de Rollout assim como a sua documentação e execução.  Em caso de resposta positiva é esperado que sejam formalizadas no cronograma as atividades para este fim.</t>
  </si>
  <si>
    <t>A demanda requer o planejamento e a execução formal de Operação Assistida?</t>
  </si>
  <si>
    <t>A demanda requer o planejamento e a execução formal de Rollout?</t>
  </si>
  <si>
    <t>Procura promover o entendimento e desdobramentos decorrentes de uma eventual integração com as Operações e Rede (engenharia).
Ao visitar este tema os analistas devem verificar se existe algum ponto importante a ser considerado tanto no desenho da solução quanto nos processos operacionais.</t>
  </si>
  <si>
    <t>Procura promover o entendimento e desdobramentos decorrentes do uso de balanceadores de carga.
Ao visitar este tema o analistas devem verificar se existe algum ponto importante a ser considerado tanto no desenho da solução quanto nos processos operacionais.</t>
  </si>
  <si>
    <t>Procura promover o entendimento e desdobramentos decorrentes do uso de replicadores de dados (propagação) de uma forma geral e em particular para o mais conhecido deles, o rsync.
Ao visitar este tema o analistas devem verificar se existe algum ponto importante a ser considerado tanto no desenho da solução quanto nos processos operacionais.</t>
  </si>
  <si>
    <t>Procura promover o entendimento e desdobramentos decorrentes do uso de compartilhadores de área de armazenamento (clusters de disco).
Ao visitar este tema o analistas devem verificar se existe algum ponto importante a ser considerado tanto no desenho da solução quanto nos processos operacionais.</t>
  </si>
  <si>
    <t>Procura promover o entendimento e desdobramentos decorrentes do uso de compartilhadores de serviço (clusters de serviço).
Ao visitar este tema o analistas devem verificar se existe algum ponto importante a ser considerado tanto no desenho da solução quanto nos processos operacionais.</t>
  </si>
  <si>
    <t>Procuara identificar se há necessidade de comunicação SSL. Se sim, verificar se os eventuais desdobramentos deste tema implica em ação a ser tomada para adaptar aos padrões da DIEO.</t>
  </si>
  <si>
    <t>Procura assegurar que a equipe do Projeto envolva, em tempo de Dsol,  as equipes de Operações responsáveis pelos sistemas que terão alguma funcionalidade crítica alterada (constantes da aba de mesmo nome).</t>
  </si>
  <si>
    <t>A demanda requer criação ou alteração do procedimento a ser adotado para realizar o tratamento de falha das rotinas/processos on-line (webserver, barramento etc)?</t>
  </si>
  <si>
    <t xml:space="preserve">A demanda requer criação ou alteração na ação / procedimento de contingência a ser executado em caso de interrupção das rotinas/processos on-line (webserver, barramento etc)? </t>
  </si>
  <si>
    <t>Procura identificar a necessidade de adequação dos procedimentos de contingência em caso de falha da interface online que está sendo implantada. De maneira geral deve-se elaborar/alterar o MOP, Runbook, Planilha de Interfaces, DI além de fazer uma passagem de conhecimento explicando qual(is) a mudança(s) está(ão) sendo adotada(s) em função do projeto.</t>
  </si>
  <si>
    <t>A demanda requer criação ou alteração na ação / procedimento de contingência a ser executado em caso de interrupção ou erro massivo nos processos e/ou interfaces batchs?</t>
  </si>
  <si>
    <t>Procurar identificar a necessidade de adequação dos procedimentos de contingência em caso de interrupção ou erro massivo nas rotinas / interface batch que está sendo implantada. De maneira geral deve-se elaborar/alterar o MOP, Runbook, DI, Planilha de Interfaces etc, além de fazer uma passagem de conhecimento explicando qual(is) a mudança(s) está(ão) sendo adotada(s) em função do projeto.</t>
  </si>
  <si>
    <t xml:space="preserve"> 
                                     Sistema                         
           Tema</t>
  </si>
  <si>
    <t>1) A Aba Resumo Atividades x Sistema (dinâmica) conterá a lista de atividades a ser peseguida para cada sistema, em função das respostas fornecidas.
2) As perguntas cuja resposta seja "Não" as atividades não farão parte do crongrama.
3) Esta Aba tem como objetivo adicional a verificação do atendimento dos requisitos (Perguntas cujas respostas foram "Sim").</t>
  </si>
  <si>
    <t xml:space="preserve">O modelo de atendimento do projeto envolve Parceiros não-TI? </t>
  </si>
  <si>
    <t>Definir e documentar modelo de atendimento para Parceiros não-TI</t>
  </si>
  <si>
    <t>Modelo de atendimento de Parceiros não-Ti definido, documentado e Operacional</t>
  </si>
  <si>
    <t>Procura identificar se o fluxo do atendimento a serviços ou incidentes envolve Parceiros não-TI. Em caso afirmativo, este fluxo deve ser acertado entre Operações, CCO-TI, DDSA e o Parceiro não-TI.</t>
  </si>
  <si>
    <t xml:space="preserve">• Com objetivo de dar mais clareza, foram alteradas escrita de 4 perguntas relativas da tratamento de falhas, sendo 2 (duas) e bloco Operações de Sistema e 2 (duas) em Rotinas Batch.
• Inclusão de 3 novas perguntas no bloco de Operações de Sistemas, relativas a: Rollout, Operação Assistida e Parceiro não-TI. 
• Criada nova aba, Resumo Impacto, para onde foi movido o quadro com quantitativo de respostas “Sim”. Este quadro é informativo, não tem ação associada. 
A necessidade de facilitar a manipulação da aba Resumo Atividades x Sistema é o motivador desta alteração. 
</t>
  </si>
  <si>
    <t>Ajustes evolucionário</t>
  </si>
  <si>
    <t>Helder Figueiredo</t>
  </si>
  <si>
    <t>Correção de fórmula excel</t>
  </si>
  <si>
    <t>Fórmula para apurar as respostas "Sim" estava com erro.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</si>
</sst>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45" x14ac:knownFonts="1">
    <font>
      <sz val="11"/>
      <color theme="1"/>
      <name val="Calibri"/>
      <family val="2"/>
      <scheme val="minor"/>
    </font>
    <font>
      <sz val="11"/>
      <color rgb="FF006100"/>
      <name val="Calibri"/>
      <family val="2"/>
      <scheme val="minor"/>
    </font>
    <font>
      <b/>
      <sz val="11"/>
      <color theme="1"/>
      <name val="Calibri"/>
      <family val="2"/>
      <scheme val="minor"/>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9"/>
      <color indexed="81"/>
      <name val="Segoe UI"/>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14"/>
      <color rgb="FF006100"/>
      <name val="Calibri"/>
      <family val="2"/>
      <scheme val="minor"/>
    </font>
    <font>
      <b/>
      <sz val="12"/>
      <name val="Arial"/>
      <family val="2"/>
    </font>
    <font>
      <sz val="12"/>
      <name val="Arial"/>
      <family val="2"/>
    </font>
    <font>
      <sz val="11"/>
      <color theme="1"/>
      <name val="Calibri"/>
      <family val="2"/>
      <scheme val="minor"/>
    </font>
    <font>
      <sz val="11"/>
      <color theme="0"/>
      <name val="Calibri"/>
      <family val="2"/>
      <scheme val="minor"/>
    </font>
    <font>
      <b/>
      <sz val="22"/>
      <color theme="1"/>
      <name val="Arial"/>
      <family val="2"/>
    </font>
    <font>
      <b/>
      <sz val="12"/>
      <color theme="1"/>
      <name val="Calibri"/>
      <family val="2"/>
      <scheme val="minor"/>
    </font>
    <font>
      <b/>
      <sz val="28"/>
      <color theme="1"/>
      <name val="Arial"/>
      <family val="2"/>
    </font>
    <font>
      <b/>
      <sz val="10"/>
      <color rgb="FFFF0000"/>
      <name val="Arial"/>
      <family val="2"/>
    </font>
    <font>
      <b/>
      <sz val="18"/>
      <color theme="1"/>
      <name val="Arial"/>
      <family val="2"/>
    </font>
    <font>
      <sz val="20"/>
      <color theme="1"/>
      <name val="Arial"/>
      <family val="2"/>
    </font>
    <font>
      <sz val="10"/>
      <color theme="1"/>
      <name val="Calibri"/>
      <family val="2"/>
      <scheme val="minor"/>
    </font>
    <font>
      <b/>
      <sz val="11"/>
      <color rgb="FFFF0000"/>
      <name val="Calibri"/>
      <family val="2"/>
      <scheme val="minor"/>
    </font>
    <font>
      <sz val="12"/>
      <name val="Calibri"/>
      <family val="2"/>
      <scheme val="minor"/>
    </font>
    <font>
      <sz val="12"/>
      <name val="Symbol"/>
      <family val="1"/>
      <charset val="2"/>
    </font>
    <font>
      <sz val="12"/>
      <name val="Times New Roman"/>
      <family val="1"/>
    </font>
    <font>
      <sz val="12"/>
      <name val="Calibri"/>
      <family val="2"/>
    </font>
    <font>
      <b/>
      <sz val="14"/>
      <name val="Calibri"/>
      <family val="2"/>
      <scheme val="minor"/>
    </font>
    <font>
      <b/>
      <u/>
      <sz val="11"/>
      <color theme="1"/>
      <name val="Calibri"/>
      <family val="2"/>
      <scheme val="minor"/>
    </font>
    <font>
      <sz val="11"/>
      <name val="Calibri"/>
      <family val="2"/>
    </font>
    <font>
      <b/>
      <sz val="20"/>
      <color theme="1"/>
      <name val="Calibri"/>
      <family val="2"/>
      <scheme val="minor"/>
    </font>
    <font>
      <b/>
      <sz val="11"/>
      <name val="Calibri"/>
      <family val="2"/>
    </font>
    <font>
      <b/>
      <sz val="12"/>
      <color rgb="FF006100"/>
      <name val="Calibri"/>
      <family val="2"/>
      <scheme val="minor"/>
    </font>
  </fonts>
  <fills count="11">
    <fill>
      <patternFill patternType="none"/>
    </fill>
    <fill>
      <patternFill patternType="gray125"/>
    </fill>
    <fill>
      <patternFill patternType="solid">
        <fgColor rgb="FFC6EFCE"/>
      </patternFill>
    </fill>
    <fill>
      <patternFill patternType="solid">
        <fgColor rgb="FFFFC000"/>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3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style="thin">
        <color theme="0"/>
      </left>
      <right/>
      <top/>
      <bottom/>
      <diagonal/>
    </border>
    <border>
      <left style="thin">
        <color theme="0"/>
      </left>
      <right style="thin">
        <color theme="0"/>
      </right>
      <top style="thin">
        <color theme="0"/>
      </top>
      <bottom/>
      <diagonal/>
    </border>
    <border>
      <left/>
      <right/>
      <top/>
      <bottom style="thin">
        <color indexed="64"/>
      </bottom>
      <diagonal/>
    </border>
    <border>
      <left style="thin">
        <color theme="0"/>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right>
      <top style="thin">
        <color indexed="64"/>
      </top>
      <bottom style="thin">
        <color theme="0"/>
      </bottom>
      <diagonal/>
    </border>
    <border>
      <left style="thin">
        <color theme="0"/>
      </left>
      <right/>
      <top style="thin">
        <color indexed="64"/>
      </top>
      <bottom/>
      <diagonal/>
    </border>
    <border>
      <left/>
      <right style="thin">
        <color indexed="64"/>
      </right>
      <top style="thin">
        <color indexed="64"/>
      </top>
      <bottom/>
      <diagonal/>
    </border>
    <border>
      <left style="thin">
        <color indexed="64"/>
      </left>
      <right style="thin">
        <color theme="0"/>
      </right>
      <top style="thin">
        <color theme="0"/>
      </top>
      <bottom style="thin">
        <color indexed="64"/>
      </bottom>
      <diagonal/>
    </border>
    <border>
      <left/>
      <right style="thin">
        <color indexed="64"/>
      </right>
      <top/>
      <bottom style="thin">
        <color indexed="64"/>
      </bottom>
      <diagonal/>
    </border>
  </borders>
  <cellStyleXfs count="7">
    <xf numFmtId="0" fontId="0" fillId="0" borderId="0"/>
    <xf numFmtId="0" fontId="1" fillId="2" borderId="0" applyNumberFormat="0" applyBorder="0" applyAlignment="0" applyProtection="0"/>
    <xf numFmtId="0" fontId="11" fillId="0" borderId="0"/>
    <xf numFmtId="0" fontId="12" fillId="0" borderId="0" applyNumberFormat="0" applyFill="0" applyBorder="0" applyAlignment="0" applyProtection="0">
      <alignment vertical="top"/>
      <protection locked="0"/>
    </xf>
    <xf numFmtId="0" fontId="3" fillId="0" borderId="0"/>
    <xf numFmtId="0" fontId="14" fillId="0" borderId="0" applyNumberFormat="0" applyFill="0" applyBorder="0" applyAlignment="0" applyProtection="0"/>
    <xf numFmtId="43" fontId="25" fillId="0" borderId="0" applyFont="0" applyFill="0" applyBorder="0" applyAlignment="0" applyProtection="0"/>
  </cellStyleXfs>
  <cellXfs count="158">
    <xf numFmtId="0" fontId="0" fillId="0" borderId="0" xfId="0"/>
    <xf numFmtId="0" fontId="6" fillId="0" borderId="1" xfId="0" applyFont="1" applyBorder="1" applyAlignment="1">
      <alignment horizontal="center"/>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0" xfId="0" applyBorder="1"/>
    <xf numFmtId="0" fontId="0" fillId="0" borderId="0" xfId="0" applyAlignment="1">
      <alignment wrapText="1"/>
    </xf>
    <xf numFmtId="0" fontId="2" fillId="0" borderId="1" xfId="0" applyFont="1" applyBorder="1" applyAlignment="1">
      <alignment horizontal="center" vertical="center"/>
    </xf>
    <xf numFmtId="0" fontId="6" fillId="0" borderId="8" xfId="0" applyFont="1" applyBorder="1" applyAlignment="1">
      <alignment horizontal="center" wrapText="1"/>
    </xf>
    <xf numFmtId="0" fontId="2" fillId="0" borderId="0" xfId="0" applyFont="1" applyBorder="1" applyAlignment="1">
      <alignment horizontal="center" vertical="center"/>
    </xf>
    <xf numFmtId="0" fontId="0" fillId="0" borderId="0" xfId="0" applyBorder="1" applyAlignment="1">
      <alignment wrapText="1"/>
    </xf>
    <xf numFmtId="0" fontId="2" fillId="0" borderId="7" xfId="0" applyFont="1" applyBorder="1" applyAlignment="1">
      <alignment horizontal="center" vertical="center"/>
    </xf>
    <xf numFmtId="0" fontId="0" fillId="0" borderId="9" xfId="0" applyBorder="1" applyAlignment="1">
      <alignment wrapText="1"/>
    </xf>
    <xf numFmtId="0" fontId="0" fillId="0" borderId="8" xfId="0" applyBorder="1" applyAlignment="1">
      <alignment wrapText="1"/>
    </xf>
    <xf numFmtId="0" fontId="7" fillId="2" borderId="6" xfId="1" applyFont="1" applyBorder="1" applyAlignment="1">
      <alignment horizontal="center" vertical="center" wrapText="1"/>
    </xf>
    <xf numFmtId="0" fontId="0" fillId="0" borderId="2" xfId="0" applyBorder="1" applyAlignment="1" applyProtection="1">
      <alignment horizontal="left" wrapText="1"/>
      <protection locked="0"/>
    </xf>
    <xf numFmtId="0" fontId="0" fillId="0" borderId="2" xfId="0" applyBorder="1" applyAlignment="1" applyProtection="1">
      <alignment horizontal="center" wrapText="1"/>
      <protection locked="0"/>
    </xf>
    <xf numFmtId="0" fontId="0" fillId="0" borderId="0" xfId="0" applyAlignment="1">
      <alignment vertical="center"/>
    </xf>
    <xf numFmtId="0" fontId="0" fillId="0" borderId="0" xfId="0" pivotButton="1" applyAlignment="1">
      <alignment wrapText="1"/>
    </xf>
    <xf numFmtId="0" fontId="0" fillId="0" borderId="0" xfId="0" applyAlignment="1">
      <alignment wrapText="1"/>
    </xf>
    <xf numFmtId="0" fontId="0" fillId="0" borderId="12" xfId="0" applyBorder="1" applyAlignment="1">
      <alignment wrapText="1"/>
    </xf>
    <xf numFmtId="0" fontId="0" fillId="0" borderId="0" xfId="0" applyAlignment="1">
      <alignment wrapText="1"/>
    </xf>
    <xf numFmtId="0" fontId="0" fillId="0" borderId="0" xfId="0" pivotButton="1"/>
    <xf numFmtId="0" fontId="10" fillId="0" borderId="2" xfId="0" applyFont="1" applyBorder="1" applyAlignment="1">
      <alignment horizontal="left" vertical="center" wrapText="1" indent="1"/>
    </xf>
    <xf numFmtId="0" fontId="0" fillId="0" borderId="2" xfId="0" applyBorder="1" applyAlignment="1">
      <alignment horizontal="left" vertical="center" wrapText="1" indent="1"/>
    </xf>
    <xf numFmtId="0" fontId="2" fillId="0" borderId="2" xfId="0" applyFont="1" applyBorder="1" applyAlignment="1">
      <alignment horizontal="center" vertical="center"/>
    </xf>
    <xf numFmtId="0" fontId="0" fillId="0" borderId="0" xfId="0" applyFill="1"/>
    <xf numFmtId="0" fontId="0" fillId="0" borderId="2" xfId="0" applyFill="1" applyBorder="1" applyAlignment="1">
      <alignment horizontal="left" vertical="center" wrapText="1" indent="1"/>
    </xf>
    <xf numFmtId="0" fontId="0" fillId="0" borderId="0" xfId="0" applyAlignment="1">
      <alignment wrapText="1"/>
    </xf>
    <xf numFmtId="0" fontId="0" fillId="0" borderId="0" xfId="0" applyProtection="1"/>
    <xf numFmtId="0" fontId="0" fillId="0" borderId="0" xfId="0" applyAlignment="1" applyProtection="1">
      <alignment wrapText="1"/>
    </xf>
    <xf numFmtId="0" fontId="4" fillId="0" borderId="0" xfId="0" applyFont="1" applyProtection="1"/>
    <xf numFmtId="0" fontId="2" fillId="0" borderId="1" xfId="0" applyFont="1" applyBorder="1" applyAlignment="1" applyProtection="1">
      <alignment horizontal="center" vertical="top"/>
    </xf>
    <xf numFmtId="0" fontId="6" fillId="0" borderId="0" xfId="0" applyFont="1" applyProtection="1"/>
    <xf numFmtId="0" fontId="6" fillId="0" borderId="1" xfId="0" applyFont="1" applyBorder="1" applyAlignment="1" applyProtection="1">
      <alignment horizontal="center"/>
    </xf>
    <xf numFmtId="0" fontId="7" fillId="2" borderId="2" xfId="1" applyFont="1" applyBorder="1" applyAlignment="1" applyProtection="1">
      <alignment horizontal="center" vertical="center" wrapText="1"/>
    </xf>
    <xf numFmtId="0" fontId="0" fillId="0" borderId="5" xfId="0" applyBorder="1" applyProtection="1"/>
    <xf numFmtId="0" fontId="0" fillId="0" borderId="5" xfId="0" applyBorder="1" applyAlignment="1" applyProtection="1">
      <alignment wrapText="1"/>
    </xf>
    <xf numFmtId="0" fontId="8" fillId="0" borderId="0" xfId="0" applyFont="1" applyBorder="1" applyAlignment="1" applyProtection="1">
      <alignment horizontal="left" vertical="center" indent="3"/>
    </xf>
    <xf numFmtId="0" fontId="0" fillId="0" borderId="0" xfId="0" applyBorder="1" applyProtection="1"/>
    <xf numFmtId="0" fontId="0" fillId="0" borderId="0" xfId="0" applyBorder="1" applyAlignment="1" applyProtection="1">
      <alignment wrapText="1"/>
    </xf>
    <xf numFmtId="0" fontId="9" fillId="0" borderId="0" xfId="0" applyFont="1" applyAlignment="1" applyProtection="1">
      <alignment horizontal="left" vertical="center" indent="3"/>
    </xf>
    <xf numFmtId="0" fontId="2" fillId="0" borderId="0" xfId="0" applyFont="1" applyAlignment="1" applyProtection="1">
      <alignment horizontal="center"/>
    </xf>
    <xf numFmtId="0" fontId="10" fillId="0" borderId="2" xfId="0" applyFont="1" applyBorder="1" applyAlignment="1" applyProtection="1">
      <alignment horizontal="left" vertical="center" wrapText="1" indent="1"/>
      <protection locked="0"/>
    </xf>
    <xf numFmtId="0" fontId="0" fillId="0" borderId="1" xfId="0" applyBorder="1" applyProtection="1">
      <protection locked="0"/>
    </xf>
    <xf numFmtId="0" fontId="4" fillId="0" borderId="2" xfId="0" applyFont="1" applyBorder="1" applyAlignment="1" applyProtection="1">
      <alignment wrapText="1"/>
      <protection locked="0"/>
    </xf>
    <xf numFmtId="0" fontId="0" fillId="0" borderId="2" xfId="0" applyBorder="1" applyAlignment="1" applyProtection="1">
      <alignment wrapText="1"/>
      <protection locked="0"/>
    </xf>
    <xf numFmtId="0" fontId="10" fillId="0" borderId="2" xfId="0" applyFont="1" applyBorder="1" applyAlignment="1" applyProtection="1">
      <alignment vertical="center" wrapText="1"/>
      <protection locked="0"/>
    </xf>
    <xf numFmtId="0" fontId="0" fillId="0" borderId="0" xfId="0" applyBorder="1" applyProtection="1">
      <protection locked="0"/>
    </xf>
    <xf numFmtId="0" fontId="0" fillId="0" borderId="0" xfId="0" applyProtection="1">
      <protection locked="0"/>
    </xf>
    <xf numFmtId="0" fontId="0" fillId="0" borderId="0" xfId="0"/>
    <xf numFmtId="0" fontId="0" fillId="0" borderId="0" xfId="0" applyAlignment="1">
      <alignment wrapText="1"/>
    </xf>
    <xf numFmtId="0" fontId="0" fillId="0" borderId="0" xfId="0" applyAlignment="1" applyProtection="1">
      <alignment wrapText="1"/>
    </xf>
    <xf numFmtId="164" fontId="24" fillId="0" borderId="2" xfId="6" applyNumberFormat="1" applyFont="1" applyFill="1" applyBorder="1" applyAlignment="1" applyProtection="1">
      <alignment vertical="center" wrapText="1"/>
    </xf>
    <xf numFmtId="0" fontId="0" fillId="0" borderId="0" xfId="0" applyAlignment="1">
      <alignment wrapText="1"/>
    </xf>
    <xf numFmtId="0" fontId="29" fillId="0" borderId="0" xfId="0" applyFont="1"/>
    <xf numFmtId="0" fontId="26" fillId="0" borderId="0" xfId="0" applyFont="1"/>
    <xf numFmtId="0" fontId="6" fillId="0" borderId="0" xfId="0" applyFont="1"/>
    <xf numFmtId="0" fontId="9" fillId="0" borderId="0" xfId="0" applyFont="1" applyBorder="1"/>
    <xf numFmtId="0" fontId="0" fillId="0" borderId="0" xfId="0" applyBorder="1" applyAlignment="1">
      <alignment horizontal="left" vertical="center" wrapText="1" indent="3"/>
    </xf>
    <xf numFmtId="0" fontId="13" fillId="0" borderId="0" xfId="0" applyFont="1" applyBorder="1" applyAlignment="1">
      <alignment vertical="center" wrapText="1"/>
    </xf>
    <xf numFmtId="0" fontId="5" fillId="0" borderId="0" xfId="0" applyFont="1" applyBorder="1" applyAlignment="1">
      <alignment vertical="center" wrapText="1"/>
    </xf>
    <xf numFmtId="0" fontId="0" fillId="0" borderId="0" xfId="0" applyBorder="1" applyAlignment="1">
      <alignment horizontal="right"/>
    </xf>
    <xf numFmtId="0" fontId="0" fillId="0" borderId="0" xfId="0" applyBorder="1" applyAlignment="1">
      <alignment horizontal="left" indent="1"/>
    </xf>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5" xfId="0" applyBorder="1"/>
    <xf numFmtId="0" fontId="0" fillId="0" borderId="24" xfId="0" applyBorder="1"/>
    <xf numFmtId="0" fontId="0" fillId="5" borderId="2" xfId="0" applyFill="1" applyBorder="1" applyAlignment="1">
      <alignment horizontal="left" vertical="center" wrapText="1" indent="1"/>
    </xf>
    <xf numFmtId="0" fontId="0" fillId="6" borderId="2" xfId="0" applyFill="1" applyBorder="1" applyAlignment="1">
      <alignment horizontal="left" vertical="center" wrapText="1" indent="1"/>
    </xf>
    <xf numFmtId="0" fontId="36" fillId="0" borderId="2" xfId="0" applyFont="1" applyBorder="1" applyAlignment="1">
      <alignment horizontal="center" vertical="center"/>
    </xf>
    <xf numFmtId="0" fontId="35" fillId="0" borderId="2" xfId="0" applyFont="1" applyBorder="1" applyAlignment="1">
      <alignment horizontal="center" vertical="center" wrapText="1"/>
    </xf>
    <xf numFmtId="0" fontId="39" fillId="7" borderId="2" xfId="0" applyFont="1" applyFill="1" applyBorder="1" applyAlignment="1">
      <alignment horizontal="center" vertical="center"/>
    </xf>
    <xf numFmtId="0" fontId="35" fillId="0" borderId="2" xfId="0" applyFont="1" applyBorder="1" applyAlignment="1">
      <alignment horizontal="left" vertical="center" indent="1"/>
    </xf>
    <xf numFmtId="0" fontId="35" fillId="0" borderId="2" xfId="0" applyFont="1" applyBorder="1" applyAlignment="1">
      <alignment horizontal="left" indent="1"/>
    </xf>
    <xf numFmtId="0" fontId="35" fillId="0" borderId="2" xfId="0" applyFont="1" applyBorder="1" applyAlignment="1">
      <alignment horizontal="left" vertical="center" wrapText="1" indent="1"/>
    </xf>
    <xf numFmtId="0" fontId="0" fillId="0" borderId="8" xfId="0" applyBorder="1" applyProtection="1">
      <protection locked="0"/>
    </xf>
    <xf numFmtId="0" fontId="0" fillId="0" borderId="27" xfId="0" applyBorder="1" applyAlignment="1">
      <alignment wrapText="1"/>
    </xf>
    <xf numFmtId="0" fontId="0" fillId="0" borderId="30" xfId="0" applyBorder="1" applyAlignment="1">
      <alignment wrapText="1"/>
    </xf>
    <xf numFmtId="0" fontId="0" fillId="0" borderId="0" xfId="0" applyBorder="1" applyAlignment="1">
      <alignment vertical="center"/>
    </xf>
    <xf numFmtId="0" fontId="22" fillId="3" borderId="3" xfId="1" applyFont="1" applyFill="1" applyBorder="1" applyAlignment="1">
      <alignment horizontal="center" vertical="center" wrapText="1"/>
    </xf>
    <xf numFmtId="0" fontId="2" fillId="0" borderId="15" xfId="0" applyFont="1" applyBorder="1" applyAlignment="1">
      <alignment vertical="center" wrapText="1"/>
    </xf>
    <xf numFmtId="0" fontId="2" fillId="0" borderId="17" xfId="0" applyFont="1" applyBorder="1" applyAlignment="1">
      <alignment vertical="center" wrapText="1"/>
    </xf>
    <xf numFmtId="0" fontId="41" fillId="0" borderId="2" xfId="0" applyFont="1" applyFill="1" applyBorder="1" applyAlignment="1" applyProtection="1">
      <alignment horizontal="left" vertical="center" wrapText="1" indent="1"/>
    </xf>
    <xf numFmtId="0" fontId="22" fillId="2" borderId="16" xfId="1" applyFont="1" applyBorder="1" applyAlignment="1">
      <alignment horizontal="center" vertical="center" wrapText="1"/>
    </xf>
    <xf numFmtId="0" fontId="22" fillId="2" borderId="13" xfId="1" applyFont="1" applyBorder="1" applyAlignment="1">
      <alignment horizontal="center" vertical="center" wrapText="1"/>
    </xf>
    <xf numFmtId="0" fontId="22" fillId="3" borderId="3" xfId="1" applyFont="1" applyFill="1" applyBorder="1" applyAlignment="1">
      <alignment horizontal="center" vertical="center" wrapText="1"/>
    </xf>
    <xf numFmtId="0" fontId="18" fillId="0" borderId="0" xfId="0" applyFont="1" applyBorder="1" applyAlignment="1">
      <alignment horizontal="left" wrapText="1" indent="1"/>
    </xf>
    <xf numFmtId="0" fontId="42" fillId="8" borderId="2" xfId="0" applyFont="1" applyFill="1" applyBorder="1" applyAlignment="1">
      <alignment horizontal="center" vertical="center" wrapText="1"/>
    </xf>
    <xf numFmtId="0" fontId="0" fillId="9" borderId="2" xfId="0" applyFill="1" applyBorder="1" applyAlignment="1">
      <alignment horizontal="left" vertical="center" wrapText="1" indent="1"/>
    </xf>
    <xf numFmtId="0" fontId="0" fillId="10" borderId="2" xfId="0" applyFill="1" applyBorder="1" applyAlignment="1">
      <alignment horizontal="left" vertical="center" wrapText="1" indent="1"/>
    </xf>
    <xf numFmtId="0" fontId="0" fillId="0" borderId="2" xfId="0" applyFill="1" applyBorder="1" applyAlignment="1">
      <alignment horizontal="center" vertical="center" wrapText="1"/>
    </xf>
    <xf numFmtId="0" fontId="0" fillId="0" borderId="2" xfId="0" applyBorder="1" applyAlignment="1">
      <alignment vertical="center" textRotation="90"/>
    </xf>
    <xf numFmtId="0" fontId="0" fillId="0" borderId="2" xfId="0" applyBorder="1" applyAlignment="1">
      <alignment horizontal="center" vertical="center" textRotation="90"/>
    </xf>
    <xf numFmtId="0" fontId="23" fillId="4" borderId="2" xfId="0" applyFont="1" applyFill="1" applyBorder="1" applyAlignment="1" applyProtection="1">
      <alignment horizontal="left" vertical="center" wrapText="1"/>
    </xf>
    <xf numFmtId="0" fontId="43" fillId="0" borderId="2" xfId="0" applyFont="1" applyFill="1" applyBorder="1" applyAlignment="1" applyProtection="1">
      <alignment horizontal="left" vertical="center" wrapText="1" indent="1"/>
    </xf>
    <xf numFmtId="0" fontId="23" fillId="0" borderId="16" xfId="0" applyFont="1" applyFill="1" applyBorder="1" applyAlignment="1" applyProtection="1">
      <alignment horizontal="center" vertical="center" wrapText="1"/>
    </xf>
    <xf numFmtId="0" fontId="44" fillId="3" borderId="4" xfId="1" applyFont="1" applyFill="1" applyBorder="1" applyAlignment="1">
      <alignment horizontal="center" vertical="center" wrapText="1"/>
    </xf>
    <xf numFmtId="0" fontId="44" fillId="2" borderId="2" xfId="0" applyNumberFormat="1" applyFont="1" applyFill="1" applyBorder="1" applyAlignment="1">
      <alignment horizontal="center" vertical="center" wrapText="1"/>
    </xf>
    <xf numFmtId="0" fontId="44" fillId="2" borderId="3" xfId="0" applyNumberFormat="1" applyFont="1" applyFill="1" applyBorder="1" applyAlignment="1">
      <alignment horizontal="center" vertical="center" wrapText="1"/>
    </xf>
    <xf numFmtId="0" fontId="10" fillId="0" borderId="3" xfId="0" applyFont="1" applyBorder="1" applyAlignment="1" applyProtection="1">
      <alignment wrapText="1"/>
      <protection locked="0"/>
    </xf>
    <xf numFmtId="0" fontId="33" fillId="0" borderId="10" xfId="0" applyFont="1" applyBorder="1" applyAlignment="1" applyProtection="1">
      <alignment wrapText="1"/>
      <protection locked="0"/>
    </xf>
    <xf numFmtId="0" fontId="33" fillId="0" borderId="4" xfId="0" applyFont="1" applyBorder="1" applyAlignment="1" applyProtection="1">
      <alignment wrapText="1"/>
      <protection locked="0"/>
    </xf>
    <xf numFmtId="0" fontId="27" fillId="0" borderId="0" xfId="0" applyFont="1" applyAlignment="1">
      <alignment horizontal="center" vertical="center"/>
    </xf>
    <xf numFmtId="0" fontId="28" fillId="0" borderId="0" xfId="0" applyFont="1" applyAlignment="1" applyProtection="1">
      <alignment horizontal="center" vertical="center"/>
      <protection locked="0"/>
    </xf>
    <xf numFmtId="0" fontId="30" fillId="0" borderId="0" xfId="0" applyFont="1" applyAlignment="1">
      <alignment horizontal="left" indent="1"/>
    </xf>
    <xf numFmtId="0" fontId="31" fillId="0" borderId="0" xfId="0" applyFont="1" applyAlignment="1" applyProtection="1">
      <alignment horizontal="left" vertical="center" wrapText="1"/>
      <protection locked="0"/>
    </xf>
    <xf numFmtId="0" fontId="32" fillId="0" borderId="0" xfId="0" applyFont="1" applyAlignment="1" applyProtection="1">
      <alignment horizontal="left" vertical="center"/>
      <protection locked="0"/>
    </xf>
    <xf numFmtId="0" fontId="5" fillId="0" borderId="0" xfId="0" applyFont="1" applyBorder="1" applyAlignment="1">
      <alignment horizontal="left" vertical="center" wrapText="1" indent="1"/>
    </xf>
    <xf numFmtId="0" fontId="5" fillId="0" borderId="0" xfId="0" applyFont="1" applyBorder="1" applyAlignment="1">
      <alignment horizontal="left" wrapText="1" indent="1"/>
    </xf>
    <xf numFmtId="0" fontId="13" fillId="0" borderId="0" xfId="0" applyFont="1" applyBorder="1" applyAlignment="1">
      <alignment horizontal="left" vertical="center" wrapText="1" indent="1"/>
    </xf>
    <xf numFmtId="0" fontId="0" fillId="0" borderId="5" xfId="0" applyBorder="1" applyAlignment="1">
      <alignment horizontal="left" wrapText="1" indent="1"/>
    </xf>
    <xf numFmtId="0" fontId="0" fillId="0" borderId="0" xfId="0" applyBorder="1" applyAlignment="1">
      <alignment horizontal="left" vertical="center" wrapText="1" indent="4"/>
    </xf>
    <xf numFmtId="0" fontId="0" fillId="0" borderId="0" xfId="0" applyBorder="1" applyAlignment="1">
      <alignment horizontal="left" vertical="center" wrapText="1" indent="1"/>
    </xf>
    <xf numFmtId="0" fontId="0" fillId="0" borderId="0" xfId="0" applyBorder="1" applyAlignment="1">
      <alignment horizontal="left" vertical="top" wrapText="1" indent="1"/>
    </xf>
    <xf numFmtId="0" fontId="0" fillId="0" borderId="0" xfId="0" applyBorder="1" applyAlignment="1">
      <alignment horizontal="left" wrapText="1" indent="1"/>
    </xf>
    <xf numFmtId="0" fontId="7" fillId="2" borderId="2" xfId="1" applyFont="1" applyBorder="1" applyAlignment="1" applyProtection="1">
      <alignment horizontal="center" vertical="center" wrapText="1"/>
    </xf>
    <xf numFmtId="0" fontId="14" fillId="0" borderId="2" xfId="5"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0" fillId="0" borderId="2" xfId="0" applyBorder="1" applyAlignment="1" applyProtection="1"/>
    <xf numFmtId="0" fontId="22" fillId="2" borderId="15" xfId="1" applyFont="1" applyBorder="1" applyAlignment="1">
      <alignment horizontal="center" vertical="center" wrapText="1"/>
    </xf>
    <xf numFmtId="0" fontId="22" fillId="2" borderId="16" xfId="1" applyFont="1" applyBorder="1" applyAlignment="1">
      <alignment horizontal="center" vertical="center" wrapText="1"/>
    </xf>
    <xf numFmtId="0" fontId="22" fillId="2" borderId="17" xfId="1" applyFont="1" applyBorder="1" applyAlignment="1">
      <alignment horizontal="center" vertical="center" wrapText="1"/>
    </xf>
    <xf numFmtId="0" fontId="22" fillId="2" borderId="13" xfId="1" applyFont="1" applyBorder="1" applyAlignment="1">
      <alignment horizontal="center" vertical="center" wrapText="1"/>
    </xf>
    <xf numFmtId="0" fontId="7" fillId="2" borderId="2" xfId="1" applyFont="1" applyBorder="1" applyAlignment="1" applyProtection="1">
      <alignment horizontal="center" vertical="center" textRotation="90" wrapText="1"/>
      <protection locked="0"/>
    </xf>
    <xf numFmtId="0" fontId="22" fillId="3" borderId="3" xfId="1" applyFont="1" applyFill="1" applyBorder="1" applyAlignment="1">
      <alignment horizontal="center" vertical="center" wrapText="1"/>
    </xf>
    <xf numFmtId="0" fontId="22" fillId="3" borderId="4" xfId="1" applyFont="1" applyFill="1" applyBorder="1" applyAlignment="1">
      <alignment horizontal="center" vertical="center" wrapText="1"/>
    </xf>
    <xf numFmtId="0" fontId="21" fillId="0" borderId="28" xfId="0" applyFont="1" applyBorder="1" applyAlignment="1">
      <alignment horizontal="left" vertical="center" wrapText="1"/>
    </xf>
    <xf numFmtId="0" fontId="21" fillId="0" borderId="16" xfId="0" applyFont="1" applyBorder="1" applyAlignment="1">
      <alignment horizontal="left" vertical="center" wrapText="1"/>
    </xf>
    <xf numFmtId="0" fontId="21" fillId="0" borderId="29" xfId="0" applyFont="1" applyBorder="1" applyAlignment="1">
      <alignment horizontal="left" vertical="center" wrapText="1"/>
    </xf>
    <xf numFmtId="0" fontId="20" fillId="0" borderId="14" xfId="0" applyFont="1" applyBorder="1" applyAlignment="1">
      <alignment horizontal="left" vertical="center" wrapText="1"/>
    </xf>
    <xf numFmtId="0" fontId="20" fillId="0" borderId="13" xfId="0" applyFont="1" applyBorder="1" applyAlignment="1">
      <alignment horizontal="left" vertical="center" wrapText="1"/>
    </xf>
    <xf numFmtId="0" fontId="20" fillId="0" borderId="31" xfId="0" applyFont="1" applyBorder="1" applyAlignment="1">
      <alignment horizontal="left" vertical="center" wrapText="1"/>
    </xf>
    <xf numFmtId="0" fontId="18" fillId="0" borderId="11" xfId="0" applyFont="1" applyBorder="1" applyAlignment="1">
      <alignment horizontal="left" wrapText="1" indent="1"/>
    </xf>
    <xf numFmtId="0" fontId="18" fillId="0" borderId="0" xfId="0" applyFont="1" applyBorder="1" applyAlignment="1">
      <alignment horizontal="left" wrapText="1" indent="1"/>
    </xf>
    <xf numFmtId="0" fontId="10" fillId="0" borderId="3" xfId="0" applyFont="1" applyBorder="1" applyAlignment="1">
      <alignment horizontal="left" vertical="center" wrapText="1" indent="1"/>
    </xf>
    <xf numFmtId="0" fontId="10" fillId="0" borderId="4" xfId="0" applyFont="1" applyBorder="1" applyAlignment="1">
      <alignment horizontal="left" vertical="center" wrapText="1" indent="1"/>
    </xf>
    <xf numFmtId="0" fontId="7" fillId="2" borderId="2" xfId="0" applyNumberFormat="1" applyFont="1" applyFill="1" applyBorder="1" applyAlignment="1">
      <alignment horizontal="center" vertical="center" textRotation="90" wrapText="1"/>
    </xf>
    <xf numFmtId="0" fontId="42" fillId="0" borderId="16" xfId="0" applyFont="1" applyBorder="1" applyAlignment="1">
      <alignment horizontal="center" vertical="center" wrapText="1"/>
    </xf>
    <xf numFmtId="0" fontId="0" fillId="0" borderId="3" xfId="0" applyBorder="1" applyAlignment="1">
      <alignment horizontal="left" vertical="center" wrapText="1" indent="1"/>
    </xf>
    <xf numFmtId="0" fontId="0" fillId="0" borderId="4" xfId="0" applyBorder="1" applyAlignment="1">
      <alignment horizontal="left" vertical="center" wrapText="1" indent="1"/>
    </xf>
    <xf numFmtId="0" fontId="44" fillId="3" borderId="3" xfId="1" applyFont="1" applyFill="1" applyBorder="1" applyAlignment="1">
      <alignment horizontal="center" vertical="center" wrapText="1"/>
    </xf>
    <xf numFmtId="0" fontId="44" fillId="3" borderId="4" xfId="1" applyFont="1" applyFill="1" applyBorder="1" applyAlignment="1">
      <alignment horizontal="center" vertical="center" wrapText="1"/>
    </xf>
    <xf numFmtId="0" fontId="2" fillId="0" borderId="13" xfId="0" applyFont="1" applyBorder="1" applyAlignment="1">
      <alignment horizontal="left" vertical="center" wrapText="1" indent="1"/>
    </xf>
    <xf numFmtId="0" fontId="35" fillId="0" borderId="2" xfId="0" applyFont="1" applyBorder="1" applyAlignment="1">
      <alignment horizontal="left" vertical="center" indent="1"/>
    </xf>
    <xf numFmtId="0" fontId="35" fillId="0" borderId="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25" xfId="0" applyFont="1" applyBorder="1" applyAlignment="1">
      <alignment horizontal="center" vertical="center" wrapText="1"/>
    </xf>
    <xf numFmtId="0" fontId="35" fillId="0" borderId="26" xfId="0" applyFont="1" applyBorder="1" applyAlignment="1">
      <alignment horizontal="center" vertical="center" wrapText="1"/>
    </xf>
    <xf numFmtId="0" fontId="35" fillId="0" borderId="2" xfId="0" applyFont="1" applyBorder="1" applyAlignment="1">
      <alignment horizontal="left" vertical="center" wrapText="1" indent="1"/>
    </xf>
    <xf numFmtId="0" fontId="38" fillId="0" borderId="2" xfId="0" applyFont="1" applyBorder="1" applyAlignment="1">
      <alignment horizontal="left" vertical="center" wrapText="1" indent="1"/>
    </xf>
    <xf numFmtId="0" fontId="38" fillId="0" borderId="2" xfId="0" applyFont="1" applyBorder="1" applyAlignment="1">
      <alignment horizontal="center" vertical="center" wrapText="1"/>
    </xf>
    <xf numFmtId="0" fontId="38" fillId="0" borderId="2" xfId="0" applyFont="1" applyBorder="1" applyAlignment="1">
      <alignment horizontal="center" vertical="center"/>
    </xf>
  </cellXfs>
  <cellStyles count="7">
    <cellStyle name="Bom" xfId="1" builtinId="26"/>
    <cellStyle name="Excel Built-in Normal" xfId="2"/>
    <cellStyle name="Hiperlink" xfId="5" builtinId="8"/>
    <cellStyle name="Hyperlink 2" xfId="3"/>
    <cellStyle name="Normal" xfId="0" builtinId="0"/>
    <cellStyle name="Normal 2" xfId="4"/>
    <cellStyle name="Vírgula" xfId="6" builtinId="3"/>
  </cellStyles>
  <dxfs count="138">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11</xdr:col>
      <xdr:colOff>304800</xdr:colOff>
      <xdr:row>7</xdr:row>
      <xdr:rowOff>276225</xdr:rowOff>
    </xdr:from>
    <xdr:to>
      <xdr:col>13</xdr:col>
      <xdr:colOff>609600</xdr:colOff>
      <xdr:row>15</xdr:row>
      <xdr:rowOff>142875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2295525"/>
          <a:ext cx="15240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313132</xdr:colOff>
      <xdr:row>6</xdr:row>
      <xdr:rowOff>19050</xdr:rowOff>
    </xdr:from>
    <xdr:to>
      <xdr:col>18</xdr:col>
      <xdr:colOff>0</xdr:colOff>
      <xdr:row>8</xdr:row>
      <xdr:rowOff>40421</xdr:rowOff>
    </xdr:to>
    <xdr:pic>
      <xdr:nvPicPr>
        <xdr:cNvPr id="2" name="Imagem 1"/>
        <xdr:cNvPicPr>
          <a:picLocks noChangeAspect="1"/>
        </xdr:cNvPicPr>
      </xdr:nvPicPr>
      <xdr:blipFill>
        <a:blip xmlns:r="http://schemas.openxmlformats.org/officeDocument/2006/relationships" r:embed="rId1"/>
        <a:stretch>
          <a:fillRect/>
        </a:stretch>
      </xdr:blipFill>
      <xdr:spPr>
        <a:xfrm>
          <a:off x="456007" y="1057275"/>
          <a:ext cx="9364268" cy="402371"/>
        </a:xfrm>
        <a:prstGeom prst="rect">
          <a:avLst/>
        </a:prstGeom>
      </xdr:spPr>
    </xdr:pic>
    <xdr:clientData/>
  </xdr:twoCellAnchor>
  <xdr:twoCellAnchor editAs="oneCell">
    <xdr:from>
      <xdr:col>1</xdr:col>
      <xdr:colOff>47625</xdr:colOff>
      <xdr:row>1</xdr:row>
      <xdr:rowOff>66675</xdr:rowOff>
    </xdr:from>
    <xdr:to>
      <xdr:col>3</xdr:col>
      <xdr:colOff>19050</xdr:colOff>
      <xdr:row>4</xdr:row>
      <xdr:rowOff>5987</xdr:rowOff>
    </xdr:to>
    <xdr:pic>
      <xdr:nvPicPr>
        <xdr:cNvPr id="16" name="Imagem 15" descr="Oi_mass_logo_3_1c"/>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6200" y="66675"/>
          <a:ext cx="514350" cy="5584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xdr:colOff>
      <xdr:row>4</xdr:row>
      <xdr:rowOff>85725</xdr:rowOff>
    </xdr:from>
    <xdr:to>
      <xdr:col>4</xdr:col>
      <xdr:colOff>457201</xdr:colOff>
      <xdr:row>5</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5</xdr:col>
      <xdr:colOff>409575</xdr:colOff>
      <xdr:row>4</xdr:row>
      <xdr:rowOff>85725</xdr:rowOff>
    </xdr:from>
    <xdr:to>
      <xdr:col>14</xdr:col>
      <xdr:colOff>251767</xdr:colOff>
      <xdr:row>5</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xdr:twoCellAnchor>
    <xdr:from>
      <xdr:col>12</xdr:col>
      <xdr:colOff>201681</xdr:colOff>
      <xdr:row>8</xdr:row>
      <xdr:rowOff>62120</xdr:rowOff>
    </xdr:from>
    <xdr:to>
      <xdr:col>12</xdr:col>
      <xdr:colOff>201681</xdr:colOff>
      <xdr:row>11</xdr:row>
      <xdr:rowOff>14495</xdr:rowOff>
    </xdr:to>
    <xdr:cxnSp macro="">
      <xdr:nvCxnSpPr>
        <xdr:cNvPr id="10" name="Conector de seta reta 8"/>
        <xdr:cNvCxnSpPr>
          <a:cxnSpLocks/>
        </xdr:cNvCxnSpPr>
      </xdr:nvCxnSpPr>
      <xdr:spPr bwMode="auto">
        <a:xfrm>
          <a:off x="6364356" y="1481345"/>
          <a:ext cx="0" cy="523875"/>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12</xdr:col>
      <xdr:colOff>125481</xdr:colOff>
      <xdr:row>8</xdr:row>
      <xdr:rowOff>4970</xdr:rowOff>
    </xdr:from>
    <xdr:to>
      <xdr:col>12</xdr:col>
      <xdr:colOff>239781</xdr:colOff>
      <xdr:row>8</xdr:row>
      <xdr:rowOff>119270</xdr:rowOff>
    </xdr:to>
    <xdr:sp macro="" textlink="">
      <xdr:nvSpPr>
        <xdr:cNvPr id="11" name="Elipse 10"/>
        <xdr:cNvSpPr>
          <a:spLocks/>
        </xdr:cNvSpPr>
      </xdr:nvSpPr>
      <xdr:spPr>
        <a:xfrm>
          <a:off x="6288156" y="1424195"/>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132791</xdr:colOff>
      <xdr:row>1</xdr:row>
      <xdr:rowOff>74519</xdr:rowOff>
    </xdr:from>
    <xdr:to>
      <xdr:col>1</xdr:col>
      <xdr:colOff>928969</xdr:colOff>
      <xdr:row>2</xdr:row>
      <xdr:rowOff>362511</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409" y="152960"/>
          <a:ext cx="797298" cy="7922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195943</xdr:colOff>
      <xdr:row>1</xdr:row>
      <xdr:rowOff>161766</xdr:rowOff>
    </xdr:from>
    <xdr:to>
      <xdr:col>1</xdr:col>
      <xdr:colOff>853168</xdr:colOff>
      <xdr:row>2</xdr:row>
      <xdr:rowOff>447996</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1972" y="217795"/>
          <a:ext cx="657225" cy="644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ofile" refreshedDate="42467.685869212961" createdVersion="4" refreshedVersion="4" minRefreshableVersion="3" recordCount="47">
  <cacheSource type="worksheet">
    <worksheetSource ref="A1:F48" sheet="Checklist Impacto Operações TI"/>
  </cacheSource>
  <cacheFields count="6">
    <cacheField name="Equipe de Operações" numFmtId="0">
      <sharedItems count="11">
        <s v="01 - Governança"/>
        <s v="02 - Operação Infraweb"/>
        <s v="03 - Operação de Sistemas"/>
        <s v="04 - Integração entre Sistemas"/>
        <s v="05 - Gestão Ambiente DW"/>
        <s v="06 - Rotinas Batch"/>
        <s v="07 - Monitoração e Gestão de Serviços"/>
        <s v="08 - Disponibilidade e Continuidade"/>
        <s v="09 - Segurança"/>
        <s v="10 - Funcionalidades Críticas"/>
        <s v="99 - Entendimento da solução"/>
      </sharedItems>
    </cacheField>
    <cacheField name="Sequencial" numFmtId="0">
      <sharedItems containsSemiMixedTypes="0" containsString="0" containsNumber="1" containsInteger="1" minValue="1" maxValue="14" count="14">
        <n v="1"/>
        <n v="2"/>
        <n v="3"/>
        <n v="4"/>
        <n v="5"/>
        <n v="6"/>
        <n v="7"/>
        <n v="8"/>
        <n v="9"/>
        <n v="10"/>
        <n v="11"/>
        <n v="12"/>
        <n v="13"/>
        <n v="14"/>
      </sharedItems>
    </cacheField>
    <cacheField name="Pergunta Associada" numFmtId="0">
      <sharedItems count="63" longText="1">
        <s v="A aplicação é nova ou não cadastrada no Portal da Arquitetura/CMDB? "/>
        <s v="A demanda implica em instalar novo Application Server (ambiente de infraweb)?"/>
        <s v="A demanda implica em fazer uso de algum software ou versão não suportado por infraweb ? (alguma tecnologia de Application server diferente das listadas a seguir: Weblogic, Oracle Service Bus, Websphere, Jboss, Tomcat, Microsoft IIS, PHP, Apache, HTTP)"/>
        <s v="A implantação da demanda será feita através de pacote? (Web, RPM, etc.)"/>
        <s v="A demanda implica na implantação de um console centralizada para administração da aplicação?"/>
        <s v="A demanda implica em usar algum ambiente de Teste Integrado sob responsabilidade da equipe Operações e Ambientes?"/>
        <s v="O projeto fará uso de NOVO ambiente não-produção _x000a_ou_x000a_fará alteração na configuração de software básico de ambiente não-produção pré-existente (Desenvolvimento? Homologação? Testes Integrado etc?)"/>
        <s v="A demanda implica na criação de novos diretórios, file-systems, tabelas, tablespaces, banco de dados?"/>
        <s v="O objetivo da demanda é a melhoria de performance (tunning)?"/>
        <s v="A demanda implica em usar mecanismos de auditoria tais como trilhas, logs etc? (somente para plataforma open)"/>
        <s v="Há necessidade de fazer blindagem do ambiente de produção e/ou ambiente de Teste Integrado?"/>
        <s v="Há necessidade de novos recursos (pessoal) para a operação da aplicação e/ou operação assistida em decorrência dessa demanda?"/>
        <s v="A demanda implica na elaboração ou atualização do Manual de Operação e Produção (MOP)?"/>
        <s v="A demanda requer criação ou alteração do procedimento a ser adotado para realizar o tratamento de falha das rotinas/processos on-line (webserver, barramento etc)?"/>
        <s v="A demanda requer criação ou alteração na ação / procedimento de contingência a ser executado em caso de interrupção das rotinas/processos on-line (webserver, barramento etc)? "/>
        <s v="O modelo de atendimento do projeto envolve Parceiros não-TI? "/>
        <s v="A demanda requer o planejamento e a execução formal de Operação Assistida?"/>
        <s v="A demanda requer o planejamento e a execução formal de Rollout?"/>
        <s v="Haverá alteração/implantação de interfaces ou  terá integração com outros sistemas sob a responsabilidade da Equipe de Integração de Sistemas?"/>
        <s v="Haverá alteração ou implantação de interfaces ou  terá integração com outros sistemas através de processamento Batch (ponto a ponto)?"/>
        <s v="Haverá criação de novos extratores?"/>
        <s v="Haverá transmissão de novos arquivos?"/>
        <s v="A demanda requer criação/alteração de processo de carga?"/>
        <s v="A demanda requer criação-alteração de objeto do Informática?"/>
        <s v="A demanda requer atividades de preparação de ambiente Business Object (BO)  e/ou SAS (criação usuários, grupos, pastas e conexões) ou requer registro da Posição de Carga dos módulos?"/>
        <s v="A demanda requer criação de novos usuários/grupos no Unix/Linux/etc do ambiente DW?"/>
        <s v="A demanda requer criação/alteração de objetos de banco de dados do DW?"/>
        <s v="A demanda requer criação, alteração ou exclusão de jobs no Control-M?"/>
        <s v="A demanda requer uso de software de transferência de dados entre servidores?"/>
        <s v="A demanda requer criação ou alteração do procedimento a ser adotado para realizar o tratamento de falha das rotinas batchs?"/>
        <s v="A demanda requer criação ou alteração na ação / procedimento de contingência a ser executado em caso de interrupção ou erro massivo nos processos e/ou interfaces batchs?"/>
        <s v="A demanda requer implantação e/ou alteração da monitoração de serviços (Monitoração do SIM)?"/>
        <s v="A demanda requer implantação e/ou alteração no Spotfire?"/>
        <s v="A solução tem ambiente de DR e/ou ambiente com HA (alta disponibilidade)?"/>
        <s v="A demanda requer integração com Identidade Digital (NAM e/ou NDS)?"/>
        <s v="O projeto envolve alteração em alguma funcionalidade critica que necessite da participação da equipe de Operações de TI na fase de DSOL?  (Funcionalidades Críticas encontram-se na aba de mesmo nome)."/>
        <s v="Há necessidade de adequação das funcionalidades de contingenciamento hoje existentes  (será necessário criação/adaptação de ferramentas de TI para tratamento de passivo?)"/>
        <s v="A demanda implantará mecanismo de coleta de volumetria das transações?"/>
        <s v="A demanda fará integração com a engenharia?"/>
        <s v="A demanda tem necessidade de comunicação SSL?"/>
        <s v="A demanda implica em usar recurso de balanceamento de carga (Exemplo: F5)?"/>
        <s v="A demanda implica em usar recurso de replicação de dados (exemplo: rsync)?"/>
        <s v="A demanda implica em usar recurso de compartilhamento de disco? (Exemplo: OCFS2)"/>
        <s v="A demanda implica em usar recurso de cluster de sistema operacional? (Exemplo: RedHat Cluster)"/>
        <s v="A demanda implica em usar recurso de persistência em fila? (exemplo: JMS)"/>
        <s v="A demanda implica em usar integração síncrona?"/>
        <s v="A demanda implica em usar integração assíncrona?"/>
        <s v="A demanda implica em usar algum ambiente de Teste Integrado sob responsabilidade da equipe Operações e Ambientes." u="1"/>
        <s v="A demanda requer criação-alteração de objeto do Informatica?" u="1"/>
        <s v="A aplicação é nova ou não cadastrada no Portal da Arquitetura/CMDB? (Implantar governança: CMDB; Monitoração; Backup; Categorização ARS; Versionamento de código; Gestão de Mudança, de Indicidentes, de Serviço, de Release,   etc)" u="1"/>
        <s v="A demanda implica em usar software de Schedular Virtual e/ou KSL no Control-M? (Somente plataforma Mainframe)" u="1"/>
        <s v="A demanda implica em usar software de Scheduler Virtual e/ou KSL no Control-M? (Somente plataforma Mainframe)" u="1"/>
        <s v="A demanda requer criação ou alteração na ação / procedimento a ser executado em caso de erro em processos e/ou interfaces funcionais? " u="1"/>
        <s v="Janise" u="1"/>
        <s v="A demanda requer planejamento formal e execução de Operação Assistida?" u="1"/>
        <s v="A demanda requer criação ou alteração na ação / procedimento a ser executado em caso de erro em processos e/ou interfaces batchs? " u="1"/>
        <s v="O projeto fará uso de ambiente não-produção (Desenvolvimento? Homologação? Testes Integrado etc?)" u="1"/>
        <s v="A aplicação é nova ou não cadastrada no Portal da Arquitetura/CMDB? Ou necessita adequá-la aos padrões de gonvernança da DIEO (Monitoração; Backup; Categorização ARS; Versionamento de código; Gestão de Mudança, de Indicidentes, de Serviço, de Release, etc)" u="1"/>
        <s v="A demanda requer planejamento formal e execução de Rollout?" u="1"/>
        <s v="A demanda implica em alteração significativa que impacta o Manual de Operação e Produção?" u="1"/>
        <s v="A demanda requer criação ou alteração do procedimento a ser adotado para realizar o tratamento de falha das rotinas funcionais?" u="1"/>
        <s v="A demanda implica em usar ambiente de teste integrado de sistemas?" u="1"/>
        <s v="Haverá alteração/implantação de interfaces ou  terá integração com outros sistemas através de processamento Batch (ponto a ponto)?" u="1"/>
      </sharedItems>
    </cacheField>
    <cacheField name="Atividade associada" numFmtId="0">
      <sharedItems count="51">
        <s v="Bloco - Implantar Governança para Aplicação"/>
        <s v="Bloco - Disponibilizar ambientes operacionais do projeto (Produção, Homologação Testes Integrado etc) "/>
        <s v="Bloco - Absorver Software não suportado"/>
        <s v="Bloco - Executar Deploy Ambiente Produção"/>
        <s v="Desenvolver uma Console de Administração da Aplicação."/>
        <s v="Gerar parecer e plano de ação para prepração do ambiente de teste integrado"/>
        <s v="Bloco - Disponibilizar ambientes funcionais do projeto (Desenvolvimento? Homologação? Testes Integrado etc?) "/>
        <s v="Bloco - Implantar governança dos novos objetos (file-systems, tablespaces, databases, diretórios)"/>
        <s v="Elaborar documentação para avaliar o ganho (baseline para comparação), medição e acompanhamento dos processos ofensores. Analisar necessidade de operação assistida."/>
        <s v="Bloco - Implantar mecanismos de auditoria"/>
        <s v="Bloco - Blindar Ambiente de Produção e/ou ambiente de Teste Integrado"/>
        <s v="Bloco - Contratar Operação da Aplicação"/>
        <s v="Bloco - Adequar gestão da Operação de Sistemas"/>
        <s v="Bloco – Adequar governança das Rotinas Operacionais_x000a__x000a_AINDA NÃO EXISTE_x000a_ (Elaboração de MOP / Run Book + Passagem de conhecimento)"/>
        <s v="Bloco – Adequar governança das Rotinas Operacionais_x000a__x000a_AINDA NÃO EXISTE_x000a_ (Elaboração de MOP / Run Book + DI + Passagem de conhecimento)"/>
        <s v="Definir e documentar modelo de atendimento para Parceiros não-TI"/>
        <s v="Bloco - Planejar, Documentar e Executar Operação Assistida"/>
        <s v="Bloco - Planejar, Documentar e Executar Rollout"/>
        <s v="Bloco - Alterar/Implantar Interfaces - Integração"/>
        <s v="Bloco - Alterar/Implantar Interfaces - Ponto a Ponto"/>
        <s v="Bloco - Implantar Novos Extratores"/>
        <s v="Bloco - Implantar Transmissão de Arquivos"/>
        <s v="Desenvolver carga/reprocessamento automático (Sem necessidade de intervenção manual da equipe de Operações)."/>
        <s v="Bloco - Criar-Alterar Objeto co Informática"/>
        <s v="Bloco - Preparar Ambiente BO e SAS"/>
        <s v="Informar o módulo/assunto de DW mais impactada pelo projeto (Cadastro, Tráfego, Financeiro) para criação de profile do usuário."/>
        <s v="Bloco - Criar-Alterar objetos de Banco de Dados de DW"/>
        <s v="Bloco - Criar-Alterar-Excluir Jobs do Control-M"/>
        <s v="Bloco - Configurar Transmissão de Arquivos"/>
        <s v="Bloco - Implantar monitoração de serviços"/>
        <s v="Bloco - Implantar/Alterar Spotfire"/>
        <s v="Bloco - Documentar e executar Plano de Teste de HA e PCS (Teste de DR)"/>
        <s v="Bloco - Integrar aplicação à Identididade Digital"/>
        <s v="Envolver equipe de Operações TI responsável pela Funcionalidade Critica na fase de DSOL."/>
        <s v="Criação/adaptar ferramentas de TI para tratamento de passivo (seja ele de casos pontuais em produção ou em massa) "/>
        <s v="Identificar estimativa de volumetria para processos online e/ou processos batch.  Usado para formação do conhecimento da solução. Não tem atividade a ser desenvolvida."/>
        <s v="Identificar se há integração com a engenharia. Usado para formação do conhecimento da solução. Não tem atividade a ser desenvolvida."/>
        <s v="Identificar se há necessidade de comunicação SSL. Usado para formação do conhecimento da solução. Não tem atividade a ser desenvolvida."/>
        <s v="Identificar se a aplicação usa recurso de Balanceamento de carga (Exemplo: F5).  Usado para formação do conhecimento da solução. Não tem atividade a ser desenvolvida."/>
        <s v="Identificar se a aplicação usa recurso de Replicação de dados (Exemplo: rsync).  Usado para formação do conhecimento da solução. Não tem atividade a ser desenvolvida."/>
        <s v="Identificar se a aplicação usa recurso de Compartilhamento de disco (Exemplo: OCFS2). Usado para formação do conhecimento da solução. Não tem atividade a ser desenvolvida."/>
        <s v="Identificar se a aplicação usa recurso de Cluster de sistema operacional (Exemplo: RedHat Cluster).  Usado para formação do conhecimento da solução. Não tem atividade a ser desenvolvida."/>
        <s v="Identificar se a aplicação usa recurso de Persistência em fila (Exemplo: JMS).  Usado para formação do conhecimento da solução. Não tem atividade a ser desenvolvida."/>
        <s v="Identificar integrações síncronas.  Usado para formação do conhecimento da solução. Não tem atividade a ser desenvolvida."/>
        <s v="Identificar integrações assíncronas. Usado para formação do conhecimento da solução. Não tem atividade a ser desenvolvida."/>
        <s v="Desenvolver da Console de Administração da Aplicação." u="1"/>
        <s v="Bloco - Disponibilizar ambientes funiconais do projeto (Desenvolvimento? Homologação? Testes Integrado etc?) " u="1"/>
        <s v="Informar a módulo/assunto de DW mais impactada pelo projeto (Cadastro, Tráfego, Financeiro) para criação de profile do usuário." u="1"/>
        <s v="Gerar parecer e plano de ação para prepração do ambiente de de teste integrado" u="1"/>
        <s v="Obter detalhamento do uso (ou não) de Schedular Virtual e/ou KSL no Control-M do Mainframe. Usado para formação do conhecimento da solução. Não tem atividade a ser desenvolvida." u="1"/>
        <s v="Obter detalhamento do uso (ou não) de Scheduler Virtual e/ou KSL no Control-M do Mainframe. Usado para formação do conhecimento da solução. Não tem atividade a ser desenvolvida." u="1"/>
      </sharedItems>
    </cacheField>
    <cacheField name="Entregável" numFmtId="0">
      <sharedItems/>
    </cacheField>
    <cacheField name="Descritivo do contexto e intenção da pergunta" numFmtId="0">
      <sharedItems containsBlank="1" count="85" longText="1">
        <s v="Procura identificar se há necessidade de regularizar os diversos padrões de governança no ambiente Oi, tais como:_x000a_• Cadastrar no System Architect (Portal Arquitetura) _x000a_• Cadastrar no CMDB _x000a_• Definir e/ou criar Agente de Solução_x000a_• Definr e/ou criar categorizações básicas de ARS (falha, indisponibilidade, lentidão) _x000a_• Incluir na Gestão da Incidentes / Mudanças_x000a_• Incluir no versionador (Dimensions)_x000a_• Incluir na Monitoração de Gestão de Serviços (SIM)_x000a_• Incluir na Gestão de Release"/>
        <s v="Procura identificar se tem necessidade de fazer nova instalação de Application Server, e, caso haja, quais os desdobramentos relativos a:_x000a_• Quais os ambientes terão instalação de Application server_x000a_• Quais os responsáveis pela gestão ambientes não-produção durante a fase de projeto e pós-implantação (usualmente apenas os ambiente de Produção e de Teste Integrado são de responsabilidade dos times de Operações de Sistemas)_x000a_• Necessidades de transferência de conhecimento_x000a__x000a_Esta ação compreende a ações necessárias à disponibilização do ambiente, tais como criar usuários e grupos de usuários; criar regras de acesso (firewall); desenvolvimento e validação de manual de deploy, entre outras."/>
        <s v="Procura identificar se a solução introduzirá algum Software Básico que ainda não é suportado pelos times de Operações de Sistemas, e, com isto, as ações associadas à absorção do novo software a exemplo de, mas não limitado a:_x000a_• Treinamento formal do fornecedor para o time de Operações de Sistemas;_x000a_• Contrato de licenciamento e manutenção do software;_x000a_• Instalação on-site e assistida pelo fornecedor do produto;_x000a_• Operação assistida por um período razoável, para transferência de conhecimento (normalmente cerda de 60 dias)."/>
        <s v="Procura identificar se haverá uso de ferramenta ou processo específico para fazer o deploy da aplicação. O uso destas ferramentas ou processos pressupõe o desenvolvimento de um documento que detalhe o passo-a-passo para fazer o deploy._x000a__x000a_Desta forma as atividades relativas a desenvolvimento e  validação do deploy devem ser incluídas no cronograma do projeto, assim como o a execução do deploy propriamente dito, que seria o uso do documento."/>
        <s v="Procura identificar, através da análise da topologia física e lógica da solução, as complexidades associadas ao dia-a-dia do ambiente para determinar  a exigência de uma console centralizada que suporte as atividades, a exemplo de mais não limitadas a: configuração, manuntenção,  deploy, investigação de falhas do ambiente, coleta de logs etc."/>
        <s v="Procura identificar quais os ambientes de Teste Integrado dos quais o projeto fará uso e, a partir desta informação, quais as ações associadas, passando por adequação do ambiente (aspectos físicos) adquação da solução (aspectos lógicos), transferência de conhecimento para o time de teste integrado da DIEO, preparação de massa de dados etc._x000a__x000a_A definição das ações associdadas a esta necessidade, se houver, devem ser lenvantadas com a equipe do Projeto, a equipe de Operações de Sistemas (DIEO),  a equipe de Teste Integrado (DIEO)."/>
        <s v="Procura identificar se haverá uso de ambiente não-produção NOVO ou se fará NOVO uso de ambiente não-produção pré-existente. Caso haja, deve-se formalizar os papéis e responsalbilidades para os casos NOVOS durante a fase de projeto e após a implantação, para perseguir o desenvolvimento das atividades que possibilitem à Operações de Sistemas absorver os ambientes que ficarem sob responsabilidade da DIEO, a exemplo de mas não limitadas a: definir matriz de responsabilidade; desenvolver manual de deploy; passagem de conhecimento; criação de usuários e grupos de usuários; liberações de acessos etc."/>
        <s v="Procura identificar a necessidade de implantar os processos básicos de governança de objetos: política de expurgos de dados; política de backup de negócio; política de monitoração do objeto."/>
        <s v="Procura identificar se há ação específica para melhoria de performance de algum processo. Caso haja, deve ser montada forma de aferição de ganho esperado através de um plano que contemple, entre outros: _x000a_• Definição dos indicadores (processos/rotinas etc) a serem avaliados;_x000a_• Coleta de baseline (tempos de execução x quantidade) para os indicadores definidos_x000a_• Execução do processo melhorado com coleta dos dados de desempenho dos indicadores definidos_x000a_• Apresentação das evidências de atingimento da melhoria de performance"/>
        <s v="Procura identificar, através da análise da topologia física e lógica da solução, as complexidades associadas ao dia-a-dia do ambiente para determinar  a exigência de mecanismo de auditoria (trilha de audioria) para suportar as atividades de investigação de problemas (troubleshooting), coletas estatísticas e uso indevido."/>
        <s v="Procura identificar se há necessidade de implantar um processo específico de blindagem dos ambientes de produção e teste integrado e, se positivo, perseguir as atividades relacionadas, tais como produção do manual de blindagem, passagem de conhecimento e execução da blindagem propriamente dita."/>
        <s v="Procura identificar a necessidade de aumento de pessoal para fazer a operação da solução ou para a operação assistida."/>
        <s v="Procura identificar a necessidade da elaboração ou atualização do Manual de Operações e Produção (MOP)._x000a__x000a_Em adição deve ser verificada a necessidade de fazer passagem de conhecimento."/>
        <s v="Procurar identificar a necessidade de adequação dos procedimentos em caso de falha do processo sendo implantado. De maneira geral deve-se elaborar/alterar o MOP e o Runbook além de fazer uma passagem de conhecimento explicando qual(is) a mudança(s) está(ão) sendo adotada(s) em função do projeto."/>
        <s v="Procura identificar a necessidade de adequação dos procedimentos de contingência em caso de falha da interface online que está sendo implantada. De maneira geral deve-se elaborar/alterar o MOP, Runbook, Planilha de Interfaces, DI além de fazer uma passagem de conhecimento explicando qual(is) a mudança(s) está(ão) sendo adotada(s) em função do projeto."/>
        <s v="Procura identificar se o fluxo do atendimento a serviços ou incidentes envolve Parceiros não-TI. Em caso afirmativo, este fluxo deve ser acertado entre Operações, CCO-TI, DDSA e o Parceiro não-TI."/>
        <s v="Procura identificar a necessidade de elaborar um plano de Operação Assistida assim como a sua documentação e execução.  Em caso de resposta positiva é esperado que sejam formalizadas no cronograma as atividades para este fim."/>
        <s v="Procura identificar a necessidade de elaborar um plano de Rollout assim como a sua documentação e execução.  Em caso de resposta positiva é esperado que sejam formalizadas no cronograma as atividades para este fim."/>
        <s v="Procura identificar se haverá alteração ou implantação de interfaces entre sistemas, sob responsabilidade da equipe de INTEGRAÇÃO D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isica e lógica a ser usada pela interface etc."/>
        <s v="Procura identificar se haverá alteração ou implatação de interfaces que NÃO estão sob responsabilidade da equipe de INTEGRAÇÃO D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ísica e lógica a ser usada pela interface etc."/>
        <s v="Procura identificar as atividades que devem ser perseguidas caso haja implantação de novos extratores, a exemplo de mas não limitado a: definir agente de solução; definir local de armazenamento; solicitar espaço para armazenamento; definir forma de reprocessamento; definir forma de tratamento de backlog; criar governança para os objetos envolvidos (expurgo; backup; monitoração)."/>
        <s v="Procura identificar se haverá necessidade de adequação de ambiente físico/lógico para o processo de transerência de arquivos, a exemplo de mas não limitado a: disponibilização dos softwares de transferências (Pelican / Connect Direct); definir agente de solução; definir local de armazenamento; solicitar espaço para armazenamento; definir forma de reprocessamento; definir forma de tratamento de backlog; criar governança para os objetos envolvidos (expurgo; backup; monitoração)."/>
        <s v="Procura assegurar que a demanda atente para a necessidade de incluir no Dsol, no código e no runbook um mecanismo de carga que tenha reprocessamento automático, sem necessidade de intervenção manual da equipe de Operações."/>
        <s v="Procura identificar a necessidade de perseguir, em tempo de projeto, as atividades originadas no detalhamento da criação/alteração de objetos do informatica, a exemplo de mas não limitadas a: criação de usuários e grupos de usuários; análise de impacto no Data Quality e Metadados; criação dos objetos propriamente dita; análises dos ambiente afetados, etc."/>
        <s v="Procura identificar a necessidade de perseguir, em tempo de projeto, as atividades originadas no detalhamento da ciração/alteração de objetos do informatica no tocante a Business Object (BO), a exemplo de mas não limitadas a: criação de usuários e grupos de usuários; definição do fluxo, cadastro no portal, análise dos ambientes afetados, etc."/>
        <s v="Procura identificar se a demanda/projeto prevê a criação de usuários ou grupo de usuários nos ambiente Unix/Linux. Esta ação visa fazer entendimento da demanda para definir a Frente DW mais impactada e adequar o desenho proposto aos padrões e práticas da equipe de operações do DW."/>
        <s v="Procura identificar as atividades que devem ser perseguidas caso haja criação/alteração de objetos de banco de dados do DW,  a exemplo de mas não limitado a: cadastrar coleta de estatísticas; construção de tabelas de compress; implantar a governança dos objetos; atividades relativas a implatanção da nova carga no Teradata (alinhamento com a Fente DW Impactada, desenvolvimento de scripts de carga, criação de usuários, etc)"/>
        <s v="Procura assegurar que o projeto contemple as atividades relativas à implantação de rotinas batchs, a exemplo de, mas não limitadas a: desenvolver runbook; validar runbook; abrir CRQs; adequar categorização associada; abrir e executar Gmuds etc."/>
        <s v="Procurar identificar a necessidade de desenvolvimento e validação de documentos relativos a transferência de arquivos tais como: Runbook e Solicitação de Configuração de Trasmissão de Arquivos."/>
        <s v="Procurar identificar a necessidade de adequação dos procedimentos em caso de falha da rotina batch que está sendo implantada. De maneira geral deve-se elaborar/alterar o MOP e o Runbook além de fazer uma passagem de conhecimento explicando qual(is) a mudança(s) está(ão) sendo adotada(s) em função do projeto."/>
        <s v="Procurar identificar a necessidade de adequação dos procedimentos de contingência em caso de interrupção ou erro massivo nas rotinas / interface batch que está sendo implantada. De maneira geral deve-se elaborar/alterar o MOP, Runbook, DI, Planilha de Interfaces etc, além de fazer uma passagem de conhecimento explicando qual(is) a mudança(s) está(ão) sendo adotada(s) em função do projeto."/>
        <s v="Procura identificar as atividades relacionada a implatação de monitoração de serviços na aplicação SIM, a exemplo de mas não limitadas a: necessidade de desenvolvimento/adaptação de módulos para coleta de monitoração;reuniões de alinhamento para entendimento da solução; desenvolvimento e validação do documento Especificação da Monitoração de Serviço (EMS); desenvolvimento da planilha de ICs para monitoração e validação dos dados; definição das categorias de acionamento, severidades e agentes resolvedores, etc."/>
        <s v="Procura identificar as atividades relacionada a implatação de coleta de indicadores via Spotfire, a exemplo de mas não limitadas a: reuniões de alinhamento para entendimento da solução; definição dos indicadores a serem coletados; definição da infraestrutura e metodologia de coleta dos indicadores etc."/>
        <s v="Procura identificar se o projeto terá ambiente em Alta Disponibilidade (H.A) ou ambiente para Recuperação de Desastre (D.R), com vista a perseguir as atividades a eles relacionadas, a exemplo de mas não limitadas a: configuração dos ambiente de H.A; criação do plano de teste de H.A; execução do plano de teste de H.A; configuração dos ambiente de D.R; criação do Plano de Continuidade de Sistemas (PCS); execução do PCS."/>
        <s v="Procura identificar as atividades que precisam ser perseguidas caso o projeto contemple a implementação de integração com NAM/NDS."/>
        <s v="Procura assegurar que a equipe do Projeto envolva, em tempo de Dsol,  as equipes de Operações responsáveis pelos sistemas que terão alguma funcionalidade crítica alterada (constantes da aba de mesmo nome)."/>
        <s v="Algumas aplicações têm um plano de contingência desenhado para uso na eventualidade de sua interrupção, programada ou não._x000a__x000a_Esta questão procura verificar se existe tal plano para a aplicação/demanda em questão e, se sim, se será necessário a adequação em função do projeto que está sendo avaliado."/>
        <s v="Procura identificar se foram consideradas as questões de configuração do tempo de timeout para as configurações síncronas._x000a__x000a_Essa atividade deve ser entregue no releasenote da GMUD."/>
        <s v="Procura promover o entendimento e desdobramentos decorrentes de uma eventual integração com as Operações e Rede (engenharia)._x000a__x000a_Ao visitar este tema os analistas devem verificar se existe algum ponto importante a ser considerado tanto no desenho da solução quanto nos processos operacionais."/>
        <s v="Procuara identificar se há necessidade de comunicação SSL. Se sim, verificar se os eventuais desdobramentos deste tema implica em ação a ser tomada para adaptar aos padrões da DIEO."/>
        <s v="Procura promover o entendimento e desdobramentos decorrentes do uso de balanceadores de carga._x000a__x000a_Ao visitar este tema o analistas devem verificar se existe algum ponto importante a ser considerado tanto no desenho da solução quanto nos processos operacionais."/>
        <s v="Procura promover o entendimento e desdobramentos decorrentes do uso de replicadores de dados (propagação) de uma forma geral e em particular para o mais conhecido deles, o rsync._x000a__x000a_Ao visitar este tema o analistas devem verificar se existe algum ponto importante a ser considerado tanto no desenho da solução quanto nos processos operacionais."/>
        <s v="Procura promover o entendimento e desdobramentos decorrentes do uso de compartilhadores de área de armazenamento (clusters de disco)._x000a__x000a_Ao visitar este tema o analistas devem verificar se existe algum ponto importante a ser considerado tanto no desenho da solução quanto nos processos operacionais."/>
        <s v="Procura promover o entendimento e desdobramentos decorrentes do uso de compartilhadores de serviço (clusters de serviço)._x000a__x000a_Ao visitar este tema o analistas devem verificar se existe algum ponto importante a ser considerado tanto no desenho da solução quanto nos processos operacionais."/>
        <s v="Procura identificar se foram consideradas as questões de configuração do controle de fila. (Exemplo: Java Message Service - JMS._x000a__x000a_Essa atividade deve ser entregue no Release Notes da GMUD."/>
        <s v="Procura identificar se foram consideradas as questões de configuração do controle de fila. (Exemplo: JMS)._x000a__x000a_Essa atividade deve ser entregue no releasenote da GMUD."/>
        <m u="1"/>
        <s v="Ver com Augusto se não pode ser consolidada na pergunta &quot;A demanda implica em usar integração assíncrona?&quot;" u="1"/>
        <s v="Procura identificar se a demanda/projeto prevê a criação de usuários ou grupo de usuários nos ambiente Unix/Linux. Esta ação visa fazer entendimento da demanda para definir a Frente DW mais impactada e adequar o desenho proposto aos padrões e práticas da equipe de opeações do DW." u="1"/>
        <s v="Procura promover o entendimento e descobramentos decorrentes de uma eventual integração com as Operações e Rede (engenharia)._x000a__x000a_Ao visitar este tema os analistas devem verificar se existe algum ponto importante a ser considerado tanto no desenho da solução quanto nos processos operacionais." u="1"/>
        <s v="Procura promover o entendimento e descobramentos decorrentes do uso de compartilhadores de área de armazenamento (clusters de disco)._x000a__x000a_Ao visitar este tema o analistas devem verificar se existe algum ponto importante a ser considerado tanto no desenho da solução quanto nos processos operacionais." u="1"/>
        <s v="Procurar identificar a necessidade de adequação dos procedimentos em caso de falha da interface batch que está sendo implantada. De maneira geral deve-se elaborar/alterar o MOP, Runbook, DI, Planilha de Interfaces etc, além de fazer uma passagem de conhecimento explicando qual(is) a mudança(s) está(ão) sendo adotada(s) em função do projeto." u="1"/>
        <s v="Procura assegurar que o projeto contemple as atividades relativas à implantação de rotinas batchs, a exemplo de mas não limitadas a: desenvolver runbook; validar runbook; abrir CRQs; adequar categorização associada; abrir e executar Gmuds etc." u="1"/>
        <s v="Procura promover o entendimento e descobramentos decorrentes do uso de balanceadores de carga._x000a__x000a_Ao visitar este tema o analistas devem verificar se existe algum ponto importante a ser considerado tanto no desenho da solução quanto nos processos operacionais." u="1"/>
        <s v="Procurar identificar a necessidade de adequação dos procedimentos em caso de falha da interface online que está sendo implantada. De maneira geral deve-se elaborar/alterar o MOP, Runbook, Planilha de Interfaces, DI além de fazer uma passagem de conhecimento explicando qual(is) a mudança(s) está(ão) sendo adotada(s) em função do projeto." u="1"/>
        <s v="Ver com Augusto" u="1"/>
        <s v="Procura identificar se haverá uso de ferramenta ou processo específico para fazer o deploy da aplicação. O uso destas ferramentas ou processos pressupõe o desenvolvimento de um documento que detalhe o passo-a-passo para fazer o deploy._x000a__x000a_Desta forma as atividades relativas a desenvolvimento e  validação do deploy devem ser indluídas no cronograma do projeto, asim como o a execução do deploy propriamente deito, que seria o uso do documento." u="1"/>
        <s v="Procura promover o entendimento e descobramentos decorrentes do uso de compartilhadores de serviço (clusters de serviço)._x000a__x000a_Ao visitar este tema o analistas devem verificar se existe algum ponto importante a ser considerado tanto no desenho da solução quanto nos processos operacionais." u="1"/>
        <s v="Procura identificar se haverá alteração ou implantação de interfaces entr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isica e lógica a ser usada pela interface etc." u="1"/>
        <s v="Procura identificar se haverá alteração ou implatação de interfaces entr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ísica e lógica a ser usada pela interface etc." u="1"/>
        <s v="Procurar identificar a necessidade de adequação dos procedimentos em caso de falha da interface online que está sendo implantada. De maneira geral deve-se elaborar/alterar o MOP e o Runbook além de fazer uma passagem de conhecimento explicando qual(is) a mudança(s) está(ão) sendo adotada(s) em função do projeto." u="1"/>
        <s v="Procura promover o entendimento e descobramentos decorrentes do uso de replicadores de dados (propagação) de uma forma geral e em particular para o mais conhecido deles, o rsync._x000a__x000a_Ao visitar este tema o analistas devem verificar se existe algum ponto importante a ser considerado tanto no desenho da solução quanto nos processos operacionais." u="1"/>
        <s v="Procura identificar se haverá uso de ambiente NOVO ou se fará NOVO uso de ambiente pré-existente. Caso haja, dve-ser formalizar os papeis e responsalbilidades para os casos NOVOS, assim como perseguir o desenvolvimento das atividades que possibilitem à Operações de Sistemas absorver os ambientes, a exemplo de mais nçao limitando a: definir matriz de responsabilidade; desenvolver manual de deploy; passagem de conhecimento; criação de usuários e grupos de usuários; liberações de acessos etc." u="1"/>
        <s v="Procura identificar se haverá alteração ou implatação de interfaces entre sistemas, co vistas a perseguir as atividades relacionadas, a exemplo de mas não limitado a: desenvolvimento e validação da plailha de interfaces; desenvolvimento e validação do documento Detalhamento de Interfaces (DI); monitoração da interface (SIM); fazer passagem de conhecimento; garantir governança aos objetos envolvidos na interface; validar a topologia fisica e lógica a ser usada pela interface etc." u="1"/>
        <s v="Procura identificar se haverá uso de ambiente não-produção NOVO ou se fará NOVO uso de ambiente não-produção pré-existente. Caso haja, deve-se formalizar os papeis e responsalbilidades para os casos NOVOS, assim como perseguir o desenvolvimento das atividades que possibilitem à Operações de Sistemas absorver os ambientes que ficarem sob responsabilidade da DIEO, a exemplo de mas não limitadas a: definir matriz de responsabilidade; desenvolver manual de deploy; passagem de conhecimento; criação de usuários e grupos de usuários; liberações de acessos etc." u="1"/>
        <s v="Procura identificar se haverá uso de ambiente não-produção NOVO ou se fará NOVO uso de ambiente não-produção pré-existente. Caso haja, deve-se formalizar os papéis e responsalbilidades para os casos NOVOS, assim como perseguir o desenvolvimento das atividades que possibilitem à Operações de Sistemas absorver os ambientes que ficarem sob responsabilidade da DIEO, a exemplo de mas não limitadas a: definir matriz de responsabilidade; desenvolver manual de deploy; passagem de conhecimento; criação de usuários e grupos de usuários; liberações de acessos etc." u="1"/>
        <s v="Procura identificar quais os ambientes de Teste Integrado dos quais o projetos fará uso e, a aprtir desta informação, quais as ações associadas, passando por adequaçãodo ambiente (aspecitos físidos) adquação da solução (aspectos lógicos), transferência de conhecimento para o time de teste integrado da DIEO, preparação de massa de dados etc._x000a__x000a_A definição das ações associdadas a esta necessidade, se houver, devem ser lenvantadas com a equipe do Projeto, a equipe de Operações de Sistemas (DIEO),  a equipe de Teste Integrado (DIEO)." u="1"/>
        <s v="Procurar identificar a necessidade da elaboração/atualização de documentos que suportem o dia-a-dia de Operações. Em adição deve ser verificada a necessidade de fazer passagem de conhecimento." u="1"/>
        <s v="Procura identificar a necessidade de adequação dos procedimentos em caso de falha da interface online que está sendo implantada. De maneira geral deve-se elaborar/alterar o MOP, Runbook, Planilha de Interfaces, DI além de fazer uma passagem de conhecimento explicando qual(is) a mudança(s) está(ão) sendo adotada(s) em função do projeto." u="1"/>
        <s v="Ver com Augusto se não pode ser consolidada na pergunta &quot;A demanda implica em usar integração síncrona?&quot;" u="1"/>
        <s v="Procura identificar a necessidade de perseguir, em tempo de projeto, as atividades originadas no detalhamento da criação/alteração de objetos do informatica, a exemplo de mas não limitadas a: criação de usuários e grupos de usuários; análise de impacto no Data Quality e Metadados; ciração dos objetos propriamente dita; análises dos ambiente afetados, etc." u="1"/>
        <s v="Procurar identificar se haverá necessidade de adequação de ambiente físico/lógico para o processo de transerência de arquivos, a eemplo de mas não limitado a: disponibilização dos softwares de transferências (Pelican / Connect Direct); definir agente de solução; definir local de armazenamento; solicitar espaço para armazenamento; definir forma de reprocessamento; defiinir forma de tratamento de backlog; criar governança para os objetos envolvidos (expurgo; backup; monitoração)." u="1"/>
        <s v="Procura identificar as atividades relacionada a implatação de monitoração de serviços na aplicação SIM, a exemplo de mas não limitadas a: necessiade de desenvolvimento/adaptação de módulos para coleta de monitoração;reuniões de alinhamento para entendimento da solução; desenolvimento e validação do documento Especificação da Monitoração de Serviço (EMS); desenvovimento da planilha de ICs para monitoração e validação dos dados; definição das categorias de acionamento, severidades e agentes resolvedores, etc." u="1"/>
        <s v="Algumas aplicações têm um plano de contingência desenhado para uso na eventualidade de sua interrupção, programada ou não._x000a__x000a_Esta questão procura verificar se existe tal plano para a aplicação em questão e, se sim, se será necessário a adequação em função do projeto que está sendo avaliado." u="1"/>
        <s v="Procura assegurar que a equipe do Projeto envolva, em tempo de Dsol,  as equipes de Operações responsáveis pelas sistemas que terão alguma funcionalidade crítica alterada (constantes da aba de memso nome)." u="1"/>
        <s v="Procura assegurar que a equipe do Projeto envolva, em tempo de Dsol,  as equipes de Operações responsáveis pelos sistemas que terão alguma funcionalidade crítica alterada (constantes da aba de memso nome)." u="1"/>
        <s v="Procura verificar se há intenção de usar o &quot;Schedular Virtual e/ou KSL&quot; na agendamento de jobs na plataforma mainframe. _x000a__x000a_Há recomendação de proibição do uso desta facilidade em função do custo de licenciamento._x000a__x000a_Ao visitar este tema o analistas devem verificar se existe algum ponto importante a ser considerado tanto no desenho da solução quanto nos processos operacionais." u="1"/>
        <s v="Procura verificar se há intenção de usar o &quot;Scheduler Virtual e/ou KSL&quot; na agendamento de jobs na plataforma mainframe. _x000a__x000a_Há recomendação de proibição do uso desta facilidade em função do custo de licenciamento._x000a__x000a_Ao visitar este tema o analistas devem verificar se existe algum ponto importante a ser considerado tanto no desenho da solução quanto nos processos operacionais." u="1"/>
        <s v="Procurar identificar a necessidade de adequação dos procedimentos em caso de falha da interface batch que está sendo implantada. De maneira geral deve-se elaborar/alterar o MOP e o Runbook além de fazer uma passagem de conhecimento explicando qual(is) a mudança(s) está(ão) sendo adotada(s) em função do projeto." u="1"/>
        <s v="Procura identificar se tem necessidade de fazer nova instalação de Application Server, e, caso haja, quais os desdobramentos relativos a:_x000a_• Quais os ambientes terão instalação de Application server_x000a_• Quais as responsáveis pela gestão de cada um destes ambientes (a exceção dos ambientes de Teste Integrado, ambientes não-produção não são de responsabilidade dos times de Operações de Sistemas)_x000a_• Necessidades de transferência de conhecimento_x000a__x000a_Esta ação compreende a ações necessárias à disponibilização do ambiente, tais como criar usuários e grupos de usuários; criar regras de acesso (firewall); desenvolvimento e validação de manual de deploy, entre outras." u="1"/>
        <s v="Procura identificar as atividades relacionada a implatação de coleta de indicadores via Spoftire, a exemplo de mas não limitadas a: reuniões de alinhamento para entendimento da solução; definição dos indicadores a serem coletados; definição da infraestrutura e metodologia de coleta dos indicadores etc." u="1"/>
        <s v="Procuara identificar se há necessidade de comunicação SSL. Se sim, verificar se os eventuais desdobramente deste tema implica em ação a ser tomada para adaptar aos padrões da DIEO." u="1"/>
        <s v="Procura identificar se o projeto contempla aspectos relativos a Alta Disponibilidade (H.A) e a Recuperação de Desastre (D.R). " u="1"/>
        <s v="Procura identificar a necessidade de perseguir, em tempo de projeto, as atividades originadas no detalhamento da ciração/alteração de objetos do informatica no tocante a Buseness Object (BO), a exemplo de mas não limitadas a: criação de usuários e grupos de usuários; definição do fluxo, cadastro no portal, análise dos ambientes afetados, etc." u="1"/>
        <s v="Procura identificar há necessidade de regularizar os diversos padrões de governança no ambiente Oi, tais como:_x000a_• Cadastrar no System Architect (Portal Arquitetura) _x000a_• Cadastrar no CMDB _x000a_• Definir e/ou criar Agente de Solução_x000a_• Definr e/ou criar categorizações básicas de ARS (falha, indisponibilidade, lentidão) _x000a_• Incluir na Gestão da Incidentes / Mudanças_x000a_• Incluir no versionador (Dimensions)_x000a_• Incluir na Monitoração de Gestão de Serviços (SIM)_x000a_• Incluir na Gestão de Releas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7">
  <r>
    <x v="0"/>
    <x v="0"/>
    <x v="0"/>
    <x v="0"/>
    <s v="Cadastro da Aplicação no Site da Aquitetura e CMDB"/>
    <x v="0"/>
  </r>
  <r>
    <x v="1"/>
    <x v="0"/>
    <x v="1"/>
    <x v="1"/>
    <s v="Ambientes criados e disponiveis para uso"/>
    <x v="1"/>
  </r>
  <r>
    <x v="1"/>
    <x v="1"/>
    <x v="2"/>
    <x v="2"/>
    <s v="Equipe de Operações capacitada e suportando o novo software"/>
    <x v="2"/>
  </r>
  <r>
    <x v="1"/>
    <x v="2"/>
    <x v="3"/>
    <x v="3"/>
    <s v="Manual de Deploy Produção"/>
    <x v="3"/>
  </r>
  <r>
    <x v="2"/>
    <x v="0"/>
    <x v="4"/>
    <x v="4"/>
    <s v="Console centralizada para administração da aplicação."/>
    <x v="4"/>
  </r>
  <r>
    <x v="2"/>
    <x v="1"/>
    <x v="5"/>
    <x v="5"/>
    <s v="Ambientes de teste integrado impactado adaptados para as necessidades do projeto."/>
    <x v="5"/>
  </r>
  <r>
    <x v="2"/>
    <x v="2"/>
    <x v="6"/>
    <x v="6"/>
    <s v="Ambientes criados e disponiveis para uso"/>
    <x v="6"/>
  </r>
  <r>
    <x v="2"/>
    <x v="3"/>
    <x v="7"/>
    <x v="7"/>
    <s v="Especificação de espaço para os novos filesystens e databases."/>
    <x v="7"/>
  </r>
  <r>
    <x v="2"/>
    <x v="4"/>
    <x v="8"/>
    <x v="8"/>
    <s v="Documento de pós produção com evidências do projeto demonstrando Tunning ( Se o projeto é de melhoria de performance há que se ter uma evidência com massa de teste adequada ao processo em questão)."/>
    <x v="8"/>
  </r>
  <r>
    <x v="2"/>
    <x v="5"/>
    <x v="9"/>
    <x v="9"/>
    <s v="Sistema dotado de trilha de auditoria"/>
    <x v="9"/>
  </r>
  <r>
    <x v="2"/>
    <x v="6"/>
    <x v="10"/>
    <x v="10"/>
    <s v="Blindagem dos Ambientes (aderência as políticas de Blindagem e Segurança de TI"/>
    <x v="10"/>
  </r>
  <r>
    <x v="2"/>
    <x v="7"/>
    <x v="11"/>
    <x v="11"/>
    <s v="Contrato para operação da aplicação"/>
    <x v="11"/>
  </r>
  <r>
    <x v="2"/>
    <x v="8"/>
    <x v="12"/>
    <x v="12"/>
    <s v="Elaboração de MOP + Passagem de conhecimento"/>
    <x v="12"/>
  </r>
  <r>
    <x v="2"/>
    <x v="9"/>
    <x v="13"/>
    <x v="13"/>
    <s v="Rotinas Operacionais adequadas à necessidade projeto."/>
    <x v="13"/>
  </r>
  <r>
    <x v="2"/>
    <x v="10"/>
    <x v="14"/>
    <x v="14"/>
    <s v="Rotinas Operacionais adequadas à necessidade do projeto."/>
    <x v="14"/>
  </r>
  <r>
    <x v="2"/>
    <x v="11"/>
    <x v="15"/>
    <x v="15"/>
    <s v="Modelo de atendimento de Parceiros não-Ti definido, documentado e Operacional"/>
    <x v="15"/>
  </r>
  <r>
    <x v="2"/>
    <x v="12"/>
    <x v="16"/>
    <x v="16"/>
    <s v="Plano de Operação Assistida + Execução da Operação Assistida"/>
    <x v="16"/>
  </r>
  <r>
    <x v="2"/>
    <x v="13"/>
    <x v="17"/>
    <x v="17"/>
    <s v="Plano de Rollout + Execução do Rollout"/>
    <x v="17"/>
  </r>
  <r>
    <x v="3"/>
    <x v="0"/>
    <x v="18"/>
    <x v="18"/>
    <s v="Interface Implantada"/>
    <x v="18"/>
  </r>
  <r>
    <x v="3"/>
    <x v="1"/>
    <x v="19"/>
    <x v="19"/>
    <s v="Interface Implantada"/>
    <x v="19"/>
  </r>
  <r>
    <x v="3"/>
    <x v="2"/>
    <x v="20"/>
    <x v="20"/>
    <s v="Novos extratores implantados"/>
    <x v="20"/>
  </r>
  <r>
    <x v="3"/>
    <x v="3"/>
    <x v="21"/>
    <x v="21"/>
    <s v="Novas Tramissões Implantadas"/>
    <x v="21"/>
  </r>
  <r>
    <x v="4"/>
    <x v="0"/>
    <x v="22"/>
    <x v="22"/>
    <s v="Rotina automática de reprossamento/carga."/>
    <x v="22"/>
  </r>
  <r>
    <x v="4"/>
    <x v="1"/>
    <x v="23"/>
    <x v="23"/>
    <s v="Adequação dos objetos do Metadados, PowerCentrer, DataQuality"/>
    <x v="23"/>
  </r>
  <r>
    <x v="4"/>
    <x v="2"/>
    <x v="24"/>
    <x v="24"/>
    <s v="Ambiente BO e SAS preparado para atender ao projeto"/>
    <x v="24"/>
  </r>
  <r>
    <x v="4"/>
    <x v="3"/>
    <x v="25"/>
    <x v="25"/>
    <s v="Informada as frentes mais impactadas pelo projeto."/>
    <x v="25"/>
  </r>
  <r>
    <x v="4"/>
    <x v="4"/>
    <x v="26"/>
    <x v="26"/>
    <s v="Objetos de banco criados e adquados a gestão."/>
    <x v="26"/>
  </r>
  <r>
    <x v="5"/>
    <x v="0"/>
    <x v="27"/>
    <x v="27"/>
    <s v="Jobs do Control-M adequados à necessidado projeto."/>
    <x v="27"/>
  </r>
  <r>
    <x v="5"/>
    <x v="1"/>
    <x v="28"/>
    <x v="28"/>
    <s v="Documento de Solicitação de Transmissão de arquivos"/>
    <x v="28"/>
  </r>
  <r>
    <x v="5"/>
    <x v="2"/>
    <x v="29"/>
    <x v="13"/>
    <s v="Rotinas Operacionais adequadas à necessidade projeto."/>
    <x v="29"/>
  </r>
  <r>
    <x v="5"/>
    <x v="3"/>
    <x v="30"/>
    <x v="14"/>
    <s v="Rotinas Operacionais adequadas à necessidade projeto."/>
    <x v="30"/>
  </r>
  <r>
    <x v="6"/>
    <x v="0"/>
    <x v="31"/>
    <x v="29"/>
    <s v="EMS - Especificação de Monitoração de Sistemas (Monitoração do SIM)"/>
    <x v="31"/>
  </r>
  <r>
    <x v="6"/>
    <x v="1"/>
    <x v="32"/>
    <x v="30"/>
    <s v="Relatórios de monitoração implantado no Spotfire"/>
    <x v="32"/>
  </r>
  <r>
    <x v="7"/>
    <x v="0"/>
    <x v="33"/>
    <x v="31"/>
    <s v="Doumentos PCS - Plano de Continuidade de Sistemas, Planto de Teste de H.A. e suas respectivas exucuções."/>
    <x v="33"/>
  </r>
  <r>
    <x v="8"/>
    <x v="0"/>
    <x v="34"/>
    <x v="32"/>
    <s v="Aplicação integrado com Identidade Digital"/>
    <x v="34"/>
  </r>
  <r>
    <x v="9"/>
    <x v="0"/>
    <x v="35"/>
    <x v="33"/>
    <s v="Envolvimento equipe de Operações TI responsável pela Funcionalidade Critica na fase de DSOL."/>
    <x v="35"/>
  </r>
  <r>
    <x v="9"/>
    <x v="1"/>
    <x v="36"/>
    <x v="34"/>
    <s v="Ferramenta para tratamento de passivo pontuais ou em massa"/>
    <x v="36"/>
  </r>
  <r>
    <x v="10"/>
    <x v="0"/>
    <x v="37"/>
    <x v="35"/>
    <s v="Funcionalidade para coleta de volumetria das transações/cases do sistema"/>
    <x v="37"/>
  </r>
  <r>
    <x v="10"/>
    <x v="1"/>
    <x v="38"/>
    <x v="36"/>
    <s v="Identificação da existência de integração com a engenharia"/>
    <x v="38"/>
  </r>
  <r>
    <x v="10"/>
    <x v="2"/>
    <x v="39"/>
    <x v="37"/>
    <s v="Identificar se há necessidade de comunicação SSL"/>
    <x v="39"/>
  </r>
  <r>
    <x v="10"/>
    <x v="3"/>
    <x v="40"/>
    <x v="38"/>
    <s v="Identificar se a aplicação usa recurso de Balanceamento de carga (Exemplo: F5)"/>
    <x v="40"/>
  </r>
  <r>
    <x v="10"/>
    <x v="4"/>
    <x v="41"/>
    <x v="39"/>
    <s v="Informação se a solução usa recurso de Replicação de dados (Exemplo: rsync)"/>
    <x v="41"/>
  </r>
  <r>
    <x v="10"/>
    <x v="5"/>
    <x v="42"/>
    <x v="40"/>
    <s v="Identificar se a aplicação usa recurso de Compartilhamento de disco (Exemplo: OCFS2)"/>
    <x v="42"/>
  </r>
  <r>
    <x v="10"/>
    <x v="6"/>
    <x v="43"/>
    <x v="41"/>
    <s v="Identificar se a aplicação usa recurso de Cluster de sistema operacional (Exemplo: RedHat Cluster)"/>
    <x v="43"/>
  </r>
  <r>
    <x v="10"/>
    <x v="7"/>
    <x v="44"/>
    <x v="42"/>
    <s v="Identificar se a aplicação usa recurso de Persistência em fila (Exemplo: JMS)"/>
    <x v="44"/>
  </r>
  <r>
    <x v="10"/>
    <x v="8"/>
    <x v="45"/>
    <x v="43"/>
    <s v="Relação de  integrações síncronas."/>
    <x v="37"/>
  </r>
  <r>
    <x v="10"/>
    <x v="9"/>
    <x v="46"/>
    <x v="44"/>
    <s v="Relação de  integrações assíncronas."/>
    <x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0" applyNumberFormats="0" applyBorderFormats="0" applyFontFormats="0" applyPatternFormats="0" applyAlignmentFormats="0" applyWidthHeightFormats="1" dataCaption="Valores" updatedVersion="4" minRefreshableVersion="3" useAutoFormatting="1" rowGrandTotals="0" colGrandTotals="0" itemPrintTitles="1" createdVersion="4" indent="0" compact="0" compactData="0" gridDropZones="1" multipleFieldFilters="0">
  <location ref="A3:K51" firstHeaderRow="2" firstDataRow="2" firstDataCol="5"/>
  <pivotFields count="6">
    <pivotField axis="axisRow" compact="0" outline="0" showAll="0" defaultSubtotal="0">
      <items count="11">
        <item x="0"/>
        <item x="1"/>
        <item x="2"/>
        <item x="3"/>
        <item x="4"/>
        <item x="5"/>
        <item x="6"/>
        <item x="7"/>
        <item x="8"/>
        <item x="9"/>
        <item x="10"/>
      </items>
    </pivotField>
    <pivotField axis="axisRow" compact="0" outline="0" showAll="0" defaultSubtotal="0">
      <items count="14">
        <item x="0"/>
        <item x="1"/>
        <item x="2"/>
        <item x="3"/>
        <item x="4"/>
        <item x="5"/>
        <item x="6"/>
        <item x="7"/>
        <item x="8"/>
        <item x="9"/>
        <item x="10"/>
        <item x="11"/>
        <item x="12"/>
        <item x="13"/>
      </items>
    </pivotField>
    <pivotField axis="axisRow" compact="0" outline="0" showAll="0" defaultSubtotal="0">
      <items count="63">
        <item x="20"/>
        <item x="21"/>
        <item m="1" x="56"/>
        <item x="33"/>
        <item x="37"/>
        <item x="38"/>
        <item x="39"/>
        <item x="40"/>
        <item x="42"/>
        <item x="43"/>
        <item x="44"/>
        <item x="45"/>
        <item x="46"/>
        <item x="3"/>
        <item m="1" x="61"/>
        <item x="10"/>
        <item x="22"/>
        <item m="1" x="48"/>
        <item x="27"/>
        <item x="28"/>
        <item m="1" x="59"/>
        <item x="31"/>
        <item x="34"/>
        <item x="41"/>
        <item x="1"/>
        <item x="2"/>
        <item x="4"/>
        <item x="11"/>
        <item x="24"/>
        <item x="32"/>
        <item x="7"/>
        <item x="25"/>
        <item x="26"/>
        <item x="18"/>
        <item m="1" x="62"/>
        <item m="1" x="49"/>
        <item x="36"/>
        <item x="8"/>
        <item x="9"/>
        <item m="1" x="50"/>
        <item x="35"/>
        <item m="1" x="60"/>
        <item m="1" x="52"/>
        <item x="29"/>
        <item m="1" x="55"/>
        <item x="12"/>
        <item x="19"/>
        <item x="23"/>
        <item m="1" x="57"/>
        <item m="1" x="47"/>
        <item m="1" x="51"/>
        <item x="5"/>
        <item x="6"/>
        <item m="1" x="53"/>
        <item x="0"/>
        <item m="1" x="54"/>
        <item m="1" x="58"/>
        <item x="16"/>
        <item x="17"/>
        <item x="13"/>
        <item x="14"/>
        <item x="30"/>
        <item x="15"/>
      </items>
    </pivotField>
    <pivotField axis="axisRow" compact="0" outline="0" showAll="0" defaultSubtotal="0">
      <items count="51">
        <item x="2"/>
        <item x="10"/>
        <item x="28"/>
        <item x="11"/>
        <item x="23"/>
        <item x="27"/>
        <item x="31"/>
        <item x="3"/>
        <item x="7"/>
        <item x="0"/>
        <item x="9"/>
        <item x="29"/>
        <item x="20"/>
        <item x="21"/>
        <item x="32"/>
        <item x="24"/>
        <item x="22"/>
        <item m="1" x="45"/>
        <item m="1" x="48"/>
        <item x="35"/>
        <item x="44"/>
        <item x="43"/>
        <item x="38"/>
        <item x="41"/>
        <item x="40"/>
        <item x="42"/>
        <item x="39"/>
        <item x="36"/>
        <item x="37"/>
        <item m="1" x="49"/>
        <item x="30"/>
        <item x="18"/>
        <item x="19"/>
        <item x="33"/>
        <item x="34"/>
        <item x="8"/>
        <item x="26"/>
        <item m="1" x="47"/>
        <item x="1"/>
        <item m="1" x="46"/>
        <item x="12"/>
        <item x="13"/>
        <item x="6"/>
        <item x="4"/>
        <item x="5"/>
        <item x="25"/>
        <item m="1" x="50"/>
        <item x="14"/>
        <item x="16"/>
        <item x="17"/>
        <item x="15"/>
      </items>
    </pivotField>
    <pivotField compact="0" outline="0" showAll="0"/>
    <pivotField axis="axisRow" compact="0" outline="0" showAll="0" defaultSubtotal="0">
      <items count="85">
        <item m="1" x="73"/>
        <item x="22"/>
        <item m="1" x="74"/>
        <item m="1" x="52"/>
        <item x="11"/>
        <item x="7"/>
        <item m="1" x="83"/>
        <item m="1" x="70"/>
        <item x="26"/>
        <item x="20"/>
        <item x="34"/>
        <item m="1" x="80"/>
        <item m="1" x="72"/>
        <item m="1" x="84"/>
        <item m="1" x="66"/>
        <item m="1" x="48"/>
        <item x="2"/>
        <item x="45"/>
        <item x="37"/>
        <item x="8"/>
        <item x="10"/>
        <item m="1" x="63"/>
        <item m="1" x="62"/>
        <item m="1" x="56"/>
        <item m="1" x="82"/>
        <item m="1" x="79"/>
        <item x="9"/>
        <item x="4"/>
        <item m="1" x="49"/>
        <item m="1" x="53"/>
        <item m="1" x="50"/>
        <item m="1" x="57"/>
        <item m="1" x="61"/>
        <item m="1" x="76"/>
        <item m="1" x="67"/>
        <item m="1" x="78"/>
        <item m="1" x="60"/>
        <item x="29"/>
        <item x="13"/>
        <item x="28"/>
        <item m="1" x="71"/>
        <item m="1" x="55"/>
        <item m="1" x="47"/>
        <item m="1" x="69"/>
        <item m="1" x="46"/>
        <item m="1" x="58"/>
        <item m="1" x="81"/>
        <item m="1" x="64"/>
        <item x="12"/>
        <item m="1" x="59"/>
        <item x="21"/>
        <item x="23"/>
        <item x="27"/>
        <item x="33"/>
        <item x="44"/>
        <item x="0"/>
        <item x="1"/>
        <item x="3"/>
        <item x="5"/>
        <item m="1" x="65"/>
        <item x="25"/>
        <item x="31"/>
        <item x="32"/>
        <item m="1" x="75"/>
        <item m="1" x="77"/>
        <item x="6"/>
        <item m="1" x="54"/>
        <item x="18"/>
        <item x="19"/>
        <item x="24"/>
        <item m="1" x="51"/>
        <item x="36"/>
        <item m="1" x="68"/>
        <item x="16"/>
        <item x="17"/>
        <item x="14"/>
        <item x="30"/>
        <item x="35"/>
        <item x="38"/>
        <item x="39"/>
        <item x="40"/>
        <item x="41"/>
        <item x="42"/>
        <item x="43"/>
        <item x="15"/>
      </items>
    </pivotField>
  </pivotFields>
  <rowFields count="5">
    <field x="0"/>
    <field x="1"/>
    <field x="2"/>
    <field x="3"/>
    <field x="5"/>
  </rowFields>
  <rowItems count="47">
    <i>
      <x/>
      <x/>
      <x v="54"/>
      <x v="9"/>
      <x v="55"/>
    </i>
    <i>
      <x v="1"/>
      <x/>
      <x v="24"/>
      <x v="38"/>
      <x v="56"/>
    </i>
    <i r="1">
      <x v="1"/>
      <x v="25"/>
      <x/>
      <x v="16"/>
    </i>
    <i r="1">
      <x v="2"/>
      <x v="13"/>
      <x v="7"/>
      <x v="57"/>
    </i>
    <i>
      <x v="2"/>
      <x/>
      <x v="26"/>
      <x v="43"/>
      <x v="27"/>
    </i>
    <i r="1">
      <x v="1"/>
      <x v="51"/>
      <x v="44"/>
      <x v="58"/>
    </i>
    <i r="1">
      <x v="2"/>
      <x v="52"/>
      <x v="42"/>
      <x v="65"/>
    </i>
    <i r="1">
      <x v="3"/>
      <x v="30"/>
      <x v="8"/>
      <x v="5"/>
    </i>
    <i r="1">
      <x v="4"/>
      <x v="37"/>
      <x v="35"/>
      <x v="19"/>
    </i>
    <i r="1">
      <x v="5"/>
      <x v="38"/>
      <x v="10"/>
      <x v="26"/>
    </i>
    <i r="1">
      <x v="6"/>
      <x v="15"/>
      <x v="1"/>
      <x v="20"/>
    </i>
    <i r="1">
      <x v="7"/>
      <x v="27"/>
      <x v="3"/>
      <x v="4"/>
    </i>
    <i r="1">
      <x v="8"/>
      <x v="45"/>
      <x v="40"/>
      <x v="48"/>
    </i>
    <i r="1">
      <x v="9"/>
      <x v="59"/>
      <x v="41"/>
      <x v="38"/>
    </i>
    <i r="1">
      <x v="10"/>
      <x v="60"/>
      <x v="47"/>
      <x v="75"/>
    </i>
    <i r="1">
      <x v="11"/>
      <x v="62"/>
      <x v="50"/>
      <x v="84"/>
    </i>
    <i r="1">
      <x v="12"/>
      <x v="57"/>
      <x v="48"/>
      <x v="73"/>
    </i>
    <i r="1">
      <x v="13"/>
      <x v="58"/>
      <x v="49"/>
      <x v="74"/>
    </i>
    <i>
      <x v="3"/>
      <x/>
      <x v="33"/>
      <x v="31"/>
      <x v="67"/>
    </i>
    <i r="1">
      <x v="1"/>
      <x v="46"/>
      <x v="32"/>
      <x v="68"/>
    </i>
    <i r="1">
      <x v="2"/>
      <x/>
      <x v="12"/>
      <x v="9"/>
    </i>
    <i r="1">
      <x v="3"/>
      <x v="1"/>
      <x v="13"/>
      <x v="50"/>
    </i>
    <i>
      <x v="4"/>
      <x/>
      <x v="16"/>
      <x v="16"/>
      <x v="1"/>
    </i>
    <i r="1">
      <x v="1"/>
      <x v="47"/>
      <x v="4"/>
      <x v="51"/>
    </i>
    <i r="1">
      <x v="2"/>
      <x v="28"/>
      <x v="15"/>
      <x v="69"/>
    </i>
    <i r="1">
      <x v="3"/>
      <x v="31"/>
      <x v="45"/>
      <x v="60"/>
    </i>
    <i r="1">
      <x v="4"/>
      <x v="32"/>
      <x v="36"/>
      <x v="8"/>
    </i>
    <i>
      <x v="5"/>
      <x/>
      <x v="18"/>
      <x v="5"/>
      <x v="52"/>
    </i>
    <i r="1">
      <x v="1"/>
      <x v="19"/>
      <x v="2"/>
      <x v="39"/>
    </i>
    <i r="1">
      <x v="2"/>
      <x v="43"/>
      <x v="41"/>
      <x v="37"/>
    </i>
    <i r="1">
      <x v="3"/>
      <x v="61"/>
      <x v="47"/>
      <x v="76"/>
    </i>
    <i>
      <x v="6"/>
      <x/>
      <x v="21"/>
      <x v="11"/>
      <x v="61"/>
    </i>
    <i r="1">
      <x v="1"/>
      <x v="29"/>
      <x v="30"/>
      <x v="62"/>
    </i>
    <i>
      <x v="7"/>
      <x/>
      <x v="3"/>
      <x v="6"/>
      <x v="53"/>
    </i>
    <i>
      <x v="8"/>
      <x/>
      <x v="22"/>
      <x v="14"/>
      <x v="10"/>
    </i>
    <i>
      <x v="9"/>
      <x/>
      <x v="40"/>
      <x v="33"/>
      <x v="77"/>
    </i>
    <i r="1">
      <x v="1"/>
      <x v="36"/>
      <x v="34"/>
      <x v="71"/>
    </i>
    <i>
      <x v="10"/>
      <x/>
      <x v="4"/>
      <x v="19"/>
      <x v="18"/>
    </i>
    <i r="1">
      <x v="1"/>
      <x v="5"/>
      <x v="27"/>
      <x v="78"/>
    </i>
    <i r="1">
      <x v="2"/>
      <x v="6"/>
      <x v="28"/>
      <x v="79"/>
    </i>
    <i r="1">
      <x v="3"/>
      <x v="7"/>
      <x v="22"/>
      <x v="80"/>
    </i>
    <i r="1">
      <x v="4"/>
      <x v="23"/>
      <x v="26"/>
      <x v="81"/>
    </i>
    <i r="1">
      <x v="5"/>
      <x v="8"/>
      <x v="24"/>
      <x v="82"/>
    </i>
    <i r="1">
      <x v="6"/>
      <x v="9"/>
      <x v="23"/>
      <x v="83"/>
    </i>
    <i r="1">
      <x v="7"/>
      <x v="10"/>
      <x v="25"/>
      <x v="54"/>
    </i>
    <i r="1">
      <x v="8"/>
      <x v="11"/>
      <x v="21"/>
      <x v="18"/>
    </i>
    <i r="1">
      <x v="9"/>
      <x v="12"/>
      <x v="20"/>
      <x v="17"/>
    </i>
  </rowItems>
  <colItems count="1">
    <i/>
  </colItems>
  <formats count="138">
    <format dxfId="137">
      <pivotArea field="2" type="button" dataOnly="0" labelOnly="1" outline="0" axis="axisRow" fieldPosition="2"/>
    </format>
    <format dxfId="136">
      <pivotArea dataOnly="0" labelOnly="1" grandRow="1" outline="0" fieldPosition="0"/>
    </format>
    <format dxfId="135">
      <pivotArea dataOnly="0" labelOnly="1" outline="0" fieldPosition="0">
        <references count="2">
          <reference field="0" count="1" selected="0">
            <x v="3"/>
          </reference>
          <reference field="2" count="2">
            <x v="0"/>
            <x v="1"/>
          </reference>
        </references>
      </pivotArea>
    </format>
    <format dxfId="134">
      <pivotArea dataOnly="0" labelOnly="1" outline="0" fieldPosition="0">
        <references count="2">
          <reference field="0" count="1" selected="0">
            <x v="6"/>
          </reference>
          <reference field="2" count="1">
            <x v="1"/>
          </reference>
        </references>
      </pivotArea>
    </format>
    <format dxfId="133">
      <pivotArea field="5" type="button" dataOnly="0" labelOnly="1" outline="0" axis="axisRow" fieldPosition="4"/>
    </format>
    <format dxfId="132">
      <pivotArea dataOnly="0" labelOnly="1" outline="0" fieldPosition="0">
        <references count="4">
          <reference field="0" count="1" selected="0">
            <x v="0"/>
          </reference>
          <reference field="1" count="1" selected="0">
            <x v="0"/>
          </reference>
          <reference field="2" count="1" selected="0">
            <x v="35"/>
          </reference>
          <reference field="3" count="1" defaultSubtotal="1">
            <x v="9"/>
          </reference>
        </references>
      </pivotArea>
    </format>
    <format dxfId="131">
      <pivotArea dataOnly="0" labelOnly="1" outline="0" fieldPosition="0">
        <references count="4">
          <reference field="0" count="1" selected="0">
            <x v="1"/>
          </reference>
          <reference field="1" count="1" selected="0">
            <x v="0"/>
          </reference>
          <reference field="2" count="1" selected="0">
            <x v="24"/>
          </reference>
          <reference field="3" count="1" defaultSubtotal="1">
            <x v="38"/>
          </reference>
        </references>
      </pivotArea>
    </format>
    <format dxfId="130">
      <pivotArea dataOnly="0" labelOnly="1" outline="0" fieldPosition="0">
        <references count="4">
          <reference field="0" count="1" selected="0">
            <x v="1"/>
          </reference>
          <reference field="1" count="1" selected="0">
            <x v="1"/>
          </reference>
          <reference field="2" count="1" selected="0">
            <x v="25"/>
          </reference>
          <reference field="3" count="1" defaultSubtotal="1">
            <x v="0"/>
          </reference>
        </references>
      </pivotArea>
    </format>
    <format dxfId="129">
      <pivotArea dataOnly="0" labelOnly="1" outline="0" fieldPosition="0">
        <references count="4">
          <reference field="0" count="1" selected="0">
            <x v="1"/>
          </reference>
          <reference field="1" count="1" selected="0">
            <x v="2"/>
          </reference>
          <reference field="2" count="1" selected="0">
            <x v="13"/>
          </reference>
          <reference field="3" count="1" defaultSubtotal="1">
            <x v="7"/>
          </reference>
        </references>
      </pivotArea>
    </format>
    <format dxfId="128">
      <pivotArea dataOnly="0" labelOnly="1" outline="0" fieldPosition="0">
        <references count="4">
          <reference field="0" count="1" selected="0">
            <x v="2"/>
          </reference>
          <reference field="1" count="1" selected="0">
            <x v="0"/>
          </reference>
          <reference field="2" count="1" selected="0">
            <x v="26"/>
          </reference>
          <reference field="3" count="1" defaultSubtotal="1">
            <x v="17"/>
          </reference>
        </references>
      </pivotArea>
    </format>
    <format dxfId="127">
      <pivotArea dataOnly="0" labelOnly="1" outline="0" fieldPosition="0">
        <references count="4">
          <reference field="0" count="1" selected="0">
            <x v="2"/>
          </reference>
          <reference field="1" count="1" selected="0">
            <x v="1"/>
          </reference>
          <reference field="2" count="1" selected="0">
            <x v="14"/>
          </reference>
          <reference field="3" count="1" defaultSubtotal="1">
            <x v="18"/>
          </reference>
        </references>
      </pivotArea>
    </format>
    <format dxfId="126">
      <pivotArea dataOnly="0" labelOnly="1" outline="0" fieldPosition="0">
        <references count="4">
          <reference field="0" count="1" selected="0">
            <x v="2"/>
          </reference>
          <reference field="1" count="1" selected="0">
            <x v="2"/>
          </reference>
          <reference field="2" count="1" selected="0">
            <x v="2"/>
          </reference>
          <reference field="3" count="1" defaultSubtotal="1">
            <x v="39"/>
          </reference>
        </references>
      </pivotArea>
    </format>
    <format dxfId="125">
      <pivotArea dataOnly="0" labelOnly="1" outline="0" fieldPosition="0">
        <references count="4">
          <reference field="0" count="1" selected="0">
            <x v="2"/>
          </reference>
          <reference field="1" count="1" selected="0">
            <x v="3"/>
          </reference>
          <reference field="2" count="1" selected="0">
            <x v="30"/>
          </reference>
          <reference field="3" count="1" defaultSubtotal="1">
            <x v="8"/>
          </reference>
        </references>
      </pivotArea>
    </format>
    <format dxfId="124">
      <pivotArea dataOnly="0" labelOnly="1" outline="0" fieldPosition="0">
        <references count="4">
          <reference field="0" count="1" selected="0">
            <x v="2"/>
          </reference>
          <reference field="1" count="1" selected="0">
            <x v="4"/>
          </reference>
          <reference field="2" count="1" selected="0">
            <x v="37"/>
          </reference>
          <reference field="3" count="1" defaultSubtotal="1">
            <x v="35"/>
          </reference>
        </references>
      </pivotArea>
    </format>
    <format dxfId="123">
      <pivotArea dataOnly="0" labelOnly="1" outline="0" fieldPosition="0">
        <references count="4">
          <reference field="0" count="1" selected="0">
            <x v="2"/>
          </reference>
          <reference field="1" count="1" selected="0">
            <x v="5"/>
          </reference>
          <reference field="2" count="1" selected="0">
            <x v="38"/>
          </reference>
          <reference field="3" count="1" defaultSubtotal="1">
            <x v="10"/>
          </reference>
        </references>
      </pivotArea>
    </format>
    <format dxfId="122">
      <pivotArea dataOnly="0" labelOnly="1" outline="0" fieldPosition="0">
        <references count="4">
          <reference field="0" count="1" selected="0">
            <x v="2"/>
          </reference>
          <reference field="1" count="1" selected="0">
            <x v="6"/>
          </reference>
          <reference field="2" count="1" selected="0">
            <x v="15"/>
          </reference>
          <reference field="3" count="1" defaultSubtotal="1">
            <x v="1"/>
          </reference>
        </references>
      </pivotArea>
    </format>
    <format dxfId="121">
      <pivotArea dataOnly="0" labelOnly="1" outline="0" fieldPosition="0">
        <references count="4">
          <reference field="0" count="1" selected="0">
            <x v="2"/>
          </reference>
          <reference field="1" count="1" selected="0">
            <x v="7"/>
          </reference>
          <reference field="2" count="1" selected="0">
            <x v="27"/>
          </reference>
          <reference field="3" count="1" defaultSubtotal="1">
            <x v="3"/>
          </reference>
        </references>
      </pivotArea>
    </format>
    <format dxfId="120">
      <pivotArea dataOnly="0" labelOnly="1" outline="0" fieldPosition="0">
        <references count="4">
          <reference field="0" count="1" selected="0">
            <x v="2"/>
          </reference>
          <reference field="1" count="1" selected="0">
            <x v="8"/>
          </reference>
          <reference field="2" count="1" selected="0">
            <x v="20"/>
          </reference>
          <reference field="3" count="1" defaultSubtotal="1">
            <x v="40"/>
          </reference>
        </references>
      </pivotArea>
    </format>
    <format dxfId="119">
      <pivotArea dataOnly="0" labelOnly="1" outline="0" fieldPosition="0">
        <references count="4">
          <reference field="0" count="1" selected="0">
            <x v="2"/>
          </reference>
          <reference field="1" count="1" selected="0">
            <x v="9"/>
          </reference>
          <reference field="2" count="1" selected="0">
            <x v="41"/>
          </reference>
          <reference field="3" count="1" defaultSubtotal="1">
            <x v="41"/>
          </reference>
        </references>
      </pivotArea>
    </format>
    <format dxfId="118">
      <pivotArea dataOnly="0" labelOnly="1" outline="0" fieldPosition="0">
        <references count="4">
          <reference field="0" count="1" selected="0">
            <x v="2"/>
          </reference>
          <reference field="1" count="1" selected="0">
            <x v="10"/>
          </reference>
          <reference field="2" count="1" selected="0">
            <x v="42"/>
          </reference>
          <reference field="3" count="1" defaultSubtotal="1">
            <x v="41"/>
          </reference>
        </references>
      </pivotArea>
    </format>
    <format dxfId="117">
      <pivotArea dataOnly="0" labelOnly="1" outline="0" fieldPosition="0">
        <references count="4">
          <reference field="0" count="1" selected="0">
            <x v="3"/>
          </reference>
          <reference field="1" count="1" selected="0">
            <x v="0"/>
          </reference>
          <reference field="2" count="1" selected="0">
            <x v="33"/>
          </reference>
          <reference field="3" count="1" defaultSubtotal="1">
            <x v="31"/>
          </reference>
        </references>
      </pivotArea>
    </format>
    <format dxfId="116">
      <pivotArea dataOnly="0" labelOnly="1" outline="0" fieldPosition="0">
        <references count="4">
          <reference field="0" count="1" selected="0">
            <x v="3"/>
          </reference>
          <reference field="1" count="1" selected="0">
            <x v="1"/>
          </reference>
          <reference field="2" count="1" selected="0">
            <x v="34"/>
          </reference>
          <reference field="3" count="1" defaultSubtotal="1">
            <x v="32"/>
          </reference>
        </references>
      </pivotArea>
    </format>
    <format dxfId="115">
      <pivotArea dataOnly="0" labelOnly="1" outline="0" fieldPosition="0">
        <references count="4">
          <reference field="0" count="1" selected="0">
            <x v="3"/>
          </reference>
          <reference field="1" count="1" selected="0">
            <x v="2"/>
          </reference>
          <reference field="2" count="1" selected="0">
            <x v="0"/>
          </reference>
          <reference field="3" count="1" defaultSubtotal="1">
            <x v="12"/>
          </reference>
        </references>
      </pivotArea>
    </format>
    <format dxfId="114">
      <pivotArea dataOnly="0" labelOnly="1" outline="0" fieldPosition="0">
        <references count="4">
          <reference field="0" count="1" selected="0">
            <x v="3"/>
          </reference>
          <reference field="1" count="1" selected="0">
            <x v="3"/>
          </reference>
          <reference field="2" count="1" selected="0">
            <x v="1"/>
          </reference>
          <reference field="3" count="1" defaultSubtotal="1">
            <x v="13"/>
          </reference>
        </references>
      </pivotArea>
    </format>
    <format dxfId="113">
      <pivotArea dataOnly="0" labelOnly="1" outline="0" fieldPosition="0">
        <references count="4">
          <reference field="0" count="1" selected="0">
            <x v="4"/>
          </reference>
          <reference field="1" count="1" selected="0">
            <x v="0"/>
          </reference>
          <reference field="2" count="1" selected="0">
            <x v="16"/>
          </reference>
          <reference field="3" count="1" defaultSubtotal="1">
            <x v="16"/>
          </reference>
        </references>
      </pivotArea>
    </format>
    <format dxfId="112">
      <pivotArea dataOnly="0" labelOnly="1" outline="0" fieldPosition="0">
        <references count="4">
          <reference field="0" count="1" selected="0">
            <x v="4"/>
          </reference>
          <reference field="1" count="1" selected="0">
            <x v="1"/>
          </reference>
          <reference field="2" count="1" selected="0">
            <x v="17"/>
          </reference>
          <reference field="3" count="1" defaultSubtotal="1">
            <x v="4"/>
          </reference>
        </references>
      </pivotArea>
    </format>
    <format dxfId="111">
      <pivotArea dataOnly="0" labelOnly="1" outline="0" fieldPosition="0">
        <references count="4">
          <reference field="0" count="1" selected="0">
            <x v="4"/>
          </reference>
          <reference field="1" count="1" selected="0">
            <x v="2"/>
          </reference>
          <reference field="2" count="1" selected="0">
            <x v="28"/>
          </reference>
          <reference field="3" count="1" defaultSubtotal="1">
            <x v="15"/>
          </reference>
        </references>
      </pivotArea>
    </format>
    <format dxfId="110">
      <pivotArea dataOnly="0" labelOnly="1" outline="0" fieldPosition="0">
        <references count="4">
          <reference field="0" count="1" selected="0">
            <x v="4"/>
          </reference>
          <reference field="1" count="1" selected="0">
            <x v="3"/>
          </reference>
          <reference field="2" count="1" selected="0">
            <x v="31"/>
          </reference>
          <reference field="3" count="1" defaultSubtotal="1">
            <x v="37"/>
          </reference>
        </references>
      </pivotArea>
    </format>
    <format dxfId="109">
      <pivotArea dataOnly="0" labelOnly="1" outline="0" fieldPosition="0">
        <references count="4">
          <reference field="0" count="1" selected="0">
            <x v="4"/>
          </reference>
          <reference field="1" count="1" selected="0">
            <x v="4"/>
          </reference>
          <reference field="2" count="1" selected="0">
            <x v="32"/>
          </reference>
          <reference field="3" count="1" defaultSubtotal="1">
            <x v="36"/>
          </reference>
        </references>
      </pivotArea>
    </format>
    <format dxfId="108">
      <pivotArea dataOnly="0" labelOnly="1" outline="0" fieldPosition="0">
        <references count="4">
          <reference field="0" count="1" selected="0">
            <x v="5"/>
          </reference>
          <reference field="1" count="1" selected="0">
            <x v="0"/>
          </reference>
          <reference field="2" count="1" selected="0">
            <x v="18"/>
          </reference>
          <reference field="3" count="1" defaultSubtotal="1">
            <x v="5"/>
          </reference>
        </references>
      </pivotArea>
    </format>
    <format dxfId="107">
      <pivotArea dataOnly="0" labelOnly="1" outline="0" fieldPosition="0">
        <references count="4">
          <reference field="0" count="1" selected="0">
            <x v="5"/>
          </reference>
          <reference field="1" count="1" selected="0">
            <x v="1"/>
          </reference>
          <reference field="2" count="1" selected="0">
            <x v="19"/>
          </reference>
          <reference field="3" count="1" defaultSubtotal="1">
            <x v="2"/>
          </reference>
        </references>
      </pivotArea>
    </format>
    <format dxfId="106">
      <pivotArea dataOnly="0" labelOnly="1" outline="0" fieldPosition="0">
        <references count="4">
          <reference field="0" count="1" selected="0">
            <x v="5"/>
          </reference>
          <reference field="1" count="1" selected="0">
            <x v="2"/>
          </reference>
          <reference field="2" count="1" selected="0">
            <x v="43"/>
          </reference>
          <reference field="3" count="1" defaultSubtotal="1">
            <x v="41"/>
          </reference>
        </references>
      </pivotArea>
    </format>
    <format dxfId="105">
      <pivotArea dataOnly="0" labelOnly="1" outline="0" fieldPosition="0">
        <references count="4">
          <reference field="0" count="1" selected="0">
            <x v="5"/>
          </reference>
          <reference field="1" count="1" selected="0">
            <x v="3"/>
          </reference>
          <reference field="2" count="1" selected="0">
            <x v="44"/>
          </reference>
          <reference field="3" count="1" defaultSubtotal="1">
            <x v="41"/>
          </reference>
        </references>
      </pivotArea>
    </format>
    <format dxfId="104">
      <pivotArea dataOnly="0" labelOnly="1" outline="0" fieldPosition="0">
        <references count="4">
          <reference field="0" count="1" selected="0">
            <x v="6"/>
          </reference>
          <reference field="1" count="1" selected="0">
            <x v="0"/>
          </reference>
          <reference field="2" count="1" selected="0">
            <x v="21"/>
          </reference>
          <reference field="3" count="1" defaultSubtotal="1">
            <x v="11"/>
          </reference>
        </references>
      </pivotArea>
    </format>
    <format dxfId="103">
      <pivotArea dataOnly="0" labelOnly="1" outline="0" fieldPosition="0">
        <references count="4">
          <reference field="0" count="1" selected="0">
            <x v="6"/>
          </reference>
          <reference field="1" count="1" selected="0">
            <x v="1"/>
          </reference>
          <reference field="2" count="1" selected="0">
            <x v="29"/>
          </reference>
          <reference field="3" count="1" defaultSubtotal="1">
            <x v="30"/>
          </reference>
        </references>
      </pivotArea>
    </format>
    <format dxfId="102">
      <pivotArea dataOnly="0" labelOnly="1" outline="0" fieldPosition="0">
        <references count="4">
          <reference field="0" count="1" selected="0">
            <x v="7"/>
          </reference>
          <reference field="1" count="1" selected="0">
            <x v="0"/>
          </reference>
          <reference field="2" count="1" selected="0">
            <x v="3"/>
          </reference>
          <reference field="3" count="1" defaultSubtotal="1">
            <x v="6"/>
          </reference>
        </references>
      </pivotArea>
    </format>
    <format dxfId="101">
      <pivotArea dataOnly="0" labelOnly="1" outline="0" fieldPosition="0">
        <references count="4">
          <reference field="0" count="1" selected="0">
            <x v="8"/>
          </reference>
          <reference field="1" count="1" selected="0">
            <x v="0"/>
          </reference>
          <reference field="2" count="1" selected="0">
            <x v="22"/>
          </reference>
          <reference field="3" count="1" defaultSubtotal="1">
            <x v="14"/>
          </reference>
        </references>
      </pivotArea>
    </format>
    <format dxfId="100">
      <pivotArea dataOnly="0" labelOnly="1" outline="0" fieldPosition="0">
        <references count="4">
          <reference field="0" count="1" selected="0">
            <x v="9"/>
          </reference>
          <reference field="1" count="1" selected="0">
            <x v="0"/>
          </reference>
          <reference field="2" count="1" selected="0">
            <x v="40"/>
          </reference>
          <reference field="3" count="1" defaultSubtotal="1">
            <x v="33"/>
          </reference>
        </references>
      </pivotArea>
    </format>
    <format dxfId="99">
      <pivotArea dataOnly="0" labelOnly="1" outline="0" fieldPosition="0">
        <references count="4">
          <reference field="0" count="1" selected="0">
            <x v="9"/>
          </reference>
          <reference field="1" count="1" selected="0">
            <x v="1"/>
          </reference>
          <reference field="2" count="1" selected="0">
            <x v="36"/>
          </reference>
          <reference field="3" count="1" defaultSubtotal="1">
            <x v="34"/>
          </reference>
        </references>
      </pivotArea>
    </format>
    <format dxfId="98">
      <pivotArea dataOnly="0" labelOnly="1" outline="0" fieldPosition="0">
        <references count="4">
          <reference field="0" count="1" selected="0">
            <x v="10"/>
          </reference>
          <reference field="1" count="1" selected="0">
            <x v="1"/>
          </reference>
          <reference field="2" count="1" selected="0">
            <x v="4"/>
          </reference>
          <reference field="3" count="1" defaultSubtotal="1">
            <x v="19"/>
          </reference>
        </references>
      </pivotArea>
    </format>
    <format dxfId="97">
      <pivotArea dataOnly="0" labelOnly="1" outline="0" fieldPosition="0">
        <references count="4">
          <reference field="0" count="1" selected="0">
            <x v="10"/>
          </reference>
          <reference field="1" count="1" selected="0">
            <x v="2"/>
          </reference>
          <reference field="2" count="1" selected="0">
            <x v="5"/>
          </reference>
          <reference field="3" count="1" defaultSubtotal="1">
            <x v="27"/>
          </reference>
        </references>
      </pivotArea>
    </format>
    <format dxfId="96">
      <pivotArea dataOnly="0" labelOnly="1" outline="0" fieldPosition="0">
        <references count="4">
          <reference field="0" count="1" selected="0">
            <x v="10"/>
          </reference>
          <reference field="1" count="1" selected="0">
            <x v="3"/>
          </reference>
          <reference field="2" count="1" selected="0">
            <x v="6"/>
          </reference>
          <reference field="3" count="1" defaultSubtotal="1">
            <x v="28"/>
          </reference>
        </references>
      </pivotArea>
    </format>
    <format dxfId="95">
      <pivotArea dataOnly="0" labelOnly="1" outline="0" fieldPosition="0">
        <references count="4">
          <reference field="0" count="1" selected="0">
            <x v="10"/>
          </reference>
          <reference field="1" count="1" selected="0">
            <x v="4"/>
          </reference>
          <reference field="2" count="1" selected="0">
            <x v="7"/>
          </reference>
          <reference field="3" count="1" defaultSubtotal="1">
            <x v="22"/>
          </reference>
        </references>
      </pivotArea>
    </format>
    <format dxfId="94">
      <pivotArea dataOnly="0" labelOnly="1" outline="0" fieldPosition="0">
        <references count="4">
          <reference field="0" count="1" selected="0">
            <x v="10"/>
          </reference>
          <reference field="1" count="1" selected="0">
            <x v="5"/>
          </reference>
          <reference field="2" count="1" selected="0">
            <x v="23"/>
          </reference>
          <reference field="3" count="1" defaultSubtotal="1">
            <x v="26"/>
          </reference>
        </references>
      </pivotArea>
    </format>
    <format dxfId="93">
      <pivotArea dataOnly="0" labelOnly="1" outline="0" fieldPosition="0">
        <references count="4">
          <reference field="0" count="1" selected="0">
            <x v="10"/>
          </reference>
          <reference field="1" count="1" selected="0">
            <x v="6"/>
          </reference>
          <reference field="2" count="1" selected="0">
            <x v="8"/>
          </reference>
          <reference field="3" count="1" defaultSubtotal="1">
            <x v="24"/>
          </reference>
        </references>
      </pivotArea>
    </format>
    <format dxfId="92">
      <pivotArea dataOnly="0" labelOnly="1" outline="0" fieldPosition="0">
        <references count="4">
          <reference field="0" count="1" selected="0">
            <x v="10"/>
          </reference>
          <reference field="1" count="1" selected="0">
            <x v="7"/>
          </reference>
          <reference field="2" count="1" selected="0">
            <x v="9"/>
          </reference>
          <reference field="3" count="1" defaultSubtotal="1">
            <x v="23"/>
          </reference>
        </references>
      </pivotArea>
    </format>
    <format dxfId="91">
      <pivotArea dataOnly="0" labelOnly="1" outline="0" fieldPosition="0">
        <references count="4">
          <reference field="0" count="1" selected="0">
            <x v="10"/>
          </reference>
          <reference field="1" count="1" selected="0">
            <x v="8"/>
          </reference>
          <reference field="2" count="1" selected="0">
            <x v="10"/>
          </reference>
          <reference field="3" count="1" defaultSubtotal="1">
            <x v="25"/>
          </reference>
        </references>
      </pivotArea>
    </format>
    <format dxfId="90">
      <pivotArea dataOnly="0" labelOnly="1" outline="0" fieldPosition="0">
        <references count="4">
          <reference field="0" count="1" selected="0">
            <x v="10"/>
          </reference>
          <reference field="1" count="1" selected="0">
            <x v="9"/>
          </reference>
          <reference field="2" count="1" selected="0">
            <x v="11"/>
          </reference>
          <reference field="3" count="1" defaultSubtotal="1">
            <x v="21"/>
          </reference>
        </references>
      </pivotArea>
    </format>
    <format dxfId="89">
      <pivotArea dataOnly="0" labelOnly="1" outline="0" fieldPosition="0">
        <references count="4">
          <reference field="0" count="1" selected="0">
            <x v="10"/>
          </reference>
          <reference field="1" count="1" selected="0">
            <x v="10"/>
          </reference>
          <reference field="2" count="1" selected="0">
            <x v="12"/>
          </reference>
          <reference field="3" count="1" defaultSubtotal="1">
            <x v="20"/>
          </reference>
        </references>
      </pivotArea>
    </format>
    <format dxfId="88">
      <pivotArea dataOnly="0" labelOnly="1" outline="0" fieldPosition="0">
        <references count="4">
          <reference field="0" count="1" selected="0">
            <x v="10"/>
          </reference>
          <reference field="1" count="1" selected="0">
            <x v="11"/>
          </reference>
          <reference field="2" count="1" selected="0">
            <x v="39"/>
          </reference>
          <reference field="3" count="1" defaultSubtotal="1">
            <x v="29"/>
          </reference>
        </references>
      </pivotArea>
    </format>
    <format dxfId="87">
      <pivotArea dataOnly="0" labelOnly="1" outline="0" fieldPosition="0">
        <references count="5">
          <reference field="0" count="1" selected="0">
            <x v="0"/>
          </reference>
          <reference field="1" count="1" selected="0">
            <x v="0"/>
          </reference>
          <reference field="2" count="1" selected="0">
            <x v="35"/>
          </reference>
          <reference field="3" count="1" selected="0">
            <x v="9"/>
          </reference>
          <reference field="5" count="1">
            <x v="13"/>
          </reference>
        </references>
      </pivotArea>
    </format>
    <format dxfId="86">
      <pivotArea dataOnly="0" labelOnly="1" outline="0" fieldPosition="0">
        <references count="5">
          <reference field="0" count="1" selected="0">
            <x v="1"/>
          </reference>
          <reference field="1" count="1" selected="0">
            <x v="0"/>
          </reference>
          <reference field="2" count="1" selected="0">
            <x v="24"/>
          </reference>
          <reference field="3" count="1" selected="0">
            <x v="38"/>
          </reference>
          <reference field="5" count="1">
            <x v="25"/>
          </reference>
        </references>
      </pivotArea>
    </format>
    <format dxfId="85">
      <pivotArea dataOnly="0" labelOnly="1" outline="0" fieldPosition="0">
        <references count="5">
          <reference field="0" count="1" selected="0">
            <x v="1"/>
          </reference>
          <reference field="1" count="1" selected="0">
            <x v="1"/>
          </reference>
          <reference field="2" count="1" selected="0">
            <x v="25"/>
          </reference>
          <reference field="3" count="1" selected="0">
            <x v="0"/>
          </reference>
          <reference field="5" count="1">
            <x v="16"/>
          </reference>
        </references>
      </pivotArea>
    </format>
    <format dxfId="84">
      <pivotArea dataOnly="0" labelOnly="1" outline="0" fieldPosition="0">
        <references count="5">
          <reference field="0" count="1" selected="0">
            <x v="1"/>
          </reference>
          <reference field="1" count="1" selected="0">
            <x v="2"/>
          </reference>
          <reference field="2" count="1" selected="0">
            <x v="13"/>
          </reference>
          <reference field="3" count="1" selected="0">
            <x v="7"/>
          </reference>
          <reference field="5" count="1">
            <x v="23"/>
          </reference>
        </references>
      </pivotArea>
    </format>
    <format dxfId="83">
      <pivotArea dataOnly="0" labelOnly="1" outline="0" fieldPosition="0">
        <references count="5">
          <reference field="0" count="1" selected="0">
            <x v="2"/>
          </reference>
          <reference field="1" count="1" selected="0">
            <x v="0"/>
          </reference>
          <reference field="2" count="1" selected="0">
            <x v="26"/>
          </reference>
          <reference field="3" count="1" selected="0">
            <x v="17"/>
          </reference>
          <reference field="5" count="1">
            <x v="27"/>
          </reference>
        </references>
      </pivotArea>
    </format>
    <format dxfId="82">
      <pivotArea dataOnly="0" labelOnly="1" outline="0" fieldPosition="0">
        <references count="5">
          <reference field="0" count="1" selected="0">
            <x v="2"/>
          </reference>
          <reference field="1" count="1" selected="0">
            <x v="1"/>
          </reference>
          <reference field="2" count="1" selected="0">
            <x v="14"/>
          </reference>
          <reference field="3" count="1" selected="0">
            <x v="18"/>
          </reference>
          <reference field="5" count="1">
            <x v="14"/>
          </reference>
        </references>
      </pivotArea>
    </format>
    <format dxfId="81">
      <pivotArea dataOnly="0" labelOnly="1" outline="0" fieldPosition="0">
        <references count="5">
          <reference field="0" count="1" selected="0">
            <x v="2"/>
          </reference>
          <reference field="1" count="1" selected="0">
            <x v="2"/>
          </reference>
          <reference field="2" count="1" selected="0">
            <x v="2"/>
          </reference>
          <reference field="3" count="1" selected="0">
            <x v="39"/>
          </reference>
          <reference field="5" count="1">
            <x v="22"/>
          </reference>
        </references>
      </pivotArea>
    </format>
    <format dxfId="80">
      <pivotArea dataOnly="0" labelOnly="1" outline="0" fieldPosition="0">
        <references count="5">
          <reference field="0" count="1" selected="0">
            <x v="2"/>
          </reference>
          <reference field="1" count="1" selected="0">
            <x v="3"/>
          </reference>
          <reference field="2" count="1" selected="0">
            <x v="30"/>
          </reference>
          <reference field="3" count="1" selected="0">
            <x v="8"/>
          </reference>
          <reference field="5" count="1">
            <x v="5"/>
          </reference>
        </references>
      </pivotArea>
    </format>
    <format dxfId="79">
      <pivotArea dataOnly="0" labelOnly="1" outline="0" fieldPosition="0">
        <references count="5">
          <reference field="0" count="1" selected="0">
            <x v="2"/>
          </reference>
          <reference field="1" count="1" selected="0">
            <x v="4"/>
          </reference>
          <reference field="2" count="1" selected="0">
            <x v="37"/>
          </reference>
          <reference field="3" count="1" selected="0">
            <x v="35"/>
          </reference>
          <reference field="5" count="1">
            <x v="19"/>
          </reference>
        </references>
      </pivotArea>
    </format>
    <format dxfId="78">
      <pivotArea dataOnly="0" labelOnly="1" outline="0" fieldPosition="0">
        <references count="5">
          <reference field="0" count="1" selected="0">
            <x v="2"/>
          </reference>
          <reference field="1" count="1" selected="0">
            <x v="5"/>
          </reference>
          <reference field="2" count="1" selected="0">
            <x v="38"/>
          </reference>
          <reference field="3" count="1" selected="0">
            <x v="10"/>
          </reference>
          <reference field="5" count="1">
            <x v="26"/>
          </reference>
        </references>
      </pivotArea>
    </format>
    <format dxfId="77">
      <pivotArea dataOnly="0" labelOnly="1" outline="0" fieldPosition="0">
        <references count="5">
          <reference field="0" count="1" selected="0">
            <x v="2"/>
          </reference>
          <reference field="1" count="1" selected="0">
            <x v="6"/>
          </reference>
          <reference field="2" count="1" selected="0">
            <x v="15"/>
          </reference>
          <reference field="3" count="1" selected="0">
            <x v="1"/>
          </reference>
          <reference field="5" count="1">
            <x v="20"/>
          </reference>
        </references>
      </pivotArea>
    </format>
    <format dxfId="76">
      <pivotArea dataOnly="0" labelOnly="1" outline="0" fieldPosition="0">
        <references count="5">
          <reference field="0" count="1" selected="0">
            <x v="2"/>
          </reference>
          <reference field="1" count="1" selected="0">
            <x v="7"/>
          </reference>
          <reference field="2" count="1" selected="0">
            <x v="27"/>
          </reference>
          <reference field="3" count="1" selected="0">
            <x v="3"/>
          </reference>
          <reference field="5" count="1">
            <x v="4"/>
          </reference>
        </references>
      </pivotArea>
    </format>
    <format dxfId="75">
      <pivotArea dataOnly="0" labelOnly="1" outline="0" fieldPosition="0">
        <references count="5">
          <reference field="0" count="1" selected="0">
            <x v="2"/>
          </reference>
          <reference field="1" count="1" selected="0">
            <x v="8"/>
          </reference>
          <reference field="2" count="1" selected="0">
            <x v="20"/>
          </reference>
          <reference field="3" count="1" selected="0">
            <x v="40"/>
          </reference>
          <reference field="5" count="1">
            <x v="34"/>
          </reference>
        </references>
      </pivotArea>
    </format>
    <format dxfId="74">
      <pivotArea dataOnly="0" labelOnly="1" outline="0" fieldPosition="0">
        <references count="5">
          <reference field="0" count="1" selected="0">
            <x v="2"/>
          </reference>
          <reference field="1" count="1" selected="0">
            <x v="9"/>
          </reference>
          <reference field="2" count="1" selected="0">
            <x v="41"/>
          </reference>
          <reference field="3" count="1" selected="0">
            <x v="41"/>
          </reference>
          <reference field="5" count="1">
            <x v="38"/>
          </reference>
        </references>
      </pivotArea>
    </format>
    <format dxfId="73">
      <pivotArea dataOnly="0" labelOnly="1" outline="0" fieldPosition="0">
        <references count="5">
          <reference field="0" count="1" selected="0">
            <x v="2"/>
          </reference>
          <reference field="1" count="1" selected="0">
            <x v="10"/>
          </reference>
          <reference field="2" count="1" selected="0">
            <x v="42"/>
          </reference>
          <reference field="3" count="1" selected="0">
            <x v="41"/>
          </reference>
          <reference field="5" count="1">
            <x v="36"/>
          </reference>
        </references>
      </pivotArea>
    </format>
    <format dxfId="72">
      <pivotArea dataOnly="0" labelOnly="1" outline="0" fieldPosition="0">
        <references count="5">
          <reference field="0" count="1" selected="0">
            <x v="3"/>
          </reference>
          <reference field="1" count="1" selected="0">
            <x v="0"/>
          </reference>
          <reference field="2" count="1" selected="0">
            <x v="33"/>
          </reference>
          <reference field="3" count="1" selected="0">
            <x v="31"/>
          </reference>
          <reference field="5" count="1">
            <x v="21"/>
          </reference>
        </references>
      </pivotArea>
    </format>
    <format dxfId="71">
      <pivotArea dataOnly="0" labelOnly="1" outline="0" fieldPosition="0">
        <references count="5">
          <reference field="0" count="1" selected="0">
            <x v="3"/>
          </reference>
          <reference field="1" count="1" selected="0">
            <x v="1"/>
          </reference>
          <reference field="2" count="1" selected="0">
            <x v="34"/>
          </reference>
          <reference field="3" count="1" selected="0">
            <x v="32"/>
          </reference>
          <reference field="5" count="1">
            <x v="21"/>
          </reference>
        </references>
      </pivotArea>
    </format>
    <format dxfId="70">
      <pivotArea dataOnly="0" labelOnly="1" outline="0" fieldPosition="0">
        <references count="5">
          <reference field="0" count="1" selected="0">
            <x v="3"/>
          </reference>
          <reference field="1" count="1" selected="0">
            <x v="2"/>
          </reference>
          <reference field="2" count="1" selected="0">
            <x v="0"/>
          </reference>
          <reference field="3" count="1" selected="0">
            <x v="12"/>
          </reference>
          <reference field="5" count="1">
            <x v="9"/>
          </reference>
        </references>
      </pivotArea>
    </format>
    <format dxfId="69">
      <pivotArea dataOnly="0" labelOnly="1" outline="0" fieldPosition="0">
        <references count="5">
          <reference field="0" count="1" selected="0">
            <x v="3"/>
          </reference>
          <reference field="1" count="1" selected="0">
            <x v="3"/>
          </reference>
          <reference field="2" count="1" selected="0">
            <x v="1"/>
          </reference>
          <reference field="3" count="1" selected="0">
            <x v="13"/>
          </reference>
          <reference field="5" count="1">
            <x v="40"/>
          </reference>
        </references>
      </pivotArea>
    </format>
    <format dxfId="68">
      <pivotArea dataOnly="0" labelOnly="1" outline="0" fieldPosition="0">
        <references count="5">
          <reference field="0" count="1" selected="0">
            <x v="4"/>
          </reference>
          <reference field="1" count="1" selected="0">
            <x v="0"/>
          </reference>
          <reference field="2" count="1" selected="0">
            <x v="16"/>
          </reference>
          <reference field="3" count="1" selected="0">
            <x v="16"/>
          </reference>
          <reference field="5" count="1">
            <x v="1"/>
          </reference>
        </references>
      </pivotArea>
    </format>
    <format dxfId="67">
      <pivotArea dataOnly="0" labelOnly="1" outline="0" fieldPosition="0">
        <references count="5">
          <reference field="0" count="1" selected="0">
            <x v="4"/>
          </reference>
          <reference field="1" count="1" selected="0">
            <x v="1"/>
          </reference>
          <reference field="2" count="1" selected="0">
            <x v="17"/>
          </reference>
          <reference field="3" count="1" selected="0">
            <x v="4"/>
          </reference>
          <reference field="5" count="1">
            <x v="7"/>
          </reference>
        </references>
      </pivotArea>
    </format>
    <format dxfId="66">
      <pivotArea dataOnly="0" labelOnly="1" outline="0" fieldPosition="0">
        <references count="5">
          <reference field="0" count="1" selected="0">
            <x v="4"/>
          </reference>
          <reference field="1" count="1" selected="0">
            <x v="2"/>
          </reference>
          <reference field="2" count="1" selected="0">
            <x v="28"/>
          </reference>
          <reference field="3" count="1" selected="0">
            <x v="15"/>
          </reference>
          <reference field="5" count="1">
            <x v="6"/>
          </reference>
        </references>
      </pivotArea>
    </format>
    <format dxfId="65">
      <pivotArea dataOnly="0" labelOnly="1" outline="0" fieldPosition="0">
        <references count="5">
          <reference field="0" count="1" selected="0">
            <x v="4"/>
          </reference>
          <reference field="1" count="1" selected="0">
            <x v="3"/>
          </reference>
          <reference field="2" count="1" selected="0">
            <x v="31"/>
          </reference>
          <reference field="3" count="1" selected="0">
            <x v="37"/>
          </reference>
          <reference field="5" count="1">
            <x v="15"/>
          </reference>
        </references>
      </pivotArea>
    </format>
    <format dxfId="64">
      <pivotArea dataOnly="0" labelOnly="1" outline="0" fieldPosition="0">
        <references count="5">
          <reference field="0" count="1" selected="0">
            <x v="4"/>
          </reference>
          <reference field="1" count="1" selected="0">
            <x v="4"/>
          </reference>
          <reference field="2" count="1" selected="0">
            <x v="32"/>
          </reference>
          <reference field="3" count="1" selected="0">
            <x v="36"/>
          </reference>
          <reference field="5" count="1">
            <x v="8"/>
          </reference>
        </references>
      </pivotArea>
    </format>
    <format dxfId="63">
      <pivotArea dataOnly="0" labelOnly="1" outline="0" fieldPosition="0">
        <references count="5">
          <reference field="0" count="1" selected="0">
            <x v="5"/>
          </reference>
          <reference field="1" count="1" selected="0">
            <x v="0"/>
          </reference>
          <reference field="2" count="1" selected="0">
            <x v="18"/>
          </reference>
          <reference field="3" count="1" selected="0">
            <x v="5"/>
          </reference>
          <reference field="5" count="1">
            <x v="3"/>
          </reference>
        </references>
      </pivotArea>
    </format>
    <format dxfId="62">
      <pivotArea dataOnly="0" labelOnly="1" outline="0" fieldPosition="0">
        <references count="5">
          <reference field="0" count="1" selected="0">
            <x v="5"/>
          </reference>
          <reference field="1" count="1" selected="0">
            <x v="1"/>
          </reference>
          <reference field="2" count="1" selected="0">
            <x v="19"/>
          </reference>
          <reference field="3" count="1" selected="0">
            <x v="2"/>
          </reference>
          <reference field="5" count="1">
            <x v="39"/>
          </reference>
        </references>
      </pivotArea>
    </format>
    <format dxfId="61">
      <pivotArea dataOnly="0" labelOnly="1" outline="0" fieldPosition="0">
        <references count="5">
          <reference field="0" count="1" selected="0">
            <x v="5"/>
          </reference>
          <reference field="1" count="1" selected="0">
            <x v="2"/>
          </reference>
          <reference field="2" count="1" selected="0">
            <x v="43"/>
          </reference>
          <reference field="3" count="1" selected="0">
            <x v="41"/>
          </reference>
          <reference field="5" count="1">
            <x v="37"/>
          </reference>
        </references>
      </pivotArea>
    </format>
    <format dxfId="60">
      <pivotArea dataOnly="0" labelOnly="1" outline="0" fieldPosition="0">
        <references count="5">
          <reference field="0" count="1" selected="0">
            <x v="5"/>
          </reference>
          <reference field="1" count="1" selected="0">
            <x v="3"/>
          </reference>
          <reference field="2" count="1" selected="0">
            <x v="44"/>
          </reference>
          <reference field="3" count="1" selected="0">
            <x v="41"/>
          </reference>
          <reference field="5" count="1">
            <x v="35"/>
          </reference>
        </references>
      </pivotArea>
    </format>
    <format dxfId="59">
      <pivotArea dataOnly="0" labelOnly="1" outline="0" fieldPosition="0">
        <references count="5">
          <reference field="0" count="1" selected="0">
            <x v="6"/>
          </reference>
          <reference field="1" count="1" selected="0">
            <x v="0"/>
          </reference>
          <reference field="2" count="1" selected="0">
            <x v="21"/>
          </reference>
          <reference field="3" count="1" selected="0">
            <x v="11"/>
          </reference>
          <reference field="5" count="1">
            <x v="12"/>
          </reference>
        </references>
      </pivotArea>
    </format>
    <format dxfId="58">
      <pivotArea dataOnly="0" labelOnly="1" outline="0" fieldPosition="0">
        <references count="5">
          <reference field="0" count="1" selected="0">
            <x v="6"/>
          </reference>
          <reference field="1" count="1" selected="0">
            <x v="1"/>
          </reference>
          <reference field="2" count="1" selected="0">
            <x v="29"/>
          </reference>
          <reference field="3" count="1" selected="0">
            <x v="30"/>
          </reference>
          <reference field="5" count="1">
            <x v="11"/>
          </reference>
        </references>
      </pivotArea>
    </format>
    <format dxfId="57">
      <pivotArea dataOnly="0" labelOnly="1" outline="0" fieldPosition="0">
        <references count="5">
          <reference field="0" count="1" selected="0">
            <x v="7"/>
          </reference>
          <reference field="1" count="1" selected="0">
            <x v="0"/>
          </reference>
          <reference field="2" count="1" selected="0">
            <x v="3"/>
          </reference>
          <reference field="3" count="1" selected="0">
            <x v="6"/>
          </reference>
          <reference field="5" count="1">
            <x v="24"/>
          </reference>
        </references>
      </pivotArea>
    </format>
    <format dxfId="56">
      <pivotArea dataOnly="0" labelOnly="1" outline="0" fieldPosition="0">
        <references count="5">
          <reference field="0" count="1" selected="0">
            <x v="8"/>
          </reference>
          <reference field="1" count="1" selected="0">
            <x v="0"/>
          </reference>
          <reference field="2" count="1" selected="0">
            <x v="22"/>
          </reference>
          <reference field="3" count="1" selected="0">
            <x v="14"/>
          </reference>
          <reference field="5" count="1">
            <x v="10"/>
          </reference>
        </references>
      </pivotArea>
    </format>
    <format dxfId="55">
      <pivotArea dataOnly="0" labelOnly="1" outline="0" fieldPosition="0">
        <references count="5">
          <reference field="0" count="1" selected="0">
            <x v="9"/>
          </reference>
          <reference field="1" count="1" selected="0">
            <x v="0"/>
          </reference>
          <reference field="2" count="1" selected="0">
            <x v="40"/>
          </reference>
          <reference field="3" count="1" selected="0">
            <x v="33"/>
          </reference>
          <reference field="5" count="1">
            <x v="2"/>
          </reference>
        </references>
      </pivotArea>
    </format>
    <format dxfId="54">
      <pivotArea dataOnly="0" labelOnly="1" outline="0" fieldPosition="0">
        <references count="5">
          <reference field="0" count="1" selected="0">
            <x v="9"/>
          </reference>
          <reference field="1" count="1" selected="0">
            <x v="1"/>
          </reference>
          <reference field="2" count="1" selected="0">
            <x v="36"/>
          </reference>
          <reference field="3" count="1" selected="0">
            <x v="34"/>
          </reference>
          <reference field="5" count="1">
            <x v="0"/>
          </reference>
        </references>
      </pivotArea>
    </format>
    <format dxfId="53">
      <pivotArea dataOnly="0" labelOnly="1" outline="0" fieldPosition="0">
        <references count="5">
          <reference field="0" count="1" selected="0">
            <x v="10"/>
          </reference>
          <reference field="1" count="1" selected="0">
            <x v="1"/>
          </reference>
          <reference field="2" count="1" selected="0">
            <x v="4"/>
          </reference>
          <reference field="3" count="1" selected="0">
            <x v="19"/>
          </reference>
          <reference field="5" count="1">
            <x v="43"/>
          </reference>
        </references>
      </pivotArea>
    </format>
    <format dxfId="52">
      <pivotArea dataOnly="0" labelOnly="1" outline="0" fieldPosition="0">
        <references count="5">
          <reference field="0" count="1" selected="0">
            <x v="10"/>
          </reference>
          <reference field="1" count="1" selected="0">
            <x v="2"/>
          </reference>
          <reference field="2" count="1" selected="0">
            <x v="5"/>
          </reference>
          <reference field="3" count="1" selected="0">
            <x v="27"/>
          </reference>
          <reference field="5" count="1">
            <x v="28"/>
          </reference>
        </references>
      </pivotArea>
    </format>
    <format dxfId="51">
      <pivotArea dataOnly="0" labelOnly="1" outline="0" fieldPosition="0">
        <references count="5">
          <reference field="0" count="1" selected="0">
            <x v="10"/>
          </reference>
          <reference field="1" count="1" selected="0">
            <x v="3"/>
          </reference>
          <reference field="2" count="1" selected="0">
            <x v="6"/>
          </reference>
          <reference field="3" count="1" selected="0">
            <x v="28"/>
          </reference>
          <reference field="5" count="1">
            <x v="41"/>
          </reference>
        </references>
      </pivotArea>
    </format>
    <format dxfId="50">
      <pivotArea dataOnly="0" labelOnly="1" outline="0" fieldPosition="0">
        <references count="5">
          <reference field="0" count="1" selected="0">
            <x v="10"/>
          </reference>
          <reference field="1" count="1" selected="0">
            <x v="4"/>
          </reference>
          <reference field="2" count="1" selected="0">
            <x v="7"/>
          </reference>
          <reference field="3" count="1" selected="0">
            <x v="22"/>
          </reference>
          <reference field="5" count="1">
            <x v="29"/>
          </reference>
        </references>
      </pivotArea>
    </format>
    <format dxfId="49">
      <pivotArea dataOnly="0" labelOnly="1" outline="0" fieldPosition="0">
        <references count="5">
          <reference field="0" count="1" selected="0">
            <x v="10"/>
          </reference>
          <reference field="1" count="1" selected="0">
            <x v="5"/>
          </reference>
          <reference field="2" count="1" selected="0">
            <x v="23"/>
          </reference>
          <reference field="3" count="1" selected="0">
            <x v="26"/>
          </reference>
          <reference field="5" count="1">
            <x v="32"/>
          </reference>
        </references>
      </pivotArea>
    </format>
    <format dxfId="48">
      <pivotArea dataOnly="0" labelOnly="1" outline="0" fieldPosition="0">
        <references count="5">
          <reference field="0" count="1" selected="0">
            <x v="10"/>
          </reference>
          <reference field="1" count="1" selected="0">
            <x v="6"/>
          </reference>
          <reference field="2" count="1" selected="0">
            <x v="8"/>
          </reference>
          <reference field="3" count="1" selected="0">
            <x v="24"/>
          </reference>
          <reference field="5" count="1">
            <x v="30"/>
          </reference>
        </references>
      </pivotArea>
    </format>
    <format dxfId="47">
      <pivotArea dataOnly="0" labelOnly="1" outline="0" fieldPosition="0">
        <references count="5">
          <reference field="0" count="1" selected="0">
            <x v="10"/>
          </reference>
          <reference field="1" count="1" selected="0">
            <x v="7"/>
          </reference>
          <reference field="2" count="1" selected="0">
            <x v="9"/>
          </reference>
          <reference field="3" count="1" selected="0">
            <x v="23"/>
          </reference>
          <reference field="5" count="1">
            <x v="31"/>
          </reference>
        </references>
      </pivotArea>
    </format>
    <format dxfId="46">
      <pivotArea dataOnly="0" labelOnly="1" outline="0" fieldPosition="0">
        <references count="5">
          <reference field="0" count="1" selected="0">
            <x v="10"/>
          </reference>
          <reference field="1" count="1" selected="0">
            <x v="8"/>
          </reference>
          <reference field="2" count="1" selected="0">
            <x v="10"/>
          </reference>
          <reference field="3" count="1" selected="0">
            <x v="25"/>
          </reference>
          <reference field="5" count="1">
            <x v="42"/>
          </reference>
        </references>
      </pivotArea>
    </format>
    <format dxfId="45">
      <pivotArea dataOnly="0" labelOnly="1" outline="0" fieldPosition="0">
        <references count="5">
          <reference field="0" count="1" selected="0">
            <x v="10"/>
          </reference>
          <reference field="1" count="1" selected="0">
            <x v="9"/>
          </reference>
          <reference field="2" count="1" selected="0">
            <x v="11"/>
          </reference>
          <reference field="3" count="1" selected="0">
            <x v="21"/>
          </reference>
          <reference field="5" count="1">
            <x v="18"/>
          </reference>
        </references>
      </pivotArea>
    </format>
    <format dxfId="44">
      <pivotArea dataOnly="0" labelOnly="1" outline="0" fieldPosition="0">
        <references count="5">
          <reference field="0" count="1" selected="0">
            <x v="10"/>
          </reference>
          <reference field="1" count="1" selected="0">
            <x v="10"/>
          </reference>
          <reference field="2" count="1" selected="0">
            <x v="12"/>
          </reference>
          <reference field="3" count="1" selected="0">
            <x v="20"/>
          </reference>
          <reference field="5" count="1">
            <x v="17"/>
          </reference>
        </references>
      </pivotArea>
    </format>
    <format dxfId="43">
      <pivotArea dataOnly="0" labelOnly="1" outline="0" fieldPosition="0">
        <references count="5">
          <reference field="0" count="1" selected="0">
            <x v="10"/>
          </reference>
          <reference field="1" count="1" selected="0">
            <x v="11"/>
          </reference>
          <reference field="2" count="1" selected="0">
            <x v="39"/>
          </reference>
          <reference field="3" count="1" selected="0">
            <x v="29"/>
          </reference>
          <reference field="5" count="1">
            <x v="33"/>
          </reference>
        </references>
      </pivotArea>
    </format>
    <format dxfId="42">
      <pivotArea dataOnly="0" labelOnly="1" outline="0" fieldPosition="0">
        <references count="4">
          <reference field="0" count="1" selected="0">
            <x v="0"/>
          </reference>
          <reference field="1" count="1" selected="0">
            <x v="0"/>
          </reference>
          <reference field="2" count="1" selected="0">
            <x v="35"/>
          </reference>
          <reference field="3" count="1">
            <x v="9"/>
          </reference>
        </references>
      </pivotArea>
    </format>
    <format dxfId="41">
      <pivotArea dataOnly="0" labelOnly="1" outline="0" fieldPosition="0">
        <references count="4">
          <reference field="0" count="1" selected="0">
            <x v="1"/>
          </reference>
          <reference field="1" count="1" selected="0">
            <x v="0"/>
          </reference>
          <reference field="2" count="1" selected="0">
            <x v="24"/>
          </reference>
          <reference field="3" count="1">
            <x v="38"/>
          </reference>
        </references>
      </pivotArea>
    </format>
    <format dxfId="40">
      <pivotArea dataOnly="0" labelOnly="1" outline="0" fieldPosition="0">
        <references count="4">
          <reference field="0" count="1" selected="0">
            <x v="1"/>
          </reference>
          <reference field="1" count="1" selected="0">
            <x v="1"/>
          </reference>
          <reference field="2" count="1" selected="0">
            <x v="25"/>
          </reference>
          <reference field="3" count="1">
            <x v="0"/>
          </reference>
        </references>
      </pivotArea>
    </format>
    <format dxfId="39">
      <pivotArea dataOnly="0" labelOnly="1" outline="0" fieldPosition="0">
        <references count="4">
          <reference field="0" count="1" selected="0">
            <x v="1"/>
          </reference>
          <reference field="1" count="1" selected="0">
            <x v="2"/>
          </reference>
          <reference field="2" count="1" selected="0">
            <x v="13"/>
          </reference>
          <reference field="3" count="1">
            <x v="7"/>
          </reference>
        </references>
      </pivotArea>
    </format>
    <format dxfId="38">
      <pivotArea dataOnly="0" labelOnly="1" outline="0" fieldPosition="0">
        <references count="4">
          <reference field="0" count="1" selected="0">
            <x v="2"/>
          </reference>
          <reference field="1" count="1" selected="0">
            <x v="0"/>
          </reference>
          <reference field="2" count="1" selected="0">
            <x v="26"/>
          </reference>
          <reference field="3" count="1">
            <x v="17"/>
          </reference>
        </references>
      </pivotArea>
    </format>
    <format dxfId="37">
      <pivotArea dataOnly="0" labelOnly="1" outline="0" fieldPosition="0">
        <references count="4">
          <reference field="0" count="1" selected="0">
            <x v="2"/>
          </reference>
          <reference field="1" count="1" selected="0">
            <x v="1"/>
          </reference>
          <reference field="2" count="1" selected="0">
            <x v="14"/>
          </reference>
          <reference field="3" count="1">
            <x v="18"/>
          </reference>
        </references>
      </pivotArea>
    </format>
    <format dxfId="36">
      <pivotArea dataOnly="0" labelOnly="1" outline="0" fieldPosition="0">
        <references count="4">
          <reference field="0" count="1" selected="0">
            <x v="2"/>
          </reference>
          <reference field="1" count="1" selected="0">
            <x v="2"/>
          </reference>
          <reference field="2" count="1" selected="0">
            <x v="2"/>
          </reference>
          <reference field="3" count="1">
            <x v="39"/>
          </reference>
        </references>
      </pivotArea>
    </format>
    <format dxfId="35">
      <pivotArea dataOnly="0" labelOnly="1" outline="0" fieldPosition="0">
        <references count="4">
          <reference field="0" count="1" selected="0">
            <x v="2"/>
          </reference>
          <reference field="1" count="1" selected="0">
            <x v="3"/>
          </reference>
          <reference field="2" count="1" selected="0">
            <x v="30"/>
          </reference>
          <reference field="3" count="1">
            <x v="8"/>
          </reference>
        </references>
      </pivotArea>
    </format>
    <format dxfId="34">
      <pivotArea dataOnly="0" labelOnly="1" outline="0" fieldPosition="0">
        <references count="4">
          <reference field="0" count="1" selected="0">
            <x v="2"/>
          </reference>
          <reference field="1" count="1" selected="0">
            <x v="4"/>
          </reference>
          <reference field="2" count="1" selected="0">
            <x v="37"/>
          </reference>
          <reference field="3" count="1">
            <x v="35"/>
          </reference>
        </references>
      </pivotArea>
    </format>
    <format dxfId="33">
      <pivotArea dataOnly="0" labelOnly="1" outline="0" fieldPosition="0">
        <references count="4">
          <reference field="0" count="1" selected="0">
            <x v="2"/>
          </reference>
          <reference field="1" count="1" selected="0">
            <x v="5"/>
          </reference>
          <reference field="2" count="1" selected="0">
            <x v="38"/>
          </reference>
          <reference field="3" count="1">
            <x v="10"/>
          </reference>
        </references>
      </pivotArea>
    </format>
    <format dxfId="32">
      <pivotArea dataOnly="0" labelOnly="1" outline="0" fieldPosition="0">
        <references count="4">
          <reference field="0" count="1" selected="0">
            <x v="2"/>
          </reference>
          <reference field="1" count="1" selected="0">
            <x v="6"/>
          </reference>
          <reference field="2" count="1" selected="0">
            <x v="15"/>
          </reference>
          <reference field="3" count="1">
            <x v="1"/>
          </reference>
        </references>
      </pivotArea>
    </format>
    <format dxfId="31">
      <pivotArea dataOnly="0" labelOnly="1" outline="0" fieldPosition="0">
        <references count="4">
          <reference field="0" count="1" selected="0">
            <x v="2"/>
          </reference>
          <reference field="1" count="1" selected="0">
            <x v="7"/>
          </reference>
          <reference field="2" count="1" selected="0">
            <x v="27"/>
          </reference>
          <reference field="3" count="1">
            <x v="3"/>
          </reference>
        </references>
      </pivotArea>
    </format>
    <format dxfId="30">
      <pivotArea dataOnly="0" labelOnly="1" outline="0" fieldPosition="0">
        <references count="4">
          <reference field="0" count="1" selected="0">
            <x v="2"/>
          </reference>
          <reference field="1" count="1" selected="0">
            <x v="8"/>
          </reference>
          <reference field="2" count="1" selected="0">
            <x v="20"/>
          </reference>
          <reference field="3" count="1">
            <x v="40"/>
          </reference>
        </references>
      </pivotArea>
    </format>
    <format dxfId="29">
      <pivotArea dataOnly="0" labelOnly="1" outline="0" fieldPosition="0">
        <references count="4">
          <reference field="0" count="1" selected="0">
            <x v="2"/>
          </reference>
          <reference field="1" count="1" selected="0">
            <x v="9"/>
          </reference>
          <reference field="2" count="1" selected="0">
            <x v="41"/>
          </reference>
          <reference field="3" count="1">
            <x v="41"/>
          </reference>
        </references>
      </pivotArea>
    </format>
    <format dxfId="28">
      <pivotArea dataOnly="0" labelOnly="1" outline="0" fieldPosition="0">
        <references count="4">
          <reference field="0" count="1" selected="0">
            <x v="3"/>
          </reference>
          <reference field="1" count="1" selected="0">
            <x v="0"/>
          </reference>
          <reference field="2" count="1" selected="0">
            <x v="33"/>
          </reference>
          <reference field="3" count="1">
            <x v="31"/>
          </reference>
        </references>
      </pivotArea>
    </format>
    <format dxfId="27">
      <pivotArea dataOnly="0" labelOnly="1" outline="0" fieldPosition="0">
        <references count="4">
          <reference field="0" count="1" selected="0">
            <x v="3"/>
          </reference>
          <reference field="1" count="1" selected="0">
            <x v="1"/>
          </reference>
          <reference field="2" count="1" selected="0">
            <x v="34"/>
          </reference>
          <reference field="3" count="1">
            <x v="32"/>
          </reference>
        </references>
      </pivotArea>
    </format>
    <format dxfId="26">
      <pivotArea dataOnly="0" labelOnly="1" outline="0" fieldPosition="0">
        <references count="4">
          <reference field="0" count="1" selected="0">
            <x v="3"/>
          </reference>
          <reference field="1" count="1" selected="0">
            <x v="2"/>
          </reference>
          <reference field="2" count="1" selected="0">
            <x v="0"/>
          </reference>
          <reference field="3" count="1">
            <x v="12"/>
          </reference>
        </references>
      </pivotArea>
    </format>
    <format dxfId="25">
      <pivotArea dataOnly="0" labelOnly="1" outline="0" fieldPosition="0">
        <references count="4">
          <reference field="0" count="1" selected="0">
            <x v="3"/>
          </reference>
          <reference field="1" count="1" selected="0">
            <x v="3"/>
          </reference>
          <reference field="2" count="1" selected="0">
            <x v="1"/>
          </reference>
          <reference field="3" count="1">
            <x v="13"/>
          </reference>
        </references>
      </pivotArea>
    </format>
    <format dxfId="24">
      <pivotArea dataOnly="0" labelOnly="1" outline="0" fieldPosition="0">
        <references count="4">
          <reference field="0" count="1" selected="0">
            <x v="4"/>
          </reference>
          <reference field="1" count="1" selected="0">
            <x v="0"/>
          </reference>
          <reference field="2" count="1" selected="0">
            <x v="16"/>
          </reference>
          <reference field="3" count="1">
            <x v="16"/>
          </reference>
        </references>
      </pivotArea>
    </format>
    <format dxfId="23">
      <pivotArea dataOnly="0" labelOnly="1" outline="0" fieldPosition="0">
        <references count="4">
          <reference field="0" count="1" selected="0">
            <x v="4"/>
          </reference>
          <reference field="1" count="1" selected="0">
            <x v="1"/>
          </reference>
          <reference field="2" count="1" selected="0">
            <x v="17"/>
          </reference>
          <reference field="3" count="1">
            <x v="4"/>
          </reference>
        </references>
      </pivotArea>
    </format>
    <format dxfId="22">
      <pivotArea dataOnly="0" labelOnly="1" outline="0" fieldPosition="0">
        <references count="4">
          <reference field="0" count="1" selected="0">
            <x v="4"/>
          </reference>
          <reference field="1" count="1" selected="0">
            <x v="2"/>
          </reference>
          <reference field="2" count="1" selected="0">
            <x v="28"/>
          </reference>
          <reference field="3" count="1">
            <x v="15"/>
          </reference>
        </references>
      </pivotArea>
    </format>
    <format dxfId="21">
      <pivotArea dataOnly="0" labelOnly="1" outline="0" fieldPosition="0">
        <references count="4">
          <reference field="0" count="1" selected="0">
            <x v="4"/>
          </reference>
          <reference field="1" count="1" selected="0">
            <x v="3"/>
          </reference>
          <reference field="2" count="1" selected="0">
            <x v="31"/>
          </reference>
          <reference field="3" count="1">
            <x v="37"/>
          </reference>
        </references>
      </pivotArea>
    </format>
    <format dxfId="20">
      <pivotArea dataOnly="0" labelOnly="1" outline="0" fieldPosition="0">
        <references count="4">
          <reference field="0" count="1" selected="0">
            <x v="4"/>
          </reference>
          <reference field="1" count="1" selected="0">
            <x v="4"/>
          </reference>
          <reference field="2" count="1" selected="0">
            <x v="32"/>
          </reference>
          <reference field="3" count="1">
            <x v="36"/>
          </reference>
        </references>
      </pivotArea>
    </format>
    <format dxfId="19">
      <pivotArea dataOnly="0" labelOnly="1" outline="0" fieldPosition="0">
        <references count="4">
          <reference field="0" count="1" selected="0">
            <x v="5"/>
          </reference>
          <reference field="1" count="1" selected="0">
            <x v="0"/>
          </reference>
          <reference field="2" count="1" selected="0">
            <x v="18"/>
          </reference>
          <reference field="3" count="1">
            <x v="5"/>
          </reference>
        </references>
      </pivotArea>
    </format>
    <format dxfId="18">
      <pivotArea dataOnly="0" labelOnly="1" outline="0" fieldPosition="0">
        <references count="4">
          <reference field="0" count="1" selected="0">
            <x v="5"/>
          </reference>
          <reference field="1" count="1" selected="0">
            <x v="1"/>
          </reference>
          <reference field="2" count="1" selected="0">
            <x v="19"/>
          </reference>
          <reference field="3" count="1">
            <x v="2"/>
          </reference>
        </references>
      </pivotArea>
    </format>
    <format dxfId="17">
      <pivotArea dataOnly="0" labelOnly="1" outline="0" fieldPosition="0">
        <references count="4">
          <reference field="0" count="1" selected="0">
            <x v="5"/>
          </reference>
          <reference field="1" count="1" selected="0">
            <x v="2"/>
          </reference>
          <reference field="2" count="1" selected="0">
            <x v="43"/>
          </reference>
          <reference field="3" count="1">
            <x v="41"/>
          </reference>
        </references>
      </pivotArea>
    </format>
    <format dxfId="16">
      <pivotArea dataOnly="0" labelOnly="1" outline="0" fieldPosition="0">
        <references count="4">
          <reference field="0" count="1" selected="0">
            <x v="6"/>
          </reference>
          <reference field="1" count="1" selected="0">
            <x v="0"/>
          </reference>
          <reference field="2" count="1" selected="0">
            <x v="21"/>
          </reference>
          <reference field="3" count="1">
            <x v="11"/>
          </reference>
        </references>
      </pivotArea>
    </format>
    <format dxfId="15">
      <pivotArea dataOnly="0" labelOnly="1" outline="0" fieldPosition="0">
        <references count="4">
          <reference field="0" count="1" selected="0">
            <x v="6"/>
          </reference>
          <reference field="1" count="1" selected="0">
            <x v="1"/>
          </reference>
          <reference field="2" count="1" selected="0">
            <x v="29"/>
          </reference>
          <reference field="3" count="1">
            <x v="30"/>
          </reference>
        </references>
      </pivotArea>
    </format>
    <format dxfId="14">
      <pivotArea dataOnly="0" labelOnly="1" outline="0" fieldPosition="0">
        <references count="4">
          <reference field="0" count="1" selected="0">
            <x v="7"/>
          </reference>
          <reference field="1" count="1" selected="0">
            <x v="0"/>
          </reference>
          <reference field="2" count="1" selected="0">
            <x v="3"/>
          </reference>
          <reference field="3" count="1">
            <x v="6"/>
          </reference>
        </references>
      </pivotArea>
    </format>
    <format dxfId="13">
      <pivotArea dataOnly="0" labelOnly="1" outline="0" fieldPosition="0">
        <references count="4">
          <reference field="0" count="1" selected="0">
            <x v="8"/>
          </reference>
          <reference field="1" count="1" selected="0">
            <x v="0"/>
          </reference>
          <reference field="2" count="1" selected="0">
            <x v="22"/>
          </reference>
          <reference field="3" count="1">
            <x v="14"/>
          </reference>
        </references>
      </pivotArea>
    </format>
    <format dxfId="12">
      <pivotArea dataOnly="0" labelOnly="1" outline="0" fieldPosition="0">
        <references count="4">
          <reference field="0" count="1" selected="0">
            <x v="9"/>
          </reference>
          <reference field="1" count="1" selected="0">
            <x v="0"/>
          </reference>
          <reference field="2" count="1" selected="0">
            <x v="40"/>
          </reference>
          <reference field="3" count="1">
            <x v="33"/>
          </reference>
        </references>
      </pivotArea>
    </format>
    <format dxfId="11">
      <pivotArea dataOnly="0" labelOnly="1" outline="0" fieldPosition="0">
        <references count="4">
          <reference field="0" count="1" selected="0">
            <x v="9"/>
          </reference>
          <reference field="1" count="1" selected="0">
            <x v="1"/>
          </reference>
          <reference field="2" count="1" selected="0">
            <x v="36"/>
          </reference>
          <reference field="3" count="1">
            <x v="34"/>
          </reference>
        </references>
      </pivotArea>
    </format>
    <format dxfId="10">
      <pivotArea dataOnly="0" labelOnly="1" outline="0" fieldPosition="0">
        <references count="4">
          <reference field="0" count="1" selected="0">
            <x v="10"/>
          </reference>
          <reference field="1" count="1" selected="0">
            <x v="1"/>
          </reference>
          <reference field="2" count="1" selected="0">
            <x v="4"/>
          </reference>
          <reference field="3" count="1">
            <x v="19"/>
          </reference>
        </references>
      </pivotArea>
    </format>
    <format dxfId="9">
      <pivotArea dataOnly="0" labelOnly="1" outline="0" fieldPosition="0">
        <references count="4">
          <reference field="0" count="1" selected="0">
            <x v="10"/>
          </reference>
          <reference field="1" count="1" selected="0">
            <x v="2"/>
          </reference>
          <reference field="2" count="1" selected="0">
            <x v="5"/>
          </reference>
          <reference field="3" count="1">
            <x v="27"/>
          </reference>
        </references>
      </pivotArea>
    </format>
    <format dxfId="8">
      <pivotArea dataOnly="0" labelOnly="1" outline="0" fieldPosition="0">
        <references count="4">
          <reference field="0" count="1" selected="0">
            <x v="10"/>
          </reference>
          <reference field="1" count="1" selected="0">
            <x v="3"/>
          </reference>
          <reference field="2" count="1" selected="0">
            <x v="6"/>
          </reference>
          <reference field="3" count="1">
            <x v="28"/>
          </reference>
        </references>
      </pivotArea>
    </format>
    <format dxfId="7">
      <pivotArea dataOnly="0" labelOnly="1" outline="0" fieldPosition="0">
        <references count="4">
          <reference field="0" count="1" selected="0">
            <x v="10"/>
          </reference>
          <reference field="1" count="1" selected="0">
            <x v="4"/>
          </reference>
          <reference field="2" count="1" selected="0">
            <x v="7"/>
          </reference>
          <reference field="3" count="1">
            <x v="22"/>
          </reference>
        </references>
      </pivotArea>
    </format>
    <format dxfId="6">
      <pivotArea dataOnly="0" labelOnly="1" outline="0" fieldPosition="0">
        <references count="4">
          <reference field="0" count="1" selected="0">
            <x v="10"/>
          </reference>
          <reference field="1" count="1" selected="0">
            <x v="5"/>
          </reference>
          <reference field="2" count="1" selected="0">
            <x v="23"/>
          </reference>
          <reference field="3" count="1">
            <x v="26"/>
          </reference>
        </references>
      </pivotArea>
    </format>
    <format dxfId="5">
      <pivotArea dataOnly="0" labelOnly="1" outline="0" fieldPosition="0">
        <references count="4">
          <reference field="0" count="1" selected="0">
            <x v="10"/>
          </reference>
          <reference field="1" count="1" selected="0">
            <x v="6"/>
          </reference>
          <reference field="2" count="1" selected="0">
            <x v="8"/>
          </reference>
          <reference field="3" count="1">
            <x v="24"/>
          </reference>
        </references>
      </pivotArea>
    </format>
    <format dxfId="4">
      <pivotArea dataOnly="0" labelOnly="1" outline="0" fieldPosition="0">
        <references count="4">
          <reference field="0" count="1" selected="0">
            <x v="10"/>
          </reference>
          <reference field="1" count="1" selected="0">
            <x v="7"/>
          </reference>
          <reference field="2" count="1" selected="0">
            <x v="9"/>
          </reference>
          <reference field="3" count="1">
            <x v="23"/>
          </reference>
        </references>
      </pivotArea>
    </format>
    <format dxfId="3">
      <pivotArea dataOnly="0" labelOnly="1" outline="0" fieldPosition="0">
        <references count="4">
          <reference field="0" count="1" selected="0">
            <x v="10"/>
          </reference>
          <reference field="1" count="1" selected="0">
            <x v="8"/>
          </reference>
          <reference field="2" count="1" selected="0">
            <x v="10"/>
          </reference>
          <reference field="3" count="1">
            <x v="25"/>
          </reference>
        </references>
      </pivotArea>
    </format>
    <format dxfId="2">
      <pivotArea dataOnly="0" labelOnly="1" outline="0" fieldPosition="0">
        <references count="4">
          <reference field="0" count="1" selected="0">
            <x v="10"/>
          </reference>
          <reference field="1" count="1" selected="0">
            <x v="9"/>
          </reference>
          <reference field="2" count="1" selected="0">
            <x v="11"/>
          </reference>
          <reference field="3" count="1">
            <x v="21"/>
          </reference>
        </references>
      </pivotArea>
    </format>
    <format dxfId="1">
      <pivotArea dataOnly="0" labelOnly="1" outline="0" fieldPosition="0">
        <references count="4">
          <reference field="0" count="1" selected="0">
            <x v="10"/>
          </reference>
          <reference field="1" count="1" selected="0">
            <x v="10"/>
          </reference>
          <reference field="2" count="1" selected="0">
            <x v="12"/>
          </reference>
          <reference field="3" count="1">
            <x v="20"/>
          </reference>
        </references>
      </pivotArea>
    </format>
    <format dxfId="0">
      <pivotArea dataOnly="0" labelOnly="1" outline="0" fieldPosition="0">
        <references count="4">
          <reference field="0" count="1" selected="0">
            <x v="10"/>
          </reference>
          <reference field="1" count="1" selected="0">
            <x v="11"/>
          </reference>
          <reference field="2" count="1" selected="0">
            <x v="39"/>
          </reference>
          <reference field="3" count="1">
            <x v="29"/>
          </reference>
        </references>
      </pivotArea>
    </format>
  </formats>
  <pivotTableStyleInfo name="PivotStyleDark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3:E94"/>
  <sheetViews>
    <sheetView zoomScaleNormal="100" workbookViewId="0"/>
  </sheetViews>
  <sheetFormatPr defaultRowHeight="15" x14ac:dyDescent="0.25"/>
  <cols>
    <col min="1" max="1" width="31.28515625" customWidth="1"/>
    <col min="2" max="2" width="8.5703125" style="21" customWidth="1"/>
    <col min="3" max="3" width="100.85546875" customWidth="1"/>
    <col min="4" max="4" width="70.7109375" customWidth="1"/>
    <col min="5" max="5" width="255.7109375" style="54" customWidth="1"/>
  </cols>
  <sheetData>
    <row r="3" spans="1:5" x14ac:dyDescent="0.25">
      <c r="B3"/>
      <c r="E3"/>
    </row>
    <row r="4" spans="1:5" x14ac:dyDescent="0.25">
      <c r="A4" s="22" t="s">
        <v>57</v>
      </c>
      <c r="B4" s="22" t="s">
        <v>25</v>
      </c>
      <c r="C4" s="18" t="s">
        <v>58</v>
      </c>
      <c r="D4" s="22" t="s">
        <v>59</v>
      </c>
      <c r="E4" s="18" t="s">
        <v>253</v>
      </c>
    </row>
    <row r="5" spans="1:5" x14ac:dyDescent="0.25">
      <c r="A5" s="50" t="s">
        <v>29</v>
      </c>
      <c r="B5" s="50">
        <v>1</v>
      </c>
      <c r="C5" s="50" t="s">
        <v>313</v>
      </c>
      <c r="D5" s="50" t="s">
        <v>101</v>
      </c>
      <c r="E5" s="50" t="s">
        <v>291</v>
      </c>
    </row>
    <row r="6" spans="1:5" ht="30" x14ac:dyDescent="0.25">
      <c r="A6" s="50" t="s">
        <v>32</v>
      </c>
      <c r="B6" s="50">
        <v>1</v>
      </c>
      <c r="C6" s="50" t="s">
        <v>136</v>
      </c>
      <c r="D6" s="54" t="s">
        <v>262</v>
      </c>
      <c r="E6" s="50" t="s">
        <v>292</v>
      </c>
    </row>
    <row r="7" spans="1:5" ht="75" x14ac:dyDescent="0.25">
      <c r="B7" s="50">
        <v>2</v>
      </c>
      <c r="C7" s="50" t="s">
        <v>137</v>
      </c>
      <c r="D7" s="54" t="s">
        <v>103</v>
      </c>
      <c r="E7" s="54" t="s">
        <v>252</v>
      </c>
    </row>
    <row r="8" spans="1:5" x14ac:dyDescent="0.25">
      <c r="B8" s="50">
        <v>3</v>
      </c>
      <c r="C8" s="50" t="s">
        <v>129</v>
      </c>
      <c r="D8" s="54" t="s">
        <v>102</v>
      </c>
      <c r="E8" s="50" t="s">
        <v>293</v>
      </c>
    </row>
    <row r="9" spans="1:5" x14ac:dyDescent="0.25">
      <c r="A9" s="50" t="s">
        <v>35</v>
      </c>
      <c r="B9" s="50">
        <v>1</v>
      </c>
      <c r="C9" s="50" t="s">
        <v>143</v>
      </c>
      <c r="D9" s="50" t="s">
        <v>294</v>
      </c>
      <c r="E9" s="50" t="s">
        <v>256</v>
      </c>
    </row>
    <row r="10" spans="1:5" x14ac:dyDescent="0.25">
      <c r="B10" s="50">
        <v>2</v>
      </c>
      <c r="C10" s="50" t="s">
        <v>304</v>
      </c>
      <c r="D10" s="50" t="s">
        <v>295</v>
      </c>
      <c r="E10" s="50" t="s">
        <v>297</v>
      </c>
    </row>
    <row r="11" spans="1:5" x14ac:dyDescent="0.25">
      <c r="B11" s="50">
        <v>3</v>
      </c>
      <c r="C11" s="50" t="s">
        <v>305</v>
      </c>
      <c r="D11" s="50" t="s">
        <v>287</v>
      </c>
      <c r="E11" s="50" t="s">
        <v>306</v>
      </c>
    </row>
    <row r="12" spans="1:5" ht="30" x14ac:dyDescent="0.25">
      <c r="B12" s="50">
        <v>4</v>
      </c>
      <c r="C12" s="50" t="s">
        <v>146</v>
      </c>
      <c r="D12" s="54" t="s">
        <v>116</v>
      </c>
      <c r="E12" s="54" t="s">
        <v>254</v>
      </c>
    </row>
    <row r="13" spans="1:5" ht="75" x14ac:dyDescent="0.25">
      <c r="B13" s="50">
        <v>5</v>
      </c>
      <c r="C13" s="50" t="s">
        <v>212</v>
      </c>
      <c r="D13" s="54" t="s">
        <v>213</v>
      </c>
      <c r="E13" s="54" t="s">
        <v>255</v>
      </c>
    </row>
    <row r="14" spans="1:5" ht="30" x14ac:dyDescent="0.25">
      <c r="B14" s="50">
        <v>6</v>
      </c>
      <c r="C14" s="50" t="s">
        <v>214</v>
      </c>
      <c r="D14" s="54" t="s">
        <v>115</v>
      </c>
      <c r="E14" s="54" t="s">
        <v>257</v>
      </c>
    </row>
    <row r="15" spans="1:5" ht="30" x14ac:dyDescent="0.25">
      <c r="B15" s="50">
        <v>7</v>
      </c>
      <c r="C15" s="50" t="s">
        <v>121</v>
      </c>
      <c r="D15" s="54" t="s">
        <v>120</v>
      </c>
      <c r="E15" s="54" t="s">
        <v>258</v>
      </c>
    </row>
    <row r="16" spans="1:5" x14ac:dyDescent="0.25">
      <c r="B16" s="50">
        <v>8</v>
      </c>
      <c r="C16" s="50" t="s">
        <v>138</v>
      </c>
      <c r="D16" s="54" t="s">
        <v>104</v>
      </c>
      <c r="E16" s="54" t="s">
        <v>259</v>
      </c>
    </row>
    <row r="17" spans="1:5" x14ac:dyDescent="0.25">
      <c r="B17" s="50">
        <v>9</v>
      </c>
      <c r="C17" s="50" t="s">
        <v>282</v>
      </c>
      <c r="D17" s="50" t="s">
        <v>260</v>
      </c>
      <c r="E17" s="50" t="s">
        <v>281</v>
      </c>
    </row>
    <row r="18" spans="1:5" x14ac:dyDescent="0.25">
      <c r="B18" s="50">
        <v>10</v>
      </c>
      <c r="C18" s="50" t="s">
        <v>330</v>
      </c>
      <c r="D18" s="50" t="s">
        <v>274</v>
      </c>
      <c r="E18" s="50" t="s">
        <v>268</v>
      </c>
    </row>
    <row r="19" spans="1:5" x14ac:dyDescent="0.25">
      <c r="B19" s="50">
        <v>11</v>
      </c>
      <c r="C19" s="50" t="s">
        <v>331</v>
      </c>
      <c r="D19" s="50" t="s">
        <v>312</v>
      </c>
      <c r="E19" s="50" t="s">
        <v>332</v>
      </c>
    </row>
    <row r="20" spans="1:5" x14ac:dyDescent="0.25">
      <c r="B20" s="50">
        <v>12</v>
      </c>
      <c r="C20" s="50" t="s">
        <v>337</v>
      </c>
      <c r="D20" s="50" t="s">
        <v>338</v>
      </c>
      <c r="E20" s="50" t="s">
        <v>340</v>
      </c>
    </row>
    <row r="21" spans="1:5" x14ac:dyDescent="0.25">
      <c r="B21" s="50">
        <v>13</v>
      </c>
      <c r="C21" s="50" t="s">
        <v>321</v>
      </c>
      <c r="D21" s="50" t="s">
        <v>314</v>
      </c>
      <c r="E21" s="50" t="s">
        <v>319</v>
      </c>
    </row>
    <row r="22" spans="1:5" x14ac:dyDescent="0.25">
      <c r="B22" s="50">
        <v>14</v>
      </c>
      <c r="C22" s="50" t="s">
        <v>322</v>
      </c>
      <c r="D22" s="50" t="s">
        <v>315</v>
      </c>
      <c r="E22" s="50" t="s">
        <v>320</v>
      </c>
    </row>
    <row r="23" spans="1:5" x14ac:dyDescent="0.25">
      <c r="A23" s="50" t="s">
        <v>41</v>
      </c>
      <c r="B23" s="50">
        <v>1</v>
      </c>
      <c r="C23" s="50" t="s">
        <v>147</v>
      </c>
      <c r="D23" s="54" t="s">
        <v>148</v>
      </c>
      <c r="E23" s="50" t="s">
        <v>308</v>
      </c>
    </row>
    <row r="24" spans="1:5" x14ac:dyDescent="0.25">
      <c r="B24" s="50">
        <v>2</v>
      </c>
      <c r="C24" s="50" t="s">
        <v>285</v>
      </c>
      <c r="D24" s="50" t="s">
        <v>149</v>
      </c>
      <c r="E24" s="50" t="s">
        <v>309</v>
      </c>
    </row>
    <row r="25" spans="1:5" ht="30" x14ac:dyDescent="0.25">
      <c r="B25" s="50">
        <v>3</v>
      </c>
      <c r="C25" s="54" t="s">
        <v>46</v>
      </c>
      <c r="D25" s="54" t="s">
        <v>105</v>
      </c>
      <c r="E25" s="54" t="s">
        <v>264</v>
      </c>
    </row>
    <row r="26" spans="1:5" x14ac:dyDescent="0.25">
      <c r="B26" s="50">
        <v>4</v>
      </c>
      <c r="C26" s="54" t="s">
        <v>47</v>
      </c>
      <c r="D26" s="54" t="s">
        <v>106</v>
      </c>
      <c r="E26" s="50" t="s">
        <v>286</v>
      </c>
    </row>
    <row r="27" spans="1:5" ht="30" x14ac:dyDescent="0.25">
      <c r="A27" s="50" t="s">
        <v>48</v>
      </c>
      <c r="B27" s="50">
        <v>1</v>
      </c>
      <c r="C27" s="50" t="s">
        <v>130</v>
      </c>
      <c r="D27" s="54" t="s">
        <v>98</v>
      </c>
      <c r="E27" s="54" t="s">
        <v>263</v>
      </c>
    </row>
    <row r="28" spans="1:5" x14ac:dyDescent="0.25">
      <c r="B28" s="50">
        <v>2</v>
      </c>
      <c r="C28" s="50" t="s">
        <v>288</v>
      </c>
      <c r="D28" s="50" t="s">
        <v>107</v>
      </c>
      <c r="E28" s="50" t="s">
        <v>289</v>
      </c>
    </row>
    <row r="29" spans="1:5" x14ac:dyDescent="0.25">
      <c r="B29" s="50">
        <v>3</v>
      </c>
      <c r="C29" s="50" t="s">
        <v>139</v>
      </c>
      <c r="D29" s="54" t="s">
        <v>108</v>
      </c>
      <c r="E29" s="50" t="s">
        <v>310</v>
      </c>
    </row>
    <row r="30" spans="1:5" x14ac:dyDescent="0.25">
      <c r="B30" s="50">
        <v>4</v>
      </c>
      <c r="C30" s="50" t="s">
        <v>145</v>
      </c>
      <c r="D30" s="50" t="s">
        <v>300</v>
      </c>
      <c r="E30" s="50" t="s">
        <v>301</v>
      </c>
    </row>
    <row r="31" spans="1:5" ht="30" x14ac:dyDescent="0.25">
      <c r="B31" s="50">
        <v>5</v>
      </c>
      <c r="C31" s="50" t="s">
        <v>144</v>
      </c>
      <c r="D31" s="54" t="s">
        <v>210</v>
      </c>
      <c r="E31" s="54" t="s">
        <v>261</v>
      </c>
    </row>
    <row r="32" spans="1:5" x14ac:dyDescent="0.25">
      <c r="A32" s="50" t="s">
        <v>50</v>
      </c>
      <c r="B32" s="50">
        <v>1</v>
      </c>
      <c r="C32" s="50" t="s">
        <v>134</v>
      </c>
      <c r="D32" s="54" t="s">
        <v>110</v>
      </c>
      <c r="E32" s="50" t="s">
        <v>283</v>
      </c>
    </row>
    <row r="33" spans="1:5" x14ac:dyDescent="0.25">
      <c r="B33" s="50">
        <v>2</v>
      </c>
      <c r="C33" s="50" t="s">
        <v>131</v>
      </c>
      <c r="D33" s="54" t="s">
        <v>109</v>
      </c>
      <c r="E33" s="54" t="s">
        <v>265</v>
      </c>
    </row>
    <row r="34" spans="1:5" ht="60" x14ac:dyDescent="0.25">
      <c r="B34" s="50">
        <v>3</v>
      </c>
      <c r="C34" s="50" t="s">
        <v>251</v>
      </c>
      <c r="D34" s="54" t="s">
        <v>274</v>
      </c>
      <c r="E34" s="54" t="s">
        <v>269</v>
      </c>
    </row>
    <row r="35" spans="1:5" x14ac:dyDescent="0.25">
      <c r="B35" s="50">
        <v>4</v>
      </c>
      <c r="C35" s="50" t="s">
        <v>333</v>
      </c>
      <c r="D35" s="50" t="s">
        <v>312</v>
      </c>
      <c r="E35" s="50" t="s">
        <v>334</v>
      </c>
    </row>
    <row r="36" spans="1:5" x14ac:dyDescent="0.25">
      <c r="A36" s="50" t="s">
        <v>52</v>
      </c>
      <c r="B36" s="50">
        <v>1</v>
      </c>
      <c r="C36" s="50" t="s">
        <v>132</v>
      </c>
      <c r="D36" s="54" t="s">
        <v>111</v>
      </c>
      <c r="E36" s="50" t="s">
        <v>302</v>
      </c>
    </row>
    <row r="37" spans="1:5" x14ac:dyDescent="0.25">
      <c r="B37" s="50">
        <v>2</v>
      </c>
      <c r="C37" s="50" t="s">
        <v>140</v>
      </c>
      <c r="D37" s="54" t="s">
        <v>141</v>
      </c>
      <c r="E37" s="50" t="s">
        <v>303</v>
      </c>
    </row>
    <row r="38" spans="1:5" x14ac:dyDescent="0.25">
      <c r="A38" s="50" t="s">
        <v>55</v>
      </c>
      <c r="B38" s="50">
        <v>1</v>
      </c>
      <c r="C38" s="50" t="s">
        <v>87</v>
      </c>
      <c r="D38" s="54" t="s">
        <v>112</v>
      </c>
      <c r="E38" s="50" t="s">
        <v>290</v>
      </c>
    </row>
    <row r="39" spans="1:5" x14ac:dyDescent="0.25">
      <c r="A39" s="50" t="s">
        <v>56</v>
      </c>
      <c r="B39" s="50">
        <v>1</v>
      </c>
      <c r="C39" s="50" t="s">
        <v>133</v>
      </c>
      <c r="D39" s="54" t="s">
        <v>113</v>
      </c>
      <c r="E39" s="54" t="s">
        <v>266</v>
      </c>
    </row>
    <row r="40" spans="1:5" ht="30" x14ac:dyDescent="0.25">
      <c r="A40" s="50" t="s">
        <v>152</v>
      </c>
      <c r="B40" s="50">
        <v>1</v>
      </c>
      <c r="C40" s="50" t="s">
        <v>215</v>
      </c>
      <c r="D40" s="54" t="s">
        <v>206</v>
      </c>
      <c r="E40" s="50" t="s">
        <v>329</v>
      </c>
    </row>
    <row r="41" spans="1:5" ht="30" x14ac:dyDescent="0.25">
      <c r="B41" s="50">
        <v>2</v>
      </c>
      <c r="C41" s="50" t="s">
        <v>209</v>
      </c>
      <c r="D41" s="54" t="s">
        <v>204</v>
      </c>
      <c r="E41" s="50" t="s">
        <v>311</v>
      </c>
    </row>
    <row r="42" spans="1:5" x14ac:dyDescent="0.25">
      <c r="A42" s="50" t="s">
        <v>150</v>
      </c>
      <c r="B42" s="50">
        <v>1</v>
      </c>
      <c r="C42" s="50" t="s">
        <v>118</v>
      </c>
      <c r="D42" s="50" t="s">
        <v>90</v>
      </c>
      <c r="E42" s="50" t="s">
        <v>270</v>
      </c>
    </row>
    <row r="43" spans="1:5" x14ac:dyDescent="0.25">
      <c r="B43" s="50">
        <v>2</v>
      </c>
      <c r="C43" s="50" t="s">
        <v>119</v>
      </c>
      <c r="D43" s="50" t="s">
        <v>96</v>
      </c>
      <c r="E43" s="50" t="s">
        <v>323</v>
      </c>
    </row>
    <row r="44" spans="1:5" x14ac:dyDescent="0.25">
      <c r="B44" s="50">
        <v>3</v>
      </c>
      <c r="C44" s="50" t="s">
        <v>122</v>
      </c>
      <c r="D44" s="50" t="s">
        <v>95</v>
      </c>
      <c r="E44" s="50" t="s">
        <v>328</v>
      </c>
    </row>
    <row r="45" spans="1:5" x14ac:dyDescent="0.25">
      <c r="B45" s="50">
        <v>4</v>
      </c>
      <c r="C45" s="50" t="s">
        <v>123</v>
      </c>
      <c r="D45" s="50" t="s">
        <v>91</v>
      </c>
      <c r="E45" s="50" t="s">
        <v>324</v>
      </c>
    </row>
    <row r="46" spans="1:5" x14ac:dyDescent="0.25">
      <c r="B46" s="50">
        <v>5</v>
      </c>
      <c r="C46" s="50" t="s">
        <v>135</v>
      </c>
      <c r="D46" s="50" t="s">
        <v>89</v>
      </c>
      <c r="E46" s="50" t="s">
        <v>325</v>
      </c>
    </row>
    <row r="47" spans="1:5" x14ac:dyDescent="0.25">
      <c r="B47" s="50">
        <v>6</v>
      </c>
      <c r="C47" s="50" t="s">
        <v>124</v>
      </c>
      <c r="D47" s="50" t="s">
        <v>93</v>
      </c>
      <c r="E47" s="50" t="s">
        <v>326</v>
      </c>
    </row>
    <row r="48" spans="1:5" x14ac:dyDescent="0.25">
      <c r="B48" s="50">
        <v>7</v>
      </c>
      <c r="C48" s="50" t="s">
        <v>125</v>
      </c>
      <c r="D48" s="50" t="s">
        <v>92</v>
      </c>
      <c r="E48" s="50" t="s">
        <v>327</v>
      </c>
    </row>
    <row r="49" spans="2:5" x14ac:dyDescent="0.25">
      <c r="B49" s="50">
        <v>8</v>
      </c>
      <c r="C49" s="50" t="s">
        <v>126</v>
      </c>
      <c r="D49" s="50" t="s">
        <v>94</v>
      </c>
      <c r="E49" s="50" t="s">
        <v>284</v>
      </c>
    </row>
    <row r="50" spans="2:5" x14ac:dyDescent="0.25">
      <c r="B50" s="50">
        <v>9</v>
      </c>
      <c r="C50" s="50" t="s">
        <v>127</v>
      </c>
      <c r="D50" s="50" t="s">
        <v>80</v>
      </c>
      <c r="E50" s="50" t="s">
        <v>270</v>
      </c>
    </row>
    <row r="51" spans="2:5" x14ac:dyDescent="0.25">
      <c r="B51" s="50">
        <v>10</v>
      </c>
      <c r="C51" s="50" t="s">
        <v>128</v>
      </c>
      <c r="D51" s="50" t="s">
        <v>79</v>
      </c>
      <c r="E51" s="50" t="s">
        <v>271</v>
      </c>
    </row>
    <row r="52" spans="2:5" x14ac:dyDescent="0.25">
      <c r="B52"/>
      <c r="E52"/>
    </row>
    <row r="53" spans="2:5" x14ac:dyDescent="0.25">
      <c r="B53"/>
      <c r="E53"/>
    </row>
    <row r="54" spans="2:5" x14ac:dyDescent="0.25">
      <c r="B54"/>
      <c r="E54"/>
    </row>
    <row r="55" spans="2:5" x14ac:dyDescent="0.25">
      <c r="B55"/>
      <c r="E55"/>
    </row>
    <row r="56" spans="2:5" x14ac:dyDescent="0.25">
      <c r="B56"/>
      <c r="E56"/>
    </row>
    <row r="57" spans="2:5" x14ac:dyDescent="0.25">
      <c r="B57"/>
      <c r="E57"/>
    </row>
    <row r="58" spans="2:5" x14ac:dyDescent="0.25">
      <c r="B58"/>
      <c r="E58"/>
    </row>
    <row r="59" spans="2:5" x14ac:dyDescent="0.25">
      <c r="B59"/>
      <c r="E59"/>
    </row>
    <row r="60" spans="2:5" x14ac:dyDescent="0.25">
      <c r="B60"/>
      <c r="E60"/>
    </row>
    <row r="61" spans="2:5" x14ac:dyDescent="0.25">
      <c r="B61"/>
      <c r="E61"/>
    </row>
    <row r="62" spans="2:5" x14ac:dyDescent="0.25">
      <c r="B62"/>
      <c r="E62"/>
    </row>
    <row r="63" spans="2:5" x14ac:dyDescent="0.25">
      <c r="B63"/>
      <c r="E63"/>
    </row>
    <row r="64" spans="2:5" x14ac:dyDescent="0.25">
      <c r="B64"/>
      <c r="E64"/>
    </row>
    <row r="65" spans="2:5" x14ac:dyDescent="0.25">
      <c r="B65"/>
      <c r="E65"/>
    </row>
    <row r="66" spans="2:5" x14ac:dyDescent="0.25">
      <c r="B66"/>
      <c r="E66"/>
    </row>
    <row r="67" spans="2:5" x14ac:dyDescent="0.25">
      <c r="B67"/>
      <c r="E67"/>
    </row>
    <row r="68" spans="2:5" x14ac:dyDescent="0.25">
      <c r="B68"/>
      <c r="E68"/>
    </row>
    <row r="69" spans="2:5" x14ac:dyDescent="0.25">
      <c r="B69"/>
      <c r="E69"/>
    </row>
    <row r="70" spans="2:5" x14ac:dyDescent="0.25">
      <c r="B70"/>
      <c r="E70"/>
    </row>
    <row r="71" spans="2:5" x14ac:dyDescent="0.25">
      <c r="B71"/>
      <c r="E71"/>
    </row>
    <row r="72" spans="2:5" x14ac:dyDescent="0.25">
      <c r="B72"/>
      <c r="E72"/>
    </row>
    <row r="73" spans="2:5" x14ac:dyDescent="0.25">
      <c r="B73"/>
      <c r="E73"/>
    </row>
    <row r="74" spans="2:5" x14ac:dyDescent="0.25">
      <c r="B74"/>
      <c r="E74"/>
    </row>
    <row r="75" spans="2:5" x14ac:dyDescent="0.25">
      <c r="B75"/>
      <c r="E75"/>
    </row>
    <row r="76" spans="2:5" x14ac:dyDescent="0.25">
      <c r="B76"/>
      <c r="E76"/>
    </row>
    <row r="77" spans="2:5" x14ac:dyDescent="0.25">
      <c r="B77"/>
      <c r="E77"/>
    </row>
    <row r="78" spans="2:5" x14ac:dyDescent="0.25">
      <c r="B78"/>
      <c r="E78"/>
    </row>
    <row r="79" spans="2:5" x14ac:dyDescent="0.25">
      <c r="B79"/>
      <c r="E79"/>
    </row>
    <row r="80" spans="2:5" x14ac:dyDescent="0.25">
      <c r="B80"/>
      <c r="E80"/>
    </row>
    <row r="81" spans="2:5" x14ac:dyDescent="0.25">
      <c r="B81"/>
      <c r="E81"/>
    </row>
    <row r="82" spans="2:5" x14ac:dyDescent="0.25">
      <c r="B82"/>
      <c r="E82"/>
    </row>
    <row r="83" spans="2:5" x14ac:dyDescent="0.25">
      <c r="B83"/>
      <c r="E83"/>
    </row>
    <row r="84" spans="2:5" x14ac:dyDescent="0.25">
      <c r="B84"/>
      <c r="E84"/>
    </row>
    <row r="85" spans="2:5" x14ac:dyDescent="0.25">
      <c r="B85"/>
      <c r="E85"/>
    </row>
    <row r="86" spans="2:5" x14ac:dyDescent="0.25">
      <c r="B86"/>
      <c r="E86"/>
    </row>
    <row r="87" spans="2:5" x14ac:dyDescent="0.25">
      <c r="B87"/>
      <c r="E87"/>
    </row>
    <row r="88" spans="2:5" x14ac:dyDescent="0.25">
      <c r="B88"/>
      <c r="E88"/>
    </row>
    <row r="89" spans="2:5" x14ac:dyDescent="0.25">
      <c r="B89"/>
      <c r="E89"/>
    </row>
    <row r="90" spans="2:5" x14ac:dyDescent="0.25">
      <c r="B90"/>
      <c r="E90"/>
    </row>
    <row r="91" spans="2:5" x14ac:dyDescent="0.25">
      <c r="B91"/>
      <c r="E91"/>
    </row>
    <row r="92" spans="2:5" x14ac:dyDescent="0.25">
      <c r="B92"/>
      <c r="E92"/>
    </row>
    <row r="93" spans="2:5" x14ac:dyDescent="0.25">
      <c r="B93"/>
      <c r="E93"/>
    </row>
    <row r="94" spans="2:5" x14ac:dyDescent="0.25">
      <c r="B94"/>
      <c r="E94"/>
    </row>
  </sheetData>
  <sheetProtection password="E393" sheet="1" objects="1" scenarios="1"/>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G48"/>
  <sheetViews>
    <sheetView showGridLines="0" zoomScaleNormal="100" workbookViewId="0">
      <pane ySplit="1" topLeftCell="A2" activePane="bottomLeft" state="frozen"/>
      <selection pane="bottomLeft"/>
    </sheetView>
  </sheetViews>
  <sheetFormatPr defaultRowHeight="15" x14ac:dyDescent="0.25"/>
  <cols>
    <col min="1" max="1" width="21" customWidth="1"/>
    <col min="2" max="2" width="11" customWidth="1"/>
    <col min="3" max="3" width="40.7109375" customWidth="1"/>
    <col min="4" max="4" width="33" customWidth="1"/>
    <col min="5" max="5" width="29.85546875" customWidth="1"/>
    <col min="6" max="6" width="82.42578125" customWidth="1"/>
    <col min="7" max="7" width="66" customWidth="1"/>
  </cols>
  <sheetData>
    <row r="1" spans="1:6" ht="26.25" x14ac:dyDescent="0.25">
      <c r="A1" s="25" t="s">
        <v>57</v>
      </c>
      <c r="B1" s="25" t="s">
        <v>25</v>
      </c>
      <c r="C1" s="25" t="s">
        <v>58</v>
      </c>
      <c r="D1" s="25" t="s">
        <v>59</v>
      </c>
      <c r="E1" s="25" t="s">
        <v>27</v>
      </c>
      <c r="F1" s="92" t="s">
        <v>253</v>
      </c>
    </row>
    <row r="2" spans="1:6" ht="166.5" customHeight="1" x14ac:dyDescent="0.25">
      <c r="A2" s="27" t="s">
        <v>29</v>
      </c>
      <c r="B2" s="95">
        <v>1</v>
      </c>
      <c r="C2" s="27" t="s">
        <v>313</v>
      </c>
      <c r="D2" s="72" t="s">
        <v>101</v>
      </c>
      <c r="E2" s="27" t="s">
        <v>30</v>
      </c>
      <c r="F2" s="27" t="s">
        <v>291</v>
      </c>
    </row>
    <row r="3" spans="1:6" ht="180" customHeight="1" x14ac:dyDescent="0.25">
      <c r="A3" s="27" t="s">
        <v>32</v>
      </c>
      <c r="B3" s="95">
        <v>1</v>
      </c>
      <c r="C3" s="27" t="s">
        <v>136</v>
      </c>
      <c r="D3" s="72" t="s">
        <v>262</v>
      </c>
      <c r="E3" s="27" t="s">
        <v>151</v>
      </c>
      <c r="F3" s="27" t="s">
        <v>292</v>
      </c>
    </row>
    <row r="4" spans="1:6" ht="146.25" customHeight="1" x14ac:dyDescent="0.25">
      <c r="A4" s="27" t="s">
        <v>32</v>
      </c>
      <c r="B4" s="95">
        <v>2</v>
      </c>
      <c r="C4" s="27" t="s">
        <v>137</v>
      </c>
      <c r="D4" s="72" t="s">
        <v>103</v>
      </c>
      <c r="E4" s="27" t="s">
        <v>82</v>
      </c>
      <c r="F4" s="27" t="s">
        <v>252</v>
      </c>
    </row>
    <row r="5" spans="1:6" ht="105" x14ac:dyDescent="0.25">
      <c r="A5" s="27" t="s">
        <v>32</v>
      </c>
      <c r="B5" s="95">
        <v>3</v>
      </c>
      <c r="C5" s="27" t="s">
        <v>129</v>
      </c>
      <c r="D5" s="72" t="s">
        <v>102</v>
      </c>
      <c r="E5" s="27" t="s">
        <v>33</v>
      </c>
      <c r="F5" s="27" t="s">
        <v>293</v>
      </c>
    </row>
    <row r="6" spans="1:6" ht="110.25" customHeight="1" x14ac:dyDescent="0.25">
      <c r="A6" s="27" t="s">
        <v>35</v>
      </c>
      <c r="B6" s="95">
        <v>1</v>
      </c>
      <c r="C6" s="73" t="s">
        <v>143</v>
      </c>
      <c r="D6" s="27" t="s">
        <v>294</v>
      </c>
      <c r="E6" s="27" t="s">
        <v>117</v>
      </c>
      <c r="F6" s="27" t="s">
        <v>256</v>
      </c>
    </row>
    <row r="7" spans="1:6" ht="150" customHeight="1" x14ac:dyDescent="0.25">
      <c r="A7" s="27" t="s">
        <v>35</v>
      </c>
      <c r="B7" s="95">
        <v>2</v>
      </c>
      <c r="C7" s="27" t="s">
        <v>304</v>
      </c>
      <c r="D7" s="27" t="s">
        <v>295</v>
      </c>
      <c r="E7" s="27" t="s">
        <v>296</v>
      </c>
      <c r="F7" s="27" t="s">
        <v>297</v>
      </c>
    </row>
    <row r="8" spans="1:6" ht="122.25" customHeight="1" x14ac:dyDescent="0.25">
      <c r="A8" s="27" t="s">
        <v>35</v>
      </c>
      <c r="B8" s="95">
        <v>3</v>
      </c>
      <c r="C8" s="27" t="s">
        <v>305</v>
      </c>
      <c r="D8" s="72" t="s">
        <v>287</v>
      </c>
      <c r="E8" s="27" t="s">
        <v>151</v>
      </c>
      <c r="F8" s="27" t="s">
        <v>306</v>
      </c>
    </row>
    <row r="9" spans="1:6" ht="90" customHeight="1" x14ac:dyDescent="0.25">
      <c r="A9" s="27" t="s">
        <v>35</v>
      </c>
      <c r="B9" s="95">
        <v>4</v>
      </c>
      <c r="C9" s="27" t="s">
        <v>146</v>
      </c>
      <c r="D9" s="72" t="s">
        <v>116</v>
      </c>
      <c r="E9" s="27" t="s">
        <v>36</v>
      </c>
      <c r="F9" s="27" t="s">
        <v>254</v>
      </c>
    </row>
    <row r="10" spans="1:6" ht="120" x14ac:dyDescent="0.25">
      <c r="A10" s="27" t="s">
        <v>35</v>
      </c>
      <c r="B10" s="95">
        <v>5</v>
      </c>
      <c r="C10" s="27" t="s">
        <v>212</v>
      </c>
      <c r="D10" s="27" t="s">
        <v>213</v>
      </c>
      <c r="E10" s="27" t="s">
        <v>298</v>
      </c>
      <c r="F10" s="27" t="s">
        <v>255</v>
      </c>
    </row>
    <row r="11" spans="1:6" ht="106.5" customHeight="1" x14ac:dyDescent="0.25">
      <c r="A11" s="27" t="s">
        <v>35</v>
      </c>
      <c r="B11" s="95">
        <v>6</v>
      </c>
      <c r="C11" s="27" t="s">
        <v>214</v>
      </c>
      <c r="D11" s="72" t="s">
        <v>115</v>
      </c>
      <c r="E11" s="27" t="s">
        <v>114</v>
      </c>
      <c r="F11" s="27" t="s">
        <v>257</v>
      </c>
    </row>
    <row r="12" spans="1:6" ht="102.75" customHeight="1" x14ac:dyDescent="0.25">
      <c r="A12" s="27" t="s">
        <v>35</v>
      </c>
      <c r="B12" s="95">
        <v>7</v>
      </c>
      <c r="C12" s="27" t="s">
        <v>121</v>
      </c>
      <c r="D12" s="72" t="s">
        <v>120</v>
      </c>
      <c r="E12" s="27" t="s">
        <v>31</v>
      </c>
      <c r="F12" s="27" t="s">
        <v>258</v>
      </c>
    </row>
    <row r="13" spans="1:6" ht="60" x14ac:dyDescent="0.25">
      <c r="A13" s="27" t="s">
        <v>35</v>
      </c>
      <c r="B13" s="95">
        <v>8</v>
      </c>
      <c r="C13" s="27" t="s">
        <v>138</v>
      </c>
      <c r="D13" s="72" t="s">
        <v>104</v>
      </c>
      <c r="E13" s="27" t="s">
        <v>86</v>
      </c>
      <c r="F13" s="27" t="s">
        <v>259</v>
      </c>
    </row>
    <row r="14" spans="1:6" s="50" customFormat="1" ht="118.5" customHeight="1" x14ac:dyDescent="0.25">
      <c r="A14" s="27" t="s">
        <v>35</v>
      </c>
      <c r="B14" s="95">
        <v>9</v>
      </c>
      <c r="C14" s="27" t="s">
        <v>282</v>
      </c>
      <c r="D14" s="72" t="s">
        <v>260</v>
      </c>
      <c r="E14" s="27" t="s">
        <v>211</v>
      </c>
      <c r="F14" s="27" t="s">
        <v>281</v>
      </c>
    </row>
    <row r="15" spans="1:6" s="50" customFormat="1" ht="90" x14ac:dyDescent="0.25">
      <c r="A15" s="27" t="s">
        <v>35</v>
      </c>
      <c r="B15" s="95">
        <v>10</v>
      </c>
      <c r="C15" s="27" t="s">
        <v>330</v>
      </c>
      <c r="D15" s="72" t="s">
        <v>267</v>
      </c>
      <c r="E15" s="27" t="s">
        <v>299</v>
      </c>
      <c r="F15" s="27" t="s">
        <v>268</v>
      </c>
    </row>
    <row r="16" spans="1:6" s="50" customFormat="1" ht="90" x14ac:dyDescent="0.25">
      <c r="A16" s="27" t="s">
        <v>35</v>
      </c>
      <c r="B16" s="95">
        <v>11</v>
      </c>
      <c r="C16" s="27" t="s">
        <v>331</v>
      </c>
      <c r="D16" s="72" t="s">
        <v>307</v>
      </c>
      <c r="E16" s="27" t="s">
        <v>316</v>
      </c>
      <c r="F16" s="27" t="s">
        <v>332</v>
      </c>
    </row>
    <row r="17" spans="1:6" s="50" customFormat="1" ht="52.5" customHeight="1" x14ac:dyDescent="0.25">
      <c r="A17" s="27" t="s">
        <v>35</v>
      </c>
      <c r="B17" s="95">
        <v>12</v>
      </c>
      <c r="C17" s="27" t="s">
        <v>337</v>
      </c>
      <c r="D17" s="72" t="s">
        <v>338</v>
      </c>
      <c r="E17" s="27" t="s">
        <v>339</v>
      </c>
      <c r="F17" s="27" t="s">
        <v>340</v>
      </c>
    </row>
    <row r="18" spans="1:6" s="50" customFormat="1" ht="45" x14ac:dyDescent="0.25">
      <c r="A18" s="27" t="s">
        <v>35</v>
      </c>
      <c r="B18" s="95">
        <v>13</v>
      </c>
      <c r="C18" s="27" t="s">
        <v>321</v>
      </c>
      <c r="D18" s="72" t="s">
        <v>314</v>
      </c>
      <c r="E18" s="27" t="s">
        <v>317</v>
      </c>
      <c r="F18" s="27" t="s">
        <v>319</v>
      </c>
    </row>
    <row r="19" spans="1:6" s="50" customFormat="1" ht="45" x14ac:dyDescent="0.25">
      <c r="A19" s="27" t="s">
        <v>35</v>
      </c>
      <c r="B19" s="95">
        <v>14</v>
      </c>
      <c r="C19" s="27" t="s">
        <v>322</v>
      </c>
      <c r="D19" s="72" t="s">
        <v>315</v>
      </c>
      <c r="E19" s="27" t="s">
        <v>318</v>
      </c>
      <c r="F19" s="27" t="s">
        <v>320</v>
      </c>
    </row>
    <row r="20" spans="1:6" ht="108" customHeight="1" x14ac:dyDescent="0.25">
      <c r="A20" s="27" t="s">
        <v>41</v>
      </c>
      <c r="B20" s="95">
        <v>1</v>
      </c>
      <c r="C20" s="27" t="s">
        <v>147</v>
      </c>
      <c r="D20" s="72" t="s">
        <v>148</v>
      </c>
      <c r="E20" s="27" t="s">
        <v>84</v>
      </c>
      <c r="F20" s="27" t="s">
        <v>308</v>
      </c>
    </row>
    <row r="21" spans="1:6" ht="123" customHeight="1" x14ac:dyDescent="0.25">
      <c r="A21" s="27" t="s">
        <v>41</v>
      </c>
      <c r="B21" s="95">
        <v>2</v>
      </c>
      <c r="C21" s="27" t="s">
        <v>285</v>
      </c>
      <c r="D21" s="72" t="s">
        <v>149</v>
      </c>
      <c r="E21" s="27" t="s">
        <v>84</v>
      </c>
      <c r="F21" s="27" t="s">
        <v>309</v>
      </c>
    </row>
    <row r="22" spans="1:6" s="26" customFormat="1" ht="105" customHeight="1" x14ac:dyDescent="0.25">
      <c r="A22" s="27" t="s">
        <v>41</v>
      </c>
      <c r="B22" s="95">
        <v>3</v>
      </c>
      <c r="C22" s="27" t="s">
        <v>46</v>
      </c>
      <c r="D22" s="72" t="s">
        <v>105</v>
      </c>
      <c r="E22" s="27" t="s">
        <v>77</v>
      </c>
      <c r="F22" s="27" t="s">
        <v>264</v>
      </c>
    </row>
    <row r="23" spans="1:6" s="26" customFormat="1" ht="110.25" customHeight="1" x14ac:dyDescent="0.25">
      <c r="A23" s="27" t="s">
        <v>41</v>
      </c>
      <c r="B23" s="95">
        <v>4</v>
      </c>
      <c r="C23" s="27" t="s">
        <v>47</v>
      </c>
      <c r="D23" s="72" t="s">
        <v>106</v>
      </c>
      <c r="E23" s="27" t="s">
        <v>78</v>
      </c>
      <c r="F23" s="27" t="s">
        <v>286</v>
      </c>
    </row>
    <row r="24" spans="1:6" ht="93" customHeight="1" x14ac:dyDescent="0.25">
      <c r="A24" s="27" t="s">
        <v>48</v>
      </c>
      <c r="B24" s="95">
        <v>1</v>
      </c>
      <c r="C24" s="27" t="s">
        <v>130</v>
      </c>
      <c r="D24" s="27" t="s">
        <v>98</v>
      </c>
      <c r="E24" s="27" t="s">
        <v>99</v>
      </c>
      <c r="F24" s="27" t="s">
        <v>263</v>
      </c>
    </row>
    <row r="25" spans="1:6" ht="93" customHeight="1" x14ac:dyDescent="0.25">
      <c r="A25" s="27" t="s">
        <v>48</v>
      </c>
      <c r="B25" s="95">
        <v>2</v>
      </c>
      <c r="C25" s="94" t="s">
        <v>288</v>
      </c>
      <c r="D25" s="72" t="s">
        <v>107</v>
      </c>
      <c r="E25" s="27" t="s">
        <v>97</v>
      </c>
      <c r="F25" s="27" t="s">
        <v>289</v>
      </c>
    </row>
    <row r="26" spans="1:6" ht="93.75" customHeight="1" x14ac:dyDescent="0.25">
      <c r="A26" s="27" t="s">
        <v>48</v>
      </c>
      <c r="B26" s="95">
        <v>3</v>
      </c>
      <c r="C26" s="27" t="s">
        <v>139</v>
      </c>
      <c r="D26" s="72" t="s">
        <v>108</v>
      </c>
      <c r="E26" s="27" t="s">
        <v>81</v>
      </c>
      <c r="F26" s="27" t="s">
        <v>310</v>
      </c>
    </row>
    <row r="27" spans="1:6" ht="90" customHeight="1" x14ac:dyDescent="0.25">
      <c r="A27" s="27" t="s">
        <v>48</v>
      </c>
      <c r="B27" s="95">
        <v>4</v>
      </c>
      <c r="C27" s="27" t="s">
        <v>145</v>
      </c>
      <c r="D27" s="72" t="s">
        <v>300</v>
      </c>
      <c r="E27" s="27" t="s">
        <v>49</v>
      </c>
      <c r="F27" s="27" t="s">
        <v>301</v>
      </c>
    </row>
    <row r="28" spans="1:6" ht="108.75" customHeight="1" x14ac:dyDescent="0.25">
      <c r="A28" s="27" t="s">
        <v>48</v>
      </c>
      <c r="B28" s="95">
        <v>5</v>
      </c>
      <c r="C28" s="27" t="s">
        <v>144</v>
      </c>
      <c r="D28" s="72" t="s">
        <v>210</v>
      </c>
      <c r="E28" s="27" t="s">
        <v>100</v>
      </c>
      <c r="F28" s="27" t="s">
        <v>261</v>
      </c>
    </row>
    <row r="29" spans="1:6" ht="69" customHeight="1" x14ac:dyDescent="0.25">
      <c r="A29" s="27" t="s">
        <v>50</v>
      </c>
      <c r="B29" s="95">
        <v>1</v>
      </c>
      <c r="C29" s="27" t="s">
        <v>134</v>
      </c>
      <c r="D29" s="72" t="s">
        <v>110</v>
      </c>
      <c r="E29" s="27" t="s">
        <v>85</v>
      </c>
      <c r="F29" s="27" t="s">
        <v>283</v>
      </c>
    </row>
    <row r="30" spans="1:6" s="50" customFormat="1" ht="45" x14ac:dyDescent="0.25">
      <c r="A30" s="27" t="s">
        <v>50</v>
      </c>
      <c r="B30" s="95">
        <v>2</v>
      </c>
      <c r="C30" s="27" t="s">
        <v>131</v>
      </c>
      <c r="D30" s="72" t="s">
        <v>109</v>
      </c>
      <c r="E30" s="27" t="s">
        <v>51</v>
      </c>
      <c r="F30" s="27" t="s">
        <v>265</v>
      </c>
    </row>
    <row r="31" spans="1:6" s="50" customFormat="1" ht="90" x14ac:dyDescent="0.25">
      <c r="A31" s="27" t="s">
        <v>50</v>
      </c>
      <c r="B31" s="95">
        <v>3</v>
      </c>
      <c r="C31" s="27" t="s">
        <v>251</v>
      </c>
      <c r="D31" s="72" t="s">
        <v>267</v>
      </c>
      <c r="E31" s="27" t="s">
        <v>299</v>
      </c>
      <c r="F31" s="27" t="s">
        <v>269</v>
      </c>
    </row>
    <row r="32" spans="1:6" s="50" customFormat="1" ht="90" x14ac:dyDescent="0.25">
      <c r="A32" s="27" t="s">
        <v>50</v>
      </c>
      <c r="B32" s="95">
        <v>4</v>
      </c>
      <c r="C32" s="27" t="s">
        <v>333</v>
      </c>
      <c r="D32" s="72" t="s">
        <v>307</v>
      </c>
      <c r="E32" s="27" t="s">
        <v>299</v>
      </c>
      <c r="F32" s="27" t="s">
        <v>334</v>
      </c>
    </row>
    <row r="33" spans="1:7" ht="117" customHeight="1" x14ac:dyDescent="0.25">
      <c r="A33" s="27" t="s">
        <v>52</v>
      </c>
      <c r="B33" s="95">
        <v>1</v>
      </c>
      <c r="C33" s="73" t="s">
        <v>132</v>
      </c>
      <c r="D33" s="72" t="s">
        <v>111</v>
      </c>
      <c r="E33" s="27" t="s">
        <v>53</v>
      </c>
      <c r="F33" s="27" t="s">
        <v>302</v>
      </c>
    </row>
    <row r="34" spans="1:7" ht="60" x14ac:dyDescent="0.25">
      <c r="A34" s="27" t="s">
        <v>52</v>
      </c>
      <c r="B34" s="95">
        <v>2</v>
      </c>
      <c r="C34" s="73" t="s">
        <v>140</v>
      </c>
      <c r="D34" s="72" t="s">
        <v>141</v>
      </c>
      <c r="E34" s="27" t="s">
        <v>142</v>
      </c>
      <c r="F34" s="27" t="s">
        <v>303</v>
      </c>
    </row>
    <row r="35" spans="1:7" ht="96" customHeight="1" x14ac:dyDescent="0.25">
      <c r="A35" s="27" t="s">
        <v>55</v>
      </c>
      <c r="B35" s="95">
        <v>1</v>
      </c>
      <c r="C35" s="73" t="s">
        <v>87</v>
      </c>
      <c r="D35" s="72" t="s">
        <v>112</v>
      </c>
      <c r="E35" s="27" t="s">
        <v>88</v>
      </c>
      <c r="F35" s="27" t="s">
        <v>290</v>
      </c>
    </row>
    <row r="36" spans="1:7" s="50" customFormat="1" ht="37.5" customHeight="1" x14ac:dyDescent="0.25">
      <c r="A36" s="27" t="s">
        <v>56</v>
      </c>
      <c r="B36" s="95">
        <v>1</v>
      </c>
      <c r="C36" s="73" t="s">
        <v>133</v>
      </c>
      <c r="D36" s="72" t="s">
        <v>113</v>
      </c>
      <c r="E36" s="27" t="s">
        <v>83</v>
      </c>
      <c r="F36" s="27" t="s">
        <v>266</v>
      </c>
    </row>
    <row r="37" spans="1:7" ht="90" x14ac:dyDescent="0.25">
      <c r="A37" s="27" t="s">
        <v>152</v>
      </c>
      <c r="B37" s="95">
        <v>1</v>
      </c>
      <c r="C37" s="73" t="s">
        <v>215</v>
      </c>
      <c r="D37" s="27" t="s">
        <v>206</v>
      </c>
      <c r="E37" s="27" t="s">
        <v>207</v>
      </c>
      <c r="F37" s="27" t="s">
        <v>329</v>
      </c>
    </row>
    <row r="38" spans="1:7" s="50" customFormat="1" ht="90" x14ac:dyDescent="0.25">
      <c r="A38" s="27" t="s">
        <v>152</v>
      </c>
      <c r="B38" s="95">
        <v>2</v>
      </c>
      <c r="C38" s="27" t="s">
        <v>209</v>
      </c>
      <c r="D38" s="27" t="s">
        <v>204</v>
      </c>
      <c r="E38" s="27" t="s">
        <v>205</v>
      </c>
      <c r="F38" s="27" t="s">
        <v>311</v>
      </c>
    </row>
    <row r="39" spans="1:7" ht="90" x14ac:dyDescent="0.25">
      <c r="A39" s="27" t="s">
        <v>150</v>
      </c>
      <c r="B39" s="95">
        <v>1</v>
      </c>
      <c r="C39" s="27" t="s">
        <v>118</v>
      </c>
      <c r="D39" s="27" t="s">
        <v>90</v>
      </c>
      <c r="E39" s="27" t="s">
        <v>54</v>
      </c>
      <c r="F39" s="27" t="s">
        <v>270</v>
      </c>
      <c r="G39" s="93" t="s">
        <v>273</v>
      </c>
    </row>
    <row r="40" spans="1:7" s="26" customFormat="1" ht="98.25" customHeight="1" x14ac:dyDescent="0.25">
      <c r="A40" s="27" t="s">
        <v>150</v>
      </c>
      <c r="B40" s="95">
        <v>2</v>
      </c>
      <c r="C40" s="27" t="s">
        <v>119</v>
      </c>
      <c r="D40" s="27" t="s">
        <v>96</v>
      </c>
      <c r="E40" s="27" t="s">
        <v>42</v>
      </c>
      <c r="F40" s="27" t="s">
        <v>323</v>
      </c>
    </row>
    <row r="41" spans="1:7" ht="75" x14ac:dyDescent="0.25">
      <c r="A41" s="27" t="s">
        <v>150</v>
      </c>
      <c r="B41" s="95">
        <v>3</v>
      </c>
      <c r="C41" s="27" t="s">
        <v>122</v>
      </c>
      <c r="D41" s="27" t="s">
        <v>95</v>
      </c>
      <c r="E41" s="27" t="s">
        <v>43</v>
      </c>
      <c r="F41" s="93" t="s">
        <v>328</v>
      </c>
      <c r="G41" s="50"/>
    </row>
    <row r="42" spans="1:7" ht="90" x14ac:dyDescent="0.25">
      <c r="A42" s="27" t="s">
        <v>150</v>
      </c>
      <c r="B42" s="95">
        <v>4</v>
      </c>
      <c r="C42" s="27" t="s">
        <v>123</v>
      </c>
      <c r="D42" s="27" t="s">
        <v>91</v>
      </c>
      <c r="E42" s="27" t="s">
        <v>37</v>
      </c>
      <c r="F42" s="27" t="s">
        <v>324</v>
      </c>
    </row>
    <row r="43" spans="1:7" ht="90" x14ac:dyDescent="0.25">
      <c r="A43" s="27" t="s">
        <v>150</v>
      </c>
      <c r="B43" s="95">
        <v>5</v>
      </c>
      <c r="C43" s="27" t="s">
        <v>135</v>
      </c>
      <c r="D43" s="27" t="s">
        <v>89</v>
      </c>
      <c r="E43" s="27" t="s">
        <v>34</v>
      </c>
      <c r="F43" s="27" t="s">
        <v>325</v>
      </c>
    </row>
    <row r="44" spans="1:7" ht="90" x14ac:dyDescent="0.25">
      <c r="A44" s="27" t="s">
        <v>150</v>
      </c>
      <c r="B44" s="95">
        <v>6</v>
      </c>
      <c r="C44" s="27" t="s">
        <v>124</v>
      </c>
      <c r="D44" s="27" t="s">
        <v>93</v>
      </c>
      <c r="E44" s="27" t="s">
        <v>39</v>
      </c>
      <c r="F44" s="27" t="s">
        <v>326</v>
      </c>
    </row>
    <row r="45" spans="1:7" s="50" customFormat="1" ht="90" x14ac:dyDescent="0.25">
      <c r="A45" s="27" t="s">
        <v>150</v>
      </c>
      <c r="B45" s="95">
        <v>7</v>
      </c>
      <c r="C45" s="27" t="s">
        <v>125</v>
      </c>
      <c r="D45" s="27" t="s">
        <v>92</v>
      </c>
      <c r="E45" s="27" t="s">
        <v>38</v>
      </c>
      <c r="F45" s="27" t="s">
        <v>327</v>
      </c>
    </row>
    <row r="46" spans="1:7" ht="90" x14ac:dyDescent="0.25">
      <c r="A46" s="27" t="s">
        <v>150</v>
      </c>
      <c r="B46" s="95">
        <v>8</v>
      </c>
      <c r="C46" s="27" t="s">
        <v>126</v>
      </c>
      <c r="D46" s="27" t="s">
        <v>94</v>
      </c>
      <c r="E46" s="27" t="s">
        <v>40</v>
      </c>
      <c r="F46" s="27" t="s">
        <v>284</v>
      </c>
      <c r="G46" s="93" t="s">
        <v>272</v>
      </c>
    </row>
    <row r="47" spans="1:7" ht="60" x14ac:dyDescent="0.25">
      <c r="A47" s="27" t="s">
        <v>150</v>
      </c>
      <c r="B47" s="95">
        <v>9</v>
      </c>
      <c r="C47" s="27" t="s">
        <v>127</v>
      </c>
      <c r="D47" s="27" t="s">
        <v>80</v>
      </c>
      <c r="E47" s="27" t="s">
        <v>45</v>
      </c>
      <c r="F47" s="27" t="s">
        <v>270</v>
      </c>
      <c r="G47" s="93" t="s">
        <v>273</v>
      </c>
    </row>
    <row r="48" spans="1:7" ht="90.75" customHeight="1" x14ac:dyDescent="0.25">
      <c r="A48" s="27" t="s">
        <v>150</v>
      </c>
      <c r="B48" s="95">
        <v>10</v>
      </c>
      <c r="C48" s="27" t="s">
        <v>128</v>
      </c>
      <c r="D48" s="27" t="s">
        <v>79</v>
      </c>
      <c r="E48" s="27" t="s">
        <v>44</v>
      </c>
      <c r="F48" s="27" t="s">
        <v>271</v>
      </c>
      <c r="G48" s="93" t="s">
        <v>272</v>
      </c>
    </row>
  </sheetData>
  <sheetProtection password="E24E" sheet="1" objects="1" scenarios="1"/>
  <autoFilter ref="A1:F48"/>
  <sortState ref="A2:F40">
    <sortCondition ref="A2:A40"/>
    <sortCondition ref="B2:B40"/>
  </sortState>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9" tint="-0.249977111117893"/>
  </sheetPr>
  <dimension ref="A1:Q25"/>
  <sheetViews>
    <sheetView showGridLines="0" zoomScaleNormal="100" workbookViewId="0">
      <selection activeCell="B21" sqref="B21:N21"/>
    </sheetView>
  </sheetViews>
  <sheetFormatPr defaultColWidth="0" defaultRowHeight="15" customHeight="1" zeroHeight="1" x14ac:dyDescent="0.25"/>
  <cols>
    <col min="1" max="1" width="1.140625" style="50" customWidth="1"/>
    <col min="2" max="10" width="9.140625" style="50" customWidth="1"/>
    <col min="11" max="11" width="7.5703125" style="50" customWidth="1"/>
    <col min="12" max="13" width="9.140625" style="50" customWidth="1"/>
    <col min="14" max="14" width="10.7109375" style="50" customWidth="1"/>
    <col min="15" max="15" width="0.5703125" style="50" customWidth="1"/>
    <col min="16" max="17" width="0" style="50" hidden="1" customWidth="1"/>
    <col min="18" max="16384" width="9.140625" style="50" hidden="1"/>
  </cols>
  <sheetData>
    <row r="1" spans="2:17" ht="6" customHeight="1" x14ac:dyDescent="0.25"/>
    <row r="2" spans="2:17" ht="6" customHeight="1" x14ac:dyDescent="0.25"/>
    <row r="3" spans="2:17" ht="37.5" customHeight="1" x14ac:dyDescent="0.25">
      <c r="B3" s="107" t="s">
        <v>64</v>
      </c>
      <c r="C3" s="107"/>
      <c r="D3" s="107"/>
      <c r="E3" s="107"/>
      <c r="F3" s="107"/>
      <c r="G3" s="107"/>
      <c r="H3" s="107"/>
      <c r="I3" s="107"/>
      <c r="J3" s="107"/>
      <c r="K3" s="107"/>
      <c r="L3" s="108" t="s">
        <v>65</v>
      </c>
      <c r="M3" s="108"/>
      <c r="N3" s="108"/>
    </row>
    <row r="4" spans="2:17" ht="8.25" customHeight="1" x14ac:dyDescent="0.25"/>
    <row r="5" spans="2:17" ht="33.75" customHeight="1" x14ac:dyDescent="0.5">
      <c r="B5" s="55" t="s">
        <v>23</v>
      </c>
    </row>
    <row r="6" spans="2:17" ht="15" customHeight="1" x14ac:dyDescent="0.25">
      <c r="B6" s="109" t="s">
        <v>66</v>
      </c>
      <c r="C6" s="109"/>
      <c r="D6" s="109"/>
      <c r="E6" s="109"/>
      <c r="F6" s="109"/>
      <c r="G6" s="109"/>
      <c r="H6" s="109"/>
      <c r="I6" s="109"/>
      <c r="J6" s="109"/>
      <c r="K6" s="109"/>
      <c r="L6" s="109"/>
      <c r="M6" s="109"/>
      <c r="N6" s="109"/>
    </row>
    <row r="7" spans="2:17" ht="52.5" customHeight="1" x14ac:dyDescent="0.25">
      <c r="B7" s="110" t="s">
        <v>67</v>
      </c>
      <c r="C7" s="110"/>
      <c r="D7" s="110"/>
      <c r="E7" s="110"/>
      <c r="F7" s="110"/>
      <c r="G7" s="110"/>
      <c r="H7" s="110"/>
      <c r="I7" s="110"/>
      <c r="J7" s="110"/>
      <c r="K7" s="110"/>
      <c r="L7" s="110"/>
      <c r="M7" s="110"/>
      <c r="N7" s="110"/>
      <c r="Q7" s="56" t="s">
        <v>65</v>
      </c>
    </row>
    <row r="8" spans="2:17" ht="25.5" x14ac:dyDescent="0.25">
      <c r="B8" s="111" t="s">
        <v>68</v>
      </c>
      <c r="C8" s="111"/>
      <c r="D8" s="111"/>
      <c r="E8" s="111"/>
      <c r="F8" s="111"/>
      <c r="G8" s="111"/>
      <c r="H8" s="111"/>
      <c r="I8" s="111"/>
      <c r="J8" s="111"/>
      <c r="K8" s="111"/>
      <c r="L8" s="111"/>
      <c r="M8" s="111"/>
      <c r="N8" s="111"/>
      <c r="Q8" s="56" t="s">
        <v>69</v>
      </c>
    </row>
    <row r="9" spans="2:17" x14ac:dyDescent="0.25">
      <c r="Q9" s="56">
        <v>2007</v>
      </c>
    </row>
    <row r="10" spans="2:17" x14ac:dyDescent="0.25"/>
    <row r="11" spans="2:17" x14ac:dyDescent="0.25"/>
    <row r="12" spans="2:17" x14ac:dyDescent="0.25"/>
    <row r="13" spans="2:17" x14ac:dyDescent="0.25"/>
    <row r="14" spans="2:17" x14ac:dyDescent="0.25"/>
    <row r="15" spans="2:17" x14ac:dyDescent="0.25"/>
    <row r="16" spans="2:17" x14ac:dyDescent="0.25"/>
    <row r="17" spans="2:14" ht="18.75" x14ac:dyDescent="0.3">
      <c r="B17" s="57" t="s">
        <v>70</v>
      </c>
    </row>
    <row r="18" spans="2:14" ht="45" customHeight="1" x14ac:dyDescent="0.25">
      <c r="B18" s="104"/>
      <c r="C18" s="105"/>
      <c r="D18" s="105"/>
      <c r="E18" s="105"/>
      <c r="F18" s="105"/>
      <c r="G18" s="105"/>
      <c r="H18" s="105"/>
      <c r="I18" s="105"/>
      <c r="J18" s="105"/>
      <c r="K18" s="105"/>
      <c r="L18" s="105"/>
      <c r="M18" s="105"/>
      <c r="N18" s="106"/>
    </row>
    <row r="19" spans="2:14" ht="3" customHeight="1" x14ac:dyDescent="0.25"/>
    <row r="20" spans="2:14" ht="18.75" x14ac:dyDescent="0.3">
      <c r="B20" s="57" t="s">
        <v>71</v>
      </c>
    </row>
    <row r="21" spans="2:14" ht="39.75" customHeight="1" x14ac:dyDescent="0.25">
      <c r="B21" s="104"/>
      <c r="C21" s="105"/>
      <c r="D21" s="105"/>
      <c r="E21" s="105"/>
      <c r="F21" s="105"/>
      <c r="G21" s="105"/>
      <c r="H21" s="105"/>
      <c r="I21" s="105"/>
      <c r="J21" s="105"/>
      <c r="K21" s="105"/>
      <c r="L21" s="105"/>
      <c r="M21" s="105"/>
      <c r="N21" s="106"/>
    </row>
    <row r="22" spans="2:14" ht="3" customHeight="1" x14ac:dyDescent="0.25"/>
    <row r="23" spans="2:14" ht="15" hidden="1" customHeight="1" x14ac:dyDescent="0.25"/>
    <row r="24" spans="2:14" ht="15" hidden="1" customHeight="1" x14ac:dyDescent="0.25"/>
    <row r="25" spans="2:14" ht="15" hidden="1" customHeight="1" x14ac:dyDescent="0.25"/>
  </sheetData>
  <sheetProtection password="CADD" sheet="1" objects="1" scenarios="1" selectLockedCells="1"/>
  <mergeCells count="7">
    <mergeCell ref="B21:N21"/>
    <mergeCell ref="B3:K3"/>
    <mergeCell ref="L3:N3"/>
    <mergeCell ref="B6:N6"/>
    <mergeCell ref="B7:N7"/>
    <mergeCell ref="B8:N8"/>
    <mergeCell ref="B18:N18"/>
  </mergeCells>
  <dataValidations count="1">
    <dataValidation type="list" allowBlank="1" showInputMessage="1" showErrorMessage="1" sqref="L3">
      <formula1>"Escolha a versão do artefato,2010/2013,2007"</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tabColor rgb="FF7030A0"/>
  </sheetPr>
  <dimension ref="A1:R39"/>
  <sheetViews>
    <sheetView showGridLines="0" tabSelected="1" topLeftCell="A4" zoomScaleNormal="100" workbookViewId="0">
      <selection activeCell="N10" sqref="N10"/>
    </sheetView>
  </sheetViews>
  <sheetFormatPr defaultColWidth="0" defaultRowHeight="15" zeroHeight="1" x14ac:dyDescent="0.25"/>
  <cols>
    <col min="1" max="1" width="0.42578125" style="50" customWidth="1"/>
    <col min="2" max="2" width="1.7109375" customWidth="1"/>
    <col min="3" max="3" width="6.42578125" customWidth="1"/>
    <col min="4" max="4" width="9.85546875" customWidth="1"/>
    <col min="5" max="5" width="10" customWidth="1"/>
    <col min="6" max="15" width="9.140625" customWidth="1"/>
    <col min="16" max="16" width="13.7109375" customWidth="1"/>
    <col min="17" max="17" width="13.140625" customWidth="1"/>
    <col min="18" max="18" width="0.5703125" customWidth="1"/>
    <col min="19" max="16384" width="9.140625" hidden="1"/>
  </cols>
  <sheetData>
    <row r="1" spans="1:18" s="50" customFormat="1" ht="3" customHeight="1" x14ac:dyDescent="0.25">
      <c r="A1" s="64"/>
      <c r="B1" s="65"/>
      <c r="C1" s="65"/>
      <c r="D1" s="65"/>
      <c r="E1" s="65"/>
      <c r="F1" s="65"/>
      <c r="G1" s="65"/>
      <c r="H1" s="65"/>
      <c r="I1" s="65"/>
      <c r="J1" s="65"/>
      <c r="K1" s="65"/>
      <c r="L1" s="65"/>
      <c r="M1" s="65"/>
      <c r="N1" s="65"/>
      <c r="O1" s="65"/>
      <c r="P1" s="65"/>
      <c r="Q1" s="65"/>
      <c r="R1" s="66"/>
    </row>
    <row r="2" spans="1:18" x14ac:dyDescent="0.25">
      <c r="A2" s="67"/>
      <c r="B2" s="58"/>
      <c r="C2" s="5"/>
      <c r="D2" s="5"/>
      <c r="E2" s="5"/>
      <c r="F2" s="5"/>
      <c r="G2" s="5"/>
      <c r="H2" s="5"/>
      <c r="I2" s="5"/>
      <c r="J2" s="5"/>
      <c r="K2" s="5"/>
      <c r="L2" s="5"/>
      <c r="M2" s="5"/>
      <c r="N2" s="5"/>
      <c r="O2" s="5"/>
      <c r="P2" s="5"/>
      <c r="Q2" s="5"/>
      <c r="R2" s="68"/>
    </row>
    <row r="3" spans="1:18" ht="18.75" x14ac:dyDescent="0.3">
      <c r="A3" s="67"/>
      <c r="B3" s="5"/>
      <c r="C3" s="5"/>
      <c r="D3" s="5"/>
      <c r="E3" s="5"/>
      <c r="F3" s="1" t="s">
        <v>20</v>
      </c>
      <c r="G3" s="5"/>
      <c r="H3" s="5"/>
      <c r="I3" s="5"/>
      <c r="J3" s="5"/>
      <c r="K3" s="5"/>
      <c r="L3" s="5"/>
      <c r="M3" s="5"/>
      <c r="N3" s="5"/>
      <c r="O3" s="5"/>
      <c r="P3" s="5"/>
      <c r="Q3" s="5"/>
      <c r="R3" s="68"/>
    </row>
    <row r="4" spans="1:18" x14ac:dyDescent="0.25">
      <c r="A4" s="67"/>
      <c r="B4" s="5"/>
      <c r="C4" s="5"/>
      <c r="D4" s="5"/>
      <c r="E4" s="5"/>
      <c r="F4" s="5"/>
      <c r="G4" s="5"/>
      <c r="H4" s="5"/>
      <c r="I4" s="5"/>
      <c r="J4" s="5"/>
      <c r="K4" s="5"/>
      <c r="L4" s="5"/>
      <c r="M4" s="5"/>
      <c r="N4" s="5"/>
      <c r="O4" s="5"/>
      <c r="P4" s="5"/>
      <c r="Q4" s="5"/>
      <c r="R4" s="68"/>
    </row>
    <row r="5" spans="1:18" x14ac:dyDescent="0.25">
      <c r="A5" s="67"/>
      <c r="B5" s="5"/>
      <c r="C5" s="5"/>
      <c r="D5" s="5"/>
      <c r="E5" s="5"/>
      <c r="F5" s="5"/>
      <c r="G5" s="5"/>
      <c r="H5" s="5"/>
      <c r="I5" s="5"/>
      <c r="J5" s="5"/>
      <c r="K5" s="5"/>
      <c r="L5" s="5"/>
      <c r="M5" s="5"/>
      <c r="N5" s="5"/>
      <c r="O5" s="5"/>
      <c r="P5" s="5"/>
      <c r="Q5" s="5"/>
      <c r="R5" s="68"/>
    </row>
    <row r="6" spans="1:18" x14ac:dyDescent="0.25">
      <c r="A6" s="67"/>
      <c r="B6" s="5"/>
      <c r="C6" s="5"/>
      <c r="D6" s="5"/>
      <c r="E6" s="5"/>
      <c r="F6" s="5"/>
      <c r="G6" s="5"/>
      <c r="H6" s="5"/>
      <c r="I6" s="5"/>
      <c r="J6" s="5"/>
      <c r="K6" s="5"/>
      <c r="L6" s="5"/>
      <c r="M6" s="5"/>
      <c r="N6" s="5"/>
      <c r="O6" s="5"/>
      <c r="P6" s="5"/>
      <c r="Q6" s="5"/>
      <c r="R6" s="68"/>
    </row>
    <row r="7" spans="1:18" x14ac:dyDescent="0.25">
      <c r="A7" s="67"/>
      <c r="B7" s="5"/>
      <c r="C7" s="5"/>
      <c r="D7" s="5"/>
      <c r="E7" s="5"/>
      <c r="F7" s="5"/>
      <c r="G7" s="5"/>
      <c r="H7" s="5"/>
      <c r="I7" s="5"/>
      <c r="J7" s="5"/>
      <c r="K7" s="5"/>
      <c r="L7" s="5"/>
      <c r="M7" s="5"/>
      <c r="N7" s="5"/>
      <c r="O7" s="5"/>
      <c r="P7" s="5"/>
      <c r="Q7" s="5"/>
      <c r="R7" s="68"/>
    </row>
    <row r="8" spans="1:18" x14ac:dyDescent="0.25">
      <c r="A8" s="67"/>
      <c r="B8" s="5"/>
      <c r="C8" s="5"/>
      <c r="D8" s="5"/>
      <c r="E8" s="5"/>
      <c r="F8" s="5"/>
      <c r="G8" s="5"/>
      <c r="H8" s="5"/>
      <c r="I8" s="5"/>
      <c r="J8" s="5"/>
      <c r="K8" s="5"/>
      <c r="L8" s="5"/>
      <c r="M8" s="5"/>
      <c r="N8" s="5"/>
      <c r="O8" s="5"/>
      <c r="P8" s="5"/>
      <c r="Q8" s="5"/>
      <c r="R8" s="68"/>
    </row>
    <row r="9" spans="1:18" x14ac:dyDescent="0.25">
      <c r="A9" s="67"/>
      <c r="B9" s="5"/>
      <c r="C9" s="5"/>
      <c r="D9" s="5"/>
      <c r="E9" s="5"/>
      <c r="F9" s="5"/>
      <c r="G9" s="5"/>
      <c r="H9" s="5"/>
      <c r="I9" s="5"/>
      <c r="J9" s="5"/>
      <c r="K9" s="5"/>
      <c r="L9" s="5"/>
      <c r="M9" s="5"/>
      <c r="N9" s="5"/>
      <c r="O9" s="5"/>
      <c r="P9" s="5"/>
      <c r="Q9" s="5"/>
      <c r="R9" s="68"/>
    </row>
    <row r="10" spans="1:18" x14ac:dyDescent="0.25">
      <c r="A10" s="67"/>
      <c r="B10" s="5"/>
      <c r="C10" s="5"/>
      <c r="D10" s="5"/>
      <c r="E10" s="5"/>
      <c r="F10" s="5"/>
      <c r="G10" s="5"/>
      <c r="H10" s="5"/>
      <c r="I10" s="5"/>
      <c r="J10" s="5"/>
      <c r="K10" s="5"/>
      <c r="L10" s="5"/>
      <c r="M10" s="5"/>
      <c r="N10" s="5"/>
      <c r="O10" s="5"/>
      <c r="P10" s="5"/>
      <c r="Q10" s="5"/>
      <c r="R10" s="68"/>
    </row>
    <row r="11" spans="1:18" x14ac:dyDescent="0.25">
      <c r="A11" s="67"/>
      <c r="B11" s="5"/>
      <c r="C11" s="5"/>
      <c r="D11" s="5"/>
      <c r="E11" s="5"/>
      <c r="F11" s="5"/>
      <c r="G11" s="5"/>
      <c r="H11" s="5"/>
      <c r="I11" s="5"/>
      <c r="J11" s="5"/>
      <c r="K11" s="5"/>
      <c r="L11" s="5"/>
      <c r="M11" s="5"/>
      <c r="N11" s="5"/>
      <c r="O11" s="5"/>
      <c r="P11" s="5"/>
      <c r="Q11" s="5"/>
      <c r="R11" s="68"/>
    </row>
    <row r="12" spans="1:18" ht="21.75" customHeight="1" x14ac:dyDescent="0.25">
      <c r="A12" s="67"/>
      <c r="B12" s="5"/>
      <c r="C12" s="112" t="s">
        <v>276</v>
      </c>
      <c r="D12" s="112"/>
      <c r="E12" s="112"/>
      <c r="F12" s="112"/>
      <c r="G12" s="112"/>
      <c r="H12" s="112"/>
      <c r="I12" s="112"/>
      <c r="J12" s="10"/>
      <c r="K12" s="116"/>
      <c r="L12" s="116"/>
      <c r="M12" s="10"/>
      <c r="N12" s="10"/>
      <c r="O12" s="10"/>
      <c r="P12" s="59"/>
      <c r="Q12" s="5"/>
      <c r="R12" s="68"/>
    </row>
    <row r="13" spans="1:18" ht="21.75" customHeight="1" x14ac:dyDescent="0.25">
      <c r="A13" s="67"/>
      <c r="B13" s="5"/>
      <c r="C13" s="113" t="s">
        <v>61</v>
      </c>
      <c r="D13" s="113"/>
      <c r="E13" s="114" t="s">
        <v>277</v>
      </c>
      <c r="F13" s="114"/>
      <c r="G13" s="114"/>
      <c r="H13" s="114"/>
      <c r="I13" s="114"/>
      <c r="J13" s="114"/>
      <c r="K13" s="114"/>
      <c r="L13" s="114"/>
      <c r="M13" s="114"/>
      <c r="N13" s="114"/>
      <c r="O13" s="114"/>
      <c r="P13" s="114"/>
      <c r="Q13" s="114"/>
      <c r="R13" s="68"/>
    </row>
    <row r="14" spans="1:18" ht="21.75" customHeight="1" x14ac:dyDescent="0.25">
      <c r="A14" s="67"/>
      <c r="B14" s="5"/>
      <c r="C14" s="60"/>
      <c r="D14" s="61"/>
      <c r="E14" s="114"/>
      <c r="F14" s="114"/>
      <c r="G14" s="114"/>
      <c r="H14" s="114"/>
      <c r="I14" s="114"/>
      <c r="J14" s="114"/>
      <c r="K14" s="114"/>
      <c r="L14" s="114"/>
      <c r="M14" s="114"/>
      <c r="N14" s="114"/>
      <c r="O14" s="114"/>
      <c r="P14" s="114"/>
      <c r="Q14" s="114"/>
      <c r="R14" s="68"/>
    </row>
    <row r="15" spans="1:18" ht="15" customHeight="1" x14ac:dyDescent="0.25">
      <c r="A15" s="67"/>
      <c r="B15" s="5"/>
      <c r="C15" s="113" t="s">
        <v>74</v>
      </c>
      <c r="D15" s="113"/>
      <c r="E15" s="114" t="s">
        <v>75</v>
      </c>
      <c r="F15" s="114"/>
      <c r="G15" s="114"/>
      <c r="H15" s="114"/>
      <c r="I15" s="114"/>
      <c r="J15" s="114"/>
      <c r="K15" s="114"/>
      <c r="L15" s="114"/>
      <c r="M15" s="114"/>
      <c r="N15" s="114"/>
      <c r="O15" s="114"/>
      <c r="P15" s="114"/>
      <c r="Q15" s="114"/>
      <c r="R15" s="68"/>
    </row>
    <row r="16" spans="1:18" s="50" customFormat="1" ht="35.25" customHeight="1" x14ac:dyDescent="0.25">
      <c r="A16" s="67"/>
      <c r="B16" s="5"/>
      <c r="C16" s="112" t="s">
        <v>76</v>
      </c>
      <c r="D16" s="112"/>
      <c r="E16" s="117" t="s">
        <v>249</v>
      </c>
      <c r="F16" s="117"/>
      <c r="G16" s="117"/>
      <c r="H16" s="117"/>
      <c r="I16" s="117"/>
      <c r="J16" s="117"/>
      <c r="K16" s="117"/>
      <c r="L16" s="117"/>
      <c r="M16" s="117"/>
      <c r="N16" s="117"/>
      <c r="O16" s="117"/>
      <c r="P16" s="117"/>
      <c r="Q16" s="117"/>
      <c r="R16" s="68"/>
    </row>
    <row r="17" spans="1:18" s="50" customFormat="1" ht="31.5" customHeight="1" x14ac:dyDescent="0.25">
      <c r="A17" s="67"/>
      <c r="B17" s="5"/>
      <c r="C17" s="5"/>
      <c r="D17" s="5"/>
      <c r="E17" s="5"/>
      <c r="F17" s="118" t="s">
        <v>248</v>
      </c>
      <c r="G17" s="118"/>
      <c r="H17" s="118"/>
      <c r="I17" s="118"/>
      <c r="J17" s="118"/>
      <c r="K17" s="118"/>
      <c r="L17" s="118"/>
      <c r="M17" s="118"/>
      <c r="N17" s="118"/>
      <c r="O17" s="118"/>
      <c r="P17" s="118"/>
      <c r="Q17" s="118"/>
      <c r="R17" s="68"/>
    </row>
    <row r="18" spans="1:18" x14ac:dyDescent="0.25">
      <c r="A18" s="67"/>
      <c r="B18" s="5"/>
      <c r="C18" s="62"/>
      <c r="D18" s="5"/>
      <c r="E18" s="5"/>
      <c r="F18" s="5"/>
      <c r="G18" s="5"/>
      <c r="H18" s="5"/>
      <c r="I18" s="5"/>
      <c r="J18" s="5"/>
      <c r="K18" s="5"/>
      <c r="L18" s="5"/>
      <c r="M18" s="5"/>
      <c r="N18" s="5"/>
      <c r="O18" s="5"/>
      <c r="P18" s="5"/>
      <c r="Q18" s="5"/>
      <c r="R18" s="68"/>
    </row>
    <row r="19" spans="1:18" ht="30.75" customHeight="1" x14ac:dyDescent="0.25">
      <c r="A19" s="67"/>
      <c r="B19" s="5"/>
      <c r="C19" s="83"/>
      <c r="D19" s="119" t="s">
        <v>278</v>
      </c>
      <c r="E19" s="119"/>
      <c r="F19" s="119"/>
      <c r="G19" s="119"/>
      <c r="H19" s="119"/>
      <c r="I19" s="119"/>
      <c r="J19" s="119"/>
      <c r="K19" s="119"/>
      <c r="L19" s="119"/>
      <c r="M19" s="119"/>
      <c r="N19" s="119"/>
      <c r="O19" s="119"/>
      <c r="P19" s="119"/>
      <c r="Q19" s="119"/>
      <c r="R19" s="68"/>
    </row>
    <row r="20" spans="1:18" ht="27.75" customHeight="1" x14ac:dyDescent="0.25">
      <c r="A20" s="67"/>
      <c r="B20" s="5"/>
      <c r="C20" s="5"/>
      <c r="D20" s="63" t="s">
        <v>72</v>
      </c>
      <c r="E20" s="5"/>
      <c r="F20" s="5"/>
      <c r="G20" s="5"/>
      <c r="H20" s="5"/>
      <c r="I20" s="5"/>
      <c r="J20" s="5"/>
      <c r="K20" s="5"/>
      <c r="L20" s="5"/>
      <c r="M20" s="5"/>
      <c r="N20" s="5"/>
      <c r="O20" s="5"/>
      <c r="P20" s="5"/>
      <c r="Q20" s="5"/>
      <c r="R20" s="68"/>
    </row>
    <row r="21" spans="1:18" ht="24" customHeight="1" x14ac:dyDescent="0.25">
      <c r="A21" s="67"/>
      <c r="B21" s="5"/>
      <c r="C21" s="5"/>
      <c r="D21" s="63" t="s">
        <v>73</v>
      </c>
      <c r="E21" s="5"/>
      <c r="F21" s="5"/>
      <c r="G21" s="5"/>
      <c r="H21" s="5"/>
      <c r="I21" s="5"/>
      <c r="J21" s="5"/>
      <c r="K21" s="5"/>
      <c r="L21" s="5"/>
      <c r="M21" s="5"/>
      <c r="N21" s="5"/>
      <c r="O21" s="5"/>
      <c r="P21" s="5"/>
      <c r="Q21" s="5"/>
      <c r="R21" s="68"/>
    </row>
    <row r="22" spans="1:18" ht="8.25" customHeight="1" thickBot="1" x14ac:dyDescent="0.3">
      <c r="A22" s="69"/>
      <c r="B22" s="70"/>
      <c r="C22" s="70"/>
      <c r="D22" s="115"/>
      <c r="E22" s="115"/>
      <c r="F22" s="115"/>
      <c r="G22" s="115"/>
      <c r="H22" s="115"/>
      <c r="I22" s="115"/>
      <c r="J22" s="115"/>
      <c r="K22" s="115"/>
      <c r="L22" s="115"/>
      <c r="M22" s="115"/>
      <c r="N22" s="115"/>
      <c r="O22" s="115"/>
      <c r="P22" s="115"/>
      <c r="Q22" s="115"/>
      <c r="R22" s="71"/>
    </row>
    <row r="23" spans="1:18" ht="3" customHeight="1" x14ac:dyDescent="0.25">
      <c r="D23" s="50"/>
    </row>
    <row r="24" spans="1:18" hidden="1" x14ac:dyDescent="0.25"/>
    <row r="25" spans="1:18" hidden="1" x14ac:dyDescent="0.25"/>
    <row r="26" spans="1:18" hidden="1" x14ac:dyDescent="0.25"/>
    <row r="27" spans="1:18" hidden="1" x14ac:dyDescent="0.25"/>
    <row r="28" spans="1:18" hidden="1" x14ac:dyDescent="0.25"/>
    <row r="29" spans="1:18" hidden="1" x14ac:dyDescent="0.25"/>
    <row r="30" spans="1:18" hidden="1" x14ac:dyDescent="0.25"/>
    <row r="31" spans="1:18" hidden="1" x14ac:dyDescent="0.25"/>
    <row r="32" spans="1:18" hidden="1" x14ac:dyDescent="0.25"/>
    <row r="33" hidden="1" x14ac:dyDescent="0.25"/>
    <row r="34" hidden="1" x14ac:dyDescent="0.25"/>
    <row r="35" hidden="1" x14ac:dyDescent="0.25"/>
    <row r="36" hidden="1" x14ac:dyDescent="0.25"/>
    <row r="37" hidden="1" x14ac:dyDescent="0.25"/>
    <row r="38" hidden="1" x14ac:dyDescent="0.25"/>
    <row r="39" hidden="1" x14ac:dyDescent="0.25"/>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11">
    <mergeCell ref="C16:D16"/>
    <mergeCell ref="C13:D13"/>
    <mergeCell ref="E13:Q14"/>
    <mergeCell ref="D22:Q22"/>
    <mergeCell ref="C12:I12"/>
    <mergeCell ref="C15:D15"/>
    <mergeCell ref="E15:Q15"/>
    <mergeCell ref="K12:L12"/>
    <mergeCell ref="E16:Q16"/>
    <mergeCell ref="F17:Q17"/>
    <mergeCell ref="D19:Q19"/>
  </mergeCells>
  <pageMargins left="0.511811024" right="0.511811024" top="0.78740157499999996" bottom="0.78740157499999996" header="0.31496062000000002" footer="0.31496062000000002"/>
  <pageSetup paperSize="9" orientation="portrait" r:id="rId2"/>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A1:WVP29"/>
  <sheetViews>
    <sheetView showGridLines="0" topLeftCell="A11" workbookViewId="0">
      <selection activeCell="H18" sqref="H18"/>
    </sheetView>
  </sheetViews>
  <sheetFormatPr defaultColWidth="0" defaultRowHeight="15" zeroHeight="1" x14ac:dyDescent="0.25"/>
  <cols>
    <col min="1" max="1" width="1.140625" style="29" customWidth="1"/>
    <col min="2" max="2" width="14.5703125" style="29" customWidth="1"/>
    <col min="3" max="3" width="16.28515625" style="29" customWidth="1"/>
    <col min="4" max="4" width="25.28515625" style="29" customWidth="1"/>
    <col min="5" max="5" width="21.7109375" style="29" customWidth="1"/>
    <col min="6" max="6" width="17.7109375" style="29" customWidth="1"/>
    <col min="7" max="7" width="15.85546875" style="29" customWidth="1"/>
    <col min="8" max="8" width="45" style="30" customWidth="1"/>
    <col min="9" max="9" width="1.5703125" style="29" customWidth="1"/>
    <col min="10" max="10" width="4.5703125" style="29" hidden="1"/>
    <col min="11" max="257" width="9.140625" style="29" hidden="1"/>
    <col min="258" max="258" width="14.5703125" style="29" hidden="1"/>
    <col min="259" max="259" width="16.28515625" style="29" hidden="1"/>
    <col min="260" max="260" width="40.42578125" style="29" hidden="1"/>
    <col min="261" max="261" width="21.7109375" style="29" hidden="1"/>
    <col min="262" max="262" width="17.7109375" style="29" hidden="1"/>
    <col min="263" max="263" width="15.85546875" style="29" hidden="1"/>
    <col min="264" max="264" width="45" style="29" hidden="1"/>
    <col min="265" max="513" width="9.140625" style="29" hidden="1"/>
    <col min="514" max="514" width="14.5703125" style="29" hidden="1"/>
    <col min="515" max="515" width="16.28515625" style="29" hidden="1"/>
    <col min="516" max="516" width="40.42578125" style="29" hidden="1"/>
    <col min="517" max="517" width="21.7109375" style="29" hidden="1"/>
    <col min="518" max="518" width="17.7109375" style="29" hidden="1"/>
    <col min="519" max="519" width="15.85546875" style="29" hidden="1"/>
    <col min="520" max="520" width="45" style="29" hidden="1"/>
    <col min="521" max="769" width="9.140625" style="29" hidden="1"/>
    <col min="770" max="770" width="14.5703125" style="29" hidden="1"/>
    <col min="771" max="771" width="16.28515625" style="29" hidden="1"/>
    <col min="772" max="772" width="40.42578125" style="29" hidden="1"/>
    <col min="773" max="773" width="21.7109375" style="29" hidden="1"/>
    <col min="774" max="774" width="17.7109375" style="29" hidden="1"/>
    <col min="775" max="775" width="15.85546875" style="29" hidden="1"/>
    <col min="776" max="776" width="45" style="29" hidden="1"/>
    <col min="777" max="1025" width="9.140625" style="29" hidden="1"/>
    <col min="1026" max="1026" width="14.5703125" style="29" hidden="1"/>
    <col min="1027" max="1027" width="16.28515625" style="29" hidden="1"/>
    <col min="1028" max="1028" width="40.42578125" style="29" hidden="1"/>
    <col min="1029" max="1029" width="21.7109375" style="29" hidden="1"/>
    <col min="1030" max="1030" width="17.7109375" style="29" hidden="1"/>
    <col min="1031" max="1031" width="15.85546875" style="29" hidden="1"/>
    <col min="1032" max="1032" width="45" style="29" hidden="1"/>
    <col min="1033" max="1281" width="9.140625" style="29" hidden="1"/>
    <col min="1282" max="1282" width="14.5703125" style="29" hidden="1"/>
    <col min="1283" max="1283" width="16.28515625" style="29" hidden="1"/>
    <col min="1284" max="1284" width="40.42578125" style="29" hidden="1"/>
    <col min="1285" max="1285" width="21.7109375" style="29" hidden="1"/>
    <col min="1286" max="1286" width="17.7109375" style="29" hidden="1"/>
    <col min="1287" max="1287" width="15.85546875" style="29" hidden="1"/>
    <col min="1288" max="1288" width="45" style="29" hidden="1"/>
    <col min="1289" max="1537" width="9.140625" style="29" hidden="1"/>
    <col min="1538" max="1538" width="14.5703125" style="29" hidden="1"/>
    <col min="1539" max="1539" width="16.28515625" style="29" hidden="1"/>
    <col min="1540" max="1540" width="40.42578125" style="29" hidden="1"/>
    <col min="1541" max="1541" width="21.7109375" style="29" hidden="1"/>
    <col min="1542" max="1542" width="17.7109375" style="29" hidden="1"/>
    <col min="1543" max="1543" width="15.85546875" style="29" hidden="1"/>
    <col min="1544" max="1544" width="45" style="29" hidden="1"/>
    <col min="1545" max="1793" width="9.140625" style="29" hidden="1"/>
    <col min="1794" max="1794" width="14.5703125" style="29" hidden="1"/>
    <col min="1795" max="1795" width="16.28515625" style="29" hidden="1"/>
    <col min="1796" max="1796" width="40.42578125" style="29" hidden="1"/>
    <col min="1797" max="1797" width="21.7109375" style="29" hidden="1"/>
    <col min="1798" max="1798" width="17.7109375" style="29" hidden="1"/>
    <col min="1799" max="1799" width="15.85546875" style="29" hidden="1"/>
    <col min="1800" max="1800" width="45" style="29" hidden="1"/>
    <col min="1801" max="2049" width="9.140625" style="29" hidden="1"/>
    <col min="2050" max="2050" width="14.5703125" style="29" hidden="1"/>
    <col min="2051" max="2051" width="16.28515625" style="29" hidden="1"/>
    <col min="2052" max="2052" width="40.42578125" style="29" hidden="1"/>
    <col min="2053" max="2053" width="21.7109375" style="29" hidden="1"/>
    <col min="2054" max="2054" width="17.7109375" style="29" hidden="1"/>
    <col min="2055" max="2055" width="15.85546875" style="29" hidden="1"/>
    <col min="2056" max="2056" width="45" style="29" hidden="1"/>
    <col min="2057" max="2305" width="9.140625" style="29" hidden="1"/>
    <col min="2306" max="2306" width="14.5703125" style="29" hidden="1"/>
    <col min="2307" max="2307" width="16.28515625" style="29" hidden="1"/>
    <col min="2308" max="2308" width="40.42578125" style="29" hidden="1"/>
    <col min="2309" max="2309" width="21.7109375" style="29" hidden="1"/>
    <col min="2310" max="2310" width="17.7109375" style="29" hidden="1"/>
    <col min="2311" max="2311" width="15.85546875" style="29" hidden="1"/>
    <col min="2312" max="2312" width="45" style="29" hidden="1"/>
    <col min="2313" max="2561" width="9.140625" style="29" hidden="1"/>
    <col min="2562" max="2562" width="14.5703125" style="29" hidden="1"/>
    <col min="2563" max="2563" width="16.28515625" style="29" hidden="1"/>
    <col min="2564" max="2564" width="40.42578125" style="29" hidden="1"/>
    <col min="2565" max="2565" width="21.7109375" style="29" hidden="1"/>
    <col min="2566" max="2566" width="17.7109375" style="29" hidden="1"/>
    <col min="2567" max="2567" width="15.85546875" style="29" hidden="1"/>
    <col min="2568" max="2568" width="45" style="29" hidden="1"/>
    <col min="2569" max="2817" width="9.140625" style="29" hidden="1"/>
    <col min="2818" max="2818" width="14.5703125" style="29" hidden="1"/>
    <col min="2819" max="2819" width="16.28515625" style="29" hidden="1"/>
    <col min="2820" max="2820" width="40.42578125" style="29" hidden="1"/>
    <col min="2821" max="2821" width="21.7109375" style="29" hidden="1"/>
    <col min="2822" max="2822" width="17.7109375" style="29" hidden="1"/>
    <col min="2823" max="2823" width="15.85546875" style="29" hidden="1"/>
    <col min="2824" max="2824" width="45" style="29" hidden="1"/>
    <col min="2825" max="3073" width="9.140625" style="29" hidden="1"/>
    <col min="3074" max="3074" width="14.5703125" style="29" hidden="1"/>
    <col min="3075" max="3075" width="16.28515625" style="29" hidden="1"/>
    <col min="3076" max="3076" width="40.42578125" style="29" hidden="1"/>
    <col min="3077" max="3077" width="21.7109375" style="29" hidden="1"/>
    <col min="3078" max="3078" width="17.7109375" style="29" hidden="1"/>
    <col min="3079" max="3079" width="15.85546875" style="29" hidden="1"/>
    <col min="3080" max="3080" width="45" style="29" hidden="1"/>
    <col min="3081" max="3329" width="9.140625" style="29" hidden="1"/>
    <col min="3330" max="3330" width="14.5703125" style="29" hidden="1"/>
    <col min="3331" max="3331" width="16.28515625" style="29" hidden="1"/>
    <col min="3332" max="3332" width="40.42578125" style="29" hidden="1"/>
    <col min="3333" max="3333" width="21.7109375" style="29" hidden="1"/>
    <col min="3334" max="3334" width="17.7109375" style="29" hidden="1"/>
    <col min="3335" max="3335" width="15.85546875" style="29" hidden="1"/>
    <col min="3336" max="3336" width="45" style="29" hidden="1"/>
    <col min="3337" max="3585" width="9.140625" style="29" hidden="1"/>
    <col min="3586" max="3586" width="14.5703125" style="29" hidden="1"/>
    <col min="3587" max="3587" width="16.28515625" style="29" hidden="1"/>
    <col min="3588" max="3588" width="40.42578125" style="29" hidden="1"/>
    <col min="3589" max="3589" width="21.7109375" style="29" hidden="1"/>
    <col min="3590" max="3590" width="17.7109375" style="29" hidden="1"/>
    <col min="3591" max="3591" width="15.85546875" style="29" hidden="1"/>
    <col min="3592" max="3592" width="45" style="29" hidden="1"/>
    <col min="3593" max="3841" width="9.140625" style="29" hidden="1"/>
    <col min="3842" max="3842" width="14.5703125" style="29" hidden="1"/>
    <col min="3843" max="3843" width="16.28515625" style="29" hidden="1"/>
    <col min="3844" max="3844" width="40.42578125" style="29" hidden="1"/>
    <col min="3845" max="3845" width="21.7109375" style="29" hidden="1"/>
    <col min="3846" max="3846" width="17.7109375" style="29" hidden="1"/>
    <col min="3847" max="3847" width="15.85546875" style="29" hidden="1"/>
    <col min="3848" max="3848" width="45" style="29" hidden="1"/>
    <col min="3849" max="4097" width="9.140625" style="29" hidden="1"/>
    <col min="4098" max="4098" width="14.5703125" style="29" hidden="1"/>
    <col min="4099" max="4099" width="16.28515625" style="29" hidden="1"/>
    <col min="4100" max="4100" width="40.42578125" style="29" hidden="1"/>
    <col min="4101" max="4101" width="21.7109375" style="29" hidden="1"/>
    <col min="4102" max="4102" width="17.7109375" style="29" hidden="1"/>
    <col min="4103" max="4103" width="15.85546875" style="29" hidden="1"/>
    <col min="4104" max="4104" width="45" style="29" hidden="1"/>
    <col min="4105" max="4353" width="9.140625" style="29" hidden="1"/>
    <col min="4354" max="4354" width="14.5703125" style="29" hidden="1"/>
    <col min="4355" max="4355" width="16.28515625" style="29" hidden="1"/>
    <col min="4356" max="4356" width="40.42578125" style="29" hidden="1"/>
    <col min="4357" max="4357" width="21.7109375" style="29" hidden="1"/>
    <col min="4358" max="4358" width="17.7109375" style="29" hidden="1"/>
    <col min="4359" max="4359" width="15.85546875" style="29" hidden="1"/>
    <col min="4360" max="4360" width="45" style="29" hidden="1"/>
    <col min="4361" max="4609" width="9.140625" style="29" hidden="1"/>
    <col min="4610" max="4610" width="14.5703125" style="29" hidden="1"/>
    <col min="4611" max="4611" width="16.28515625" style="29" hidden="1"/>
    <col min="4612" max="4612" width="40.42578125" style="29" hidden="1"/>
    <col min="4613" max="4613" width="21.7109375" style="29" hidden="1"/>
    <col min="4614" max="4614" width="17.7109375" style="29" hidden="1"/>
    <col min="4615" max="4615" width="15.85546875" style="29" hidden="1"/>
    <col min="4616" max="4616" width="45" style="29" hidden="1"/>
    <col min="4617" max="4865" width="9.140625" style="29" hidden="1"/>
    <col min="4866" max="4866" width="14.5703125" style="29" hidden="1"/>
    <col min="4867" max="4867" width="16.28515625" style="29" hidden="1"/>
    <col min="4868" max="4868" width="40.42578125" style="29" hidden="1"/>
    <col min="4869" max="4869" width="21.7109375" style="29" hidden="1"/>
    <col min="4870" max="4870" width="17.7109375" style="29" hidden="1"/>
    <col min="4871" max="4871" width="15.85546875" style="29" hidden="1"/>
    <col min="4872" max="4872" width="45" style="29" hidden="1"/>
    <col min="4873" max="5121" width="9.140625" style="29" hidden="1"/>
    <col min="5122" max="5122" width="14.5703125" style="29" hidden="1"/>
    <col min="5123" max="5123" width="16.28515625" style="29" hidden="1"/>
    <col min="5124" max="5124" width="40.42578125" style="29" hidden="1"/>
    <col min="5125" max="5125" width="21.7109375" style="29" hidden="1"/>
    <col min="5126" max="5126" width="17.7109375" style="29" hidden="1"/>
    <col min="5127" max="5127" width="15.85546875" style="29" hidden="1"/>
    <col min="5128" max="5128" width="45" style="29" hidden="1"/>
    <col min="5129" max="5377" width="9.140625" style="29" hidden="1"/>
    <col min="5378" max="5378" width="14.5703125" style="29" hidden="1"/>
    <col min="5379" max="5379" width="16.28515625" style="29" hidden="1"/>
    <col min="5380" max="5380" width="40.42578125" style="29" hidden="1"/>
    <col min="5381" max="5381" width="21.7109375" style="29" hidden="1"/>
    <col min="5382" max="5382" width="17.7109375" style="29" hidden="1"/>
    <col min="5383" max="5383" width="15.85546875" style="29" hidden="1"/>
    <col min="5384" max="5384" width="45" style="29" hidden="1"/>
    <col min="5385" max="5633" width="9.140625" style="29" hidden="1"/>
    <col min="5634" max="5634" width="14.5703125" style="29" hidden="1"/>
    <col min="5635" max="5635" width="16.28515625" style="29" hidden="1"/>
    <col min="5636" max="5636" width="40.42578125" style="29" hidden="1"/>
    <col min="5637" max="5637" width="21.7109375" style="29" hidden="1"/>
    <col min="5638" max="5638" width="17.7109375" style="29" hidden="1"/>
    <col min="5639" max="5639" width="15.85546875" style="29" hidden="1"/>
    <col min="5640" max="5640" width="45" style="29" hidden="1"/>
    <col min="5641" max="5889" width="9.140625" style="29" hidden="1"/>
    <col min="5890" max="5890" width="14.5703125" style="29" hidden="1"/>
    <col min="5891" max="5891" width="16.28515625" style="29" hidden="1"/>
    <col min="5892" max="5892" width="40.42578125" style="29" hidden="1"/>
    <col min="5893" max="5893" width="21.7109375" style="29" hidden="1"/>
    <col min="5894" max="5894" width="17.7109375" style="29" hidden="1"/>
    <col min="5895" max="5895" width="15.85546875" style="29" hidden="1"/>
    <col min="5896" max="5896" width="45" style="29" hidden="1"/>
    <col min="5897" max="6145" width="9.140625" style="29" hidden="1"/>
    <col min="6146" max="6146" width="14.5703125" style="29" hidden="1"/>
    <col min="6147" max="6147" width="16.28515625" style="29" hidden="1"/>
    <col min="6148" max="6148" width="40.42578125" style="29" hidden="1"/>
    <col min="6149" max="6149" width="21.7109375" style="29" hidden="1"/>
    <col min="6150" max="6150" width="17.7109375" style="29" hidden="1"/>
    <col min="6151" max="6151" width="15.85546875" style="29" hidden="1"/>
    <col min="6152" max="6152" width="45" style="29" hidden="1"/>
    <col min="6153" max="6401" width="9.140625" style="29" hidden="1"/>
    <col min="6402" max="6402" width="14.5703125" style="29" hidden="1"/>
    <col min="6403" max="6403" width="16.28515625" style="29" hidden="1"/>
    <col min="6404" max="6404" width="40.42578125" style="29" hidden="1"/>
    <col min="6405" max="6405" width="21.7109375" style="29" hidden="1"/>
    <col min="6406" max="6406" width="17.7109375" style="29" hidden="1"/>
    <col min="6407" max="6407" width="15.85546875" style="29" hidden="1"/>
    <col min="6408" max="6408" width="45" style="29" hidden="1"/>
    <col min="6409" max="6657" width="9.140625" style="29" hidden="1"/>
    <col min="6658" max="6658" width="14.5703125" style="29" hidden="1"/>
    <col min="6659" max="6659" width="16.28515625" style="29" hidden="1"/>
    <col min="6660" max="6660" width="40.42578125" style="29" hidden="1"/>
    <col min="6661" max="6661" width="21.7109375" style="29" hidden="1"/>
    <col min="6662" max="6662" width="17.7109375" style="29" hidden="1"/>
    <col min="6663" max="6663" width="15.85546875" style="29" hidden="1"/>
    <col min="6664" max="6664" width="45" style="29" hidden="1"/>
    <col min="6665" max="6913" width="9.140625" style="29" hidden="1"/>
    <col min="6914" max="6914" width="14.5703125" style="29" hidden="1"/>
    <col min="6915" max="6915" width="16.28515625" style="29" hidden="1"/>
    <col min="6916" max="6916" width="40.42578125" style="29" hidden="1"/>
    <col min="6917" max="6917" width="21.7109375" style="29" hidden="1"/>
    <col min="6918" max="6918" width="17.7109375" style="29" hidden="1"/>
    <col min="6919" max="6919" width="15.85546875" style="29" hidden="1"/>
    <col min="6920" max="6920" width="45" style="29" hidden="1"/>
    <col min="6921" max="7169" width="9.140625" style="29" hidden="1"/>
    <col min="7170" max="7170" width="14.5703125" style="29" hidden="1"/>
    <col min="7171" max="7171" width="16.28515625" style="29" hidden="1"/>
    <col min="7172" max="7172" width="40.42578125" style="29" hidden="1"/>
    <col min="7173" max="7173" width="21.7109375" style="29" hidden="1"/>
    <col min="7174" max="7174" width="17.7109375" style="29" hidden="1"/>
    <col min="7175" max="7175" width="15.85546875" style="29" hidden="1"/>
    <col min="7176" max="7176" width="45" style="29" hidden="1"/>
    <col min="7177" max="7425" width="9.140625" style="29" hidden="1"/>
    <col min="7426" max="7426" width="14.5703125" style="29" hidden="1"/>
    <col min="7427" max="7427" width="16.28515625" style="29" hidden="1"/>
    <col min="7428" max="7428" width="40.42578125" style="29" hidden="1"/>
    <col min="7429" max="7429" width="21.7109375" style="29" hidden="1"/>
    <col min="7430" max="7430" width="17.7109375" style="29" hidden="1"/>
    <col min="7431" max="7431" width="15.85546875" style="29" hidden="1"/>
    <col min="7432" max="7432" width="45" style="29" hidden="1"/>
    <col min="7433" max="7681" width="9.140625" style="29" hidden="1"/>
    <col min="7682" max="7682" width="14.5703125" style="29" hidden="1"/>
    <col min="7683" max="7683" width="16.28515625" style="29" hidden="1"/>
    <col min="7684" max="7684" width="40.42578125" style="29" hidden="1"/>
    <col min="7685" max="7685" width="21.7109375" style="29" hidden="1"/>
    <col min="7686" max="7686" width="17.7109375" style="29" hidden="1"/>
    <col min="7687" max="7687" width="15.85546875" style="29" hidden="1"/>
    <col min="7688" max="7688" width="45" style="29" hidden="1"/>
    <col min="7689" max="7937" width="9.140625" style="29" hidden="1"/>
    <col min="7938" max="7938" width="14.5703125" style="29" hidden="1"/>
    <col min="7939" max="7939" width="16.28515625" style="29" hidden="1"/>
    <col min="7940" max="7940" width="40.42578125" style="29" hidden="1"/>
    <col min="7941" max="7941" width="21.7109375" style="29" hidden="1"/>
    <col min="7942" max="7942" width="17.7109375" style="29" hidden="1"/>
    <col min="7943" max="7943" width="15.85546875" style="29" hidden="1"/>
    <col min="7944" max="7944" width="45" style="29" hidden="1"/>
    <col min="7945" max="8193" width="9.140625" style="29" hidden="1"/>
    <col min="8194" max="8194" width="14.5703125" style="29" hidden="1"/>
    <col min="8195" max="8195" width="16.28515625" style="29" hidden="1"/>
    <col min="8196" max="8196" width="40.42578125" style="29" hidden="1"/>
    <col min="8197" max="8197" width="21.7109375" style="29" hidden="1"/>
    <col min="8198" max="8198" width="17.7109375" style="29" hidden="1"/>
    <col min="8199" max="8199" width="15.85546875" style="29" hidden="1"/>
    <col min="8200" max="8200" width="45" style="29" hidden="1"/>
    <col min="8201" max="8449" width="9.140625" style="29" hidden="1"/>
    <col min="8450" max="8450" width="14.5703125" style="29" hidden="1"/>
    <col min="8451" max="8451" width="16.28515625" style="29" hidden="1"/>
    <col min="8452" max="8452" width="40.42578125" style="29" hidden="1"/>
    <col min="8453" max="8453" width="21.7109375" style="29" hidden="1"/>
    <col min="8454" max="8454" width="17.7109375" style="29" hidden="1"/>
    <col min="8455" max="8455" width="15.85546875" style="29" hidden="1"/>
    <col min="8456" max="8456" width="45" style="29" hidden="1"/>
    <col min="8457" max="8705" width="9.140625" style="29" hidden="1"/>
    <col min="8706" max="8706" width="14.5703125" style="29" hidden="1"/>
    <col min="8707" max="8707" width="16.28515625" style="29" hidden="1"/>
    <col min="8708" max="8708" width="40.42578125" style="29" hidden="1"/>
    <col min="8709" max="8709" width="21.7109375" style="29" hidden="1"/>
    <col min="8710" max="8710" width="17.7109375" style="29" hidden="1"/>
    <col min="8711" max="8711" width="15.85546875" style="29" hidden="1"/>
    <col min="8712" max="8712" width="45" style="29" hidden="1"/>
    <col min="8713" max="8961" width="9.140625" style="29" hidden="1"/>
    <col min="8962" max="8962" width="14.5703125" style="29" hidden="1"/>
    <col min="8963" max="8963" width="16.28515625" style="29" hidden="1"/>
    <col min="8964" max="8964" width="40.42578125" style="29" hidden="1"/>
    <col min="8965" max="8965" width="21.7109375" style="29" hidden="1"/>
    <col min="8966" max="8966" width="17.7109375" style="29" hidden="1"/>
    <col min="8967" max="8967" width="15.85546875" style="29" hidden="1"/>
    <col min="8968" max="8968" width="45" style="29" hidden="1"/>
    <col min="8969" max="9217" width="9.140625" style="29" hidden="1"/>
    <col min="9218" max="9218" width="14.5703125" style="29" hidden="1"/>
    <col min="9219" max="9219" width="16.28515625" style="29" hidden="1"/>
    <col min="9220" max="9220" width="40.42578125" style="29" hidden="1"/>
    <col min="9221" max="9221" width="21.7109375" style="29" hidden="1"/>
    <col min="9222" max="9222" width="17.7109375" style="29" hidden="1"/>
    <col min="9223" max="9223" width="15.85546875" style="29" hidden="1"/>
    <col min="9224" max="9224" width="45" style="29" hidden="1"/>
    <col min="9225" max="9473" width="9.140625" style="29" hidden="1"/>
    <col min="9474" max="9474" width="14.5703125" style="29" hidden="1"/>
    <col min="9475" max="9475" width="16.28515625" style="29" hidden="1"/>
    <col min="9476" max="9476" width="40.42578125" style="29" hidden="1"/>
    <col min="9477" max="9477" width="21.7109375" style="29" hidden="1"/>
    <col min="9478" max="9478" width="17.7109375" style="29" hidden="1"/>
    <col min="9479" max="9479" width="15.85546875" style="29" hidden="1"/>
    <col min="9480" max="9480" width="45" style="29" hidden="1"/>
    <col min="9481" max="9729" width="9.140625" style="29" hidden="1"/>
    <col min="9730" max="9730" width="14.5703125" style="29" hidden="1"/>
    <col min="9731" max="9731" width="16.28515625" style="29" hidden="1"/>
    <col min="9732" max="9732" width="40.42578125" style="29" hidden="1"/>
    <col min="9733" max="9733" width="21.7109375" style="29" hidden="1"/>
    <col min="9734" max="9734" width="17.7109375" style="29" hidden="1"/>
    <col min="9735" max="9735" width="15.85546875" style="29" hidden="1"/>
    <col min="9736" max="9736" width="45" style="29" hidden="1"/>
    <col min="9737" max="9985" width="9.140625" style="29" hidden="1"/>
    <col min="9986" max="9986" width="14.5703125" style="29" hidden="1"/>
    <col min="9987" max="9987" width="16.28515625" style="29" hidden="1"/>
    <col min="9988" max="9988" width="40.42578125" style="29" hidden="1"/>
    <col min="9989" max="9989" width="21.7109375" style="29" hidden="1"/>
    <col min="9990" max="9990" width="17.7109375" style="29" hidden="1"/>
    <col min="9991" max="9991" width="15.85546875" style="29" hidden="1"/>
    <col min="9992" max="9992" width="45" style="29" hidden="1"/>
    <col min="9993" max="10241" width="9.140625" style="29" hidden="1"/>
    <col min="10242" max="10242" width="14.5703125" style="29" hidden="1"/>
    <col min="10243" max="10243" width="16.28515625" style="29" hidden="1"/>
    <col min="10244" max="10244" width="40.42578125" style="29" hidden="1"/>
    <col min="10245" max="10245" width="21.7109375" style="29" hidden="1"/>
    <col min="10246" max="10246" width="17.7109375" style="29" hidden="1"/>
    <col min="10247" max="10247" width="15.85546875" style="29" hidden="1"/>
    <col min="10248" max="10248" width="45" style="29" hidden="1"/>
    <col min="10249" max="10497" width="9.140625" style="29" hidden="1"/>
    <col min="10498" max="10498" width="14.5703125" style="29" hidden="1"/>
    <col min="10499" max="10499" width="16.28515625" style="29" hidden="1"/>
    <col min="10500" max="10500" width="40.42578125" style="29" hidden="1"/>
    <col min="10501" max="10501" width="21.7109375" style="29" hidden="1"/>
    <col min="10502" max="10502" width="17.7109375" style="29" hidden="1"/>
    <col min="10503" max="10503" width="15.85546875" style="29" hidden="1"/>
    <col min="10504" max="10504" width="45" style="29" hidden="1"/>
    <col min="10505" max="10753" width="9.140625" style="29" hidden="1"/>
    <col min="10754" max="10754" width="14.5703125" style="29" hidden="1"/>
    <col min="10755" max="10755" width="16.28515625" style="29" hidden="1"/>
    <col min="10756" max="10756" width="40.42578125" style="29" hidden="1"/>
    <col min="10757" max="10757" width="21.7109375" style="29" hidden="1"/>
    <col min="10758" max="10758" width="17.7109375" style="29" hidden="1"/>
    <col min="10759" max="10759" width="15.85546875" style="29" hidden="1"/>
    <col min="10760" max="10760" width="45" style="29" hidden="1"/>
    <col min="10761" max="11009" width="9.140625" style="29" hidden="1"/>
    <col min="11010" max="11010" width="14.5703125" style="29" hidden="1"/>
    <col min="11011" max="11011" width="16.28515625" style="29" hidden="1"/>
    <col min="11012" max="11012" width="40.42578125" style="29" hidden="1"/>
    <col min="11013" max="11013" width="21.7109375" style="29" hidden="1"/>
    <col min="11014" max="11014" width="17.7109375" style="29" hidden="1"/>
    <col min="11015" max="11015" width="15.85546875" style="29" hidden="1"/>
    <col min="11016" max="11016" width="45" style="29" hidden="1"/>
    <col min="11017" max="11265" width="9.140625" style="29" hidden="1"/>
    <col min="11266" max="11266" width="14.5703125" style="29" hidden="1"/>
    <col min="11267" max="11267" width="16.28515625" style="29" hidden="1"/>
    <col min="11268" max="11268" width="40.42578125" style="29" hidden="1"/>
    <col min="11269" max="11269" width="21.7109375" style="29" hidden="1"/>
    <col min="11270" max="11270" width="17.7109375" style="29" hidden="1"/>
    <col min="11271" max="11271" width="15.85546875" style="29" hidden="1"/>
    <col min="11272" max="11272" width="45" style="29" hidden="1"/>
    <col min="11273" max="11521" width="9.140625" style="29" hidden="1"/>
    <col min="11522" max="11522" width="14.5703125" style="29" hidden="1"/>
    <col min="11523" max="11523" width="16.28515625" style="29" hidden="1"/>
    <col min="11524" max="11524" width="40.42578125" style="29" hidden="1"/>
    <col min="11525" max="11525" width="21.7109375" style="29" hidden="1"/>
    <col min="11526" max="11526" width="17.7109375" style="29" hidden="1"/>
    <col min="11527" max="11527" width="15.85546875" style="29" hidden="1"/>
    <col min="11528" max="11528" width="45" style="29" hidden="1"/>
    <col min="11529" max="11777" width="9.140625" style="29" hidden="1"/>
    <col min="11778" max="11778" width="14.5703125" style="29" hidden="1"/>
    <col min="11779" max="11779" width="16.28515625" style="29" hidden="1"/>
    <col min="11780" max="11780" width="40.42578125" style="29" hidden="1"/>
    <col min="11781" max="11781" width="21.7109375" style="29" hidden="1"/>
    <col min="11782" max="11782" width="17.7109375" style="29" hidden="1"/>
    <col min="11783" max="11783" width="15.85546875" style="29" hidden="1"/>
    <col min="11784" max="11784" width="45" style="29" hidden="1"/>
    <col min="11785" max="12033" width="9.140625" style="29" hidden="1"/>
    <col min="12034" max="12034" width="14.5703125" style="29" hidden="1"/>
    <col min="12035" max="12035" width="16.28515625" style="29" hidden="1"/>
    <col min="12036" max="12036" width="40.42578125" style="29" hidden="1"/>
    <col min="12037" max="12037" width="21.7109375" style="29" hidden="1"/>
    <col min="12038" max="12038" width="17.7109375" style="29" hidden="1"/>
    <col min="12039" max="12039" width="15.85546875" style="29" hidden="1"/>
    <col min="12040" max="12040" width="45" style="29" hidden="1"/>
    <col min="12041" max="12289" width="9.140625" style="29" hidden="1"/>
    <col min="12290" max="12290" width="14.5703125" style="29" hidden="1"/>
    <col min="12291" max="12291" width="16.28515625" style="29" hidden="1"/>
    <col min="12292" max="12292" width="40.42578125" style="29" hidden="1"/>
    <col min="12293" max="12293" width="21.7109375" style="29" hidden="1"/>
    <col min="12294" max="12294" width="17.7109375" style="29" hidden="1"/>
    <col min="12295" max="12295" width="15.85546875" style="29" hidden="1"/>
    <col min="12296" max="12296" width="45" style="29" hidden="1"/>
    <col min="12297" max="12545" width="9.140625" style="29" hidden="1"/>
    <col min="12546" max="12546" width="14.5703125" style="29" hidden="1"/>
    <col min="12547" max="12547" width="16.28515625" style="29" hidden="1"/>
    <col min="12548" max="12548" width="40.42578125" style="29" hidden="1"/>
    <col min="12549" max="12549" width="21.7109375" style="29" hidden="1"/>
    <col min="12550" max="12550" width="17.7109375" style="29" hidden="1"/>
    <col min="12551" max="12551" width="15.85546875" style="29" hidden="1"/>
    <col min="12552" max="12552" width="45" style="29" hidden="1"/>
    <col min="12553" max="12801" width="9.140625" style="29" hidden="1"/>
    <col min="12802" max="12802" width="14.5703125" style="29" hidden="1"/>
    <col min="12803" max="12803" width="16.28515625" style="29" hidden="1"/>
    <col min="12804" max="12804" width="40.42578125" style="29" hidden="1"/>
    <col min="12805" max="12805" width="21.7109375" style="29" hidden="1"/>
    <col min="12806" max="12806" width="17.7109375" style="29" hidden="1"/>
    <col min="12807" max="12807" width="15.85546875" style="29" hidden="1"/>
    <col min="12808" max="12808" width="45" style="29" hidden="1"/>
    <col min="12809" max="13057" width="9.140625" style="29" hidden="1"/>
    <col min="13058" max="13058" width="14.5703125" style="29" hidden="1"/>
    <col min="13059" max="13059" width="16.28515625" style="29" hidden="1"/>
    <col min="13060" max="13060" width="40.42578125" style="29" hidden="1"/>
    <col min="13061" max="13061" width="21.7109375" style="29" hidden="1"/>
    <col min="13062" max="13062" width="17.7109375" style="29" hidden="1"/>
    <col min="13063" max="13063" width="15.85546875" style="29" hidden="1"/>
    <col min="13064" max="13064" width="45" style="29" hidden="1"/>
    <col min="13065" max="13313" width="9.140625" style="29" hidden="1"/>
    <col min="13314" max="13314" width="14.5703125" style="29" hidden="1"/>
    <col min="13315" max="13315" width="16.28515625" style="29" hidden="1"/>
    <col min="13316" max="13316" width="40.42578125" style="29" hidden="1"/>
    <col min="13317" max="13317" width="21.7109375" style="29" hidden="1"/>
    <col min="13318" max="13318" width="17.7109375" style="29" hidden="1"/>
    <col min="13319" max="13319" width="15.85546875" style="29" hidden="1"/>
    <col min="13320" max="13320" width="45" style="29" hidden="1"/>
    <col min="13321" max="13569" width="9.140625" style="29" hidden="1"/>
    <col min="13570" max="13570" width="14.5703125" style="29" hidden="1"/>
    <col min="13571" max="13571" width="16.28515625" style="29" hidden="1"/>
    <col min="13572" max="13572" width="40.42578125" style="29" hidden="1"/>
    <col min="13573" max="13573" width="21.7109375" style="29" hidden="1"/>
    <col min="13574" max="13574" width="17.7109375" style="29" hidden="1"/>
    <col min="13575" max="13575" width="15.85546875" style="29" hidden="1"/>
    <col min="13576" max="13576" width="45" style="29" hidden="1"/>
    <col min="13577" max="13825" width="9.140625" style="29" hidden="1"/>
    <col min="13826" max="13826" width="14.5703125" style="29" hidden="1"/>
    <col min="13827" max="13827" width="16.28515625" style="29" hidden="1"/>
    <col min="13828" max="13828" width="40.42578125" style="29" hidden="1"/>
    <col min="13829" max="13829" width="21.7109375" style="29" hidden="1"/>
    <col min="13830" max="13830" width="17.7109375" style="29" hidden="1"/>
    <col min="13831" max="13831" width="15.85546875" style="29" hidden="1"/>
    <col min="13832" max="13832" width="45" style="29" hidden="1"/>
    <col min="13833" max="14081" width="9.140625" style="29" hidden="1"/>
    <col min="14082" max="14082" width="14.5703125" style="29" hidden="1"/>
    <col min="14083" max="14083" width="16.28515625" style="29" hidden="1"/>
    <col min="14084" max="14084" width="40.42578125" style="29" hidden="1"/>
    <col min="14085" max="14085" width="21.7109375" style="29" hidden="1"/>
    <col min="14086" max="14086" width="17.7109375" style="29" hidden="1"/>
    <col min="14087" max="14087" width="15.85546875" style="29" hidden="1"/>
    <col min="14088" max="14088" width="45" style="29" hidden="1"/>
    <col min="14089" max="14337" width="9.140625" style="29" hidden="1"/>
    <col min="14338" max="14338" width="14.5703125" style="29" hidden="1"/>
    <col min="14339" max="14339" width="16.28515625" style="29" hidden="1"/>
    <col min="14340" max="14340" width="40.42578125" style="29" hidden="1"/>
    <col min="14341" max="14341" width="21.7109375" style="29" hidden="1"/>
    <col min="14342" max="14342" width="17.7109375" style="29" hidden="1"/>
    <col min="14343" max="14343" width="15.85546875" style="29" hidden="1"/>
    <col min="14344" max="14344" width="45" style="29" hidden="1"/>
    <col min="14345" max="14593" width="9.140625" style="29" hidden="1"/>
    <col min="14594" max="14594" width="14.5703125" style="29" hidden="1"/>
    <col min="14595" max="14595" width="16.28515625" style="29" hidden="1"/>
    <col min="14596" max="14596" width="40.42578125" style="29" hidden="1"/>
    <col min="14597" max="14597" width="21.7109375" style="29" hidden="1"/>
    <col min="14598" max="14598" width="17.7109375" style="29" hidden="1"/>
    <col min="14599" max="14599" width="15.85546875" style="29" hidden="1"/>
    <col min="14600" max="14600" width="45" style="29" hidden="1"/>
    <col min="14601" max="14849" width="9.140625" style="29" hidden="1"/>
    <col min="14850" max="14850" width="14.5703125" style="29" hidden="1"/>
    <col min="14851" max="14851" width="16.28515625" style="29" hidden="1"/>
    <col min="14852" max="14852" width="40.42578125" style="29" hidden="1"/>
    <col min="14853" max="14853" width="21.7109375" style="29" hidden="1"/>
    <col min="14854" max="14854" width="17.7109375" style="29" hidden="1"/>
    <col min="14855" max="14855" width="15.85546875" style="29" hidden="1"/>
    <col min="14856" max="14856" width="45" style="29" hidden="1"/>
    <col min="14857" max="15105" width="9.140625" style="29" hidden="1"/>
    <col min="15106" max="15106" width="14.5703125" style="29" hidden="1"/>
    <col min="15107" max="15107" width="16.28515625" style="29" hidden="1"/>
    <col min="15108" max="15108" width="40.42578125" style="29" hidden="1"/>
    <col min="15109" max="15109" width="21.7109375" style="29" hidden="1"/>
    <col min="15110" max="15110" width="17.7109375" style="29" hidden="1"/>
    <col min="15111" max="15111" width="15.85546875" style="29" hidden="1"/>
    <col min="15112" max="15112" width="45" style="29" hidden="1"/>
    <col min="15113" max="15361" width="9.140625" style="29" hidden="1"/>
    <col min="15362" max="15362" width="14.5703125" style="29" hidden="1"/>
    <col min="15363" max="15363" width="16.28515625" style="29" hidden="1"/>
    <col min="15364" max="15364" width="40.42578125" style="29" hidden="1"/>
    <col min="15365" max="15365" width="21.7109375" style="29" hidden="1"/>
    <col min="15366" max="15366" width="17.7109375" style="29" hidden="1"/>
    <col min="15367" max="15367" width="15.85546875" style="29" hidden="1"/>
    <col min="15368" max="15368" width="45" style="29" hidden="1"/>
    <col min="15369" max="15617" width="9.140625" style="29" hidden="1"/>
    <col min="15618" max="15618" width="14.5703125" style="29" hidden="1"/>
    <col min="15619" max="15619" width="16.28515625" style="29" hidden="1"/>
    <col min="15620" max="15620" width="40.42578125" style="29" hidden="1"/>
    <col min="15621" max="15621" width="21.7109375" style="29" hidden="1"/>
    <col min="15622" max="15622" width="17.7109375" style="29" hidden="1"/>
    <col min="15623" max="15623" width="15.85546875" style="29" hidden="1"/>
    <col min="15624" max="15624" width="45" style="29" hidden="1"/>
    <col min="15625" max="15873" width="9.140625" style="29" hidden="1"/>
    <col min="15874" max="15874" width="14.5703125" style="29" hidden="1"/>
    <col min="15875" max="15875" width="16.28515625" style="29" hidden="1"/>
    <col min="15876" max="15876" width="40.42578125" style="29" hidden="1"/>
    <col min="15877" max="15877" width="21.7109375" style="29" hidden="1"/>
    <col min="15878" max="15878" width="17.7109375" style="29" hidden="1"/>
    <col min="15879" max="15879" width="15.85546875" style="29" hidden="1"/>
    <col min="15880" max="15880" width="45" style="29" hidden="1"/>
    <col min="15881" max="16129" width="9.140625" style="29" hidden="1"/>
    <col min="16130" max="16130" width="14.5703125" style="29" hidden="1"/>
    <col min="16131" max="16131" width="16.28515625" style="29" hidden="1"/>
    <col min="16132" max="16132" width="40.42578125" style="29" hidden="1"/>
    <col min="16133" max="16133" width="21.7109375" style="29" hidden="1"/>
    <col min="16134" max="16134" width="17.7109375" style="29" hidden="1"/>
    <col min="16135" max="16135" width="15.85546875" style="29" hidden="1"/>
    <col min="16136" max="16136" width="45" style="29" hidden="1"/>
    <col min="16137" max="16384" width="9.140625" style="29" hidden="1"/>
  </cols>
  <sheetData>
    <row r="1" spans="1:8" s="31" customFormat="1" x14ac:dyDescent="0.25">
      <c r="A1" s="29"/>
      <c r="B1" s="29"/>
      <c r="C1" s="29"/>
      <c r="D1" s="29"/>
      <c r="E1" s="29"/>
      <c r="F1" s="29"/>
      <c r="G1" s="29"/>
      <c r="H1" s="30"/>
    </row>
    <row r="2" spans="1:8" s="31" customFormat="1" x14ac:dyDescent="0.25">
      <c r="A2" s="29"/>
      <c r="B2" s="29"/>
      <c r="C2" s="29"/>
      <c r="D2" s="32"/>
      <c r="E2" s="29"/>
      <c r="F2" s="29"/>
      <c r="G2" s="29"/>
      <c r="H2" s="30"/>
    </row>
    <row r="3" spans="1:8" s="31" customFormat="1" ht="18.75" x14ac:dyDescent="0.3">
      <c r="A3" s="29"/>
      <c r="B3" s="29"/>
      <c r="C3" s="33" t="s">
        <v>21</v>
      </c>
      <c r="D3" s="29"/>
      <c r="E3" s="29"/>
      <c r="F3" s="29"/>
      <c r="G3" s="29"/>
      <c r="H3" s="30"/>
    </row>
    <row r="4" spans="1:8" s="31" customFormat="1" x14ac:dyDescent="0.25">
      <c r="A4" s="29"/>
      <c r="B4" s="29"/>
      <c r="C4" s="29"/>
      <c r="D4" s="29"/>
      <c r="E4" s="29"/>
      <c r="F4" s="29"/>
      <c r="G4" s="29"/>
      <c r="H4" s="30"/>
    </row>
    <row r="5" spans="1:8" s="31" customFormat="1" ht="18.75" x14ac:dyDescent="0.3">
      <c r="A5" s="29"/>
      <c r="B5" s="29"/>
      <c r="C5" s="29"/>
      <c r="D5" s="34" t="s">
        <v>0</v>
      </c>
      <c r="E5" s="29"/>
      <c r="F5" s="29"/>
      <c r="G5" s="29"/>
      <c r="H5" s="30"/>
    </row>
    <row r="6" spans="1:8" s="31" customFormat="1" x14ac:dyDescent="0.25">
      <c r="A6" s="29"/>
      <c r="B6" s="29"/>
      <c r="C6" s="29"/>
      <c r="D6" s="29"/>
      <c r="E6" s="29"/>
      <c r="F6" s="29"/>
      <c r="G6" s="29"/>
      <c r="H6" s="30"/>
    </row>
    <row r="7" spans="1:8" s="31" customFormat="1" x14ac:dyDescent="0.25">
      <c r="A7" s="29"/>
      <c r="B7" s="120" t="s">
        <v>1</v>
      </c>
      <c r="C7" s="124"/>
      <c r="D7" s="120" t="s">
        <v>2</v>
      </c>
      <c r="E7" s="120" t="s">
        <v>3</v>
      </c>
      <c r="F7" s="120" t="s">
        <v>4</v>
      </c>
      <c r="G7" s="120"/>
      <c r="H7" s="120"/>
    </row>
    <row r="8" spans="1:8" s="31" customFormat="1" ht="15" customHeight="1" x14ac:dyDescent="0.25">
      <c r="A8" s="29"/>
      <c r="B8" s="124"/>
      <c r="C8" s="124"/>
      <c r="D8" s="124" t="s">
        <v>2</v>
      </c>
      <c r="E8" s="124" t="s">
        <v>3</v>
      </c>
      <c r="F8" s="35" t="s">
        <v>6</v>
      </c>
      <c r="G8" s="120" t="s">
        <v>5</v>
      </c>
      <c r="H8" s="120"/>
    </row>
    <row r="9" spans="1:8" s="31" customFormat="1" x14ac:dyDescent="0.25">
      <c r="A9" s="29"/>
      <c r="B9" s="122"/>
      <c r="C9" s="123"/>
      <c r="D9" s="2"/>
      <c r="E9" s="2"/>
      <c r="F9" s="2"/>
      <c r="G9" s="121"/>
      <c r="H9" s="121"/>
    </row>
    <row r="10" spans="1:8" s="31" customFormat="1" x14ac:dyDescent="0.25">
      <c r="A10" s="29"/>
      <c r="B10" s="122"/>
      <c r="C10" s="123"/>
      <c r="D10" s="2"/>
      <c r="E10" s="2"/>
      <c r="F10" s="2"/>
      <c r="G10" s="121"/>
      <c r="H10" s="121"/>
    </row>
    <row r="11" spans="1:8" s="31" customFormat="1" x14ac:dyDescent="0.25">
      <c r="A11" s="29"/>
      <c r="B11" s="122"/>
      <c r="C11" s="123"/>
      <c r="D11" s="2"/>
      <c r="E11" s="15"/>
      <c r="F11" s="2"/>
      <c r="G11" s="121"/>
      <c r="H11" s="121"/>
    </row>
    <row r="12" spans="1:8" s="31" customFormat="1" x14ac:dyDescent="0.25">
      <c r="A12" s="29"/>
      <c r="B12" s="29"/>
      <c r="C12" s="29"/>
      <c r="D12" s="29"/>
      <c r="E12" s="29"/>
      <c r="F12" s="29"/>
      <c r="G12" s="29"/>
      <c r="H12" s="30"/>
    </row>
    <row r="13" spans="1:8" s="31" customFormat="1" x14ac:dyDescent="0.25">
      <c r="A13" s="29"/>
      <c r="B13" s="29"/>
      <c r="C13" s="29"/>
      <c r="D13" s="29"/>
      <c r="E13" s="29"/>
      <c r="F13" s="29"/>
      <c r="G13" s="29"/>
      <c r="H13" s="30"/>
    </row>
    <row r="14" spans="1:8" s="31" customFormat="1" ht="18.75" x14ac:dyDescent="0.3">
      <c r="A14" s="29"/>
      <c r="B14" s="29"/>
      <c r="C14" s="29"/>
      <c r="D14" s="34" t="s">
        <v>7</v>
      </c>
      <c r="E14" s="29"/>
      <c r="F14" s="29"/>
      <c r="G14" s="29"/>
      <c r="H14" s="30"/>
    </row>
    <row r="15" spans="1:8" s="31" customFormat="1" x14ac:dyDescent="0.25">
      <c r="A15" s="29"/>
      <c r="B15" s="29"/>
      <c r="C15" s="29"/>
      <c r="D15" s="29"/>
      <c r="E15" s="29"/>
      <c r="F15" s="29"/>
      <c r="G15" s="29"/>
      <c r="H15" s="30"/>
    </row>
    <row r="16" spans="1:8" s="31" customFormat="1" x14ac:dyDescent="0.25">
      <c r="A16" s="29"/>
      <c r="B16" s="35" t="s">
        <v>8</v>
      </c>
      <c r="C16" s="35" t="s">
        <v>9</v>
      </c>
      <c r="D16" s="35" t="s">
        <v>10</v>
      </c>
      <c r="E16" s="35" t="s">
        <v>11</v>
      </c>
      <c r="F16" s="35" t="s">
        <v>12</v>
      </c>
      <c r="G16" s="35" t="s">
        <v>13</v>
      </c>
      <c r="H16" s="35" t="s">
        <v>14</v>
      </c>
    </row>
    <row r="17" spans="1:8" s="31" customFormat="1" ht="30" x14ac:dyDescent="0.25">
      <c r="A17" s="29"/>
      <c r="B17" s="4">
        <v>42440</v>
      </c>
      <c r="C17" s="4"/>
      <c r="D17" s="3" t="s">
        <v>344</v>
      </c>
      <c r="E17" s="3" t="s">
        <v>343</v>
      </c>
      <c r="F17" s="3"/>
      <c r="G17" s="3"/>
      <c r="H17" s="16" t="s">
        <v>345</v>
      </c>
    </row>
    <row r="18" spans="1:8" s="31" customFormat="1" ht="240" x14ac:dyDescent="0.25">
      <c r="A18" s="29"/>
      <c r="B18" s="4">
        <v>42486</v>
      </c>
      <c r="C18" s="4"/>
      <c r="D18" s="2" t="s">
        <v>342</v>
      </c>
      <c r="E18" s="2" t="s">
        <v>343</v>
      </c>
      <c r="F18" s="2"/>
      <c r="G18" s="2"/>
      <c r="H18" s="15" t="s">
        <v>341</v>
      </c>
    </row>
    <row r="19" spans="1:8" s="31" customFormat="1" x14ac:dyDescent="0.25">
      <c r="A19" s="29"/>
      <c r="B19" s="3"/>
      <c r="C19" s="4"/>
      <c r="D19" s="2"/>
      <c r="E19" s="2"/>
      <c r="F19" s="2"/>
      <c r="G19" s="2"/>
      <c r="H19" s="15"/>
    </row>
    <row r="20" spans="1:8" s="31" customFormat="1" x14ac:dyDescent="0.25">
      <c r="A20" s="29"/>
      <c r="B20" s="3"/>
      <c r="C20" s="4"/>
      <c r="D20" s="2"/>
      <c r="E20" s="2"/>
      <c r="F20" s="2"/>
      <c r="G20" s="2"/>
      <c r="H20" s="15"/>
    </row>
    <row r="21" spans="1:8" s="31" customFormat="1" x14ac:dyDescent="0.25">
      <c r="A21" s="29"/>
      <c r="B21" s="3"/>
      <c r="C21" s="4"/>
      <c r="D21" s="2"/>
      <c r="E21" s="2"/>
      <c r="F21" s="2"/>
      <c r="G21" s="2"/>
      <c r="H21" s="15"/>
    </row>
    <row r="22" spans="1:8" s="31" customFormat="1" x14ac:dyDescent="0.25">
      <c r="A22" s="29"/>
      <c r="B22" s="29"/>
      <c r="C22" s="29"/>
      <c r="D22" s="29"/>
      <c r="E22" s="29"/>
      <c r="F22" s="29"/>
      <c r="G22" s="29"/>
      <c r="H22" s="30"/>
    </row>
    <row r="23" spans="1:8" s="31" customFormat="1" ht="15.75" thickBot="1" x14ac:dyDescent="0.3">
      <c r="A23" s="29"/>
      <c r="B23" s="36"/>
      <c r="C23" s="36"/>
      <c r="D23" s="36"/>
      <c r="E23" s="36"/>
      <c r="F23" s="36"/>
      <c r="G23" s="36"/>
      <c r="H23" s="37"/>
    </row>
    <row r="24" spans="1:8" s="31" customFormat="1" x14ac:dyDescent="0.25">
      <c r="A24" s="29"/>
      <c r="B24" s="38" t="s">
        <v>15</v>
      </c>
      <c r="C24" s="39"/>
      <c r="D24" s="39"/>
      <c r="E24" s="39"/>
      <c r="F24" s="39"/>
      <c r="G24" s="39"/>
      <c r="H24" s="40"/>
    </row>
    <row r="25" spans="1:8" s="31" customFormat="1" x14ac:dyDescent="0.25">
      <c r="A25" s="29"/>
      <c r="B25" s="41" t="s">
        <v>22</v>
      </c>
      <c r="C25" s="29"/>
      <c r="D25" s="29"/>
      <c r="E25" s="29"/>
      <c r="F25" s="29"/>
      <c r="G25" s="29"/>
      <c r="H25" s="30"/>
    </row>
    <row r="26" spans="1:8" s="31" customFormat="1" x14ac:dyDescent="0.25">
      <c r="A26" s="29"/>
      <c r="B26" s="41" t="s">
        <v>279</v>
      </c>
      <c r="C26" s="29"/>
      <c r="D26" s="29"/>
      <c r="E26" s="29"/>
      <c r="F26" s="29"/>
      <c r="G26" s="29"/>
      <c r="H26" s="30"/>
    </row>
    <row r="27" spans="1:8" s="31" customFormat="1" ht="8.25" customHeight="1" x14ac:dyDescent="0.25">
      <c r="A27" s="29"/>
      <c r="B27" s="29"/>
      <c r="C27" s="29"/>
      <c r="D27" s="29"/>
      <c r="E27" s="29"/>
      <c r="F27" s="29"/>
      <c r="G27" s="29"/>
      <c r="H27" s="30"/>
    </row>
    <row r="28" spans="1:8" s="31" customFormat="1" x14ac:dyDescent="0.25">
      <c r="A28" s="29"/>
      <c r="B28" s="29"/>
      <c r="C28" s="29"/>
      <c r="D28" s="29"/>
      <c r="E28" s="42" t="s">
        <v>16</v>
      </c>
      <c r="F28" s="29"/>
      <c r="G28" s="29"/>
      <c r="H28" s="30"/>
    </row>
    <row r="29" spans="1:8" s="31" customFormat="1" ht="4.5" customHeight="1" x14ac:dyDescent="0.25">
      <c r="A29" s="29"/>
      <c r="B29" s="29"/>
      <c r="C29" s="29"/>
      <c r="D29" s="29"/>
      <c r="E29" s="29"/>
      <c r="F29" s="29"/>
      <c r="G29" s="29"/>
      <c r="H29" s="30"/>
    </row>
  </sheetData>
  <sheetProtection password="C3C6" sheet="1" objects="1" scenarios="1" selectLockedCells="1"/>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11">
    <mergeCell ref="B11:C11"/>
    <mergeCell ref="B7:C8"/>
    <mergeCell ref="D7:D8"/>
    <mergeCell ref="E7:E8"/>
    <mergeCell ref="B9:C9"/>
    <mergeCell ref="B10:C10"/>
    <mergeCell ref="G8:H8"/>
    <mergeCell ref="G9:H9"/>
    <mergeCell ref="G10:H10"/>
    <mergeCell ref="G11:H11"/>
    <mergeCell ref="F7:H7"/>
  </mergeCells>
  <pageMargins left="0.511811024" right="0.511811024" top="0.78740157499999996" bottom="0.78740157499999996" header="0.31496062000000002" footer="0.31496062000000002"/>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outlinePr summaryBelow="0" summaryRight="0"/>
  </sheetPr>
  <dimension ref="A1:AK79"/>
  <sheetViews>
    <sheetView showGridLines="0" zoomScale="85" zoomScaleNormal="85" workbookViewId="0">
      <pane xSplit="5" ySplit="6" topLeftCell="F7" activePane="bottomRight" state="frozen"/>
      <selection pane="topRight" activeCell="F1" sqref="F1"/>
      <selection pane="bottomLeft" activeCell="A7" sqref="A7"/>
      <selection pane="bottomRight"/>
    </sheetView>
  </sheetViews>
  <sheetFormatPr defaultColWidth="0" defaultRowHeight="15" zeroHeight="1" outlineLevelRow="1" x14ac:dyDescent="0.25"/>
  <cols>
    <col min="1" max="1" width="0.42578125" customWidth="1"/>
    <col min="2" max="2" width="16.140625" customWidth="1"/>
    <col min="3" max="3" width="7.28515625" style="50" customWidth="1"/>
    <col min="4" max="4" width="58.140625" customWidth="1"/>
    <col min="5" max="5" width="92.140625" style="50" customWidth="1"/>
    <col min="6" max="8" width="9.140625" customWidth="1"/>
    <col min="9" max="12" width="9" customWidth="1"/>
    <col min="13" max="36" width="8.7109375" customWidth="1"/>
    <col min="37" max="37" width="1.28515625" customWidth="1"/>
    <col min="38" max="16384" width="9.140625" hidden="1"/>
  </cols>
  <sheetData>
    <row r="1" spans="1:36" ht="3" customHeight="1" x14ac:dyDescent="0.25">
      <c r="A1" s="44"/>
      <c r="B1" s="20"/>
      <c r="C1" s="138"/>
      <c r="D1" s="139"/>
      <c r="E1" s="91"/>
    </row>
    <row r="2" spans="1:36" ht="39.75" customHeight="1" x14ac:dyDescent="0.25">
      <c r="A2" s="80"/>
      <c r="B2" s="81"/>
      <c r="C2" s="132" t="s">
        <v>216</v>
      </c>
      <c r="D2" s="133"/>
      <c r="E2" s="134"/>
      <c r="F2" s="129" t="s">
        <v>217</v>
      </c>
      <c r="G2" s="129" t="s">
        <v>218</v>
      </c>
      <c r="H2" s="129" t="s">
        <v>219</v>
      </c>
      <c r="I2" s="129" t="s">
        <v>220</v>
      </c>
      <c r="J2" s="129" t="s">
        <v>221</v>
      </c>
      <c r="K2" s="129" t="s">
        <v>222</v>
      </c>
      <c r="L2" s="129" t="s">
        <v>223</v>
      </c>
      <c r="M2" s="129" t="s">
        <v>224</v>
      </c>
      <c r="N2" s="129" t="s">
        <v>225</v>
      </c>
      <c r="O2" s="129" t="s">
        <v>226</v>
      </c>
      <c r="P2" s="129" t="s">
        <v>227</v>
      </c>
      <c r="Q2" s="129" t="s">
        <v>228</v>
      </c>
      <c r="R2" s="129" t="s">
        <v>229</v>
      </c>
      <c r="S2" s="129" t="s">
        <v>230</v>
      </c>
      <c r="T2" s="129" t="s">
        <v>231</v>
      </c>
      <c r="U2" s="129" t="s">
        <v>232</v>
      </c>
      <c r="V2" s="129" t="s">
        <v>233</v>
      </c>
      <c r="W2" s="129" t="s">
        <v>234</v>
      </c>
      <c r="X2" s="129" t="s">
        <v>235</v>
      </c>
      <c r="Y2" s="129" t="s">
        <v>236</v>
      </c>
      <c r="Z2" s="129" t="s">
        <v>237</v>
      </c>
      <c r="AA2" s="129" t="s">
        <v>238</v>
      </c>
      <c r="AB2" s="129" t="s">
        <v>239</v>
      </c>
      <c r="AC2" s="129" t="s">
        <v>240</v>
      </c>
      <c r="AD2" s="129" t="s">
        <v>241</v>
      </c>
      <c r="AE2" s="129" t="s">
        <v>242</v>
      </c>
      <c r="AF2" s="129" t="s">
        <v>243</v>
      </c>
      <c r="AG2" s="129" t="s">
        <v>244</v>
      </c>
      <c r="AH2" s="129" t="s">
        <v>245</v>
      </c>
      <c r="AI2" s="129" t="s">
        <v>246</v>
      </c>
      <c r="AJ2" s="129" t="s">
        <v>247</v>
      </c>
    </row>
    <row r="3" spans="1:36" ht="48" customHeight="1" x14ac:dyDescent="0.25">
      <c r="A3" s="80"/>
      <c r="B3" s="82"/>
      <c r="C3" s="135" t="s">
        <v>280</v>
      </c>
      <c r="D3" s="136"/>
      <c r="E3" s="137"/>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row>
    <row r="4" spans="1:36" ht="15" customHeight="1" x14ac:dyDescent="0.25">
      <c r="A4" s="48"/>
      <c r="B4" s="125" t="s">
        <v>60</v>
      </c>
      <c r="C4" s="126"/>
      <c r="D4" s="126"/>
      <c r="E4" s="88"/>
      <c r="F4" s="129"/>
      <c r="G4" s="129"/>
      <c r="H4" s="129"/>
      <c r="I4" s="129"/>
      <c r="J4" s="129"/>
      <c r="K4" s="129"/>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row>
    <row r="5" spans="1:36" ht="21" customHeight="1" x14ac:dyDescent="0.25">
      <c r="A5" s="48"/>
      <c r="B5" s="127"/>
      <c r="C5" s="128"/>
      <c r="D5" s="128"/>
      <c r="E5" s="89"/>
      <c r="F5" s="129"/>
      <c r="G5" s="129"/>
      <c r="H5" s="129"/>
      <c r="I5" s="129"/>
      <c r="J5" s="129"/>
      <c r="K5" s="129"/>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row>
    <row r="6" spans="1:36" ht="18.75" x14ac:dyDescent="0.25">
      <c r="A6" s="48"/>
      <c r="B6" s="130" t="s">
        <v>24</v>
      </c>
      <c r="C6" s="131"/>
      <c r="D6" s="84" t="s">
        <v>26</v>
      </c>
      <c r="E6" s="90" t="s">
        <v>275</v>
      </c>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row>
    <row r="7" spans="1:36" ht="127.5" x14ac:dyDescent="0.25">
      <c r="A7" s="48"/>
      <c r="B7" s="140" t="str">
        <f>IF('D-Temas x Perguntas'!A5="","",'D-Temas x Perguntas'!A5)</f>
        <v>01 - Governança</v>
      </c>
      <c r="C7" s="141"/>
      <c r="D7" s="23" t="str">
        <f>IF('D-Temas x Perguntas'!C5="","",'D-Temas x Perguntas'!C5)</f>
        <v xml:space="preserve">A aplicação é nova ou não cadastrada no Portal da Arquitetura/CMDB? </v>
      </c>
      <c r="E7" s="23" t="str">
        <f>IF('D-Temas x Perguntas'!C5="","",'D-Temas x Perguntas'!E5)</f>
        <v>Procura identificar se há necessidade de regularizar os diversos padrões de governança no ambiente Oi, tais como:
• Cadastrar no System Architect (Portal Arquitetura) 
• Cadastrar no CMDB 
• Definir e/ou criar Agente de Solução
• Definr e/ou criar categorizações básicas de ARS (falha, indisponibilidade, lentidão) 
• Incluir na Gestão da Incidentes / Mudanças
• Incluir no versionador (Dimensions)
• Incluir na Monitoração de Gestão de Serviços (SIM)
• Incluir na Gestão de Release</v>
      </c>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row>
    <row r="8" spans="1:36" ht="140.25" x14ac:dyDescent="0.25">
      <c r="A8" s="48"/>
      <c r="B8" s="140" t="str">
        <f>IF('D-Temas x Perguntas'!A6="","",'D-Temas x Perguntas'!A6)</f>
        <v>02 - Operação Infraweb</v>
      </c>
      <c r="C8" s="141"/>
      <c r="D8" s="23" t="str">
        <f>IF('D-Temas x Perguntas'!C6="","",'D-Temas x Perguntas'!C6)</f>
        <v>A demanda implica em instalar novo Application Server (ambiente de infraweb)?</v>
      </c>
      <c r="E8" s="23" t="str">
        <f>IF('D-Temas x Perguntas'!C6="","",'D-Temas x Perguntas'!E6)</f>
        <v>Procura identificar se tem necessidade de fazer nova instalação de Application Server, e, caso haja, quais os desdobramentos relativos a:
• Quais os ambientes terão instalação de Application server
• Quais os responsáveis pela gestão ambientes não-produção durante a fase de projeto e pós-implantação (usualmente apenas os ambiente de Produção e de Teste Integrado são de responsabilidade dos times de Operações de Sistemas)
• Necessidades de transferência de conhecimento
Esta ação compreende a ações necessárias à disponibilização do ambiente, tais como criar usuários e grupos de usuários; criar regras de acesso (firewall); desenvolvimento e validação de manual de deploy, entre outras.</v>
      </c>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row>
    <row r="9" spans="1:36" ht="102" outlineLevel="1" x14ac:dyDescent="0.25">
      <c r="A9" s="48"/>
      <c r="B9" s="140" t="str">
        <f>IF('D-Temas x Perguntas'!A7="","",'D-Temas x Perguntas'!A7)</f>
        <v/>
      </c>
      <c r="C9" s="141"/>
      <c r="D9" s="23" t="str">
        <f>IF('D-Temas x Perguntas'!C7="","",'D-Temas x Perguntas'!C7)</f>
        <v>A demanda implica em fazer uso de algum software ou versão não suportado por infraweb ? (alguma tecnologia de Application server diferente das listadas a seguir: Weblogic, Oracle Service Bus, Websphere, Jboss, Tomcat, Microsoft IIS, PHP, Apache, HTTP)</v>
      </c>
      <c r="E9" s="23" t="str">
        <f>IF('D-Temas x Perguntas'!C7="","",'D-Temas x Perguntas'!E7)</f>
        <v>Procura identificar se a solução introduzirá algum Software Básico que ainda não é suportado pelos times de Operações de Sistemas, e, com isto, as ações associadas à absorção do novo software a exemplo de, mas não limitado a:
• Treinamento formal do fornecedor para o time de Operações de Sistemas;
• Contrato de licenciamento e manutenção do software;
• Instalação on-site e assistida pelo fornecedor do produto;
• Operação assistida por um período razoável, para transferência de conhecimento (normalmente cerda de 60 dias).</v>
      </c>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row>
    <row r="10" spans="1:36" ht="89.25" outlineLevel="1" x14ac:dyDescent="0.25">
      <c r="A10" s="48"/>
      <c r="B10" s="140" t="str">
        <f>IF('D-Temas x Perguntas'!A8="","",'D-Temas x Perguntas'!A8)</f>
        <v/>
      </c>
      <c r="C10" s="141"/>
      <c r="D10" s="23" t="str">
        <f>IF('D-Temas x Perguntas'!C8="","",'D-Temas x Perguntas'!C8)</f>
        <v>A implantação da demanda será feita através de pacote? (Web, RPM, etc.)</v>
      </c>
      <c r="E10" s="23" t="str">
        <f>IF('D-Temas x Perguntas'!C8="","",'D-Temas x Perguntas'!E8)</f>
        <v>Procura identificar se haverá uso de ferramenta ou processo específico para fazer o deploy da aplicação. O uso destas ferramentas ou processos pressupõe o desenvolvimento de um documento que detalhe o passo-a-passo para fazer o deploy.
Desta forma as atividades relativas a desenvolvimento e  validação do deploy devem ser incluídas no cronograma do projeto, assim como o a execução do deploy propriamente dito, que seria o uso do documento.</v>
      </c>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row>
    <row r="11" spans="1:36" ht="51" outlineLevel="1" x14ac:dyDescent="0.25">
      <c r="A11" s="48"/>
      <c r="B11" s="140" t="str">
        <f>IF('D-Temas x Perguntas'!A9="","",'D-Temas x Perguntas'!A9)</f>
        <v>03 - Operação de Sistemas</v>
      </c>
      <c r="C11" s="141"/>
      <c r="D11" s="23" t="str">
        <f>IF('D-Temas x Perguntas'!C9="","",'D-Temas x Perguntas'!C9)</f>
        <v>A demanda implica na implantação de um console centralizada para administração da aplicação?</v>
      </c>
      <c r="E11" s="23" t="str">
        <f>IF('D-Temas x Perguntas'!C9="","",'D-Temas x Perguntas'!E9)</f>
        <v>Procura identificar, através da análise da topologia física e lógica da solução, as complexidades associadas ao dia-a-dia do ambiente para determinar  a exigência de uma console centralizada que suporte as atividades, a exemplo de mais não limitadas a: configuração, manuntenção,  deploy, investigação de falhas do ambiente, coleta de logs etc.</v>
      </c>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row>
    <row r="12" spans="1:36" ht="89.25" outlineLevel="1" x14ac:dyDescent="0.25">
      <c r="A12" s="48"/>
      <c r="B12" s="140" t="str">
        <f>IF('D-Temas x Perguntas'!A10="","",'D-Temas x Perguntas'!A10)</f>
        <v/>
      </c>
      <c r="C12" s="141"/>
      <c r="D12" s="23" t="str">
        <f>IF('D-Temas x Perguntas'!C10="","",'D-Temas x Perguntas'!C10)</f>
        <v>A demanda implica em usar algum ambiente de Teste Integrado sob responsabilidade da equipe Operações e Ambientes?</v>
      </c>
      <c r="E12" s="23" t="str">
        <f>IF('D-Temas x Perguntas'!C10="","",'D-Temas x Perguntas'!E10)</f>
        <v>Procura identificar quais os ambientes de Teste Integrado dos quais o projeto fará uso e, a partir desta informação, quais as ações associadas, passando por adequação do ambiente (aspectos físicos) adquação da solução (aspectos lógicos), transferência de conhecimento para o time de teste integrado da DIEO, preparação de massa de dados etc.
A definição das ações associdadas a esta necessidade, se houver, devem ser lenvantadas com a equipe do Projeto, a equipe de Operações de Sistemas (DIEO),  a equipe de Teste Integrado (DIEO).</v>
      </c>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row>
    <row r="13" spans="1:36" ht="89.25" outlineLevel="1" x14ac:dyDescent="0.25">
      <c r="A13" s="48"/>
      <c r="B13" s="140" t="str">
        <f>IF('D-Temas x Perguntas'!A11="","",'D-Temas x Perguntas'!A11)</f>
        <v/>
      </c>
      <c r="C13" s="141"/>
      <c r="D13" s="23" t="str">
        <f>IF('D-Temas x Perguntas'!C11="","",'D-Temas x Perguntas'!C11)</f>
        <v>O projeto fará uso de NOVO ambiente não-produção 
ou
fará alteração na configuração de software básico de ambiente não-produção pré-existente (Desenvolvimento? Homologação? Testes Integrado etc?)</v>
      </c>
      <c r="E13" s="23" t="str">
        <f>IF('D-Temas x Perguntas'!C11="","",'D-Temas x Perguntas'!E11)</f>
        <v>Procura identificar se haverá uso de ambiente não-produção NOVO ou se fará NOVO uso de ambiente não-produção pré-existente. Caso haja, deve-se formalizar os papéis e responsalbilidades para os casos NOVOS durante a fase de projeto e após a implantação, para perseguir o desenvolvimento das atividades que possibilitem à Operações de Sistemas absorver os ambientes que ficarem sob responsabilidade da DIEO, a exemplo de mas não limitadas a: definir matriz de responsabilidade; desenvolver manual de deploy; passagem de conhecimento; criação de usuários e grupos de usuários; liberações de acessos etc.</v>
      </c>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row>
    <row r="14" spans="1:36" ht="25.5" outlineLevel="1" x14ac:dyDescent="0.25">
      <c r="A14" s="48"/>
      <c r="B14" s="140" t="str">
        <f>IF('D-Temas x Perguntas'!A12="","",'D-Temas x Perguntas'!A12)</f>
        <v/>
      </c>
      <c r="C14" s="141"/>
      <c r="D14" s="23" t="str">
        <f>IF('D-Temas x Perguntas'!C12="","",'D-Temas x Perguntas'!C12)</f>
        <v>A demanda implica na criação de novos diretórios, file-systems, tabelas, tablespaces, banco de dados?</v>
      </c>
      <c r="E14" s="23" t="str">
        <f>IF('D-Temas x Perguntas'!C12="","",'D-Temas x Perguntas'!E12)</f>
        <v>Procura identificar a necessidade de implantar os processos básicos de governança de objetos: política de expurgos de dados; política de backup de negócio; política de monitoração do objeto.</v>
      </c>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row>
    <row r="15" spans="1:36" ht="76.5" outlineLevel="1" x14ac:dyDescent="0.25">
      <c r="A15" s="48"/>
      <c r="B15" s="140" t="str">
        <f>IF('D-Temas x Perguntas'!A13="","",'D-Temas x Perguntas'!A13)</f>
        <v/>
      </c>
      <c r="C15" s="141"/>
      <c r="D15" s="23" t="str">
        <f>IF('D-Temas x Perguntas'!C13="","",'D-Temas x Perguntas'!C13)</f>
        <v>O objetivo da demanda é a melhoria de performance (tunning)?</v>
      </c>
      <c r="E15" s="23" t="str">
        <f>IF('D-Temas x Perguntas'!C13="","",'D-Temas x Perguntas'!E13)</f>
        <v>Procura identificar se há ação específica para melhoria de performance de algum processo. Caso haja, deve ser montada forma de aferição de ganho esperado através de um plano que contemple, entre outros: 
• Definição dos indicadores (processos/rotinas etc) a serem avaliados;
• Coleta de baseline (tempos de execução x quantidade) para os indicadores definidos
• Execução do processo melhorado com coleta dos dados de desempenho dos indicadores definidos
• Apresentação das evidências de atingimento da melhoria de performance</v>
      </c>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row>
    <row r="16" spans="1:36" ht="51" outlineLevel="1" x14ac:dyDescent="0.25">
      <c r="A16" s="48"/>
      <c r="B16" s="140" t="str">
        <f>IF('D-Temas x Perguntas'!A14="","",'D-Temas x Perguntas'!A14)</f>
        <v/>
      </c>
      <c r="C16" s="141"/>
      <c r="D16" s="23" t="str">
        <f>IF('D-Temas x Perguntas'!C14="","",'D-Temas x Perguntas'!C14)</f>
        <v>A demanda implica em usar mecanismos de auditoria tais como trilhas, logs etc? (somente para plataforma open)</v>
      </c>
      <c r="E16" s="23" t="str">
        <f>IF('D-Temas x Perguntas'!C14="","",'D-Temas x Perguntas'!E14)</f>
        <v>Procura identificar, através da análise da topologia física e lógica da solução, as complexidades associadas ao dia-a-dia do ambiente para determinar  a exigência de mecanismo de auditoria (trilha de audioria) para suportar as atividades de investigação de problemas (troubleshooting), coletas estatísticas e uso indevido.</v>
      </c>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row>
    <row r="17" spans="1:36" ht="38.25" outlineLevel="1" x14ac:dyDescent="0.25">
      <c r="A17" s="48"/>
      <c r="B17" s="140" t="str">
        <f>IF('D-Temas x Perguntas'!A15="","",'D-Temas x Perguntas'!A15)</f>
        <v/>
      </c>
      <c r="C17" s="141"/>
      <c r="D17" s="23" t="str">
        <f>IF('D-Temas x Perguntas'!C15="","",'D-Temas x Perguntas'!C15)</f>
        <v>Há necessidade de fazer blindagem do ambiente de produção e/ou ambiente de Teste Integrado?</v>
      </c>
      <c r="E17" s="23" t="str">
        <f>IF('D-Temas x Perguntas'!C15="","",'D-Temas x Perguntas'!E15)</f>
        <v>Procura identificar se há necessidade de implantar um processo específico de blindagem dos ambientes de produção e teste integrado e, se positivo, perseguir as atividades relacionadas, tais como produção do manual de blindagem, passagem de conhecimento e execução da blindagem propriamente dita.</v>
      </c>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row>
    <row r="18" spans="1:36" ht="38.25" outlineLevel="1" x14ac:dyDescent="0.25">
      <c r="A18" s="48"/>
      <c r="B18" s="140" t="str">
        <f>IF('D-Temas x Perguntas'!A16="","",'D-Temas x Perguntas'!A16)</f>
        <v/>
      </c>
      <c r="C18" s="141"/>
      <c r="D18" s="23" t="str">
        <f>IF('D-Temas x Perguntas'!C16="","",'D-Temas x Perguntas'!C16)</f>
        <v>Há necessidade de novos recursos (pessoal) para a operação da aplicação e/ou operação assistida em decorrência dessa demanda?</v>
      </c>
      <c r="E18" s="23" t="str">
        <f>IF('D-Temas x Perguntas'!C16="","",'D-Temas x Perguntas'!E16)</f>
        <v>Procura identificar a necessidade de aumento de pessoal para fazer a operação da solução ou para a operação assistida.</v>
      </c>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row>
    <row r="19" spans="1:36" ht="51" outlineLevel="1" x14ac:dyDescent="0.25">
      <c r="A19" s="48"/>
      <c r="B19" s="140" t="str">
        <f>IF('D-Temas x Perguntas'!A17="","",'D-Temas x Perguntas'!A17)</f>
        <v/>
      </c>
      <c r="C19" s="141"/>
      <c r="D19" s="23" t="str">
        <f>IF('D-Temas x Perguntas'!C17="","",'D-Temas x Perguntas'!C17)</f>
        <v>A demanda implica na elaboração ou atualização do Manual de Operação e Produção (MOP)?</v>
      </c>
      <c r="E19" s="23" t="str">
        <f>IF('D-Temas x Perguntas'!C17="","",'D-Temas x Perguntas'!E17)</f>
        <v>Procura identificar a necessidade da elaboração ou atualização do Manual de Operações e Produção (MOP).
Em adição deve ser verificada a necessidade de fazer passagem de conhecimento.</v>
      </c>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row>
    <row r="20" spans="1:36" ht="51" outlineLevel="1" x14ac:dyDescent="0.25">
      <c r="A20" s="48"/>
      <c r="B20" s="140" t="str">
        <f>IF('D-Temas x Perguntas'!A18="","",'D-Temas x Perguntas'!A18)</f>
        <v/>
      </c>
      <c r="C20" s="141"/>
      <c r="D20" s="23" t="str">
        <f>IF('D-Temas x Perguntas'!C18="","",'D-Temas x Perguntas'!C18)</f>
        <v>A demanda requer criação ou alteração do procedimento a ser adotado para realizar o tratamento de falha das rotinas/processos on-line (webserver, barramento etc)?</v>
      </c>
      <c r="E20" s="23" t="str">
        <f>IF('D-Temas x Perguntas'!C18="","",'D-Temas x Perguntas'!E18)</f>
        <v>Procurar identificar a necessidade de adequação dos procedimentos em caso de falha do processo sendo implantado. De maneira geral deve-se elaborar/alterar o MOP e o Runbook além de fazer uma passagem de conhecimento explicando qual(is) a mudança(s) está(ão) sendo adotada(s) em função do projeto.</v>
      </c>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row>
    <row r="21" spans="1:36" ht="51" outlineLevel="1" x14ac:dyDescent="0.25">
      <c r="A21" s="48"/>
      <c r="B21" s="140" t="str">
        <f>IF('D-Temas x Perguntas'!A19="","",'D-Temas x Perguntas'!A19)</f>
        <v/>
      </c>
      <c r="C21" s="141"/>
      <c r="D21" s="23" t="str">
        <f>IF('D-Temas x Perguntas'!C19="","",'D-Temas x Perguntas'!C19)</f>
        <v xml:space="preserve">A demanda requer criação ou alteração na ação / procedimento de contingência a ser executado em caso de interrupção das rotinas/processos on-line (webserver, barramento etc)? </v>
      </c>
      <c r="E21" s="23" t="str">
        <f>IF('D-Temas x Perguntas'!C19="","",'D-Temas x Perguntas'!E19)</f>
        <v>Procura identificar a necessidade de adequação dos procedimentos de contingência em caso de falha da interface online que está sendo implantada. De maneira geral deve-se elaborar/alterar o MOP, Runbook, Planilha de Interfaces, DI além de fazer uma passagem de conhecimento explicando qual(is) a mudança(s) está(ão) sendo adotada(s) em função do projeto.</v>
      </c>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row>
    <row r="22" spans="1:36" ht="25.5" outlineLevel="1" x14ac:dyDescent="0.25">
      <c r="A22" s="48"/>
      <c r="B22" s="140" t="str">
        <f>IF('D-Temas x Perguntas'!A20="","",'D-Temas x Perguntas'!A20)</f>
        <v/>
      </c>
      <c r="C22" s="141"/>
      <c r="D22" s="23" t="str">
        <f>IF('D-Temas x Perguntas'!C20="","",'D-Temas x Perguntas'!C20)</f>
        <v xml:space="preserve">O modelo de atendimento do projeto envolve Parceiros não-TI? </v>
      </c>
      <c r="E22" s="23" t="str">
        <f>IF('D-Temas x Perguntas'!C20="","",'D-Temas x Perguntas'!E20)</f>
        <v>Procura identificar se o fluxo do atendimento a serviços ou incidentes envolve Parceiros não-TI. Em caso afirmativo, este fluxo deve ser acertado entre Operações, CCO-TI, DDSA e o Parceiro não-TI.</v>
      </c>
      <c r="F22" s="43"/>
      <c r="G22" s="43"/>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row>
    <row r="23" spans="1:36" ht="38.25" outlineLevel="1" x14ac:dyDescent="0.25">
      <c r="A23" s="48"/>
      <c r="B23" s="140" t="str">
        <f>IF('D-Temas x Perguntas'!A21="","",'D-Temas x Perguntas'!A21)</f>
        <v/>
      </c>
      <c r="C23" s="141"/>
      <c r="D23" s="23" t="str">
        <f>IF('D-Temas x Perguntas'!C21="","",'D-Temas x Perguntas'!C21)</f>
        <v>A demanda requer o planejamento e a execução formal de Operação Assistida?</v>
      </c>
      <c r="E23" s="23" t="str">
        <f>IF('D-Temas x Perguntas'!C21="","",'D-Temas x Perguntas'!E21)</f>
        <v>Procura identificar a necessidade de elaborar um plano de Operação Assistida assim como a sua documentação e execução.  Em caso de resposta positiva é esperado que sejam formalizadas no cronograma as atividades para este fim.</v>
      </c>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row>
    <row r="24" spans="1:36" ht="38.25" outlineLevel="1" x14ac:dyDescent="0.25">
      <c r="A24" s="48"/>
      <c r="B24" s="140" t="str">
        <f>IF('D-Temas x Perguntas'!A22="","",'D-Temas x Perguntas'!A22)</f>
        <v/>
      </c>
      <c r="C24" s="141"/>
      <c r="D24" s="23" t="str">
        <f>IF('D-Temas x Perguntas'!C22="","",'D-Temas x Perguntas'!C22)</f>
        <v>A demanda requer o planejamento e a execução formal de Rollout?</v>
      </c>
      <c r="E24" s="23" t="str">
        <f>IF('D-Temas x Perguntas'!C22="","",'D-Temas x Perguntas'!E22)</f>
        <v>Procura identificar a necessidade de elaborar um plano de Rollout assim como a sua documentação e execução.  Em caso de resposta positiva é esperado que sejam formalizadas no cronograma as atividades para este fim.</v>
      </c>
      <c r="F24" s="43"/>
      <c r="G24" s="43"/>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row>
    <row r="25" spans="1:36" ht="76.5" x14ac:dyDescent="0.25">
      <c r="A25" s="48"/>
      <c r="B25" s="140" t="str">
        <f>IF('D-Temas x Perguntas'!A23="","",'D-Temas x Perguntas'!A23)</f>
        <v>04 - Integração entre Sistemas</v>
      </c>
      <c r="C25" s="141"/>
      <c r="D25" s="23" t="str">
        <f>IF('D-Temas x Perguntas'!C23="","",'D-Temas x Perguntas'!C23)</f>
        <v>Haverá alteração/implantação de interfaces ou  terá integração com outros sistemas sob a responsabilidade da Equipe de Integração de Sistemas?</v>
      </c>
      <c r="E25" s="23" t="str">
        <f>IF('D-Temas x Perguntas'!C23="","",'D-Temas x Perguntas'!E23)</f>
        <v>Procura identificar se haverá alteração ou implantação de interfaces entre sistemas, sob responsabilidade da equipe de INTEGRAÇÃO DE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fisica e lógica a ser usada pela interface etc.</v>
      </c>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row>
    <row r="26" spans="1:36" ht="76.5" outlineLevel="1" x14ac:dyDescent="0.25">
      <c r="A26" s="48"/>
      <c r="B26" s="140" t="str">
        <f>IF('D-Temas x Perguntas'!A24="","",'D-Temas x Perguntas'!A24)</f>
        <v/>
      </c>
      <c r="C26" s="141"/>
      <c r="D26" s="23" t="str">
        <f>IF('D-Temas x Perguntas'!C24="","",'D-Temas x Perguntas'!C24)</f>
        <v>Haverá alteração ou implantação de interfaces ou  terá integração com outros sistemas através de processamento Batch (ponto a ponto)?</v>
      </c>
      <c r="E26" s="23" t="str">
        <f>IF('D-Temas x Perguntas'!C24="","",'D-Temas x Perguntas'!E24)</f>
        <v>Procura identificar se haverá alteração ou implatação de interfaces que NÃO estão sob responsabilidade da equipe de INTEGRAÇÃO DE SISTEMAS, com vistas a perseguir as atividades relacionadas, a exemplo de mas não limitadas a: desenvolvimento e validação da planilha de interfaces; desenvolvimento e validação do documento Detalhamento de Interfaces (DI); monitoração da interface (SIM); fazer passagem de conhecimento; garantir governança aos objetos envolvidos na interface; validar a topologia física e lógica a ser usada pela interface etc.</v>
      </c>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row>
    <row r="27" spans="1:36" ht="51" outlineLevel="1" x14ac:dyDescent="0.25">
      <c r="A27" s="48"/>
      <c r="B27" s="140" t="str">
        <f>IF('D-Temas x Perguntas'!A25="","",'D-Temas x Perguntas'!A25)</f>
        <v/>
      </c>
      <c r="C27" s="141"/>
      <c r="D27" s="23" t="str">
        <f>IF('D-Temas x Perguntas'!C25="","",'D-Temas x Perguntas'!C25)</f>
        <v>Haverá criação de novos extratores?</v>
      </c>
      <c r="E27" s="23" t="str">
        <f>IF('D-Temas x Perguntas'!C25="","",'D-Temas x Perguntas'!E25)</f>
        <v>Procura identificar as atividades que devem ser perseguidas caso haja implantação de novos extratores, a exemplo de mas não limitado a: definir agente de solução; definir local de armazenamento; solicitar espaço para armazenamento; definir forma de reprocessamento; definir forma de tratamento de backlog; criar governança para os objetos envolvidos (expurgo; backup; monitoração).</v>
      </c>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row>
    <row r="28" spans="1:36" ht="63.75" outlineLevel="1" x14ac:dyDescent="0.25">
      <c r="A28" s="48"/>
      <c r="B28" s="140" t="str">
        <f>IF('D-Temas x Perguntas'!A26="","",'D-Temas x Perguntas'!A26)</f>
        <v/>
      </c>
      <c r="C28" s="141"/>
      <c r="D28" s="23" t="str">
        <f>IF('D-Temas x Perguntas'!C26="","",'D-Temas x Perguntas'!C26)</f>
        <v>Haverá transmissão de novos arquivos?</v>
      </c>
      <c r="E28" s="23" t="str">
        <f>IF('D-Temas x Perguntas'!C26="","",'D-Temas x Perguntas'!E26)</f>
        <v>Procura identificar se haverá necessidade de adequação de ambiente físico/lógico para o processo de transerência de arquivos, a exemplo de mas não limitado a: disponibilização dos softwares de transferências (Pelican / Connect Direct); definir agente de solução; definir local de armazenamento; solicitar espaço para armazenamento; definir forma de reprocessamento; definir forma de tratamento de backlog; criar governança para os objetos envolvidos (expurgo; backup; monitoração).</v>
      </c>
      <c r="F28" s="43"/>
      <c r="G28" s="43"/>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row>
    <row r="29" spans="1:36" ht="38.25" x14ac:dyDescent="0.25">
      <c r="A29" s="48"/>
      <c r="B29" s="140" t="str">
        <f>IF('D-Temas x Perguntas'!A27="","",'D-Temas x Perguntas'!A27)</f>
        <v>05 - Gestão Ambiente DW</v>
      </c>
      <c r="C29" s="141"/>
      <c r="D29" s="23" t="str">
        <f>IF('D-Temas x Perguntas'!C27="","",'D-Temas x Perguntas'!C27)</f>
        <v>A demanda requer criação/alteração de processo de carga?</v>
      </c>
      <c r="E29" s="23" t="str">
        <f>IF('D-Temas x Perguntas'!C27="","",'D-Temas x Perguntas'!E27)</f>
        <v>Procura assegurar que a demanda atente para a necessidade de incluir no Dsol, no código e no runbook um mecanismo de carga que tenha reprocessamento automático, sem necessidade de intervenção manual da equipe de Operações.</v>
      </c>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row>
    <row r="30" spans="1:36" ht="51" outlineLevel="1" x14ac:dyDescent="0.25">
      <c r="A30" s="48"/>
      <c r="B30" s="140" t="str">
        <f>IF('D-Temas x Perguntas'!A28="","",'D-Temas x Perguntas'!A28)</f>
        <v/>
      </c>
      <c r="C30" s="141"/>
      <c r="D30" s="23" t="str">
        <f>IF('D-Temas x Perguntas'!C28="","",'D-Temas x Perguntas'!C28)</f>
        <v>A demanda requer criação-alteração de objeto do Informática?</v>
      </c>
      <c r="E30" s="23" t="str">
        <f>IF('D-Temas x Perguntas'!C28="","",'D-Temas x Perguntas'!E28)</f>
        <v>Procura identificar a necessidade de perseguir, em tempo de projeto, as atividades originadas no detalhamento da criação/alteração de objetos do informatica, a exemplo de mas não limitadas a: criação de usuários e grupos de usuários; análise de impacto no Data Quality e Metadados; criação dos objetos propriamente dita; análises dos ambiente afetados, etc.</v>
      </c>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row>
    <row r="31" spans="1:36" ht="51" outlineLevel="1" x14ac:dyDescent="0.25">
      <c r="A31" s="48"/>
      <c r="B31" s="140" t="str">
        <f>IF('D-Temas x Perguntas'!A29="","",'D-Temas x Perguntas'!A29)</f>
        <v/>
      </c>
      <c r="C31" s="141"/>
      <c r="D31" s="23" t="str">
        <f>IF('D-Temas x Perguntas'!C29="","",'D-Temas x Perguntas'!C29)</f>
        <v>A demanda requer atividades de preparação de ambiente Business Object (BO)  e/ou SAS (criação usuários, grupos, pastas e conexões) ou requer registro da Posição de Carga dos módulos?</v>
      </c>
      <c r="E31" s="23" t="str">
        <f>IF('D-Temas x Perguntas'!C29="","",'D-Temas x Perguntas'!E29)</f>
        <v>Procura identificar a necessidade de perseguir, em tempo de projeto, as atividades originadas no detalhamento da ciração/alteração de objetos do informatica no tocante a Business Object (BO), a exemplo de mas não limitadas a: criação de usuários e grupos de usuários; definição do fluxo, cadastro no portal, análise dos ambientes afetados, etc.</v>
      </c>
      <c r="F31" s="43"/>
      <c r="G31" s="43"/>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row>
    <row r="32" spans="1:36" ht="38.25" outlineLevel="1" x14ac:dyDescent="0.25">
      <c r="A32" s="48"/>
      <c r="B32" s="140" t="str">
        <f>IF('D-Temas x Perguntas'!A30="","",'D-Temas x Perguntas'!A30)</f>
        <v/>
      </c>
      <c r="C32" s="141"/>
      <c r="D32" s="23" t="str">
        <f>IF('D-Temas x Perguntas'!C30="","",'D-Temas x Perguntas'!C30)</f>
        <v>A demanda requer criação de novos usuários/grupos no Unix/Linux/etc do ambiente DW?</v>
      </c>
      <c r="E32" s="23" t="str">
        <f>IF('D-Temas x Perguntas'!C30="","",'D-Temas x Perguntas'!E30)</f>
        <v>Procura identificar se a demanda/projeto prevê a criação de usuários ou grupo de usuários nos ambiente Unix/Linux. Esta ação visa fazer entendimento da demanda para definir a Frente DW mais impactada e adequar o desenho proposto aos padrões e práticas da equipe de operações do DW.</v>
      </c>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row>
    <row r="33" spans="1:36" ht="63.75" outlineLevel="1" x14ac:dyDescent="0.25">
      <c r="A33" s="48"/>
      <c r="B33" s="140" t="str">
        <f>IF('D-Temas x Perguntas'!A31="","",'D-Temas x Perguntas'!A31)</f>
        <v/>
      </c>
      <c r="C33" s="141"/>
      <c r="D33" s="23" t="str">
        <f>IF('D-Temas x Perguntas'!C31="","",'D-Temas x Perguntas'!C31)</f>
        <v>A demanda requer criação/alteração de objetos de banco de dados do DW?</v>
      </c>
      <c r="E33" s="23" t="str">
        <f>IF('D-Temas x Perguntas'!C31="","",'D-Temas x Perguntas'!E31)</f>
        <v>Procura identificar as atividades que devem ser perseguidas caso haja criação/alteração de objetos de banco de dados do DW,  a exemplo de mas não limitado a: cadastrar coleta de estatísticas; construção de tabelas de compress; implantar a governança dos objetos; atividades relativas a implatanção da nova carga no Teradata (alinhamento com a Fente DW Impactada, desenvolvimento de scripts de carga, criação de usuários, etc)</v>
      </c>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row>
    <row r="34" spans="1:36" ht="38.25" x14ac:dyDescent="0.25">
      <c r="A34" s="48"/>
      <c r="B34" s="140" t="str">
        <f>IF('D-Temas x Perguntas'!A32="","",'D-Temas x Perguntas'!A32)</f>
        <v>06 - Rotinas Batch</v>
      </c>
      <c r="C34" s="141"/>
      <c r="D34" s="23" t="str">
        <f>IF('D-Temas x Perguntas'!C32="","",'D-Temas x Perguntas'!C32)</f>
        <v>A demanda requer criação, alteração ou exclusão de jobs no Control-M?</v>
      </c>
      <c r="E34" s="23" t="str">
        <f>IF('D-Temas x Perguntas'!C32="","",'D-Temas x Perguntas'!E32)</f>
        <v>Procura assegurar que o projeto contemple as atividades relativas à implantação de rotinas batchs, a exemplo de, mas não limitadas a: desenvolver runbook; validar runbook; abrir CRQs; adequar categorização associada; abrir e executar Gmuds etc.</v>
      </c>
      <c r="F34" s="43"/>
      <c r="G34" s="43"/>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row>
    <row r="35" spans="1:36" ht="25.5" outlineLevel="1" x14ac:dyDescent="0.25">
      <c r="A35" s="48"/>
      <c r="B35" s="140" t="str">
        <f>IF('D-Temas x Perguntas'!A33="","",'D-Temas x Perguntas'!A33)</f>
        <v/>
      </c>
      <c r="C35" s="141"/>
      <c r="D35" s="23" t="str">
        <f>IF('D-Temas x Perguntas'!C33="","",'D-Temas x Perguntas'!C33)</f>
        <v>A demanda requer uso de software de transferência de dados entre servidores?</v>
      </c>
      <c r="E35" s="23" t="str">
        <f>IF('D-Temas x Perguntas'!C33="","",'D-Temas x Perguntas'!E33)</f>
        <v>Procurar identificar a necessidade de desenvolvimento e validação de documentos relativos a transferência de arquivos tais como: Runbook e Solicitação de Configuração de Trasmissão de Arquivos.</v>
      </c>
      <c r="F35" s="43"/>
      <c r="G35" s="43"/>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row>
    <row r="36" spans="1:36" ht="51" outlineLevel="1" x14ac:dyDescent="0.25">
      <c r="A36" s="48"/>
      <c r="B36" s="140" t="str">
        <f>IF('D-Temas x Perguntas'!A34="","",'D-Temas x Perguntas'!A34)</f>
        <v/>
      </c>
      <c r="C36" s="141"/>
      <c r="D36" s="23" t="str">
        <f>IF('D-Temas x Perguntas'!C34="","",'D-Temas x Perguntas'!C34)</f>
        <v>A demanda requer criação ou alteração do procedimento a ser adotado para realizar o tratamento de falha das rotinas batchs?</v>
      </c>
      <c r="E36" s="23" t="str">
        <f>IF('D-Temas x Perguntas'!C34="","",'D-Temas x Perguntas'!E34)</f>
        <v>Procurar identificar a necessidade de adequação dos procedimentos em caso de falha da rotina batch que está sendo implantada. De maneira geral deve-se elaborar/alterar o MOP e o Runbook além de fazer uma passagem de conhecimento explicando qual(is) a mudança(s) está(ão) sendo adotada(s) em função do projeto.</v>
      </c>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row>
    <row r="37" spans="1:36" ht="51" outlineLevel="1" x14ac:dyDescent="0.25">
      <c r="A37" s="48"/>
      <c r="B37" s="140" t="str">
        <f>IF('D-Temas x Perguntas'!A35="","",'D-Temas x Perguntas'!A35)</f>
        <v/>
      </c>
      <c r="C37" s="141"/>
      <c r="D37" s="23" t="str">
        <f>IF('D-Temas x Perguntas'!C35="","",'D-Temas x Perguntas'!C35)</f>
        <v>A demanda requer criação ou alteração na ação / procedimento de contingência a ser executado em caso de interrupção ou erro massivo nos processos e/ou interfaces batchs?</v>
      </c>
      <c r="E37" s="23" t="str">
        <f>IF('D-Temas x Perguntas'!C35="","",'D-Temas x Perguntas'!E35)</f>
        <v>Procurar identificar a necessidade de adequação dos procedimentos de contingência em caso de interrupção ou erro massivo nas rotinas / interface batch que está sendo implantada. De maneira geral deve-se elaborar/alterar o MOP, Runbook, DI, Planilha de Interfaces etc, além de fazer uma passagem de conhecimento explicando qual(is) a mudança(s) está(ão) sendo adotada(s) em função do projeto.</v>
      </c>
      <c r="F37" s="43"/>
      <c r="G37" s="43"/>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row>
    <row r="38" spans="1:36" ht="76.5" x14ac:dyDescent="0.25">
      <c r="A38" s="48"/>
      <c r="B38" s="140" t="str">
        <f>IF('D-Temas x Perguntas'!A36="","",'D-Temas x Perguntas'!A36)</f>
        <v>07 - Monitoração e Gestão de Serviços</v>
      </c>
      <c r="C38" s="141"/>
      <c r="D38" s="23" t="str">
        <f>IF('D-Temas x Perguntas'!C36="","",'D-Temas x Perguntas'!C36)</f>
        <v>A demanda requer implantação e/ou alteração da monitoração de serviços (Monitoração do SIM)?</v>
      </c>
      <c r="E38" s="23" t="str">
        <f>IF('D-Temas x Perguntas'!C36="","",'D-Temas x Perguntas'!E36)</f>
        <v>Procura identificar as atividades relacionada a implatação de monitoração de serviços na aplicação SIM, a exemplo de mas não limitadas a: necessidade de desenvolvimento/adaptação de módulos para coleta de monitoração;reuniões de alinhamento para entendimento da solução; desenvolvimento e validação do documento Especificação da Monitoração de Serviço (EMS); desenvolvimento da planilha de ICs para monitoração e validação dos dados; definição das categorias de acionamento, severidades e agentes resolvedores, etc.</v>
      </c>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row>
    <row r="39" spans="1:36" ht="38.25" outlineLevel="1" x14ac:dyDescent="0.25">
      <c r="A39" s="48"/>
      <c r="B39" s="140" t="str">
        <f>IF('D-Temas x Perguntas'!A37="","",'D-Temas x Perguntas'!A37)</f>
        <v/>
      </c>
      <c r="C39" s="141"/>
      <c r="D39" s="23" t="str">
        <f>IF('D-Temas x Perguntas'!C37="","",'D-Temas x Perguntas'!C37)</f>
        <v>A demanda requer implantação e/ou alteração no Spotfire?</v>
      </c>
      <c r="E39" s="23" t="str">
        <f>IF('D-Temas x Perguntas'!C37="","",'D-Temas x Perguntas'!E37)</f>
        <v>Procura identificar as atividades relacionada a implatação de coleta de indicadores via Spotfire, a exemplo de mas não limitadas a: reuniões de alinhamento para entendimento da solução; definição dos indicadores a serem coletados; definição da infraestrutura e metodologia de coleta dos indicadores etc.</v>
      </c>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row>
    <row r="40" spans="1:36" ht="63.75" x14ac:dyDescent="0.25">
      <c r="A40" s="48"/>
      <c r="B40" s="140" t="str">
        <f>IF('D-Temas x Perguntas'!A38="","",'D-Temas x Perguntas'!A38)</f>
        <v>08 - Disponibilidade e Continuidade</v>
      </c>
      <c r="C40" s="141"/>
      <c r="D40" s="23" t="str">
        <f>IF('D-Temas x Perguntas'!C38="","",'D-Temas x Perguntas'!C38)</f>
        <v>A solução tem ambiente de DR e/ou ambiente com HA (alta disponibilidade)?</v>
      </c>
      <c r="E40" s="23" t="str">
        <f>IF('D-Temas x Perguntas'!C38="","",'D-Temas x Perguntas'!E38)</f>
        <v>Procura identificar se o projeto terá ambiente em Alta Disponibilidade (H.A) ou ambiente para Recuperação de Desastre (D.R), com vista a perseguir as atividades a eles relacionadas, a exemplo de mas não limitadas a: configuração dos ambiente de H.A; criação do plano de teste de H.A; execução do plano de teste de H.A; configuração dos ambiente de D.R; criação do Plano de Continuidade de Sistemas (PCS); execução do PCS.</v>
      </c>
      <c r="F40" s="43"/>
      <c r="G40" s="43"/>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row>
    <row r="41" spans="1:36" ht="25.5" x14ac:dyDescent="0.25">
      <c r="A41" s="48"/>
      <c r="B41" s="140" t="str">
        <f>IF('D-Temas x Perguntas'!A39="","",'D-Temas x Perguntas'!A39)</f>
        <v>09 - Segurança</v>
      </c>
      <c r="C41" s="141"/>
      <c r="D41" s="23" t="str">
        <f>IF('D-Temas x Perguntas'!C39="","",'D-Temas x Perguntas'!C39)</f>
        <v>A demanda requer integração com Identidade Digital (NAM e/ou NDS)?</v>
      </c>
      <c r="E41" s="23" t="str">
        <f>IF('D-Temas x Perguntas'!C39="","",'D-Temas x Perguntas'!E39)</f>
        <v>Procura identificar as atividades que precisam ser perseguidas caso o projeto contemple a implementação de integração com NAM/NDS.</v>
      </c>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row>
    <row r="42" spans="1:36" ht="51" x14ac:dyDescent="0.25">
      <c r="A42" s="48"/>
      <c r="B42" s="140" t="str">
        <f>IF('D-Temas x Perguntas'!A40="","",'D-Temas x Perguntas'!A40)</f>
        <v>10 - Funcionalidades Críticas</v>
      </c>
      <c r="C42" s="141"/>
      <c r="D42" s="23" t="str">
        <f>IF('D-Temas x Perguntas'!C40="","",'D-Temas x Perguntas'!C40)</f>
        <v>O projeto envolve alteração em alguma funcionalidade critica que necessite da participação da equipe de Operações de TI na fase de DSOL?  (Funcionalidades Críticas encontram-se na aba de mesmo nome).</v>
      </c>
      <c r="E42" s="23" t="str">
        <f>IF('D-Temas x Perguntas'!C40="","",'D-Temas x Perguntas'!E40)</f>
        <v>Procura assegurar que a equipe do Projeto envolva, em tempo de Dsol,  as equipes de Operações responsáveis pelos sistemas que terão alguma funcionalidade crítica alterada (constantes da aba de mesmo nome).</v>
      </c>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c r="AJ42" s="43"/>
    </row>
    <row r="43" spans="1:36" ht="63.75" outlineLevel="1" x14ac:dyDescent="0.25">
      <c r="A43" s="48"/>
      <c r="B43" s="140" t="str">
        <f>IF('D-Temas x Perguntas'!A41="","",'D-Temas x Perguntas'!A41)</f>
        <v/>
      </c>
      <c r="C43" s="141"/>
      <c r="D43" s="23" t="str">
        <f>IF('D-Temas x Perguntas'!C41="","",'D-Temas x Perguntas'!C41)</f>
        <v>Há necessidade de adequação das funcionalidades de contingenciamento hoje existentes  (será necessário criação/adaptação de ferramentas de TI para tratamento de passivo?)</v>
      </c>
      <c r="E43" s="23" t="str">
        <f>IF('D-Temas x Perguntas'!C41="","",'D-Temas x Perguntas'!E41)</f>
        <v>Algumas aplicações têm um plano de contingência desenhado para uso na eventualidade de sua interrupção, programada ou não.
Esta questão procura verificar se existe tal plano para a aplicação/demanda em questão e, se sim, se será necessário a adequação em função do projeto que está sendo avaliado.</v>
      </c>
      <c r="F43" s="43"/>
      <c r="G43" s="43"/>
      <c r="H43" s="43"/>
      <c r="I43" s="43"/>
      <c r="J43" s="43"/>
      <c r="K43" s="43"/>
      <c r="L43" s="43"/>
      <c r="M43" s="43"/>
      <c r="N43" s="43"/>
      <c r="O43" s="43"/>
      <c r="P43" s="43"/>
      <c r="Q43" s="43"/>
      <c r="R43" s="43"/>
      <c r="S43" s="43"/>
      <c r="T43" s="43"/>
      <c r="U43" s="43"/>
      <c r="V43" s="43"/>
      <c r="W43" s="43"/>
      <c r="X43" s="43"/>
      <c r="Y43" s="43"/>
      <c r="Z43" s="43"/>
      <c r="AA43" s="43"/>
      <c r="AB43" s="43"/>
      <c r="AC43" s="43"/>
      <c r="AD43" s="43"/>
      <c r="AE43" s="43"/>
      <c r="AF43" s="43"/>
      <c r="AG43" s="43"/>
      <c r="AH43" s="43"/>
      <c r="AI43" s="43"/>
      <c r="AJ43" s="43"/>
    </row>
    <row r="44" spans="1:36" ht="51" x14ac:dyDescent="0.25">
      <c r="A44" s="48"/>
      <c r="B44" s="140" t="str">
        <f>IF('D-Temas x Perguntas'!A42="","",'D-Temas x Perguntas'!A42)</f>
        <v>99 - Entendimento da solução</v>
      </c>
      <c r="C44" s="141"/>
      <c r="D44" s="23" t="str">
        <f>IF('D-Temas x Perguntas'!C42="","",'D-Temas x Perguntas'!C42)</f>
        <v>A demanda implantará mecanismo de coleta de volumetria das transações?</v>
      </c>
      <c r="E44" s="23" t="str">
        <f>IF('D-Temas x Perguntas'!C42="","",'D-Temas x Perguntas'!E42)</f>
        <v>Procura identificar se foram consideradas as questões de configuração do tempo de timeout para as configurações síncronas.
Essa atividade deve ser entregue no releasenote da GMUD.</v>
      </c>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row>
    <row r="45" spans="1:36" ht="63.75" outlineLevel="1" x14ac:dyDescent="0.25">
      <c r="B45" s="140" t="str">
        <f>IF('D-Temas x Perguntas'!A43="","",'D-Temas x Perguntas'!A43)</f>
        <v/>
      </c>
      <c r="C45" s="141"/>
      <c r="D45" s="23" t="str">
        <f>IF('D-Temas x Perguntas'!C43="","",'D-Temas x Perguntas'!C43)</f>
        <v>A demanda fará integração com a engenharia?</v>
      </c>
      <c r="E45" s="23" t="str">
        <f>IF('D-Temas x Perguntas'!C43="","",'D-Temas x Perguntas'!E43)</f>
        <v>Procura promover o entendimento e desdobramentos decorrentes de uma eventual integração com as Operações e Rede (engenharia).
Ao visitar este tema os analistas devem verificar se existe algum ponto importante a ser considerado tanto no desenho da solução quanto nos processos operacionais.</v>
      </c>
      <c r="F45" s="43"/>
      <c r="G45" s="43"/>
      <c r="H45" s="43"/>
      <c r="I45" s="43"/>
      <c r="J45" s="43"/>
      <c r="K45" s="43"/>
      <c r="L45" s="43"/>
      <c r="M45" s="43"/>
      <c r="N45" s="43"/>
      <c r="O45" s="43"/>
      <c r="P45" s="43"/>
      <c r="Q45" s="43"/>
      <c r="R45" s="43"/>
      <c r="S45" s="43"/>
      <c r="T45" s="43"/>
      <c r="U45" s="43"/>
      <c r="V45" s="43"/>
      <c r="W45" s="43"/>
      <c r="X45" s="43"/>
      <c r="Y45" s="43"/>
      <c r="Z45" s="43"/>
      <c r="AA45" s="43"/>
      <c r="AB45" s="43"/>
      <c r="AC45" s="43"/>
      <c r="AD45" s="43"/>
      <c r="AE45" s="43"/>
      <c r="AF45" s="43"/>
      <c r="AG45" s="43"/>
      <c r="AH45" s="43"/>
      <c r="AI45" s="43"/>
      <c r="AJ45" s="43"/>
    </row>
    <row r="46" spans="1:36" ht="25.5" outlineLevel="1" x14ac:dyDescent="0.25">
      <c r="B46" s="140" t="str">
        <f>IF('D-Temas x Perguntas'!A44="","",'D-Temas x Perguntas'!A44)</f>
        <v/>
      </c>
      <c r="C46" s="141"/>
      <c r="D46" s="23" t="str">
        <f>IF('D-Temas x Perguntas'!C44="","",'D-Temas x Perguntas'!C44)</f>
        <v>A demanda tem necessidade de comunicação SSL?</v>
      </c>
      <c r="E46" s="23" t="str">
        <f>IF('D-Temas x Perguntas'!C44="","",'D-Temas x Perguntas'!E44)</f>
        <v>Procuara identificar se há necessidade de comunicação SSL. Se sim, verificar se os eventuais desdobramentos deste tema implica em ação a ser tomada para adaptar aos padrões da DIEO.</v>
      </c>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row>
    <row r="47" spans="1:36" ht="51" outlineLevel="1" x14ac:dyDescent="0.25">
      <c r="B47" s="140" t="str">
        <f>IF('D-Temas x Perguntas'!A45="","",'D-Temas x Perguntas'!A45)</f>
        <v/>
      </c>
      <c r="C47" s="141"/>
      <c r="D47" s="23" t="str">
        <f>IF('D-Temas x Perguntas'!C45="","",'D-Temas x Perguntas'!C45)</f>
        <v>A demanda implica em usar recurso de balanceamento de carga (Exemplo: F5)?</v>
      </c>
      <c r="E47" s="23" t="str">
        <f>IF('D-Temas x Perguntas'!C45="","",'D-Temas x Perguntas'!E45)</f>
        <v>Procura promover o entendimento e desdobramentos decorrentes do uso de balanceadores de carga.
Ao visitar este tema o analistas devem verificar se existe algum ponto importante a ser considerado tanto no desenho da solução quanto nos processos operacionais.</v>
      </c>
      <c r="F47" s="43"/>
      <c r="G47" s="43"/>
      <c r="H47" s="43"/>
      <c r="I47" s="43"/>
      <c r="J47" s="43"/>
      <c r="K47" s="43"/>
      <c r="L47" s="43"/>
      <c r="M47" s="43"/>
      <c r="N47" s="43"/>
      <c r="O47" s="43"/>
      <c r="P47" s="43"/>
      <c r="Q47" s="43"/>
      <c r="R47" s="43"/>
      <c r="S47" s="43"/>
      <c r="T47" s="43"/>
      <c r="U47" s="43"/>
      <c r="V47" s="43"/>
      <c r="W47" s="43"/>
      <c r="X47" s="43"/>
      <c r="Y47" s="43"/>
      <c r="Z47" s="43"/>
      <c r="AA47" s="43"/>
      <c r="AB47" s="43"/>
      <c r="AC47" s="43"/>
      <c r="AD47" s="43"/>
      <c r="AE47" s="43"/>
      <c r="AF47" s="43"/>
      <c r="AG47" s="43"/>
      <c r="AH47" s="43"/>
      <c r="AI47" s="43"/>
      <c r="AJ47" s="43"/>
    </row>
    <row r="48" spans="1:36" ht="63.75" outlineLevel="1" x14ac:dyDescent="0.25">
      <c r="B48" s="140" t="str">
        <f>IF('D-Temas x Perguntas'!A46="","",'D-Temas x Perguntas'!A46)</f>
        <v/>
      </c>
      <c r="C48" s="141"/>
      <c r="D48" s="23" t="str">
        <f>IF('D-Temas x Perguntas'!C46="","",'D-Temas x Perguntas'!C46)</f>
        <v>A demanda implica em usar recurso de replicação de dados (exemplo: rsync)?</v>
      </c>
      <c r="E48" s="23" t="str">
        <f>IF('D-Temas x Perguntas'!C46="","",'D-Temas x Perguntas'!E46)</f>
        <v>Procura promover o entendimento e desdobramentos decorrentes do uso de replicadores de dados (propagação) de uma forma geral e em particular para o mais conhecido deles, o rsync.
Ao visitar este tema o analistas devem verificar se existe algum ponto importante a ser considerado tanto no desenho da solução quanto nos processos operacionais.</v>
      </c>
      <c r="F48" s="43"/>
      <c r="G48" s="43"/>
      <c r="H48" s="43"/>
      <c r="I48" s="43"/>
      <c r="J48" s="43"/>
      <c r="K48" s="43"/>
      <c r="L48" s="43"/>
      <c r="M48" s="43"/>
      <c r="N48" s="43"/>
      <c r="O48" s="43"/>
      <c r="P48" s="43"/>
      <c r="Q48" s="43"/>
      <c r="R48" s="43"/>
      <c r="S48" s="43"/>
      <c r="T48" s="43"/>
      <c r="U48" s="43"/>
      <c r="V48" s="43"/>
      <c r="W48" s="43"/>
      <c r="X48" s="43"/>
      <c r="Y48" s="43"/>
      <c r="Z48" s="43"/>
      <c r="AA48" s="43"/>
      <c r="AB48" s="43"/>
      <c r="AC48" s="43"/>
      <c r="AD48" s="43"/>
      <c r="AE48" s="43"/>
      <c r="AF48" s="43"/>
      <c r="AG48" s="43"/>
      <c r="AH48" s="43"/>
      <c r="AI48" s="43"/>
      <c r="AJ48" s="43"/>
    </row>
    <row r="49" spans="2:36" ht="63.75" outlineLevel="1" x14ac:dyDescent="0.25">
      <c r="B49" s="140" t="str">
        <f>IF('D-Temas x Perguntas'!A47="","",'D-Temas x Perguntas'!A47)</f>
        <v/>
      </c>
      <c r="C49" s="141"/>
      <c r="D49" s="23" t="str">
        <f>IF('D-Temas x Perguntas'!C47="","",'D-Temas x Perguntas'!C47)</f>
        <v>A demanda implica em usar recurso de compartilhamento de disco? (Exemplo: OCFS2)</v>
      </c>
      <c r="E49" s="23" t="str">
        <f>IF('D-Temas x Perguntas'!C47="","",'D-Temas x Perguntas'!E47)</f>
        <v>Procura promover o entendimento e desdobramentos decorrentes do uso de compartilhadores de área de armazenamento (clusters de disco).
Ao visitar este tema o analistas devem verificar se existe algum ponto importante a ser considerado tanto no desenho da solução quanto nos processos operacionais.</v>
      </c>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row>
    <row r="50" spans="2:36" ht="63.75" outlineLevel="1" x14ac:dyDescent="0.25">
      <c r="B50" s="140" t="str">
        <f>IF('D-Temas x Perguntas'!A48="","",'D-Temas x Perguntas'!A48)</f>
        <v/>
      </c>
      <c r="C50" s="141"/>
      <c r="D50" s="23" t="str">
        <f>IF('D-Temas x Perguntas'!C48="","",'D-Temas x Perguntas'!C48)</f>
        <v>A demanda implica em usar recurso de cluster de sistema operacional? (Exemplo: RedHat Cluster)</v>
      </c>
      <c r="E50" s="23" t="str">
        <f>IF('D-Temas x Perguntas'!C48="","",'D-Temas x Perguntas'!E48)</f>
        <v>Procura promover o entendimento e desdobramentos decorrentes do uso de compartilhadores de serviço (clusters de serviço).
Ao visitar este tema o analistas devem verificar se existe algum ponto importante a ser considerado tanto no desenho da solução quanto nos processos operacionais.</v>
      </c>
      <c r="F50" s="43"/>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row>
    <row r="51" spans="2:36" ht="51" outlineLevel="1" x14ac:dyDescent="0.25">
      <c r="B51" s="140" t="str">
        <f>IF('D-Temas x Perguntas'!A49="","",'D-Temas x Perguntas'!A49)</f>
        <v/>
      </c>
      <c r="C51" s="141"/>
      <c r="D51" s="23" t="str">
        <f>IF('D-Temas x Perguntas'!C49="","",'D-Temas x Perguntas'!C49)</f>
        <v>A demanda implica em usar recurso de persistência em fila? (exemplo: JMS)</v>
      </c>
      <c r="E51" s="23" t="str">
        <f>IF('D-Temas x Perguntas'!C49="","",'D-Temas x Perguntas'!E49)</f>
        <v>Procura identificar se foram consideradas as questões de configuração do controle de fila. (Exemplo: Java Message Service - JMS.
Essa atividade deve ser entregue no Release Notes da GMUD.</v>
      </c>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row>
    <row r="52" spans="2:36" ht="51" outlineLevel="1" x14ac:dyDescent="0.25">
      <c r="B52" s="140" t="str">
        <f>IF('D-Temas x Perguntas'!A50="","",'D-Temas x Perguntas'!A50)</f>
        <v/>
      </c>
      <c r="C52" s="141"/>
      <c r="D52" s="23" t="str">
        <f>IF('D-Temas x Perguntas'!C50="","",'D-Temas x Perguntas'!C50)</f>
        <v>A demanda implica em usar integração síncrona?</v>
      </c>
      <c r="E52" s="23" t="str">
        <f>IF('D-Temas x Perguntas'!C50="","",'D-Temas x Perguntas'!E50)</f>
        <v>Procura identificar se foram consideradas as questões de configuração do tempo de timeout para as configurações síncronas.
Essa atividade deve ser entregue no releasenote da GMUD.</v>
      </c>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row>
    <row r="53" spans="2:36" ht="51" outlineLevel="1" x14ac:dyDescent="0.25">
      <c r="B53" s="140" t="str">
        <f>IF('D-Temas x Perguntas'!A51="","",'D-Temas x Perguntas'!A51)</f>
        <v/>
      </c>
      <c r="C53" s="141"/>
      <c r="D53" s="23" t="str">
        <f>IF('D-Temas x Perguntas'!C51="","",'D-Temas x Perguntas'!C51)</f>
        <v>A demanda implica em usar integração assíncrona?</v>
      </c>
      <c r="E53" s="23" t="str">
        <f>IF('D-Temas x Perguntas'!C51="","",'D-Temas x Perguntas'!E51)</f>
        <v>Procura identificar se foram consideradas as questões de configuração do controle de fila. (Exemplo: JMS).
Essa atividade deve ser entregue no releasenote da GMUD.</v>
      </c>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row>
    <row r="54" spans="2:36" ht="5.25" customHeight="1" x14ac:dyDescent="0.25"/>
    <row r="55" spans="2:36" ht="18" hidden="1" customHeight="1" x14ac:dyDescent="0.25"/>
    <row r="56" spans="2:36" ht="18" hidden="1" customHeight="1" x14ac:dyDescent="0.25"/>
    <row r="57" spans="2:36" ht="18" hidden="1" customHeight="1" x14ac:dyDescent="0.25"/>
    <row r="58" spans="2:36" ht="18" hidden="1" customHeight="1" x14ac:dyDescent="0.25"/>
    <row r="59" spans="2:36" ht="18" hidden="1" customHeight="1" x14ac:dyDescent="0.25"/>
    <row r="60" spans="2:36" hidden="1" x14ac:dyDescent="0.25"/>
    <row r="61" spans="2:36" hidden="1" x14ac:dyDescent="0.25"/>
    <row r="62" spans="2:36" hidden="1" x14ac:dyDescent="0.25"/>
    <row r="63" spans="2:36" hidden="1" x14ac:dyDescent="0.25"/>
    <row r="64" spans="2:36"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t="0.75" hidden="1" customHeight="1" x14ac:dyDescent="0.25"/>
  </sheetData>
  <sheetProtection password="8401" sheet="1" objects="1" scenarios="1" formatCells="0" formatColumns="0" formatRows="0" insertHyperlinks="0" autoFilter="0"/>
  <autoFilter ref="A6:AK52">
    <filterColumn colId="1" showButton="0"/>
  </autoFilter>
  <mergeCells count="83">
    <mergeCell ref="B53:C53"/>
    <mergeCell ref="B52:C52"/>
    <mergeCell ref="B48:C48"/>
    <mergeCell ref="B49:C49"/>
    <mergeCell ref="B50:C50"/>
    <mergeCell ref="B51:C51"/>
    <mergeCell ref="B47:C47"/>
    <mergeCell ref="B27:C27"/>
    <mergeCell ref="B28:C28"/>
    <mergeCell ref="B29:C29"/>
    <mergeCell ref="B30:C30"/>
    <mergeCell ref="B31:C31"/>
    <mergeCell ref="B32:C32"/>
    <mergeCell ref="B33:C33"/>
    <mergeCell ref="B34:C34"/>
    <mergeCell ref="B35:C35"/>
    <mergeCell ref="B36:C36"/>
    <mergeCell ref="B46:C46"/>
    <mergeCell ref="B37:C37"/>
    <mergeCell ref="B38:C38"/>
    <mergeCell ref="B39:C39"/>
    <mergeCell ref="B40:C40"/>
    <mergeCell ref="B41:C41"/>
    <mergeCell ref="B42:C42"/>
    <mergeCell ref="B43:C43"/>
    <mergeCell ref="B44:C44"/>
    <mergeCell ref="B45:C45"/>
    <mergeCell ref="B23:C23"/>
    <mergeCell ref="B24:C24"/>
    <mergeCell ref="B25:C25"/>
    <mergeCell ref="B26:C26"/>
    <mergeCell ref="B17:C17"/>
    <mergeCell ref="B18:C18"/>
    <mergeCell ref="B19:C19"/>
    <mergeCell ref="B20:C20"/>
    <mergeCell ref="B21:C21"/>
    <mergeCell ref="B22:C22"/>
    <mergeCell ref="B12:C12"/>
    <mergeCell ref="B13:C13"/>
    <mergeCell ref="B14:C14"/>
    <mergeCell ref="B15:C15"/>
    <mergeCell ref="B16:C16"/>
    <mergeCell ref="B7:C7"/>
    <mergeCell ref="B8:C8"/>
    <mergeCell ref="B9:C9"/>
    <mergeCell ref="B10:C10"/>
    <mergeCell ref="B11:C11"/>
    <mergeCell ref="AI2:AI6"/>
    <mergeCell ref="AJ2:AJ6"/>
    <mergeCell ref="C1:D1"/>
    <mergeCell ref="AD2:AD6"/>
    <mergeCell ref="AE2:AE6"/>
    <mergeCell ref="AF2:AF6"/>
    <mergeCell ref="AG2:AG6"/>
    <mergeCell ref="AH2:AH6"/>
    <mergeCell ref="Y2:Y6"/>
    <mergeCell ref="Z2:Z6"/>
    <mergeCell ref="AA2:AA6"/>
    <mergeCell ref="AB2:AB6"/>
    <mergeCell ref="AC2:AC6"/>
    <mergeCell ref="T2:T6"/>
    <mergeCell ref="U2:U6"/>
    <mergeCell ref="V2:V6"/>
    <mergeCell ref="W2:W6"/>
    <mergeCell ref="X2:X6"/>
    <mergeCell ref="O2:O6"/>
    <mergeCell ref="P2:P6"/>
    <mergeCell ref="Q2:Q6"/>
    <mergeCell ref="R2:R6"/>
    <mergeCell ref="S2:S6"/>
    <mergeCell ref="J2:J6"/>
    <mergeCell ref="K2:K6"/>
    <mergeCell ref="L2:L6"/>
    <mergeCell ref="M2:M6"/>
    <mergeCell ref="N2:N6"/>
    <mergeCell ref="B4:D5"/>
    <mergeCell ref="F2:F6"/>
    <mergeCell ref="G2:G6"/>
    <mergeCell ref="H2:H6"/>
    <mergeCell ref="I2:I6"/>
    <mergeCell ref="B6:C6"/>
    <mergeCell ref="C2:E2"/>
    <mergeCell ref="C3:E3"/>
  </mergeCells>
  <dataValidations count="1">
    <dataValidation type="list" allowBlank="1" showInputMessage="1" showErrorMessage="1" sqref="F7:AJ53">
      <formula1>"Sim,Não,NA,Verificar,"</formula1>
    </dataValidation>
  </dataValidations>
  <pageMargins left="0.511811024" right="0.511811024" top="0.78740157499999996" bottom="0.78740157499999996" header="0.31496062000000002" footer="0.31496062000000002"/>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tabColor rgb="FF00B0F0"/>
    <outlinePr summaryBelow="0" summaryRight="0"/>
  </sheetPr>
  <dimension ref="A1:AM72"/>
  <sheetViews>
    <sheetView showGridLines="0" zoomScale="70" zoomScaleNormal="70" workbookViewId="0">
      <pane xSplit="6" ySplit="5" topLeftCell="G6" activePane="bottomRight" state="frozen"/>
      <selection pane="topRight" activeCell="G1" sqref="G1"/>
      <selection pane="bottomLeft" activeCell="A16" sqref="A16"/>
      <selection pane="bottomRight" activeCell="G6" sqref="G6"/>
    </sheetView>
  </sheetViews>
  <sheetFormatPr defaultColWidth="0" defaultRowHeight="39.75" customHeight="1" zeroHeight="1" outlineLevelRow="1" x14ac:dyDescent="0.25"/>
  <cols>
    <col min="1" max="1" width="0.85546875" customWidth="1"/>
    <col min="2" max="2" width="16.28515625" style="6" customWidth="1"/>
    <col min="3" max="3" width="14.140625" style="54" customWidth="1"/>
    <col min="4" max="4" width="56.7109375" style="19" customWidth="1"/>
    <col min="5" max="5" width="51" style="6" customWidth="1"/>
    <col min="6" max="6" width="46.28515625" style="6" customWidth="1"/>
    <col min="7" max="7" width="10.28515625" style="28" customWidth="1"/>
    <col min="8" max="8" width="10.28515625" style="51" customWidth="1"/>
    <col min="9" max="37" width="10.28515625" customWidth="1"/>
    <col min="38" max="38" width="1" customWidth="1"/>
    <col min="39" max="39" width="0" hidden="1" customWidth="1"/>
    <col min="40" max="16384" width="9.140625" hidden="1"/>
  </cols>
  <sheetData>
    <row r="1" spans="1:37" s="50" customFormat="1" ht="4.5" customHeight="1" outlineLevel="1" x14ac:dyDescent="0.25">
      <c r="B1" s="51"/>
      <c r="C1" s="54"/>
      <c r="D1" s="51"/>
      <c r="E1" s="51"/>
      <c r="F1" s="51"/>
      <c r="G1" s="51"/>
      <c r="H1" s="51"/>
    </row>
    <row r="2" spans="1:37" s="49" customFormat="1" ht="28.5" customHeight="1" outlineLevel="1" x14ac:dyDescent="0.25">
      <c r="A2" s="29"/>
      <c r="B2" s="85"/>
      <c r="C2" s="143" t="s">
        <v>250</v>
      </c>
      <c r="D2" s="143"/>
      <c r="E2" s="143"/>
      <c r="F2" s="100"/>
      <c r="G2" s="142" t="str">
        <f>IF('Mapa Impacto'!F2="","",'Mapa Impacto'!F2)</f>
        <v>Sistema 1</v>
      </c>
      <c r="H2" s="142" t="str">
        <f>IF('Mapa Impacto'!G2="","",'Mapa Impacto'!G2)</f>
        <v>Sistema 2</v>
      </c>
      <c r="I2" s="142" t="str">
        <f>IF('Mapa Impacto'!H2="","",'Mapa Impacto'!H2)</f>
        <v>Sistema 3</v>
      </c>
      <c r="J2" s="142" t="str">
        <f>IF('Mapa Impacto'!I2="","",'Mapa Impacto'!I2)</f>
        <v>Sistema 4</v>
      </c>
      <c r="K2" s="142" t="str">
        <f>IF('Mapa Impacto'!J2="","",'Mapa Impacto'!J2)</f>
        <v>Sistema 5</v>
      </c>
      <c r="L2" s="142" t="str">
        <f>IF('Mapa Impacto'!K2="","",'Mapa Impacto'!K2)</f>
        <v>Sistema 6</v>
      </c>
      <c r="M2" s="142" t="str">
        <f>IF('Mapa Impacto'!L2="","",'Mapa Impacto'!L2)</f>
        <v>Sistema 7</v>
      </c>
      <c r="N2" s="142" t="str">
        <f>IF('Mapa Impacto'!M2="","",'Mapa Impacto'!M2)</f>
        <v>Sistema 8</v>
      </c>
      <c r="O2" s="142" t="str">
        <f>IF('Mapa Impacto'!N2="","",'Mapa Impacto'!N2)</f>
        <v>Sistema 9</v>
      </c>
      <c r="P2" s="142" t="str">
        <f>IF('Mapa Impacto'!O2="","",'Mapa Impacto'!O2)</f>
        <v>Sistema 10</v>
      </c>
      <c r="Q2" s="142" t="str">
        <f>IF('Mapa Impacto'!P2="","",'Mapa Impacto'!P2)</f>
        <v>Sistema 11</v>
      </c>
      <c r="R2" s="142" t="str">
        <f>IF('Mapa Impacto'!Q2="","",'Mapa Impacto'!Q2)</f>
        <v>Sistema 12</v>
      </c>
      <c r="S2" s="142" t="str">
        <f>IF('Mapa Impacto'!R2="","",'Mapa Impacto'!R2)</f>
        <v>Sistema 13</v>
      </c>
      <c r="T2" s="142" t="str">
        <f>IF('Mapa Impacto'!S2="","",'Mapa Impacto'!S2)</f>
        <v>Sistema 14</v>
      </c>
      <c r="U2" s="142" t="str">
        <f>IF('Mapa Impacto'!T2="","",'Mapa Impacto'!T2)</f>
        <v>Sistema 15</v>
      </c>
      <c r="V2" s="142" t="str">
        <f>IF('Mapa Impacto'!U2="","",'Mapa Impacto'!U2)</f>
        <v>Sistema 16</v>
      </c>
      <c r="W2" s="142" t="str">
        <f>IF('Mapa Impacto'!V2="","",'Mapa Impacto'!V2)</f>
        <v>Sistema 17</v>
      </c>
      <c r="X2" s="142" t="str">
        <f>IF('Mapa Impacto'!W2="","",'Mapa Impacto'!W2)</f>
        <v>Sistema 18</v>
      </c>
      <c r="Y2" s="142" t="str">
        <f>IF('Mapa Impacto'!X2="","",'Mapa Impacto'!X2)</f>
        <v>Sistema 19</v>
      </c>
      <c r="Z2" s="142" t="str">
        <f>IF('Mapa Impacto'!Y2="","",'Mapa Impacto'!Y2)</f>
        <v>Sistema 20</v>
      </c>
      <c r="AA2" s="142" t="str">
        <f>IF('Mapa Impacto'!Z2="","",'Mapa Impacto'!Z2)</f>
        <v>Sistema 21</v>
      </c>
      <c r="AB2" s="142" t="str">
        <f>IF('Mapa Impacto'!AA2="","",'Mapa Impacto'!AA2)</f>
        <v>Sistema 22</v>
      </c>
      <c r="AC2" s="142" t="str">
        <f>IF('Mapa Impacto'!AB2="","",'Mapa Impacto'!AB2)</f>
        <v>Sistema 23</v>
      </c>
      <c r="AD2" s="142" t="str">
        <f>IF('Mapa Impacto'!AC2="","",'Mapa Impacto'!AC2)</f>
        <v>Sistema 24</v>
      </c>
      <c r="AE2" s="142" t="str">
        <f>IF('Mapa Impacto'!AD2="","",'Mapa Impacto'!AD2)</f>
        <v>Sistema 25</v>
      </c>
      <c r="AF2" s="142" t="str">
        <f>IF('Mapa Impacto'!AE2="","",'Mapa Impacto'!AE2)</f>
        <v>Sistema 26</v>
      </c>
      <c r="AG2" s="142" t="str">
        <f>IF('Mapa Impacto'!AF2="","",'Mapa Impacto'!AF2)</f>
        <v>Sistema 27</v>
      </c>
      <c r="AH2" s="142" t="str">
        <f>IF('Mapa Impacto'!AG2="","",'Mapa Impacto'!AG2)</f>
        <v>Sistema 28</v>
      </c>
      <c r="AI2" s="142" t="str">
        <f>IF('Mapa Impacto'!AH2="","",'Mapa Impacto'!AH2)</f>
        <v>Sistema 29</v>
      </c>
      <c r="AJ2" s="142" t="str">
        <f>IF('Mapa Impacto'!AI2="","",'Mapa Impacto'!AI2)</f>
        <v>Sistema 30</v>
      </c>
      <c r="AK2" s="142" t="str">
        <f>IF('Mapa Impacto'!AJ2="","",'Mapa Impacto'!AJ2)</f>
        <v>Sistema 31</v>
      </c>
    </row>
    <row r="3" spans="1:37" s="49" customFormat="1" ht="53.25" customHeight="1" outlineLevel="1" x14ac:dyDescent="0.25">
      <c r="A3" s="29"/>
      <c r="B3" s="86"/>
      <c r="C3" s="148" t="s">
        <v>336</v>
      </c>
      <c r="D3" s="148"/>
      <c r="E3" s="148"/>
      <c r="F3" s="148"/>
      <c r="G3" s="142"/>
      <c r="H3" s="142"/>
      <c r="I3" s="142"/>
      <c r="J3" s="142"/>
      <c r="K3" s="142"/>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row>
    <row r="4" spans="1:37" ht="4.5" customHeight="1" outlineLevel="1" x14ac:dyDescent="0.25">
      <c r="A4" s="29"/>
      <c r="B4" s="30"/>
      <c r="C4" s="52"/>
      <c r="D4" s="30"/>
      <c r="E4" s="30"/>
      <c r="F4" s="30"/>
      <c r="G4" s="142"/>
      <c r="H4" s="142"/>
      <c r="I4" s="142"/>
      <c r="J4" s="142"/>
      <c r="K4" s="142"/>
      <c r="L4" s="142"/>
      <c r="M4" s="142"/>
      <c r="N4" s="142"/>
      <c r="O4" s="142"/>
      <c r="P4" s="142"/>
      <c r="Q4" s="142"/>
      <c r="R4" s="142"/>
      <c r="S4" s="142"/>
      <c r="T4" s="142"/>
      <c r="U4" s="142"/>
      <c r="V4" s="142"/>
      <c r="W4" s="142"/>
      <c r="X4" s="142"/>
      <c r="Y4" s="142"/>
      <c r="Z4" s="142"/>
      <c r="AA4" s="142"/>
      <c r="AB4" s="142"/>
      <c r="AC4" s="142"/>
      <c r="AD4" s="142"/>
      <c r="AE4" s="142"/>
      <c r="AF4" s="142"/>
      <c r="AG4" s="142"/>
      <c r="AH4" s="142"/>
      <c r="AI4" s="142"/>
      <c r="AJ4" s="142"/>
      <c r="AK4" s="142"/>
    </row>
    <row r="5" spans="1:37" s="17" customFormat="1" ht="27" customHeight="1" x14ac:dyDescent="0.25">
      <c r="B5" s="146" t="s">
        <v>24</v>
      </c>
      <c r="C5" s="147"/>
      <c r="D5" s="101" t="s">
        <v>26</v>
      </c>
      <c r="E5" s="102" t="s">
        <v>28</v>
      </c>
      <c r="F5" s="103" t="s">
        <v>27</v>
      </c>
      <c r="G5" s="142"/>
      <c r="H5" s="142"/>
      <c r="I5" s="142"/>
      <c r="J5" s="142"/>
      <c r="K5" s="142"/>
      <c r="L5" s="142"/>
      <c r="M5" s="142"/>
      <c r="N5" s="142"/>
      <c r="O5" s="142"/>
      <c r="P5" s="142"/>
      <c r="Q5" s="142"/>
      <c r="R5" s="142"/>
      <c r="S5" s="142"/>
      <c r="T5" s="142"/>
      <c r="U5" s="142"/>
      <c r="V5" s="142"/>
      <c r="W5" s="142"/>
      <c r="X5" s="142"/>
      <c r="Y5" s="142"/>
      <c r="Z5" s="142"/>
      <c r="AA5" s="142"/>
      <c r="AB5" s="142"/>
      <c r="AC5" s="142"/>
      <c r="AD5" s="142"/>
      <c r="AE5" s="142"/>
      <c r="AF5" s="142"/>
      <c r="AG5" s="142"/>
      <c r="AH5" s="142"/>
      <c r="AI5" s="142"/>
      <c r="AJ5" s="142"/>
      <c r="AK5" s="142"/>
    </row>
    <row r="6" spans="1:37" ht="30" x14ac:dyDescent="0.25">
      <c r="B6" s="144" t="str">
        <f>'Checklist Impacto Operações TI'!A2</f>
        <v>01 - Governança</v>
      </c>
      <c r="C6" s="145"/>
      <c r="D6" s="24" t="str">
        <f>'Checklist Impacto Operações TI'!C2</f>
        <v xml:space="preserve">A aplicação é nova ou não cadastrada no Portal da Arquitetura/CMDB? </v>
      </c>
      <c r="E6" s="24" t="str">
        <f>'Checklist Impacto Operações TI'!D2</f>
        <v>Bloco - Implantar Governança para Aplicação</v>
      </c>
      <c r="F6" s="24" t="str">
        <f>'Checklist Impacto Operações TI'!E2</f>
        <v>Cadastro da Aplicação no Site da Aquitetura e CMDB</v>
      </c>
      <c r="G6" s="24" t="str">
        <f>IF(G$2="","",IF(COUNTIFS('Mapa Impacto'!$D$7:$D$100,'Resumo Atividades x Sistema'!$D6,'Mapa Impacto'!F$7:F$100,"Sim")&gt;0,"Sim","Não"))</f>
        <v>Não</v>
      </c>
      <c r="H6" s="24" t="str">
        <f>IF(H$2="","",IF(COUNTIFS('Mapa Impacto'!$D$7:$D$100,'Resumo Atividades x Sistema'!$D6,'Mapa Impacto'!G$7:G$100,"Sim")&gt;0,"Sim","Não"))</f>
        <v>Não</v>
      </c>
      <c r="I6" s="24" t="str">
        <f>IF(I$2="","",IF(COUNTIFS('Mapa Impacto'!$D$7:$D$100,'Resumo Atividades x Sistema'!$D6,'Mapa Impacto'!H$7:H$100,"Sim")&gt;0,"Sim","Não"))</f>
        <v>Não</v>
      </c>
      <c r="J6" s="24" t="str">
        <f>IF(J$2="","",IF(COUNTIFS('Mapa Impacto'!$D$7:$D$100,'Resumo Atividades x Sistema'!$D6,'Mapa Impacto'!I$7:I$100,"Sim")&gt;0,"Sim","Não"))</f>
        <v>Não</v>
      </c>
      <c r="K6" s="24" t="str">
        <f>IF(K$2="","",IF(COUNTIFS('Mapa Impacto'!$D$7:$D$100,'Resumo Atividades x Sistema'!$D6,'Mapa Impacto'!J$7:J$100,"Sim")&gt;0,"Sim","Não"))</f>
        <v>Não</v>
      </c>
      <c r="L6" s="24" t="str">
        <f>IF(L$2="","",IF(COUNTIFS('Mapa Impacto'!$D$7:$D$100,'Resumo Atividades x Sistema'!$D6,'Mapa Impacto'!K$7:K$100,"Sim")&gt;0,"Sim","Não"))</f>
        <v>Não</v>
      </c>
      <c r="M6" s="24" t="str">
        <f>IF(M$2="","",IF(COUNTIFS('Mapa Impacto'!$D$7:$D$100,'Resumo Atividades x Sistema'!$D6,'Mapa Impacto'!L$7:L$100,"Sim")&gt;0,"Sim","Não"))</f>
        <v>Não</v>
      </c>
      <c r="N6" s="24" t="str">
        <f>IF(N$2="","",IF(COUNTIFS('Mapa Impacto'!$D$7:$D$100,'Resumo Atividades x Sistema'!$D6,'Mapa Impacto'!M$7:M$100,"Sim")&gt;0,"Sim","Não"))</f>
        <v>Não</v>
      </c>
      <c r="O6" s="24" t="str">
        <f>IF(O$2="","",IF(COUNTIFS('Mapa Impacto'!$D$7:$D$100,'Resumo Atividades x Sistema'!$D6,'Mapa Impacto'!N$7:N$100,"Sim")&gt;0,"Sim","Não"))</f>
        <v>Não</v>
      </c>
      <c r="P6" s="24" t="str">
        <f>IF(P$2="","",IF(COUNTIFS('Mapa Impacto'!$D$7:$D$100,'Resumo Atividades x Sistema'!$D6,'Mapa Impacto'!O$7:O$100,"Sim")&gt;0,"Sim","Não"))</f>
        <v>Não</v>
      </c>
      <c r="Q6" s="24" t="str">
        <f>IF(Q$2="","",IF(COUNTIFS('Mapa Impacto'!$D$7:$D$100,'Resumo Atividades x Sistema'!$D6,'Mapa Impacto'!P$7:P$100,"Sim")&gt;0,"Sim","Não"))</f>
        <v>Não</v>
      </c>
      <c r="R6" s="24" t="str">
        <f>IF(R$2="","",IF(COUNTIFS('Mapa Impacto'!$D$7:$D$100,'Resumo Atividades x Sistema'!$D6,'Mapa Impacto'!Q$7:Q$100,"Sim")&gt;0,"Sim","Não"))</f>
        <v>Não</v>
      </c>
      <c r="S6" s="24" t="str">
        <f>IF(S$2="","",IF(COUNTIFS('Mapa Impacto'!$D$7:$D$100,'Resumo Atividades x Sistema'!$D6,'Mapa Impacto'!R$7:R$100,"Sim")&gt;0,"Sim","Não"))</f>
        <v>Não</v>
      </c>
      <c r="T6" s="24" t="str">
        <f>IF(T$2="","",IF(COUNTIFS('Mapa Impacto'!$D$7:$D$100,'Resumo Atividades x Sistema'!$D6,'Mapa Impacto'!S$7:S$100,"Sim")&gt;0,"Sim","Não"))</f>
        <v>Não</v>
      </c>
      <c r="U6" s="24" t="str">
        <f>IF(U$2="","",IF(COUNTIFS('Mapa Impacto'!$D$7:$D$100,'Resumo Atividades x Sistema'!$D6,'Mapa Impacto'!T$7:T$100,"Sim")&gt;0,"Sim","Não"))</f>
        <v>Não</v>
      </c>
      <c r="V6" s="24" t="str">
        <f>IF(V$2="","",IF(COUNTIFS('Mapa Impacto'!$D$7:$D$100,'Resumo Atividades x Sistema'!$D6,'Mapa Impacto'!U$7:U$100,"Sim")&gt;0,"Sim","Não"))</f>
        <v>Não</v>
      </c>
      <c r="W6" s="24" t="str">
        <f>IF(W$2="","",IF(COUNTIFS('Mapa Impacto'!$D$7:$D$100,'Resumo Atividades x Sistema'!$D6,'Mapa Impacto'!V$7:V$100,"Sim")&gt;0,"Sim","Não"))</f>
        <v>Não</v>
      </c>
      <c r="X6" s="24" t="str">
        <f>IF(X$2="","",IF(COUNTIFS('Mapa Impacto'!$D$7:$D$100,'Resumo Atividades x Sistema'!$D6,'Mapa Impacto'!W$7:W$100,"Sim")&gt;0,"Sim","Não"))</f>
        <v>Não</v>
      </c>
      <c r="Y6" s="24" t="str">
        <f>IF(Y$2="","",IF(COUNTIFS('Mapa Impacto'!$D$7:$D$100,'Resumo Atividades x Sistema'!$D6,'Mapa Impacto'!X$7:X$100,"Sim")&gt;0,"Sim","Não"))</f>
        <v>Não</v>
      </c>
      <c r="Z6" s="24" t="str">
        <f>IF(Z$2="","",IF(COUNTIFS('Mapa Impacto'!$D$7:$D$100,'Resumo Atividades x Sistema'!$D6,'Mapa Impacto'!Y$7:Y$100,"Sim")&gt;0,"Sim","Não"))</f>
        <v>Não</v>
      </c>
      <c r="AA6" s="24" t="str">
        <f>IF(AA$2="","",IF(COUNTIFS('Mapa Impacto'!$D$7:$D$100,'Resumo Atividades x Sistema'!$D6,'Mapa Impacto'!Z$7:Z$100,"Sim")&gt;0,"Sim","Não"))</f>
        <v>Não</v>
      </c>
      <c r="AB6" s="24" t="str">
        <f>IF(AB$2="","",IF(COUNTIFS('Mapa Impacto'!$D$7:$D$100,'Resumo Atividades x Sistema'!$D6,'Mapa Impacto'!AA$7:AA$100,"Sim")&gt;0,"Sim","Não"))</f>
        <v>Não</v>
      </c>
      <c r="AC6" s="24" t="str">
        <f>IF(AC$2="","",IF(COUNTIFS('Mapa Impacto'!$D$7:$D$100,'Resumo Atividades x Sistema'!$D6,'Mapa Impacto'!AB$7:AB$100,"Sim")&gt;0,"Sim","Não"))</f>
        <v>Não</v>
      </c>
      <c r="AD6" s="24" t="str">
        <f>IF(AD$2="","",IF(COUNTIFS('Mapa Impacto'!$D$7:$D$100,'Resumo Atividades x Sistema'!$D6,'Mapa Impacto'!AC$7:AC$100,"Sim")&gt;0,"Sim","Não"))</f>
        <v>Não</v>
      </c>
      <c r="AE6" s="24" t="str">
        <f>IF(AE$2="","",IF(COUNTIFS('Mapa Impacto'!$D$7:$D$100,'Resumo Atividades x Sistema'!$D6,'Mapa Impacto'!AD$7:AD$100,"Sim")&gt;0,"Sim","Não"))</f>
        <v>Não</v>
      </c>
      <c r="AF6" s="24" t="str">
        <f>IF(AF$2="","",IF(COUNTIFS('Mapa Impacto'!$D$7:$D$100,'Resumo Atividades x Sistema'!$D6,'Mapa Impacto'!AE$7:AE$100,"Sim")&gt;0,"Sim","Não"))</f>
        <v>Não</v>
      </c>
      <c r="AG6" s="24" t="str">
        <f>IF(AG$2="","",IF(COUNTIFS('Mapa Impacto'!$D$7:$D$100,'Resumo Atividades x Sistema'!$D6,'Mapa Impacto'!AF$7:AF$100,"Sim")&gt;0,"Sim","Não"))</f>
        <v>Não</v>
      </c>
      <c r="AH6" s="24" t="str">
        <f>IF(AH$2="","",IF(COUNTIFS('Mapa Impacto'!$D$7:$D$100,'Resumo Atividades x Sistema'!$D6,'Mapa Impacto'!AG$7:AG$100,"Sim")&gt;0,"Sim","Não"))</f>
        <v>Não</v>
      </c>
      <c r="AI6" s="24" t="str">
        <f>IF(AI$2="","",IF(COUNTIFS('Mapa Impacto'!$D$7:$D$100,'Resumo Atividades x Sistema'!$D6,'Mapa Impacto'!AH$7:AH$100,"Sim")&gt;0,"Sim","Não"))</f>
        <v>Não</v>
      </c>
      <c r="AJ6" s="24" t="str">
        <f>IF(AJ$2="","",IF(COUNTIFS('Mapa Impacto'!$D$7:$D$100,'Resumo Atividades x Sistema'!$D6,'Mapa Impacto'!AI$7:AI$100,"Sim")&gt;0,"Sim","Não"))</f>
        <v>Não</v>
      </c>
      <c r="AK6" s="24" t="str">
        <f>IF(AK$2="","",IF(COUNTIFS('Mapa Impacto'!$D$7:$D$100,'Resumo Atividades x Sistema'!$D6,'Mapa Impacto'!AJ$7:AJ$100,"Sim")&gt;0,"Sim","Não"))</f>
        <v>Não</v>
      </c>
    </row>
    <row r="7" spans="1:37" ht="45" x14ac:dyDescent="0.25">
      <c r="B7" s="144" t="str">
        <f>'Checklist Impacto Operações TI'!A3</f>
        <v>02 - Operação Infraweb</v>
      </c>
      <c r="C7" s="145"/>
      <c r="D7" s="24" t="str">
        <f>'Checklist Impacto Operações TI'!C3</f>
        <v>A demanda implica em instalar novo Application Server (ambiente de infraweb)?</v>
      </c>
      <c r="E7" s="24" t="str">
        <f>'Checklist Impacto Operações TI'!D3</f>
        <v xml:space="preserve">Bloco - Disponibilizar ambientes operacionais do projeto (Produção, Homologação Testes Integrado etc) </v>
      </c>
      <c r="F7" s="24" t="str">
        <f>'Checklist Impacto Operações TI'!E3</f>
        <v>Ambientes criados e disponiveis para uso</v>
      </c>
      <c r="G7" s="24" t="str">
        <f>IF(G$2="","",IF(COUNTIFS('Mapa Impacto'!$D$7:$D$100,'Resumo Atividades x Sistema'!$D7,'Mapa Impacto'!F$7:F$100,"Sim")&gt;0,"Sim","Não"))</f>
        <v>Não</v>
      </c>
      <c r="H7" s="24" t="str">
        <f>IF(H$2="","",IF(COUNTIFS('Mapa Impacto'!$D$7:$D$100,'Resumo Atividades x Sistema'!$D7,'Mapa Impacto'!G$7:G$100,"Sim")&gt;0,"Sim","Não"))</f>
        <v>Não</v>
      </c>
      <c r="I7" s="24" t="str">
        <f>IF(I$2="","",IF(COUNTIFS('Mapa Impacto'!$D$7:$D$100,'Resumo Atividades x Sistema'!$D7,'Mapa Impacto'!H$7:H$100,"Sim")&gt;0,"Sim","Não"))</f>
        <v>Não</v>
      </c>
      <c r="J7" s="24" t="str">
        <f>IF(J$2="","",IF(COUNTIFS('Mapa Impacto'!$D$7:$D$100,'Resumo Atividades x Sistema'!$D7,'Mapa Impacto'!I$7:I$100,"Sim")&gt;0,"Sim","Não"))</f>
        <v>Não</v>
      </c>
      <c r="K7" s="24" t="str">
        <f>IF(K$2="","",IF(COUNTIFS('Mapa Impacto'!$D$7:$D$100,'Resumo Atividades x Sistema'!$D7,'Mapa Impacto'!J$7:J$100,"Sim")&gt;0,"Sim","Não"))</f>
        <v>Não</v>
      </c>
      <c r="L7" s="24" t="str">
        <f>IF(L$2="","",IF(COUNTIFS('Mapa Impacto'!$D$7:$D$100,'Resumo Atividades x Sistema'!$D7,'Mapa Impacto'!K$7:K$100,"Sim")&gt;0,"Sim","Não"))</f>
        <v>Não</v>
      </c>
      <c r="M7" s="24" t="str">
        <f>IF(M$2="","",IF(COUNTIFS('Mapa Impacto'!$D$7:$D$100,'Resumo Atividades x Sistema'!$D7,'Mapa Impacto'!L$7:L$100,"Sim")&gt;0,"Sim","Não"))</f>
        <v>Não</v>
      </c>
      <c r="N7" s="24" t="str">
        <f>IF(N$2="","",IF(COUNTIFS('Mapa Impacto'!$D$7:$D$100,'Resumo Atividades x Sistema'!$D7,'Mapa Impacto'!M$7:M$100,"Sim")&gt;0,"Sim","Não"))</f>
        <v>Não</v>
      </c>
      <c r="O7" s="24" t="str">
        <f>IF(O$2="","",IF(COUNTIFS('Mapa Impacto'!$D$7:$D$100,'Resumo Atividades x Sistema'!$D7,'Mapa Impacto'!N$7:N$100,"Sim")&gt;0,"Sim","Não"))</f>
        <v>Não</v>
      </c>
      <c r="P7" s="24" t="str">
        <f>IF(P$2="","",IF(COUNTIFS('Mapa Impacto'!$D$7:$D$100,'Resumo Atividades x Sistema'!$D7,'Mapa Impacto'!O$7:O$100,"Sim")&gt;0,"Sim","Não"))</f>
        <v>Não</v>
      </c>
      <c r="Q7" s="24" t="str">
        <f>IF(Q$2="","",IF(COUNTIFS('Mapa Impacto'!$D$7:$D$100,'Resumo Atividades x Sistema'!$D7,'Mapa Impacto'!P$7:P$100,"Sim")&gt;0,"Sim","Não"))</f>
        <v>Não</v>
      </c>
      <c r="R7" s="24" t="str">
        <f>IF(R$2="","",IF(COUNTIFS('Mapa Impacto'!$D$7:$D$100,'Resumo Atividades x Sistema'!$D7,'Mapa Impacto'!Q$7:Q$100,"Sim")&gt;0,"Sim","Não"))</f>
        <v>Não</v>
      </c>
      <c r="S7" s="24" t="str">
        <f>IF(S$2="","",IF(COUNTIFS('Mapa Impacto'!$D$7:$D$100,'Resumo Atividades x Sistema'!$D7,'Mapa Impacto'!R$7:R$100,"Sim")&gt;0,"Sim","Não"))</f>
        <v>Não</v>
      </c>
      <c r="T7" s="24" t="str">
        <f>IF(T$2="","",IF(COUNTIFS('Mapa Impacto'!$D$7:$D$100,'Resumo Atividades x Sistema'!$D7,'Mapa Impacto'!S$7:S$100,"Sim")&gt;0,"Sim","Não"))</f>
        <v>Não</v>
      </c>
      <c r="U7" s="24" t="str">
        <f>IF(U$2="","",IF(COUNTIFS('Mapa Impacto'!$D$7:$D$100,'Resumo Atividades x Sistema'!$D7,'Mapa Impacto'!T$7:T$100,"Sim")&gt;0,"Sim","Não"))</f>
        <v>Não</v>
      </c>
      <c r="V7" s="24" t="str">
        <f>IF(V$2="","",IF(COUNTIFS('Mapa Impacto'!$D$7:$D$100,'Resumo Atividades x Sistema'!$D7,'Mapa Impacto'!U$7:U$100,"Sim")&gt;0,"Sim","Não"))</f>
        <v>Não</v>
      </c>
      <c r="W7" s="24" t="str">
        <f>IF(W$2="","",IF(COUNTIFS('Mapa Impacto'!$D$7:$D$100,'Resumo Atividades x Sistema'!$D7,'Mapa Impacto'!V$7:V$100,"Sim")&gt;0,"Sim","Não"))</f>
        <v>Não</v>
      </c>
      <c r="X7" s="24" t="str">
        <f>IF(X$2="","",IF(COUNTIFS('Mapa Impacto'!$D$7:$D$100,'Resumo Atividades x Sistema'!$D7,'Mapa Impacto'!W$7:W$100,"Sim")&gt;0,"Sim","Não"))</f>
        <v>Não</v>
      </c>
      <c r="Y7" s="24" t="str">
        <f>IF(Y$2="","",IF(COUNTIFS('Mapa Impacto'!$D$7:$D$100,'Resumo Atividades x Sistema'!$D7,'Mapa Impacto'!X$7:X$100,"Sim")&gt;0,"Sim","Não"))</f>
        <v>Não</v>
      </c>
      <c r="Z7" s="24" t="str">
        <f>IF(Z$2="","",IF(COUNTIFS('Mapa Impacto'!$D$7:$D$100,'Resumo Atividades x Sistema'!$D7,'Mapa Impacto'!Y$7:Y$100,"Sim")&gt;0,"Sim","Não"))</f>
        <v>Não</v>
      </c>
      <c r="AA7" s="24" t="str">
        <f>IF(AA$2="","",IF(COUNTIFS('Mapa Impacto'!$D$7:$D$100,'Resumo Atividades x Sistema'!$D7,'Mapa Impacto'!Z$7:Z$100,"Sim")&gt;0,"Sim","Não"))</f>
        <v>Não</v>
      </c>
      <c r="AB7" s="24" t="str">
        <f>IF(AB$2="","",IF(COUNTIFS('Mapa Impacto'!$D$7:$D$100,'Resumo Atividades x Sistema'!$D7,'Mapa Impacto'!AA$7:AA$100,"Sim")&gt;0,"Sim","Não"))</f>
        <v>Não</v>
      </c>
      <c r="AC7" s="24" t="str">
        <f>IF(AC$2="","",IF(COUNTIFS('Mapa Impacto'!$D$7:$D$100,'Resumo Atividades x Sistema'!$D7,'Mapa Impacto'!AB$7:AB$100,"Sim")&gt;0,"Sim","Não"))</f>
        <v>Não</v>
      </c>
      <c r="AD7" s="24" t="str">
        <f>IF(AD$2="","",IF(COUNTIFS('Mapa Impacto'!$D$7:$D$100,'Resumo Atividades x Sistema'!$D7,'Mapa Impacto'!AC$7:AC$100,"Sim")&gt;0,"Sim","Não"))</f>
        <v>Não</v>
      </c>
      <c r="AE7" s="24" t="str">
        <f>IF(AE$2="","",IF(COUNTIFS('Mapa Impacto'!$D$7:$D$100,'Resumo Atividades x Sistema'!$D7,'Mapa Impacto'!AD$7:AD$100,"Sim")&gt;0,"Sim","Não"))</f>
        <v>Não</v>
      </c>
      <c r="AF7" s="24" t="str">
        <f>IF(AF$2="","",IF(COUNTIFS('Mapa Impacto'!$D$7:$D$100,'Resumo Atividades x Sistema'!$D7,'Mapa Impacto'!AE$7:AE$100,"Sim")&gt;0,"Sim","Não"))</f>
        <v>Não</v>
      </c>
      <c r="AG7" s="24" t="str">
        <f>IF(AG$2="","",IF(COUNTIFS('Mapa Impacto'!$D$7:$D$100,'Resumo Atividades x Sistema'!$D7,'Mapa Impacto'!AF$7:AF$100,"Sim")&gt;0,"Sim","Não"))</f>
        <v>Não</v>
      </c>
      <c r="AH7" s="24" t="str">
        <f>IF(AH$2="","",IF(COUNTIFS('Mapa Impacto'!$D$7:$D$100,'Resumo Atividades x Sistema'!$D7,'Mapa Impacto'!AG$7:AG$100,"Sim")&gt;0,"Sim","Não"))</f>
        <v>Não</v>
      </c>
      <c r="AI7" s="24" t="str">
        <f>IF(AI$2="","",IF(COUNTIFS('Mapa Impacto'!$D$7:$D$100,'Resumo Atividades x Sistema'!$D7,'Mapa Impacto'!AH$7:AH$100,"Sim")&gt;0,"Sim","Não"))</f>
        <v>Não</v>
      </c>
      <c r="AJ7" s="24" t="str">
        <f>IF(AJ$2="","",IF(COUNTIFS('Mapa Impacto'!$D$7:$D$100,'Resumo Atividades x Sistema'!$D7,'Mapa Impacto'!AI$7:AI$100,"Sim")&gt;0,"Sim","Não"))</f>
        <v>Não</v>
      </c>
      <c r="AK7" s="24" t="str">
        <f>IF(AK$2="","",IF(COUNTIFS('Mapa Impacto'!$D$7:$D$100,'Resumo Atividades x Sistema'!$D7,'Mapa Impacto'!AJ$7:AJ$100,"Sim")&gt;0,"Sim","Não"))</f>
        <v>Não</v>
      </c>
    </row>
    <row r="8" spans="1:37" ht="75" outlineLevel="1" x14ac:dyDescent="0.25">
      <c r="B8" s="144" t="str">
        <f>'Checklist Impacto Operações TI'!A4</f>
        <v>02 - Operação Infraweb</v>
      </c>
      <c r="C8" s="145"/>
      <c r="D8" s="24" t="str">
        <f>'Checklist Impacto Operações TI'!C4</f>
        <v>A demanda implica em fazer uso de algum software ou versão não suportado por infraweb ? (alguma tecnologia de Application server diferente das listadas a seguir: Weblogic, Oracle Service Bus, Websphere, Jboss, Tomcat, Microsoft IIS, PHP, Apache, HTTP)</v>
      </c>
      <c r="E8" s="24" t="str">
        <f>'Checklist Impacto Operações TI'!D4</f>
        <v>Bloco - Absorver Software não suportado</v>
      </c>
      <c r="F8" s="24" t="str">
        <f>'Checklist Impacto Operações TI'!E4</f>
        <v>Equipe de Operações capacitada e suportando o novo software</v>
      </c>
      <c r="G8" s="24" t="str">
        <f>IF(G$2="","",IF(COUNTIFS('Mapa Impacto'!$D$7:$D$100,'Resumo Atividades x Sistema'!$D8,'Mapa Impacto'!F$7:F$100,"Sim")&gt;0,"Sim","Não"))</f>
        <v>Não</v>
      </c>
      <c r="H8" s="24" t="str">
        <f>IF(H$2="","",IF(COUNTIFS('Mapa Impacto'!$D$7:$D$100,'Resumo Atividades x Sistema'!$D8,'Mapa Impacto'!G$7:G$100,"Sim")&gt;0,"Sim","Não"))</f>
        <v>Não</v>
      </c>
      <c r="I8" s="24" t="str">
        <f>IF(I$2="","",IF(COUNTIFS('Mapa Impacto'!$D$7:$D$100,'Resumo Atividades x Sistema'!$D8,'Mapa Impacto'!H$7:H$100,"Sim")&gt;0,"Sim","Não"))</f>
        <v>Não</v>
      </c>
      <c r="J8" s="24" t="str">
        <f>IF(J$2="","",IF(COUNTIFS('Mapa Impacto'!$D$7:$D$100,'Resumo Atividades x Sistema'!$D8,'Mapa Impacto'!I$7:I$100,"Sim")&gt;0,"Sim","Não"))</f>
        <v>Não</v>
      </c>
      <c r="K8" s="24" t="str">
        <f>IF(K$2="","",IF(COUNTIFS('Mapa Impacto'!$D$7:$D$100,'Resumo Atividades x Sistema'!$D8,'Mapa Impacto'!J$7:J$100,"Sim")&gt;0,"Sim","Não"))</f>
        <v>Não</v>
      </c>
      <c r="L8" s="24" t="str">
        <f>IF(L$2="","",IF(COUNTIFS('Mapa Impacto'!$D$7:$D$100,'Resumo Atividades x Sistema'!$D8,'Mapa Impacto'!K$7:K$100,"Sim")&gt;0,"Sim","Não"))</f>
        <v>Não</v>
      </c>
      <c r="M8" s="24" t="str">
        <f>IF(M$2="","",IF(COUNTIFS('Mapa Impacto'!$D$7:$D$100,'Resumo Atividades x Sistema'!$D8,'Mapa Impacto'!L$7:L$100,"Sim")&gt;0,"Sim","Não"))</f>
        <v>Não</v>
      </c>
      <c r="N8" s="24" t="str">
        <f>IF(N$2="","",IF(COUNTIFS('Mapa Impacto'!$D$7:$D$100,'Resumo Atividades x Sistema'!$D8,'Mapa Impacto'!M$7:M$100,"Sim")&gt;0,"Sim","Não"))</f>
        <v>Não</v>
      </c>
      <c r="O8" s="24" t="str">
        <f>IF(O$2="","",IF(COUNTIFS('Mapa Impacto'!$D$7:$D$100,'Resumo Atividades x Sistema'!$D8,'Mapa Impacto'!N$7:N$100,"Sim")&gt;0,"Sim","Não"))</f>
        <v>Não</v>
      </c>
      <c r="P8" s="24" t="str">
        <f>IF(P$2="","",IF(COUNTIFS('Mapa Impacto'!$D$7:$D$100,'Resumo Atividades x Sistema'!$D8,'Mapa Impacto'!O$7:O$100,"Sim")&gt;0,"Sim","Não"))</f>
        <v>Não</v>
      </c>
      <c r="Q8" s="24" t="str">
        <f>IF(Q$2="","",IF(COUNTIFS('Mapa Impacto'!$D$7:$D$100,'Resumo Atividades x Sistema'!$D8,'Mapa Impacto'!P$7:P$100,"Sim")&gt;0,"Sim","Não"))</f>
        <v>Não</v>
      </c>
      <c r="R8" s="24" t="str">
        <f>IF(R$2="","",IF(COUNTIFS('Mapa Impacto'!$D$7:$D$100,'Resumo Atividades x Sistema'!$D8,'Mapa Impacto'!Q$7:Q$100,"Sim")&gt;0,"Sim","Não"))</f>
        <v>Não</v>
      </c>
      <c r="S8" s="24" t="str">
        <f>IF(S$2="","",IF(COUNTIFS('Mapa Impacto'!$D$7:$D$100,'Resumo Atividades x Sistema'!$D8,'Mapa Impacto'!R$7:R$100,"Sim")&gt;0,"Sim","Não"))</f>
        <v>Não</v>
      </c>
      <c r="T8" s="24" t="str">
        <f>IF(T$2="","",IF(COUNTIFS('Mapa Impacto'!$D$7:$D$100,'Resumo Atividades x Sistema'!$D8,'Mapa Impacto'!S$7:S$100,"Sim")&gt;0,"Sim","Não"))</f>
        <v>Não</v>
      </c>
      <c r="U8" s="24" t="str">
        <f>IF(U$2="","",IF(COUNTIFS('Mapa Impacto'!$D$7:$D$100,'Resumo Atividades x Sistema'!$D8,'Mapa Impacto'!T$7:T$100,"Sim")&gt;0,"Sim","Não"))</f>
        <v>Não</v>
      </c>
      <c r="V8" s="24" t="str">
        <f>IF(V$2="","",IF(COUNTIFS('Mapa Impacto'!$D$7:$D$100,'Resumo Atividades x Sistema'!$D8,'Mapa Impacto'!U$7:U$100,"Sim")&gt;0,"Sim","Não"))</f>
        <v>Não</v>
      </c>
      <c r="W8" s="24" t="str">
        <f>IF(W$2="","",IF(COUNTIFS('Mapa Impacto'!$D$7:$D$100,'Resumo Atividades x Sistema'!$D8,'Mapa Impacto'!V$7:V$100,"Sim")&gt;0,"Sim","Não"))</f>
        <v>Não</v>
      </c>
      <c r="X8" s="24" t="str">
        <f>IF(X$2="","",IF(COUNTIFS('Mapa Impacto'!$D$7:$D$100,'Resumo Atividades x Sistema'!$D8,'Mapa Impacto'!W$7:W$100,"Sim")&gt;0,"Sim","Não"))</f>
        <v>Não</v>
      </c>
      <c r="Y8" s="24" t="str">
        <f>IF(Y$2="","",IF(COUNTIFS('Mapa Impacto'!$D$7:$D$100,'Resumo Atividades x Sistema'!$D8,'Mapa Impacto'!X$7:X$100,"Sim")&gt;0,"Sim","Não"))</f>
        <v>Não</v>
      </c>
      <c r="Z8" s="24" t="str">
        <f>IF(Z$2="","",IF(COUNTIFS('Mapa Impacto'!$D$7:$D$100,'Resumo Atividades x Sistema'!$D8,'Mapa Impacto'!Y$7:Y$100,"Sim")&gt;0,"Sim","Não"))</f>
        <v>Não</v>
      </c>
      <c r="AA8" s="24" t="str">
        <f>IF(AA$2="","",IF(COUNTIFS('Mapa Impacto'!$D$7:$D$100,'Resumo Atividades x Sistema'!$D8,'Mapa Impacto'!Z$7:Z$100,"Sim")&gt;0,"Sim","Não"))</f>
        <v>Não</v>
      </c>
      <c r="AB8" s="24" t="str">
        <f>IF(AB$2="","",IF(COUNTIFS('Mapa Impacto'!$D$7:$D$100,'Resumo Atividades x Sistema'!$D8,'Mapa Impacto'!AA$7:AA$100,"Sim")&gt;0,"Sim","Não"))</f>
        <v>Não</v>
      </c>
      <c r="AC8" s="24" t="str">
        <f>IF(AC$2="","",IF(COUNTIFS('Mapa Impacto'!$D$7:$D$100,'Resumo Atividades x Sistema'!$D8,'Mapa Impacto'!AB$7:AB$100,"Sim")&gt;0,"Sim","Não"))</f>
        <v>Não</v>
      </c>
      <c r="AD8" s="24" t="str">
        <f>IF(AD$2="","",IF(COUNTIFS('Mapa Impacto'!$D$7:$D$100,'Resumo Atividades x Sistema'!$D8,'Mapa Impacto'!AC$7:AC$100,"Sim")&gt;0,"Sim","Não"))</f>
        <v>Não</v>
      </c>
      <c r="AE8" s="24" t="str">
        <f>IF(AE$2="","",IF(COUNTIFS('Mapa Impacto'!$D$7:$D$100,'Resumo Atividades x Sistema'!$D8,'Mapa Impacto'!AD$7:AD$100,"Sim")&gt;0,"Sim","Não"))</f>
        <v>Não</v>
      </c>
      <c r="AF8" s="24" t="str">
        <f>IF(AF$2="","",IF(COUNTIFS('Mapa Impacto'!$D$7:$D$100,'Resumo Atividades x Sistema'!$D8,'Mapa Impacto'!AE$7:AE$100,"Sim")&gt;0,"Sim","Não"))</f>
        <v>Não</v>
      </c>
      <c r="AG8" s="24" t="str">
        <f>IF(AG$2="","",IF(COUNTIFS('Mapa Impacto'!$D$7:$D$100,'Resumo Atividades x Sistema'!$D8,'Mapa Impacto'!AF$7:AF$100,"Sim")&gt;0,"Sim","Não"))</f>
        <v>Não</v>
      </c>
      <c r="AH8" s="24" t="str">
        <f>IF(AH$2="","",IF(COUNTIFS('Mapa Impacto'!$D$7:$D$100,'Resumo Atividades x Sistema'!$D8,'Mapa Impacto'!AG$7:AG$100,"Sim")&gt;0,"Sim","Não"))</f>
        <v>Não</v>
      </c>
      <c r="AI8" s="24" t="str">
        <f>IF(AI$2="","",IF(COUNTIFS('Mapa Impacto'!$D$7:$D$100,'Resumo Atividades x Sistema'!$D8,'Mapa Impacto'!AH$7:AH$100,"Sim")&gt;0,"Sim","Não"))</f>
        <v>Não</v>
      </c>
      <c r="AJ8" s="24" t="str">
        <f>IF(AJ$2="","",IF(COUNTIFS('Mapa Impacto'!$D$7:$D$100,'Resumo Atividades x Sistema'!$D8,'Mapa Impacto'!AI$7:AI$100,"Sim")&gt;0,"Sim","Não"))</f>
        <v>Não</v>
      </c>
      <c r="AK8" s="24" t="str">
        <f>IF(AK$2="","",IF(COUNTIFS('Mapa Impacto'!$D$7:$D$100,'Resumo Atividades x Sistema'!$D8,'Mapa Impacto'!AJ$7:AJ$100,"Sim")&gt;0,"Sim","Não"))</f>
        <v>Não</v>
      </c>
    </row>
    <row r="9" spans="1:37" ht="30" outlineLevel="1" x14ac:dyDescent="0.25">
      <c r="B9" s="144" t="str">
        <f>'Checklist Impacto Operações TI'!A5</f>
        <v>02 - Operação Infraweb</v>
      </c>
      <c r="C9" s="145"/>
      <c r="D9" s="24" t="str">
        <f>'Checklist Impacto Operações TI'!C5</f>
        <v>A implantação da demanda será feita através de pacote? (Web, RPM, etc.)</v>
      </c>
      <c r="E9" s="24" t="str">
        <f>'Checklist Impacto Operações TI'!D5</f>
        <v>Bloco - Executar Deploy Ambiente Produção</v>
      </c>
      <c r="F9" s="24" t="str">
        <f>'Checklist Impacto Operações TI'!E5</f>
        <v>Manual de Deploy Produção</v>
      </c>
      <c r="G9" s="24" t="str">
        <f>IF(G$2="","",IF(COUNTIFS('Mapa Impacto'!$D$7:$D$100,'Resumo Atividades x Sistema'!$D9,'Mapa Impacto'!F$7:F$100,"Sim")&gt;0,"Sim","Não"))</f>
        <v>Não</v>
      </c>
      <c r="H9" s="24" t="str">
        <f>IF(H$2="","",IF(COUNTIFS('Mapa Impacto'!$D$7:$D$100,'Resumo Atividades x Sistema'!$D9,'Mapa Impacto'!G$7:G$100,"Sim")&gt;0,"Sim","Não"))</f>
        <v>Não</v>
      </c>
      <c r="I9" s="24" t="str">
        <f>IF(I$2="","",IF(COUNTIFS('Mapa Impacto'!$D$7:$D$100,'Resumo Atividades x Sistema'!$D9,'Mapa Impacto'!H$7:H$100,"Sim")&gt;0,"Sim","Não"))</f>
        <v>Não</v>
      </c>
      <c r="J9" s="24" t="str">
        <f>IF(J$2="","",IF(COUNTIFS('Mapa Impacto'!$D$7:$D$100,'Resumo Atividades x Sistema'!$D9,'Mapa Impacto'!I$7:I$100,"Sim")&gt;0,"Sim","Não"))</f>
        <v>Não</v>
      </c>
      <c r="K9" s="24" t="str">
        <f>IF(K$2="","",IF(COUNTIFS('Mapa Impacto'!$D$7:$D$100,'Resumo Atividades x Sistema'!$D9,'Mapa Impacto'!J$7:J$100,"Sim")&gt;0,"Sim","Não"))</f>
        <v>Não</v>
      </c>
      <c r="L9" s="24" t="str">
        <f>IF(L$2="","",IF(COUNTIFS('Mapa Impacto'!$D$7:$D$100,'Resumo Atividades x Sistema'!$D9,'Mapa Impacto'!K$7:K$100,"Sim")&gt;0,"Sim","Não"))</f>
        <v>Não</v>
      </c>
      <c r="M9" s="24" t="str">
        <f>IF(M$2="","",IF(COUNTIFS('Mapa Impacto'!$D$7:$D$100,'Resumo Atividades x Sistema'!$D9,'Mapa Impacto'!L$7:L$100,"Sim")&gt;0,"Sim","Não"))</f>
        <v>Não</v>
      </c>
      <c r="N9" s="24" t="str">
        <f>IF(N$2="","",IF(COUNTIFS('Mapa Impacto'!$D$7:$D$100,'Resumo Atividades x Sistema'!$D9,'Mapa Impacto'!M$7:M$100,"Sim")&gt;0,"Sim","Não"))</f>
        <v>Não</v>
      </c>
      <c r="O9" s="24" t="str">
        <f>IF(O$2="","",IF(COUNTIFS('Mapa Impacto'!$D$7:$D$100,'Resumo Atividades x Sistema'!$D9,'Mapa Impacto'!N$7:N$100,"Sim")&gt;0,"Sim","Não"))</f>
        <v>Não</v>
      </c>
      <c r="P9" s="24" t="str">
        <f>IF(P$2="","",IF(COUNTIFS('Mapa Impacto'!$D$7:$D$100,'Resumo Atividades x Sistema'!$D9,'Mapa Impacto'!O$7:O$100,"Sim")&gt;0,"Sim","Não"))</f>
        <v>Não</v>
      </c>
      <c r="Q9" s="24" t="str">
        <f>IF(Q$2="","",IF(COUNTIFS('Mapa Impacto'!$D$7:$D$100,'Resumo Atividades x Sistema'!$D9,'Mapa Impacto'!P$7:P$100,"Sim")&gt;0,"Sim","Não"))</f>
        <v>Não</v>
      </c>
      <c r="R9" s="24" t="str">
        <f>IF(R$2="","",IF(COUNTIFS('Mapa Impacto'!$D$7:$D$100,'Resumo Atividades x Sistema'!$D9,'Mapa Impacto'!Q$7:Q$100,"Sim")&gt;0,"Sim","Não"))</f>
        <v>Não</v>
      </c>
      <c r="S9" s="24" t="str">
        <f>IF(S$2="","",IF(COUNTIFS('Mapa Impacto'!$D$7:$D$100,'Resumo Atividades x Sistema'!$D9,'Mapa Impacto'!R$7:R$100,"Sim")&gt;0,"Sim","Não"))</f>
        <v>Não</v>
      </c>
      <c r="T9" s="24" t="str">
        <f>IF(T$2="","",IF(COUNTIFS('Mapa Impacto'!$D$7:$D$100,'Resumo Atividades x Sistema'!$D9,'Mapa Impacto'!S$7:S$100,"Sim")&gt;0,"Sim","Não"))</f>
        <v>Não</v>
      </c>
      <c r="U9" s="24" t="str">
        <f>IF(U$2="","",IF(COUNTIFS('Mapa Impacto'!$D$7:$D$100,'Resumo Atividades x Sistema'!$D9,'Mapa Impacto'!T$7:T$100,"Sim")&gt;0,"Sim","Não"))</f>
        <v>Não</v>
      </c>
      <c r="V9" s="24" t="str">
        <f>IF(V$2="","",IF(COUNTIFS('Mapa Impacto'!$D$7:$D$100,'Resumo Atividades x Sistema'!$D9,'Mapa Impacto'!U$7:U$100,"Sim")&gt;0,"Sim","Não"))</f>
        <v>Não</v>
      </c>
      <c r="W9" s="24" t="str">
        <f>IF(W$2="","",IF(COUNTIFS('Mapa Impacto'!$D$7:$D$100,'Resumo Atividades x Sistema'!$D9,'Mapa Impacto'!V$7:V$100,"Sim")&gt;0,"Sim","Não"))</f>
        <v>Não</v>
      </c>
      <c r="X9" s="24" t="str">
        <f>IF(X$2="","",IF(COUNTIFS('Mapa Impacto'!$D$7:$D$100,'Resumo Atividades x Sistema'!$D9,'Mapa Impacto'!W$7:W$100,"Sim")&gt;0,"Sim","Não"))</f>
        <v>Não</v>
      </c>
      <c r="Y9" s="24" t="str">
        <f>IF(Y$2="","",IF(COUNTIFS('Mapa Impacto'!$D$7:$D$100,'Resumo Atividades x Sistema'!$D9,'Mapa Impacto'!X$7:X$100,"Sim")&gt;0,"Sim","Não"))</f>
        <v>Não</v>
      </c>
      <c r="Z9" s="24" t="str">
        <f>IF(Z$2="","",IF(COUNTIFS('Mapa Impacto'!$D$7:$D$100,'Resumo Atividades x Sistema'!$D9,'Mapa Impacto'!Y$7:Y$100,"Sim")&gt;0,"Sim","Não"))</f>
        <v>Não</v>
      </c>
      <c r="AA9" s="24" t="str">
        <f>IF(AA$2="","",IF(COUNTIFS('Mapa Impacto'!$D$7:$D$100,'Resumo Atividades x Sistema'!$D9,'Mapa Impacto'!Z$7:Z$100,"Sim")&gt;0,"Sim","Não"))</f>
        <v>Não</v>
      </c>
      <c r="AB9" s="24" t="str">
        <f>IF(AB$2="","",IF(COUNTIFS('Mapa Impacto'!$D$7:$D$100,'Resumo Atividades x Sistema'!$D9,'Mapa Impacto'!AA$7:AA$100,"Sim")&gt;0,"Sim","Não"))</f>
        <v>Não</v>
      </c>
      <c r="AC9" s="24" t="str">
        <f>IF(AC$2="","",IF(COUNTIFS('Mapa Impacto'!$D$7:$D$100,'Resumo Atividades x Sistema'!$D9,'Mapa Impacto'!AB$7:AB$100,"Sim")&gt;0,"Sim","Não"))</f>
        <v>Não</v>
      </c>
      <c r="AD9" s="24" t="str">
        <f>IF(AD$2="","",IF(COUNTIFS('Mapa Impacto'!$D$7:$D$100,'Resumo Atividades x Sistema'!$D9,'Mapa Impacto'!AC$7:AC$100,"Sim")&gt;0,"Sim","Não"))</f>
        <v>Não</v>
      </c>
      <c r="AE9" s="24" t="str">
        <f>IF(AE$2="","",IF(COUNTIFS('Mapa Impacto'!$D$7:$D$100,'Resumo Atividades x Sistema'!$D9,'Mapa Impacto'!AD$7:AD$100,"Sim")&gt;0,"Sim","Não"))</f>
        <v>Não</v>
      </c>
      <c r="AF9" s="24" t="str">
        <f>IF(AF$2="","",IF(COUNTIFS('Mapa Impacto'!$D$7:$D$100,'Resumo Atividades x Sistema'!$D9,'Mapa Impacto'!AE$7:AE$100,"Sim")&gt;0,"Sim","Não"))</f>
        <v>Não</v>
      </c>
      <c r="AG9" s="24" t="str">
        <f>IF(AG$2="","",IF(COUNTIFS('Mapa Impacto'!$D$7:$D$100,'Resumo Atividades x Sistema'!$D9,'Mapa Impacto'!AF$7:AF$100,"Sim")&gt;0,"Sim","Não"))</f>
        <v>Não</v>
      </c>
      <c r="AH9" s="24" t="str">
        <f>IF(AH$2="","",IF(COUNTIFS('Mapa Impacto'!$D$7:$D$100,'Resumo Atividades x Sistema'!$D9,'Mapa Impacto'!AG$7:AG$100,"Sim")&gt;0,"Sim","Não"))</f>
        <v>Não</v>
      </c>
      <c r="AI9" s="24" t="str">
        <f>IF(AI$2="","",IF(COUNTIFS('Mapa Impacto'!$D$7:$D$100,'Resumo Atividades x Sistema'!$D9,'Mapa Impacto'!AH$7:AH$100,"Sim")&gt;0,"Sim","Não"))</f>
        <v>Não</v>
      </c>
      <c r="AJ9" s="24" t="str">
        <f>IF(AJ$2="","",IF(COUNTIFS('Mapa Impacto'!$D$7:$D$100,'Resumo Atividades x Sistema'!$D9,'Mapa Impacto'!AI$7:AI$100,"Sim")&gt;0,"Sim","Não"))</f>
        <v>Não</v>
      </c>
      <c r="AK9" s="24" t="str">
        <f>IF(AK$2="","",IF(COUNTIFS('Mapa Impacto'!$D$7:$D$100,'Resumo Atividades x Sistema'!$D9,'Mapa Impacto'!AJ$7:AJ$100,"Sim")&gt;0,"Sim","Não"))</f>
        <v>Não</v>
      </c>
    </row>
    <row r="10" spans="1:37" ht="30" x14ac:dyDescent="0.25">
      <c r="B10" s="144" t="str">
        <f>'Checklist Impacto Operações TI'!A6</f>
        <v>03 - Operação de Sistemas</v>
      </c>
      <c r="C10" s="145"/>
      <c r="D10" s="24" t="str">
        <f>'Checklist Impacto Operações TI'!C6</f>
        <v>A demanda implica na implantação de um console centralizada para administração da aplicação?</v>
      </c>
      <c r="E10" s="24" t="str">
        <f>'Checklist Impacto Operações TI'!D6</f>
        <v>Desenvolver uma Console de Administração da Aplicação.</v>
      </c>
      <c r="F10" s="24" t="str">
        <f>'Checklist Impacto Operações TI'!E6</f>
        <v>Console centralizada para administração da aplicação.</v>
      </c>
      <c r="G10" s="24" t="str">
        <f>IF(G$2="","",IF(COUNTIFS('Mapa Impacto'!$D$7:$D$100,'Resumo Atividades x Sistema'!$D10,'Mapa Impacto'!F$7:F$100,"Sim")&gt;0,"Sim","Não"))</f>
        <v>Não</v>
      </c>
      <c r="H10" s="24" t="str">
        <f>IF(H$2="","",IF(COUNTIFS('Mapa Impacto'!$D$7:$D$100,'Resumo Atividades x Sistema'!$D10,'Mapa Impacto'!G$7:G$100,"Sim")&gt;0,"Sim","Não"))</f>
        <v>Não</v>
      </c>
      <c r="I10" s="24" t="str">
        <f>IF(I$2="","",IF(COUNTIFS('Mapa Impacto'!$D$7:$D$100,'Resumo Atividades x Sistema'!$D10,'Mapa Impacto'!H$7:H$100,"Sim")&gt;0,"Sim","Não"))</f>
        <v>Não</v>
      </c>
      <c r="J10" s="24" t="str">
        <f>IF(J$2="","",IF(COUNTIFS('Mapa Impacto'!$D$7:$D$100,'Resumo Atividades x Sistema'!$D10,'Mapa Impacto'!I$7:I$100,"Sim")&gt;0,"Sim","Não"))</f>
        <v>Não</v>
      </c>
      <c r="K10" s="24" t="str">
        <f>IF(K$2="","",IF(COUNTIFS('Mapa Impacto'!$D$7:$D$100,'Resumo Atividades x Sistema'!$D10,'Mapa Impacto'!J$7:J$100,"Sim")&gt;0,"Sim","Não"))</f>
        <v>Não</v>
      </c>
      <c r="L10" s="24" t="str">
        <f>IF(L$2="","",IF(COUNTIFS('Mapa Impacto'!$D$7:$D$100,'Resumo Atividades x Sistema'!$D10,'Mapa Impacto'!K$7:K$100,"Sim")&gt;0,"Sim","Não"))</f>
        <v>Não</v>
      </c>
      <c r="M10" s="24" t="str">
        <f>IF(M$2="","",IF(COUNTIFS('Mapa Impacto'!$D$7:$D$100,'Resumo Atividades x Sistema'!$D10,'Mapa Impacto'!L$7:L$100,"Sim")&gt;0,"Sim","Não"))</f>
        <v>Não</v>
      </c>
      <c r="N10" s="24" t="str">
        <f>IF(N$2="","",IF(COUNTIFS('Mapa Impacto'!$D$7:$D$100,'Resumo Atividades x Sistema'!$D10,'Mapa Impacto'!M$7:M$100,"Sim")&gt;0,"Sim","Não"))</f>
        <v>Não</v>
      </c>
      <c r="O10" s="24" t="str">
        <f>IF(O$2="","",IF(COUNTIFS('Mapa Impacto'!$D$7:$D$100,'Resumo Atividades x Sistema'!$D10,'Mapa Impacto'!N$7:N$100,"Sim")&gt;0,"Sim","Não"))</f>
        <v>Não</v>
      </c>
      <c r="P10" s="24" t="str">
        <f>IF(P$2="","",IF(COUNTIFS('Mapa Impacto'!$D$7:$D$100,'Resumo Atividades x Sistema'!$D10,'Mapa Impacto'!O$7:O$100,"Sim")&gt;0,"Sim","Não"))</f>
        <v>Não</v>
      </c>
      <c r="Q10" s="24" t="str">
        <f>IF(Q$2="","",IF(COUNTIFS('Mapa Impacto'!$D$7:$D$100,'Resumo Atividades x Sistema'!$D10,'Mapa Impacto'!P$7:P$100,"Sim")&gt;0,"Sim","Não"))</f>
        <v>Não</v>
      </c>
      <c r="R10" s="24" t="str">
        <f>IF(R$2="","",IF(COUNTIFS('Mapa Impacto'!$D$7:$D$100,'Resumo Atividades x Sistema'!$D10,'Mapa Impacto'!Q$7:Q$100,"Sim")&gt;0,"Sim","Não"))</f>
        <v>Não</v>
      </c>
      <c r="S10" s="24" t="str">
        <f>IF(S$2="","",IF(COUNTIFS('Mapa Impacto'!$D$7:$D$100,'Resumo Atividades x Sistema'!$D10,'Mapa Impacto'!R$7:R$100,"Sim")&gt;0,"Sim","Não"))</f>
        <v>Não</v>
      </c>
      <c r="T10" s="24" t="str">
        <f>IF(T$2="","",IF(COUNTIFS('Mapa Impacto'!$D$7:$D$100,'Resumo Atividades x Sistema'!$D10,'Mapa Impacto'!S$7:S$100,"Sim")&gt;0,"Sim","Não"))</f>
        <v>Não</v>
      </c>
      <c r="U10" s="24" t="str">
        <f>IF(U$2="","",IF(COUNTIFS('Mapa Impacto'!$D$7:$D$100,'Resumo Atividades x Sistema'!$D10,'Mapa Impacto'!T$7:T$100,"Sim")&gt;0,"Sim","Não"))</f>
        <v>Não</v>
      </c>
      <c r="V10" s="24" t="str">
        <f>IF(V$2="","",IF(COUNTIFS('Mapa Impacto'!$D$7:$D$100,'Resumo Atividades x Sistema'!$D10,'Mapa Impacto'!U$7:U$100,"Sim")&gt;0,"Sim","Não"))</f>
        <v>Não</v>
      </c>
      <c r="W10" s="24" t="str">
        <f>IF(W$2="","",IF(COUNTIFS('Mapa Impacto'!$D$7:$D$100,'Resumo Atividades x Sistema'!$D10,'Mapa Impacto'!V$7:V$100,"Sim")&gt;0,"Sim","Não"))</f>
        <v>Não</v>
      </c>
      <c r="X10" s="24" t="str">
        <f>IF(X$2="","",IF(COUNTIFS('Mapa Impacto'!$D$7:$D$100,'Resumo Atividades x Sistema'!$D10,'Mapa Impacto'!W$7:W$100,"Sim")&gt;0,"Sim","Não"))</f>
        <v>Não</v>
      </c>
      <c r="Y10" s="24" t="str">
        <f>IF(Y$2="","",IF(COUNTIFS('Mapa Impacto'!$D$7:$D$100,'Resumo Atividades x Sistema'!$D10,'Mapa Impacto'!X$7:X$100,"Sim")&gt;0,"Sim","Não"))</f>
        <v>Não</v>
      </c>
      <c r="Z10" s="24" t="str">
        <f>IF(Z$2="","",IF(COUNTIFS('Mapa Impacto'!$D$7:$D$100,'Resumo Atividades x Sistema'!$D10,'Mapa Impacto'!Y$7:Y$100,"Sim")&gt;0,"Sim","Não"))</f>
        <v>Não</v>
      </c>
      <c r="AA10" s="24" t="str">
        <f>IF(AA$2="","",IF(COUNTIFS('Mapa Impacto'!$D$7:$D$100,'Resumo Atividades x Sistema'!$D10,'Mapa Impacto'!Z$7:Z$100,"Sim")&gt;0,"Sim","Não"))</f>
        <v>Não</v>
      </c>
      <c r="AB10" s="24" t="str">
        <f>IF(AB$2="","",IF(COUNTIFS('Mapa Impacto'!$D$7:$D$100,'Resumo Atividades x Sistema'!$D10,'Mapa Impacto'!AA$7:AA$100,"Sim")&gt;0,"Sim","Não"))</f>
        <v>Não</v>
      </c>
      <c r="AC10" s="24" t="str">
        <f>IF(AC$2="","",IF(COUNTIFS('Mapa Impacto'!$D$7:$D$100,'Resumo Atividades x Sistema'!$D10,'Mapa Impacto'!AB$7:AB$100,"Sim")&gt;0,"Sim","Não"))</f>
        <v>Não</v>
      </c>
      <c r="AD10" s="24" t="str">
        <f>IF(AD$2="","",IF(COUNTIFS('Mapa Impacto'!$D$7:$D$100,'Resumo Atividades x Sistema'!$D10,'Mapa Impacto'!AC$7:AC$100,"Sim")&gt;0,"Sim","Não"))</f>
        <v>Não</v>
      </c>
      <c r="AE10" s="24" t="str">
        <f>IF(AE$2="","",IF(COUNTIFS('Mapa Impacto'!$D$7:$D$100,'Resumo Atividades x Sistema'!$D10,'Mapa Impacto'!AD$7:AD$100,"Sim")&gt;0,"Sim","Não"))</f>
        <v>Não</v>
      </c>
      <c r="AF10" s="24" t="str">
        <f>IF(AF$2="","",IF(COUNTIFS('Mapa Impacto'!$D$7:$D$100,'Resumo Atividades x Sistema'!$D10,'Mapa Impacto'!AE$7:AE$100,"Sim")&gt;0,"Sim","Não"))</f>
        <v>Não</v>
      </c>
      <c r="AG10" s="24" t="str">
        <f>IF(AG$2="","",IF(COUNTIFS('Mapa Impacto'!$D$7:$D$100,'Resumo Atividades x Sistema'!$D10,'Mapa Impacto'!AF$7:AF$100,"Sim")&gt;0,"Sim","Não"))</f>
        <v>Não</v>
      </c>
      <c r="AH10" s="24" t="str">
        <f>IF(AH$2="","",IF(COUNTIFS('Mapa Impacto'!$D$7:$D$100,'Resumo Atividades x Sistema'!$D10,'Mapa Impacto'!AG$7:AG$100,"Sim")&gt;0,"Sim","Não"))</f>
        <v>Não</v>
      </c>
      <c r="AI10" s="24" t="str">
        <f>IF(AI$2="","",IF(COUNTIFS('Mapa Impacto'!$D$7:$D$100,'Resumo Atividades x Sistema'!$D10,'Mapa Impacto'!AH$7:AH$100,"Sim")&gt;0,"Sim","Não"))</f>
        <v>Não</v>
      </c>
      <c r="AJ10" s="24" t="str">
        <f>IF(AJ$2="","",IF(COUNTIFS('Mapa Impacto'!$D$7:$D$100,'Resumo Atividades x Sistema'!$D10,'Mapa Impacto'!AI$7:AI$100,"Sim")&gt;0,"Sim","Não"))</f>
        <v>Não</v>
      </c>
      <c r="AK10" s="24" t="str">
        <f>IF(AK$2="","",IF(COUNTIFS('Mapa Impacto'!$D$7:$D$100,'Resumo Atividades x Sistema'!$D10,'Mapa Impacto'!AJ$7:AJ$100,"Sim")&gt;0,"Sim","Não"))</f>
        <v>Não</v>
      </c>
    </row>
    <row r="11" spans="1:37" ht="45" outlineLevel="1" x14ac:dyDescent="0.25">
      <c r="B11" s="144" t="str">
        <f>'Checklist Impacto Operações TI'!A7</f>
        <v>03 - Operação de Sistemas</v>
      </c>
      <c r="C11" s="145"/>
      <c r="D11" s="24" t="str">
        <f>'Checklist Impacto Operações TI'!C7</f>
        <v>A demanda implica em usar algum ambiente de Teste Integrado sob responsabilidade da equipe Operações e Ambientes?</v>
      </c>
      <c r="E11" s="24" t="str">
        <f>'Checklist Impacto Operações TI'!D7</f>
        <v>Gerar parecer e plano de ação para prepração do ambiente de teste integrado</v>
      </c>
      <c r="F11" s="24" t="str">
        <f>'Checklist Impacto Operações TI'!E7</f>
        <v>Ambientes de teste integrado impactado adaptados para as necessidades do projeto.</v>
      </c>
      <c r="G11" s="24" t="str">
        <f>IF(G$2="","",IF(COUNTIFS('Mapa Impacto'!$D$7:$D$100,'Resumo Atividades x Sistema'!$D11,'Mapa Impacto'!F$7:F$100,"Sim")&gt;0,"Sim","Não"))</f>
        <v>Não</v>
      </c>
      <c r="H11" s="24" t="str">
        <f>IF(H$2="","",IF(COUNTIFS('Mapa Impacto'!$D$7:$D$100,'Resumo Atividades x Sistema'!$D11,'Mapa Impacto'!G$7:G$100,"Sim")&gt;0,"Sim","Não"))</f>
        <v>Não</v>
      </c>
      <c r="I11" s="24" t="str">
        <f>IF(I$2="","",IF(COUNTIFS('Mapa Impacto'!$D$7:$D$100,'Resumo Atividades x Sistema'!$D11,'Mapa Impacto'!H$7:H$100,"Sim")&gt;0,"Sim","Não"))</f>
        <v>Não</v>
      </c>
      <c r="J11" s="24" t="str">
        <f>IF(J$2="","",IF(COUNTIFS('Mapa Impacto'!$D$7:$D$100,'Resumo Atividades x Sistema'!$D11,'Mapa Impacto'!I$7:I$100,"Sim")&gt;0,"Sim","Não"))</f>
        <v>Não</v>
      </c>
      <c r="K11" s="24" t="str">
        <f>IF(K$2="","",IF(COUNTIFS('Mapa Impacto'!$D$7:$D$100,'Resumo Atividades x Sistema'!$D11,'Mapa Impacto'!J$7:J$100,"Sim")&gt;0,"Sim","Não"))</f>
        <v>Não</v>
      </c>
      <c r="L11" s="24" t="str">
        <f>IF(L$2="","",IF(COUNTIFS('Mapa Impacto'!$D$7:$D$100,'Resumo Atividades x Sistema'!$D11,'Mapa Impacto'!K$7:K$100,"Sim")&gt;0,"Sim","Não"))</f>
        <v>Não</v>
      </c>
      <c r="M11" s="24" t="str">
        <f>IF(M$2="","",IF(COUNTIFS('Mapa Impacto'!$D$7:$D$100,'Resumo Atividades x Sistema'!$D11,'Mapa Impacto'!L$7:L$100,"Sim")&gt;0,"Sim","Não"))</f>
        <v>Não</v>
      </c>
      <c r="N11" s="24" t="str">
        <f>IF(N$2="","",IF(COUNTIFS('Mapa Impacto'!$D$7:$D$100,'Resumo Atividades x Sistema'!$D11,'Mapa Impacto'!M$7:M$100,"Sim")&gt;0,"Sim","Não"))</f>
        <v>Não</v>
      </c>
      <c r="O11" s="24" t="str">
        <f>IF(O$2="","",IF(COUNTIFS('Mapa Impacto'!$D$7:$D$100,'Resumo Atividades x Sistema'!$D11,'Mapa Impacto'!N$7:N$100,"Sim")&gt;0,"Sim","Não"))</f>
        <v>Não</v>
      </c>
      <c r="P11" s="24" t="str">
        <f>IF(P$2="","",IF(COUNTIFS('Mapa Impacto'!$D$7:$D$100,'Resumo Atividades x Sistema'!$D11,'Mapa Impacto'!O$7:O$100,"Sim")&gt;0,"Sim","Não"))</f>
        <v>Não</v>
      </c>
      <c r="Q11" s="24" t="str">
        <f>IF(Q$2="","",IF(COUNTIFS('Mapa Impacto'!$D$7:$D$100,'Resumo Atividades x Sistema'!$D11,'Mapa Impacto'!P$7:P$100,"Sim")&gt;0,"Sim","Não"))</f>
        <v>Não</v>
      </c>
      <c r="R11" s="24" t="str">
        <f>IF(R$2="","",IF(COUNTIFS('Mapa Impacto'!$D$7:$D$100,'Resumo Atividades x Sistema'!$D11,'Mapa Impacto'!Q$7:Q$100,"Sim")&gt;0,"Sim","Não"))</f>
        <v>Não</v>
      </c>
      <c r="S11" s="24" t="str">
        <f>IF(S$2="","",IF(COUNTIFS('Mapa Impacto'!$D$7:$D$100,'Resumo Atividades x Sistema'!$D11,'Mapa Impacto'!R$7:R$100,"Sim")&gt;0,"Sim","Não"))</f>
        <v>Não</v>
      </c>
      <c r="T11" s="24" t="str">
        <f>IF(T$2="","",IF(COUNTIFS('Mapa Impacto'!$D$7:$D$100,'Resumo Atividades x Sistema'!$D11,'Mapa Impacto'!S$7:S$100,"Sim")&gt;0,"Sim","Não"))</f>
        <v>Não</v>
      </c>
      <c r="U11" s="24" t="str">
        <f>IF(U$2="","",IF(COUNTIFS('Mapa Impacto'!$D$7:$D$100,'Resumo Atividades x Sistema'!$D11,'Mapa Impacto'!T$7:T$100,"Sim")&gt;0,"Sim","Não"))</f>
        <v>Não</v>
      </c>
      <c r="V11" s="24" t="str">
        <f>IF(V$2="","",IF(COUNTIFS('Mapa Impacto'!$D$7:$D$100,'Resumo Atividades x Sistema'!$D11,'Mapa Impacto'!U$7:U$100,"Sim")&gt;0,"Sim","Não"))</f>
        <v>Não</v>
      </c>
      <c r="W11" s="24" t="str">
        <f>IF(W$2="","",IF(COUNTIFS('Mapa Impacto'!$D$7:$D$100,'Resumo Atividades x Sistema'!$D11,'Mapa Impacto'!V$7:V$100,"Sim")&gt;0,"Sim","Não"))</f>
        <v>Não</v>
      </c>
      <c r="X11" s="24" t="str">
        <f>IF(X$2="","",IF(COUNTIFS('Mapa Impacto'!$D$7:$D$100,'Resumo Atividades x Sistema'!$D11,'Mapa Impacto'!W$7:W$100,"Sim")&gt;0,"Sim","Não"))</f>
        <v>Não</v>
      </c>
      <c r="Y11" s="24" t="str">
        <f>IF(Y$2="","",IF(COUNTIFS('Mapa Impacto'!$D$7:$D$100,'Resumo Atividades x Sistema'!$D11,'Mapa Impacto'!X$7:X$100,"Sim")&gt;0,"Sim","Não"))</f>
        <v>Não</v>
      </c>
      <c r="Z11" s="24" t="str">
        <f>IF(Z$2="","",IF(COUNTIFS('Mapa Impacto'!$D$7:$D$100,'Resumo Atividades x Sistema'!$D11,'Mapa Impacto'!Y$7:Y$100,"Sim")&gt;0,"Sim","Não"))</f>
        <v>Não</v>
      </c>
      <c r="AA11" s="24" t="str">
        <f>IF(AA$2="","",IF(COUNTIFS('Mapa Impacto'!$D$7:$D$100,'Resumo Atividades x Sistema'!$D11,'Mapa Impacto'!Z$7:Z$100,"Sim")&gt;0,"Sim","Não"))</f>
        <v>Não</v>
      </c>
      <c r="AB11" s="24" t="str">
        <f>IF(AB$2="","",IF(COUNTIFS('Mapa Impacto'!$D$7:$D$100,'Resumo Atividades x Sistema'!$D11,'Mapa Impacto'!AA$7:AA$100,"Sim")&gt;0,"Sim","Não"))</f>
        <v>Não</v>
      </c>
      <c r="AC11" s="24" t="str">
        <f>IF(AC$2="","",IF(COUNTIFS('Mapa Impacto'!$D$7:$D$100,'Resumo Atividades x Sistema'!$D11,'Mapa Impacto'!AB$7:AB$100,"Sim")&gt;0,"Sim","Não"))</f>
        <v>Não</v>
      </c>
      <c r="AD11" s="24" t="str">
        <f>IF(AD$2="","",IF(COUNTIFS('Mapa Impacto'!$D$7:$D$100,'Resumo Atividades x Sistema'!$D11,'Mapa Impacto'!AC$7:AC$100,"Sim")&gt;0,"Sim","Não"))</f>
        <v>Não</v>
      </c>
      <c r="AE11" s="24" t="str">
        <f>IF(AE$2="","",IF(COUNTIFS('Mapa Impacto'!$D$7:$D$100,'Resumo Atividades x Sistema'!$D11,'Mapa Impacto'!AD$7:AD$100,"Sim")&gt;0,"Sim","Não"))</f>
        <v>Não</v>
      </c>
      <c r="AF11" s="24" t="str">
        <f>IF(AF$2="","",IF(COUNTIFS('Mapa Impacto'!$D$7:$D$100,'Resumo Atividades x Sistema'!$D11,'Mapa Impacto'!AE$7:AE$100,"Sim")&gt;0,"Sim","Não"))</f>
        <v>Não</v>
      </c>
      <c r="AG11" s="24" t="str">
        <f>IF(AG$2="","",IF(COUNTIFS('Mapa Impacto'!$D$7:$D$100,'Resumo Atividades x Sistema'!$D11,'Mapa Impacto'!AF$7:AF$100,"Sim")&gt;0,"Sim","Não"))</f>
        <v>Não</v>
      </c>
      <c r="AH11" s="24" t="str">
        <f>IF(AH$2="","",IF(COUNTIFS('Mapa Impacto'!$D$7:$D$100,'Resumo Atividades x Sistema'!$D11,'Mapa Impacto'!AG$7:AG$100,"Sim")&gt;0,"Sim","Não"))</f>
        <v>Não</v>
      </c>
      <c r="AI11" s="24" t="str">
        <f>IF(AI$2="","",IF(COUNTIFS('Mapa Impacto'!$D$7:$D$100,'Resumo Atividades x Sistema'!$D11,'Mapa Impacto'!AH$7:AH$100,"Sim")&gt;0,"Sim","Não"))</f>
        <v>Não</v>
      </c>
      <c r="AJ11" s="24" t="str">
        <f>IF(AJ$2="","",IF(COUNTIFS('Mapa Impacto'!$D$7:$D$100,'Resumo Atividades x Sistema'!$D11,'Mapa Impacto'!AI$7:AI$100,"Sim")&gt;0,"Sim","Não"))</f>
        <v>Não</v>
      </c>
      <c r="AK11" s="24" t="str">
        <f>IF(AK$2="","",IF(COUNTIFS('Mapa Impacto'!$D$7:$D$100,'Resumo Atividades x Sistema'!$D11,'Mapa Impacto'!AJ$7:AJ$100,"Sim")&gt;0,"Sim","Não"))</f>
        <v>Não</v>
      </c>
    </row>
    <row r="12" spans="1:37" ht="75" outlineLevel="1" x14ac:dyDescent="0.25">
      <c r="B12" s="144" t="str">
        <f>'Checklist Impacto Operações TI'!A8</f>
        <v>03 - Operação de Sistemas</v>
      </c>
      <c r="C12" s="145"/>
      <c r="D12" s="24" t="str">
        <f>'Checklist Impacto Operações TI'!C8</f>
        <v>O projeto fará uso de NOVO ambiente não-produção 
ou
fará alteração na configuração de software básico de ambiente não-produção pré-existente (Desenvolvimento? Homologação? Testes Integrado etc?)</v>
      </c>
      <c r="E12" s="24" t="str">
        <f>'Checklist Impacto Operações TI'!D8</f>
        <v xml:space="preserve">Bloco - Disponibilizar ambientes funcionais do projeto (Desenvolvimento? Homologação? Testes Integrado etc?) </v>
      </c>
      <c r="F12" s="24" t="str">
        <f>'Checklist Impacto Operações TI'!E8</f>
        <v>Ambientes criados e disponiveis para uso</v>
      </c>
      <c r="G12" s="24" t="str">
        <f>IF(G$2="","",IF(COUNTIFS('Mapa Impacto'!$D$7:$D$100,'Resumo Atividades x Sistema'!$D12,'Mapa Impacto'!F$7:F$100,"Sim")&gt;0,"Sim","Não"))</f>
        <v>Não</v>
      </c>
      <c r="H12" s="24" t="str">
        <f>IF(H$2="","",IF(COUNTIFS('Mapa Impacto'!$D$7:$D$100,'Resumo Atividades x Sistema'!$D12,'Mapa Impacto'!G$7:G$100,"Sim")&gt;0,"Sim","Não"))</f>
        <v>Não</v>
      </c>
      <c r="I12" s="24" t="str">
        <f>IF(I$2="","",IF(COUNTIFS('Mapa Impacto'!$D$7:$D$100,'Resumo Atividades x Sistema'!$D12,'Mapa Impacto'!H$7:H$100,"Sim")&gt;0,"Sim","Não"))</f>
        <v>Não</v>
      </c>
      <c r="J12" s="24" t="str">
        <f>IF(J$2="","",IF(COUNTIFS('Mapa Impacto'!$D$7:$D$100,'Resumo Atividades x Sistema'!$D12,'Mapa Impacto'!I$7:I$100,"Sim")&gt;0,"Sim","Não"))</f>
        <v>Não</v>
      </c>
      <c r="K12" s="24" t="str">
        <f>IF(K$2="","",IF(COUNTIFS('Mapa Impacto'!$D$7:$D$100,'Resumo Atividades x Sistema'!$D12,'Mapa Impacto'!J$7:J$100,"Sim")&gt;0,"Sim","Não"))</f>
        <v>Não</v>
      </c>
      <c r="L12" s="24" t="str">
        <f>IF(L$2="","",IF(COUNTIFS('Mapa Impacto'!$D$7:$D$100,'Resumo Atividades x Sistema'!$D12,'Mapa Impacto'!K$7:K$100,"Sim")&gt;0,"Sim","Não"))</f>
        <v>Não</v>
      </c>
      <c r="M12" s="24" t="str">
        <f>IF(M$2="","",IF(COUNTIFS('Mapa Impacto'!$D$7:$D$100,'Resumo Atividades x Sistema'!$D12,'Mapa Impacto'!L$7:L$100,"Sim")&gt;0,"Sim","Não"))</f>
        <v>Não</v>
      </c>
      <c r="N12" s="24" t="str">
        <f>IF(N$2="","",IF(COUNTIFS('Mapa Impacto'!$D$7:$D$100,'Resumo Atividades x Sistema'!$D12,'Mapa Impacto'!M$7:M$100,"Sim")&gt;0,"Sim","Não"))</f>
        <v>Não</v>
      </c>
      <c r="O12" s="24" t="str">
        <f>IF(O$2="","",IF(COUNTIFS('Mapa Impacto'!$D$7:$D$100,'Resumo Atividades x Sistema'!$D12,'Mapa Impacto'!N$7:N$100,"Sim")&gt;0,"Sim","Não"))</f>
        <v>Não</v>
      </c>
      <c r="P12" s="24" t="str">
        <f>IF(P$2="","",IF(COUNTIFS('Mapa Impacto'!$D$7:$D$100,'Resumo Atividades x Sistema'!$D12,'Mapa Impacto'!O$7:O$100,"Sim")&gt;0,"Sim","Não"))</f>
        <v>Não</v>
      </c>
      <c r="Q12" s="24" t="str">
        <f>IF(Q$2="","",IF(COUNTIFS('Mapa Impacto'!$D$7:$D$100,'Resumo Atividades x Sistema'!$D12,'Mapa Impacto'!P$7:P$100,"Sim")&gt;0,"Sim","Não"))</f>
        <v>Não</v>
      </c>
      <c r="R12" s="24" t="str">
        <f>IF(R$2="","",IF(COUNTIFS('Mapa Impacto'!$D$7:$D$100,'Resumo Atividades x Sistema'!$D12,'Mapa Impacto'!Q$7:Q$100,"Sim")&gt;0,"Sim","Não"))</f>
        <v>Não</v>
      </c>
      <c r="S12" s="24" t="str">
        <f>IF(S$2="","",IF(COUNTIFS('Mapa Impacto'!$D$7:$D$100,'Resumo Atividades x Sistema'!$D12,'Mapa Impacto'!R$7:R$100,"Sim")&gt;0,"Sim","Não"))</f>
        <v>Não</v>
      </c>
      <c r="T12" s="24" t="str">
        <f>IF(T$2="","",IF(COUNTIFS('Mapa Impacto'!$D$7:$D$100,'Resumo Atividades x Sistema'!$D12,'Mapa Impacto'!S$7:S$100,"Sim")&gt;0,"Sim","Não"))</f>
        <v>Não</v>
      </c>
      <c r="U12" s="24" t="str">
        <f>IF(U$2="","",IF(COUNTIFS('Mapa Impacto'!$D$7:$D$100,'Resumo Atividades x Sistema'!$D12,'Mapa Impacto'!T$7:T$100,"Sim")&gt;0,"Sim","Não"))</f>
        <v>Não</v>
      </c>
      <c r="V12" s="24" t="str">
        <f>IF(V$2="","",IF(COUNTIFS('Mapa Impacto'!$D$7:$D$100,'Resumo Atividades x Sistema'!$D12,'Mapa Impacto'!U$7:U$100,"Sim")&gt;0,"Sim","Não"))</f>
        <v>Não</v>
      </c>
      <c r="W12" s="24" t="str">
        <f>IF(W$2="","",IF(COUNTIFS('Mapa Impacto'!$D$7:$D$100,'Resumo Atividades x Sistema'!$D12,'Mapa Impacto'!V$7:V$100,"Sim")&gt;0,"Sim","Não"))</f>
        <v>Não</v>
      </c>
      <c r="X12" s="24" t="str">
        <f>IF(X$2="","",IF(COUNTIFS('Mapa Impacto'!$D$7:$D$100,'Resumo Atividades x Sistema'!$D12,'Mapa Impacto'!W$7:W$100,"Sim")&gt;0,"Sim","Não"))</f>
        <v>Não</v>
      </c>
      <c r="Y12" s="24" t="str">
        <f>IF(Y$2="","",IF(COUNTIFS('Mapa Impacto'!$D$7:$D$100,'Resumo Atividades x Sistema'!$D12,'Mapa Impacto'!X$7:X$100,"Sim")&gt;0,"Sim","Não"))</f>
        <v>Não</v>
      </c>
      <c r="Z12" s="24" t="str">
        <f>IF(Z$2="","",IF(COUNTIFS('Mapa Impacto'!$D$7:$D$100,'Resumo Atividades x Sistema'!$D12,'Mapa Impacto'!Y$7:Y$100,"Sim")&gt;0,"Sim","Não"))</f>
        <v>Não</v>
      </c>
      <c r="AA12" s="24" t="str">
        <f>IF(AA$2="","",IF(COUNTIFS('Mapa Impacto'!$D$7:$D$100,'Resumo Atividades x Sistema'!$D12,'Mapa Impacto'!Z$7:Z$100,"Sim")&gt;0,"Sim","Não"))</f>
        <v>Não</v>
      </c>
      <c r="AB12" s="24" t="str">
        <f>IF(AB$2="","",IF(COUNTIFS('Mapa Impacto'!$D$7:$D$100,'Resumo Atividades x Sistema'!$D12,'Mapa Impacto'!AA$7:AA$100,"Sim")&gt;0,"Sim","Não"))</f>
        <v>Não</v>
      </c>
      <c r="AC12" s="24" t="str">
        <f>IF(AC$2="","",IF(COUNTIFS('Mapa Impacto'!$D$7:$D$100,'Resumo Atividades x Sistema'!$D12,'Mapa Impacto'!AB$7:AB$100,"Sim")&gt;0,"Sim","Não"))</f>
        <v>Não</v>
      </c>
      <c r="AD12" s="24" t="str">
        <f>IF(AD$2="","",IF(COUNTIFS('Mapa Impacto'!$D$7:$D$100,'Resumo Atividades x Sistema'!$D12,'Mapa Impacto'!AC$7:AC$100,"Sim")&gt;0,"Sim","Não"))</f>
        <v>Não</v>
      </c>
      <c r="AE12" s="24" t="str">
        <f>IF(AE$2="","",IF(COUNTIFS('Mapa Impacto'!$D$7:$D$100,'Resumo Atividades x Sistema'!$D12,'Mapa Impacto'!AD$7:AD$100,"Sim")&gt;0,"Sim","Não"))</f>
        <v>Não</v>
      </c>
      <c r="AF12" s="24" t="str">
        <f>IF(AF$2="","",IF(COUNTIFS('Mapa Impacto'!$D$7:$D$100,'Resumo Atividades x Sistema'!$D12,'Mapa Impacto'!AE$7:AE$100,"Sim")&gt;0,"Sim","Não"))</f>
        <v>Não</v>
      </c>
      <c r="AG12" s="24" t="str">
        <f>IF(AG$2="","",IF(COUNTIFS('Mapa Impacto'!$D$7:$D$100,'Resumo Atividades x Sistema'!$D12,'Mapa Impacto'!AF$7:AF$100,"Sim")&gt;0,"Sim","Não"))</f>
        <v>Não</v>
      </c>
      <c r="AH12" s="24" t="str">
        <f>IF(AH$2="","",IF(COUNTIFS('Mapa Impacto'!$D$7:$D$100,'Resumo Atividades x Sistema'!$D12,'Mapa Impacto'!AG$7:AG$100,"Sim")&gt;0,"Sim","Não"))</f>
        <v>Não</v>
      </c>
      <c r="AI12" s="24" t="str">
        <f>IF(AI$2="","",IF(COUNTIFS('Mapa Impacto'!$D$7:$D$100,'Resumo Atividades x Sistema'!$D12,'Mapa Impacto'!AH$7:AH$100,"Sim")&gt;0,"Sim","Não"))</f>
        <v>Não</v>
      </c>
      <c r="AJ12" s="24" t="str">
        <f>IF(AJ$2="","",IF(COUNTIFS('Mapa Impacto'!$D$7:$D$100,'Resumo Atividades x Sistema'!$D12,'Mapa Impacto'!AI$7:AI$100,"Sim")&gt;0,"Sim","Não"))</f>
        <v>Não</v>
      </c>
      <c r="AK12" s="24" t="str">
        <f>IF(AK$2="","",IF(COUNTIFS('Mapa Impacto'!$D$7:$D$100,'Resumo Atividades x Sistema'!$D12,'Mapa Impacto'!AJ$7:AJ$100,"Sim")&gt;0,"Sim","Não"))</f>
        <v>Não</v>
      </c>
    </row>
    <row r="13" spans="1:37" ht="30" outlineLevel="1" x14ac:dyDescent="0.25">
      <c r="B13" s="144" t="str">
        <f>'Checklist Impacto Operações TI'!A9</f>
        <v>03 - Operação de Sistemas</v>
      </c>
      <c r="C13" s="145"/>
      <c r="D13" s="24" t="str">
        <f>'Checklist Impacto Operações TI'!C9</f>
        <v>A demanda implica na criação de novos diretórios, file-systems, tabelas, tablespaces, banco de dados?</v>
      </c>
      <c r="E13" s="24" t="str">
        <f>'Checklist Impacto Operações TI'!D9</f>
        <v>Bloco - Implantar governança dos novos objetos (file-systems, tablespaces, databases, diretórios)</v>
      </c>
      <c r="F13" s="24" t="str">
        <f>'Checklist Impacto Operações TI'!E9</f>
        <v>Especificação de espaço para os novos filesystens e databases.</v>
      </c>
      <c r="G13" s="24" t="str">
        <f>IF(G$2="","",IF(COUNTIFS('Mapa Impacto'!$D$7:$D$100,'Resumo Atividades x Sistema'!$D13,'Mapa Impacto'!F$7:F$100,"Sim")&gt;0,"Sim","Não"))</f>
        <v>Não</v>
      </c>
      <c r="H13" s="24" t="str">
        <f>IF(H$2="","",IF(COUNTIFS('Mapa Impacto'!$D$7:$D$100,'Resumo Atividades x Sistema'!$D13,'Mapa Impacto'!G$7:G$100,"Sim")&gt;0,"Sim","Não"))</f>
        <v>Não</v>
      </c>
      <c r="I13" s="24" t="str">
        <f>IF(I$2="","",IF(COUNTIFS('Mapa Impacto'!$D$7:$D$100,'Resumo Atividades x Sistema'!$D13,'Mapa Impacto'!H$7:H$100,"Sim")&gt;0,"Sim","Não"))</f>
        <v>Não</v>
      </c>
      <c r="J13" s="24" t="str">
        <f>IF(J$2="","",IF(COUNTIFS('Mapa Impacto'!$D$7:$D$100,'Resumo Atividades x Sistema'!$D13,'Mapa Impacto'!I$7:I$100,"Sim")&gt;0,"Sim","Não"))</f>
        <v>Não</v>
      </c>
      <c r="K13" s="24" t="str">
        <f>IF(K$2="","",IF(COUNTIFS('Mapa Impacto'!$D$7:$D$100,'Resumo Atividades x Sistema'!$D13,'Mapa Impacto'!J$7:J$100,"Sim")&gt;0,"Sim","Não"))</f>
        <v>Não</v>
      </c>
      <c r="L13" s="24" t="str">
        <f>IF(L$2="","",IF(COUNTIFS('Mapa Impacto'!$D$7:$D$100,'Resumo Atividades x Sistema'!$D13,'Mapa Impacto'!K$7:K$100,"Sim")&gt;0,"Sim","Não"))</f>
        <v>Não</v>
      </c>
      <c r="M13" s="24" t="str">
        <f>IF(M$2="","",IF(COUNTIFS('Mapa Impacto'!$D$7:$D$100,'Resumo Atividades x Sistema'!$D13,'Mapa Impacto'!L$7:L$100,"Sim")&gt;0,"Sim","Não"))</f>
        <v>Não</v>
      </c>
      <c r="N13" s="24" t="str">
        <f>IF(N$2="","",IF(COUNTIFS('Mapa Impacto'!$D$7:$D$100,'Resumo Atividades x Sistema'!$D13,'Mapa Impacto'!M$7:M$100,"Sim")&gt;0,"Sim","Não"))</f>
        <v>Não</v>
      </c>
      <c r="O13" s="24" t="str">
        <f>IF(O$2="","",IF(COUNTIFS('Mapa Impacto'!$D$7:$D$100,'Resumo Atividades x Sistema'!$D13,'Mapa Impacto'!N$7:N$100,"Sim")&gt;0,"Sim","Não"))</f>
        <v>Não</v>
      </c>
      <c r="P13" s="24" t="str">
        <f>IF(P$2="","",IF(COUNTIFS('Mapa Impacto'!$D$7:$D$100,'Resumo Atividades x Sistema'!$D13,'Mapa Impacto'!O$7:O$100,"Sim")&gt;0,"Sim","Não"))</f>
        <v>Não</v>
      </c>
      <c r="Q13" s="24" t="str">
        <f>IF(Q$2="","",IF(COUNTIFS('Mapa Impacto'!$D$7:$D$100,'Resumo Atividades x Sistema'!$D13,'Mapa Impacto'!P$7:P$100,"Sim")&gt;0,"Sim","Não"))</f>
        <v>Não</v>
      </c>
      <c r="R13" s="24" t="str">
        <f>IF(R$2="","",IF(COUNTIFS('Mapa Impacto'!$D$7:$D$100,'Resumo Atividades x Sistema'!$D13,'Mapa Impacto'!Q$7:Q$100,"Sim")&gt;0,"Sim","Não"))</f>
        <v>Não</v>
      </c>
      <c r="S13" s="24" t="str">
        <f>IF(S$2="","",IF(COUNTIFS('Mapa Impacto'!$D$7:$D$100,'Resumo Atividades x Sistema'!$D13,'Mapa Impacto'!R$7:R$100,"Sim")&gt;0,"Sim","Não"))</f>
        <v>Não</v>
      </c>
      <c r="T13" s="24" t="str">
        <f>IF(T$2="","",IF(COUNTIFS('Mapa Impacto'!$D$7:$D$100,'Resumo Atividades x Sistema'!$D13,'Mapa Impacto'!S$7:S$100,"Sim")&gt;0,"Sim","Não"))</f>
        <v>Não</v>
      </c>
      <c r="U13" s="24" t="str">
        <f>IF(U$2="","",IF(COUNTIFS('Mapa Impacto'!$D$7:$D$100,'Resumo Atividades x Sistema'!$D13,'Mapa Impacto'!T$7:T$100,"Sim")&gt;0,"Sim","Não"))</f>
        <v>Não</v>
      </c>
      <c r="V13" s="24" t="str">
        <f>IF(V$2="","",IF(COUNTIFS('Mapa Impacto'!$D$7:$D$100,'Resumo Atividades x Sistema'!$D13,'Mapa Impacto'!U$7:U$100,"Sim")&gt;0,"Sim","Não"))</f>
        <v>Não</v>
      </c>
      <c r="W13" s="24" t="str">
        <f>IF(W$2="","",IF(COUNTIFS('Mapa Impacto'!$D$7:$D$100,'Resumo Atividades x Sistema'!$D13,'Mapa Impacto'!V$7:V$100,"Sim")&gt;0,"Sim","Não"))</f>
        <v>Não</v>
      </c>
      <c r="X13" s="24" t="str">
        <f>IF(X$2="","",IF(COUNTIFS('Mapa Impacto'!$D$7:$D$100,'Resumo Atividades x Sistema'!$D13,'Mapa Impacto'!W$7:W$100,"Sim")&gt;0,"Sim","Não"))</f>
        <v>Não</v>
      </c>
      <c r="Y13" s="24" t="str">
        <f>IF(Y$2="","",IF(COUNTIFS('Mapa Impacto'!$D$7:$D$100,'Resumo Atividades x Sistema'!$D13,'Mapa Impacto'!X$7:X$100,"Sim")&gt;0,"Sim","Não"))</f>
        <v>Não</v>
      </c>
      <c r="Z13" s="24" t="str">
        <f>IF(Z$2="","",IF(COUNTIFS('Mapa Impacto'!$D$7:$D$100,'Resumo Atividades x Sistema'!$D13,'Mapa Impacto'!Y$7:Y$100,"Sim")&gt;0,"Sim","Não"))</f>
        <v>Não</v>
      </c>
      <c r="AA13" s="24" t="str">
        <f>IF(AA$2="","",IF(COUNTIFS('Mapa Impacto'!$D$7:$D$100,'Resumo Atividades x Sistema'!$D13,'Mapa Impacto'!Z$7:Z$100,"Sim")&gt;0,"Sim","Não"))</f>
        <v>Não</v>
      </c>
      <c r="AB13" s="24" t="str">
        <f>IF(AB$2="","",IF(COUNTIFS('Mapa Impacto'!$D$7:$D$100,'Resumo Atividades x Sistema'!$D13,'Mapa Impacto'!AA$7:AA$100,"Sim")&gt;0,"Sim","Não"))</f>
        <v>Não</v>
      </c>
      <c r="AC13" s="24" t="str">
        <f>IF(AC$2="","",IF(COUNTIFS('Mapa Impacto'!$D$7:$D$100,'Resumo Atividades x Sistema'!$D13,'Mapa Impacto'!AB$7:AB$100,"Sim")&gt;0,"Sim","Não"))</f>
        <v>Não</v>
      </c>
      <c r="AD13" s="24" t="str">
        <f>IF(AD$2="","",IF(COUNTIFS('Mapa Impacto'!$D$7:$D$100,'Resumo Atividades x Sistema'!$D13,'Mapa Impacto'!AC$7:AC$100,"Sim")&gt;0,"Sim","Não"))</f>
        <v>Não</v>
      </c>
      <c r="AE13" s="24" t="str">
        <f>IF(AE$2="","",IF(COUNTIFS('Mapa Impacto'!$D$7:$D$100,'Resumo Atividades x Sistema'!$D13,'Mapa Impacto'!AD$7:AD$100,"Sim")&gt;0,"Sim","Não"))</f>
        <v>Não</v>
      </c>
      <c r="AF13" s="24" t="str">
        <f>IF(AF$2="","",IF(COUNTIFS('Mapa Impacto'!$D$7:$D$100,'Resumo Atividades x Sistema'!$D13,'Mapa Impacto'!AE$7:AE$100,"Sim")&gt;0,"Sim","Não"))</f>
        <v>Não</v>
      </c>
      <c r="AG13" s="24" t="str">
        <f>IF(AG$2="","",IF(COUNTIFS('Mapa Impacto'!$D$7:$D$100,'Resumo Atividades x Sistema'!$D13,'Mapa Impacto'!AF$7:AF$100,"Sim")&gt;0,"Sim","Não"))</f>
        <v>Não</v>
      </c>
      <c r="AH13" s="24" t="str">
        <f>IF(AH$2="","",IF(COUNTIFS('Mapa Impacto'!$D$7:$D$100,'Resumo Atividades x Sistema'!$D13,'Mapa Impacto'!AG$7:AG$100,"Sim")&gt;0,"Sim","Não"))</f>
        <v>Não</v>
      </c>
      <c r="AI13" s="24" t="str">
        <f>IF(AI$2="","",IF(COUNTIFS('Mapa Impacto'!$D$7:$D$100,'Resumo Atividades x Sistema'!$D13,'Mapa Impacto'!AH$7:AH$100,"Sim")&gt;0,"Sim","Não"))</f>
        <v>Não</v>
      </c>
      <c r="AJ13" s="24" t="str">
        <f>IF(AJ$2="","",IF(COUNTIFS('Mapa Impacto'!$D$7:$D$100,'Resumo Atividades x Sistema'!$D13,'Mapa Impacto'!AI$7:AI$100,"Sim")&gt;0,"Sim","Não"))</f>
        <v>Não</v>
      </c>
      <c r="AK13" s="24" t="str">
        <f>IF(AK$2="","",IF(COUNTIFS('Mapa Impacto'!$D$7:$D$100,'Resumo Atividades x Sistema'!$D13,'Mapa Impacto'!AJ$7:AJ$100,"Sim")&gt;0,"Sim","Não"))</f>
        <v>Não</v>
      </c>
    </row>
    <row r="14" spans="1:37" ht="75" outlineLevel="1" x14ac:dyDescent="0.25">
      <c r="B14" s="144" t="str">
        <f>'Checklist Impacto Operações TI'!A10</f>
        <v>03 - Operação de Sistemas</v>
      </c>
      <c r="C14" s="145"/>
      <c r="D14" s="24" t="str">
        <f>'Checklist Impacto Operações TI'!C10</f>
        <v>O objetivo da demanda é a melhoria de performance (tunning)?</v>
      </c>
      <c r="E14" s="24" t="str">
        <f>'Checklist Impacto Operações TI'!D10</f>
        <v>Elaborar documentação para avaliar o ganho (baseline para comparação), medição e acompanhamento dos processos ofensores. Analisar necessidade de operação assistida.</v>
      </c>
      <c r="F14" s="24" t="str">
        <f>'Checklist Impacto Operações TI'!E10</f>
        <v>Documento de pós produção com evidências do projeto demonstrando Tunning ( Se o projeto é de melhoria de performance há que se ter uma evidência com massa de teste adequada ao processo em questão).</v>
      </c>
      <c r="G14" s="24" t="str">
        <f>IF(G$2="","",IF(COUNTIFS('Mapa Impacto'!$D$7:$D$100,'Resumo Atividades x Sistema'!$D14,'Mapa Impacto'!F$7:F$100,"Sim")&gt;0,"Sim","Não"))</f>
        <v>Não</v>
      </c>
      <c r="H14" s="24" t="str">
        <f>IF(H$2="","",IF(COUNTIFS('Mapa Impacto'!$D$7:$D$100,'Resumo Atividades x Sistema'!$D14,'Mapa Impacto'!G$7:G$100,"Sim")&gt;0,"Sim","Não"))</f>
        <v>Não</v>
      </c>
      <c r="I14" s="24" t="str">
        <f>IF(I$2="","",IF(COUNTIFS('Mapa Impacto'!$D$7:$D$100,'Resumo Atividades x Sistema'!$D14,'Mapa Impacto'!H$7:H$100,"Sim")&gt;0,"Sim","Não"))</f>
        <v>Não</v>
      </c>
      <c r="J14" s="24" t="str">
        <f>IF(J$2="","",IF(COUNTIFS('Mapa Impacto'!$D$7:$D$100,'Resumo Atividades x Sistema'!$D14,'Mapa Impacto'!I$7:I$100,"Sim")&gt;0,"Sim","Não"))</f>
        <v>Não</v>
      </c>
      <c r="K14" s="24" t="str">
        <f>IF(K$2="","",IF(COUNTIFS('Mapa Impacto'!$D$7:$D$100,'Resumo Atividades x Sistema'!$D14,'Mapa Impacto'!J$7:J$100,"Sim")&gt;0,"Sim","Não"))</f>
        <v>Não</v>
      </c>
      <c r="L14" s="24" t="str">
        <f>IF(L$2="","",IF(COUNTIFS('Mapa Impacto'!$D$7:$D$100,'Resumo Atividades x Sistema'!$D14,'Mapa Impacto'!K$7:K$100,"Sim")&gt;0,"Sim","Não"))</f>
        <v>Não</v>
      </c>
      <c r="M14" s="24" t="str">
        <f>IF(M$2="","",IF(COUNTIFS('Mapa Impacto'!$D$7:$D$100,'Resumo Atividades x Sistema'!$D14,'Mapa Impacto'!L$7:L$100,"Sim")&gt;0,"Sim","Não"))</f>
        <v>Não</v>
      </c>
      <c r="N14" s="24" t="str">
        <f>IF(N$2="","",IF(COUNTIFS('Mapa Impacto'!$D$7:$D$100,'Resumo Atividades x Sistema'!$D14,'Mapa Impacto'!M$7:M$100,"Sim")&gt;0,"Sim","Não"))</f>
        <v>Não</v>
      </c>
      <c r="O14" s="24" t="str">
        <f>IF(O$2="","",IF(COUNTIFS('Mapa Impacto'!$D$7:$D$100,'Resumo Atividades x Sistema'!$D14,'Mapa Impacto'!N$7:N$100,"Sim")&gt;0,"Sim","Não"))</f>
        <v>Não</v>
      </c>
      <c r="P14" s="24" t="str">
        <f>IF(P$2="","",IF(COUNTIFS('Mapa Impacto'!$D$7:$D$100,'Resumo Atividades x Sistema'!$D14,'Mapa Impacto'!O$7:O$100,"Sim")&gt;0,"Sim","Não"))</f>
        <v>Não</v>
      </c>
      <c r="Q14" s="24" t="str">
        <f>IF(Q$2="","",IF(COUNTIFS('Mapa Impacto'!$D$7:$D$100,'Resumo Atividades x Sistema'!$D14,'Mapa Impacto'!P$7:P$100,"Sim")&gt;0,"Sim","Não"))</f>
        <v>Não</v>
      </c>
      <c r="R14" s="24" t="str">
        <f>IF(R$2="","",IF(COUNTIFS('Mapa Impacto'!$D$7:$D$100,'Resumo Atividades x Sistema'!$D14,'Mapa Impacto'!Q$7:Q$100,"Sim")&gt;0,"Sim","Não"))</f>
        <v>Não</v>
      </c>
      <c r="S14" s="24" t="str">
        <f>IF(S$2="","",IF(COUNTIFS('Mapa Impacto'!$D$7:$D$100,'Resumo Atividades x Sistema'!$D14,'Mapa Impacto'!R$7:R$100,"Sim")&gt;0,"Sim","Não"))</f>
        <v>Não</v>
      </c>
      <c r="T14" s="24" t="str">
        <f>IF(T$2="","",IF(COUNTIFS('Mapa Impacto'!$D$7:$D$100,'Resumo Atividades x Sistema'!$D14,'Mapa Impacto'!S$7:S$100,"Sim")&gt;0,"Sim","Não"))</f>
        <v>Não</v>
      </c>
      <c r="U14" s="24" t="str">
        <f>IF(U$2="","",IF(COUNTIFS('Mapa Impacto'!$D$7:$D$100,'Resumo Atividades x Sistema'!$D14,'Mapa Impacto'!T$7:T$100,"Sim")&gt;0,"Sim","Não"))</f>
        <v>Não</v>
      </c>
      <c r="V14" s="24" t="str">
        <f>IF(V$2="","",IF(COUNTIFS('Mapa Impacto'!$D$7:$D$100,'Resumo Atividades x Sistema'!$D14,'Mapa Impacto'!U$7:U$100,"Sim")&gt;0,"Sim","Não"))</f>
        <v>Não</v>
      </c>
      <c r="W14" s="24" t="str">
        <f>IF(W$2="","",IF(COUNTIFS('Mapa Impacto'!$D$7:$D$100,'Resumo Atividades x Sistema'!$D14,'Mapa Impacto'!V$7:V$100,"Sim")&gt;0,"Sim","Não"))</f>
        <v>Não</v>
      </c>
      <c r="X14" s="24" t="str">
        <f>IF(X$2="","",IF(COUNTIFS('Mapa Impacto'!$D$7:$D$100,'Resumo Atividades x Sistema'!$D14,'Mapa Impacto'!W$7:W$100,"Sim")&gt;0,"Sim","Não"))</f>
        <v>Não</v>
      </c>
      <c r="Y14" s="24" t="str">
        <f>IF(Y$2="","",IF(COUNTIFS('Mapa Impacto'!$D$7:$D$100,'Resumo Atividades x Sistema'!$D14,'Mapa Impacto'!X$7:X$100,"Sim")&gt;0,"Sim","Não"))</f>
        <v>Não</v>
      </c>
      <c r="Z14" s="24" t="str">
        <f>IF(Z$2="","",IF(COUNTIFS('Mapa Impacto'!$D$7:$D$100,'Resumo Atividades x Sistema'!$D14,'Mapa Impacto'!Y$7:Y$100,"Sim")&gt;0,"Sim","Não"))</f>
        <v>Não</v>
      </c>
      <c r="AA14" s="24" t="str">
        <f>IF(AA$2="","",IF(COUNTIFS('Mapa Impacto'!$D$7:$D$100,'Resumo Atividades x Sistema'!$D14,'Mapa Impacto'!Z$7:Z$100,"Sim")&gt;0,"Sim","Não"))</f>
        <v>Não</v>
      </c>
      <c r="AB14" s="24" t="str">
        <f>IF(AB$2="","",IF(COUNTIFS('Mapa Impacto'!$D$7:$D$100,'Resumo Atividades x Sistema'!$D14,'Mapa Impacto'!AA$7:AA$100,"Sim")&gt;0,"Sim","Não"))</f>
        <v>Não</v>
      </c>
      <c r="AC14" s="24" t="str">
        <f>IF(AC$2="","",IF(COUNTIFS('Mapa Impacto'!$D$7:$D$100,'Resumo Atividades x Sistema'!$D14,'Mapa Impacto'!AB$7:AB$100,"Sim")&gt;0,"Sim","Não"))</f>
        <v>Não</v>
      </c>
      <c r="AD14" s="24" t="str">
        <f>IF(AD$2="","",IF(COUNTIFS('Mapa Impacto'!$D$7:$D$100,'Resumo Atividades x Sistema'!$D14,'Mapa Impacto'!AC$7:AC$100,"Sim")&gt;0,"Sim","Não"))</f>
        <v>Não</v>
      </c>
      <c r="AE14" s="24" t="str">
        <f>IF(AE$2="","",IF(COUNTIFS('Mapa Impacto'!$D$7:$D$100,'Resumo Atividades x Sistema'!$D14,'Mapa Impacto'!AD$7:AD$100,"Sim")&gt;0,"Sim","Não"))</f>
        <v>Não</v>
      </c>
      <c r="AF14" s="24" t="str">
        <f>IF(AF$2="","",IF(COUNTIFS('Mapa Impacto'!$D$7:$D$100,'Resumo Atividades x Sistema'!$D14,'Mapa Impacto'!AE$7:AE$100,"Sim")&gt;0,"Sim","Não"))</f>
        <v>Não</v>
      </c>
      <c r="AG14" s="24" t="str">
        <f>IF(AG$2="","",IF(COUNTIFS('Mapa Impacto'!$D$7:$D$100,'Resumo Atividades x Sistema'!$D14,'Mapa Impacto'!AF$7:AF$100,"Sim")&gt;0,"Sim","Não"))</f>
        <v>Não</v>
      </c>
      <c r="AH14" s="24" t="str">
        <f>IF(AH$2="","",IF(COUNTIFS('Mapa Impacto'!$D$7:$D$100,'Resumo Atividades x Sistema'!$D14,'Mapa Impacto'!AG$7:AG$100,"Sim")&gt;0,"Sim","Não"))</f>
        <v>Não</v>
      </c>
      <c r="AI14" s="24" t="str">
        <f>IF(AI$2="","",IF(COUNTIFS('Mapa Impacto'!$D$7:$D$100,'Resumo Atividades x Sistema'!$D14,'Mapa Impacto'!AH$7:AH$100,"Sim")&gt;0,"Sim","Não"))</f>
        <v>Não</v>
      </c>
      <c r="AJ14" s="24" t="str">
        <f>IF(AJ$2="","",IF(COUNTIFS('Mapa Impacto'!$D$7:$D$100,'Resumo Atividades x Sistema'!$D14,'Mapa Impacto'!AI$7:AI$100,"Sim")&gt;0,"Sim","Não"))</f>
        <v>Não</v>
      </c>
      <c r="AK14" s="24" t="str">
        <f>IF(AK$2="","",IF(COUNTIFS('Mapa Impacto'!$D$7:$D$100,'Resumo Atividades x Sistema'!$D14,'Mapa Impacto'!AJ$7:AJ$100,"Sim")&gt;0,"Sim","Não"))</f>
        <v>Não</v>
      </c>
    </row>
    <row r="15" spans="1:37" ht="30" outlineLevel="1" x14ac:dyDescent="0.25">
      <c r="B15" s="144" t="str">
        <f>'Checklist Impacto Operações TI'!A11</f>
        <v>03 - Operação de Sistemas</v>
      </c>
      <c r="C15" s="145"/>
      <c r="D15" s="24" t="str">
        <f>'Checklist Impacto Operações TI'!C11</f>
        <v>A demanda implica em usar mecanismos de auditoria tais como trilhas, logs etc? (somente para plataforma open)</v>
      </c>
      <c r="E15" s="24" t="str">
        <f>'Checklist Impacto Operações TI'!D11</f>
        <v>Bloco - Implantar mecanismos de auditoria</v>
      </c>
      <c r="F15" s="24" t="str">
        <f>'Checklist Impacto Operações TI'!E11</f>
        <v>Sistema dotado de trilha de auditoria</v>
      </c>
      <c r="G15" s="24" t="str">
        <f>IF(G$2="","",IF(COUNTIFS('Mapa Impacto'!$D$7:$D$100,'Resumo Atividades x Sistema'!$D15,'Mapa Impacto'!F$7:F$100,"Sim")&gt;0,"Sim","Não"))</f>
        <v>Não</v>
      </c>
      <c r="H15" s="24" t="str">
        <f>IF(H$2="","",IF(COUNTIFS('Mapa Impacto'!$D$7:$D$100,'Resumo Atividades x Sistema'!$D15,'Mapa Impacto'!G$7:G$100,"Sim")&gt;0,"Sim","Não"))</f>
        <v>Não</v>
      </c>
      <c r="I15" s="24" t="str">
        <f>IF(I$2="","",IF(COUNTIFS('Mapa Impacto'!$D$7:$D$100,'Resumo Atividades x Sistema'!$D15,'Mapa Impacto'!H$7:H$100,"Sim")&gt;0,"Sim","Não"))</f>
        <v>Não</v>
      </c>
      <c r="J15" s="24" t="str">
        <f>IF(J$2="","",IF(COUNTIFS('Mapa Impacto'!$D$7:$D$100,'Resumo Atividades x Sistema'!$D15,'Mapa Impacto'!I$7:I$100,"Sim")&gt;0,"Sim","Não"))</f>
        <v>Não</v>
      </c>
      <c r="K15" s="24" t="str">
        <f>IF(K$2="","",IF(COUNTIFS('Mapa Impacto'!$D$7:$D$100,'Resumo Atividades x Sistema'!$D15,'Mapa Impacto'!J$7:J$100,"Sim")&gt;0,"Sim","Não"))</f>
        <v>Não</v>
      </c>
      <c r="L15" s="24" t="str">
        <f>IF(L$2="","",IF(COUNTIFS('Mapa Impacto'!$D$7:$D$100,'Resumo Atividades x Sistema'!$D15,'Mapa Impacto'!K$7:K$100,"Sim")&gt;0,"Sim","Não"))</f>
        <v>Não</v>
      </c>
      <c r="M15" s="24" t="str">
        <f>IF(M$2="","",IF(COUNTIFS('Mapa Impacto'!$D$7:$D$100,'Resumo Atividades x Sistema'!$D15,'Mapa Impacto'!L$7:L$100,"Sim")&gt;0,"Sim","Não"))</f>
        <v>Não</v>
      </c>
      <c r="N15" s="24" t="str">
        <f>IF(N$2="","",IF(COUNTIFS('Mapa Impacto'!$D$7:$D$100,'Resumo Atividades x Sistema'!$D15,'Mapa Impacto'!M$7:M$100,"Sim")&gt;0,"Sim","Não"))</f>
        <v>Não</v>
      </c>
      <c r="O15" s="24" t="str">
        <f>IF(O$2="","",IF(COUNTIFS('Mapa Impacto'!$D$7:$D$100,'Resumo Atividades x Sistema'!$D15,'Mapa Impacto'!N$7:N$100,"Sim")&gt;0,"Sim","Não"))</f>
        <v>Não</v>
      </c>
      <c r="P15" s="24" t="str">
        <f>IF(P$2="","",IF(COUNTIFS('Mapa Impacto'!$D$7:$D$100,'Resumo Atividades x Sistema'!$D15,'Mapa Impacto'!O$7:O$100,"Sim")&gt;0,"Sim","Não"))</f>
        <v>Não</v>
      </c>
      <c r="Q15" s="24" t="str">
        <f>IF(Q$2="","",IF(COUNTIFS('Mapa Impacto'!$D$7:$D$100,'Resumo Atividades x Sistema'!$D15,'Mapa Impacto'!P$7:P$100,"Sim")&gt;0,"Sim","Não"))</f>
        <v>Não</v>
      </c>
      <c r="R15" s="24" t="str">
        <f>IF(R$2="","",IF(COUNTIFS('Mapa Impacto'!$D$7:$D$100,'Resumo Atividades x Sistema'!$D15,'Mapa Impacto'!Q$7:Q$100,"Sim")&gt;0,"Sim","Não"))</f>
        <v>Não</v>
      </c>
      <c r="S15" s="24" t="str">
        <f>IF(S$2="","",IF(COUNTIFS('Mapa Impacto'!$D$7:$D$100,'Resumo Atividades x Sistema'!$D15,'Mapa Impacto'!R$7:R$100,"Sim")&gt;0,"Sim","Não"))</f>
        <v>Não</v>
      </c>
      <c r="T15" s="24" t="str">
        <f>IF(T$2="","",IF(COUNTIFS('Mapa Impacto'!$D$7:$D$100,'Resumo Atividades x Sistema'!$D15,'Mapa Impacto'!S$7:S$100,"Sim")&gt;0,"Sim","Não"))</f>
        <v>Não</v>
      </c>
      <c r="U15" s="24" t="str">
        <f>IF(U$2="","",IF(COUNTIFS('Mapa Impacto'!$D$7:$D$100,'Resumo Atividades x Sistema'!$D15,'Mapa Impacto'!T$7:T$100,"Sim")&gt;0,"Sim","Não"))</f>
        <v>Não</v>
      </c>
      <c r="V15" s="24" t="str">
        <f>IF(V$2="","",IF(COUNTIFS('Mapa Impacto'!$D$7:$D$100,'Resumo Atividades x Sistema'!$D15,'Mapa Impacto'!U$7:U$100,"Sim")&gt;0,"Sim","Não"))</f>
        <v>Não</v>
      </c>
      <c r="W15" s="24" t="str">
        <f>IF(W$2="","",IF(COUNTIFS('Mapa Impacto'!$D$7:$D$100,'Resumo Atividades x Sistema'!$D15,'Mapa Impacto'!V$7:V$100,"Sim")&gt;0,"Sim","Não"))</f>
        <v>Não</v>
      </c>
      <c r="X15" s="24" t="str">
        <f>IF(X$2="","",IF(COUNTIFS('Mapa Impacto'!$D$7:$D$100,'Resumo Atividades x Sistema'!$D15,'Mapa Impacto'!W$7:W$100,"Sim")&gt;0,"Sim","Não"))</f>
        <v>Não</v>
      </c>
      <c r="Y15" s="24" t="str">
        <f>IF(Y$2="","",IF(COUNTIFS('Mapa Impacto'!$D$7:$D$100,'Resumo Atividades x Sistema'!$D15,'Mapa Impacto'!X$7:X$100,"Sim")&gt;0,"Sim","Não"))</f>
        <v>Não</v>
      </c>
      <c r="Z15" s="24" t="str">
        <f>IF(Z$2="","",IF(COUNTIFS('Mapa Impacto'!$D$7:$D$100,'Resumo Atividades x Sistema'!$D15,'Mapa Impacto'!Y$7:Y$100,"Sim")&gt;0,"Sim","Não"))</f>
        <v>Não</v>
      </c>
      <c r="AA15" s="24" t="str">
        <f>IF(AA$2="","",IF(COUNTIFS('Mapa Impacto'!$D$7:$D$100,'Resumo Atividades x Sistema'!$D15,'Mapa Impacto'!Z$7:Z$100,"Sim")&gt;0,"Sim","Não"))</f>
        <v>Não</v>
      </c>
      <c r="AB15" s="24" t="str">
        <f>IF(AB$2="","",IF(COUNTIFS('Mapa Impacto'!$D$7:$D$100,'Resumo Atividades x Sistema'!$D15,'Mapa Impacto'!AA$7:AA$100,"Sim")&gt;0,"Sim","Não"))</f>
        <v>Não</v>
      </c>
      <c r="AC15" s="24" t="str">
        <f>IF(AC$2="","",IF(COUNTIFS('Mapa Impacto'!$D$7:$D$100,'Resumo Atividades x Sistema'!$D15,'Mapa Impacto'!AB$7:AB$100,"Sim")&gt;0,"Sim","Não"))</f>
        <v>Não</v>
      </c>
      <c r="AD15" s="24" t="str">
        <f>IF(AD$2="","",IF(COUNTIFS('Mapa Impacto'!$D$7:$D$100,'Resumo Atividades x Sistema'!$D15,'Mapa Impacto'!AC$7:AC$100,"Sim")&gt;0,"Sim","Não"))</f>
        <v>Não</v>
      </c>
      <c r="AE15" s="24" t="str">
        <f>IF(AE$2="","",IF(COUNTIFS('Mapa Impacto'!$D$7:$D$100,'Resumo Atividades x Sistema'!$D15,'Mapa Impacto'!AD$7:AD$100,"Sim")&gt;0,"Sim","Não"))</f>
        <v>Não</v>
      </c>
      <c r="AF15" s="24" t="str">
        <f>IF(AF$2="","",IF(COUNTIFS('Mapa Impacto'!$D$7:$D$100,'Resumo Atividades x Sistema'!$D15,'Mapa Impacto'!AE$7:AE$100,"Sim")&gt;0,"Sim","Não"))</f>
        <v>Não</v>
      </c>
      <c r="AG15" s="24" t="str">
        <f>IF(AG$2="","",IF(COUNTIFS('Mapa Impacto'!$D$7:$D$100,'Resumo Atividades x Sistema'!$D15,'Mapa Impacto'!AF$7:AF$100,"Sim")&gt;0,"Sim","Não"))</f>
        <v>Não</v>
      </c>
      <c r="AH15" s="24" t="str">
        <f>IF(AH$2="","",IF(COUNTIFS('Mapa Impacto'!$D$7:$D$100,'Resumo Atividades x Sistema'!$D15,'Mapa Impacto'!AG$7:AG$100,"Sim")&gt;0,"Sim","Não"))</f>
        <v>Não</v>
      </c>
      <c r="AI15" s="24" t="str">
        <f>IF(AI$2="","",IF(COUNTIFS('Mapa Impacto'!$D$7:$D$100,'Resumo Atividades x Sistema'!$D15,'Mapa Impacto'!AH$7:AH$100,"Sim")&gt;0,"Sim","Não"))</f>
        <v>Não</v>
      </c>
      <c r="AJ15" s="24" t="str">
        <f>IF(AJ$2="","",IF(COUNTIFS('Mapa Impacto'!$D$7:$D$100,'Resumo Atividades x Sistema'!$D15,'Mapa Impacto'!AI$7:AI$100,"Sim")&gt;0,"Sim","Não"))</f>
        <v>Não</v>
      </c>
      <c r="AK15" s="24" t="str">
        <f>IF(AK$2="","",IF(COUNTIFS('Mapa Impacto'!$D$7:$D$100,'Resumo Atividades x Sistema'!$D15,'Mapa Impacto'!AJ$7:AJ$100,"Sim")&gt;0,"Sim","Não"))</f>
        <v>Não</v>
      </c>
    </row>
    <row r="16" spans="1:37" ht="30" outlineLevel="1" x14ac:dyDescent="0.25">
      <c r="B16" s="144" t="str">
        <f>'Checklist Impacto Operações TI'!A12</f>
        <v>03 - Operação de Sistemas</v>
      </c>
      <c r="C16" s="145"/>
      <c r="D16" s="24" t="str">
        <f>'Checklist Impacto Operações TI'!C12</f>
        <v>Há necessidade de fazer blindagem do ambiente de produção e/ou ambiente de Teste Integrado?</v>
      </c>
      <c r="E16" s="24" t="str">
        <f>'Checklist Impacto Operações TI'!D12</f>
        <v>Bloco - Blindar Ambiente de Produção e/ou ambiente de Teste Integrado</v>
      </c>
      <c r="F16" s="24" t="str">
        <f>'Checklist Impacto Operações TI'!E12</f>
        <v>Blindagem dos Ambientes (aderência as políticas de Blindagem e Segurança de TI</v>
      </c>
      <c r="G16" s="24" t="str">
        <f>IF(G$2="","",IF(COUNTIFS('Mapa Impacto'!$D$7:$D$100,'Resumo Atividades x Sistema'!$D16,'Mapa Impacto'!F$7:F$100,"Sim")&gt;0,"Sim","Não"))</f>
        <v>Não</v>
      </c>
      <c r="H16" s="24" t="str">
        <f>IF(H$2="","",IF(COUNTIFS('Mapa Impacto'!$D$7:$D$100,'Resumo Atividades x Sistema'!$D16,'Mapa Impacto'!G$7:G$100,"Sim")&gt;0,"Sim","Não"))</f>
        <v>Não</v>
      </c>
      <c r="I16" s="24" t="str">
        <f>IF(I$2="","",IF(COUNTIFS('Mapa Impacto'!$D$7:$D$100,'Resumo Atividades x Sistema'!$D16,'Mapa Impacto'!H$7:H$100,"Sim")&gt;0,"Sim","Não"))</f>
        <v>Não</v>
      </c>
      <c r="J16" s="24" t="str">
        <f>IF(J$2="","",IF(COUNTIFS('Mapa Impacto'!$D$7:$D$100,'Resumo Atividades x Sistema'!$D16,'Mapa Impacto'!I$7:I$100,"Sim")&gt;0,"Sim","Não"))</f>
        <v>Não</v>
      </c>
      <c r="K16" s="24" t="str">
        <f>IF(K$2="","",IF(COUNTIFS('Mapa Impacto'!$D$7:$D$100,'Resumo Atividades x Sistema'!$D16,'Mapa Impacto'!J$7:J$100,"Sim")&gt;0,"Sim","Não"))</f>
        <v>Não</v>
      </c>
      <c r="L16" s="24" t="str">
        <f>IF(L$2="","",IF(COUNTIFS('Mapa Impacto'!$D$7:$D$100,'Resumo Atividades x Sistema'!$D16,'Mapa Impacto'!K$7:K$100,"Sim")&gt;0,"Sim","Não"))</f>
        <v>Não</v>
      </c>
      <c r="M16" s="24" t="str">
        <f>IF(M$2="","",IF(COUNTIFS('Mapa Impacto'!$D$7:$D$100,'Resumo Atividades x Sistema'!$D16,'Mapa Impacto'!L$7:L$100,"Sim")&gt;0,"Sim","Não"))</f>
        <v>Não</v>
      </c>
      <c r="N16" s="24" t="str">
        <f>IF(N$2="","",IF(COUNTIFS('Mapa Impacto'!$D$7:$D$100,'Resumo Atividades x Sistema'!$D16,'Mapa Impacto'!M$7:M$100,"Sim")&gt;0,"Sim","Não"))</f>
        <v>Não</v>
      </c>
      <c r="O16" s="24" t="str">
        <f>IF(O$2="","",IF(COUNTIFS('Mapa Impacto'!$D$7:$D$100,'Resumo Atividades x Sistema'!$D16,'Mapa Impacto'!N$7:N$100,"Sim")&gt;0,"Sim","Não"))</f>
        <v>Não</v>
      </c>
      <c r="P16" s="24" t="str">
        <f>IF(P$2="","",IF(COUNTIFS('Mapa Impacto'!$D$7:$D$100,'Resumo Atividades x Sistema'!$D16,'Mapa Impacto'!O$7:O$100,"Sim")&gt;0,"Sim","Não"))</f>
        <v>Não</v>
      </c>
      <c r="Q16" s="24" t="str">
        <f>IF(Q$2="","",IF(COUNTIFS('Mapa Impacto'!$D$7:$D$100,'Resumo Atividades x Sistema'!$D16,'Mapa Impacto'!P$7:P$100,"Sim")&gt;0,"Sim","Não"))</f>
        <v>Não</v>
      </c>
      <c r="R16" s="24" t="str">
        <f>IF(R$2="","",IF(COUNTIFS('Mapa Impacto'!$D$7:$D$100,'Resumo Atividades x Sistema'!$D16,'Mapa Impacto'!Q$7:Q$100,"Sim")&gt;0,"Sim","Não"))</f>
        <v>Não</v>
      </c>
      <c r="S16" s="24" t="str">
        <f>IF(S$2="","",IF(COUNTIFS('Mapa Impacto'!$D$7:$D$100,'Resumo Atividades x Sistema'!$D16,'Mapa Impacto'!R$7:R$100,"Sim")&gt;0,"Sim","Não"))</f>
        <v>Não</v>
      </c>
      <c r="T16" s="24" t="str">
        <f>IF(T$2="","",IF(COUNTIFS('Mapa Impacto'!$D$7:$D$100,'Resumo Atividades x Sistema'!$D16,'Mapa Impacto'!S$7:S$100,"Sim")&gt;0,"Sim","Não"))</f>
        <v>Não</v>
      </c>
      <c r="U16" s="24" t="str">
        <f>IF(U$2="","",IF(COUNTIFS('Mapa Impacto'!$D$7:$D$100,'Resumo Atividades x Sistema'!$D16,'Mapa Impacto'!T$7:T$100,"Sim")&gt;0,"Sim","Não"))</f>
        <v>Não</v>
      </c>
      <c r="V16" s="24" t="str">
        <f>IF(V$2="","",IF(COUNTIFS('Mapa Impacto'!$D$7:$D$100,'Resumo Atividades x Sistema'!$D16,'Mapa Impacto'!U$7:U$100,"Sim")&gt;0,"Sim","Não"))</f>
        <v>Não</v>
      </c>
      <c r="W16" s="24" t="str">
        <f>IF(W$2="","",IF(COUNTIFS('Mapa Impacto'!$D$7:$D$100,'Resumo Atividades x Sistema'!$D16,'Mapa Impacto'!V$7:V$100,"Sim")&gt;0,"Sim","Não"))</f>
        <v>Não</v>
      </c>
      <c r="X16" s="24" t="str">
        <f>IF(X$2="","",IF(COUNTIFS('Mapa Impacto'!$D$7:$D$100,'Resumo Atividades x Sistema'!$D16,'Mapa Impacto'!W$7:W$100,"Sim")&gt;0,"Sim","Não"))</f>
        <v>Não</v>
      </c>
      <c r="Y16" s="24" t="str">
        <f>IF(Y$2="","",IF(COUNTIFS('Mapa Impacto'!$D$7:$D$100,'Resumo Atividades x Sistema'!$D16,'Mapa Impacto'!X$7:X$100,"Sim")&gt;0,"Sim","Não"))</f>
        <v>Não</v>
      </c>
      <c r="Z16" s="24" t="str">
        <f>IF(Z$2="","",IF(COUNTIFS('Mapa Impacto'!$D$7:$D$100,'Resumo Atividades x Sistema'!$D16,'Mapa Impacto'!Y$7:Y$100,"Sim")&gt;0,"Sim","Não"))</f>
        <v>Não</v>
      </c>
      <c r="AA16" s="24" t="str">
        <f>IF(AA$2="","",IF(COUNTIFS('Mapa Impacto'!$D$7:$D$100,'Resumo Atividades x Sistema'!$D16,'Mapa Impacto'!Z$7:Z$100,"Sim")&gt;0,"Sim","Não"))</f>
        <v>Não</v>
      </c>
      <c r="AB16" s="24" t="str">
        <f>IF(AB$2="","",IF(COUNTIFS('Mapa Impacto'!$D$7:$D$100,'Resumo Atividades x Sistema'!$D16,'Mapa Impacto'!AA$7:AA$100,"Sim")&gt;0,"Sim","Não"))</f>
        <v>Não</v>
      </c>
      <c r="AC16" s="24" t="str">
        <f>IF(AC$2="","",IF(COUNTIFS('Mapa Impacto'!$D$7:$D$100,'Resumo Atividades x Sistema'!$D16,'Mapa Impacto'!AB$7:AB$100,"Sim")&gt;0,"Sim","Não"))</f>
        <v>Não</v>
      </c>
      <c r="AD16" s="24" t="str">
        <f>IF(AD$2="","",IF(COUNTIFS('Mapa Impacto'!$D$7:$D$100,'Resumo Atividades x Sistema'!$D16,'Mapa Impacto'!AC$7:AC$100,"Sim")&gt;0,"Sim","Não"))</f>
        <v>Não</v>
      </c>
      <c r="AE16" s="24" t="str">
        <f>IF(AE$2="","",IF(COUNTIFS('Mapa Impacto'!$D$7:$D$100,'Resumo Atividades x Sistema'!$D16,'Mapa Impacto'!AD$7:AD$100,"Sim")&gt;0,"Sim","Não"))</f>
        <v>Não</v>
      </c>
      <c r="AF16" s="24" t="str">
        <f>IF(AF$2="","",IF(COUNTIFS('Mapa Impacto'!$D$7:$D$100,'Resumo Atividades x Sistema'!$D16,'Mapa Impacto'!AE$7:AE$100,"Sim")&gt;0,"Sim","Não"))</f>
        <v>Não</v>
      </c>
      <c r="AG16" s="24" t="str">
        <f>IF(AG$2="","",IF(COUNTIFS('Mapa Impacto'!$D$7:$D$100,'Resumo Atividades x Sistema'!$D16,'Mapa Impacto'!AF$7:AF$100,"Sim")&gt;0,"Sim","Não"))</f>
        <v>Não</v>
      </c>
      <c r="AH16" s="24" t="str">
        <f>IF(AH$2="","",IF(COUNTIFS('Mapa Impacto'!$D$7:$D$100,'Resumo Atividades x Sistema'!$D16,'Mapa Impacto'!AG$7:AG$100,"Sim")&gt;0,"Sim","Não"))</f>
        <v>Não</v>
      </c>
      <c r="AI16" s="24" t="str">
        <f>IF(AI$2="","",IF(COUNTIFS('Mapa Impacto'!$D$7:$D$100,'Resumo Atividades x Sistema'!$D16,'Mapa Impacto'!AH$7:AH$100,"Sim")&gt;0,"Sim","Não"))</f>
        <v>Não</v>
      </c>
      <c r="AJ16" s="24" t="str">
        <f>IF(AJ$2="","",IF(COUNTIFS('Mapa Impacto'!$D$7:$D$100,'Resumo Atividades x Sistema'!$D16,'Mapa Impacto'!AI$7:AI$100,"Sim")&gt;0,"Sim","Não"))</f>
        <v>Não</v>
      </c>
      <c r="AK16" s="24" t="str">
        <f>IF(AK$2="","",IF(COUNTIFS('Mapa Impacto'!$D$7:$D$100,'Resumo Atividades x Sistema'!$D16,'Mapa Impacto'!AJ$7:AJ$100,"Sim")&gt;0,"Sim","Não"))</f>
        <v>Não</v>
      </c>
    </row>
    <row r="17" spans="2:37" ht="45" outlineLevel="1" x14ac:dyDescent="0.25">
      <c r="B17" s="144" t="str">
        <f>'Checklist Impacto Operações TI'!A13</f>
        <v>03 - Operação de Sistemas</v>
      </c>
      <c r="C17" s="145"/>
      <c r="D17" s="24" t="str">
        <f>'Checklist Impacto Operações TI'!C13</f>
        <v>Há necessidade de novos recursos (pessoal) para a operação da aplicação e/ou operação assistida em decorrência dessa demanda?</v>
      </c>
      <c r="E17" s="24" t="str">
        <f>'Checklist Impacto Operações TI'!D13</f>
        <v>Bloco - Contratar Operação da Aplicação</v>
      </c>
      <c r="F17" s="24" t="str">
        <f>'Checklist Impacto Operações TI'!E13</f>
        <v>Contrato para operação da aplicação</v>
      </c>
      <c r="G17" s="24" t="str">
        <f>IF(G$2="","",IF(COUNTIFS('Mapa Impacto'!$D$7:$D$100,'Resumo Atividades x Sistema'!$D17,'Mapa Impacto'!F$7:F$100,"Sim")&gt;0,"Sim","Não"))</f>
        <v>Não</v>
      </c>
      <c r="H17" s="24" t="str">
        <f>IF(H$2="","",IF(COUNTIFS('Mapa Impacto'!$D$7:$D$100,'Resumo Atividades x Sistema'!$D17,'Mapa Impacto'!G$7:G$100,"Sim")&gt;0,"Sim","Não"))</f>
        <v>Não</v>
      </c>
      <c r="I17" s="24" t="str">
        <f>IF(I$2="","",IF(COUNTIFS('Mapa Impacto'!$D$7:$D$100,'Resumo Atividades x Sistema'!$D17,'Mapa Impacto'!H$7:H$100,"Sim")&gt;0,"Sim","Não"))</f>
        <v>Não</v>
      </c>
      <c r="J17" s="24" t="str">
        <f>IF(J$2="","",IF(COUNTIFS('Mapa Impacto'!$D$7:$D$100,'Resumo Atividades x Sistema'!$D17,'Mapa Impacto'!I$7:I$100,"Sim")&gt;0,"Sim","Não"))</f>
        <v>Não</v>
      </c>
      <c r="K17" s="24" t="str">
        <f>IF(K$2="","",IF(COUNTIFS('Mapa Impacto'!$D$7:$D$100,'Resumo Atividades x Sistema'!$D17,'Mapa Impacto'!J$7:J$100,"Sim")&gt;0,"Sim","Não"))</f>
        <v>Não</v>
      </c>
      <c r="L17" s="24" t="str">
        <f>IF(L$2="","",IF(COUNTIFS('Mapa Impacto'!$D$7:$D$100,'Resumo Atividades x Sistema'!$D17,'Mapa Impacto'!K$7:K$100,"Sim")&gt;0,"Sim","Não"))</f>
        <v>Não</v>
      </c>
      <c r="M17" s="24" t="str">
        <f>IF(M$2="","",IF(COUNTIFS('Mapa Impacto'!$D$7:$D$100,'Resumo Atividades x Sistema'!$D17,'Mapa Impacto'!L$7:L$100,"Sim")&gt;0,"Sim","Não"))</f>
        <v>Não</v>
      </c>
      <c r="N17" s="24" t="str">
        <f>IF(N$2="","",IF(COUNTIFS('Mapa Impacto'!$D$7:$D$100,'Resumo Atividades x Sistema'!$D17,'Mapa Impacto'!M$7:M$100,"Sim")&gt;0,"Sim","Não"))</f>
        <v>Não</v>
      </c>
      <c r="O17" s="24" t="str">
        <f>IF(O$2="","",IF(COUNTIFS('Mapa Impacto'!$D$7:$D$100,'Resumo Atividades x Sistema'!$D17,'Mapa Impacto'!N$7:N$100,"Sim")&gt;0,"Sim","Não"))</f>
        <v>Não</v>
      </c>
      <c r="P17" s="24" t="str">
        <f>IF(P$2="","",IF(COUNTIFS('Mapa Impacto'!$D$7:$D$100,'Resumo Atividades x Sistema'!$D17,'Mapa Impacto'!O$7:O$100,"Sim")&gt;0,"Sim","Não"))</f>
        <v>Não</v>
      </c>
      <c r="Q17" s="24" t="str">
        <f>IF(Q$2="","",IF(COUNTIFS('Mapa Impacto'!$D$7:$D$100,'Resumo Atividades x Sistema'!$D17,'Mapa Impacto'!P$7:P$100,"Sim")&gt;0,"Sim","Não"))</f>
        <v>Não</v>
      </c>
      <c r="R17" s="24" t="str">
        <f>IF(R$2="","",IF(COUNTIFS('Mapa Impacto'!$D$7:$D$100,'Resumo Atividades x Sistema'!$D17,'Mapa Impacto'!Q$7:Q$100,"Sim")&gt;0,"Sim","Não"))</f>
        <v>Não</v>
      </c>
      <c r="S17" s="24" t="str">
        <f>IF(S$2="","",IF(COUNTIFS('Mapa Impacto'!$D$7:$D$100,'Resumo Atividades x Sistema'!$D17,'Mapa Impacto'!R$7:R$100,"Sim")&gt;0,"Sim","Não"))</f>
        <v>Não</v>
      </c>
      <c r="T17" s="24" t="str">
        <f>IF(T$2="","",IF(COUNTIFS('Mapa Impacto'!$D$7:$D$100,'Resumo Atividades x Sistema'!$D17,'Mapa Impacto'!S$7:S$100,"Sim")&gt;0,"Sim","Não"))</f>
        <v>Não</v>
      </c>
      <c r="U17" s="24" t="str">
        <f>IF(U$2="","",IF(COUNTIFS('Mapa Impacto'!$D$7:$D$100,'Resumo Atividades x Sistema'!$D17,'Mapa Impacto'!T$7:T$100,"Sim")&gt;0,"Sim","Não"))</f>
        <v>Não</v>
      </c>
      <c r="V17" s="24" t="str">
        <f>IF(V$2="","",IF(COUNTIFS('Mapa Impacto'!$D$7:$D$100,'Resumo Atividades x Sistema'!$D17,'Mapa Impacto'!U$7:U$100,"Sim")&gt;0,"Sim","Não"))</f>
        <v>Não</v>
      </c>
      <c r="W17" s="24" t="str">
        <f>IF(W$2="","",IF(COUNTIFS('Mapa Impacto'!$D$7:$D$100,'Resumo Atividades x Sistema'!$D17,'Mapa Impacto'!V$7:V$100,"Sim")&gt;0,"Sim","Não"))</f>
        <v>Não</v>
      </c>
      <c r="X17" s="24" t="str">
        <f>IF(X$2="","",IF(COUNTIFS('Mapa Impacto'!$D$7:$D$100,'Resumo Atividades x Sistema'!$D17,'Mapa Impacto'!W$7:W$100,"Sim")&gt;0,"Sim","Não"))</f>
        <v>Não</v>
      </c>
      <c r="Y17" s="24" t="str">
        <f>IF(Y$2="","",IF(COUNTIFS('Mapa Impacto'!$D$7:$D$100,'Resumo Atividades x Sistema'!$D17,'Mapa Impacto'!X$7:X$100,"Sim")&gt;0,"Sim","Não"))</f>
        <v>Não</v>
      </c>
      <c r="Z17" s="24" t="str">
        <f>IF(Z$2="","",IF(COUNTIFS('Mapa Impacto'!$D$7:$D$100,'Resumo Atividades x Sistema'!$D17,'Mapa Impacto'!Y$7:Y$100,"Sim")&gt;0,"Sim","Não"))</f>
        <v>Não</v>
      </c>
      <c r="AA17" s="24" t="str">
        <f>IF(AA$2="","",IF(COUNTIFS('Mapa Impacto'!$D$7:$D$100,'Resumo Atividades x Sistema'!$D17,'Mapa Impacto'!Z$7:Z$100,"Sim")&gt;0,"Sim","Não"))</f>
        <v>Não</v>
      </c>
      <c r="AB17" s="24" t="str">
        <f>IF(AB$2="","",IF(COUNTIFS('Mapa Impacto'!$D$7:$D$100,'Resumo Atividades x Sistema'!$D17,'Mapa Impacto'!AA$7:AA$100,"Sim")&gt;0,"Sim","Não"))</f>
        <v>Não</v>
      </c>
      <c r="AC17" s="24" t="str">
        <f>IF(AC$2="","",IF(COUNTIFS('Mapa Impacto'!$D$7:$D$100,'Resumo Atividades x Sistema'!$D17,'Mapa Impacto'!AB$7:AB$100,"Sim")&gt;0,"Sim","Não"))</f>
        <v>Não</v>
      </c>
      <c r="AD17" s="24" t="str">
        <f>IF(AD$2="","",IF(COUNTIFS('Mapa Impacto'!$D$7:$D$100,'Resumo Atividades x Sistema'!$D17,'Mapa Impacto'!AC$7:AC$100,"Sim")&gt;0,"Sim","Não"))</f>
        <v>Não</v>
      </c>
      <c r="AE17" s="24" t="str">
        <f>IF(AE$2="","",IF(COUNTIFS('Mapa Impacto'!$D$7:$D$100,'Resumo Atividades x Sistema'!$D17,'Mapa Impacto'!AD$7:AD$100,"Sim")&gt;0,"Sim","Não"))</f>
        <v>Não</v>
      </c>
      <c r="AF17" s="24" t="str">
        <f>IF(AF$2="","",IF(COUNTIFS('Mapa Impacto'!$D$7:$D$100,'Resumo Atividades x Sistema'!$D17,'Mapa Impacto'!AE$7:AE$100,"Sim")&gt;0,"Sim","Não"))</f>
        <v>Não</v>
      </c>
      <c r="AG17" s="24" t="str">
        <f>IF(AG$2="","",IF(COUNTIFS('Mapa Impacto'!$D$7:$D$100,'Resumo Atividades x Sistema'!$D17,'Mapa Impacto'!AF$7:AF$100,"Sim")&gt;0,"Sim","Não"))</f>
        <v>Não</v>
      </c>
      <c r="AH17" s="24" t="str">
        <f>IF(AH$2="","",IF(COUNTIFS('Mapa Impacto'!$D$7:$D$100,'Resumo Atividades x Sistema'!$D17,'Mapa Impacto'!AG$7:AG$100,"Sim")&gt;0,"Sim","Não"))</f>
        <v>Não</v>
      </c>
      <c r="AI17" s="24" t="str">
        <f>IF(AI$2="","",IF(COUNTIFS('Mapa Impacto'!$D$7:$D$100,'Resumo Atividades x Sistema'!$D17,'Mapa Impacto'!AH$7:AH$100,"Sim")&gt;0,"Sim","Não"))</f>
        <v>Não</v>
      </c>
      <c r="AJ17" s="24" t="str">
        <f>IF(AJ$2="","",IF(COUNTIFS('Mapa Impacto'!$D$7:$D$100,'Resumo Atividades x Sistema'!$D17,'Mapa Impacto'!AI$7:AI$100,"Sim")&gt;0,"Sim","Não"))</f>
        <v>Não</v>
      </c>
      <c r="AK17" s="24" t="str">
        <f>IF(AK$2="","",IF(COUNTIFS('Mapa Impacto'!$D$7:$D$100,'Resumo Atividades x Sistema'!$D17,'Mapa Impacto'!AJ$7:AJ$100,"Sim")&gt;0,"Sim","Não"))</f>
        <v>Não</v>
      </c>
    </row>
    <row r="18" spans="2:37" ht="30" outlineLevel="1" x14ac:dyDescent="0.25">
      <c r="B18" s="144" t="str">
        <f>'Checklist Impacto Operações TI'!A14</f>
        <v>03 - Operação de Sistemas</v>
      </c>
      <c r="C18" s="145"/>
      <c r="D18" s="24" t="str">
        <f>'Checklist Impacto Operações TI'!C14</f>
        <v>A demanda implica na elaboração ou atualização do Manual de Operação e Produção (MOP)?</v>
      </c>
      <c r="E18" s="24" t="str">
        <f>'Checklist Impacto Operações TI'!D14</f>
        <v>Bloco - Adequar gestão da Operação de Sistemas</v>
      </c>
      <c r="F18" s="24" t="str">
        <f>'Checklist Impacto Operações TI'!E14</f>
        <v>Elaboração de MOP + Passagem de conhecimento</v>
      </c>
      <c r="G18" s="24" t="str">
        <f>IF(G$2="","",IF(COUNTIFS('Mapa Impacto'!$D$7:$D$100,'Resumo Atividades x Sistema'!$D18,'Mapa Impacto'!F$7:F$100,"Sim")&gt;0,"Sim","Não"))</f>
        <v>Não</v>
      </c>
      <c r="H18" s="24" t="str">
        <f>IF(H$2="","",IF(COUNTIFS('Mapa Impacto'!$D$7:$D$100,'Resumo Atividades x Sistema'!$D18,'Mapa Impacto'!G$7:G$100,"Sim")&gt;0,"Sim","Não"))</f>
        <v>Não</v>
      </c>
      <c r="I18" s="24" t="str">
        <f>IF(I$2="","",IF(COUNTIFS('Mapa Impacto'!$D$7:$D$100,'Resumo Atividades x Sistema'!$D18,'Mapa Impacto'!H$7:H$100,"Sim")&gt;0,"Sim","Não"))</f>
        <v>Não</v>
      </c>
      <c r="J18" s="24" t="str">
        <f>IF(J$2="","",IF(COUNTIFS('Mapa Impacto'!$D$7:$D$100,'Resumo Atividades x Sistema'!$D18,'Mapa Impacto'!I$7:I$100,"Sim")&gt;0,"Sim","Não"))</f>
        <v>Não</v>
      </c>
      <c r="K18" s="24" t="str">
        <f>IF(K$2="","",IF(COUNTIFS('Mapa Impacto'!$D$7:$D$100,'Resumo Atividades x Sistema'!$D18,'Mapa Impacto'!J$7:J$100,"Sim")&gt;0,"Sim","Não"))</f>
        <v>Não</v>
      </c>
      <c r="L18" s="24" t="str">
        <f>IF(L$2="","",IF(COUNTIFS('Mapa Impacto'!$D$7:$D$100,'Resumo Atividades x Sistema'!$D18,'Mapa Impacto'!K$7:K$100,"Sim")&gt;0,"Sim","Não"))</f>
        <v>Não</v>
      </c>
      <c r="M18" s="24" t="str">
        <f>IF(M$2="","",IF(COUNTIFS('Mapa Impacto'!$D$7:$D$100,'Resumo Atividades x Sistema'!$D18,'Mapa Impacto'!L$7:L$100,"Sim")&gt;0,"Sim","Não"))</f>
        <v>Não</v>
      </c>
      <c r="N18" s="24" t="str">
        <f>IF(N$2="","",IF(COUNTIFS('Mapa Impacto'!$D$7:$D$100,'Resumo Atividades x Sistema'!$D18,'Mapa Impacto'!M$7:M$100,"Sim")&gt;0,"Sim","Não"))</f>
        <v>Não</v>
      </c>
      <c r="O18" s="24" t="str">
        <f>IF(O$2="","",IF(COUNTIFS('Mapa Impacto'!$D$7:$D$100,'Resumo Atividades x Sistema'!$D18,'Mapa Impacto'!N$7:N$100,"Sim")&gt;0,"Sim","Não"))</f>
        <v>Não</v>
      </c>
      <c r="P18" s="24" t="str">
        <f>IF(P$2="","",IF(COUNTIFS('Mapa Impacto'!$D$7:$D$100,'Resumo Atividades x Sistema'!$D18,'Mapa Impacto'!O$7:O$100,"Sim")&gt;0,"Sim","Não"))</f>
        <v>Não</v>
      </c>
      <c r="Q18" s="24" t="str">
        <f>IF(Q$2="","",IF(COUNTIFS('Mapa Impacto'!$D$7:$D$100,'Resumo Atividades x Sistema'!$D18,'Mapa Impacto'!P$7:P$100,"Sim")&gt;0,"Sim","Não"))</f>
        <v>Não</v>
      </c>
      <c r="R18" s="24" t="str">
        <f>IF(R$2="","",IF(COUNTIFS('Mapa Impacto'!$D$7:$D$100,'Resumo Atividades x Sistema'!$D18,'Mapa Impacto'!Q$7:Q$100,"Sim")&gt;0,"Sim","Não"))</f>
        <v>Não</v>
      </c>
      <c r="S18" s="24" t="str">
        <f>IF(S$2="","",IF(COUNTIFS('Mapa Impacto'!$D$7:$D$100,'Resumo Atividades x Sistema'!$D18,'Mapa Impacto'!R$7:R$100,"Sim")&gt;0,"Sim","Não"))</f>
        <v>Não</v>
      </c>
      <c r="T18" s="24" t="str">
        <f>IF(T$2="","",IF(COUNTIFS('Mapa Impacto'!$D$7:$D$100,'Resumo Atividades x Sistema'!$D18,'Mapa Impacto'!S$7:S$100,"Sim")&gt;0,"Sim","Não"))</f>
        <v>Não</v>
      </c>
      <c r="U18" s="24" t="str">
        <f>IF(U$2="","",IF(COUNTIFS('Mapa Impacto'!$D$7:$D$100,'Resumo Atividades x Sistema'!$D18,'Mapa Impacto'!T$7:T$100,"Sim")&gt;0,"Sim","Não"))</f>
        <v>Não</v>
      </c>
      <c r="V18" s="24" t="str">
        <f>IF(V$2="","",IF(COUNTIFS('Mapa Impacto'!$D$7:$D$100,'Resumo Atividades x Sistema'!$D18,'Mapa Impacto'!U$7:U$100,"Sim")&gt;0,"Sim","Não"))</f>
        <v>Não</v>
      </c>
      <c r="W18" s="24" t="str">
        <f>IF(W$2="","",IF(COUNTIFS('Mapa Impacto'!$D$7:$D$100,'Resumo Atividades x Sistema'!$D18,'Mapa Impacto'!V$7:V$100,"Sim")&gt;0,"Sim","Não"))</f>
        <v>Não</v>
      </c>
      <c r="X18" s="24" t="str">
        <f>IF(X$2="","",IF(COUNTIFS('Mapa Impacto'!$D$7:$D$100,'Resumo Atividades x Sistema'!$D18,'Mapa Impacto'!W$7:W$100,"Sim")&gt;0,"Sim","Não"))</f>
        <v>Não</v>
      </c>
      <c r="Y18" s="24" t="str">
        <f>IF(Y$2="","",IF(COUNTIFS('Mapa Impacto'!$D$7:$D$100,'Resumo Atividades x Sistema'!$D18,'Mapa Impacto'!X$7:X$100,"Sim")&gt;0,"Sim","Não"))</f>
        <v>Não</v>
      </c>
      <c r="Z18" s="24" t="str">
        <f>IF(Z$2="","",IF(COUNTIFS('Mapa Impacto'!$D$7:$D$100,'Resumo Atividades x Sistema'!$D18,'Mapa Impacto'!Y$7:Y$100,"Sim")&gt;0,"Sim","Não"))</f>
        <v>Não</v>
      </c>
      <c r="AA18" s="24" t="str">
        <f>IF(AA$2="","",IF(COUNTIFS('Mapa Impacto'!$D$7:$D$100,'Resumo Atividades x Sistema'!$D18,'Mapa Impacto'!Z$7:Z$100,"Sim")&gt;0,"Sim","Não"))</f>
        <v>Não</v>
      </c>
      <c r="AB18" s="24" t="str">
        <f>IF(AB$2="","",IF(COUNTIFS('Mapa Impacto'!$D$7:$D$100,'Resumo Atividades x Sistema'!$D18,'Mapa Impacto'!AA$7:AA$100,"Sim")&gt;0,"Sim","Não"))</f>
        <v>Não</v>
      </c>
      <c r="AC18" s="24" t="str">
        <f>IF(AC$2="","",IF(COUNTIFS('Mapa Impacto'!$D$7:$D$100,'Resumo Atividades x Sistema'!$D18,'Mapa Impacto'!AB$7:AB$100,"Sim")&gt;0,"Sim","Não"))</f>
        <v>Não</v>
      </c>
      <c r="AD18" s="24" t="str">
        <f>IF(AD$2="","",IF(COUNTIFS('Mapa Impacto'!$D$7:$D$100,'Resumo Atividades x Sistema'!$D18,'Mapa Impacto'!AC$7:AC$100,"Sim")&gt;0,"Sim","Não"))</f>
        <v>Não</v>
      </c>
      <c r="AE18" s="24" t="str">
        <f>IF(AE$2="","",IF(COUNTIFS('Mapa Impacto'!$D$7:$D$100,'Resumo Atividades x Sistema'!$D18,'Mapa Impacto'!AD$7:AD$100,"Sim")&gt;0,"Sim","Não"))</f>
        <v>Não</v>
      </c>
      <c r="AF18" s="24" t="str">
        <f>IF(AF$2="","",IF(COUNTIFS('Mapa Impacto'!$D$7:$D$100,'Resumo Atividades x Sistema'!$D18,'Mapa Impacto'!AE$7:AE$100,"Sim")&gt;0,"Sim","Não"))</f>
        <v>Não</v>
      </c>
      <c r="AG18" s="24" t="str">
        <f>IF(AG$2="","",IF(COUNTIFS('Mapa Impacto'!$D$7:$D$100,'Resumo Atividades x Sistema'!$D18,'Mapa Impacto'!AF$7:AF$100,"Sim")&gt;0,"Sim","Não"))</f>
        <v>Não</v>
      </c>
      <c r="AH18" s="24" t="str">
        <f>IF(AH$2="","",IF(COUNTIFS('Mapa Impacto'!$D$7:$D$100,'Resumo Atividades x Sistema'!$D18,'Mapa Impacto'!AG$7:AG$100,"Sim")&gt;0,"Sim","Não"))</f>
        <v>Não</v>
      </c>
      <c r="AI18" s="24" t="str">
        <f>IF(AI$2="","",IF(COUNTIFS('Mapa Impacto'!$D$7:$D$100,'Resumo Atividades x Sistema'!$D18,'Mapa Impacto'!AH$7:AH$100,"Sim")&gt;0,"Sim","Não"))</f>
        <v>Não</v>
      </c>
      <c r="AJ18" s="24" t="str">
        <f>IF(AJ$2="","",IF(COUNTIFS('Mapa Impacto'!$D$7:$D$100,'Resumo Atividades x Sistema'!$D18,'Mapa Impacto'!AI$7:AI$100,"Sim")&gt;0,"Sim","Não"))</f>
        <v>Não</v>
      </c>
      <c r="AK18" s="24" t="str">
        <f>IF(AK$2="","",IF(COUNTIFS('Mapa Impacto'!$D$7:$D$100,'Resumo Atividades x Sistema'!$D18,'Mapa Impacto'!AJ$7:AJ$100,"Sim")&gt;0,"Sim","Não"))</f>
        <v>Não</v>
      </c>
    </row>
    <row r="19" spans="2:37" s="50" customFormat="1" ht="75" outlineLevel="1" x14ac:dyDescent="0.25">
      <c r="B19" s="144" t="str">
        <f>'Checklist Impacto Operações TI'!A15</f>
        <v>03 - Operação de Sistemas</v>
      </c>
      <c r="C19" s="145"/>
      <c r="D19" s="24" t="str">
        <f>'Checklist Impacto Operações TI'!C15</f>
        <v>A demanda requer criação ou alteração do procedimento a ser adotado para realizar o tratamento de falha das rotinas/processos on-line (webserver, barramento etc)?</v>
      </c>
      <c r="E19" s="24" t="str">
        <f>'Checklist Impacto Operações TI'!D15</f>
        <v>Bloco – Adequar governança das Rotinas Operacionais
AINDA NÃO EXISTE
 (Elaboração de MOP / Run Book + Passagem de conhecimento)</v>
      </c>
      <c r="F19" s="24" t="str">
        <f>'Checklist Impacto Operações TI'!E15</f>
        <v>Rotinas Operacionais adequadas à necessidade projeto.</v>
      </c>
      <c r="G19" s="24" t="str">
        <f>IF(G$2="","",IF(COUNTIFS('Mapa Impacto'!$D$7:$D$100,'Resumo Atividades x Sistema'!$D19,'Mapa Impacto'!F$7:F$100,"Sim")&gt;0,"Sim","Não"))</f>
        <v>Não</v>
      </c>
      <c r="H19" s="24" t="str">
        <f>IF(H$2="","",IF(COUNTIFS('Mapa Impacto'!$D$7:$D$100,'Resumo Atividades x Sistema'!$D19,'Mapa Impacto'!G$7:G$100,"Sim")&gt;0,"Sim","Não"))</f>
        <v>Não</v>
      </c>
      <c r="I19" s="24" t="str">
        <f>IF(I$2="","",IF(COUNTIFS('Mapa Impacto'!$D$7:$D$100,'Resumo Atividades x Sistema'!$D19,'Mapa Impacto'!H$7:H$100,"Sim")&gt;0,"Sim","Não"))</f>
        <v>Não</v>
      </c>
      <c r="J19" s="24" t="str">
        <f>IF(J$2="","",IF(COUNTIFS('Mapa Impacto'!$D$7:$D$100,'Resumo Atividades x Sistema'!$D19,'Mapa Impacto'!I$7:I$100,"Sim")&gt;0,"Sim","Não"))</f>
        <v>Não</v>
      </c>
      <c r="K19" s="24" t="str">
        <f>IF(K$2="","",IF(COUNTIFS('Mapa Impacto'!$D$7:$D$100,'Resumo Atividades x Sistema'!$D19,'Mapa Impacto'!J$7:J$100,"Sim")&gt;0,"Sim","Não"))</f>
        <v>Não</v>
      </c>
      <c r="L19" s="24" t="str">
        <f>IF(L$2="","",IF(COUNTIFS('Mapa Impacto'!$D$7:$D$100,'Resumo Atividades x Sistema'!$D19,'Mapa Impacto'!K$7:K$100,"Sim")&gt;0,"Sim","Não"))</f>
        <v>Não</v>
      </c>
      <c r="M19" s="24" t="str">
        <f>IF(M$2="","",IF(COUNTIFS('Mapa Impacto'!$D$7:$D$100,'Resumo Atividades x Sistema'!$D19,'Mapa Impacto'!L$7:L$100,"Sim")&gt;0,"Sim","Não"))</f>
        <v>Não</v>
      </c>
      <c r="N19" s="24" t="str">
        <f>IF(N$2="","",IF(COUNTIFS('Mapa Impacto'!$D$7:$D$100,'Resumo Atividades x Sistema'!$D19,'Mapa Impacto'!M$7:M$100,"Sim")&gt;0,"Sim","Não"))</f>
        <v>Não</v>
      </c>
      <c r="O19" s="24" t="str">
        <f>IF(O$2="","",IF(COUNTIFS('Mapa Impacto'!$D$7:$D$100,'Resumo Atividades x Sistema'!$D19,'Mapa Impacto'!N$7:N$100,"Sim")&gt;0,"Sim","Não"))</f>
        <v>Não</v>
      </c>
      <c r="P19" s="24" t="str">
        <f>IF(P$2="","",IF(COUNTIFS('Mapa Impacto'!$D$7:$D$100,'Resumo Atividades x Sistema'!$D19,'Mapa Impacto'!O$7:O$100,"Sim")&gt;0,"Sim","Não"))</f>
        <v>Não</v>
      </c>
      <c r="Q19" s="24" t="str">
        <f>IF(Q$2="","",IF(COUNTIFS('Mapa Impacto'!$D$7:$D$100,'Resumo Atividades x Sistema'!$D19,'Mapa Impacto'!P$7:P$100,"Sim")&gt;0,"Sim","Não"))</f>
        <v>Não</v>
      </c>
      <c r="R19" s="24" t="str">
        <f>IF(R$2="","",IF(COUNTIFS('Mapa Impacto'!$D$7:$D$100,'Resumo Atividades x Sistema'!$D19,'Mapa Impacto'!Q$7:Q$100,"Sim")&gt;0,"Sim","Não"))</f>
        <v>Não</v>
      </c>
      <c r="S19" s="24" t="str">
        <f>IF(S$2="","",IF(COUNTIFS('Mapa Impacto'!$D$7:$D$100,'Resumo Atividades x Sistema'!$D19,'Mapa Impacto'!R$7:R$100,"Sim")&gt;0,"Sim","Não"))</f>
        <v>Não</v>
      </c>
      <c r="T19" s="24" t="str">
        <f>IF(T$2="","",IF(COUNTIFS('Mapa Impacto'!$D$7:$D$100,'Resumo Atividades x Sistema'!$D19,'Mapa Impacto'!S$7:S$100,"Sim")&gt;0,"Sim","Não"))</f>
        <v>Não</v>
      </c>
      <c r="U19" s="24" t="str">
        <f>IF(U$2="","",IF(COUNTIFS('Mapa Impacto'!$D$7:$D$100,'Resumo Atividades x Sistema'!$D19,'Mapa Impacto'!T$7:T$100,"Sim")&gt;0,"Sim","Não"))</f>
        <v>Não</v>
      </c>
      <c r="V19" s="24" t="str">
        <f>IF(V$2="","",IF(COUNTIFS('Mapa Impacto'!$D$7:$D$100,'Resumo Atividades x Sistema'!$D19,'Mapa Impacto'!U$7:U$100,"Sim")&gt;0,"Sim","Não"))</f>
        <v>Não</v>
      </c>
      <c r="W19" s="24" t="str">
        <f>IF(W$2="","",IF(COUNTIFS('Mapa Impacto'!$D$7:$D$100,'Resumo Atividades x Sistema'!$D19,'Mapa Impacto'!V$7:V$100,"Sim")&gt;0,"Sim","Não"))</f>
        <v>Não</v>
      </c>
      <c r="X19" s="24" t="str">
        <f>IF(X$2="","",IF(COUNTIFS('Mapa Impacto'!$D$7:$D$100,'Resumo Atividades x Sistema'!$D19,'Mapa Impacto'!W$7:W$100,"Sim")&gt;0,"Sim","Não"))</f>
        <v>Não</v>
      </c>
      <c r="Y19" s="24" t="str">
        <f>IF(Y$2="","",IF(COUNTIFS('Mapa Impacto'!$D$7:$D$100,'Resumo Atividades x Sistema'!$D19,'Mapa Impacto'!X$7:X$100,"Sim")&gt;0,"Sim","Não"))</f>
        <v>Não</v>
      </c>
      <c r="Z19" s="24" t="str">
        <f>IF(Z$2="","",IF(COUNTIFS('Mapa Impacto'!$D$7:$D$100,'Resumo Atividades x Sistema'!$D19,'Mapa Impacto'!Y$7:Y$100,"Sim")&gt;0,"Sim","Não"))</f>
        <v>Não</v>
      </c>
      <c r="AA19" s="24" t="str">
        <f>IF(AA$2="","",IF(COUNTIFS('Mapa Impacto'!$D$7:$D$100,'Resumo Atividades x Sistema'!$D19,'Mapa Impacto'!Z$7:Z$100,"Sim")&gt;0,"Sim","Não"))</f>
        <v>Não</v>
      </c>
      <c r="AB19" s="24" t="str">
        <f>IF(AB$2="","",IF(COUNTIFS('Mapa Impacto'!$D$7:$D$100,'Resumo Atividades x Sistema'!$D19,'Mapa Impacto'!AA$7:AA$100,"Sim")&gt;0,"Sim","Não"))</f>
        <v>Não</v>
      </c>
      <c r="AC19" s="24" t="str">
        <f>IF(AC$2="","",IF(COUNTIFS('Mapa Impacto'!$D$7:$D$100,'Resumo Atividades x Sistema'!$D19,'Mapa Impacto'!AB$7:AB$100,"Sim")&gt;0,"Sim","Não"))</f>
        <v>Não</v>
      </c>
      <c r="AD19" s="24" t="str">
        <f>IF(AD$2="","",IF(COUNTIFS('Mapa Impacto'!$D$7:$D$100,'Resumo Atividades x Sistema'!$D19,'Mapa Impacto'!AC$7:AC$100,"Sim")&gt;0,"Sim","Não"))</f>
        <v>Não</v>
      </c>
      <c r="AE19" s="24" t="str">
        <f>IF(AE$2="","",IF(COUNTIFS('Mapa Impacto'!$D$7:$D$100,'Resumo Atividades x Sistema'!$D19,'Mapa Impacto'!AD$7:AD$100,"Sim")&gt;0,"Sim","Não"))</f>
        <v>Não</v>
      </c>
      <c r="AF19" s="24" t="str">
        <f>IF(AF$2="","",IF(COUNTIFS('Mapa Impacto'!$D$7:$D$100,'Resumo Atividades x Sistema'!$D19,'Mapa Impacto'!AE$7:AE$100,"Sim")&gt;0,"Sim","Não"))</f>
        <v>Não</v>
      </c>
      <c r="AG19" s="24" t="str">
        <f>IF(AG$2="","",IF(COUNTIFS('Mapa Impacto'!$D$7:$D$100,'Resumo Atividades x Sistema'!$D19,'Mapa Impacto'!AF$7:AF$100,"Sim")&gt;0,"Sim","Não"))</f>
        <v>Não</v>
      </c>
      <c r="AH19" s="24" t="str">
        <f>IF(AH$2="","",IF(COUNTIFS('Mapa Impacto'!$D$7:$D$100,'Resumo Atividades x Sistema'!$D19,'Mapa Impacto'!AG$7:AG$100,"Sim")&gt;0,"Sim","Não"))</f>
        <v>Não</v>
      </c>
      <c r="AI19" s="24" t="str">
        <f>IF(AI$2="","",IF(COUNTIFS('Mapa Impacto'!$D$7:$D$100,'Resumo Atividades x Sistema'!$D19,'Mapa Impacto'!AH$7:AH$100,"Sim")&gt;0,"Sim","Não"))</f>
        <v>Não</v>
      </c>
      <c r="AJ19" s="24" t="str">
        <f>IF(AJ$2="","",IF(COUNTIFS('Mapa Impacto'!$D$7:$D$100,'Resumo Atividades x Sistema'!$D19,'Mapa Impacto'!AI$7:AI$100,"Sim")&gt;0,"Sim","Não"))</f>
        <v>Não</v>
      </c>
      <c r="AK19" s="24" t="str">
        <f>IF(AK$2="","",IF(COUNTIFS('Mapa Impacto'!$D$7:$D$100,'Resumo Atividades x Sistema'!$D19,'Mapa Impacto'!AJ$7:AJ$100,"Sim")&gt;0,"Sim","Não"))</f>
        <v>Não</v>
      </c>
    </row>
    <row r="20" spans="2:37" s="50" customFormat="1" ht="75" customHeight="1" outlineLevel="1" x14ac:dyDescent="0.25">
      <c r="B20" s="144" t="str">
        <f>'Checklist Impacto Operações TI'!A16</f>
        <v>03 - Operação de Sistemas</v>
      </c>
      <c r="C20" s="145"/>
      <c r="D20" s="24" t="str">
        <f>'Checklist Impacto Operações TI'!C16</f>
        <v xml:space="preserve">A demanda requer criação ou alteração na ação / procedimento de contingência a ser executado em caso de interrupção das rotinas/processos on-line (webserver, barramento etc)? </v>
      </c>
      <c r="E20" s="24" t="str">
        <f>'Checklist Impacto Operações TI'!D16</f>
        <v>Bloco – Adequar governança das Rotinas Operacionais
AINDA NÃO EXISTE
 (Elaboração de MOP / Run Book + DI + Passagem de conhecimento)</v>
      </c>
      <c r="F20" s="24" t="str">
        <f>'Checklist Impacto Operações TI'!E16</f>
        <v>Rotinas Operacionais adequadas à necessidade do projeto.</v>
      </c>
      <c r="G20" s="24" t="str">
        <f>IF(G$2="","",IF(COUNTIFS('Mapa Impacto'!$D$7:$D$100,'Resumo Atividades x Sistema'!$D20,'Mapa Impacto'!F$7:F$100,"Sim")&gt;0,"Sim","Não"))</f>
        <v>Não</v>
      </c>
      <c r="H20" s="24" t="str">
        <f>IF(H$2="","",IF(COUNTIFS('Mapa Impacto'!$D$7:$D$100,'Resumo Atividades x Sistema'!$D20,'Mapa Impacto'!G$7:G$100,"Sim")&gt;0,"Sim","Não"))</f>
        <v>Não</v>
      </c>
      <c r="I20" s="24" t="str">
        <f>IF(I$2="","",IF(COUNTIFS('Mapa Impacto'!$D$7:$D$100,'Resumo Atividades x Sistema'!$D20,'Mapa Impacto'!H$7:H$100,"Sim")&gt;0,"Sim","Não"))</f>
        <v>Não</v>
      </c>
      <c r="J20" s="24" t="str">
        <f>IF(J$2="","",IF(COUNTIFS('Mapa Impacto'!$D$7:$D$100,'Resumo Atividades x Sistema'!$D20,'Mapa Impacto'!I$7:I$100,"Sim")&gt;0,"Sim","Não"))</f>
        <v>Não</v>
      </c>
      <c r="K20" s="24" t="str">
        <f>IF(K$2="","",IF(COUNTIFS('Mapa Impacto'!$D$7:$D$100,'Resumo Atividades x Sistema'!$D20,'Mapa Impacto'!J$7:J$100,"Sim")&gt;0,"Sim","Não"))</f>
        <v>Não</v>
      </c>
      <c r="L20" s="24" t="str">
        <f>IF(L$2="","",IF(COUNTIFS('Mapa Impacto'!$D$7:$D$100,'Resumo Atividades x Sistema'!$D20,'Mapa Impacto'!K$7:K$100,"Sim")&gt;0,"Sim","Não"))</f>
        <v>Não</v>
      </c>
      <c r="M20" s="24" t="str">
        <f>IF(M$2="","",IF(COUNTIFS('Mapa Impacto'!$D$7:$D$100,'Resumo Atividades x Sistema'!$D20,'Mapa Impacto'!L$7:L$100,"Sim")&gt;0,"Sim","Não"))</f>
        <v>Não</v>
      </c>
      <c r="N20" s="24" t="str">
        <f>IF(N$2="","",IF(COUNTIFS('Mapa Impacto'!$D$7:$D$100,'Resumo Atividades x Sistema'!$D20,'Mapa Impacto'!M$7:M$100,"Sim")&gt;0,"Sim","Não"))</f>
        <v>Não</v>
      </c>
      <c r="O20" s="24" t="str">
        <f>IF(O$2="","",IF(COUNTIFS('Mapa Impacto'!$D$7:$D$100,'Resumo Atividades x Sistema'!$D20,'Mapa Impacto'!N$7:N$100,"Sim")&gt;0,"Sim","Não"))</f>
        <v>Não</v>
      </c>
      <c r="P20" s="24" t="str">
        <f>IF(P$2="","",IF(COUNTIFS('Mapa Impacto'!$D$7:$D$100,'Resumo Atividades x Sistema'!$D20,'Mapa Impacto'!O$7:O$100,"Sim")&gt;0,"Sim","Não"))</f>
        <v>Não</v>
      </c>
      <c r="Q20" s="24" t="str">
        <f>IF(Q$2="","",IF(COUNTIFS('Mapa Impacto'!$D$7:$D$100,'Resumo Atividades x Sistema'!$D20,'Mapa Impacto'!P$7:P$100,"Sim")&gt;0,"Sim","Não"))</f>
        <v>Não</v>
      </c>
      <c r="R20" s="24" t="str">
        <f>IF(R$2="","",IF(COUNTIFS('Mapa Impacto'!$D$7:$D$100,'Resumo Atividades x Sistema'!$D20,'Mapa Impacto'!Q$7:Q$100,"Sim")&gt;0,"Sim","Não"))</f>
        <v>Não</v>
      </c>
      <c r="S20" s="24" t="str">
        <f>IF(S$2="","",IF(COUNTIFS('Mapa Impacto'!$D$7:$D$100,'Resumo Atividades x Sistema'!$D20,'Mapa Impacto'!R$7:R$100,"Sim")&gt;0,"Sim","Não"))</f>
        <v>Não</v>
      </c>
      <c r="T20" s="24" t="str">
        <f>IF(T$2="","",IF(COUNTIFS('Mapa Impacto'!$D$7:$D$100,'Resumo Atividades x Sistema'!$D20,'Mapa Impacto'!S$7:S$100,"Sim")&gt;0,"Sim","Não"))</f>
        <v>Não</v>
      </c>
      <c r="U20" s="24" t="str">
        <f>IF(U$2="","",IF(COUNTIFS('Mapa Impacto'!$D$7:$D$100,'Resumo Atividades x Sistema'!$D20,'Mapa Impacto'!T$7:T$100,"Sim")&gt;0,"Sim","Não"))</f>
        <v>Não</v>
      </c>
      <c r="V20" s="24" t="str">
        <f>IF(V$2="","",IF(COUNTIFS('Mapa Impacto'!$D$7:$D$100,'Resumo Atividades x Sistema'!$D20,'Mapa Impacto'!U$7:U$100,"Sim")&gt;0,"Sim","Não"))</f>
        <v>Não</v>
      </c>
      <c r="W20" s="24" t="str">
        <f>IF(W$2="","",IF(COUNTIFS('Mapa Impacto'!$D$7:$D$100,'Resumo Atividades x Sistema'!$D20,'Mapa Impacto'!V$7:V$100,"Sim")&gt;0,"Sim","Não"))</f>
        <v>Não</v>
      </c>
      <c r="X20" s="24" t="str">
        <f>IF(X$2="","",IF(COUNTIFS('Mapa Impacto'!$D$7:$D$100,'Resumo Atividades x Sistema'!$D20,'Mapa Impacto'!W$7:W$100,"Sim")&gt;0,"Sim","Não"))</f>
        <v>Não</v>
      </c>
      <c r="Y20" s="24" t="str">
        <f>IF(Y$2="","",IF(COUNTIFS('Mapa Impacto'!$D$7:$D$100,'Resumo Atividades x Sistema'!$D20,'Mapa Impacto'!X$7:X$100,"Sim")&gt;0,"Sim","Não"))</f>
        <v>Não</v>
      </c>
      <c r="Z20" s="24" t="str">
        <f>IF(Z$2="","",IF(COUNTIFS('Mapa Impacto'!$D$7:$D$100,'Resumo Atividades x Sistema'!$D20,'Mapa Impacto'!Y$7:Y$100,"Sim")&gt;0,"Sim","Não"))</f>
        <v>Não</v>
      </c>
      <c r="AA20" s="24" t="str">
        <f>IF(AA$2="","",IF(COUNTIFS('Mapa Impacto'!$D$7:$D$100,'Resumo Atividades x Sistema'!$D20,'Mapa Impacto'!Z$7:Z$100,"Sim")&gt;0,"Sim","Não"))</f>
        <v>Não</v>
      </c>
      <c r="AB20" s="24" t="str">
        <f>IF(AB$2="","",IF(COUNTIFS('Mapa Impacto'!$D$7:$D$100,'Resumo Atividades x Sistema'!$D20,'Mapa Impacto'!AA$7:AA$100,"Sim")&gt;0,"Sim","Não"))</f>
        <v>Não</v>
      </c>
      <c r="AC20" s="24" t="str">
        <f>IF(AC$2="","",IF(COUNTIFS('Mapa Impacto'!$D$7:$D$100,'Resumo Atividades x Sistema'!$D20,'Mapa Impacto'!AB$7:AB$100,"Sim")&gt;0,"Sim","Não"))</f>
        <v>Não</v>
      </c>
      <c r="AD20" s="24" t="str">
        <f>IF(AD$2="","",IF(COUNTIFS('Mapa Impacto'!$D$7:$D$100,'Resumo Atividades x Sistema'!$D20,'Mapa Impacto'!AC$7:AC$100,"Sim")&gt;0,"Sim","Não"))</f>
        <v>Não</v>
      </c>
      <c r="AE20" s="24" t="str">
        <f>IF(AE$2="","",IF(COUNTIFS('Mapa Impacto'!$D$7:$D$100,'Resumo Atividades x Sistema'!$D20,'Mapa Impacto'!AD$7:AD$100,"Sim")&gt;0,"Sim","Não"))</f>
        <v>Não</v>
      </c>
      <c r="AF20" s="24" t="str">
        <f>IF(AF$2="","",IF(COUNTIFS('Mapa Impacto'!$D$7:$D$100,'Resumo Atividades x Sistema'!$D20,'Mapa Impacto'!AE$7:AE$100,"Sim")&gt;0,"Sim","Não"))</f>
        <v>Não</v>
      </c>
      <c r="AG20" s="24" t="str">
        <f>IF(AG$2="","",IF(COUNTIFS('Mapa Impacto'!$D$7:$D$100,'Resumo Atividades x Sistema'!$D20,'Mapa Impacto'!AF$7:AF$100,"Sim")&gt;0,"Sim","Não"))</f>
        <v>Não</v>
      </c>
      <c r="AH20" s="24" t="str">
        <f>IF(AH$2="","",IF(COUNTIFS('Mapa Impacto'!$D$7:$D$100,'Resumo Atividades x Sistema'!$D20,'Mapa Impacto'!AG$7:AG$100,"Sim")&gt;0,"Sim","Não"))</f>
        <v>Não</v>
      </c>
      <c r="AI20" s="24" t="str">
        <f>IF(AI$2="","",IF(COUNTIFS('Mapa Impacto'!$D$7:$D$100,'Resumo Atividades x Sistema'!$D20,'Mapa Impacto'!AH$7:AH$100,"Sim")&gt;0,"Sim","Não"))</f>
        <v>Não</v>
      </c>
      <c r="AJ20" s="24" t="str">
        <f>IF(AJ$2="","",IF(COUNTIFS('Mapa Impacto'!$D$7:$D$100,'Resumo Atividades x Sistema'!$D20,'Mapa Impacto'!AI$7:AI$100,"Sim")&gt;0,"Sim","Não"))</f>
        <v>Não</v>
      </c>
      <c r="AK20" s="24" t="str">
        <f>IF(AK$2="","",IF(COUNTIFS('Mapa Impacto'!$D$7:$D$100,'Resumo Atividades x Sistema'!$D20,'Mapa Impacto'!AJ$7:AJ$100,"Sim")&gt;0,"Sim","Não"))</f>
        <v>Não</v>
      </c>
    </row>
    <row r="21" spans="2:37" ht="30" outlineLevel="1" x14ac:dyDescent="0.25">
      <c r="B21" s="144" t="str">
        <f>'Checklist Impacto Operações TI'!A17</f>
        <v>03 - Operação de Sistemas</v>
      </c>
      <c r="C21" s="145"/>
      <c r="D21" s="24" t="str">
        <f>'Checklist Impacto Operações TI'!C17</f>
        <v xml:space="preserve">O modelo de atendimento do projeto envolve Parceiros não-TI? </v>
      </c>
      <c r="E21" s="24" t="str">
        <f>'Checklist Impacto Operações TI'!D17</f>
        <v>Definir e documentar modelo de atendimento para Parceiros não-TI</v>
      </c>
      <c r="F21" s="24" t="str">
        <f>'Checklist Impacto Operações TI'!E17</f>
        <v>Modelo de atendimento de Parceiros não-Ti definido, documentado e Operacional</v>
      </c>
      <c r="G21" s="24" t="str">
        <f>IF(G$2="","",IF(COUNTIFS('Mapa Impacto'!$D$7:$D$100,'Resumo Atividades x Sistema'!$D21,'Mapa Impacto'!F$7:F$100,"Sim")&gt;0,"Sim","Não"))</f>
        <v>Não</v>
      </c>
      <c r="H21" s="24" t="str">
        <f>IF(H$2="","",IF(COUNTIFS('Mapa Impacto'!$D$7:$D$100,'Resumo Atividades x Sistema'!$D21,'Mapa Impacto'!G$7:G$100,"Sim")&gt;0,"Sim","Não"))</f>
        <v>Não</v>
      </c>
      <c r="I21" s="24" t="str">
        <f>IF(I$2="","",IF(COUNTIFS('Mapa Impacto'!$D$7:$D$100,'Resumo Atividades x Sistema'!$D21,'Mapa Impacto'!H$7:H$100,"Sim")&gt;0,"Sim","Não"))</f>
        <v>Não</v>
      </c>
      <c r="J21" s="24" t="str">
        <f>IF(J$2="","",IF(COUNTIFS('Mapa Impacto'!$D$7:$D$100,'Resumo Atividades x Sistema'!$D21,'Mapa Impacto'!I$7:I$100,"Sim")&gt;0,"Sim","Não"))</f>
        <v>Não</v>
      </c>
      <c r="K21" s="24" t="str">
        <f>IF(K$2="","",IF(COUNTIFS('Mapa Impacto'!$D$7:$D$100,'Resumo Atividades x Sistema'!$D21,'Mapa Impacto'!J$7:J$100,"Sim")&gt;0,"Sim","Não"))</f>
        <v>Não</v>
      </c>
      <c r="L21" s="24" t="str">
        <f>IF(L$2="","",IF(COUNTIFS('Mapa Impacto'!$D$7:$D$100,'Resumo Atividades x Sistema'!$D21,'Mapa Impacto'!K$7:K$100,"Sim")&gt;0,"Sim","Não"))</f>
        <v>Não</v>
      </c>
      <c r="M21" s="24" t="str">
        <f>IF(M$2="","",IF(COUNTIFS('Mapa Impacto'!$D$7:$D$100,'Resumo Atividades x Sistema'!$D21,'Mapa Impacto'!L$7:L$100,"Sim")&gt;0,"Sim","Não"))</f>
        <v>Não</v>
      </c>
      <c r="N21" s="24" t="str">
        <f>IF(N$2="","",IF(COUNTIFS('Mapa Impacto'!$D$7:$D$100,'Resumo Atividades x Sistema'!$D21,'Mapa Impacto'!M$7:M$100,"Sim")&gt;0,"Sim","Não"))</f>
        <v>Não</v>
      </c>
      <c r="O21" s="24" t="str">
        <f>IF(O$2="","",IF(COUNTIFS('Mapa Impacto'!$D$7:$D$100,'Resumo Atividades x Sistema'!$D21,'Mapa Impacto'!N$7:N$100,"Sim")&gt;0,"Sim","Não"))</f>
        <v>Não</v>
      </c>
      <c r="P21" s="24" t="str">
        <f>IF(P$2="","",IF(COUNTIFS('Mapa Impacto'!$D$7:$D$100,'Resumo Atividades x Sistema'!$D21,'Mapa Impacto'!O$7:O$100,"Sim")&gt;0,"Sim","Não"))</f>
        <v>Não</v>
      </c>
      <c r="Q21" s="24" t="str">
        <f>IF(Q$2="","",IF(COUNTIFS('Mapa Impacto'!$D$7:$D$100,'Resumo Atividades x Sistema'!$D21,'Mapa Impacto'!P$7:P$100,"Sim")&gt;0,"Sim","Não"))</f>
        <v>Não</v>
      </c>
      <c r="R21" s="24" t="str">
        <f>IF(R$2="","",IF(COUNTIFS('Mapa Impacto'!$D$7:$D$100,'Resumo Atividades x Sistema'!$D21,'Mapa Impacto'!Q$7:Q$100,"Sim")&gt;0,"Sim","Não"))</f>
        <v>Não</v>
      </c>
      <c r="S21" s="24" t="str">
        <f>IF(S$2="","",IF(COUNTIFS('Mapa Impacto'!$D$7:$D$100,'Resumo Atividades x Sistema'!$D21,'Mapa Impacto'!R$7:R$100,"Sim")&gt;0,"Sim","Não"))</f>
        <v>Não</v>
      </c>
      <c r="T21" s="24" t="str">
        <f>IF(T$2="","",IF(COUNTIFS('Mapa Impacto'!$D$7:$D$100,'Resumo Atividades x Sistema'!$D21,'Mapa Impacto'!S$7:S$100,"Sim")&gt;0,"Sim","Não"))</f>
        <v>Não</v>
      </c>
      <c r="U21" s="24" t="str">
        <f>IF(U$2="","",IF(COUNTIFS('Mapa Impacto'!$D$7:$D$100,'Resumo Atividades x Sistema'!$D21,'Mapa Impacto'!T$7:T$100,"Sim")&gt;0,"Sim","Não"))</f>
        <v>Não</v>
      </c>
      <c r="V21" s="24" t="str">
        <f>IF(V$2="","",IF(COUNTIFS('Mapa Impacto'!$D$7:$D$100,'Resumo Atividades x Sistema'!$D21,'Mapa Impacto'!U$7:U$100,"Sim")&gt;0,"Sim","Não"))</f>
        <v>Não</v>
      </c>
      <c r="W21" s="24" t="str">
        <f>IF(W$2="","",IF(COUNTIFS('Mapa Impacto'!$D$7:$D$100,'Resumo Atividades x Sistema'!$D21,'Mapa Impacto'!V$7:V$100,"Sim")&gt;0,"Sim","Não"))</f>
        <v>Não</v>
      </c>
      <c r="X21" s="24" t="str">
        <f>IF(X$2="","",IF(COUNTIFS('Mapa Impacto'!$D$7:$D$100,'Resumo Atividades x Sistema'!$D21,'Mapa Impacto'!W$7:W$100,"Sim")&gt;0,"Sim","Não"))</f>
        <v>Não</v>
      </c>
      <c r="Y21" s="24" t="str">
        <f>IF(Y$2="","",IF(COUNTIFS('Mapa Impacto'!$D$7:$D$100,'Resumo Atividades x Sistema'!$D21,'Mapa Impacto'!X$7:X$100,"Sim")&gt;0,"Sim","Não"))</f>
        <v>Não</v>
      </c>
      <c r="Z21" s="24" t="str">
        <f>IF(Z$2="","",IF(COUNTIFS('Mapa Impacto'!$D$7:$D$100,'Resumo Atividades x Sistema'!$D21,'Mapa Impacto'!Y$7:Y$100,"Sim")&gt;0,"Sim","Não"))</f>
        <v>Não</v>
      </c>
      <c r="AA21" s="24" t="str">
        <f>IF(AA$2="","",IF(COUNTIFS('Mapa Impacto'!$D$7:$D$100,'Resumo Atividades x Sistema'!$D21,'Mapa Impacto'!Z$7:Z$100,"Sim")&gt;0,"Sim","Não"))</f>
        <v>Não</v>
      </c>
      <c r="AB21" s="24" t="str">
        <f>IF(AB$2="","",IF(COUNTIFS('Mapa Impacto'!$D$7:$D$100,'Resumo Atividades x Sistema'!$D21,'Mapa Impacto'!AA$7:AA$100,"Sim")&gt;0,"Sim","Não"))</f>
        <v>Não</v>
      </c>
      <c r="AC21" s="24" t="str">
        <f>IF(AC$2="","",IF(COUNTIFS('Mapa Impacto'!$D$7:$D$100,'Resumo Atividades x Sistema'!$D21,'Mapa Impacto'!AB$7:AB$100,"Sim")&gt;0,"Sim","Não"))</f>
        <v>Não</v>
      </c>
      <c r="AD21" s="24" t="str">
        <f>IF(AD$2="","",IF(COUNTIFS('Mapa Impacto'!$D$7:$D$100,'Resumo Atividades x Sistema'!$D21,'Mapa Impacto'!AC$7:AC$100,"Sim")&gt;0,"Sim","Não"))</f>
        <v>Não</v>
      </c>
      <c r="AE21" s="24" t="str">
        <f>IF(AE$2="","",IF(COUNTIFS('Mapa Impacto'!$D$7:$D$100,'Resumo Atividades x Sistema'!$D21,'Mapa Impacto'!AD$7:AD$100,"Sim")&gt;0,"Sim","Não"))</f>
        <v>Não</v>
      </c>
      <c r="AF21" s="24" t="str">
        <f>IF(AF$2="","",IF(COUNTIFS('Mapa Impacto'!$D$7:$D$100,'Resumo Atividades x Sistema'!$D21,'Mapa Impacto'!AE$7:AE$100,"Sim")&gt;0,"Sim","Não"))</f>
        <v>Não</v>
      </c>
      <c r="AG21" s="24" t="str">
        <f>IF(AG$2="","",IF(COUNTIFS('Mapa Impacto'!$D$7:$D$100,'Resumo Atividades x Sistema'!$D21,'Mapa Impacto'!AF$7:AF$100,"Sim")&gt;0,"Sim","Não"))</f>
        <v>Não</v>
      </c>
      <c r="AH21" s="24" t="str">
        <f>IF(AH$2="","",IF(COUNTIFS('Mapa Impacto'!$D$7:$D$100,'Resumo Atividades x Sistema'!$D21,'Mapa Impacto'!AG$7:AG$100,"Sim")&gt;0,"Sim","Não"))</f>
        <v>Não</v>
      </c>
      <c r="AI21" s="24" t="str">
        <f>IF(AI$2="","",IF(COUNTIFS('Mapa Impacto'!$D$7:$D$100,'Resumo Atividades x Sistema'!$D21,'Mapa Impacto'!AH$7:AH$100,"Sim")&gt;0,"Sim","Não"))</f>
        <v>Não</v>
      </c>
      <c r="AJ21" s="24" t="str">
        <f>IF(AJ$2="","",IF(COUNTIFS('Mapa Impacto'!$D$7:$D$100,'Resumo Atividades x Sistema'!$D21,'Mapa Impacto'!AI$7:AI$100,"Sim")&gt;0,"Sim","Não"))</f>
        <v>Não</v>
      </c>
      <c r="AK21" s="24" t="str">
        <f>IF(AK$2="","",IF(COUNTIFS('Mapa Impacto'!$D$7:$D$100,'Resumo Atividades x Sistema'!$D21,'Mapa Impacto'!AJ$7:AJ$100,"Sim")&gt;0,"Sim","Não"))</f>
        <v>Não</v>
      </c>
    </row>
    <row r="22" spans="2:37" ht="30" outlineLevel="1" x14ac:dyDescent="0.25">
      <c r="B22" s="144" t="str">
        <f>'Checklist Impacto Operações TI'!A18</f>
        <v>03 - Operação de Sistemas</v>
      </c>
      <c r="C22" s="145"/>
      <c r="D22" s="24" t="str">
        <f>'Checklist Impacto Operações TI'!C18</f>
        <v>A demanda requer o planejamento e a execução formal de Operação Assistida?</v>
      </c>
      <c r="E22" s="24" t="str">
        <f>'Checklist Impacto Operações TI'!D18</f>
        <v>Bloco - Planejar, Documentar e Executar Operação Assistida</v>
      </c>
      <c r="F22" s="24" t="str">
        <f>'Checklist Impacto Operações TI'!E18</f>
        <v>Plano de Operação Assistida + Execução da Operação Assistida</v>
      </c>
      <c r="G22" s="24" t="str">
        <f>IF(G$2="","",IF(COUNTIFS('Mapa Impacto'!$D$7:$D$100,'Resumo Atividades x Sistema'!$D22,'Mapa Impacto'!F$7:F$100,"Sim")&gt;0,"Sim","Não"))</f>
        <v>Não</v>
      </c>
      <c r="H22" s="24" t="str">
        <f>IF(H$2="","",IF(COUNTIFS('Mapa Impacto'!$D$7:$D$100,'Resumo Atividades x Sistema'!$D22,'Mapa Impacto'!G$7:G$100,"Sim")&gt;0,"Sim","Não"))</f>
        <v>Não</v>
      </c>
      <c r="I22" s="24" t="str">
        <f>IF(I$2="","",IF(COUNTIFS('Mapa Impacto'!$D$7:$D$100,'Resumo Atividades x Sistema'!$D22,'Mapa Impacto'!H$7:H$100,"Sim")&gt;0,"Sim","Não"))</f>
        <v>Não</v>
      </c>
      <c r="J22" s="24" t="str">
        <f>IF(J$2="","",IF(COUNTIFS('Mapa Impacto'!$D$7:$D$100,'Resumo Atividades x Sistema'!$D22,'Mapa Impacto'!I$7:I$100,"Sim")&gt;0,"Sim","Não"))</f>
        <v>Não</v>
      </c>
      <c r="K22" s="24" t="str">
        <f>IF(K$2="","",IF(COUNTIFS('Mapa Impacto'!$D$7:$D$100,'Resumo Atividades x Sistema'!$D22,'Mapa Impacto'!J$7:J$100,"Sim")&gt;0,"Sim","Não"))</f>
        <v>Não</v>
      </c>
      <c r="L22" s="24" t="str">
        <f>IF(L$2="","",IF(COUNTIFS('Mapa Impacto'!$D$7:$D$100,'Resumo Atividades x Sistema'!$D22,'Mapa Impacto'!K$7:K$100,"Sim")&gt;0,"Sim","Não"))</f>
        <v>Não</v>
      </c>
      <c r="M22" s="24" t="str">
        <f>IF(M$2="","",IF(COUNTIFS('Mapa Impacto'!$D$7:$D$100,'Resumo Atividades x Sistema'!$D22,'Mapa Impacto'!L$7:L$100,"Sim")&gt;0,"Sim","Não"))</f>
        <v>Não</v>
      </c>
      <c r="N22" s="24" t="str">
        <f>IF(N$2="","",IF(COUNTIFS('Mapa Impacto'!$D$7:$D$100,'Resumo Atividades x Sistema'!$D22,'Mapa Impacto'!M$7:M$100,"Sim")&gt;0,"Sim","Não"))</f>
        <v>Não</v>
      </c>
      <c r="O22" s="24" t="str">
        <f>IF(O$2="","",IF(COUNTIFS('Mapa Impacto'!$D$7:$D$100,'Resumo Atividades x Sistema'!$D22,'Mapa Impacto'!N$7:N$100,"Sim")&gt;0,"Sim","Não"))</f>
        <v>Não</v>
      </c>
      <c r="P22" s="24" t="str">
        <f>IF(P$2="","",IF(COUNTIFS('Mapa Impacto'!$D$7:$D$100,'Resumo Atividades x Sistema'!$D22,'Mapa Impacto'!O$7:O$100,"Sim")&gt;0,"Sim","Não"))</f>
        <v>Não</v>
      </c>
      <c r="Q22" s="24" t="str">
        <f>IF(Q$2="","",IF(COUNTIFS('Mapa Impacto'!$D$7:$D$100,'Resumo Atividades x Sistema'!$D22,'Mapa Impacto'!P$7:P$100,"Sim")&gt;0,"Sim","Não"))</f>
        <v>Não</v>
      </c>
      <c r="R22" s="24" t="str">
        <f>IF(R$2="","",IF(COUNTIFS('Mapa Impacto'!$D$7:$D$100,'Resumo Atividades x Sistema'!$D22,'Mapa Impacto'!Q$7:Q$100,"Sim")&gt;0,"Sim","Não"))</f>
        <v>Não</v>
      </c>
      <c r="S22" s="24" t="str">
        <f>IF(S$2="","",IF(COUNTIFS('Mapa Impacto'!$D$7:$D$100,'Resumo Atividades x Sistema'!$D22,'Mapa Impacto'!R$7:R$100,"Sim")&gt;0,"Sim","Não"))</f>
        <v>Não</v>
      </c>
      <c r="T22" s="24" t="str">
        <f>IF(T$2="","",IF(COUNTIFS('Mapa Impacto'!$D$7:$D$100,'Resumo Atividades x Sistema'!$D22,'Mapa Impacto'!S$7:S$100,"Sim")&gt;0,"Sim","Não"))</f>
        <v>Não</v>
      </c>
      <c r="U22" s="24" t="str">
        <f>IF(U$2="","",IF(COUNTIFS('Mapa Impacto'!$D$7:$D$100,'Resumo Atividades x Sistema'!$D22,'Mapa Impacto'!T$7:T$100,"Sim")&gt;0,"Sim","Não"))</f>
        <v>Não</v>
      </c>
      <c r="V22" s="24" t="str">
        <f>IF(V$2="","",IF(COUNTIFS('Mapa Impacto'!$D$7:$D$100,'Resumo Atividades x Sistema'!$D22,'Mapa Impacto'!U$7:U$100,"Sim")&gt;0,"Sim","Não"))</f>
        <v>Não</v>
      </c>
      <c r="W22" s="24" t="str">
        <f>IF(W$2="","",IF(COUNTIFS('Mapa Impacto'!$D$7:$D$100,'Resumo Atividades x Sistema'!$D22,'Mapa Impacto'!V$7:V$100,"Sim")&gt;0,"Sim","Não"))</f>
        <v>Não</v>
      </c>
      <c r="X22" s="24" t="str">
        <f>IF(X$2="","",IF(COUNTIFS('Mapa Impacto'!$D$7:$D$100,'Resumo Atividades x Sistema'!$D22,'Mapa Impacto'!W$7:W$100,"Sim")&gt;0,"Sim","Não"))</f>
        <v>Não</v>
      </c>
      <c r="Y22" s="24" t="str">
        <f>IF(Y$2="","",IF(COUNTIFS('Mapa Impacto'!$D$7:$D$100,'Resumo Atividades x Sistema'!$D22,'Mapa Impacto'!X$7:X$100,"Sim")&gt;0,"Sim","Não"))</f>
        <v>Não</v>
      </c>
      <c r="Z22" s="24" t="str">
        <f>IF(Z$2="","",IF(COUNTIFS('Mapa Impacto'!$D$7:$D$100,'Resumo Atividades x Sistema'!$D22,'Mapa Impacto'!Y$7:Y$100,"Sim")&gt;0,"Sim","Não"))</f>
        <v>Não</v>
      </c>
      <c r="AA22" s="24" t="str">
        <f>IF(AA$2="","",IF(COUNTIFS('Mapa Impacto'!$D$7:$D$100,'Resumo Atividades x Sistema'!$D22,'Mapa Impacto'!Z$7:Z$100,"Sim")&gt;0,"Sim","Não"))</f>
        <v>Não</v>
      </c>
      <c r="AB22" s="24" t="str">
        <f>IF(AB$2="","",IF(COUNTIFS('Mapa Impacto'!$D$7:$D$100,'Resumo Atividades x Sistema'!$D22,'Mapa Impacto'!AA$7:AA$100,"Sim")&gt;0,"Sim","Não"))</f>
        <v>Não</v>
      </c>
      <c r="AC22" s="24" t="str">
        <f>IF(AC$2="","",IF(COUNTIFS('Mapa Impacto'!$D$7:$D$100,'Resumo Atividades x Sistema'!$D22,'Mapa Impacto'!AB$7:AB$100,"Sim")&gt;0,"Sim","Não"))</f>
        <v>Não</v>
      </c>
      <c r="AD22" s="24" t="str">
        <f>IF(AD$2="","",IF(COUNTIFS('Mapa Impacto'!$D$7:$D$100,'Resumo Atividades x Sistema'!$D22,'Mapa Impacto'!AC$7:AC$100,"Sim")&gt;0,"Sim","Não"))</f>
        <v>Não</v>
      </c>
      <c r="AE22" s="24" t="str">
        <f>IF(AE$2="","",IF(COUNTIFS('Mapa Impacto'!$D$7:$D$100,'Resumo Atividades x Sistema'!$D22,'Mapa Impacto'!AD$7:AD$100,"Sim")&gt;0,"Sim","Não"))</f>
        <v>Não</v>
      </c>
      <c r="AF22" s="24" t="str">
        <f>IF(AF$2="","",IF(COUNTIFS('Mapa Impacto'!$D$7:$D$100,'Resumo Atividades x Sistema'!$D22,'Mapa Impacto'!AE$7:AE$100,"Sim")&gt;0,"Sim","Não"))</f>
        <v>Não</v>
      </c>
      <c r="AG22" s="24" t="str">
        <f>IF(AG$2="","",IF(COUNTIFS('Mapa Impacto'!$D$7:$D$100,'Resumo Atividades x Sistema'!$D22,'Mapa Impacto'!AF$7:AF$100,"Sim")&gt;0,"Sim","Não"))</f>
        <v>Não</v>
      </c>
      <c r="AH22" s="24" t="str">
        <f>IF(AH$2="","",IF(COUNTIFS('Mapa Impacto'!$D$7:$D$100,'Resumo Atividades x Sistema'!$D22,'Mapa Impacto'!AG$7:AG$100,"Sim")&gt;0,"Sim","Não"))</f>
        <v>Não</v>
      </c>
      <c r="AI22" s="24" t="str">
        <f>IF(AI$2="","",IF(COUNTIFS('Mapa Impacto'!$D$7:$D$100,'Resumo Atividades x Sistema'!$D22,'Mapa Impacto'!AH$7:AH$100,"Sim")&gt;0,"Sim","Não"))</f>
        <v>Não</v>
      </c>
      <c r="AJ22" s="24" t="str">
        <f>IF(AJ$2="","",IF(COUNTIFS('Mapa Impacto'!$D$7:$D$100,'Resumo Atividades x Sistema'!$D22,'Mapa Impacto'!AI$7:AI$100,"Sim")&gt;0,"Sim","Não"))</f>
        <v>Não</v>
      </c>
      <c r="AK22" s="24" t="str">
        <f>IF(AK$2="","",IF(COUNTIFS('Mapa Impacto'!$D$7:$D$100,'Resumo Atividades x Sistema'!$D22,'Mapa Impacto'!AJ$7:AJ$100,"Sim")&gt;0,"Sim","Não"))</f>
        <v>Não</v>
      </c>
    </row>
    <row r="23" spans="2:37" ht="30" outlineLevel="1" x14ac:dyDescent="0.25">
      <c r="B23" s="144" t="str">
        <f>'Checklist Impacto Operações TI'!A19</f>
        <v>03 - Operação de Sistemas</v>
      </c>
      <c r="C23" s="145"/>
      <c r="D23" s="24" t="str">
        <f>'Checklist Impacto Operações TI'!C19</f>
        <v>A demanda requer o planejamento e a execução formal de Rollout?</v>
      </c>
      <c r="E23" s="24" t="str">
        <f>'Checklist Impacto Operações TI'!D19</f>
        <v>Bloco - Planejar, Documentar e Executar Rollout</v>
      </c>
      <c r="F23" s="24" t="str">
        <f>'Checklist Impacto Operações TI'!E19</f>
        <v>Plano de Rollout + Execução do Rollout</v>
      </c>
      <c r="G23" s="24" t="str">
        <f>IF(G$2="","",IF(COUNTIFS('Mapa Impacto'!$D$7:$D$100,'Resumo Atividades x Sistema'!$D23,'Mapa Impacto'!F$7:F$100,"Sim")&gt;0,"Sim","Não"))</f>
        <v>Não</v>
      </c>
      <c r="H23" s="24" t="str">
        <f>IF(H$2="","",IF(COUNTIFS('Mapa Impacto'!$D$7:$D$100,'Resumo Atividades x Sistema'!$D23,'Mapa Impacto'!G$7:G$100,"Sim")&gt;0,"Sim","Não"))</f>
        <v>Não</v>
      </c>
      <c r="I23" s="24" t="str">
        <f>IF(I$2="","",IF(COUNTIFS('Mapa Impacto'!$D$7:$D$100,'Resumo Atividades x Sistema'!$D23,'Mapa Impacto'!H$7:H$100,"Sim")&gt;0,"Sim","Não"))</f>
        <v>Não</v>
      </c>
      <c r="J23" s="24" t="str">
        <f>IF(J$2="","",IF(COUNTIFS('Mapa Impacto'!$D$7:$D$100,'Resumo Atividades x Sistema'!$D23,'Mapa Impacto'!I$7:I$100,"Sim")&gt;0,"Sim","Não"))</f>
        <v>Não</v>
      </c>
      <c r="K23" s="24" t="str">
        <f>IF(K$2="","",IF(COUNTIFS('Mapa Impacto'!$D$7:$D$100,'Resumo Atividades x Sistema'!$D23,'Mapa Impacto'!J$7:J$100,"Sim")&gt;0,"Sim","Não"))</f>
        <v>Não</v>
      </c>
      <c r="L23" s="24" t="str">
        <f>IF(L$2="","",IF(COUNTIFS('Mapa Impacto'!$D$7:$D$100,'Resumo Atividades x Sistema'!$D23,'Mapa Impacto'!K$7:K$100,"Sim")&gt;0,"Sim","Não"))</f>
        <v>Não</v>
      </c>
      <c r="M23" s="24" t="str">
        <f>IF(M$2="","",IF(COUNTIFS('Mapa Impacto'!$D$7:$D$100,'Resumo Atividades x Sistema'!$D23,'Mapa Impacto'!L$7:L$100,"Sim")&gt;0,"Sim","Não"))</f>
        <v>Não</v>
      </c>
      <c r="N23" s="24" t="str">
        <f>IF(N$2="","",IF(COUNTIFS('Mapa Impacto'!$D$7:$D$100,'Resumo Atividades x Sistema'!$D23,'Mapa Impacto'!M$7:M$100,"Sim")&gt;0,"Sim","Não"))</f>
        <v>Não</v>
      </c>
      <c r="O23" s="24" t="str">
        <f>IF(O$2="","",IF(COUNTIFS('Mapa Impacto'!$D$7:$D$100,'Resumo Atividades x Sistema'!$D23,'Mapa Impacto'!N$7:N$100,"Sim")&gt;0,"Sim","Não"))</f>
        <v>Não</v>
      </c>
      <c r="P23" s="24" t="str">
        <f>IF(P$2="","",IF(COUNTIFS('Mapa Impacto'!$D$7:$D$100,'Resumo Atividades x Sistema'!$D23,'Mapa Impacto'!O$7:O$100,"Sim")&gt;0,"Sim","Não"))</f>
        <v>Não</v>
      </c>
      <c r="Q23" s="24" t="str">
        <f>IF(Q$2="","",IF(COUNTIFS('Mapa Impacto'!$D$7:$D$100,'Resumo Atividades x Sistema'!$D23,'Mapa Impacto'!P$7:P$100,"Sim")&gt;0,"Sim","Não"))</f>
        <v>Não</v>
      </c>
      <c r="R23" s="24" t="str">
        <f>IF(R$2="","",IF(COUNTIFS('Mapa Impacto'!$D$7:$D$100,'Resumo Atividades x Sistema'!$D23,'Mapa Impacto'!Q$7:Q$100,"Sim")&gt;0,"Sim","Não"))</f>
        <v>Não</v>
      </c>
      <c r="S23" s="24" t="str">
        <f>IF(S$2="","",IF(COUNTIFS('Mapa Impacto'!$D$7:$D$100,'Resumo Atividades x Sistema'!$D23,'Mapa Impacto'!R$7:R$100,"Sim")&gt;0,"Sim","Não"))</f>
        <v>Não</v>
      </c>
      <c r="T23" s="24" t="str">
        <f>IF(T$2="","",IF(COUNTIFS('Mapa Impacto'!$D$7:$D$100,'Resumo Atividades x Sistema'!$D23,'Mapa Impacto'!S$7:S$100,"Sim")&gt;0,"Sim","Não"))</f>
        <v>Não</v>
      </c>
      <c r="U23" s="24" t="str">
        <f>IF(U$2="","",IF(COUNTIFS('Mapa Impacto'!$D$7:$D$100,'Resumo Atividades x Sistema'!$D23,'Mapa Impacto'!T$7:T$100,"Sim")&gt;0,"Sim","Não"))</f>
        <v>Não</v>
      </c>
      <c r="V23" s="24" t="str">
        <f>IF(V$2="","",IF(COUNTIFS('Mapa Impacto'!$D$7:$D$100,'Resumo Atividades x Sistema'!$D23,'Mapa Impacto'!U$7:U$100,"Sim")&gt;0,"Sim","Não"))</f>
        <v>Não</v>
      </c>
      <c r="W23" s="24" t="str">
        <f>IF(W$2="","",IF(COUNTIFS('Mapa Impacto'!$D$7:$D$100,'Resumo Atividades x Sistema'!$D23,'Mapa Impacto'!V$7:V$100,"Sim")&gt;0,"Sim","Não"))</f>
        <v>Não</v>
      </c>
      <c r="X23" s="24" t="str">
        <f>IF(X$2="","",IF(COUNTIFS('Mapa Impacto'!$D$7:$D$100,'Resumo Atividades x Sistema'!$D23,'Mapa Impacto'!W$7:W$100,"Sim")&gt;0,"Sim","Não"))</f>
        <v>Não</v>
      </c>
      <c r="Y23" s="24" t="str">
        <f>IF(Y$2="","",IF(COUNTIFS('Mapa Impacto'!$D$7:$D$100,'Resumo Atividades x Sistema'!$D23,'Mapa Impacto'!X$7:X$100,"Sim")&gt;0,"Sim","Não"))</f>
        <v>Não</v>
      </c>
      <c r="Z23" s="24" t="str">
        <f>IF(Z$2="","",IF(COUNTIFS('Mapa Impacto'!$D$7:$D$100,'Resumo Atividades x Sistema'!$D23,'Mapa Impacto'!Y$7:Y$100,"Sim")&gt;0,"Sim","Não"))</f>
        <v>Não</v>
      </c>
      <c r="AA23" s="24" t="str">
        <f>IF(AA$2="","",IF(COUNTIFS('Mapa Impacto'!$D$7:$D$100,'Resumo Atividades x Sistema'!$D23,'Mapa Impacto'!Z$7:Z$100,"Sim")&gt;0,"Sim","Não"))</f>
        <v>Não</v>
      </c>
      <c r="AB23" s="24" t="str">
        <f>IF(AB$2="","",IF(COUNTIFS('Mapa Impacto'!$D$7:$D$100,'Resumo Atividades x Sistema'!$D23,'Mapa Impacto'!AA$7:AA$100,"Sim")&gt;0,"Sim","Não"))</f>
        <v>Não</v>
      </c>
      <c r="AC23" s="24" t="str">
        <f>IF(AC$2="","",IF(COUNTIFS('Mapa Impacto'!$D$7:$D$100,'Resumo Atividades x Sistema'!$D23,'Mapa Impacto'!AB$7:AB$100,"Sim")&gt;0,"Sim","Não"))</f>
        <v>Não</v>
      </c>
      <c r="AD23" s="24" t="str">
        <f>IF(AD$2="","",IF(COUNTIFS('Mapa Impacto'!$D$7:$D$100,'Resumo Atividades x Sistema'!$D23,'Mapa Impacto'!AC$7:AC$100,"Sim")&gt;0,"Sim","Não"))</f>
        <v>Não</v>
      </c>
      <c r="AE23" s="24" t="str">
        <f>IF(AE$2="","",IF(COUNTIFS('Mapa Impacto'!$D$7:$D$100,'Resumo Atividades x Sistema'!$D23,'Mapa Impacto'!AD$7:AD$100,"Sim")&gt;0,"Sim","Não"))</f>
        <v>Não</v>
      </c>
      <c r="AF23" s="24" t="str">
        <f>IF(AF$2="","",IF(COUNTIFS('Mapa Impacto'!$D$7:$D$100,'Resumo Atividades x Sistema'!$D23,'Mapa Impacto'!AE$7:AE$100,"Sim")&gt;0,"Sim","Não"))</f>
        <v>Não</v>
      </c>
      <c r="AG23" s="24" t="str">
        <f>IF(AG$2="","",IF(COUNTIFS('Mapa Impacto'!$D$7:$D$100,'Resumo Atividades x Sistema'!$D23,'Mapa Impacto'!AF$7:AF$100,"Sim")&gt;0,"Sim","Não"))</f>
        <v>Não</v>
      </c>
      <c r="AH23" s="24" t="str">
        <f>IF(AH$2="","",IF(COUNTIFS('Mapa Impacto'!$D$7:$D$100,'Resumo Atividades x Sistema'!$D23,'Mapa Impacto'!AG$7:AG$100,"Sim")&gt;0,"Sim","Não"))</f>
        <v>Não</v>
      </c>
      <c r="AI23" s="24" t="str">
        <f>IF(AI$2="","",IF(COUNTIFS('Mapa Impacto'!$D$7:$D$100,'Resumo Atividades x Sistema'!$D23,'Mapa Impacto'!AH$7:AH$100,"Sim")&gt;0,"Sim","Não"))</f>
        <v>Não</v>
      </c>
      <c r="AJ23" s="24" t="str">
        <f>IF(AJ$2="","",IF(COUNTIFS('Mapa Impacto'!$D$7:$D$100,'Resumo Atividades x Sistema'!$D23,'Mapa Impacto'!AI$7:AI$100,"Sim")&gt;0,"Sim","Não"))</f>
        <v>Não</v>
      </c>
      <c r="AK23" s="24" t="str">
        <f>IF(AK$2="","",IF(COUNTIFS('Mapa Impacto'!$D$7:$D$100,'Resumo Atividades x Sistema'!$D23,'Mapa Impacto'!AJ$7:AJ$100,"Sim")&gt;0,"Sim","Não"))</f>
        <v>Não</v>
      </c>
    </row>
    <row r="24" spans="2:37" ht="45" x14ac:dyDescent="0.25">
      <c r="B24" s="144" t="str">
        <f>'Checklist Impacto Operações TI'!A20</f>
        <v>04 - Integração entre Sistemas</v>
      </c>
      <c r="C24" s="145"/>
      <c r="D24" s="24" t="str">
        <f>'Checklist Impacto Operações TI'!C20</f>
        <v>Haverá alteração/implantação de interfaces ou  terá integração com outros sistemas sob a responsabilidade da Equipe de Integração de Sistemas?</v>
      </c>
      <c r="E24" s="24" t="str">
        <f>'Checklist Impacto Operações TI'!D20</f>
        <v>Bloco - Alterar/Implantar Interfaces - Integração</v>
      </c>
      <c r="F24" s="24" t="str">
        <f>'Checklist Impacto Operações TI'!E20</f>
        <v>Interface Implantada</v>
      </c>
      <c r="G24" s="24" t="str">
        <f>IF(G$2="","",IF(COUNTIFS('Mapa Impacto'!$D$7:$D$100,'Resumo Atividades x Sistema'!$D24,'Mapa Impacto'!F$7:F$100,"Sim")&gt;0,"Sim","Não"))</f>
        <v>Não</v>
      </c>
      <c r="H24" s="24" t="str">
        <f>IF(H$2="","",IF(COUNTIFS('Mapa Impacto'!$D$7:$D$100,'Resumo Atividades x Sistema'!$D24,'Mapa Impacto'!G$7:G$100,"Sim")&gt;0,"Sim","Não"))</f>
        <v>Não</v>
      </c>
      <c r="I24" s="24" t="str">
        <f>IF(I$2="","",IF(COUNTIFS('Mapa Impacto'!$D$7:$D$100,'Resumo Atividades x Sistema'!$D24,'Mapa Impacto'!H$7:H$100,"Sim")&gt;0,"Sim","Não"))</f>
        <v>Não</v>
      </c>
      <c r="J24" s="24" t="str">
        <f>IF(J$2="","",IF(COUNTIFS('Mapa Impacto'!$D$7:$D$100,'Resumo Atividades x Sistema'!$D24,'Mapa Impacto'!I$7:I$100,"Sim")&gt;0,"Sim","Não"))</f>
        <v>Não</v>
      </c>
      <c r="K24" s="24" t="str">
        <f>IF(K$2="","",IF(COUNTIFS('Mapa Impacto'!$D$7:$D$100,'Resumo Atividades x Sistema'!$D24,'Mapa Impacto'!J$7:J$100,"Sim")&gt;0,"Sim","Não"))</f>
        <v>Não</v>
      </c>
      <c r="L24" s="24" t="str">
        <f>IF(L$2="","",IF(COUNTIFS('Mapa Impacto'!$D$7:$D$100,'Resumo Atividades x Sistema'!$D24,'Mapa Impacto'!K$7:K$100,"Sim")&gt;0,"Sim","Não"))</f>
        <v>Não</v>
      </c>
      <c r="M24" s="24" t="str">
        <f>IF(M$2="","",IF(COUNTIFS('Mapa Impacto'!$D$7:$D$100,'Resumo Atividades x Sistema'!$D24,'Mapa Impacto'!L$7:L$100,"Sim")&gt;0,"Sim","Não"))</f>
        <v>Não</v>
      </c>
      <c r="N24" s="24" t="str">
        <f>IF(N$2="","",IF(COUNTIFS('Mapa Impacto'!$D$7:$D$100,'Resumo Atividades x Sistema'!$D24,'Mapa Impacto'!M$7:M$100,"Sim")&gt;0,"Sim","Não"))</f>
        <v>Não</v>
      </c>
      <c r="O24" s="24" t="str">
        <f>IF(O$2="","",IF(COUNTIFS('Mapa Impacto'!$D$7:$D$100,'Resumo Atividades x Sistema'!$D24,'Mapa Impacto'!N$7:N$100,"Sim")&gt;0,"Sim","Não"))</f>
        <v>Não</v>
      </c>
      <c r="P24" s="24" t="str">
        <f>IF(P$2="","",IF(COUNTIFS('Mapa Impacto'!$D$7:$D$100,'Resumo Atividades x Sistema'!$D24,'Mapa Impacto'!O$7:O$100,"Sim")&gt;0,"Sim","Não"))</f>
        <v>Não</v>
      </c>
      <c r="Q24" s="24" t="str">
        <f>IF(Q$2="","",IF(COUNTIFS('Mapa Impacto'!$D$7:$D$100,'Resumo Atividades x Sistema'!$D24,'Mapa Impacto'!P$7:P$100,"Sim")&gt;0,"Sim","Não"))</f>
        <v>Não</v>
      </c>
      <c r="R24" s="24" t="str">
        <f>IF(R$2="","",IF(COUNTIFS('Mapa Impacto'!$D$7:$D$100,'Resumo Atividades x Sistema'!$D24,'Mapa Impacto'!Q$7:Q$100,"Sim")&gt;0,"Sim","Não"))</f>
        <v>Não</v>
      </c>
      <c r="S24" s="24" t="str">
        <f>IF(S$2="","",IF(COUNTIFS('Mapa Impacto'!$D$7:$D$100,'Resumo Atividades x Sistema'!$D24,'Mapa Impacto'!R$7:R$100,"Sim")&gt;0,"Sim","Não"))</f>
        <v>Não</v>
      </c>
      <c r="T24" s="24" t="str">
        <f>IF(T$2="","",IF(COUNTIFS('Mapa Impacto'!$D$7:$D$100,'Resumo Atividades x Sistema'!$D24,'Mapa Impacto'!S$7:S$100,"Sim")&gt;0,"Sim","Não"))</f>
        <v>Não</v>
      </c>
      <c r="U24" s="24" t="str">
        <f>IF(U$2="","",IF(COUNTIFS('Mapa Impacto'!$D$7:$D$100,'Resumo Atividades x Sistema'!$D24,'Mapa Impacto'!T$7:T$100,"Sim")&gt;0,"Sim","Não"))</f>
        <v>Não</v>
      </c>
      <c r="V24" s="24" t="str">
        <f>IF(V$2="","",IF(COUNTIFS('Mapa Impacto'!$D$7:$D$100,'Resumo Atividades x Sistema'!$D24,'Mapa Impacto'!U$7:U$100,"Sim")&gt;0,"Sim","Não"))</f>
        <v>Não</v>
      </c>
      <c r="W24" s="24" t="str">
        <f>IF(W$2="","",IF(COUNTIFS('Mapa Impacto'!$D$7:$D$100,'Resumo Atividades x Sistema'!$D24,'Mapa Impacto'!V$7:V$100,"Sim")&gt;0,"Sim","Não"))</f>
        <v>Não</v>
      </c>
      <c r="X24" s="24" t="str">
        <f>IF(X$2="","",IF(COUNTIFS('Mapa Impacto'!$D$7:$D$100,'Resumo Atividades x Sistema'!$D24,'Mapa Impacto'!W$7:W$100,"Sim")&gt;0,"Sim","Não"))</f>
        <v>Não</v>
      </c>
      <c r="Y24" s="24" t="str">
        <f>IF(Y$2="","",IF(COUNTIFS('Mapa Impacto'!$D$7:$D$100,'Resumo Atividades x Sistema'!$D24,'Mapa Impacto'!X$7:X$100,"Sim")&gt;0,"Sim","Não"))</f>
        <v>Não</v>
      </c>
      <c r="Z24" s="24" t="str">
        <f>IF(Z$2="","",IF(COUNTIFS('Mapa Impacto'!$D$7:$D$100,'Resumo Atividades x Sistema'!$D24,'Mapa Impacto'!Y$7:Y$100,"Sim")&gt;0,"Sim","Não"))</f>
        <v>Não</v>
      </c>
      <c r="AA24" s="24" t="str">
        <f>IF(AA$2="","",IF(COUNTIFS('Mapa Impacto'!$D$7:$D$100,'Resumo Atividades x Sistema'!$D24,'Mapa Impacto'!Z$7:Z$100,"Sim")&gt;0,"Sim","Não"))</f>
        <v>Não</v>
      </c>
      <c r="AB24" s="24" t="str">
        <f>IF(AB$2="","",IF(COUNTIFS('Mapa Impacto'!$D$7:$D$100,'Resumo Atividades x Sistema'!$D24,'Mapa Impacto'!AA$7:AA$100,"Sim")&gt;0,"Sim","Não"))</f>
        <v>Não</v>
      </c>
      <c r="AC24" s="24" t="str">
        <f>IF(AC$2="","",IF(COUNTIFS('Mapa Impacto'!$D$7:$D$100,'Resumo Atividades x Sistema'!$D24,'Mapa Impacto'!AB$7:AB$100,"Sim")&gt;0,"Sim","Não"))</f>
        <v>Não</v>
      </c>
      <c r="AD24" s="24" t="str">
        <f>IF(AD$2="","",IF(COUNTIFS('Mapa Impacto'!$D$7:$D$100,'Resumo Atividades x Sistema'!$D24,'Mapa Impacto'!AC$7:AC$100,"Sim")&gt;0,"Sim","Não"))</f>
        <v>Não</v>
      </c>
      <c r="AE24" s="24" t="str">
        <f>IF(AE$2="","",IF(COUNTIFS('Mapa Impacto'!$D$7:$D$100,'Resumo Atividades x Sistema'!$D24,'Mapa Impacto'!AD$7:AD$100,"Sim")&gt;0,"Sim","Não"))</f>
        <v>Não</v>
      </c>
      <c r="AF24" s="24" t="str">
        <f>IF(AF$2="","",IF(COUNTIFS('Mapa Impacto'!$D$7:$D$100,'Resumo Atividades x Sistema'!$D24,'Mapa Impacto'!AE$7:AE$100,"Sim")&gt;0,"Sim","Não"))</f>
        <v>Não</v>
      </c>
      <c r="AG24" s="24" t="str">
        <f>IF(AG$2="","",IF(COUNTIFS('Mapa Impacto'!$D$7:$D$100,'Resumo Atividades x Sistema'!$D24,'Mapa Impacto'!AF$7:AF$100,"Sim")&gt;0,"Sim","Não"))</f>
        <v>Não</v>
      </c>
      <c r="AH24" s="24" t="str">
        <f>IF(AH$2="","",IF(COUNTIFS('Mapa Impacto'!$D$7:$D$100,'Resumo Atividades x Sistema'!$D24,'Mapa Impacto'!AG$7:AG$100,"Sim")&gt;0,"Sim","Não"))</f>
        <v>Não</v>
      </c>
      <c r="AI24" s="24" t="str">
        <f>IF(AI$2="","",IF(COUNTIFS('Mapa Impacto'!$D$7:$D$100,'Resumo Atividades x Sistema'!$D24,'Mapa Impacto'!AH$7:AH$100,"Sim")&gt;0,"Sim","Não"))</f>
        <v>Não</v>
      </c>
      <c r="AJ24" s="24" t="str">
        <f>IF(AJ$2="","",IF(COUNTIFS('Mapa Impacto'!$D$7:$D$100,'Resumo Atividades x Sistema'!$D24,'Mapa Impacto'!AI$7:AI$100,"Sim")&gt;0,"Sim","Não"))</f>
        <v>Não</v>
      </c>
      <c r="AK24" s="24" t="str">
        <f>IF(AK$2="","",IF(COUNTIFS('Mapa Impacto'!$D$7:$D$100,'Resumo Atividades x Sistema'!$D24,'Mapa Impacto'!AJ$7:AJ$100,"Sim")&gt;0,"Sim","Não"))</f>
        <v>Não</v>
      </c>
    </row>
    <row r="25" spans="2:37" ht="15" customHeight="1" outlineLevel="1" x14ac:dyDescent="0.25">
      <c r="B25" s="144" t="str">
        <f>'Checklist Impacto Operações TI'!A21</f>
        <v>04 - Integração entre Sistemas</v>
      </c>
      <c r="C25" s="145"/>
      <c r="D25" s="24" t="str">
        <f>'Checklist Impacto Operações TI'!C21</f>
        <v>Haverá alteração ou implantação de interfaces ou  terá integração com outros sistemas através de processamento Batch (ponto a ponto)?</v>
      </c>
      <c r="E25" s="24" t="str">
        <f>'Checklist Impacto Operações TI'!D21</f>
        <v>Bloco - Alterar/Implantar Interfaces - Ponto a Ponto</v>
      </c>
      <c r="F25" s="24" t="str">
        <f>'Checklist Impacto Operações TI'!E21</f>
        <v>Interface Implantada</v>
      </c>
      <c r="G25" s="24" t="str">
        <f>IF(G$2="","",IF(COUNTIFS('Mapa Impacto'!$D$7:$D$100,'Resumo Atividades x Sistema'!$D25,'Mapa Impacto'!F$7:F$100,"Sim")&gt;0,"Sim","Não"))</f>
        <v>Não</v>
      </c>
      <c r="H25" s="24" t="str">
        <f>IF(H$2="","",IF(COUNTIFS('Mapa Impacto'!$D$7:$D$100,'Resumo Atividades x Sistema'!$D25,'Mapa Impacto'!G$7:G$100,"Sim")&gt;0,"Sim","Não"))</f>
        <v>Não</v>
      </c>
      <c r="I25" s="24" t="str">
        <f>IF(I$2="","",IF(COUNTIFS('Mapa Impacto'!$D$7:$D$100,'Resumo Atividades x Sistema'!$D25,'Mapa Impacto'!H$7:H$100,"Sim")&gt;0,"Sim","Não"))</f>
        <v>Não</v>
      </c>
      <c r="J25" s="24" t="str">
        <f>IF(J$2="","",IF(COUNTIFS('Mapa Impacto'!$D$7:$D$100,'Resumo Atividades x Sistema'!$D25,'Mapa Impacto'!I$7:I$100,"Sim")&gt;0,"Sim","Não"))</f>
        <v>Não</v>
      </c>
      <c r="K25" s="24" t="str">
        <f>IF(K$2="","",IF(COUNTIFS('Mapa Impacto'!$D$7:$D$100,'Resumo Atividades x Sistema'!$D25,'Mapa Impacto'!J$7:J$100,"Sim")&gt;0,"Sim","Não"))</f>
        <v>Não</v>
      </c>
      <c r="L25" s="24" t="str">
        <f>IF(L$2="","",IF(COUNTIFS('Mapa Impacto'!$D$7:$D$100,'Resumo Atividades x Sistema'!$D25,'Mapa Impacto'!K$7:K$100,"Sim")&gt;0,"Sim","Não"))</f>
        <v>Não</v>
      </c>
      <c r="M25" s="24" t="str">
        <f>IF(M$2="","",IF(COUNTIFS('Mapa Impacto'!$D$7:$D$100,'Resumo Atividades x Sistema'!$D25,'Mapa Impacto'!L$7:L$100,"Sim")&gt;0,"Sim","Não"))</f>
        <v>Não</v>
      </c>
      <c r="N25" s="24" t="str">
        <f>IF(N$2="","",IF(COUNTIFS('Mapa Impacto'!$D$7:$D$100,'Resumo Atividades x Sistema'!$D25,'Mapa Impacto'!M$7:M$100,"Sim")&gt;0,"Sim","Não"))</f>
        <v>Não</v>
      </c>
      <c r="O25" s="24" t="str">
        <f>IF(O$2="","",IF(COUNTIFS('Mapa Impacto'!$D$7:$D$100,'Resumo Atividades x Sistema'!$D25,'Mapa Impacto'!N$7:N$100,"Sim")&gt;0,"Sim","Não"))</f>
        <v>Não</v>
      </c>
      <c r="P25" s="24" t="str">
        <f>IF(P$2="","",IF(COUNTIFS('Mapa Impacto'!$D$7:$D$100,'Resumo Atividades x Sistema'!$D25,'Mapa Impacto'!O$7:O$100,"Sim")&gt;0,"Sim","Não"))</f>
        <v>Não</v>
      </c>
      <c r="Q25" s="24" t="str">
        <f>IF(Q$2="","",IF(COUNTIFS('Mapa Impacto'!$D$7:$D$100,'Resumo Atividades x Sistema'!$D25,'Mapa Impacto'!P$7:P$100,"Sim")&gt;0,"Sim","Não"))</f>
        <v>Não</v>
      </c>
      <c r="R25" s="24" t="str">
        <f>IF(R$2="","",IF(COUNTIFS('Mapa Impacto'!$D$7:$D$100,'Resumo Atividades x Sistema'!$D25,'Mapa Impacto'!Q$7:Q$100,"Sim")&gt;0,"Sim","Não"))</f>
        <v>Não</v>
      </c>
      <c r="S25" s="24" t="str">
        <f>IF(S$2="","",IF(COUNTIFS('Mapa Impacto'!$D$7:$D$100,'Resumo Atividades x Sistema'!$D25,'Mapa Impacto'!R$7:R$100,"Sim")&gt;0,"Sim","Não"))</f>
        <v>Não</v>
      </c>
      <c r="T25" s="24" t="str">
        <f>IF(T$2="","",IF(COUNTIFS('Mapa Impacto'!$D$7:$D$100,'Resumo Atividades x Sistema'!$D25,'Mapa Impacto'!S$7:S$100,"Sim")&gt;0,"Sim","Não"))</f>
        <v>Não</v>
      </c>
      <c r="U25" s="24" t="str">
        <f>IF(U$2="","",IF(COUNTIFS('Mapa Impacto'!$D$7:$D$100,'Resumo Atividades x Sistema'!$D25,'Mapa Impacto'!T$7:T$100,"Sim")&gt;0,"Sim","Não"))</f>
        <v>Não</v>
      </c>
      <c r="V25" s="24" t="str">
        <f>IF(V$2="","",IF(COUNTIFS('Mapa Impacto'!$D$7:$D$100,'Resumo Atividades x Sistema'!$D25,'Mapa Impacto'!U$7:U$100,"Sim")&gt;0,"Sim","Não"))</f>
        <v>Não</v>
      </c>
      <c r="W25" s="24" t="str">
        <f>IF(W$2="","",IF(COUNTIFS('Mapa Impacto'!$D$7:$D$100,'Resumo Atividades x Sistema'!$D25,'Mapa Impacto'!V$7:V$100,"Sim")&gt;0,"Sim","Não"))</f>
        <v>Não</v>
      </c>
      <c r="X25" s="24" t="str">
        <f>IF(X$2="","",IF(COUNTIFS('Mapa Impacto'!$D$7:$D$100,'Resumo Atividades x Sistema'!$D25,'Mapa Impacto'!W$7:W$100,"Sim")&gt;0,"Sim","Não"))</f>
        <v>Não</v>
      </c>
      <c r="Y25" s="24" t="str">
        <f>IF(Y$2="","",IF(COUNTIFS('Mapa Impacto'!$D$7:$D$100,'Resumo Atividades x Sistema'!$D25,'Mapa Impacto'!X$7:X$100,"Sim")&gt;0,"Sim","Não"))</f>
        <v>Não</v>
      </c>
      <c r="Z25" s="24" t="str">
        <f>IF(Z$2="","",IF(COUNTIFS('Mapa Impacto'!$D$7:$D$100,'Resumo Atividades x Sistema'!$D25,'Mapa Impacto'!Y$7:Y$100,"Sim")&gt;0,"Sim","Não"))</f>
        <v>Não</v>
      </c>
      <c r="AA25" s="24" t="str">
        <f>IF(AA$2="","",IF(COUNTIFS('Mapa Impacto'!$D$7:$D$100,'Resumo Atividades x Sistema'!$D25,'Mapa Impacto'!Z$7:Z$100,"Sim")&gt;0,"Sim","Não"))</f>
        <v>Não</v>
      </c>
      <c r="AB25" s="24" t="str">
        <f>IF(AB$2="","",IF(COUNTIFS('Mapa Impacto'!$D$7:$D$100,'Resumo Atividades x Sistema'!$D25,'Mapa Impacto'!AA$7:AA$100,"Sim")&gt;0,"Sim","Não"))</f>
        <v>Não</v>
      </c>
      <c r="AC25" s="24" t="str">
        <f>IF(AC$2="","",IF(COUNTIFS('Mapa Impacto'!$D$7:$D$100,'Resumo Atividades x Sistema'!$D25,'Mapa Impacto'!AB$7:AB$100,"Sim")&gt;0,"Sim","Não"))</f>
        <v>Não</v>
      </c>
      <c r="AD25" s="24" t="str">
        <f>IF(AD$2="","",IF(COUNTIFS('Mapa Impacto'!$D$7:$D$100,'Resumo Atividades x Sistema'!$D25,'Mapa Impacto'!AC$7:AC$100,"Sim")&gt;0,"Sim","Não"))</f>
        <v>Não</v>
      </c>
      <c r="AE25" s="24" t="str">
        <f>IF(AE$2="","",IF(COUNTIFS('Mapa Impacto'!$D$7:$D$100,'Resumo Atividades x Sistema'!$D25,'Mapa Impacto'!AD$7:AD$100,"Sim")&gt;0,"Sim","Não"))</f>
        <v>Não</v>
      </c>
      <c r="AF25" s="24" t="str">
        <f>IF(AF$2="","",IF(COUNTIFS('Mapa Impacto'!$D$7:$D$100,'Resumo Atividades x Sistema'!$D25,'Mapa Impacto'!AE$7:AE$100,"Sim")&gt;0,"Sim","Não"))</f>
        <v>Não</v>
      </c>
      <c r="AG25" s="24" t="str">
        <f>IF(AG$2="","",IF(COUNTIFS('Mapa Impacto'!$D$7:$D$100,'Resumo Atividades x Sistema'!$D25,'Mapa Impacto'!AF$7:AF$100,"Sim")&gt;0,"Sim","Não"))</f>
        <v>Não</v>
      </c>
      <c r="AH25" s="24" t="str">
        <f>IF(AH$2="","",IF(COUNTIFS('Mapa Impacto'!$D$7:$D$100,'Resumo Atividades x Sistema'!$D25,'Mapa Impacto'!AG$7:AG$100,"Sim")&gt;0,"Sim","Não"))</f>
        <v>Não</v>
      </c>
      <c r="AI25" s="24" t="str">
        <f>IF(AI$2="","",IF(COUNTIFS('Mapa Impacto'!$D$7:$D$100,'Resumo Atividades x Sistema'!$D25,'Mapa Impacto'!AH$7:AH$100,"Sim")&gt;0,"Sim","Não"))</f>
        <v>Não</v>
      </c>
      <c r="AJ25" s="24" t="str">
        <f>IF(AJ$2="","",IF(COUNTIFS('Mapa Impacto'!$D$7:$D$100,'Resumo Atividades x Sistema'!$D25,'Mapa Impacto'!AI$7:AI$100,"Sim")&gt;0,"Sim","Não"))</f>
        <v>Não</v>
      </c>
      <c r="AK25" s="24" t="str">
        <f>IF(AK$2="","",IF(COUNTIFS('Mapa Impacto'!$D$7:$D$100,'Resumo Atividades x Sistema'!$D25,'Mapa Impacto'!AJ$7:AJ$100,"Sim")&gt;0,"Sim","Não"))</f>
        <v>Não</v>
      </c>
    </row>
    <row r="26" spans="2:37" ht="15" customHeight="1" outlineLevel="1" x14ac:dyDescent="0.25">
      <c r="B26" s="144" t="str">
        <f>'Checklist Impacto Operações TI'!A22</f>
        <v>04 - Integração entre Sistemas</v>
      </c>
      <c r="C26" s="145"/>
      <c r="D26" s="24" t="str">
        <f>'Checklist Impacto Operações TI'!C22</f>
        <v>Haverá criação de novos extratores?</v>
      </c>
      <c r="E26" s="24" t="str">
        <f>'Checklist Impacto Operações TI'!D22</f>
        <v>Bloco - Implantar Novos Extratores</v>
      </c>
      <c r="F26" s="24" t="str">
        <f>'Checklist Impacto Operações TI'!E22</f>
        <v>Novos extratores implantados</v>
      </c>
      <c r="G26" s="24" t="str">
        <f>IF(G$2="","",IF(COUNTIFS('Mapa Impacto'!$D$7:$D$100,'Resumo Atividades x Sistema'!$D26,'Mapa Impacto'!F$7:F$100,"Sim")&gt;0,"Sim","Não"))</f>
        <v>Não</v>
      </c>
      <c r="H26" s="24" t="str">
        <f>IF(H$2="","",IF(COUNTIFS('Mapa Impacto'!$D$7:$D$100,'Resumo Atividades x Sistema'!$D26,'Mapa Impacto'!G$7:G$100,"Sim")&gt;0,"Sim","Não"))</f>
        <v>Não</v>
      </c>
      <c r="I26" s="24" t="str">
        <f>IF(I$2="","",IF(COUNTIFS('Mapa Impacto'!$D$7:$D$100,'Resumo Atividades x Sistema'!$D26,'Mapa Impacto'!H$7:H$100,"Sim")&gt;0,"Sim","Não"))</f>
        <v>Não</v>
      </c>
      <c r="J26" s="24" t="str">
        <f>IF(J$2="","",IF(COUNTIFS('Mapa Impacto'!$D$7:$D$100,'Resumo Atividades x Sistema'!$D26,'Mapa Impacto'!I$7:I$100,"Sim")&gt;0,"Sim","Não"))</f>
        <v>Não</v>
      </c>
      <c r="K26" s="24" t="str">
        <f>IF(K$2="","",IF(COUNTIFS('Mapa Impacto'!$D$7:$D$100,'Resumo Atividades x Sistema'!$D26,'Mapa Impacto'!J$7:J$100,"Sim")&gt;0,"Sim","Não"))</f>
        <v>Não</v>
      </c>
      <c r="L26" s="24" t="str">
        <f>IF(L$2="","",IF(COUNTIFS('Mapa Impacto'!$D$7:$D$100,'Resumo Atividades x Sistema'!$D26,'Mapa Impacto'!K$7:K$100,"Sim")&gt;0,"Sim","Não"))</f>
        <v>Não</v>
      </c>
      <c r="M26" s="24" t="str">
        <f>IF(M$2="","",IF(COUNTIFS('Mapa Impacto'!$D$7:$D$100,'Resumo Atividades x Sistema'!$D26,'Mapa Impacto'!L$7:L$100,"Sim")&gt;0,"Sim","Não"))</f>
        <v>Não</v>
      </c>
      <c r="N26" s="24" t="str">
        <f>IF(N$2="","",IF(COUNTIFS('Mapa Impacto'!$D$7:$D$100,'Resumo Atividades x Sistema'!$D26,'Mapa Impacto'!M$7:M$100,"Sim")&gt;0,"Sim","Não"))</f>
        <v>Não</v>
      </c>
      <c r="O26" s="24" t="str">
        <f>IF(O$2="","",IF(COUNTIFS('Mapa Impacto'!$D$7:$D$100,'Resumo Atividades x Sistema'!$D26,'Mapa Impacto'!N$7:N$100,"Sim")&gt;0,"Sim","Não"))</f>
        <v>Não</v>
      </c>
      <c r="P26" s="24" t="str">
        <f>IF(P$2="","",IF(COUNTIFS('Mapa Impacto'!$D$7:$D$100,'Resumo Atividades x Sistema'!$D26,'Mapa Impacto'!O$7:O$100,"Sim")&gt;0,"Sim","Não"))</f>
        <v>Não</v>
      </c>
      <c r="Q26" s="24" t="str">
        <f>IF(Q$2="","",IF(COUNTIFS('Mapa Impacto'!$D$7:$D$100,'Resumo Atividades x Sistema'!$D26,'Mapa Impacto'!P$7:P$100,"Sim")&gt;0,"Sim","Não"))</f>
        <v>Não</v>
      </c>
      <c r="R26" s="24" t="str">
        <f>IF(R$2="","",IF(COUNTIFS('Mapa Impacto'!$D$7:$D$100,'Resumo Atividades x Sistema'!$D26,'Mapa Impacto'!Q$7:Q$100,"Sim")&gt;0,"Sim","Não"))</f>
        <v>Não</v>
      </c>
      <c r="S26" s="24" t="str">
        <f>IF(S$2="","",IF(COUNTIFS('Mapa Impacto'!$D$7:$D$100,'Resumo Atividades x Sistema'!$D26,'Mapa Impacto'!R$7:R$100,"Sim")&gt;0,"Sim","Não"))</f>
        <v>Não</v>
      </c>
      <c r="T26" s="24" t="str">
        <f>IF(T$2="","",IF(COUNTIFS('Mapa Impacto'!$D$7:$D$100,'Resumo Atividades x Sistema'!$D26,'Mapa Impacto'!S$7:S$100,"Sim")&gt;0,"Sim","Não"))</f>
        <v>Não</v>
      </c>
      <c r="U26" s="24" t="str">
        <f>IF(U$2="","",IF(COUNTIFS('Mapa Impacto'!$D$7:$D$100,'Resumo Atividades x Sistema'!$D26,'Mapa Impacto'!T$7:T$100,"Sim")&gt;0,"Sim","Não"))</f>
        <v>Não</v>
      </c>
      <c r="V26" s="24" t="str">
        <f>IF(V$2="","",IF(COUNTIFS('Mapa Impacto'!$D$7:$D$100,'Resumo Atividades x Sistema'!$D26,'Mapa Impacto'!U$7:U$100,"Sim")&gt;0,"Sim","Não"))</f>
        <v>Não</v>
      </c>
      <c r="W26" s="24" t="str">
        <f>IF(W$2="","",IF(COUNTIFS('Mapa Impacto'!$D$7:$D$100,'Resumo Atividades x Sistema'!$D26,'Mapa Impacto'!V$7:V$100,"Sim")&gt;0,"Sim","Não"))</f>
        <v>Não</v>
      </c>
      <c r="X26" s="24" t="str">
        <f>IF(X$2="","",IF(COUNTIFS('Mapa Impacto'!$D$7:$D$100,'Resumo Atividades x Sistema'!$D26,'Mapa Impacto'!W$7:W$100,"Sim")&gt;0,"Sim","Não"))</f>
        <v>Não</v>
      </c>
      <c r="Y26" s="24" t="str">
        <f>IF(Y$2="","",IF(COUNTIFS('Mapa Impacto'!$D$7:$D$100,'Resumo Atividades x Sistema'!$D26,'Mapa Impacto'!X$7:X$100,"Sim")&gt;0,"Sim","Não"))</f>
        <v>Não</v>
      </c>
      <c r="Z26" s="24" t="str">
        <f>IF(Z$2="","",IF(COUNTIFS('Mapa Impacto'!$D$7:$D$100,'Resumo Atividades x Sistema'!$D26,'Mapa Impacto'!Y$7:Y$100,"Sim")&gt;0,"Sim","Não"))</f>
        <v>Não</v>
      </c>
      <c r="AA26" s="24" t="str">
        <f>IF(AA$2="","",IF(COUNTIFS('Mapa Impacto'!$D$7:$D$100,'Resumo Atividades x Sistema'!$D26,'Mapa Impacto'!Z$7:Z$100,"Sim")&gt;0,"Sim","Não"))</f>
        <v>Não</v>
      </c>
      <c r="AB26" s="24" t="str">
        <f>IF(AB$2="","",IF(COUNTIFS('Mapa Impacto'!$D$7:$D$100,'Resumo Atividades x Sistema'!$D26,'Mapa Impacto'!AA$7:AA$100,"Sim")&gt;0,"Sim","Não"))</f>
        <v>Não</v>
      </c>
      <c r="AC26" s="24" t="str">
        <f>IF(AC$2="","",IF(COUNTIFS('Mapa Impacto'!$D$7:$D$100,'Resumo Atividades x Sistema'!$D26,'Mapa Impacto'!AB$7:AB$100,"Sim")&gt;0,"Sim","Não"))</f>
        <v>Não</v>
      </c>
      <c r="AD26" s="24" t="str">
        <f>IF(AD$2="","",IF(COUNTIFS('Mapa Impacto'!$D$7:$D$100,'Resumo Atividades x Sistema'!$D26,'Mapa Impacto'!AC$7:AC$100,"Sim")&gt;0,"Sim","Não"))</f>
        <v>Não</v>
      </c>
      <c r="AE26" s="24" t="str">
        <f>IF(AE$2="","",IF(COUNTIFS('Mapa Impacto'!$D$7:$D$100,'Resumo Atividades x Sistema'!$D26,'Mapa Impacto'!AD$7:AD$100,"Sim")&gt;0,"Sim","Não"))</f>
        <v>Não</v>
      </c>
      <c r="AF26" s="24" t="str">
        <f>IF(AF$2="","",IF(COUNTIFS('Mapa Impacto'!$D$7:$D$100,'Resumo Atividades x Sistema'!$D26,'Mapa Impacto'!AE$7:AE$100,"Sim")&gt;0,"Sim","Não"))</f>
        <v>Não</v>
      </c>
      <c r="AG26" s="24" t="str">
        <f>IF(AG$2="","",IF(COUNTIFS('Mapa Impacto'!$D$7:$D$100,'Resumo Atividades x Sistema'!$D26,'Mapa Impacto'!AF$7:AF$100,"Sim")&gt;0,"Sim","Não"))</f>
        <v>Não</v>
      </c>
      <c r="AH26" s="24" t="str">
        <f>IF(AH$2="","",IF(COUNTIFS('Mapa Impacto'!$D$7:$D$100,'Resumo Atividades x Sistema'!$D26,'Mapa Impacto'!AG$7:AG$100,"Sim")&gt;0,"Sim","Não"))</f>
        <v>Não</v>
      </c>
      <c r="AI26" s="24" t="str">
        <f>IF(AI$2="","",IF(COUNTIFS('Mapa Impacto'!$D$7:$D$100,'Resumo Atividades x Sistema'!$D26,'Mapa Impacto'!AH$7:AH$100,"Sim")&gt;0,"Sim","Não"))</f>
        <v>Não</v>
      </c>
      <c r="AJ26" s="24" t="str">
        <f>IF(AJ$2="","",IF(COUNTIFS('Mapa Impacto'!$D$7:$D$100,'Resumo Atividades x Sistema'!$D26,'Mapa Impacto'!AI$7:AI$100,"Sim")&gt;0,"Sim","Não"))</f>
        <v>Não</v>
      </c>
      <c r="AK26" s="24" t="str">
        <f>IF(AK$2="","",IF(COUNTIFS('Mapa Impacto'!$D$7:$D$100,'Resumo Atividades x Sistema'!$D26,'Mapa Impacto'!AJ$7:AJ$100,"Sim")&gt;0,"Sim","Não"))</f>
        <v>Não</v>
      </c>
    </row>
    <row r="27" spans="2:37" ht="15" outlineLevel="1" x14ac:dyDescent="0.25">
      <c r="B27" s="144" t="str">
        <f>'Checklist Impacto Operações TI'!A23</f>
        <v>04 - Integração entre Sistemas</v>
      </c>
      <c r="C27" s="145"/>
      <c r="D27" s="24" t="str">
        <f>'Checklist Impacto Operações TI'!C23</f>
        <v>Haverá transmissão de novos arquivos?</v>
      </c>
      <c r="E27" s="24" t="str">
        <f>'Checklist Impacto Operações TI'!D23</f>
        <v>Bloco - Implantar Transmissão de Arquivos</v>
      </c>
      <c r="F27" s="24" t="str">
        <f>'Checklist Impacto Operações TI'!E23</f>
        <v>Novas Tramissões Implantadas</v>
      </c>
      <c r="G27" s="24" t="str">
        <f>IF(G$2="","",IF(COUNTIFS('Mapa Impacto'!$D$7:$D$100,'Resumo Atividades x Sistema'!$D27,'Mapa Impacto'!F$7:F$100,"Sim")&gt;0,"Sim","Não"))</f>
        <v>Não</v>
      </c>
      <c r="H27" s="24" t="str">
        <f>IF(H$2="","",IF(COUNTIFS('Mapa Impacto'!$D$7:$D$100,'Resumo Atividades x Sistema'!$D27,'Mapa Impacto'!G$7:G$100,"Sim")&gt;0,"Sim","Não"))</f>
        <v>Não</v>
      </c>
      <c r="I27" s="24" t="str">
        <f>IF(I$2="","",IF(COUNTIFS('Mapa Impacto'!$D$7:$D$100,'Resumo Atividades x Sistema'!$D27,'Mapa Impacto'!H$7:H$100,"Sim")&gt;0,"Sim","Não"))</f>
        <v>Não</v>
      </c>
      <c r="J27" s="24" t="str">
        <f>IF(J$2="","",IF(COUNTIFS('Mapa Impacto'!$D$7:$D$100,'Resumo Atividades x Sistema'!$D27,'Mapa Impacto'!I$7:I$100,"Sim")&gt;0,"Sim","Não"))</f>
        <v>Não</v>
      </c>
      <c r="K27" s="24" t="str">
        <f>IF(K$2="","",IF(COUNTIFS('Mapa Impacto'!$D$7:$D$100,'Resumo Atividades x Sistema'!$D27,'Mapa Impacto'!J$7:J$100,"Sim")&gt;0,"Sim","Não"))</f>
        <v>Não</v>
      </c>
      <c r="L27" s="24" t="str">
        <f>IF(L$2="","",IF(COUNTIFS('Mapa Impacto'!$D$7:$D$100,'Resumo Atividades x Sistema'!$D27,'Mapa Impacto'!K$7:K$100,"Sim")&gt;0,"Sim","Não"))</f>
        <v>Não</v>
      </c>
      <c r="M27" s="24" t="str">
        <f>IF(M$2="","",IF(COUNTIFS('Mapa Impacto'!$D$7:$D$100,'Resumo Atividades x Sistema'!$D27,'Mapa Impacto'!L$7:L$100,"Sim")&gt;0,"Sim","Não"))</f>
        <v>Não</v>
      </c>
      <c r="N27" s="24" t="str">
        <f>IF(N$2="","",IF(COUNTIFS('Mapa Impacto'!$D$7:$D$100,'Resumo Atividades x Sistema'!$D27,'Mapa Impacto'!M$7:M$100,"Sim")&gt;0,"Sim","Não"))</f>
        <v>Não</v>
      </c>
      <c r="O27" s="24" t="str">
        <f>IF(O$2="","",IF(COUNTIFS('Mapa Impacto'!$D$7:$D$100,'Resumo Atividades x Sistema'!$D27,'Mapa Impacto'!N$7:N$100,"Sim")&gt;0,"Sim","Não"))</f>
        <v>Não</v>
      </c>
      <c r="P27" s="24" t="str">
        <f>IF(P$2="","",IF(COUNTIFS('Mapa Impacto'!$D$7:$D$100,'Resumo Atividades x Sistema'!$D27,'Mapa Impacto'!O$7:O$100,"Sim")&gt;0,"Sim","Não"))</f>
        <v>Não</v>
      </c>
      <c r="Q27" s="24" t="str">
        <f>IF(Q$2="","",IF(COUNTIFS('Mapa Impacto'!$D$7:$D$100,'Resumo Atividades x Sistema'!$D27,'Mapa Impacto'!P$7:P$100,"Sim")&gt;0,"Sim","Não"))</f>
        <v>Não</v>
      </c>
      <c r="R27" s="24" t="str">
        <f>IF(R$2="","",IF(COUNTIFS('Mapa Impacto'!$D$7:$D$100,'Resumo Atividades x Sistema'!$D27,'Mapa Impacto'!Q$7:Q$100,"Sim")&gt;0,"Sim","Não"))</f>
        <v>Não</v>
      </c>
      <c r="S27" s="24" t="str">
        <f>IF(S$2="","",IF(COUNTIFS('Mapa Impacto'!$D$7:$D$100,'Resumo Atividades x Sistema'!$D27,'Mapa Impacto'!R$7:R$100,"Sim")&gt;0,"Sim","Não"))</f>
        <v>Não</v>
      </c>
      <c r="T27" s="24" t="str">
        <f>IF(T$2="","",IF(COUNTIFS('Mapa Impacto'!$D$7:$D$100,'Resumo Atividades x Sistema'!$D27,'Mapa Impacto'!S$7:S$100,"Sim")&gt;0,"Sim","Não"))</f>
        <v>Não</v>
      </c>
      <c r="U27" s="24" t="str">
        <f>IF(U$2="","",IF(COUNTIFS('Mapa Impacto'!$D$7:$D$100,'Resumo Atividades x Sistema'!$D27,'Mapa Impacto'!T$7:T$100,"Sim")&gt;0,"Sim","Não"))</f>
        <v>Não</v>
      </c>
      <c r="V27" s="24" t="str">
        <f>IF(V$2="","",IF(COUNTIFS('Mapa Impacto'!$D$7:$D$100,'Resumo Atividades x Sistema'!$D27,'Mapa Impacto'!U$7:U$100,"Sim")&gt;0,"Sim","Não"))</f>
        <v>Não</v>
      </c>
      <c r="W27" s="24" t="str">
        <f>IF(W$2="","",IF(COUNTIFS('Mapa Impacto'!$D$7:$D$100,'Resumo Atividades x Sistema'!$D27,'Mapa Impacto'!V$7:V$100,"Sim")&gt;0,"Sim","Não"))</f>
        <v>Não</v>
      </c>
      <c r="X27" s="24" t="str">
        <f>IF(X$2="","",IF(COUNTIFS('Mapa Impacto'!$D$7:$D$100,'Resumo Atividades x Sistema'!$D27,'Mapa Impacto'!W$7:W$100,"Sim")&gt;0,"Sim","Não"))</f>
        <v>Não</v>
      </c>
      <c r="Y27" s="24" t="str">
        <f>IF(Y$2="","",IF(COUNTIFS('Mapa Impacto'!$D$7:$D$100,'Resumo Atividades x Sistema'!$D27,'Mapa Impacto'!X$7:X$100,"Sim")&gt;0,"Sim","Não"))</f>
        <v>Não</v>
      </c>
      <c r="Z27" s="24" t="str">
        <f>IF(Z$2="","",IF(COUNTIFS('Mapa Impacto'!$D$7:$D$100,'Resumo Atividades x Sistema'!$D27,'Mapa Impacto'!Y$7:Y$100,"Sim")&gt;0,"Sim","Não"))</f>
        <v>Não</v>
      </c>
      <c r="AA27" s="24" t="str">
        <f>IF(AA$2="","",IF(COUNTIFS('Mapa Impacto'!$D$7:$D$100,'Resumo Atividades x Sistema'!$D27,'Mapa Impacto'!Z$7:Z$100,"Sim")&gt;0,"Sim","Não"))</f>
        <v>Não</v>
      </c>
      <c r="AB27" s="24" t="str">
        <f>IF(AB$2="","",IF(COUNTIFS('Mapa Impacto'!$D$7:$D$100,'Resumo Atividades x Sistema'!$D27,'Mapa Impacto'!AA$7:AA$100,"Sim")&gt;0,"Sim","Não"))</f>
        <v>Não</v>
      </c>
      <c r="AC27" s="24" t="str">
        <f>IF(AC$2="","",IF(COUNTIFS('Mapa Impacto'!$D$7:$D$100,'Resumo Atividades x Sistema'!$D27,'Mapa Impacto'!AB$7:AB$100,"Sim")&gt;0,"Sim","Não"))</f>
        <v>Não</v>
      </c>
      <c r="AD27" s="24" t="str">
        <f>IF(AD$2="","",IF(COUNTIFS('Mapa Impacto'!$D$7:$D$100,'Resumo Atividades x Sistema'!$D27,'Mapa Impacto'!AC$7:AC$100,"Sim")&gt;0,"Sim","Não"))</f>
        <v>Não</v>
      </c>
      <c r="AE27" s="24" t="str">
        <f>IF(AE$2="","",IF(COUNTIFS('Mapa Impacto'!$D$7:$D$100,'Resumo Atividades x Sistema'!$D27,'Mapa Impacto'!AD$7:AD$100,"Sim")&gt;0,"Sim","Não"))</f>
        <v>Não</v>
      </c>
      <c r="AF27" s="24" t="str">
        <f>IF(AF$2="","",IF(COUNTIFS('Mapa Impacto'!$D$7:$D$100,'Resumo Atividades x Sistema'!$D27,'Mapa Impacto'!AE$7:AE$100,"Sim")&gt;0,"Sim","Não"))</f>
        <v>Não</v>
      </c>
      <c r="AG27" s="24" t="str">
        <f>IF(AG$2="","",IF(COUNTIFS('Mapa Impacto'!$D$7:$D$100,'Resumo Atividades x Sistema'!$D27,'Mapa Impacto'!AF$7:AF$100,"Sim")&gt;0,"Sim","Não"))</f>
        <v>Não</v>
      </c>
      <c r="AH27" s="24" t="str">
        <f>IF(AH$2="","",IF(COUNTIFS('Mapa Impacto'!$D$7:$D$100,'Resumo Atividades x Sistema'!$D27,'Mapa Impacto'!AG$7:AG$100,"Sim")&gt;0,"Sim","Não"))</f>
        <v>Não</v>
      </c>
      <c r="AI27" s="24" t="str">
        <f>IF(AI$2="","",IF(COUNTIFS('Mapa Impacto'!$D$7:$D$100,'Resumo Atividades x Sistema'!$D27,'Mapa Impacto'!AH$7:AH$100,"Sim")&gt;0,"Sim","Não"))</f>
        <v>Não</v>
      </c>
      <c r="AJ27" s="24" t="str">
        <f>IF(AJ$2="","",IF(COUNTIFS('Mapa Impacto'!$D$7:$D$100,'Resumo Atividades x Sistema'!$D27,'Mapa Impacto'!AI$7:AI$100,"Sim")&gt;0,"Sim","Não"))</f>
        <v>Não</v>
      </c>
      <c r="AK27" s="24" t="str">
        <f>IF(AK$2="","",IF(COUNTIFS('Mapa Impacto'!$D$7:$D$100,'Resumo Atividades x Sistema'!$D27,'Mapa Impacto'!AJ$7:AJ$100,"Sim")&gt;0,"Sim","Não"))</f>
        <v>Não</v>
      </c>
    </row>
    <row r="28" spans="2:37" ht="45" x14ac:dyDescent="0.25">
      <c r="B28" s="144" t="str">
        <f>'Checklist Impacto Operações TI'!A24</f>
        <v>05 - Gestão Ambiente DW</v>
      </c>
      <c r="C28" s="145"/>
      <c r="D28" s="24" t="str">
        <f>'Checklist Impacto Operações TI'!C24</f>
        <v>A demanda requer criação/alteração de processo de carga?</v>
      </c>
      <c r="E28" s="24" t="str">
        <f>'Checklist Impacto Operações TI'!D24</f>
        <v>Desenvolver carga/reprocessamento automático (Sem necessidade de intervenção manual da equipe de Operações).</v>
      </c>
      <c r="F28" s="24" t="str">
        <f>'Checklist Impacto Operações TI'!E24</f>
        <v>Rotina automática de reprossamento/carga.</v>
      </c>
      <c r="G28" s="24" t="str">
        <f>IF(G$2="","",IF(COUNTIFS('Mapa Impacto'!$D$7:$D$100,'Resumo Atividades x Sistema'!$D28,'Mapa Impacto'!F$7:F$100,"Sim")&gt;0,"Sim","Não"))</f>
        <v>Não</v>
      </c>
      <c r="H28" s="24" t="str">
        <f>IF(H$2="","",IF(COUNTIFS('Mapa Impacto'!$D$7:$D$100,'Resumo Atividades x Sistema'!$D28,'Mapa Impacto'!G$7:G$100,"Sim")&gt;0,"Sim","Não"))</f>
        <v>Não</v>
      </c>
      <c r="I28" s="24" t="str">
        <f>IF(I$2="","",IF(COUNTIFS('Mapa Impacto'!$D$7:$D$100,'Resumo Atividades x Sistema'!$D28,'Mapa Impacto'!H$7:H$100,"Sim")&gt;0,"Sim","Não"))</f>
        <v>Não</v>
      </c>
      <c r="J28" s="24" t="str">
        <f>IF(J$2="","",IF(COUNTIFS('Mapa Impacto'!$D$7:$D$100,'Resumo Atividades x Sistema'!$D28,'Mapa Impacto'!I$7:I$100,"Sim")&gt;0,"Sim","Não"))</f>
        <v>Não</v>
      </c>
      <c r="K28" s="24" t="str">
        <f>IF(K$2="","",IF(COUNTIFS('Mapa Impacto'!$D$7:$D$100,'Resumo Atividades x Sistema'!$D28,'Mapa Impacto'!J$7:J$100,"Sim")&gt;0,"Sim","Não"))</f>
        <v>Não</v>
      </c>
      <c r="L28" s="24" t="str">
        <f>IF(L$2="","",IF(COUNTIFS('Mapa Impacto'!$D$7:$D$100,'Resumo Atividades x Sistema'!$D28,'Mapa Impacto'!K$7:K$100,"Sim")&gt;0,"Sim","Não"))</f>
        <v>Não</v>
      </c>
      <c r="M28" s="24" t="str">
        <f>IF(M$2="","",IF(COUNTIFS('Mapa Impacto'!$D$7:$D$100,'Resumo Atividades x Sistema'!$D28,'Mapa Impacto'!L$7:L$100,"Sim")&gt;0,"Sim","Não"))</f>
        <v>Não</v>
      </c>
      <c r="N28" s="24" t="str">
        <f>IF(N$2="","",IF(COUNTIFS('Mapa Impacto'!$D$7:$D$100,'Resumo Atividades x Sistema'!$D28,'Mapa Impacto'!M$7:M$100,"Sim")&gt;0,"Sim","Não"))</f>
        <v>Não</v>
      </c>
      <c r="O28" s="24" t="str">
        <f>IF(O$2="","",IF(COUNTIFS('Mapa Impacto'!$D$7:$D$100,'Resumo Atividades x Sistema'!$D28,'Mapa Impacto'!N$7:N$100,"Sim")&gt;0,"Sim","Não"))</f>
        <v>Não</v>
      </c>
      <c r="P28" s="24" t="str">
        <f>IF(P$2="","",IF(COUNTIFS('Mapa Impacto'!$D$7:$D$100,'Resumo Atividades x Sistema'!$D28,'Mapa Impacto'!O$7:O$100,"Sim")&gt;0,"Sim","Não"))</f>
        <v>Não</v>
      </c>
      <c r="Q28" s="24" t="str">
        <f>IF(Q$2="","",IF(COUNTIFS('Mapa Impacto'!$D$7:$D$100,'Resumo Atividades x Sistema'!$D28,'Mapa Impacto'!P$7:P$100,"Sim")&gt;0,"Sim","Não"))</f>
        <v>Não</v>
      </c>
      <c r="R28" s="24" t="str">
        <f>IF(R$2="","",IF(COUNTIFS('Mapa Impacto'!$D$7:$D$100,'Resumo Atividades x Sistema'!$D28,'Mapa Impacto'!Q$7:Q$100,"Sim")&gt;0,"Sim","Não"))</f>
        <v>Não</v>
      </c>
      <c r="S28" s="24" t="str">
        <f>IF(S$2="","",IF(COUNTIFS('Mapa Impacto'!$D$7:$D$100,'Resumo Atividades x Sistema'!$D28,'Mapa Impacto'!R$7:R$100,"Sim")&gt;0,"Sim","Não"))</f>
        <v>Não</v>
      </c>
      <c r="T28" s="24" t="str">
        <f>IF(T$2="","",IF(COUNTIFS('Mapa Impacto'!$D$7:$D$100,'Resumo Atividades x Sistema'!$D28,'Mapa Impacto'!S$7:S$100,"Sim")&gt;0,"Sim","Não"))</f>
        <v>Não</v>
      </c>
      <c r="U28" s="24" t="str">
        <f>IF(U$2="","",IF(COUNTIFS('Mapa Impacto'!$D$7:$D$100,'Resumo Atividades x Sistema'!$D28,'Mapa Impacto'!T$7:T$100,"Sim")&gt;0,"Sim","Não"))</f>
        <v>Não</v>
      </c>
      <c r="V28" s="24" t="str">
        <f>IF(V$2="","",IF(COUNTIFS('Mapa Impacto'!$D$7:$D$100,'Resumo Atividades x Sistema'!$D28,'Mapa Impacto'!U$7:U$100,"Sim")&gt;0,"Sim","Não"))</f>
        <v>Não</v>
      </c>
      <c r="W28" s="24" t="str">
        <f>IF(W$2="","",IF(COUNTIFS('Mapa Impacto'!$D$7:$D$100,'Resumo Atividades x Sistema'!$D28,'Mapa Impacto'!V$7:V$100,"Sim")&gt;0,"Sim","Não"))</f>
        <v>Não</v>
      </c>
      <c r="X28" s="24" t="str">
        <f>IF(X$2="","",IF(COUNTIFS('Mapa Impacto'!$D$7:$D$100,'Resumo Atividades x Sistema'!$D28,'Mapa Impacto'!W$7:W$100,"Sim")&gt;0,"Sim","Não"))</f>
        <v>Não</v>
      </c>
      <c r="Y28" s="24" t="str">
        <f>IF(Y$2="","",IF(COUNTIFS('Mapa Impacto'!$D$7:$D$100,'Resumo Atividades x Sistema'!$D28,'Mapa Impacto'!X$7:X$100,"Sim")&gt;0,"Sim","Não"))</f>
        <v>Não</v>
      </c>
      <c r="Z28" s="24" t="str">
        <f>IF(Z$2="","",IF(COUNTIFS('Mapa Impacto'!$D$7:$D$100,'Resumo Atividades x Sistema'!$D28,'Mapa Impacto'!Y$7:Y$100,"Sim")&gt;0,"Sim","Não"))</f>
        <v>Não</v>
      </c>
      <c r="AA28" s="24" t="str">
        <f>IF(AA$2="","",IF(COUNTIFS('Mapa Impacto'!$D$7:$D$100,'Resumo Atividades x Sistema'!$D28,'Mapa Impacto'!Z$7:Z$100,"Sim")&gt;0,"Sim","Não"))</f>
        <v>Não</v>
      </c>
      <c r="AB28" s="24" t="str">
        <f>IF(AB$2="","",IF(COUNTIFS('Mapa Impacto'!$D$7:$D$100,'Resumo Atividades x Sistema'!$D28,'Mapa Impacto'!AA$7:AA$100,"Sim")&gt;0,"Sim","Não"))</f>
        <v>Não</v>
      </c>
      <c r="AC28" s="24" t="str">
        <f>IF(AC$2="","",IF(COUNTIFS('Mapa Impacto'!$D$7:$D$100,'Resumo Atividades x Sistema'!$D28,'Mapa Impacto'!AB$7:AB$100,"Sim")&gt;0,"Sim","Não"))</f>
        <v>Não</v>
      </c>
      <c r="AD28" s="24" t="str">
        <f>IF(AD$2="","",IF(COUNTIFS('Mapa Impacto'!$D$7:$D$100,'Resumo Atividades x Sistema'!$D28,'Mapa Impacto'!AC$7:AC$100,"Sim")&gt;0,"Sim","Não"))</f>
        <v>Não</v>
      </c>
      <c r="AE28" s="24" t="str">
        <f>IF(AE$2="","",IF(COUNTIFS('Mapa Impacto'!$D$7:$D$100,'Resumo Atividades x Sistema'!$D28,'Mapa Impacto'!AD$7:AD$100,"Sim")&gt;0,"Sim","Não"))</f>
        <v>Não</v>
      </c>
      <c r="AF28" s="24" t="str">
        <f>IF(AF$2="","",IF(COUNTIFS('Mapa Impacto'!$D$7:$D$100,'Resumo Atividades x Sistema'!$D28,'Mapa Impacto'!AE$7:AE$100,"Sim")&gt;0,"Sim","Não"))</f>
        <v>Não</v>
      </c>
      <c r="AG28" s="24" t="str">
        <f>IF(AG$2="","",IF(COUNTIFS('Mapa Impacto'!$D$7:$D$100,'Resumo Atividades x Sistema'!$D28,'Mapa Impacto'!AF$7:AF$100,"Sim")&gt;0,"Sim","Não"))</f>
        <v>Não</v>
      </c>
      <c r="AH28" s="24" t="str">
        <f>IF(AH$2="","",IF(COUNTIFS('Mapa Impacto'!$D$7:$D$100,'Resumo Atividades x Sistema'!$D28,'Mapa Impacto'!AG$7:AG$100,"Sim")&gt;0,"Sim","Não"))</f>
        <v>Não</v>
      </c>
      <c r="AI28" s="24" t="str">
        <f>IF(AI$2="","",IF(COUNTIFS('Mapa Impacto'!$D$7:$D$100,'Resumo Atividades x Sistema'!$D28,'Mapa Impacto'!AH$7:AH$100,"Sim")&gt;0,"Sim","Não"))</f>
        <v>Não</v>
      </c>
      <c r="AJ28" s="24" t="str">
        <f>IF(AJ$2="","",IF(COUNTIFS('Mapa Impacto'!$D$7:$D$100,'Resumo Atividades x Sistema'!$D28,'Mapa Impacto'!AI$7:AI$100,"Sim")&gt;0,"Sim","Não"))</f>
        <v>Não</v>
      </c>
      <c r="AK28" s="24" t="str">
        <f>IF(AK$2="","",IF(COUNTIFS('Mapa Impacto'!$D$7:$D$100,'Resumo Atividades x Sistema'!$D28,'Mapa Impacto'!AJ$7:AJ$100,"Sim")&gt;0,"Sim","Não"))</f>
        <v>Não</v>
      </c>
    </row>
    <row r="29" spans="2:37" ht="30" outlineLevel="1" x14ac:dyDescent="0.25">
      <c r="B29" s="144" t="str">
        <f>'Checklist Impacto Operações TI'!A25</f>
        <v>05 - Gestão Ambiente DW</v>
      </c>
      <c r="C29" s="145"/>
      <c r="D29" s="24" t="str">
        <f>'Checklist Impacto Operações TI'!C25</f>
        <v>A demanda requer criação-alteração de objeto do Informática?</v>
      </c>
      <c r="E29" s="24" t="str">
        <f>'Checklist Impacto Operações TI'!D25</f>
        <v>Bloco - Criar-Alterar Objeto co Informática</v>
      </c>
      <c r="F29" s="24" t="str">
        <f>'Checklist Impacto Operações TI'!E25</f>
        <v>Adequação dos objetos do Metadados, PowerCentrer, DataQuality</v>
      </c>
      <c r="G29" s="24" t="str">
        <f>IF(G$2="","",IF(COUNTIFS('Mapa Impacto'!$D$7:$D$100,'Resumo Atividades x Sistema'!$D29,'Mapa Impacto'!F$7:F$100,"Sim")&gt;0,"Sim","Não"))</f>
        <v>Não</v>
      </c>
      <c r="H29" s="24" t="str">
        <f>IF(H$2="","",IF(COUNTIFS('Mapa Impacto'!$D$7:$D$100,'Resumo Atividades x Sistema'!$D29,'Mapa Impacto'!G$7:G$100,"Sim")&gt;0,"Sim","Não"))</f>
        <v>Não</v>
      </c>
      <c r="I29" s="24" t="str">
        <f>IF(I$2="","",IF(COUNTIFS('Mapa Impacto'!$D$7:$D$100,'Resumo Atividades x Sistema'!$D29,'Mapa Impacto'!H$7:H$100,"Sim")&gt;0,"Sim","Não"))</f>
        <v>Não</v>
      </c>
      <c r="J29" s="24" t="str">
        <f>IF(J$2="","",IF(COUNTIFS('Mapa Impacto'!$D$7:$D$100,'Resumo Atividades x Sistema'!$D29,'Mapa Impacto'!I$7:I$100,"Sim")&gt;0,"Sim","Não"))</f>
        <v>Não</v>
      </c>
      <c r="K29" s="24" t="str">
        <f>IF(K$2="","",IF(COUNTIFS('Mapa Impacto'!$D$7:$D$100,'Resumo Atividades x Sistema'!$D29,'Mapa Impacto'!J$7:J$100,"Sim")&gt;0,"Sim","Não"))</f>
        <v>Não</v>
      </c>
      <c r="L29" s="24" t="str">
        <f>IF(L$2="","",IF(COUNTIFS('Mapa Impacto'!$D$7:$D$100,'Resumo Atividades x Sistema'!$D29,'Mapa Impacto'!K$7:K$100,"Sim")&gt;0,"Sim","Não"))</f>
        <v>Não</v>
      </c>
      <c r="M29" s="24" t="str">
        <f>IF(M$2="","",IF(COUNTIFS('Mapa Impacto'!$D$7:$D$100,'Resumo Atividades x Sistema'!$D29,'Mapa Impacto'!L$7:L$100,"Sim")&gt;0,"Sim","Não"))</f>
        <v>Não</v>
      </c>
      <c r="N29" s="24" t="str">
        <f>IF(N$2="","",IF(COUNTIFS('Mapa Impacto'!$D$7:$D$100,'Resumo Atividades x Sistema'!$D29,'Mapa Impacto'!M$7:M$100,"Sim")&gt;0,"Sim","Não"))</f>
        <v>Não</v>
      </c>
      <c r="O29" s="24" t="str">
        <f>IF(O$2="","",IF(COUNTIFS('Mapa Impacto'!$D$7:$D$100,'Resumo Atividades x Sistema'!$D29,'Mapa Impacto'!N$7:N$100,"Sim")&gt;0,"Sim","Não"))</f>
        <v>Não</v>
      </c>
      <c r="P29" s="24" t="str">
        <f>IF(P$2="","",IF(COUNTIFS('Mapa Impacto'!$D$7:$D$100,'Resumo Atividades x Sistema'!$D29,'Mapa Impacto'!O$7:O$100,"Sim")&gt;0,"Sim","Não"))</f>
        <v>Não</v>
      </c>
      <c r="Q29" s="24" t="str">
        <f>IF(Q$2="","",IF(COUNTIFS('Mapa Impacto'!$D$7:$D$100,'Resumo Atividades x Sistema'!$D29,'Mapa Impacto'!P$7:P$100,"Sim")&gt;0,"Sim","Não"))</f>
        <v>Não</v>
      </c>
      <c r="R29" s="24" t="str">
        <f>IF(R$2="","",IF(COUNTIFS('Mapa Impacto'!$D$7:$D$100,'Resumo Atividades x Sistema'!$D29,'Mapa Impacto'!Q$7:Q$100,"Sim")&gt;0,"Sim","Não"))</f>
        <v>Não</v>
      </c>
      <c r="S29" s="24" t="str">
        <f>IF(S$2="","",IF(COUNTIFS('Mapa Impacto'!$D$7:$D$100,'Resumo Atividades x Sistema'!$D29,'Mapa Impacto'!R$7:R$100,"Sim")&gt;0,"Sim","Não"))</f>
        <v>Não</v>
      </c>
      <c r="T29" s="24" t="str">
        <f>IF(T$2="","",IF(COUNTIFS('Mapa Impacto'!$D$7:$D$100,'Resumo Atividades x Sistema'!$D29,'Mapa Impacto'!S$7:S$100,"Sim")&gt;0,"Sim","Não"))</f>
        <v>Não</v>
      </c>
      <c r="U29" s="24" t="str">
        <f>IF(U$2="","",IF(COUNTIFS('Mapa Impacto'!$D$7:$D$100,'Resumo Atividades x Sistema'!$D29,'Mapa Impacto'!T$7:T$100,"Sim")&gt;0,"Sim","Não"))</f>
        <v>Não</v>
      </c>
      <c r="V29" s="24" t="str">
        <f>IF(V$2="","",IF(COUNTIFS('Mapa Impacto'!$D$7:$D$100,'Resumo Atividades x Sistema'!$D29,'Mapa Impacto'!U$7:U$100,"Sim")&gt;0,"Sim","Não"))</f>
        <v>Não</v>
      </c>
      <c r="W29" s="24" t="str">
        <f>IF(W$2="","",IF(COUNTIFS('Mapa Impacto'!$D$7:$D$100,'Resumo Atividades x Sistema'!$D29,'Mapa Impacto'!V$7:V$100,"Sim")&gt;0,"Sim","Não"))</f>
        <v>Não</v>
      </c>
      <c r="X29" s="24" t="str">
        <f>IF(X$2="","",IF(COUNTIFS('Mapa Impacto'!$D$7:$D$100,'Resumo Atividades x Sistema'!$D29,'Mapa Impacto'!W$7:W$100,"Sim")&gt;0,"Sim","Não"))</f>
        <v>Não</v>
      </c>
      <c r="Y29" s="24" t="str">
        <f>IF(Y$2="","",IF(COUNTIFS('Mapa Impacto'!$D$7:$D$100,'Resumo Atividades x Sistema'!$D29,'Mapa Impacto'!X$7:X$100,"Sim")&gt;0,"Sim","Não"))</f>
        <v>Não</v>
      </c>
      <c r="Z29" s="24" t="str">
        <f>IF(Z$2="","",IF(COUNTIFS('Mapa Impacto'!$D$7:$D$100,'Resumo Atividades x Sistema'!$D29,'Mapa Impacto'!Y$7:Y$100,"Sim")&gt;0,"Sim","Não"))</f>
        <v>Não</v>
      </c>
      <c r="AA29" s="24" t="str">
        <f>IF(AA$2="","",IF(COUNTIFS('Mapa Impacto'!$D$7:$D$100,'Resumo Atividades x Sistema'!$D29,'Mapa Impacto'!Z$7:Z$100,"Sim")&gt;0,"Sim","Não"))</f>
        <v>Não</v>
      </c>
      <c r="AB29" s="24" t="str">
        <f>IF(AB$2="","",IF(COUNTIFS('Mapa Impacto'!$D$7:$D$100,'Resumo Atividades x Sistema'!$D29,'Mapa Impacto'!AA$7:AA$100,"Sim")&gt;0,"Sim","Não"))</f>
        <v>Não</v>
      </c>
      <c r="AC29" s="24" t="str">
        <f>IF(AC$2="","",IF(COUNTIFS('Mapa Impacto'!$D$7:$D$100,'Resumo Atividades x Sistema'!$D29,'Mapa Impacto'!AB$7:AB$100,"Sim")&gt;0,"Sim","Não"))</f>
        <v>Não</v>
      </c>
      <c r="AD29" s="24" t="str">
        <f>IF(AD$2="","",IF(COUNTIFS('Mapa Impacto'!$D$7:$D$100,'Resumo Atividades x Sistema'!$D29,'Mapa Impacto'!AC$7:AC$100,"Sim")&gt;0,"Sim","Não"))</f>
        <v>Não</v>
      </c>
      <c r="AE29" s="24" t="str">
        <f>IF(AE$2="","",IF(COUNTIFS('Mapa Impacto'!$D$7:$D$100,'Resumo Atividades x Sistema'!$D29,'Mapa Impacto'!AD$7:AD$100,"Sim")&gt;0,"Sim","Não"))</f>
        <v>Não</v>
      </c>
      <c r="AF29" s="24" t="str">
        <f>IF(AF$2="","",IF(COUNTIFS('Mapa Impacto'!$D$7:$D$100,'Resumo Atividades x Sistema'!$D29,'Mapa Impacto'!AE$7:AE$100,"Sim")&gt;0,"Sim","Não"))</f>
        <v>Não</v>
      </c>
      <c r="AG29" s="24" t="str">
        <f>IF(AG$2="","",IF(COUNTIFS('Mapa Impacto'!$D$7:$D$100,'Resumo Atividades x Sistema'!$D29,'Mapa Impacto'!AF$7:AF$100,"Sim")&gt;0,"Sim","Não"))</f>
        <v>Não</v>
      </c>
      <c r="AH29" s="24" t="str">
        <f>IF(AH$2="","",IF(COUNTIFS('Mapa Impacto'!$D$7:$D$100,'Resumo Atividades x Sistema'!$D29,'Mapa Impacto'!AG$7:AG$100,"Sim")&gt;0,"Sim","Não"))</f>
        <v>Não</v>
      </c>
      <c r="AI29" s="24" t="str">
        <f>IF(AI$2="","",IF(COUNTIFS('Mapa Impacto'!$D$7:$D$100,'Resumo Atividades x Sistema'!$D29,'Mapa Impacto'!AH$7:AH$100,"Sim")&gt;0,"Sim","Não"))</f>
        <v>Não</v>
      </c>
      <c r="AJ29" s="24" t="str">
        <f>IF(AJ$2="","",IF(COUNTIFS('Mapa Impacto'!$D$7:$D$100,'Resumo Atividades x Sistema'!$D29,'Mapa Impacto'!AI$7:AI$100,"Sim")&gt;0,"Sim","Não"))</f>
        <v>Não</v>
      </c>
      <c r="AK29" s="24" t="str">
        <f>IF(AK$2="","",IF(COUNTIFS('Mapa Impacto'!$D$7:$D$100,'Resumo Atividades x Sistema'!$D29,'Mapa Impacto'!AJ$7:AJ$100,"Sim")&gt;0,"Sim","Não"))</f>
        <v>Não</v>
      </c>
    </row>
    <row r="30" spans="2:37" ht="60" outlineLevel="1" x14ac:dyDescent="0.25">
      <c r="B30" s="144" t="str">
        <f>'Checklist Impacto Operações TI'!A26</f>
        <v>05 - Gestão Ambiente DW</v>
      </c>
      <c r="C30" s="145"/>
      <c r="D30" s="24" t="str">
        <f>'Checklist Impacto Operações TI'!C26</f>
        <v>A demanda requer atividades de preparação de ambiente Business Object (BO)  e/ou SAS (criação usuários, grupos, pastas e conexões) ou requer registro da Posição de Carga dos módulos?</v>
      </c>
      <c r="E30" s="24" t="str">
        <f>'Checklist Impacto Operações TI'!D26</f>
        <v>Bloco - Preparar Ambiente BO e SAS</v>
      </c>
      <c r="F30" s="24" t="str">
        <f>'Checklist Impacto Operações TI'!E26</f>
        <v>Ambiente BO e SAS preparado para atender ao projeto</v>
      </c>
      <c r="G30" s="24" t="str">
        <f>IF(G$2="","",IF(COUNTIFS('Mapa Impacto'!$D$7:$D$100,'Resumo Atividades x Sistema'!$D30,'Mapa Impacto'!F$7:F$100,"Sim")&gt;0,"Sim","Não"))</f>
        <v>Não</v>
      </c>
      <c r="H30" s="24" t="str">
        <f>IF(H$2="","",IF(COUNTIFS('Mapa Impacto'!$D$7:$D$100,'Resumo Atividades x Sistema'!$D30,'Mapa Impacto'!G$7:G$100,"Sim")&gt;0,"Sim","Não"))</f>
        <v>Não</v>
      </c>
      <c r="I30" s="24" t="str">
        <f>IF(I$2="","",IF(COUNTIFS('Mapa Impacto'!$D$7:$D$100,'Resumo Atividades x Sistema'!$D30,'Mapa Impacto'!H$7:H$100,"Sim")&gt;0,"Sim","Não"))</f>
        <v>Não</v>
      </c>
      <c r="J30" s="24" t="str">
        <f>IF(J$2="","",IF(COUNTIFS('Mapa Impacto'!$D$7:$D$100,'Resumo Atividades x Sistema'!$D30,'Mapa Impacto'!I$7:I$100,"Sim")&gt;0,"Sim","Não"))</f>
        <v>Não</v>
      </c>
      <c r="K30" s="24" t="str">
        <f>IF(K$2="","",IF(COUNTIFS('Mapa Impacto'!$D$7:$D$100,'Resumo Atividades x Sistema'!$D30,'Mapa Impacto'!J$7:J$100,"Sim")&gt;0,"Sim","Não"))</f>
        <v>Não</v>
      </c>
      <c r="L30" s="24" t="str">
        <f>IF(L$2="","",IF(COUNTIFS('Mapa Impacto'!$D$7:$D$100,'Resumo Atividades x Sistema'!$D30,'Mapa Impacto'!K$7:K$100,"Sim")&gt;0,"Sim","Não"))</f>
        <v>Não</v>
      </c>
      <c r="M30" s="24" t="str">
        <f>IF(M$2="","",IF(COUNTIFS('Mapa Impacto'!$D$7:$D$100,'Resumo Atividades x Sistema'!$D30,'Mapa Impacto'!L$7:L$100,"Sim")&gt;0,"Sim","Não"))</f>
        <v>Não</v>
      </c>
      <c r="N30" s="24" t="str">
        <f>IF(N$2="","",IF(COUNTIFS('Mapa Impacto'!$D$7:$D$100,'Resumo Atividades x Sistema'!$D30,'Mapa Impacto'!M$7:M$100,"Sim")&gt;0,"Sim","Não"))</f>
        <v>Não</v>
      </c>
      <c r="O30" s="24" t="str">
        <f>IF(O$2="","",IF(COUNTIFS('Mapa Impacto'!$D$7:$D$100,'Resumo Atividades x Sistema'!$D30,'Mapa Impacto'!N$7:N$100,"Sim")&gt;0,"Sim","Não"))</f>
        <v>Não</v>
      </c>
      <c r="P30" s="24" t="str">
        <f>IF(P$2="","",IF(COUNTIFS('Mapa Impacto'!$D$7:$D$100,'Resumo Atividades x Sistema'!$D30,'Mapa Impacto'!O$7:O$100,"Sim")&gt;0,"Sim","Não"))</f>
        <v>Não</v>
      </c>
      <c r="Q30" s="24" t="str">
        <f>IF(Q$2="","",IF(COUNTIFS('Mapa Impacto'!$D$7:$D$100,'Resumo Atividades x Sistema'!$D30,'Mapa Impacto'!P$7:P$100,"Sim")&gt;0,"Sim","Não"))</f>
        <v>Não</v>
      </c>
      <c r="R30" s="24" t="str">
        <f>IF(R$2="","",IF(COUNTIFS('Mapa Impacto'!$D$7:$D$100,'Resumo Atividades x Sistema'!$D30,'Mapa Impacto'!Q$7:Q$100,"Sim")&gt;0,"Sim","Não"))</f>
        <v>Não</v>
      </c>
      <c r="S30" s="24" t="str">
        <f>IF(S$2="","",IF(COUNTIFS('Mapa Impacto'!$D$7:$D$100,'Resumo Atividades x Sistema'!$D30,'Mapa Impacto'!R$7:R$100,"Sim")&gt;0,"Sim","Não"))</f>
        <v>Não</v>
      </c>
      <c r="T30" s="24" t="str">
        <f>IF(T$2="","",IF(COUNTIFS('Mapa Impacto'!$D$7:$D$100,'Resumo Atividades x Sistema'!$D30,'Mapa Impacto'!S$7:S$100,"Sim")&gt;0,"Sim","Não"))</f>
        <v>Não</v>
      </c>
      <c r="U30" s="24" t="str">
        <f>IF(U$2="","",IF(COUNTIFS('Mapa Impacto'!$D$7:$D$100,'Resumo Atividades x Sistema'!$D30,'Mapa Impacto'!T$7:T$100,"Sim")&gt;0,"Sim","Não"))</f>
        <v>Não</v>
      </c>
      <c r="V30" s="24" t="str">
        <f>IF(V$2="","",IF(COUNTIFS('Mapa Impacto'!$D$7:$D$100,'Resumo Atividades x Sistema'!$D30,'Mapa Impacto'!U$7:U$100,"Sim")&gt;0,"Sim","Não"))</f>
        <v>Não</v>
      </c>
      <c r="W30" s="24" t="str">
        <f>IF(W$2="","",IF(COUNTIFS('Mapa Impacto'!$D$7:$D$100,'Resumo Atividades x Sistema'!$D30,'Mapa Impacto'!V$7:V$100,"Sim")&gt;0,"Sim","Não"))</f>
        <v>Não</v>
      </c>
      <c r="X30" s="24" t="str">
        <f>IF(X$2="","",IF(COUNTIFS('Mapa Impacto'!$D$7:$D$100,'Resumo Atividades x Sistema'!$D30,'Mapa Impacto'!W$7:W$100,"Sim")&gt;0,"Sim","Não"))</f>
        <v>Não</v>
      </c>
      <c r="Y30" s="24" t="str">
        <f>IF(Y$2="","",IF(COUNTIFS('Mapa Impacto'!$D$7:$D$100,'Resumo Atividades x Sistema'!$D30,'Mapa Impacto'!X$7:X$100,"Sim")&gt;0,"Sim","Não"))</f>
        <v>Não</v>
      </c>
      <c r="Z30" s="24" t="str">
        <f>IF(Z$2="","",IF(COUNTIFS('Mapa Impacto'!$D$7:$D$100,'Resumo Atividades x Sistema'!$D30,'Mapa Impacto'!Y$7:Y$100,"Sim")&gt;0,"Sim","Não"))</f>
        <v>Não</v>
      </c>
      <c r="AA30" s="24" t="str">
        <f>IF(AA$2="","",IF(COUNTIFS('Mapa Impacto'!$D$7:$D$100,'Resumo Atividades x Sistema'!$D30,'Mapa Impacto'!Z$7:Z$100,"Sim")&gt;0,"Sim","Não"))</f>
        <v>Não</v>
      </c>
      <c r="AB30" s="24" t="str">
        <f>IF(AB$2="","",IF(COUNTIFS('Mapa Impacto'!$D$7:$D$100,'Resumo Atividades x Sistema'!$D30,'Mapa Impacto'!AA$7:AA$100,"Sim")&gt;0,"Sim","Não"))</f>
        <v>Não</v>
      </c>
      <c r="AC30" s="24" t="str">
        <f>IF(AC$2="","",IF(COUNTIFS('Mapa Impacto'!$D$7:$D$100,'Resumo Atividades x Sistema'!$D30,'Mapa Impacto'!AB$7:AB$100,"Sim")&gt;0,"Sim","Não"))</f>
        <v>Não</v>
      </c>
      <c r="AD30" s="24" t="str">
        <f>IF(AD$2="","",IF(COUNTIFS('Mapa Impacto'!$D$7:$D$100,'Resumo Atividades x Sistema'!$D30,'Mapa Impacto'!AC$7:AC$100,"Sim")&gt;0,"Sim","Não"))</f>
        <v>Não</v>
      </c>
      <c r="AE30" s="24" t="str">
        <f>IF(AE$2="","",IF(COUNTIFS('Mapa Impacto'!$D$7:$D$100,'Resumo Atividades x Sistema'!$D30,'Mapa Impacto'!AD$7:AD$100,"Sim")&gt;0,"Sim","Não"))</f>
        <v>Não</v>
      </c>
      <c r="AF30" s="24" t="str">
        <f>IF(AF$2="","",IF(COUNTIFS('Mapa Impacto'!$D$7:$D$100,'Resumo Atividades x Sistema'!$D30,'Mapa Impacto'!AE$7:AE$100,"Sim")&gt;0,"Sim","Não"))</f>
        <v>Não</v>
      </c>
      <c r="AG30" s="24" t="str">
        <f>IF(AG$2="","",IF(COUNTIFS('Mapa Impacto'!$D$7:$D$100,'Resumo Atividades x Sistema'!$D30,'Mapa Impacto'!AF$7:AF$100,"Sim")&gt;0,"Sim","Não"))</f>
        <v>Não</v>
      </c>
      <c r="AH30" s="24" t="str">
        <f>IF(AH$2="","",IF(COUNTIFS('Mapa Impacto'!$D$7:$D$100,'Resumo Atividades x Sistema'!$D30,'Mapa Impacto'!AG$7:AG$100,"Sim")&gt;0,"Sim","Não"))</f>
        <v>Não</v>
      </c>
      <c r="AI30" s="24" t="str">
        <f>IF(AI$2="","",IF(COUNTIFS('Mapa Impacto'!$D$7:$D$100,'Resumo Atividades x Sistema'!$D30,'Mapa Impacto'!AH$7:AH$100,"Sim")&gt;0,"Sim","Não"))</f>
        <v>Não</v>
      </c>
      <c r="AJ30" s="24" t="str">
        <f>IF(AJ$2="","",IF(COUNTIFS('Mapa Impacto'!$D$7:$D$100,'Resumo Atividades x Sistema'!$D30,'Mapa Impacto'!AI$7:AI$100,"Sim")&gt;0,"Sim","Não"))</f>
        <v>Não</v>
      </c>
      <c r="AK30" s="24" t="str">
        <f>IF(AK$2="","",IF(COUNTIFS('Mapa Impacto'!$D$7:$D$100,'Resumo Atividades x Sistema'!$D30,'Mapa Impacto'!AJ$7:AJ$100,"Sim")&gt;0,"Sim","Não"))</f>
        <v>Não</v>
      </c>
    </row>
    <row r="31" spans="2:37" ht="45" outlineLevel="1" x14ac:dyDescent="0.25">
      <c r="B31" s="144" t="str">
        <f>'Checklist Impacto Operações TI'!A27</f>
        <v>05 - Gestão Ambiente DW</v>
      </c>
      <c r="C31" s="145"/>
      <c r="D31" s="24" t="str">
        <f>'Checklist Impacto Operações TI'!C27</f>
        <v>A demanda requer criação de novos usuários/grupos no Unix/Linux/etc do ambiente DW?</v>
      </c>
      <c r="E31" s="24" t="str">
        <f>'Checklist Impacto Operações TI'!D27</f>
        <v>Informar o módulo/assunto de DW mais impactada pelo projeto (Cadastro, Tráfego, Financeiro) para criação de profile do usuário.</v>
      </c>
      <c r="F31" s="24" t="str">
        <f>'Checklist Impacto Operações TI'!E27</f>
        <v>Informada as frentes mais impactadas pelo projeto.</v>
      </c>
      <c r="G31" s="24" t="str">
        <f>IF(G$2="","",IF(COUNTIFS('Mapa Impacto'!$D$7:$D$100,'Resumo Atividades x Sistema'!$D31,'Mapa Impacto'!F$7:F$100,"Sim")&gt;0,"Sim","Não"))</f>
        <v>Não</v>
      </c>
      <c r="H31" s="24" t="str">
        <f>IF(H$2="","",IF(COUNTIFS('Mapa Impacto'!$D$7:$D$100,'Resumo Atividades x Sistema'!$D31,'Mapa Impacto'!G$7:G$100,"Sim")&gt;0,"Sim","Não"))</f>
        <v>Não</v>
      </c>
      <c r="I31" s="24" t="str">
        <f>IF(I$2="","",IF(COUNTIFS('Mapa Impacto'!$D$7:$D$100,'Resumo Atividades x Sistema'!$D31,'Mapa Impacto'!H$7:H$100,"Sim")&gt;0,"Sim","Não"))</f>
        <v>Não</v>
      </c>
      <c r="J31" s="24" t="str">
        <f>IF(J$2="","",IF(COUNTIFS('Mapa Impacto'!$D$7:$D$100,'Resumo Atividades x Sistema'!$D31,'Mapa Impacto'!I$7:I$100,"Sim")&gt;0,"Sim","Não"))</f>
        <v>Não</v>
      </c>
      <c r="K31" s="24" t="str">
        <f>IF(K$2="","",IF(COUNTIFS('Mapa Impacto'!$D$7:$D$100,'Resumo Atividades x Sistema'!$D31,'Mapa Impacto'!J$7:J$100,"Sim")&gt;0,"Sim","Não"))</f>
        <v>Não</v>
      </c>
      <c r="L31" s="24" t="str">
        <f>IF(L$2="","",IF(COUNTIFS('Mapa Impacto'!$D$7:$D$100,'Resumo Atividades x Sistema'!$D31,'Mapa Impacto'!K$7:K$100,"Sim")&gt;0,"Sim","Não"))</f>
        <v>Não</v>
      </c>
      <c r="M31" s="24" t="str">
        <f>IF(M$2="","",IF(COUNTIFS('Mapa Impacto'!$D$7:$D$100,'Resumo Atividades x Sistema'!$D31,'Mapa Impacto'!L$7:L$100,"Sim")&gt;0,"Sim","Não"))</f>
        <v>Não</v>
      </c>
      <c r="N31" s="24" t="str">
        <f>IF(N$2="","",IF(COUNTIFS('Mapa Impacto'!$D$7:$D$100,'Resumo Atividades x Sistema'!$D31,'Mapa Impacto'!M$7:M$100,"Sim")&gt;0,"Sim","Não"))</f>
        <v>Não</v>
      </c>
      <c r="O31" s="24" t="str">
        <f>IF(O$2="","",IF(COUNTIFS('Mapa Impacto'!$D$7:$D$100,'Resumo Atividades x Sistema'!$D31,'Mapa Impacto'!N$7:N$100,"Sim")&gt;0,"Sim","Não"))</f>
        <v>Não</v>
      </c>
      <c r="P31" s="24" t="str">
        <f>IF(P$2="","",IF(COUNTIFS('Mapa Impacto'!$D$7:$D$100,'Resumo Atividades x Sistema'!$D31,'Mapa Impacto'!O$7:O$100,"Sim")&gt;0,"Sim","Não"))</f>
        <v>Não</v>
      </c>
      <c r="Q31" s="24" t="str">
        <f>IF(Q$2="","",IF(COUNTIFS('Mapa Impacto'!$D$7:$D$100,'Resumo Atividades x Sistema'!$D31,'Mapa Impacto'!P$7:P$100,"Sim")&gt;0,"Sim","Não"))</f>
        <v>Não</v>
      </c>
      <c r="R31" s="24" t="str">
        <f>IF(R$2="","",IF(COUNTIFS('Mapa Impacto'!$D$7:$D$100,'Resumo Atividades x Sistema'!$D31,'Mapa Impacto'!Q$7:Q$100,"Sim")&gt;0,"Sim","Não"))</f>
        <v>Não</v>
      </c>
      <c r="S31" s="24" t="str">
        <f>IF(S$2="","",IF(COUNTIFS('Mapa Impacto'!$D$7:$D$100,'Resumo Atividades x Sistema'!$D31,'Mapa Impacto'!R$7:R$100,"Sim")&gt;0,"Sim","Não"))</f>
        <v>Não</v>
      </c>
      <c r="T31" s="24" t="str">
        <f>IF(T$2="","",IF(COUNTIFS('Mapa Impacto'!$D$7:$D$100,'Resumo Atividades x Sistema'!$D31,'Mapa Impacto'!S$7:S$100,"Sim")&gt;0,"Sim","Não"))</f>
        <v>Não</v>
      </c>
      <c r="U31" s="24" t="str">
        <f>IF(U$2="","",IF(COUNTIFS('Mapa Impacto'!$D$7:$D$100,'Resumo Atividades x Sistema'!$D31,'Mapa Impacto'!T$7:T$100,"Sim")&gt;0,"Sim","Não"))</f>
        <v>Não</v>
      </c>
      <c r="V31" s="24" t="str">
        <f>IF(V$2="","",IF(COUNTIFS('Mapa Impacto'!$D$7:$D$100,'Resumo Atividades x Sistema'!$D31,'Mapa Impacto'!U$7:U$100,"Sim")&gt;0,"Sim","Não"))</f>
        <v>Não</v>
      </c>
      <c r="W31" s="24" t="str">
        <f>IF(W$2="","",IF(COUNTIFS('Mapa Impacto'!$D$7:$D$100,'Resumo Atividades x Sistema'!$D31,'Mapa Impacto'!V$7:V$100,"Sim")&gt;0,"Sim","Não"))</f>
        <v>Não</v>
      </c>
      <c r="X31" s="24" t="str">
        <f>IF(X$2="","",IF(COUNTIFS('Mapa Impacto'!$D$7:$D$100,'Resumo Atividades x Sistema'!$D31,'Mapa Impacto'!W$7:W$100,"Sim")&gt;0,"Sim","Não"))</f>
        <v>Não</v>
      </c>
      <c r="Y31" s="24" t="str">
        <f>IF(Y$2="","",IF(COUNTIFS('Mapa Impacto'!$D$7:$D$100,'Resumo Atividades x Sistema'!$D31,'Mapa Impacto'!X$7:X$100,"Sim")&gt;0,"Sim","Não"))</f>
        <v>Não</v>
      </c>
      <c r="Z31" s="24" t="str">
        <f>IF(Z$2="","",IF(COUNTIFS('Mapa Impacto'!$D$7:$D$100,'Resumo Atividades x Sistema'!$D31,'Mapa Impacto'!Y$7:Y$100,"Sim")&gt;0,"Sim","Não"))</f>
        <v>Não</v>
      </c>
      <c r="AA31" s="24" t="str">
        <f>IF(AA$2="","",IF(COUNTIFS('Mapa Impacto'!$D$7:$D$100,'Resumo Atividades x Sistema'!$D31,'Mapa Impacto'!Z$7:Z$100,"Sim")&gt;0,"Sim","Não"))</f>
        <v>Não</v>
      </c>
      <c r="AB31" s="24" t="str">
        <f>IF(AB$2="","",IF(COUNTIFS('Mapa Impacto'!$D$7:$D$100,'Resumo Atividades x Sistema'!$D31,'Mapa Impacto'!AA$7:AA$100,"Sim")&gt;0,"Sim","Não"))</f>
        <v>Não</v>
      </c>
      <c r="AC31" s="24" t="str">
        <f>IF(AC$2="","",IF(COUNTIFS('Mapa Impacto'!$D$7:$D$100,'Resumo Atividades x Sistema'!$D31,'Mapa Impacto'!AB$7:AB$100,"Sim")&gt;0,"Sim","Não"))</f>
        <v>Não</v>
      </c>
      <c r="AD31" s="24" t="str">
        <f>IF(AD$2="","",IF(COUNTIFS('Mapa Impacto'!$D$7:$D$100,'Resumo Atividades x Sistema'!$D31,'Mapa Impacto'!AC$7:AC$100,"Sim")&gt;0,"Sim","Não"))</f>
        <v>Não</v>
      </c>
      <c r="AE31" s="24" t="str">
        <f>IF(AE$2="","",IF(COUNTIFS('Mapa Impacto'!$D$7:$D$100,'Resumo Atividades x Sistema'!$D31,'Mapa Impacto'!AD$7:AD$100,"Sim")&gt;0,"Sim","Não"))</f>
        <v>Não</v>
      </c>
      <c r="AF31" s="24" t="str">
        <f>IF(AF$2="","",IF(COUNTIFS('Mapa Impacto'!$D$7:$D$100,'Resumo Atividades x Sistema'!$D31,'Mapa Impacto'!AE$7:AE$100,"Sim")&gt;0,"Sim","Não"))</f>
        <v>Não</v>
      </c>
      <c r="AG31" s="24" t="str">
        <f>IF(AG$2="","",IF(COUNTIFS('Mapa Impacto'!$D$7:$D$100,'Resumo Atividades x Sistema'!$D31,'Mapa Impacto'!AF$7:AF$100,"Sim")&gt;0,"Sim","Não"))</f>
        <v>Não</v>
      </c>
      <c r="AH31" s="24" t="str">
        <f>IF(AH$2="","",IF(COUNTIFS('Mapa Impacto'!$D$7:$D$100,'Resumo Atividades x Sistema'!$D31,'Mapa Impacto'!AG$7:AG$100,"Sim")&gt;0,"Sim","Não"))</f>
        <v>Não</v>
      </c>
      <c r="AI31" s="24" t="str">
        <f>IF(AI$2="","",IF(COUNTIFS('Mapa Impacto'!$D$7:$D$100,'Resumo Atividades x Sistema'!$D31,'Mapa Impacto'!AH$7:AH$100,"Sim")&gt;0,"Sim","Não"))</f>
        <v>Não</v>
      </c>
      <c r="AJ31" s="24" t="str">
        <f>IF(AJ$2="","",IF(COUNTIFS('Mapa Impacto'!$D$7:$D$100,'Resumo Atividades x Sistema'!$D31,'Mapa Impacto'!AI$7:AI$100,"Sim")&gt;0,"Sim","Não"))</f>
        <v>Não</v>
      </c>
      <c r="AK31" s="24" t="str">
        <f>IF(AK$2="","",IF(COUNTIFS('Mapa Impacto'!$D$7:$D$100,'Resumo Atividades x Sistema'!$D31,'Mapa Impacto'!AJ$7:AJ$100,"Sim")&gt;0,"Sim","Não"))</f>
        <v>Não</v>
      </c>
    </row>
    <row r="32" spans="2:37" s="50" customFormat="1" ht="30" outlineLevel="1" x14ac:dyDescent="0.25">
      <c r="B32" s="144" t="str">
        <f>'Checklist Impacto Operações TI'!A28</f>
        <v>05 - Gestão Ambiente DW</v>
      </c>
      <c r="C32" s="145"/>
      <c r="D32" s="24" t="str">
        <f>'Checklist Impacto Operações TI'!C28</f>
        <v>A demanda requer criação/alteração de objetos de banco de dados do DW?</v>
      </c>
      <c r="E32" s="24" t="str">
        <f>'Checklist Impacto Operações TI'!D28</f>
        <v>Bloco - Criar-Alterar objetos de Banco de Dados de DW</v>
      </c>
      <c r="F32" s="24" t="str">
        <f>'Checklist Impacto Operações TI'!E28</f>
        <v>Objetos de banco criados e adquados a gestão.</v>
      </c>
      <c r="G32" s="24" t="str">
        <f>IF(G$2="","",IF(COUNTIFS('Mapa Impacto'!$D$7:$D$100,'Resumo Atividades x Sistema'!$D32,'Mapa Impacto'!F$7:F$100,"Sim")&gt;0,"Sim","Não"))</f>
        <v>Não</v>
      </c>
      <c r="H32" s="24" t="str">
        <f>IF(H$2="","",IF(COUNTIFS('Mapa Impacto'!$D$7:$D$100,'Resumo Atividades x Sistema'!$D32,'Mapa Impacto'!G$7:G$100,"Sim")&gt;0,"Sim","Não"))</f>
        <v>Não</v>
      </c>
      <c r="I32" s="24" t="str">
        <f>IF(I$2="","",IF(COUNTIFS('Mapa Impacto'!$D$7:$D$100,'Resumo Atividades x Sistema'!$D32,'Mapa Impacto'!H$7:H$100,"Sim")&gt;0,"Sim","Não"))</f>
        <v>Não</v>
      </c>
      <c r="J32" s="24" t="str">
        <f>IF(J$2="","",IF(COUNTIFS('Mapa Impacto'!$D$7:$D$100,'Resumo Atividades x Sistema'!$D32,'Mapa Impacto'!I$7:I$100,"Sim")&gt;0,"Sim","Não"))</f>
        <v>Não</v>
      </c>
      <c r="K32" s="24" t="str">
        <f>IF(K$2="","",IF(COUNTIFS('Mapa Impacto'!$D$7:$D$100,'Resumo Atividades x Sistema'!$D32,'Mapa Impacto'!J$7:J$100,"Sim")&gt;0,"Sim","Não"))</f>
        <v>Não</v>
      </c>
      <c r="L32" s="24" t="str">
        <f>IF(L$2="","",IF(COUNTIFS('Mapa Impacto'!$D$7:$D$100,'Resumo Atividades x Sistema'!$D32,'Mapa Impacto'!K$7:K$100,"Sim")&gt;0,"Sim","Não"))</f>
        <v>Não</v>
      </c>
      <c r="M32" s="24" t="str">
        <f>IF(M$2="","",IF(COUNTIFS('Mapa Impacto'!$D$7:$D$100,'Resumo Atividades x Sistema'!$D32,'Mapa Impacto'!L$7:L$100,"Sim")&gt;0,"Sim","Não"))</f>
        <v>Não</v>
      </c>
      <c r="N32" s="24" t="str">
        <f>IF(N$2="","",IF(COUNTIFS('Mapa Impacto'!$D$7:$D$100,'Resumo Atividades x Sistema'!$D32,'Mapa Impacto'!M$7:M$100,"Sim")&gt;0,"Sim","Não"))</f>
        <v>Não</v>
      </c>
      <c r="O32" s="24" t="str">
        <f>IF(O$2="","",IF(COUNTIFS('Mapa Impacto'!$D$7:$D$100,'Resumo Atividades x Sistema'!$D32,'Mapa Impacto'!N$7:N$100,"Sim")&gt;0,"Sim","Não"))</f>
        <v>Não</v>
      </c>
      <c r="P32" s="24" t="str">
        <f>IF(P$2="","",IF(COUNTIFS('Mapa Impacto'!$D$7:$D$100,'Resumo Atividades x Sistema'!$D32,'Mapa Impacto'!O$7:O$100,"Sim")&gt;0,"Sim","Não"))</f>
        <v>Não</v>
      </c>
      <c r="Q32" s="24" t="str">
        <f>IF(Q$2="","",IF(COUNTIFS('Mapa Impacto'!$D$7:$D$100,'Resumo Atividades x Sistema'!$D32,'Mapa Impacto'!P$7:P$100,"Sim")&gt;0,"Sim","Não"))</f>
        <v>Não</v>
      </c>
      <c r="R32" s="24" t="str">
        <f>IF(R$2="","",IF(COUNTIFS('Mapa Impacto'!$D$7:$D$100,'Resumo Atividades x Sistema'!$D32,'Mapa Impacto'!Q$7:Q$100,"Sim")&gt;0,"Sim","Não"))</f>
        <v>Não</v>
      </c>
      <c r="S32" s="24" t="str">
        <f>IF(S$2="","",IF(COUNTIFS('Mapa Impacto'!$D$7:$D$100,'Resumo Atividades x Sistema'!$D32,'Mapa Impacto'!R$7:R$100,"Sim")&gt;0,"Sim","Não"))</f>
        <v>Não</v>
      </c>
      <c r="T32" s="24" t="str">
        <f>IF(T$2="","",IF(COUNTIFS('Mapa Impacto'!$D$7:$D$100,'Resumo Atividades x Sistema'!$D32,'Mapa Impacto'!S$7:S$100,"Sim")&gt;0,"Sim","Não"))</f>
        <v>Não</v>
      </c>
      <c r="U32" s="24" t="str">
        <f>IF(U$2="","",IF(COUNTIFS('Mapa Impacto'!$D$7:$D$100,'Resumo Atividades x Sistema'!$D32,'Mapa Impacto'!T$7:T$100,"Sim")&gt;0,"Sim","Não"))</f>
        <v>Não</v>
      </c>
      <c r="V32" s="24" t="str">
        <f>IF(V$2="","",IF(COUNTIFS('Mapa Impacto'!$D$7:$D$100,'Resumo Atividades x Sistema'!$D32,'Mapa Impacto'!U$7:U$100,"Sim")&gt;0,"Sim","Não"))</f>
        <v>Não</v>
      </c>
      <c r="W32" s="24" t="str">
        <f>IF(W$2="","",IF(COUNTIFS('Mapa Impacto'!$D$7:$D$100,'Resumo Atividades x Sistema'!$D32,'Mapa Impacto'!V$7:V$100,"Sim")&gt;0,"Sim","Não"))</f>
        <v>Não</v>
      </c>
      <c r="X32" s="24" t="str">
        <f>IF(X$2="","",IF(COUNTIFS('Mapa Impacto'!$D$7:$D$100,'Resumo Atividades x Sistema'!$D32,'Mapa Impacto'!W$7:W$100,"Sim")&gt;0,"Sim","Não"))</f>
        <v>Não</v>
      </c>
      <c r="Y32" s="24" t="str">
        <f>IF(Y$2="","",IF(COUNTIFS('Mapa Impacto'!$D$7:$D$100,'Resumo Atividades x Sistema'!$D32,'Mapa Impacto'!X$7:X$100,"Sim")&gt;0,"Sim","Não"))</f>
        <v>Não</v>
      </c>
      <c r="Z32" s="24" t="str">
        <f>IF(Z$2="","",IF(COUNTIFS('Mapa Impacto'!$D$7:$D$100,'Resumo Atividades x Sistema'!$D32,'Mapa Impacto'!Y$7:Y$100,"Sim")&gt;0,"Sim","Não"))</f>
        <v>Não</v>
      </c>
      <c r="AA32" s="24" t="str">
        <f>IF(AA$2="","",IF(COUNTIFS('Mapa Impacto'!$D$7:$D$100,'Resumo Atividades x Sistema'!$D32,'Mapa Impacto'!Z$7:Z$100,"Sim")&gt;0,"Sim","Não"))</f>
        <v>Não</v>
      </c>
      <c r="AB32" s="24" t="str">
        <f>IF(AB$2="","",IF(COUNTIFS('Mapa Impacto'!$D$7:$D$100,'Resumo Atividades x Sistema'!$D32,'Mapa Impacto'!AA$7:AA$100,"Sim")&gt;0,"Sim","Não"))</f>
        <v>Não</v>
      </c>
      <c r="AC32" s="24" t="str">
        <f>IF(AC$2="","",IF(COUNTIFS('Mapa Impacto'!$D$7:$D$100,'Resumo Atividades x Sistema'!$D32,'Mapa Impacto'!AB$7:AB$100,"Sim")&gt;0,"Sim","Não"))</f>
        <v>Não</v>
      </c>
      <c r="AD32" s="24" t="str">
        <f>IF(AD$2="","",IF(COUNTIFS('Mapa Impacto'!$D$7:$D$100,'Resumo Atividades x Sistema'!$D32,'Mapa Impacto'!AC$7:AC$100,"Sim")&gt;0,"Sim","Não"))</f>
        <v>Não</v>
      </c>
      <c r="AE32" s="24" t="str">
        <f>IF(AE$2="","",IF(COUNTIFS('Mapa Impacto'!$D$7:$D$100,'Resumo Atividades x Sistema'!$D32,'Mapa Impacto'!AD$7:AD$100,"Sim")&gt;0,"Sim","Não"))</f>
        <v>Não</v>
      </c>
      <c r="AF32" s="24" t="str">
        <f>IF(AF$2="","",IF(COUNTIFS('Mapa Impacto'!$D$7:$D$100,'Resumo Atividades x Sistema'!$D32,'Mapa Impacto'!AE$7:AE$100,"Sim")&gt;0,"Sim","Não"))</f>
        <v>Não</v>
      </c>
      <c r="AG32" s="24" t="str">
        <f>IF(AG$2="","",IF(COUNTIFS('Mapa Impacto'!$D$7:$D$100,'Resumo Atividades x Sistema'!$D32,'Mapa Impacto'!AF$7:AF$100,"Sim")&gt;0,"Sim","Não"))</f>
        <v>Não</v>
      </c>
      <c r="AH32" s="24" t="str">
        <f>IF(AH$2="","",IF(COUNTIFS('Mapa Impacto'!$D$7:$D$100,'Resumo Atividades x Sistema'!$D32,'Mapa Impacto'!AG$7:AG$100,"Sim")&gt;0,"Sim","Não"))</f>
        <v>Não</v>
      </c>
      <c r="AI32" s="24" t="str">
        <f>IF(AI$2="","",IF(COUNTIFS('Mapa Impacto'!$D$7:$D$100,'Resumo Atividades x Sistema'!$D32,'Mapa Impacto'!AH$7:AH$100,"Sim")&gt;0,"Sim","Não"))</f>
        <v>Não</v>
      </c>
      <c r="AJ32" s="24" t="str">
        <f>IF(AJ$2="","",IF(COUNTIFS('Mapa Impacto'!$D$7:$D$100,'Resumo Atividades x Sistema'!$D32,'Mapa Impacto'!AI$7:AI$100,"Sim")&gt;0,"Sim","Não"))</f>
        <v>Não</v>
      </c>
      <c r="AK32" s="24" t="str">
        <f>IF(AK$2="","",IF(COUNTIFS('Mapa Impacto'!$D$7:$D$100,'Resumo Atividades x Sistema'!$D32,'Mapa Impacto'!AJ$7:AJ$100,"Sim")&gt;0,"Sim","Não"))</f>
        <v>Não</v>
      </c>
    </row>
    <row r="33" spans="2:37" s="50" customFormat="1" ht="30" x14ac:dyDescent="0.25">
      <c r="B33" s="144" t="str">
        <f>'Checklist Impacto Operações TI'!A29</f>
        <v>06 - Rotinas Batch</v>
      </c>
      <c r="C33" s="145"/>
      <c r="D33" s="24" t="str">
        <f>'Checklist Impacto Operações TI'!C29</f>
        <v>A demanda requer criação, alteração ou exclusão de jobs no Control-M?</v>
      </c>
      <c r="E33" s="24" t="str">
        <f>'Checklist Impacto Operações TI'!D29</f>
        <v>Bloco - Criar-Alterar-Excluir Jobs do Control-M</v>
      </c>
      <c r="F33" s="24" t="str">
        <f>'Checklist Impacto Operações TI'!E29</f>
        <v>Jobs do Control-M adequados à necessidado projeto.</v>
      </c>
      <c r="G33" s="24" t="str">
        <f>IF(G$2="","",IF(COUNTIFS('Mapa Impacto'!$D$7:$D$100,'Resumo Atividades x Sistema'!$D33,'Mapa Impacto'!F$7:F$100,"Sim")&gt;0,"Sim","Não"))</f>
        <v>Não</v>
      </c>
      <c r="H33" s="24" t="str">
        <f>IF(H$2="","",IF(COUNTIFS('Mapa Impacto'!$D$7:$D$100,'Resumo Atividades x Sistema'!$D33,'Mapa Impacto'!G$7:G$100,"Sim")&gt;0,"Sim","Não"))</f>
        <v>Não</v>
      </c>
      <c r="I33" s="24" t="str">
        <f>IF(I$2="","",IF(COUNTIFS('Mapa Impacto'!$D$7:$D$100,'Resumo Atividades x Sistema'!$D33,'Mapa Impacto'!H$7:H$100,"Sim")&gt;0,"Sim","Não"))</f>
        <v>Não</v>
      </c>
      <c r="J33" s="24" t="str">
        <f>IF(J$2="","",IF(COUNTIFS('Mapa Impacto'!$D$7:$D$100,'Resumo Atividades x Sistema'!$D33,'Mapa Impacto'!I$7:I$100,"Sim")&gt;0,"Sim","Não"))</f>
        <v>Não</v>
      </c>
      <c r="K33" s="24" t="str">
        <f>IF(K$2="","",IF(COUNTIFS('Mapa Impacto'!$D$7:$D$100,'Resumo Atividades x Sistema'!$D33,'Mapa Impacto'!J$7:J$100,"Sim")&gt;0,"Sim","Não"))</f>
        <v>Não</v>
      </c>
      <c r="L33" s="24" t="str">
        <f>IF(L$2="","",IF(COUNTIFS('Mapa Impacto'!$D$7:$D$100,'Resumo Atividades x Sistema'!$D33,'Mapa Impacto'!K$7:K$100,"Sim")&gt;0,"Sim","Não"))</f>
        <v>Não</v>
      </c>
      <c r="M33" s="24" t="str">
        <f>IF(M$2="","",IF(COUNTIFS('Mapa Impacto'!$D$7:$D$100,'Resumo Atividades x Sistema'!$D33,'Mapa Impacto'!L$7:L$100,"Sim")&gt;0,"Sim","Não"))</f>
        <v>Não</v>
      </c>
      <c r="N33" s="24" t="str">
        <f>IF(N$2="","",IF(COUNTIFS('Mapa Impacto'!$D$7:$D$100,'Resumo Atividades x Sistema'!$D33,'Mapa Impacto'!M$7:M$100,"Sim")&gt;0,"Sim","Não"))</f>
        <v>Não</v>
      </c>
      <c r="O33" s="24" t="str">
        <f>IF(O$2="","",IF(COUNTIFS('Mapa Impacto'!$D$7:$D$100,'Resumo Atividades x Sistema'!$D33,'Mapa Impacto'!N$7:N$100,"Sim")&gt;0,"Sim","Não"))</f>
        <v>Não</v>
      </c>
      <c r="P33" s="24" t="str">
        <f>IF(P$2="","",IF(COUNTIFS('Mapa Impacto'!$D$7:$D$100,'Resumo Atividades x Sistema'!$D33,'Mapa Impacto'!O$7:O$100,"Sim")&gt;0,"Sim","Não"))</f>
        <v>Não</v>
      </c>
      <c r="Q33" s="24" t="str">
        <f>IF(Q$2="","",IF(COUNTIFS('Mapa Impacto'!$D$7:$D$100,'Resumo Atividades x Sistema'!$D33,'Mapa Impacto'!P$7:P$100,"Sim")&gt;0,"Sim","Não"))</f>
        <v>Não</v>
      </c>
      <c r="R33" s="24" t="str">
        <f>IF(R$2="","",IF(COUNTIFS('Mapa Impacto'!$D$7:$D$100,'Resumo Atividades x Sistema'!$D33,'Mapa Impacto'!Q$7:Q$100,"Sim")&gt;0,"Sim","Não"))</f>
        <v>Não</v>
      </c>
      <c r="S33" s="24" t="str">
        <f>IF(S$2="","",IF(COUNTIFS('Mapa Impacto'!$D$7:$D$100,'Resumo Atividades x Sistema'!$D33,'Mapa Impacto'!R$7:R$100,"Sim")&gt;0,"Sim","Não"))</f>
        <v>Não</v>
      </c>
      <c r="T33" s="24" t="str">
        <f>IF(T$2="","",IF(COUNTIFS('Mapa Impacto'!$D$7:$D$100,'Resumo Atividades x Sistema'!$D33,'Mapa Impacto'!S$7:S$100,"Sim")&gt;0,"Sim","Não"))</f>
        <v>Não</v>
      </c>
      <c r="U33" s="24" t="str">
        <f>IF(U$2="","",IF(COUNTIFS('Mapa Impacto'!$D$7:$D$100,'Resumo Atividades x Sistema'!$D33,'Mapa Impacto'!T$7:T$100,"Sim")&gt;0,"Sim","Não"))</f>
        <v>Não</v>
      </c>
      <c r="V33" s="24" t="str">
        <f>IF(V$2="","",IF(COUNTIFS('Mapa Impacto'!$D$7:$D$100,'Resumo Atividades x Sistema'!$D33,'Mapa Impacto'!U$7:U$100,"Sim")&gt;0,"Sim","Não"))</f>
        <v>Não</v>
      </c>
      <c r="W33" s="24" t="str">
        <f>IF(W$2="","",IF(COUNTIFS('Mapa Impacto'!$D$7:$D$100,'Resumo Atividades x Sistema'!$D33,'Mapa Impacto'!V$7:V$100,"Sim")&gt;0,"Sim","Não"))</f>
        <v>Não</v>
      </c>
      <c r="X33" s="24" t="str">
        <f>IF(X$2="","",IF(COUNTIFS('Mapa Impacto'!$D$7:$D$100,'Resumo Atividades x Sistema'!$D33,'Mapa Impacto'!W$7:W$100,"Sim")&gt;0,"Sim","Não"))</f>
        <v>Não</v>
      </c>
      <c r="Y33" s="24" t="str">
        <f>IF(Y$2="","",IF(COUNTIFS('Mapa Impacto'!$D$7:$D$100,'Resumo Atividades x Sistema'!$D33,'Mapa Impacto'!X$7:X$100,"Sim")&gt;0,"Sim","Não"))</f>
        <v>Não</v>
      </c>
      <c r="Z33" s="24" t="str">
        <f>IF(Z$2="","",IF(COUNTIFS('Mapa Impacto'!$D$7:$D$100,'Resumo Atividades x Sistema'!$D33,'Mapa Impacto'!Y$7:Y$100,"Sim")&gt;0,"Sim","Não"))</f>
        <v>Não</v>
      </c>
      <c r="AA33" s="24" t="str">
        <f>IF(AA$2="","",IF(COUNTIFS('Mapa Impacto'!$D$7:$D$100,'Resumo Atividades x Sistema'!$D33,'Mapa Impacto'!Z$7:Z$100,"Sim")&gt;0,"Sim","Não"))</f>
        <v>Não</v>
      </c>
      <c r="AB33" s="24" t="str">
        <f>IF(AB$2="","",IF(COUNTIFS('Mapa Impacto'!$D$7:$D$100,'Resumo Atividades x Sistema'!$D33,'Mapa Impacto'!AA$7:AA$100,"Sim")&gt;0,"Sim","Não"))</f>
        <v>Não</v>
      </c>
      <c r="AC33" s="24" t="str">
        <f>IF(AC$2="","",IF(COUNTIFS('Mapa Impacto'!$D$7:$D$100,'Resumo Atividades x Sistema'!$D33,'Mapa Impacto'!AB$7:AB$100,"Sim")&gt;0,"Sim","Não"))</f>
        <v>Não</v>
      </c>
      <c r="AD33" s="24" t="str">
        <f>IF(AD$2="","",IF(COUNTIFS('Mapa Impacto'!$D$7:$D$100,'Resumo Atividades x Sistema'!$D33,'Mapa Impacto'!AC$7:AC$100,"Sim")&gt;0,"Sim","Não"))</f>
        <v>Não</v>
      </c>
      <c r="AE33" s="24" t="str">
        <f>IF(AE$2="","",IF(COUNTIFS('Mapa Impacto'!$D$7:$D$100,'Resumo Atividades x Sistema'!$D33,'Mapa Impacto'!AD$7:AD$100,"Sim")&gt;0,"Sim","Não"))</f>
        <v>Não</v>
      </c>
      <c r="AF33" s="24" t="str">
        <f>IF(AF$2="","",IF(COUNTIFS('Mapa Impacto'!$D$7:$D$100,'Resumo Atividades x Sistema'!$D33,'Mapa Impacto'!AE$7:AE$100,"Sim")&gt;0,"Sim","Não"))</f>
        <v>Não</v>
      </c>
      <c r="AG33" s="24" t="str">
        <f>IF(AG$2="","",IF(COUNTIFS('Mapa Impacto'!$D$7:$D$100,'Resumo Atividades x Sistema'!$D33,'Mapa Impacto'!AF$7:AF$100,"Sim")&gt;0,"Sim","Não"))</f>
        <v>Não</v>
      </c>
      <c r="AH33" s="24" t="str">
        <f>IF(AH$2="","",IF(COUNTIFS('Mapa Impacto'!$D$7:$D$100,'Resumo Atividades x Sistema'!$D33,'Mapa Impacto'!AG$7:AG$100,"Sim")&gt;0,"Sim","Não"))</f>
        <v>Não</v>
      </c>
      <c r="AI33" s="24" t="str">
        <f>IF(AI$2="","",IF(COUNTIFS('Mapa Impacto'!$D$7:$D$100,'Resumo Atividades x Sistema'!$D33,'Mapa Impacto'!AH$7:AH$100,"Sim")&gt;0,"Sim","Não"))</f>
        <v>Não</v>
      </c>
      <c r="AJ33" s="24" t="str">
        <f>IF(AJ$2="","",IF(COUNTIFS('Mapa Impacto'!$D$7:$D$100,'Resumo Atividades x Sistema'!$D33,'Mapa Impacto'!AI$7:AI$100,"Sim")&gt;0,"Sim","Não"))</f>
        <v>Não</v>
      </c>
      <c r="AK33" s="24" t="str">
        <f>IF(AK$2="","",IF(COUNTIFS('Mapa Impacto'!$D$7:$D$100,'Resumo Atividades x Sistema'!$D33,'Mapa Impacto'!AJ$7:AJ$100,"Sim")&gt;0,"Sim","Não"))</f>
        <v>Não</v>
      </c>
    </row>
    <row r="34" spans="2:37" ht="30" outlineLevel="1" x14ac:dyDescent="0.25">
      <c r="B34" s="144" t="str">
        <f>'Checklist Impacto Operações TI'!A30</f>
        <v>06 - Rotinas Batch</v>
      </c>
      <c r="C34" s="145"/>
      <c r="D34" s="24" t="str">
        <f>'Checklist Impacto Operações TI'!C30</f>
        <v>A demanda requer uso de software de transferência de dados entre servidores?</v>
      </c>
      <c r="E34" s="24" t="str">
        <f>'Checklist Impacto Operações TI'!D30</f>
        <v>Bloco - Configurar Transmissão de Arquivos</v>
      </c>
      <c r="F34" s="24" t="str">
        <f>'Checklist Impacto Operações TI'!E30</f>
        <v>Documento de Solicitação de Transmissão de arquivos</v>
      </c>
      <c r="G34" s="24" t="str">
        <f>IF(G$2="","",IF(COUNTIFS('Mapa Impacto'!$D$7:$D$100,'Resumo Atividades x Sistema'!$D34,'Mapa Impacto'!F$7:F$100,"Sim")&gt;0,"Sim","Não"))</f>
        <v>Não</v>
      </c>
      <c r="H34" s="24" t="str">
        <f>IF(H$2="","",IF(COUNTIFS('Mapa Impacto'!$D$7:$D$100,'Resumo Atividades x Sistema'!$D34,'Mapa Impacto'!G$7:G$100,"Sim")&gt;0,"Sim","Não"))</f>
        <v>Não</v>
      </c>
      <c r="I34" s="24" t="str">
        <f>IF(I$2="","",IF(COUNTIFS('Mapa Impacto'!$D$7:$D$100,'Resumo Atividades x Sistema'!$D34,'Mapa Impacto'!H$7:H$100,"Sim")&gt;0,"Sim","Não"))</f>
        <v>Não</v>
      </c>
      <c r="J34" s="24" t="str">
        <f>IF(J$2="","",IF(COUNTIFS('Mapa Impacto'!$D$7:$D$100,'Resumo Atividades x Sistema'!$D34,'Mapa Impacto'!I$7:I$100,"Sim")&gt;0,"Sim","Não"))</f>
        <v>Não</v>
      </c>
      <c r="K34" s="24" t="str">
        <f>IF(K$2="","",IF(COUNTIFS('Mapa Impacto'!$D$7:$D$100,'Resumo Atividades x Sistema'!$D34,'Mapa Impacto'!J$7:J$100,"Sim")&gt;0,"Sim","Não"))</f>
        <v>Não</v>
      </c>
      <c r="L34" s="24" t="str">
        <f>IF(L$2="","",IF(COUNTIFS('Mapa Impacto'!$D$7:$D$100,'Resumo Atividades x Sistema'!$D34,'Mapa Impacto'!K$7:K$100,"Sim")&gt;0,"Sim","Não"))</f>
        <v>Não</v>
      </c>
      <c r="M34" s="24" t="str">
        <f>IF(M$2="","",IF(COUNTIFS('Mapa Impacto'!$D$7:$D$100,'Resumo Atividades x Sistema'!$D34,'Mapa Impacto'!L$7:L$100,"Sim")&gt;0,"Sim","Não"))</f>
        <v>Não</v>
      </c>
      <c r="N34" s="24" t="str">
        <f>IF(N$2="","",IF(COUNTIFS('Mapa Impacto'!$D$7:$D$100,'Resumo Atividades x Sistema'!$D34,'Mapa Impacto'!M$7:M$100,"Sim")&gt;0,"Sim","Não"))</f>
        <v>Não</v>
      </c>
      <c r="O34" s="24" t="str">
        <f>IF(O$2="","",IF(COUNTIFS('Mapa Impacto'!$D$7:$D$100,'Resumo Atividades x Sistema'!$D34,'Mapa Impacto'!N$7:N$100,"Sim")&gt;0,"Sim","Não"))</f>
        <v>Não</v>
      </c>
      <c r="P34" s="24" t="str">
        <f>IF(P$2="","",IF(COUNTIFS('Mapa Impacto'!$D$7:$D$100,'Resumo Atividades x Sistema'!$D34,'Mapa Impacto'!O$7:O$100,"Sim")&gt;0,"Sim","Não"))</f>
        <v>Não</v>
      </c>
      <c r="Q34" s="24" t="str">
        <f>IF(Q$2="","",IF(COUNTIFS('Mapa Impacto'!$D$7:$D$100,'Resumo Atividades x Sistema'!$D34,'Mapa Impacto'!P$7:P$100,"Sim")&gt;0,"Sim","Não"))</f>
        <v>Não</v>
      </c>
      <c r="R34" s="24" t="str">
        <f>IF(R$2="","",IF(COUNTIFS('Mapa Impacto'!$D$7:$D$100,'Resumo Atividades x Sistema'!$D34,'Mapa Impacto'!Q$7:Q$100,"Sim")&gt;0,"Sim","Não"))</f>
        <v>Não</v>
      </c>
      <c r="S34" s="24" t="str">
        <f>IF(S$2="","",IF(COUNTIFS('Mapa Impacto'!$D$7:$D$100,'Resumo Atividades x Sistema'!$D34,'Mapa Impacto'!R$7:R$100,"Sim")&gt;0,"Sim","Não"))</f>
        <v>Não</v>
      </c>
      <c r="T34" s="24" t="str">
        <f>IF(T$2="","",IF(COUNTIFS('Mapa Impacto'!$D$7:$D$100,'Resumo Atividades x Sistema'!$D34,'Mapa Impacto'!S$7:S$100,"Sim")&gt;0,"Sim","Não"))</f>
        <v>Não</v>
      </c>
      <c r="U34" s="24" t="str">
        <f>IF(U$2="","",IF(COUNTIFS('Mapa Impacto'!$D$7:$D$100,'Resumo Atividades x Sistema'!$D34,'Mapa Impacto'!T$7:T$100,"Sim")&gt;0,"Sim","Não"))</f>
        <v>Não</v>
      </c>
      <c r="V34" s="24" t="str">
        <f>IF(V$2="","",IF(COUNTIFS('Mapa Impacto'!$D$7:$D$100,'Resumo Atividades x Sistema'!$D34,'Mapa Impacto'!U$7:U$100,"Sim")&gt;0,"Sim","Não"))</f>
        <v>Não</v>
      </c>
      <c r="W34" s="24" t="str">
        <f>IF(W$2="","",IF(COUNTIFS('Mapa Impacto'!$D$7:$D$100,'Resumo Atividades x Sistema'!$D34,'Mapa Impacto'!V$7:V$100,"Sim")&gt;0,"Sim","Não"))</f>
        <v>Não</v>
      </c>
      <c r="X34" s="24" t="str">
        <f>IF(X$2="","",IF(COUNTIFS('Mapa Impacto'!$D$7:$D$100,'Resumo Atividades x Sistema'!$D34,'Mapa Impacto'!W$7:W$100,"Sim")&gt;0,"Sim","Não"))</f>
        <v>Não</v>
      </c>
      <c r="Y34" s="24" t="str">
        <f>IF(Y$2="","",IF(COUNTIFS('Mapa Impacto'!$D$7:$D$100,'Resumo Atividades x Sistema'!$D34,'Mapa Impacto'!X$7:X$100,"Sim")&gt;0,"Sim","Não"))</f>
        <v>Não</v>
      </c>
      <c r="Z34" s="24" t="str">
        <f>IF(Z$2="","",IF(COUNTIFS('Mapa Impacto'!$D$7:$D$100,'Resumo Atividades x Sistema'!$D34,'Mapa Impacto'!Y$7:Y$100,"Sim")&gt;0,"Sim","Não"))</f>
        <v>Não</v>
      </c>
      <c r="AA34" s="24" t="str">
        <f>IF(AA$2="","",IF(COUNTIFS('Mapa Impacto'!$D$7:$D$100,'Resumo Atividades x Sistema'!$D34,'Mapa Impacto'!Z$7:Z$100,"Sim")&gt;0,"Sim","Não"))</f>
        <v>Não</v>
      </c>
      <c r="AB34" s="24" t="str">
        <f>IF(AB$2="","",IF(COUNTIFS('Mapa Impacto'!$D$7:$D$100,'Resumo Atividades x Sistema'!$D34,'Mapa Impacto'!AA$7:AA$100,"Sim")&gt;0,"Sim","Não"))</f>
        <v>Não</v>
      </c>
      <c r="AC34" s="24" t="str">
        <f>IF(AC$2="","",IF(COUNTIFS('Mapa Impacto'!$D$7:$D$100,'Resumo Atividades x Sistema'!$D34,'Mapa Impacto'!AB$7:AB$100,"Sim")&gt;0,"Sim","Não"))</f>
        <v>Não</v>
      </c>
      <c r="AD34" s="24" t="str">
        <f>IF(AD$2="","",IF(COUNTIFS('Mapa Impacto'!$D$7:$D$100,'Resumo Atividades x Sistema'!$D34,'Mapa Impacto'!AC$7:AC$100,"Sim")&gt;0,"Sim","Não"))</f>
        <v>Não</v>
      </c>
      <c r="AE34" s="24" t="str">
        <f>IF(AE$2="","",IF(COUNTIFS('Mapa Impacto'!$D$7:$D$100,'Resumo Atividades x Sistema'!$D34,'Mapa Impacto'!AD$7:AD$100,"Sim")&gt;0,"Sim","Não"))</f>
        <v>Não</v>
      </c>
      <c r="AF34" s="24" t="str">
        <f>IF(AF$2="","",IF(COUNTIFS('Mapa Impacto'!$D$7:$D$100,'Resumo Atividades x Sistema'!$D34,'Mapa Impacto'!AE$7:AE$100,"Sim")&gt;0,"Sim","Não"))</f>
        <v>Não</v>
      </c>
      <c r="AG34" s="24" t="str">
        <f>IF(AG$2="","",IF(COUNTIFS('Mapa Impacto'!$D$7:$D$100,'Resumo Atividades x Sistema'!$D34,'Mapa Impacto'!AF$7:AF$100,"Sim")&gt;0,"Sim","Não"))</f>
        <v>Não</v>
      </c>
      <c r="AH34" s="24" t="str">
        <f>IF(AH$2="","",IF(COUNTIFS('Mapa Impacto'!$D$7:$D$100,'Resumo Atividades x Sistema'!$D34,'Mapa Impacto'!AG$7:AG$100,"Sim")&gt;0,"Sim","Não"))</f>
        <v>Não</v>
      </c>
      <c r="AI34" s="24" t="str">
        <f>IF(AI$2="","",IF(COUNTIFS('Mapa Impacto'!$D$7:$D$100,'Resumo Atividades x Sistema'!$D34,'Mapa Impacto'!AH$7:AH$100,"Sim")&gt;0,"Sim","Não"))</f>
        <v>Não</v>
      </c>
      <c r="AJ34" s="24" t="str">
        <f>IF(AJ$2="","",IF(COUNTIFS('Mapa Impacto'!$D$7:$D$100,'Resumo Atividades x Sistema'!$D34,'Mapa Impacto'!AI$7:AI$100,"Sim")&gt;0,"Sim","Não"))</f>
        <v>Não</v>
      </c>
      <c r="AK34" s="24" t="str">
        <f>IF(AK$2="","",IF(COUNTIFS('Mapa Impacto'!$D$7:$D$100,'Resumo Atividades x Sistema'!$D34,'Mapa Impacto'!AJ$7:AJ$100,"Sim")&gt;0,"Sim","Não"))</f>
        <v>Não</v>
      </c>
    </row>
    <row r="35" spans="2:37" ht="75" outlineLevel="1" x14ac:dyDescent="0.25">
      <c r="B35" s="144" t="str">
        <f>'Checklist Impacto Operações TI'!A31</f>
        <v>06 - Rotinas Batch</v>
      </c>
      <c r="C35" s="145"/>
      <c r="D35" s="24" t="str">
        <f>'Checklist Impacto Operações TI'!C31</f>
        <v>A demanda requer criação ou alteração do procedimento a ser adotado para realizar o tratamento de falha das rotinas batchs?</v>
      </c>
      <c r="E35" s="24" t="str">
        <f>'Checklist Impacto Operações TI'!D31</f>
        <v>Bloco – Adequar governança das Rotinas Operacionais
AINDA NÃO EXISTE
 (Elaboração de MOP / Run Book + Passagem de conhecimento)</v>
      </c>
      <c r="F35" s="24" t="str">
        <f>'Checklist Impacto Operações TI'!E31</f>
        <v>Rotinas Operacionais adequadas à necessidade projeto.</v>
      </c>
      <c r="G35" s="24" t="str">
        <f>IF(G$2="","",IF(COUNTIFS('Mapa Impacto'!$D$7:$D$100,'Resumo Atividades x Sistema'!$D35,'Mapa Impacto'!F$7:F$100,"Sim")&gt;0,"Sim","Não"))</f>
        <v>Não</v>
      </c>
      <c r="H35" s="24" t="str">
        <f>IF(H$2="","",IF(COUNTIFS('Mapa Impacto'!$D$7:$D$100,'Resumo Atividades x Sistema'!$D35,'Mapa Impacto'!G$7:G$100,"Sim")&gt;0,"Sim","Não"))</f>
        <v>Não</v>
      </c>
      <c r="I35" s="24" t="str">
        <f>IF(I$2="","",IF(COUNTIFS('Mapa Impacto'!$D$7:$D$100,'Resumo Atividades x Sistema'!$D35,'Mapa Impacto'!H$7:H$100,"Sim")&gt;0,"Sim","Não"))</f>
        <v>Não</v>
      </c>
      <c r="J35" s="24" t="str">
        <f>IF(J$2="","",IF(COUNTIFS('Mapa Impacto'!$D$7:$D$100,'Resumo Atividades x Sistema'!$D35,'Mapa Impacto'!I$7:I$100,"Sim")&gt;0,"Sim","Não"))</f>
        <v>Não</v>
      </c>
      <c r="K35" s="24" t="str">
        <f>IF(K$2="","",IF(COUNTIFS('Mapa Impacto'!$D$7:$D$100,'Resumo Atividades x Sistema'!$D35,'Mapa Impacto'!J$7:J$100,"Sim")&gt;0,"Sim","Não"))</f>
        <v>Não</v>
      </c>
      <c r="L35" s="24" t="str">
        <f>IF(L$2="","",IF(COUNTIFS('Mapa Impacto'!$D$7:$D$100,'Resumo Atividades x Sistema'!$D35,'Mapa Impacto'!K$7:K$100,"Sim")&gt;0,"Sim","Não"))</f>
        <v>Não</v>
      </c>
      <c r="M35" s="24" t="str">
        <f>IF(M$2="","",IF(COUNTIFS('Mapa Impacto'!$D$7:$D$100,'Resumo Atividades x Sistema'!$D35,'Mapa Impacto'!L$7:L$100,"Sim")&gt;0,"Sim","Não"))</f>
        <v>Não</v>
      </c>
      <c r="N35" s="24" t="str">
        <f>IF(N$2="","",IF(COUNTIFS('Mapa Impacto'!$D$7:$D$100,'Resumo Atividades x Sistema'!$D35,'Mapa Impacto'!M$7:M$100,"Sim")&gt;0,"Sim","Não"))</f>
        <v>Não</v>
      </c>
      <c r="O35" s="24" t="str">
        <f>IF(O$2="","",IF(COUNTIFS('Mapa Impacto'!$D$7:$D$100,'Resumo Atividades x Sistema'!$D35,'Mapa Impacto'!N$7:N$100,"Sim")&gt;0,"Sim","Não"))</f>
        <v>Não</v>
      </c>
      <c r="P35" s="24" t="str">
        <f>IF(P$2="","",IF(COUNTIFS('Mapa Impacto'!$D$7:$D$100,'Resumo Atividades x Sistema'!$D35,'Mapa Impacto'!O$7:O$100,"Sim")&gt;0,"Sim","Não"))</f>
        <v>Não</v>
      </c>
      <c r="Q35" s="24" t="str">
        <f>IF(Q$2="","",IF(COUNTIFS('Mapa Impacto'!$D$7:$D$100,'Resumo Atividades x Sistema'!$D35,'Mapa Impacto'!P$7:P$100,"Sim")&gt;0,"Sim","Não"))</f>
        <v>Não</v>
      </c>
      <c r="R35" s="24" t="str">
        <f>IF(R$2="","",IF(COUNTIFS('Mapa Impacto'!$D$7:$D$100,'Resumo Atividades x Sistema'!$D35,'Mapa Impacto'!Q$7:Q$100,"Sim")&gt;0,"Sim","Não"))</f>
        <v>Não</v>
      </c>
      <c r="S35" s="24" t="str">
        <f>IF(S$2="","",IF(COUNTIFS('Mapa Impacto'!$D$7:$D$100,'Resumo Atividades x Sistema'!$D35,'Mapa Impacto'!R$7:R$100,"Sim")&gt;0,"Sim","Não"))</f>
        <v>Não</v>
      </c>
      <c r="T35" s="24" t="str">
        <f>IF(T$2="","",IF(COUNTIFS('Mapa Impacto'!$D$7:$D$100,'Resumo Atividades x Sistema'!$D35,'Mapa Impacto'!S$7:S$100,"Sim")&gt;0,"Sim","Não"))</f>
        <v>Não</v>
      </c>
      <c r="U35" s="24" t="str">
        <f>IF(U$2="","",IF(COUNTIFS('Mapa Impacto'!$D$7:$D$100,'Resumo Atividades x Sistema'!$D35,'Mapa Impacto'!T$7:T$100,"Sim")&gt;0,"Sim","Não"))</f>
        <v>Não</v>
      </c>
      <c r="V35" s="24" t="str">
        <f>IF(V$2="","",IF(COUNTIFS('Mapa Impacto'!$D$7:$D$100,'Resumo Atividades x Sistema'!$D35,'Mapa Impacto'!U$7:U$100,"Sim")&gt;0,"Sim","Não"))</f>
        <v>Não</v>
      </c>
      <c r="W35" s="24" t="str">
        <f>IF(W$2="","",IF(COUNTIFS('Mapa Impacto'!$D$7:$D$100,'Resumo Atividades x Sistema'!$D35,'Mapa Impacto'!V$7:V$100,"Sim")&gt;0,"Sim","Não"))</f>
        <v>Não</v>
      </c>
      <c r="X35" s="24" t="str">
        <f>IF(X$2="","",IF(COUNTIFS('Mapa Impacto'!$D$7:$D$100,'Resumo Atividades x Sistema'!$D35,'Mapa Impacto'!W$7:W$100,"Sim")&gt;0,"Sim","Não"))</f>
        <v>Não</v>
      </c>
      <c r="Y35" s="24" t="str">
        <f>IF(Y$2="","",IF(COUNTIFS('Mapa Impacto'!$D$7:$D$100,'Resumo Atividades x Sistema'!$D35,'Mapa Impacto'!X$7:X$100,"Sim")&gt;0,"Sim","Não"))</f>
        <v>Não</v>
      </c>
      <c r="Z35" s="24" t="str">
        <f>IF(Z$2="","",IF(COUNTIFS('Mapa Impacto'!$D$7:$D$100,'Resumo Atividades x Sistema'!$D35,'Mapa Impacto'!Y$7:Y$100,"Sim")&gt;0,"Sim","Não"))</f>
        <v>Não</v>
      </c>
      <c r="AA35" s="24" t="str">
        <f>IF(AA$2="","",IF(COUNTIFS('Mapa Impacto'!$D$7:$D$100,'Resumo Atividades x Sistema'!$D35,'Mapa Impacto'!Z$7:Z$100,"Sim")&gt;0,"Sim","Não"))</f>
        <v>Não</v>
      </c>
      <c r="AB35" s="24" t="str">
        <f>IF(AB$2="","",IF(COUNTIFS('Mapa Impacto'!$D$7:$D$100,'Resumo Atividades x Sistema'!$D35,'Mapa Impacto'!AA$7:AA$100,"Sim")&gt;0,"Sim","Não"))</f>
        <v>Não</v>
      </c>
      <c r="AC35" s="24" t="str">
        <f>IF(AC$2="","",IF(COUNTIFS('Mapa Impacto'!$D$7:$D$100,'Resumo Atividades x Sistema'!$D35,'Mapa Impacto'!AB$7:AB$100,"Sim")&gt;0,"Sim","Não"))</f>
        <v>Não</v>
      </c>
      <c r="AD35" s="24" t="str">
        <f>IF(AD$2="","",IF(COUNTIFS('Mapa Impacto'!$D$7:$D$100,'Resumo Atividades x Sistema'!$D35,'Mapa Impacto'!AC$7:AC$100,"Sim")&gt;0,"Sim","Não"))</f>
        <v>Não</v>
      </c>
      <c r="AE35" s="24" t="str">
        <f>IF(AE$2="","",IF(COUNTIFS('Mapa Impacto'!$D$7:$D$100,'Resumo Atividades x Sistema'!$D35,'Mapa Impacto'!AD$7:AD$100,"Sim")&gt;0,"Sim","Não"))</f>
        <v>Não</v>
      </c>
      <c r="AF35" s="24" t="str">
        <f>IF(AF$2="","",IF(COUNTIFS('Mapa Impacto'!$D$7:$D$100,'Resumo Atividades x Sistema'!$D35,'Mapa Impacto'!AE$7:AE$100,"Sim")&gt;0,"Sim","Não"))</f>
        <v>Não</v>
      </c>
      <c r="AG35" s="24" t="str">
        <f>IF(AG$2="","",IF(COUNTIFS('Mapa Impacto'!$D$7:$D$100,'Resumo Atividades x Sistema'!$D35,'Mapa Impacto'!AF$7:AF$100,"Sim")&gt;0,"Sim","Não"))</f>
        <v>Não</v>
      </c>
      <c r="AH35" s="24" t="str">
        <f>IF(AH$2="","",IF(COUNTIFS('Mapa Impacto'!$D$7:$D$100,'Resumo Atividades x Sistema'!$D35,'Mapa Impacto'!AG$7:AG$100,"Sim")&gt;0,"Sim","Não"))</f>
        <v>Não</v>
      </c>
      <c r="AI35" s="24" t="str">
        <f>IF(AI$2="","",IF(COUNTIFS('Mapa Impacto'!$D$7:$D$100,'Resumo Atividades x Sistema'!$D35,'Mapa Impacto'!AH$7:AH$100,"Sim")&gt;0,"Sim","Não"))</f>
        <v>Não</v>
      </c>
      <c r="AJ35" s="24" t="str">
        <f>IF(AJ$2="","",IF(COUNTIFS('Mapa Impacto'!$D$7:$D$100,'Resumo Atividades x Sistema'!$D35,'Mapa Impacto'!AI$7:AI$100,"Sim")&gt;0,"Sim","Não"))</f>
        <v>Não</v>
      </c>
      <c r="AK35" s="24" t="str">
        <f>IF(AK$2="","",IF(COUNTIFS('Mapa Impacto'!$D$7:$D$100,'Resumo Atividades x Sistema'!$D35,'Mapa Impacto'!AJ$7:AJ$100,"Sim")&gt;0,"Sim","Não"))</f>
        <v>Não</v>
      </c>
    </row>
    <row r="36" spans="2:37" ht="30" customHeight="1" outlineLevel="1" x14ac:dyDescent="0.25">
      <c r="B36" s="144" t="str">
        <f>'Checklist Impacto Operações TI'!A32</f>
        <v>06 - Rotinas Batch</v>
      </c>
      <c r="C36" s="145"/>
      <c r="D36" s="24" t="str">
        <f>'Checklist Impacto Operações TI'!C32</f>
        <v>A demanda requer criação ou alteração na ação / procedimento de contingência a ser executado em caso de interrupção ou erro massivo nos processos e/ou interfaces batchs?</v>
      </c>
      <c r="E36" s="24" t="str">
        <f>'Checklist Impacto Operações TI'!D32</f>
        <v>Bloco – Adequar governança das Rotinas Operacionais
AINDA NÃO EXISTE
 (Elaboração de MOP / Run Book + DI + Passagem de conhecimento)</v>
      </c>
      <c r="F36" s="24" t="str">
        <f>'Checklist Impacto Operações TI'!E32</f>
        <v>Rotinas Operacionais adequadas à necessidade projeto.</v>
      </c>
      <c r="G36" s="24" t="str">
        <f>IF(G$2="","",IF(COUNTIFS('Mapa Impacto'!$D$7:$D$100,'Resumo Atividades x Sistema'!$D36,'Mapa Impacto'!F$7:F$100,"Sim")&gt;0,"Sim","Não"))</f>
        <v>Não</v>
      </c>
      <c r="H36" s="24" t="str">
        <f>IF(H$2="","",IF(COUNTIFS('Mapa Impacto'!$D$7:$D$100,'Resumo Atividades x Sistema'!$D36,'Mapa Impacto'!G$7:G$100,"Sim")&gt;0,"Sim","Não"))</f>
        <v>Não</v>
      </c>
      <c r="I36" s="24" t="str">
        <f>IF(I$2="","",IF(COUNTIFS('Mapa Impacto'!$D$7:$D$100,'Resumo Atividades x Sistema'!$D36,'Mapa Impacto'!H$7:H$100,"Sim")&gt;0,"Sim","Não"))</f>
        <v>Não</v>
      </c>
      <c r="J36" s="24" t="str">
        <f>IF(J$2="","",IF(COUNTIFS('Mapa Impacto'!$D$7:$D$100,'Resumo Atividades x Sistema'!$D36,'Mapa Impacto'!I$7:I$100,"Sim")&gt;0,"Sim","Não"))</f>
        <v>Não</v>
      </c>
      <c r="K36" s="24" t="str">
        <f>IF(K$2="","",IF(COUNTIFS('Mapa Impacto'!$D$7:$D$100,'Resumo Atividades x Sistema'!$D36,'Mapa Impacto'!J$7:J$100,"Sim")&gt;0,"Sim","Não"))</f>
        <v>Não</v>
      </c>
      <c r="L36" s="24" t="str">
        <f>IF(L$2="","",IF(COUNTIFS('Mapa Impacto'!$D$7:$D$100,'Resumo Atividades x Sistema'!$D36,'Mapa Impacto'!K$7:K$100,"Sim")&gt;0,"Sim","Não"))</f>
        <v>Não</v>
      </c>
      <c r="M36" s="24" t="str">
        <f>IF(M$2="","",IF(COUNTIFS('Mapa Impacto'!$D$7:$D$100,'Resumo Atividades x Sistema'!$D36,'Mapa Impacto'!L$7:L$100,"Sim")&gt;0,"Sim","Não"))</f>
        <v>Não</v>
      </c>
      <c r="N36" s="24" t="str">
        <f>IF(N$2="","",IF(COUNTIFS('Mapa Impacto'!$D$7:$D$100,'Resumo Atividades x Sistema'!$D36,'Mapa Impacto'!M$7:M$100,"Sim")&gt;0,"Sim","Não"))</f>
        <v>Não</v>
      </c>
      <c r="O36" s="24" t="str">
        <f>IF(O$2="","",IF(COUNTIFS('Mapa Impacto'!$D$7:$D$100,'Resumo Atividades x Sistema'!$D36,'Mapa Impacto'!N$7:N$100,"Sim")&gt;0,"Sim","Não"))</f>
        <v>Não</v>
      </c>
      <c r="P36" s="24" t="str">
        <f>IF(P$2="","",IF(COUNTIFS('Mapa Impacto'!$D$7:$D$100,'Resumo Atividades x Sistema'!$D36,'Mapa Impacto'!O$7:O$100,"Sim")&gt;0,"Sim","Não"))</f>
        <v>Não</v>
      </c>
      <c r="Q36" s="24" t="str">
        <f>IF(Q$2="","",IF(COUNTIFS('Mapa Impacto'!$D$7:$D$100,'Resumo Atividades x Sistema'!$D36,'Mapa Impacto'!P$7:P$100,"Sim")&gt;0,"Sim","Não"))</f>
        <v>Não</v>
      </c>
      <c r="R36" s="24" t="str">
        <f>IF(R$2="","",IF(COUNTIFS('Mapa Impacto'!$D$7:$D$100,'Resumo Atividades x Sistema'!$D36,'Mapa Impacto'!Q$7:Q$100,"Sim")&gt;0,"Sim","Não"))</f>
        <v>Não</v>
      </c>
      <c r="S36" s="24" t="str">
        <f>IF(S$2="","",IF(COUNTIFS('Mapa Impacto'!$D$7:$D$100,'Resumo Atividades x Sistema'!$D36,'Mapa Impacto'!R$7:R$100,"Sim")&gt;0,"Sim","Não"))</f>
        <v>Não</v>
      </c>
      <c r="T36" s="24" t="str">
        <f>IF(T$2="","",IF(COUNTIFS('Mapa Impacto'!$D$7:$D$100,'Resumo Atividades x Sistema'!$D36,'Mapa Impacto'!S$7:S$100,"Sim")&gt;0,"Sim","Não"))</f>
        <v>Não</v>
      </c>
      <c r="U36" s="24" t="str">
        <f>IF(U$2="","",IF(COUNTIFS('Mapa Impacto'!$D$7:$D$100,'Resumo Atividades x Sistema'!$D36,'Mapa Impacto'!T$7:T$100,"Sim")&gt;0,"Sim","Não"))</f>
        <v>Não</v>
      </c>
      <c r="V36" s="24" t="str">
        <f>IF(V$2="","",IF(COUNTIFS('Mapa Impacto'!$D$7:$D$100,'Resumo Atividades x Sistema'!$D36,'Mapa Impacto'!U$7:U$100,"Sim")&gt;0,"Sim","Não"))</f>
        <v>Não</v>
      </c>
      <c r="W36" s="24" t="str">
        <f>IF(W$2="","",IF(COUNTIFS('Mapa Impacto'!$D$7:$D$100,'Resumo Atividades x Sistema'!$D36,'Mapa Impacto'!V$7:V$100,"Sim")&gt;0,"Sim","Não"))</f>
        <v>Não</v>
      </c>
      <c r="X36" s="24" t="str">
        <f>IF(X$2="","",IF(COUNTIFS('Mapa Impacto'!$D$7:$D$100,'Resumo Atividades x Sistema'!$D36,'Mapa Impacto'!W$7:W$100,"Sim")&gt;0,"Sim","Não"))</f>
        <v>Não</v>
      </c>
      <c r="Y36" s="24" t="str">
        <f>IF(Y$2="","",IF(COUNTIFS('Mapa Impacto'!$D$7:$D$100,'Resumo Atividades x Sistema'!$D36,'Mapa Impacto'!X$7:X$100,"Sim")&gt;0,"Sim","Não"))</f>
        <v>Não</v>
      </c>
      <c r="Z36" s="24" t="str">
        <f>IF(Z$2="","",IF(COUNTIFS('Mapa Impacto'!$D$7:$D$100,'Resumo Atividades x Sistema'!$D36,'Mapa Impacto'!Y$7:Y$100,"Sim")&gt;0,"Sim","Não"))</f>
        <v>Não</v>
      </c>
      <c r="AA36" s="24" t="str">
        <f>IF(AA$2="","",IF(COUNTIFS('Mapa Impacto'!$D$7:$D$100,'Resumo Atividades x Sistema'!$D36,'Mapa Impacto'!Z$7:Z$100,"Sim")&gt;0,"Sim","Não"))</f>
        <v>Não</v>
      </c>
      <c r="AB36" s="24" t="str">
        <f>IF(AB$2="","",IF(COUNTIFS('Mapa Impacto'!$D$7:$D$100,'Resumo Atividades x Sistema'!$D36,'Mapa Impacto'!AA$7:AA$100,"Sim")&gt;0,"Sim","Não"))</f>
        <v>Não</v>
      </c>
      <c r="AC36" s="24" t="str">
        <f>IF(AC$2="","",IF(COUNTIFS('Mapa Impacto'!$D$7:$D$100,'Resumo Atividades x Sistema'!$D36,'Mapa Impacto'!AB$7:AB$100,"Sim")&gt;0,"Sim","Não"))</f>
        <v>Não</v>
      </c>
      <c r="AD36" s="24" t="str">
        <f>IF(AD$2="","",IF(COUNTIFS('Mapa Impacto'!$D$7:$D$100,'Resumo Atividades x Sistema'!$D36,'Mapa Impacto'!AC$7:AC$100,"Sim")&gt;0,"Sim","Não"))</f>
        <v>Não</v>
      </c>
      <c r="AE36" s="24" t="str">
        <f>IF(AE$2="","",IF(COUNTIFS('Mapa Impacto'!$D$7:$D$100,'Resumo Atividades x Sistema'!$D36,'Mapa Impacto'!AD$7:AD$100,"Sim")&gt;0,"Sim","Não"))</f>
        <v>Não</v>
      </c>
      <c r="AF36" s="24" t="str">
        <f>IF(AF$2="","",IF(COUNTIFS('Mapa Impacto'!$D$7:$D$100,'Resumo Atividades x Sistema'!$D36,'Mapa Impacto'!AE$7:AE$100,"Sim")&gt;0,"Sim","Não"))</f>
        <v>Não</v>
      </c>
      <c r="AG36" s="24" t="str">
        <f>IF(AG$2="","",IF(COUNTIFS('Mapa Impacto'!$D$7:$D$100,'Resumo Atividades x Sistema'!$D36,'Mapa Impacto'!AF$7:AF$100,"Sim")&gt;0,"Sim","Não"))</f>
        <v>Não</v>
      </c>
      <c r="AH36" s="24" t="str">
        <f>IF(AH$2="","",IF(COUNTIFS('Mapa Impacto'!$D$7:$D$100,'Resumo Atividades x Sistema'!$D36,'Mapa Impacto'!AG$7:AG$100,"Sim")&gt;0,"Sim","Não"))</f>
        <v>Não</v>
      </c>
      <c r="AI36" s="24" t="str">
        <f>IF(AI$2="","",IF(COUNTIFS('Mapa Impacto'!$D$7:$D$100,'Resumo Atividades x Sistema'!$D36,'Mapa Impacto'!AH$7:AH$100,"Sim")&gt;0,"Sim","Não"))</f>
        <v>Não</v>
      </c>
      <c r="AJ36" s="24" t="str">
        <f>IF(AJ$2="","",IF(COUNTIFS('Mapa Impacto'!$D$7:$D$100,'Resumo Atividades x Sistema'!$D36,'Mapa Impacto'!AI$7:AI$100,"Sim")&gt;0,"Sim","Não"))</f>
        <v>Não</v>
      </c>
      <c r="AK36" s="24" t="str">
        <f>IF(AK$2="","",IF(COUNTIFS('Mapa Impacto'!$D$7:$D$100,'Resumo Atividades x Sistema'!$D36,'Mapa Impacto'!AJ$7:AJ$100,"Sim")&gt;0,"Sim","Não"))</f>
        <v>Não</v>
      </c>
    </row>
    <row r="37" spans="2:37" ht="30" customHeight="1" x14ac:dyDescent="0.25">
      <c r="B37" s="144" t="str">
        <f>'Checklist Impacto Operações TI'!A33</f>
        <v>07 - Monitoração e Gestão de Serviços</v>
      </c>
      <c r="C37" s="145"/>
      <c r="D37" s="24" t="str">
        <f>'Checklist Impacto Operações TI'!C33</f>
        <v>A demanda requer implantação e/ou alteração da monitoração de serviços (Monitoração do SIM)?</v>
      </c>
      <c r="E37" s="24" t="str">
        <f>'Checklist Impacto Operações TI'!D33</f>
        <v>Bloco - Implantar monitoração de serviços</v>
      </c>
      <c r="F37" s="24" t="str">
        <f>'Checklist Impacto Operações TI'!E33</f>
        <v>EMS - Especificação de Monitoração de Sistemas (Monitoração do SIM)</v>
      </c>
      <c r="G37" s="24" t="str">
        <f>IF(G$2="","",IF(COUNTIFS('Mapa Impacto'!$D$7:$D$100,'Resumo Atividades x Sistema'!$D37,'Mapa Impacto'!F$7:F$100,"Sim")&gt;0,"Sim","Não"))</f>
        <v>Não</v>
      </c>
      <c r="H37" s="24" t="str">
        <f>IF(H$2="","",IF(COUNTIFS('Mapa Impacto'!$D$7:$D$100,'Resumo Atividades x Sistema'!$D37,'Mapa Impacto'!G$7:G$100,"Sim")&gt;0,"Sim","Não"))</f>
        <v>Não</v>
      </c>
      <c r="I37" s="24" t="str">
        <f>IF(I$2="","",IF(COUNTIFS('Mapa Impacto'!$D$7:$D$100,'Resumo Atividades x Sistema'!$D37,'Mapa Impacto'!H$7:H$100,"Sim")&gt;0,"Sim","Não"))</f>
        <v>Não</v>
      </c>
      <c r="J37" s="24" t="str">
        <f>IF(J$2="","",IF(COUNTIFS('Mapa Impacto'!$D$7:$D$100,'Resumo Atividades x Sistema'!$D37,'Mapa Impacto'!I$7:I$100,"Sim")&gt;0,"Sim","Não"))</f>
        <v>Não</v>
      </c>
      <c r="K37" s="24" t="str">
        <f>IF(K$2="","",IF(COUNTIFS('Mapa Impacto'!$D$7:$D$100,'Resumo Atividades x Sistema'!$D37,'Mapa Impacto'!J$7:J$100,"Sim")&gt;0,"Sim","Não"))</f>
        <v>Não</v>
      </c>
      <c r="L37" s="24" t="str">
        <f>IF(L$2="","",IF(COUNTIFS('Mapa Impacto'!$D$7:$D$100,'Resumo Atividades x Sistema'!$D37,'Mapa Impacto'!K$7:K$100,"Sim")&gt;0,"Sim","Não"))</f>
        <v>Não</v>
      </c>
      <c r="M37" s="24" t="str">
        <f>IF(M$2="","",IF(COUNTIFS('Mapa Impacto'!$D$7:$D$100,'Resumo Atividades x Sistema'!$D37,'Mapa Impacto'!L$7:L$100,"Sim")&gt;0,"Sim","Não"))</f>
        <v>Não</v>
      </c>
      <c r="N37" s="24" t="str">
        <f>IF(N$2="","",IF(COUNTIFS('Mapa Impacto'!$D$7:$D$100,'Resumo Atividades x Sistema'!$D37,'Mapa Impacto'!M$7:M$100,"Sim")&gt;0,"Sim","Não"))</f>
        <v>Não</v>
      </c>
      <c r="O37" s="24" t="str">
        <f>IF(O$2="","",IF(COUNTIFS('Mapa Impacto'!$D$7:$D$100,'Resumo Atividades x Sistema'!$D37,'Mapa Impacto'!N$7:N$100,"Sim")&gt;0,"Sim","Não"))</f>
        <v>Não</v>
      </c>
      <c r="P37" s="24" t="str">
        <f>IF(P$2="","",IF(COUNTIFS('Mapa Impacto'!$D$7:$D$100,'Resumo Atividades x Sistema'!$D37,'Mapa Impacto'!O$7:O$100,"Sim")&gt;0,"Sim","Não"))</f>
        <v>Não</v>
      </c>
      <c r="Q37" s="24" t="str">
        <f>IF(Q$2="","",IF(COUNTIFS('Mapa Impacto'!$D$7:$D$100,'Resumo Atividades x Sistema'!$D37,'Mapa Impacto'!P$7:P$100,"Sim")&gt;0,"Sim","Não"))</f>
        <v>Não</v>
      </c>
      <c r="R37" s="24" t="str">
        <f>IF(R$2="","",IF(COUNTIFS('Mapa Impacto'!$D$7:$D$100,'Resumo Atividades x Sistema'!$D37,'Mapa Impacto'!Q$7:Q$100,"Sim")&gt;0,"Sim","Não"))</f>
        <v>Não</v>
      </c>
      <c r="S37" s="24" t="str">
        <f>IF(S$2="","",IF(COUNTIFS('Mapa Impacto'!$D$7:$D$100,'Resumo Atividades x Sistema'!$D37,'Mapa Impacto'!R$7:R$100,"Sim")&gt;0,"Sim","Não"))</f>
        <v>Não</v>
      </c>
      <c r="T37" s="24" t="str">
        <f>IF(T$2="","",IF(COUNTIFS('Mapa Impacto'!$D$7:$D$100,'Resumo Atividades x Sistema'!$D37,'Mapa Impacto'!S$7:S$100,"Sim")&gt;0,"Sim","Não"))</f>
        <v>Não</v>
      </c>
      <c r="U37" s="24" t="str">
        <f>IF(U$2="","",IF(COUNTIFS('Mapa Impacto'!$D$7:$D$100,'Resumo Atividades x Sistema'!$D37,'Mapa Impacto'!T$7:T$100,"Sim")&gt;0,"Sim","Não"))</f>
        <v>Não</v>
      </c>
      <c r="V37" s="24" t="str">
        <f>IF(V$2="","",IF(COUNTIFS('Mapa Impacto'!$D$7:$D$100,'Resumo Atividades x Sistema'!$D37,'Mapa Impacto'!U$7:U$100,"Sim")&gt;0,"Sim","Não"))</f>
        <v>Não</v>
      </c>
      <c r="W37" s="24" t="str">
        <f>IF(W$2="","",IF(COUNTIFS('Mapa Impacto'!$D$7:$D$100,'Resumo Atividades x Sistema'!$D37,'Mapa Impacto'!V$7:V$100,"Sim")&gt;0,"Sim","Não"))</f>
        <v>Não</v>
      </c>
      <c r="X37" s="24" t="str">
        <f>IF(X$2="","",IF(COUNTIFS('Mapa Impacto'!$D$7:$D$100,'Resumo Atividades x Sistema'!$D37,'Mapa Impacto'!W$7:W$100,"Sim")&gt;0,"Sim","Não"))</f>
        <v>Não</v>
      </c>
      <c r="Y37" s="24" t="str">
        <f>IF(Y$2="","",IF(COUNTIFS('Mapa Impacto'!$D$7:$D$100,'Resumo Atividades x Sistema'!$D37,'Mapa Impacto'!X$7:X$100,"Sim")&gt;0,"Sim","Não"))</f>
        <v>Não</v>
      </c>
      <c r="Z37" s="24" t="str">
        <f>IF(Z$2="","",IF(COUNTIFS('Mapa Impacto'!$D$7:$D$100,'Resumo Atividades x Sistema'!$D37,'Mapa Impacto'!Y$7:Y$100,"Sim")&gt;0,"Sim","Não"))</f>
        <v>Não</v>
      </c>
      <c r="AA37" s="24" t="str">
        <f>IF(AA$2="","",IF(COUNTIFS('Mapa Impacto'!$D$7:$D$100,'Resumo Atividades x Sistema'!$D37,'Mapa Impacto'!Z$7:Z$100,"Sim")&gt;0,"Sim","Não"))</f>
        <v>Não</v>
      </c>
      <c r="AB37" s="24" t="str">
        <f>IF(AB$2="","",IF(COUNTIFS('Mapa Impacto'!$D$7:$D$100,'Resumo Atividades x Sistema'!$D37,'Mapa Impacto'!AA$7:AA$100,"Sim")&gt;0,"Sim","Não"))</f>
        <v>Não</v>
      </c>
      <c r="AC37" s="24" t="str">
        <f>IF(AC$2="","",IF(COUNTIFS('Mapa Impacto'!$D$7:$D$100,'Resumo Atividades x Sistema'!$D37,'Mapa Impacto'!AB$7:AB$100,"Sim")&gt;0,"Sim","Não"))</f>
        <v>Não</v>
      </c>
      <c r="AD37" s="24" t="str">
        <f>IF(AD$2="","",IF(COUNTIFS('Mapa Impacto'!$D$7:$D$100,'Resumo Atividades x Sistema'!$D37,'Mapa Impacto'!AC$7:AC$100,"Sim")&gt;0,"Sim","Não"))</f>
        <v>Não</v>
      </c>
      <c r="AE37" s="24" t="str">
        <f>IF(AE$2="","",IF(COUNTIFS('Mapa Impacto'!$D$7:$D$100,'Resumo Atividades x Sistema'!$D37,'Mapa Impacto'!AD$7:AD$100,"Sim")&gt;0,"Sim","Não"))</f>
        <v>Não</v>
      </c>
      <c r="AF37" s="24" t="str">
        <f>IF(AF$2="","",IF(COUNTIFS('Mapa Impacto'!$D$7:$D$100,'Resumo Atividades x Sistema'!$D37,'Mapa Impacto'!AE$7:AE$100,"Sim")&gt;0,"Sim","Não"))</f>
        <v>Não</v>
      </c>
      <c r="AG37" s="24" t="str">
        <f>IF(AG$2="","",IF(COUNTIFS('Mapa Impacto'!$D$7:$D$100,'Resumo Atividades x Sistema'!$D37,'Mapa Impacto'!AF$7:AF$100,"Sim")&gt;0,"Sim","Não"))</f>
        <v>Não</v>
      </c>
      <c r="AH37" s="24" t="str">
        <f>IF(AH$2="","",IF(COUNTIFS('Mapa Impacto'!$D$7:$D$100,'Resumo Atividades x Sistema'!$D37,'Mapa Impacto'!AG$7:AG$100,"Sim")&gt;0,"Sim","Não"))</f>
        <v>Não</v>
      </c>
      <c r="AI37" s="24" t="str">
        <f>IF(AI$2="","",IF(COUNTIFS('Mapa Impacto'!$D$7:$D$100,'Resumo Atividades x Sistema'!$D37,'Mapa Impacto'!AH$7:AH$100,"Sim")&gt;0,"Sim","Não"))</f>
        <v>Não</v>
      </c>
      <c r="AJ37" s="24" t="str">
        <f>IF(AJ$2="","",IF(COUNTIFS('Mapa Impacto'!$D$7:$D$100,'Resumo Atividades x Sistema'!$D37,'Mapa Impacto'!AI$7:AI$100,"Sim")&gt;0,"Sim","Não"))</f>
        <v>Não</v>
      </c>
      <c r="AK37" s="24" t="str">
        <f>IF(AK$2="","",IF(COUNTIFS('Mapa Impacto'!$D$7:$D$100,'Resumo Atividades x Sistema'!$D37,'Mapa Impacto'!AJ$7:AJ$100,"Sim")&gt;0,"Sim","Não"))</f>
        <v>Não</v>
      </c>
    </row>
    <row r="38" spans="2:37" ht="45" customHeight="1" outlineLevel="1" x14ac:dyDescent="0.25">
      <c r="B38" s="144" t="str">
        <f>'Checklist Impacto Operações TI'!A34</f>
        <v>07 - Monitoração e Gestão de Serviços</v>
      </c>
      <c r="C38" s="145"/>
      <c r="D38" s="24" t="str">
        <f>'Checklist Impacto Operações TI'!C34</f>
        <v>A demanda requer implantação e/ou alteração no Spotfire?</v>
      </c>
      <c r="E38" s="24" t="str">
        <f>'Checklist Impacto Operações TI'!D34</f>
        <v>Bloco - Implantar/Alterar Spotfire</v>
      </c>
      <c r="F38" s="24" t="str">
        <f>'Checklist Impacto Operações TI'!E34</f>
        <v>Relatórios de monitoração implantado no Spotfire</v>
      </c>
      <c r="G38" s="24" t="str">
        <f>IF(G$2="","",IF(COUNTIFS('Mapa Impacto'!$D$7:$D$100,'Resumo Atividades x Sistema'!$D38,'Mapa Impacto'!F$7:F$100,"Sim")&gt;0,"Sim","Não"))</f>
        <v>Não</v>
      </c>
      <c r="H38" s="24" t="str">
        <f>IF(H$2="","",IF(COUNTIFS('Mapa Impacto'!$D$7:$D$100,'Resumo Atividades x Sistema'!$D38,'Mapa Impacto'!G$7:G$100,"Sim")&gt;0,"Sim","Não"))</f>
        <v>Não</v>
      </c>
      <c r="I38" s="24" t="str">
        <f>IF(I$2="","",IF(COUNTIFS('Mapa Impacto'!$D$7:$D$100,'Resumo Atividades x Sistema'!$D38,'Mapa Impacto'!H$7:H$100,"Sim")&gt;0,"Sim","Não"))</f>
        <v>Não</v>
      </c>
      <c r="J38" s="24" t="str">
        <f>IF(J$2="","",IF(COUNTIFS('Mapa Impacto'!$D$7:$D$100,'Resumo Atividades x Sistema'!$D38,'Mapa Impacto'!I$7:I$100,"Sim")&gt;0,"Sim","Não"))</f>
        <v>Não</v>
      </c>
      <c r="K38" s="24" t="str">
        <f>IF(K$2="","",IF(COUNTIFS('Mapa Impacto'!$D$7:$D$100,'Resumo Atividades x Sistema'!$D38,'Mapa Impacto'!J$7:J$100,"Sim")&gt;0,"Sim","Não"))</f>
        <v>Não</v>
      </c>
      <c r="L38" s="24" t="str">
        <f>IF(L$2="","",IF(COUNTIFS('Mapa Impacto'!$D$7:$D$100,'Resumo Atividades x Sistema'!$D38,'Mapa Impacto'!K$7:K$100,"Sim")&gt;0,"Sim","Não"))</f>
        <v>Não</v>
      </c>
      <c r="M38" s="24" t="str">
        <f>IF(M$2="","",IF(COUNTIFS('Mapa Impacto'!$D$7:$D$100,'Resumo Atividades x Sistema'!$D38,'Mapa Impacto'!L$7:L$100,"Sim")&gt;0,"Sim","Não"))</f>
        <v>Não</v>
      </c>
      <c r="N38" s="24" t="str">
        <f>IF(N$2="","",IF(COUNTIFS('Mapa Impacto'!$D$7:$D$100,'Resumo Atividades x Sistema'!$D38,'Mapa Impacto'!M$7:M$100,"Sim")&gt;0,"Sim","Não"))</f>
        <v>Não</v>
      </c>
      <c r="O38" s="24" t="str">
        <f>IF(O$2="","",IF(COUNTIFS('Mapa Impacto'!$D$7:$D$100,'Resumo Atividades x Sistema'!$D38,'Mapa Impacto'!N$7:N$100,"Sim")&gt;0,"Sim","Não"))</f>
        <v>Não</v>
      </c>
      <c r="P38" s="24" t="str">
        <f>IF(P$2="","",IF(COUNTIFS('Mapa Impacto'!$D$7:$D$100,'Resumo Atividades x Sistema'!$D38,'Mapa Impacto'!O$7:O$100,"Sim")&gt;0,"Sim","Não"))</f>
        <v>Não</v>
      </c>
      <c r="Q38" s="24" t="str">
        <f>IF(Q$2="","",IF(COUNTIFS('Mapa Impacto'!$D$7:$D$100,'Resumo Atividades x Sistema'!$D38,'Mapa Impacto'!P$7:P$100,"Sim")&gt;0,"Sim","Não"))</f>
        <v>Não</v>
      </c>
      <c r="R38" s="24" t="str">
        <f>IF(R$2="","",IF(COUNTIFS('Mapa Impacto'!$D$7:$D$100,'Resumo Atividades x Sistema'!$D38,'Mapa Impacto'!Q$7:Q$100,"Sim")&gt;0,"Sim","Não"))</f>
        <v>Não</v>
      </c>
      <c r="S38" s="24" t="str">
        <f>IF(S$2="","",IF(COUNTIFS('Mapa Impacto'!$D$7:$D$100,'Resumo Atividades x Sistema'!$D38,'Mapa Impacto'!R$7:R$100,"Sim")&gt;0,"Sim","Não"))</f>
        <v>Não</v>
      </c>
      <c r="T38" s="24" t="str">
        <f>IF(T$2="","",IF(COUNTIFS('Mapa Impacto'!$D$7:$D$100,'Resumo Atividades x Sistema'!$D38,'Mapa Impacto'!S$7:S$100,"Sim")&gt;0,"Sim","Não"))</f>
        <v>Não</v>
      </c>
      <c r="U38" s="24" t="str">
        <f>IF(U$2="","",IF(COUNTIFS('Mapa Impacto'!$D$7:$D$100,'Resumo Atividades x Sistema'!$D38,'Mapa Impacto'!T$7:T$100,"Sim")&gt;0,"Sim","Não"))</f>
        <v>Não</v>
      </c>
      <c r="V38" s="24" t="str">
        <f>IF(V$2="","",IF(COUNTIFS('Mapa Impacto'!$D$7:$D$100,'Resumo Atividades x Sistema'!$D38,'Mapa Impacto'!U$7:U$100,"Sim")&gt;0,"Sim","Não"))</f>
        <v>Não</v>
      </c>
      <c r="W38" s="24" t="str">
        <f>IF(W$2="","",IF(COUNTIFS('Mapa Impacto'!$D$7:$D$100,'Resumo Atividades x Sistema'!$D38,'Mapa Impacto'!V$7:V$100,"Sim")&gt;0,"Sim","Não"))</f>
        <v>Não</v>
      </c>
      <c r="X38" s="24" t="str">
        <f>IF(X$2="","",IF(COUNTIFS('Mapa Impacto'!$D$7:$D$100,'Resumo Atividades x Sistema'!$D38,'Mapa Impacto'!W$7:W$100,"Sim")&gt;0,"Sim","Não"))</f>
        <v>Não</v>
      </c>
      <c r="Y38" s="24" t="str">
        <f>IF(Y$2="","",IF(COUNTIFS('Mapa Impacto'!$D$7:$D$100,'Resumo Atividades x Sistema'!$D38,'Mapa Impacto'!X$7:X$100,"Sim")&gt;0,"Sim","Não"))</f>
        <v>Não</v>
      </c>
      <c r="Z38" s="24" t="str">
        <f>IF(Z$2="","",IF(COUNTIFS('Mapa Impacto'!$D$7:$D$100,'Resumo Atividades x Sistema'!$D38,'Mapa Impacto'!Y$7:Y$100,"Sim")&gt;0,"Sim","Não"))</f>
        <v>Não</v>
      </c>
      <c r="AA38" s="24" t="str">
        <f>IF(AA$2="","",IF(COUNTIFS('Mapa Impacto'!$D$7:$D$100,'Resumo Atividades x Sistema'!$D38,'Mapa Impacto'!Z$7:Z$100,"Sim")&gt;0,"Sim","Não"))</f>
        <v>Não</v>
      </c>
      <c r="AB38" s="24" t="str">
        <f>IF(AB$2="","",IF(COUNTIFS('Mapa Impacto'!$D$7:$D$100,'Resumo Atividades x Sistema'!$D38,'Mapa Impacto'!AA$7:AA$100,"Sim")&gt;0,"Sim","Não"))</f>
        <v>Não</v>
      </c>
      <c r="AC38" s="24" t="str">
        <f>IF(AC$2="","",IF(COUNTIFS('Mapa Impacto'!$D$7:$D$100,'Resumo Atividades x Sistema'!$D38,'Mapa Impacto'!AB$7:AB$100,"Sim")&gt;0,"Sim","Não"))</f>
        <v>Não</v>
      </c>
      <c r="AD38" s="24" t="str">
        <f>IF(AD$2="","",IF(COUNTIFS('Mapa Impacto'!$D$7:$D$100,'Resumo Atividades x Sistema'!$D38,'Mapa Impacto'!AC$7:AC$100,"Sim")&gt;0,"Sim","Não"))</f>
        <v>Não</v>
      </c>
      <c r="AE38" s="24" t="str">
        <f>IF(AE$2="","",IF(COUNTIFS('Mapa Impacto'!$D$7:$D$100,'Resumo Atividades x Sistema'!$D38,'Mapa Impacto'!AD$7:AD$100,"Sim")&gt;0,"Sim","Não"))</f>
        <v>Não</v>
      </c>
      <c r="AF38" s="24" t="str">
        <f>IF(AF$2="","",IF(COUNTIFS('Mapa Impacto'!$D$7:$D$100,'Resumo Atividades x Sistema'!$D38,'Mapa Impacto'!AE$7:AE$100,"Sim")&gt;0,"Sim","Não"))</f>
        <v>Não</v>
      </c>
      <c r="AG38" s="24" t="str">
        <f>IF(AG$2="","",IF(COUNTIFS('Mapa Impacto'!$D$7:$D$100,'Resumo Atividades x Sistema'!$D38,'Mapa Impacto'!AF$7:AF$100,"Sim")&gt;0,"Sim","Não"))</f>
        <v>Não</v>
      </c>
      <c r="AH38" s="24" t="str">
        <f>IF(AH$2="","",IF(COUNTIFS('Mapa Impacto'!$D$7:$D$100,'Resumo Atividades x Sistema'!$D38,'Mapa Impacto'!AG$7:AG$100,"Sim")&gt;0,"Sim","Não"))</f>
        <v>Não</v>
      </c>
      <c r="AI38" s="24" t="str">
        <f>IF(AI$2="","",IF(COUNTIFS('Mapa Impacto'!$D$7:$D$100,'Resumo Atividades x Sistema'!$D38,'Mapa Impacto'!AH$7:AH$100,"Sim")&gt;0,"Sim","Não"))</f>
        <v>Não</v>
      </c>
      <c r="AJ38" s="24" t="str">
        <f>IF(AJ$2="","",IF(COUNTIFS('Mapa Impacto'!$D$7:$D$100,'Resumo Atividades x Sistema'!$D38,'Mapa Impacto'!AI$7:AI$100,"Sim")&gt;0,"Sim","Não"))</f>
        <v>Não</v>
      </c>
      <c r="AK38" s="24" t="str">
        <f>IF(AK$2="","",IF(COUNTIFS('Mapa Impacto'!$D$7:$D$100,'Resumo Atividades x Sistema'!$D38,'Mapa Impacto'!AJ$7:AJ$100,"Sim")&gt;0,"Sim","Não"))</f>
        <v>Não</v>
      </c>
    </row>
    <row r="39" spans="2:37" ht="45" x14ac:dyDescent="0.25">
      <c r="B39" s="144" t="str">
        <f>'Checklist Impacto Operações TI'!A35</f>
        <v>08 - Disponibilidade e Continuidade</v>
      </c>
      <c r="C39" s="145"/>
      <c r="D39" s="24" t="str">
        <f>'Checklist Impacto Operações TI'!C35</f>
        <v>A solução tem ambiente de DR e/ou ambiente com HA (alta disponibilidade)?</v>
      </c>
      <c r="E39" s="24" t="str">
        <f>'Checklist Impacto Operações TI'!D35</f>
        <v>Bloco - Documentar e executar Plano de Teste de HA e PCS (Teste de DR)</v>
      </c>
      <c r="F39" s="24" t="str">
        <f>'Checklist Impacto Operações TI'!E35</f>
        <v>Doumentos PCS - Plano de Continuidade de Sistemas, Planto de Teste de H.A. e suas respectivas exucuções.</v>
      </c>
      <c r="G39" s="24" t="str">
        <f>IF(G$2="","",IF(COUNTIFS('Mapa Impacto'!$D$7:$D$100,'Resumo Atividades x Sistema'!$D39,'Mapa Impacto'!F$7:F$100,"Sim")&gt;0,"Sim","Não"))</f>
        <v>Não</v>
      </c>
      <c r="H39" s="24" t="str">
        <f>IF(H$2="","",IF(COUNTIFS('Mapa Impacto'!$D$7:$D$100,'Resumo Atividades x Sistema'!$D39,'Mapa Impacto'!G$7:G$100,"Sim")&gt;0,"Sim","Não"))</f>
        <v>Não</v>
      </c>
      <c r="I39" s="24" t="str">
        <f>IF(I$2="","",IF(COUNTIFS('Mapa Impacto'!$D$7:$D$100,'Resumo Atividades x Sistema'!$D39,'Mapa Impacto'!H$7:H$100,"Sim")&gt;0,"Sim","Não"))</f>
        <v>Não</v>
      </c>
      <c r="J39" s="24" t="str">
        <f>IF(J$2="","",IF(COUNTIFS('Mapa Impacto'!$D$7:$D$100,'Resumo Atividades x Sistema'!$D39,'Mapa Impacto'!I$7:I$100,"Sim")&gt;0,"Sim","Não"))</f>
        <v>Não</v>
      </c>
      <c r="K39" s="24" t="str">
        <f>IF(K$2="","",IF(COUNTIFS('Mapa Impacto'!$D$7:$D$100,'Resumo Atividades x Sistema'!$D39,'Mapa Impacto'!J$7:J$100,"Sim")&gt;0,"Sim","Não"))</f>
        <v>Não</v>
      </c>
      <c r="L39" s="24" t="str">
        <f>IF(L$2="","",IF(COUNTIFS('Mapa Impacto'!$D$7:$D$100,'Resumo Atividades x Sistema'!$D39,'Mapa Impacto'!K$7:K$100,"Sim")&gt;0,"Sim","Não"))</f>
        <v>Não</v>
      </c>
      <c r="M39" s="24" t="str">
        <f>IF(M$2="","",IF(COUNTIFS('Mapa Impacto'!$D$7:$D$100,'Resumo Atividades x Sistema'!$D39,'Mapa Impacto'!L$7:L$100,"Sim")&gt;0,"Sim","Não"))</f>
        <v>Não</v>
      </c>
      <c r="N39" s="24" t="str">
        <f>IF(N$2="","",IF(COUNTIFS('Mapa Impacto'!$D$7:$D$100,'Resumo Atividades x Sistema'!$D39,'Mapa Impacto'!M$7:M$100,"Sim")&gt;0,"Sim","Não"))</f>
        <v>Não</v>
      </c>
      <c r="O39" s="24" t="str">
        <f>IF(O$2="","",IF(COUNTIFS('Mapa Impacto'!$D$7:$D$100,'Resumo Atividades x Sistema'!$D39,'Mapa Impacto'!N$7:N$100,"Sim")&gt;0,"Sim","Não"))</f>
        <v>Não</v>
      </c>
      <c r="P39" s="24" t="str">
        <f>IF(P$2="","",IF(COUNTIFS('Mapa Impacto'!$D$7:$D$100,'Resumo Atividades x Sistema'!$D39,'Mapa Impacto'!O$7:O$100,"Sim")&gt;0,"Sim","Não"))</f>
        <v>Não</v>
      </c>
      <c r="Q39" s="24" t="str">
        <f>IF(Q$2="","",IF(COUNTIFS('Mapa Impacto'!$D$7:$D$100,'Resumo Atividades x Sistema'!$D39,'Mapa Impacto'!P$7:P$100,"Sim")&gt;0,"Sim","Não"))</f>
        <v>Não</v>
      </c>
      <c r="R39" s="24" t="str">
        <f>IF(R$2="","",IF(COUNTIFS('Mapa Impacto'!$D$7:$D$100,'Resumo Atividades x Sistema'!$D39,'Mapa Impacto'!Q$7:Q$100,"Sim")&gt;0,"Sim","Não"))</f>
        <v>Não</v>
      </c>
      <c r="S39" s="24" t="str">
        <f>IF(S$2="","",IF(COUNTIFS('Mapa Impacto'!$D$7:$D$100,'Resumo Atividades x Sistema'!$D39,'Mapa Impacto'!R$7:R$100,"Sim")&gt;0,"Sim","Não"))</f>
        <v>Não</v>
      </c>
      <c r="T39" s="24" t="str">
        <f>IF(T$2="","",IF(COUNTIFS('Mapa Impacto'!$D$7:$D$100,'Resumo Atividades x Sistema'!$D39,'Mapa Impacto'!S$7:S$100,"Sim")&gt;0,"Sim","Não"))</f>
        <v>Não</v>
      </c>
      <c r="U39" s="24" t="str">
        <f>IF(U$2="","",IF(COUNTIFS('Mapa Impacto'!$D$7:$D$100,'Resumo Atividades x Sistema'!$D39,'Mapa Impacto'!T$7:T$100,"Sim")&gt;0,"Sim","Não"))</f>
        <v>Não</v>
      </c>
      <c r="V39" s="24" t="str">
        <f>IF(V$2="","",IF(COUNTIFS('Mapa Impacto'!$D$7:$D$100,'Resumo Atividades x Sistema'!$D39,'Mapa Impacto'!U$7:U$100,"Sim")&gt;0,"Sim","Não"))</f>
        <v>Não</v>
      </c>
      <c r="W39" s="24" t="str">
        <f>IF(W$2="","",IF(COUNTIFS('Mapa Impacto'!$D$7:$D$100,'Resumo Atividades x Sistema'!$D39,'Mapa Impacto'!V$7:V$100,"Sim")&gt;0,"Sim","Não"))</f>
        <v>Não</v>
      </c>
      <c r="X39" s="24" t="str">
        <f>IF(X$2="","",IF(COUNTIFS('Mapa Impacto'!$D$7:$D$100,'Resumo Atividades x Sistema'!$D39,'Mapa Impacto'!W$7:W$100,"Sim")&gt;0,"Sim","Não"))</f>
        <v>Não</v>
      </c>
      <c r="Y39" s="24" t="str">
        <f>IF(Y$2="","",IF(COUNTIFS('Mapa Impacto'!$D$7:$D$100,'Resumo Atividades x Sistema'!$D39,'Mapa Impacto'!X$7:X$100,"Sim")&gt;0,"Sim","Não"))</f>
        <v>Não</v>
      </c>
      <c r="Z39" s="24" t="str">
        <f>IF(Z$2="","",IF(COUNTIFS('Mapa Impacto'!$D$7:$D$100,'Resumo Atividades x Sistema'!$D39,'Mapa Impacto'!Y$7:Y$100,"Sim")&gt;0,"Sim","Não"))</f>
        <v>Não</v>
      </c>
      <c r="AA39" s="24" t="str">
        <f>IF(AA$2="","",IF(COUNTIFS('Mapa Impacto'!$D$7:$D$100,'Resumo Atividades x Sistema'!$D39,'Mapa Impacto'!Z$7:Z$100,"Sim")&gt;0,"Sim","Não"))</f>
        <v>Não</v>
      </c>
      <c r="AB39" s="24" t="str">
        <f>IF(AB$2="","",IF(COUNTIFS('Mapa Impacto'!$D$7:$D$100,'Resumo Atividades x Sistema'!$D39,'Mapa Impacto'!AA$7:AA$100,"Sim")&gt;0,"Sim","Não"))</f>
        <v>Não</v>
      </c>
      <c r="AC39" s="24" t="str">
        <f>IF(AC$2="","",IF(COUNTIFS('Mapa Impacto'!$D$7:$D$100,'Resumo Atividades x Sistema'!$D39,'Mapa Impacto'!AB$7:AB$100,"Sim")&gt;0,"Sim","Não"))</f>
        <v>Não</v>
      </c>
      <c r="AD39" s="24" t="str">
        <f>IF(AD$2="","",IF(COUNTIFS('Mapa Impacto'!$D$7:$D$100,'Resumo Atividades x Sistema'!$D39,'Mapa Impacto'!AC$7:AC$100,"Sim")&gt;0,"Sim","Não"))</f>
        <v>Não</v>
      </c>
      <c r="AE39" s="24" t="str">
        <f>IF(AE$2="","",IF(COUNTIFS('Mapa Impacto'!$D$7:$D$100,'Resumo Atividades x Sistema'!$D39,'Mapa Impacto'!AD$7:AD$100,"Sim")&gt;0,"Sim","Não"))</f>
        <v>Não</v>
      </c>
      <c r="AF39" s="24" t="str">
        <f>IF(AF$2="","",IF(COUNTIFS('Mapa Impacto'!$D$7:$D$100,'Resumo Atividades x Sistema'!$D39,'Mapa Impacto'!AE$7:AE$100,"Sim")&gt;0,"Sim","Não"))</f>
        <v>Não</v>
      </c>
      <c r="AG39" s="24" t="str">
        <f>IF(AG$2="","",IF(COUNTIFS('Mapa Impacto'!$D$7:$D$100,'Resumo Atividades x Sistema'!$D39,'Mapa Impacto'!AF$7:AF$100,"Sim")&gt;0,"Sim","Não"))</f>
        <v>Não</v>
      </c>
      <c r="AH39" s="24" t="str">
        <f>IF(AH$2="","",IF(COUNTIFS('Mapa Impacto'!$D$7:$D$100,'Resumo Atividades x Sistema'!$D39,'Mapa Impacto'!AG$7:AG$100,"Sim")&gt;0,"Sim","Não"))</f>
        <v>Não</v>
      </c>
      <c r="AI39" s="24" t="str">
        <f>IF(AI$2="","",IF(COUNTIFS('Mapa Impacto'!$D$7:$D$100,'Resumo Atividades x Sistema'!$D39,'Mapa Impacto'!AH$7:AH$100,"Sim")&gt;0,"Sim","Não"))</f>
        <v>Não</v>
      </c>
      <c r="AJ39" s="24" t="str">
        <f>IF(AJ$2="","",IF(COUNTIFS('Mapa Impacto'!$D$7:$D$100,'Resumo Atividades x Sistema'!$D39,'Mapa Impacto'!AI$7:AI$100,"Sim")&gt;0,"Sim","Não"))</f>
        <v>Não</v>
      </c>
      <c r="AK39" s="24" t="str">
        <f>IF(AK$2="","",IF(COUNTIFS('Mapa Impacto'!$D$7:$D$100,'Resumo Atividades x Sistema'!$D39,'Mapa Impacto'!AJ$7:AJ$100,"Sim")&gt;0,"Sim","Não"))</f>
        <v>Não</v>
      </c>
    </row>
    <row r="40" spans="2:37" ht="30" x14ac:dyDescent="0.25">
      <c r="B40" s="144" t="str">
        <f>'Checklist Impacto Operações TI'!A36</f>
        <v>09 - Segurança</v>
      </c>
      <c r="C40" s="145"/>
      <c r="D40" s="24" t="str">
        <f>'Checklist Impacto Operações TI'!C36</f>
        <v>A demanda requer integração com Identidade Digital (NAM e/ou NDS)?</v>
      </c>
      <c r="E40" s="24" t="str">
        <f>'Checklist Impacto Operações TI'!D36</f>
        <v>Bloco - Integrar aplicação à Identididade Digital</v>
      </c>
      <c r="F40" s="24" t="str">
        <f>'Checklist Impacto Operações TI'!E36</f>
        <v>Aplicação integrado com Identidade Digital</v>
      </c>
      <c r="G40" s="24" t="str">
        <f>IF(G$2="","",IF(COUNTIFS('Mapa Impacto'!$D$7:$D$100,'Resumo Atividades x Sistema'!$D40,'Mapa Impacto'!F$7:F$100,"Sim")&gt;0,"Sim","Não"))</f>
        <v>Não</v>
      </c>
      <c r="H40" s="24" t="str">
        <f>IF(H$2="","",IF(COUNTIFS('Mapa Impacto'!$D$7:$D$100,'Resumo Atividades x Sistema'!$D40,'Mapa Impacto'!G$7:G$100,"Sim")&gt;0,"Sim","Não"))</f>
        <v>Não</v>
      </c>
      <c r="I40" s="24" t="str">
        <f>IF(I$2="","",IF(COUNTIFS('Mapa Impacto'!$D$7:$D$100,'Resumo Atividades x Sistema'!$D40,'Mapa Impacto'!H$7:H$100,"Sim")&gt;0,"Sim","Não"))</f>
        <v>Não</v>
      </c>
      <c r="J40" s="24" t="str">
        <f>IF(J$2="","",IF(COUNTIFS('Mapa Impacto'!$D$7:$D$100,'Resumo Atividades x Sistema'!$D40,'Mapa Impacto'!I$7:I$100,"Sim")&gt;0,"Sim","Não"))</f>
        <v>Não</v>
      </c>
      <c r="K40" s="24" t="str">
        <f>IF(K$2="","",IF(COUNTIFS('Mapa Impacto'!$D$7:$D$100,'Resumo Atividades x Sistema'!$D40,'Mapa Impacto'!J$7:J$100,"Sim")&gt;0,"Sim","Não"))</f>
        <v>Não</v>
      </c>
      <c r="L40" s="24" t="str">
        <f>IF(L$2="","",IF(COUNTIFS('Mapa Impacto'!$D$7:$D$100,'Resumo Atividades x Sistema'!$D40,'Mapa Impacto'!K$7:K$100,"Sim")&gt;0,"Sim","Não"))</f>
        <v>Não</v>
      </c>
      <c r="M40" s="24" t="str">
        <f>IF(M$2="","",IF(COUNTIFS('Mapa Impacto'!$D$7:$D$100,'Resumo Atividades x Sistema'!$D40,'Mapa Impacto'!L$7:L$100,"Sim")&gt;0,"Sim","Não"))</f>
        <v>Não</v>
      </c>
      <c r="N40" s="24" t="str">
        <f>IF(N$2="","",IF(COUNTIFS('Mapa Impacto'!$D$7:$D$100,'Resumo Atividades x Sistema'!$D40,'Mapa Impacto'!M$7:M$100,"Sim")&gt;0,"Sim","Não"))</f>
        <v>Não</v>
      </c>
      <c r="O40" s="24" t="str">
        <f>IF(O$2="","",IF(COUNTIFS('Mapa Impacto'!$D$7:$D$100,'Resumo Atividades x Sistema'!$D40,'Mapa Impacto'!N$7:N$100,"Sim")&gt;0,"Sim","Não"))</f>
        <v>Não</v>
      </c>
      <c r="P40" s="24" t="str">
        <f>IF(P$2="","",IF(COUNTIFS('Mapa Impacto'!$D$7:$D$100,'Resumo Atividades x Sistema'!$D40,'Mapa Impacto'!O$7:O$100,"Sim")&gt;0,"Sim","Não"))</f>
        <v>Não</v>
      </c>
      <c r="Q40" s="24" t="str">
        <f>IF(Q$2="","",IF(COUNTIFS('Mapa Impacto'!$D$7:$D$100,'Resumo Atividades x Sistema'!$D40,'Mapa Impacto'!P$7:P$100,"Sim")&gt;0,"Sim","Não"))</f>
        <v>Não</v>
      </c>
      <c r="R40" s="24" t="str">
        <f>IF(R$2="","",IF(COUNTIFS('Mapa Impacto'!$D$7:$D$100,'Resumo Atividades x Sistema'!$D40,'Mapa Impacto'!Q$7:Q$100,"Sim")&gt;0,"Sim","Não"))</f>
        <v>Não</v>
      </c>
      <c r="S40" s="24" t="str">
        <f>IF(S$2="","",IF(COUNTIFS('Mapa Impacto'!$D$7:$D$100,'Resumo Atividades x Sistema'!$D40,'Mapa Impacto'!R$7:R$100,"Sim")&gt;0,"Sim","Não"))</f>
        <v>Não</v>
      </c>
      <c r="T40" s="24" t="str">
        <f>IF(T$2="","",IF(COUNTIFS('Mapa Impacto'!$D$7:$D$100,'Resumo Atividades x Sistema'!$D40,'Mapa Impacto'!S$7:S$100,"Sim")&gt;0,"Sim","Não"))</f>
        <v>Não</v>
      </c>
      <c r="U40" s="24" t="str">
        <f>IF(U$2="","",IF(COUNTIFS('Mapa Impacto'!$D$7:$D$100,'Resumo Atividades x Sistema'!$D40,'Mapa Impacto'!T$7:T$100,"Sim")&gt;0,"Sim","Não"))</f>
        <v>Não</v>
      </c>
      <c r="V40" s="24" t="str">
        <f>IF(V$2="","",IF(COUNTIFS('Mapa Impacto'!$D$7:$D$100,'Resumo Atividades x Sistema'!$D40,'Mapa Impacto'!U$7:U$100,"Sim")&gt;0,"Sim","Não"))</f>
        <v>Não</v>
      </c>
      <c r="W40" s="24" t="str">
        <f>IF(W$2="","",IF(COUNTIFS('Mapa Impacto'!$D$7:$D$100,'Resumo Atividades x Sistema'!$D40,'Mapa Impacto'!V$7:V$100,"Sim")&gt;0,"Sim","Não"))</f>
        <v>Não</v>
      </c>
      <c r="X40" s="24" t="str">
        <f>IF(X$2="","",IF(COUNTIFS('Mapa Impacto'!$D$7:$D$100,'Resumo Atividades x Sistema'!$D40,'Mapa Impacto'!W$7:W$100,"Sim")&gt;0,"Sim","Não"))</f>
        <v>Não</v>
      </c>
      <c r="Y40" s="24" t="str">
        <f>IF(Y$2="","",IF(COUNTIFS('Mapa Impacto'!$D$7:$D$100,'Resumo Atividades x Sistema'!$D40,'Mapa Impacto'!X$7:X$100,"Sim")&gt;0,"Sim","Não"))</f>
        <v>Não</v>
      </c>
      <c r="Z40" s="24" t="str">
        <f>IF(Z$2="","",IF(COUNTIFS('Mapa Impacto'!$D$7:$D$100,'Resumo Atividades x Sistema'!$D40,'Mapa Impacto'!Y$7:Y$100,"Sim")&gt;0,"Sim","Não"))</f>
        <v>Não</v>
      </c>
      <c r="AA40" s="24" t="str">
        <f>IF(AA$2="","",IF(COUNTIFS('Mapa Impacto'!$D$7:$D$100,'Resumo Atividades x Sistema'!$D40,'Mapa Impacto'!Z$7:Z$100,"Sim")&gt;0,"Sim","Não"))</f>
        <v>Não</v>
      </c>
      <c r="AB40" s="24" t="str">
        <f>IF(AB$2="","",IF(COUNTIFS('Mapa Impacto'!$D$7:$D$100,'Resumo Atividades x Sistema'!$D40,'Mapa Impacto'!AA$7:AA$100,"Sim")&gt;0,"Sim","Não"))</f>
        <v>Não</v>
      </c>
      <c r="AC40" s="24" t="str">
        <f>IF(AC$2="","",IF(COUNTIFS('Mapa Impacto'!$D$7:$D$100,'Resumo Atividades x Sistema'!$D40,'Mapa Impacto'!AB$7:AB$100,"Sim")&gt;0,"Sim","Não"))</f>
        <v>Não</v>
      </c>
      <c r="AD40" s="24" t="str">
        <f>IF(AD$2="","",IF(COUNTIFS('Mapa Impacto'!$D$7:$D$100,'Resumo Atividades x Sistema'!$D40,'Mapa Impacto'!AC$7:AC$100,"Sim")&gt;0,"Sim","Não"))</f>
        <v>Não</v>
      </c>
      <c r="AE40" s="24" t="str">
        <f>IF(AE$2="","",IF(COUNTIFS('Mapa Impacto'!$D$7:$D$100,'Resumo Atividades x Sistema'!$D40,'Mapa Impacto'!AD$7:AD$100,"Sim")&gt;0,"Sim","Não"))</f>
        <v>Não</v>
      </c>
      <c r="AF40" s="24" t="str">
        <f>IF(AF$2="","",IF(COUNTIFS('Mapa Impacto'!$D$7:$D$100,'Resumo Atividades x Sistema'!$D40,'Mapa Impacto'!AE$7:AE$100,"Sim")&gt;0,"Sim","Não"))</f>
        <v>Não</v>
      </c>
      <c r="AG40" s="24" t="str">
        <f>IF(AG$2="","",IF(COUNTIFS('Mapa Impacto'!$D$7:$D$100,'Resumo Atividades x Sistema'!$D40,'Mapa Impacto'!AF$7:AF$100,"Sim")&gt;0,"Sim","Não"))</f>
        <v>Não</v>
      </c>
      <c r="AH40" s="24" t="str">
        <f>IF(AH$2="","",IF(COUNTIFS('Mapa Impacto'!$D$7:$D$100,'Resumo Atividades x Sistema'!$D40,'Mapa Impacto'!AG$7:AG$100,"Sim")&gt;0,"Sim","Não"))</f>
        <v>Não</v>
      </c>
      <c r="AI40" s="24" t="str">
        <f>IF(AI$2="","",IF(COUNTIFS('Mapa Impacto'!$D$7:$D$100,'Resumo Atividades x Sistema'!$D40,'Mapa Impacto'!AH$7:AH$100,"Sim")&gt;0,"Sim","Não"))</f>
        <v>Não</v>
      </c>
      <c r="AJ40" s="24" t="str">
        <f>IF(AJ$2="","",IF(COUNTIFS('Mapa Impacto'!$D$7:$D$100,'Resumo Atividades x Sistema'!$D40,'Mapa Impacto'!AI$7:AI$100,"Sim")&gt;0,"Sim","Não"))</f>
        <v>Não</v>
      </c>
      <c r="AK40" s="24" t="str">
        <f>IF(AK$2="","",IF(COUNTIFS('Mapa Impacto'!$D$7:$D$100,'Resumo Atividades x Sistema'!$D40,'Mapa Impacto'!AJ$7:AJ$100,"Sim")&gt;0,"Sim","Não"))</f>
        <v>Não</v>
      </c>
    </row>
    <row r="41" spans="2:37" ht="60" x14ac:dyDescent="0.25">
      <c r="B41" s="144" t="str">
        <f>'Checklist Impacto Operações TI'!A37</f>
        <v>10 - Funcionalidades Críticas</v>
      </c>
      <c r="C41" s="145"/>
      <c r="D41" s="24" t="str">
        <f>'Checklist Impacto Operações TI'!C37</f>
        <v>O projeto envolve alteração em alguma funcionalidade critica que necessite da participação da equipe de Operações de TI na fase de DSOL?  (Funcionalidades Críticas encontram-se na aba de mesmo nome).</v>
      </c>
      <c r="E41" s="24" t="str">
        <f>'Checklist Impacto Operações TI'!D37</f>
        <v>Envolver equipe de Operações TI responsável pela Funcionalidade Critica na fase de DSOL.</v>
      </c>
      <c r="F41" s="24" t="str">
        <f>'Checklist Impacto Operações TI'!E37</f>
        <v>Envolvimento equipe de Operações TI responsável pela Funcionalidade Critica na fase de DSOL.</v>
      </c>
      <c r="G41" s="24" t="str">
        <f>IF(G$2="","",IF(COUNTIFS('Mapa Impacto'!$D$7:$D$100,'Resumo Atividades x Sistema'!$D41,'Mapa Impacto'!F$7:F$100,"Sim")&gt;0,"Sim","Não"))</f>
        <v>Não</v>
      </c>
      <c r="H41" s="24" t="str">
        <f>IF(H$2="","",IF(COUNTIFS('Mapa Impacto'!$D$7:$D$100,'Resumo Atividades x Sistema'!$D41,'Mapa Impacto'!G$7:G$100,"Sim")&gt;0,"Sim","Não"))</f>
        <v>Não</v>
      </c>
      <c r="I41" s="24" t="str">
        <f>IF(I$2="","",IF(COUNTIFS('Mapa Impacto'!$D$7:$D$100,'Resumo Atividades x Sistema'!$D41,'Mapa Impacto'!H$7:H$100,"Sim")&gt;0,"Sim","Não"))</f>
        <v>Não</v>
      </c>
      <c r="J41" s="24" t="str">
        <f>IF(J$2="","",IF(COUNTIFS('Mapa Impacto'!$D$7:$D$100,'Resumo Atividades x Sistema'!$D41,'Mapa Impacto'!I$7:I$100,"Sim")&gt;0,"Sim","Não"))</f>
        <v>Não</v>
      </c>
      <c r="K41" s="24" t="str">
        <f>IF(K$2="","",IF(COUNTIFS('Mapa Impacto'!$D$7:$D$100,'Resumo Atividades x Sistema'!$D41,'Mapa Impacto'!J$7:J$100,"Sim")&gt;0,"Sim","Não"))</f>
        <v>Não</v>
      </c>
      <c r="L41" s="24" t="str">
        <f>IF(L$2="","",IF(COUNTIFS('Mapa Impacto'!$D$7:$D$100,'Resumo Atividades x Sistema'!$D41,'Mapa Impacto'!K$7:K$100,"Sim")&gt;0,"Sim","Não"))</f>
        <v>Não</v>
      </c>
      <c r="M41" s="24" t="str">
        <f>IF(M$2="","",IF(COUNTIFS('Mapa Impacto'!$D$7:$D$100,'Resumo Atividades x Sistema'!$D41,'Mapa Impacto'!L$7:L$100,"Sim")&gt;0,"Sim","Não"))</f>
        <v>Não</v>
      </c>
      <c r="N41" s="24" t="str">
        <f>IF(N$2="","",IF(COUNTIFS('Mapa Impacto'!$D$7:$D$100,'Resumo Atividades x Sistema'!$D41,'Mapa Impacto'!M$7:M$100,"Sim")&gt;0,"Sim","Não"))</f>
        <v>Não</v>
      </c>
      <c r="O41" s="24" t="str">
        <f>IF(O$2="","",IF(COUNTIFS('Mapa Impacto'!$D$7:$D$100,'Resumo Atividades x Sistema'!$D41,'Mapa Impacto'!N$7:N$100,"Sim")&gt;0,"Sim","Não"))</f>
        <v>Não</v>
      </c>
      <c r="P41" s="24" t="str">
        <f>IF(P$2="","",IF(COUNTIFS('Mapa Impacto'!$D$7:$D$100,'Resumo Atividades x Sistema'!$D41,'Mapa Impacto'!O$7:O$100,"Sim")&gt;0,"Sim","Não"))</f>
        <v>Não</v>
      </c>
      <c r="Q41" s="24" t="str">
        <f>IF(Q$2="","",IF(COUNTIFS('Mapa Impacto'!$D$7:$D$100,'Resumo Atividades x Sistema'!$D41,'Mapa Impacto'!P$7:P$100,"Sim")&gt;0,"Sim","Não"))</f>
        <v>Não</v>
      </c>
      <c r="R41" s="24" t="str">
        <f>IF(R$2="","",IF(COUNTIFS('Mapa Impacto'!$D$7:$D$100,'Resumo Atividades x Sistema'!$D41,'Mapa Impacto'!Q$7:Q$100,"Sim")&gt;0,"Sim","Não"))</f>
        <v>Não</v>
      </c>
      <c r="S41" s="24" t="str">
        <f>IF(S$2="","",IF(COUNTIFS('Mapa Impacto'!$D$7:$D$100,'Resumo Atividades x Sistema'!$D41,'Mapa Impacto'!R$7:R$100,"Sim")&gt;0,"Sim","Não"))</f>
        <v>Não</v>
      </c>
      <c r="T41" s="24" t="str">
        <f>IF(T$2="","",IF(COUNTIFS('Mapa Impacto'!$D$7:$D$100,'Resumo Atividades x Sistema'!$D41,'Mapa Impacto'!S$7:S$100,"Sim")&gt;0,"Sim","Não"))</f>
        <v>Não</v>
      </c>
      <c r="U41" s="24" t="str">
        <f>IF(U$2="","",IF(COUNTIFS('Mapa Impacto'!$D$7:$D$100,'Resumo Atividades x Sistema'!$D41,'Mapa Impacto'!T$7:T$100,"Sim")&gt;0,"Sim","Não"))</f>
        <v>Não</v>
      </c>
      <c r="V41" s="24" t="str">
        <f>IF(V$2="","",IF(COUNTIFS('Mapa Impacto'!$D$7:$D$100,'Resumo Atividades x Sistema'!$D41,'Mapa Impacto'!U$7:U$100,"Sim")&gt;0,"Sim","Não"))</f>
        <v>Não</v>
      </c>
      <c r="W41" s="24" t="str">
        <f>IF(W$2="","",IF(COUNTIFS('Mapa Impacto'!$D$7:$D$100,'Resumo Atividades x Sistema'!$D41,'Mapa Impacto'!V$7:V$100,"Sim")&gt;0,"Sim","Não"))</f>
        <v>Não</v>
      </c>
      <c r="X41" s="24" t="str">
        <f>IF(X$2="","",IF(COUNTIFS('Mapa Impacto'!$D$7:$D$100,'Resumo Atividades x Sistema'!$D41,'Mapa Impacto'!W$7:W$100,"Sim")&gt;0,"Sim","Não"))</f>
        <v>Não</v>
      </c>
      <c r="Y41" s="24" t="str">
        <f>IF(Y$2="","",IF(COUNTIFS('Mapa Impacto'!$D$7:$D$100,'Resumo Atividades x Sistema'!$D41,'Mapa Impacto'!X$7:X$100,"Sim")&gt;0,"Sim","Não"))</f>
        <v>Não</v>
      </c>
      <c r="Z41" s="24" t="str">
        <f>IF(Z$2="","",IF(COUNTIFS('Mapa Impacto'!$D$7:$D$100,'Resumo Atividades x Sistema'!$D41,'Mapa Impacto'!Y$7:Y$100,"Sim")&gt;0,"Sim","Não"))</f>
        <v>Não</v>
      </c>
      <c r="AA41" s="24" t="str">
        <f>IF(AA$2="","",IF(COUNTIFS('Mapa Impacto'!$D$7:$D$100,'Resumo Atividades x Sistema'!$D41,'Mapa Impacto'!Z$7:Z$100,"Sim")&gt;0,"Sim","Não"))</f>
        <v>Não</v>
      </c>
      <c r="AB41" s="24" t="str">
        <f>IF(AB$2="","",IF(COUNTIFS('Mapa Impacto'!$D$7:$D$100,'Resumo Atividades x Sistema'!$D41,'Mapa Impacto'!AA$7:AA$100,"Sim")&gt;0,"Sim","Não"))</f>
        <v>Não</v>
      </c>
      <c r="AC41" s="24" t="str">
        <f>IF(AC$2="","",IF(COUNTIFS('Mapa Impacto'!$D$7:$D$100,'Resumo Atividades x Sistema'!$D41,'Mapa Impacto'!AB$7:AB$100,"Sim")&gt;0,"Sim","Não"))</f>
        <v>Não</v>
      </c>
      <c r="AD41" s="24" t="str">
        <f>IF(AD$2="","",IF(COUNTIFS('Mapa Impacto'!$D$7:$D$100,'Resumo Atividades x Sistema'!$D41,'Mapa Impacto'!AC$7:AC$100,"Sim")&gt;0,"Sim","Não"))</f>
        <v>Não</v>
      </c>
      <c r="AE41" s="24" t="str">
        <f>IF(AE$2="","",IF(COUNTIFS('Mapa Impacto'!$D$7:$D$100,'Resumo Atividades x Sistema'!$D41,'Mapa Impacto'!AD$7:AD$100,"Sim")&gt;0,"Sim","Não"))</f>
        <v>Não</v>
      </c>
      <c r="AF41" s="24" t="str">
        <f>IF(AF$2="","",IF(COUNTIFS('Mapa Impacto'!$D$7:$D$100,'Resumo Atividades x Sistema'!$D41,'Mapa Impacto'!AE$7:AE$100,"Sim")&gt;0,"Sim","Não"))</f>
        <v>Não</v>
      </c>
      <c r="AG41" s="24" t="str">
        <f>IF(AG$2="","",IF(COUNTIFS('Mapa Impacto'!$D$7:$D$100,'Resumo Atividades x Sistema'!$D41,'Mapa Impacto'!AF$7:AF$100,"Sim")&gt;0,"Sim","Não"))</f>
        <v>Não</v>
      </c>
      <c r="AH41" s="24" t="str">
        <f>IF(AH$2="","",IF(COUNTIFS('Mapa Impacto'!$D$7:$D$100,'Resumo Atividades x Sistema'!$D41,'Mapa Impacto'!AG$7:AG$100,"Sim")&gt;0,"Sim","Não"))</f>
        <v>Não</v>
      </c>
      <c r="AI41" s="24" t="str">
        <f>IF(AI$2="","",IF(COUNTIFS('Mapa Impacto'!$D$7:$D$100,'Resumo Atividades x Sistema'!$D41,'Mapa Impacto'!AH$7:AH$100,"Sim")&gt;0,"Sim","Não"))</f>
        <v>Não</v>
      </c>
      <c r="AJ41" s="24" t="str">
        <f>IF(AJ$2="","",IF(COUNTIFS('Mapa Impacto'!$D$7:$D$100,'Resumo Atividades x Sistema'!$D41,'Mapa Impacto'!AI$7:AI$100,"Sim")&gt;0,"Sim","Não"))</f>
        <v>Não</v>
      </c>
      <c r="AK41" s="24" t="str">
        <f>IF(AK$2="","",IF(COUNTIFS('Mapa Impacto'!$D$7:$D$100,'Resumo Atividades x Sistema'!$D41,'Mapa Impacto'!AJ$7:AJ$100,"Sim")&gt;0,"Sim","Não"))</f>
        <v>Não</v>
      </c>
    </row>
    <row r="42" spans="2:37" ht="60" outlineLevel="1" x14ac:dyDescent="0.25">
      <c r="B42" s="144" t="str">
        <f>'Checklist Impacto Operações TI'!A38</f>
        <v>10 - Funcionalidades Críticas</v>
      </c>
      <c r="C42" s="145"/>
      <c r="D42" s="24" t="str">
        <f>'Checklist Impacto Operações TI'!C38</f>
        <v>Há necessidade de adequação das funcionalidades de contingenciamento hoje existentes  (será necessário criação/adaptação de ferramentas de TI para tratamento de passivo?)</v>
      </c>
      <c r="E42" s="24" t="str">
        <f>'Checklist Impacto Operações TI'!D38</f>
        <v xml:space="preserve">Criação/adaptar ferramentas de TI para tratamento de passivo (seja ele de casos pontuais em produção ou em massa) </v>
      </c>
      <c r="F42" s="24" t="str">
        <f>'Checklist Impacto Operações TI'!E38</f>
        <v>Ferramenta para tratamento de passivo pontuais ou em massa</v>
      </c>
      <c r="G42" s="24" t="str">
        <f>IF(G$2="","",IF(COUNTIFS('Mapa Impacto'!$D$7:$D$100,'Resumo Atividades x Sistema'!$D42,'Mapa Impacto'!F$7:F$100,"Sim")&gt;0,"Sim","Não"))</f>
        <v>Não</v>
      </c>
      <c r="H42" s="24" t="str">
        <f>IF(H$2="","",IF(COUNTIFS('Mapa Impacto'!$D$7:$D$100,'Resumo Atividades x Sistema'!$D42,'Mapa Impacto'!G$7:G$100,"Sim")&gt;0,"Sim","Não"))</f>
        <v>Não</v>
      </c>
      <c r="I42" s="24" t="str">
        <f>IF(I$2="","",IF(COUNTIFS('Mapa Impacto'!$D$7:$D$100,'Resumo Atividades x Sistema'!$D42,'Mapa Impacto'!H$7:H$100,"Sim")&gt;0,"Sim","Não"))</f>
        <v>Não</v>
      </c>
      <c r="J42" s="24" t="str">
        <f>IF(J$2="","",IF(COUNTIFS('Mapa Impacto'!$D$7:$D$100,'Resumo Atividades x Sistema'!$D42,'Mapa Impacto'!I$7:I$100,"Sim")&gt;0,"Sim","Não"))</f>
        <v>Não</v>
      </c>
      <c r="K42" s="24" t="str">
        <f>IF(K$2="","",IF(COUNTIFS('Mapa Impacto'!$D$7:$D$100,'Resumo Atividades x Sistema'!$D42,'Mapa Impacto'!J$7:J$100,"Sim")&gt;0,"Sim","Não"))</f>
        <v>Não</v>
      </c>
      <c r="L42" s="24" t="str">
        <f>IF(L$2="","",IF(COUNTIFS('Mapa Impacto'!$D$7:$D$100,'Resumo Atividades x Sistema'!$D42,'Mapa Impacto'!K$7:K$100,"Sim")&gt;0,"Sim","Não"))</f>
        <v>Não</v>
      </c>
      <c r="M42" s="24" t="str">
        <f>IF(M$2="","",IF(COUNTIFS('Mapa Impacto'!$D$7:$D$100,'Resumo Atividades x Sistema'!$D42,'Mapa Impacto'!L$7:L$100,"Sim")&gt;0,"Sim","Não"))</f>
        <v>Não</v>
      </c>
      <c r="N42" s="24" t="str">
        <f>IF(N$2="","",IF(COUNTIFS('Mapa Impacto'!$D$7:$D$100,'Resumo Atividades x Sistema'!$D42,'Mapa Impacto'!M$7:M$100,"Sim")&gt;0,"Sim","Não"))</f>
        <v>Não</v>
      </c>
      <c r="O42" s="24" t="str">
        <f>IF(O$2="","",IF(COUNTIFS('Mapa Impacto'!$D$7:$D$100,'Resumo Atividades x Sistema'!$D42,'Mapa Impacto'!N$7:N$100,"Sim")&gt;0,"Sim","Não"))</f>
        <v>Não</v>
      </c>
      <c r="P42" s="24" t="str">
        <f>IF(P$2="","",IF(COUNTIFS('Mapa Impacto'!$D$7:$D$100,'Resumo Atividades x Sistema'!$D42,'Mapa Impacto'!O$7:O$100,"Sim")&gt;0,"Sim","Não"))</f>
        <v>Não</v>
      </c>
      <c r="Q42" s="24" t="str">
        <f>IF(Q$2="","",IF(COUNTIFS('Mapa Impacto'!$D$7:$D$100,'Resumo Atividades x Sistema'!$D42,'Mapa Impacto'!P$7:P$100,"Sim")&gt;0,"Sim","Não"))</f>
        <v>Não</v>
      </c>
      <c r="R42" s="24" t="str">
        <f>IF(R$2="","",IF(COUNTIFS('Mapa Impacto'!$D$7:$D$100,'Resumo Atividades x Sistema'!$D42,'Mapa Impacto'!Q$7:Q$100,"Sim")&gt;0,"Sim","Não"))</f>
        <v>Não</v>
      </c>
      <c r="S42" s="24" t="str">
        <f>IF(S$2="","",IF(COUNTIFS('Mapa Impacto'!$D$7:$D$100,'Resumo Atividades x Sistema'!$D42,'Mapa Impacto'!R$7:R$100,"Sim")&gt;0,"Sim","Não"))</f>
        <v>Não</v>
      </c>
      <c r="T42" s="24" t="str">
        <f>IF(T$2="","",IF(COUNTIFS('Mapa Impacto'!$D$7:$D$100,'Resumo Atividades x Sistema'!$D42,'Mapa Impacto'!S$7:S$100,"Sim")&gt;0,"Sim","Não"))</f>
        <v>Não</v>
      </c>
      <c r="U42" s="24" t="str">
        <f>IF(U$2="","",IF(COUNTIFS('Mapa Impacto'!$D$7:$D$100,'Resumo Atividades x Sistema'!$D42,'Mapa Impacto'!T$7:T$100,"Sim")&gt;0,"Sim","Não"))</f>
        <v>Não</v>
      </c>
      <c r="V42" s="24" t="str">
        <f>IF(V$2="","",IF(COUNTIFS('Mapa Impacto'!$D$7:$D$100,'Resumo Atividades x Sistema'!$D42,'Mapa Impacto'!U$7:U$100,"Sim")&gt;0,"Sim","Não"))</f>
        <v>Não</v>
      </c>
      <c r="W42" s="24" t="str">
        <f>IF(W$2="","",IF(COUNTIFS('Mapa Impacto'!$D$7:$D$100,'Resumo Atividades x Sistema'!$D42,'Mapa Impacto'!V$7:V$100,"Sim")&gt;0,"Sim","Não"))</f>
        <v>Não</v>
      </c>
      <c r="X42" s="24" t="str">
        <f>IF(X$2="","",IF(COUNTIFS('Mapa Impacto'!$D$7:$D$100,'Resumo Atividades x Sistema'!$D42,'Mapa Impacto'!W$7:W$100,"Sim")&gt;0,"Sim","Não"))</f>
        <v>Não</v>
      </c>
      <c r="Y42" s="24" t="str">
        <f>IF(Y$2="","",IF(COUNTIFS('Mapa Impacto'!$D$7:$D$100,'Resumo Atividades x Sistema'!$D42,'Mapa Impacto'!X$7:X$100,"Sim")&gt;0,"Sim","Não"))</f>
        <v>Não</v>
      </c>
      <c r="Z42" s="24" t="str">
        <f>IF(Z$2="","",IF(COUNTIFS('Mapa Impacto'!$D$7:$D$100,'Resumo Atividades x Sistema'!$D42,'Mapa Impacto'!Y$7:Y$100,"Sim")&gt;0,"Sim","Não"))</f>
        <v>Não</v>
      </c>
      <c r="AA42" s="24" t="str">
        <f>IF(AA$2="","",IF(COUNTIFS('Mapa Impacto'!$D$7:$D$100,'Resumo Atividades x Sistema'!$D42,'Mapa Impacto'!Z$7:Z$100,"Sim")&gt;0,"Sim","Não"))</f>
        <v>Não</v>
      </c>
      <c r="AB42" s="24" t="str">
        <f>IF(AB$2="","",IF(COUNTIFS('Mapa Impacto'!$D$7:$D$100,'Resumo Atividades x Sistema'!$D42,'Mapa Impacto'!AA$7:AA$100,"Sim")&gt;0,"Sim","Não"))</f>
        <v>Não</v>
      </c>
      <c r="AC42" s="24" t="str">
        <f>IF(AC$2="","",IF(COUNTIFS('Mapa Impacto'!$D$7:$D$100,'Resumo Atividades x Sistema'!$D42,'Mapa Impacto'!AB$7:AB$100,"Sim")&gt;0,"Sim","Não"))</f>
        <v>Não</v>
      </c>
      <c r="AD42" s="24" t="str">
        <f>IF(AD$2="","",IF(COUNTIFS('Mapa Impacto'!$D$7:$D$100,'Resumo Atividades x Sistema'!$D42,'Mapa Impacto'!AC$7:AC$100,"Sim")&gt;0,"Sim","Não"))</f>
        <v>Não</v>
      </c>
      <c r="AE42" s="24" t="str">
        <f>IF(AE$2="","",IF(COUNTIFS('Mapa Impacto'!$D$7:$D$100,'Resumo Atividades x Sistema'!$D42,'Mapa Impacto'!AD$7:AD$100,"Sim")&gt;0,"Sim","Não"))</f>
        <v>Não</v>
      </c>
      <c r="AF42" s="24" t="str">
        <f>IF(AF$2="","",IF(COUNTIFS('Mapa Impacto'!$D$7:$D$100,'Resumo Atividades x Sistema'!$D42,'Mapa Impacto'!AE$7:AE$100,"Sim")&gt;0,"Sim","Não"))</f>
        <v>Não</v>
      </c>
      <c r="AG42" s="24" t="str">
        <f>IF(AG$2="","",IF(COUNTIFS('Mapa Impacto'!$D$7:$D$100,'Resumo Atividades x Sistema'!$D42,'Mapa Impacto'!AF$7:AF$100,"Sim")&gt;0,"Sim","Não"))</f>
        <v>Não</v>
      </c>
      <c r="AH42" s="24" t="str">
        <f>IF(AH$2="","",IF(COUNTIFS('Mapa Impacto'!$D$7:$D$100,'Resumo Atividades x Sistema'!$D42,'Mapa Impacto'!AG$7:AG$100,"Sim")&gt;0,"Sim","Não"))</f>
        <v>Não</v>
      </c>
      <c r="AI42" s="24" t="str">
        <f>IF(AI$2="","",IF(COUNTIFS('Mapa Impacto'!$D$7:$D$100,'Resumo Atividades x Sistema'!$D42,'Mapa Impacto'!AH$7:AH$100,"Sim")&gt;0,"Sim","Não"))</f>
        <v>Não</v>
      </c>
      <c r="AJ42" s="24" t="str">
        <f>IF(AJ$2="","",IF(COUNTIFS('Mapa Impacto'!$D$7:$D$100,'Resumo Atividades x Sistema'!$D42,'Mapa Impacto'!AI$7:AI$100,"Sim")&gt;0,"Sim","Não"))</f>
        <v>Não</v>
      </c>
      <c r="AK42" s="24" t="str">
        <f>IF(AK$2="","",IF(COUNTIFS('Mapa Impacto'!$D$7:$D$100,'Resumo Atividades x Sistema'!$D42,'Mapa Impacto'!AJ$7:AJ$100,"Sim")&gt;0,"Sim","Não"))</f>
        <v>Não</v>
      </c>
    </row>
    <row r="43" spans="2:37" ht="60" x14ac:dyDescent="0.25">
      <c r="B43" s="144" t="str">
        <f>'Checklist Impacto Operações TI'!A39</f>
        <v>99 - Entendimento da solução</v>
      </c>
      <c r="C43" s="145"/>
      <c r="D43" s="24" t="str">
        <f>'Checklist Impacto Operações TI'!C39</f>
        <v>A demanda implantará mecanismo de coleta de volumetria das transações?</v>
      </c>
      <c r="E43" s="24" t="str">
        <f>'Checklist Impacto Operações TI'!D39</f>
        <v>Identificar estimativa de volumetria para processos online e/ou processos batch.  Usado para formação do conhecimento da solução. Não tem atividade a ser desenvolvida.</v>
      </c>
      <c r="F43" s="24" t="str">
        <f>'Checklist Impacto Operações TI'!E39</f>
        <v>Funcionalidade para coleta de volumetria das transações/cases do sistema</v>
      </c>
      <c r="G43" s="24" t="str">
        <f>IF(G$2="","",IF(COUNTIFS('Mapa Impacto'!$D$7:$D$100,'Resumo Atividades x Sistema'!$D43,'Mapa Impacto'!F$7:F$100,"Sim")&gt;0,"Sim","Não"))</f>
        <v>Não</v>
      </c>
      <c r="H43" s="24" t="str">
        <f>IF(H$2="","",IF(COUNTIFS('Mapa Impacto'!$D$7:$D$100,'Resumo Atividades x Sistema'!$D43,'Mapa Impacto'!G$7:G$100,"Sim")&gt;0,"Sim","Não"))</f>
        <v>Não</v>
      </c>
      <c r="I43" s="24" t="str">
        <f>IF(I$2="","",IF(COUNTIFS('Mapa Impacto'!$D$7:$D$100,'Resumo Atividades x Sistema'!$D43,'Mapa Impacto'!H$7:H$100,"Sim")&gt;0,"Sim","Não"))</f>
        <v>Não</v>
      </c>
      <c r="J43" s="24" t="str">
        <f>IF(J$2="","",IF(COUNTIFS('Mapa Impacto'!$D$7:$D$100,'Resumo Atividades x Sistema'!$D43,'Mapa Impacto'!I$7:I$100,"Sim")&gt;0,"Sim","Não"))</f>
        <v>Não</v>
      </c>
      <c r="K43" s="24" t="str">
        <f>IF(K$2="","",IF(COUNTIFS('Mapa Impacto'!$D$7:$D$100,'Resumo Atividades x Sistema'!$D43,'Mapa Impacto'!J$7:J$100,"Sim")&gt;0,"Sim","Não"))</f>
        <v>Não</v>
      </c>
      <c r="L43" s="24" t="str">
        <f>IF(L$2="","",IF(COUNTIFS('Mapa Impacto'!$D$7:$D$100,'Resumo Atividades x Sistema'!$D43,'Mapa Impacto'!K$7:K$100,"Sim")&gt;0,"Sim","Não"))</f>
        <v>Não</v>
      </c>
      <c r="M43" s="24" t="str">
        <f>IF(M$2="","",IF(COUNTIFS('Mapa Impacto'!$D$7:$D$100,'Resumo Atividades x Sistema'!$D43,'Mapa Impacto'!L$7:L$100,"Sim")&gt;0,"Sim","Não"))</f>
        <v>Não</v>
      </c>
      <c r="N43" s="24" t="str">
        <f>IF(N$2="","",IF(COUNTIFS('Mapa Impacto'!$D$7:$D$100,'Resumo Atividades x Sistema'!$D43,'Mapa Impacto'!M$7:M$100,"Sim")&gt;0,"Sim","Não"))</f>
        <v>Não</v>
      </c>
      <c r="O43" s="24" t="str">
        <f>IF(O$2="","",IF(COUNTIFS('Mapa Impacto'!$D$7:$D$100,'Resumo Atividades x Sistema'!$D43,'Mapa Impacto'!N$7:N$100,"Sim")&gt;0,"Sim","Não"))</f>
        <v>Não</v>
      </c>
      <c r="P43" s="24" t="str">
        <f>IF(P$2="","",IF(COUNTIFS('Mapa Impacto'!$D$7:$D$100,'Resumo Atividades x Sistema'!$D43,'Mapa Impacto'!O$7:O$100,"Sim")&gt;0,"Sim","Não"))</f>
        <v>Não</v>
      </c>
      <c r="Q43" s="24" t="str">
        <f>IF(Q$2="","",IF(COUNTIFS('Mapa Impacto'!$D$7:$D$100,'Resumo Atividades x Sistema'!$D43,'Mapa Impacto'!P$7:P$100,"Sim")&gt;0,"Sim","Não"))</f>
        <v>Não</v>
      </c>
      <c r="R43" s="24" t="str">
        <f>IF(R$2="","",IF(COUNTIFS('Mapa Impacto'!$D$7:$D$100,'Resumo Atividades x Sistema'!$D43,'Mapa Impacto'!Q$7:Q$100,"Sim")&gt;0,"Sim","Não"))</f>
        <v>Não</v>
      </c>
      <c r="S43" s="24" t="str">
        <f>IF(S$2="","",IF(COUNTIFS('Mapa Impacto'!$D$7:$D$100,'Resumo Atividades x Sistema'!$D43,'Mapa Impacto'!R$7:R$100,"Sim")&gt;0,"Sim","Não"))</f>
        <v>Não</v>
      </c>
      <c r="T43" s="24" t="str">
        <f>IF(T$2="","",IF(COUNTIFS('Mapa Impacto'!$D$7:$D$100,'Resumo Atividades x Sistema'!$D43,'Mapa Impacto'!S$7:S$100,"Sim")&gt;0,"Sim","Não"))</f>
        <v>Não</v>
      </c>
      <c r="U43" s="24" t="str">
        <f>IF(U$2="","",IF(COUNTIFS('Mapa Impacto'!$D$7:$D$100,'Resumo Atividades x Sistema'!$D43,'Mapa Impacto'!T$7:T$100,"Sim")&gt;0,"Sim","Não"))</f>
        <v>Não</v>
      </c>
      <c r="V43" s="24" t="str">
        <f>IF(V$2="","",IF(COUNTIFS('Mapa Impacto'!$D$7:$D$100,'Resumo Atividades x Sistema'!$D43,'Mapa Impacto'!U$7:U$100,"Sim")&gt;0,"Sim","Não"))</f>
        <v>Não</v>
      </c>
      <c r="W43" s="24" t="str">
        <f>IF(W$2="","",IF(COUNTIFS('Mapa Impacto'!$D$7:$D$100,'Resumo Atividades x Sistema'!$D43,'Mapa Impacto'!V$7:V$100,"Sim")&gt;0,"Sim","Não"))</f>
        <v>Não</v>
      </c>
      <c r="X43" s="24" t="str">
        <f>IF(X$2="","",IF(COUNTIFS('Mapa Impacto'!$D$7:$D$100,'Resumo Atividades x Sistema'!$D43,'Mapa Impacto'!W$7:W$100,"Sim")&gt;0,"Sim","Não"))</f>
        <v>Não</v>
      </c>
      <c r="Y43" s="24" t="str">
        <f>IF(Y$2="","",IF(COUNTIFS('Mapa Impacto'!$D$7:$D$100,'Resumo Atividades x Sistema'!$D43,'Mapa Impacto'!X$7:X$100,"Sim")&gt;0,"Sim","Não"))</f>
        <v>Não</v>
      </c>
      <c r="Z43" s="24" t="str">
        <f>IF(Z$2="","",IF(COUNTIFS('Mapa Impacto'!$D$7:$D$100,'Resumo Atividades x Sistema'!$D43,'Mapa Impacto'!Y$7:Y$100,"Sim")&gt;0,"Sim","Não"))</f>
        <v>Não</v>
      </c>
      <c r="AA43" s="24" t="str">
        <f>IF(AA$2="","",IF(COUNTIFS('Mapa Impacto'!$D$7:$D$100,'Resumo Atividades x Sistema'!$D43,'Mapa Impacto'!Z$7:Z$100,"Sim")&gt;0,"Sim","Não"))</f>
        <v>Não</v>
      </c>
      <c r="AB43" s="24" t="str">
        <f>IF(AB$2="","",IF(COUNTIFS('Mapa Impacto'!$D$7:$D$100,'Resumo Atividades x Sistema'!$D43,'Mapa Impacto'!AA$7:AA$100,"Sim")&gt;0,"Sim","Não"))</f>
        <v>Não</v>
      </c>
      <c r="AC43" s="24" t="str">
        <f>IF(AC$2="","",IF(COUNTIFS('Mapa Impacto'!$D$7:$D$100,'Resumo Atividades x Sistema'!$D43,'Mapa Impacto'!AB$7:AB$100,"Sim")&gt;0,"Sim","Não"))</f>
        <v>Não</v>
      </c>
      <c r="AD43" s="24" t="str">
        <f>IF(AD$2="","",IF(COUNTIFS('Mapa Impacto'!$D$7:$D$100,'Resumo Atividades x Sistema'!$D43,'Mapa Impacto'!AC$7:AC$100,"Sim")&gt;0,"Sim","Não"))</f>
        <v>Não</v>
      </c>
      <c r="AE43" s="24" t="str">
        <f>IF(AE$2="","",IF(COUNTIFS('Mapa Impacto'!$D$7:$D$100,'Resumo Atividades x Sistema'!$D43,'Mapa Impacto'!AD$7:AD$100,"Sim")&gt;0,"Sim","Não"))</f>
        <v>Não</v>
      </c>
      <c r="AF43" s="24" t="str">
        <f>IF(AF$2="","",IF(COUNTIFS('Mapa Impacto'!$D$7:$D$100,'Resumo Atividades x Sistema'!$D43,'Mapa Impacto'!AE$7:AE$100,"Sim")&gt;0,"Sim","Não"))</f>
        <v>Não</v>
      </c>
      <c r="AG43" s="24" t="str">
        <f>IF(AG$2="","",IF(COUNTIFS('Mapa Impacto'!$D$7:$D$100,'Resumo Atividades x Sistema'!$D43,'Mapa Impacto'!AF$7:AF$100,"Sim")&gt;0,"Sim","Não"))</f>
        <v>Não</v>
      </c>
      <c r="AH43" s="24" t="str">
        <f>IF(AH$2="","",IF(COUNTIFS('Mapa Impacto'!$D$7:$D$100,'Resumo Atividades x Sistema'!$D43,'Mapa Impacto'!AG$7:AG$100,"Sim")&gt;0,"Sim","Não"))</f>
        <v>Não</v>
      </c>
      <c r="AI43" s="24" t="str">
        <f>IF(AI$2="","",IF(COUNTIFS('Mapa Impacto'!$D$7:$D$100,'Resumo Atividades x Sistema'!$D43,'Mapa Impacto'!AH$7:AH$100,"Sim")&gt;0,"Sim","Não"))</f>
        <v>Não</v>
      </c>
      <c r="AJ43" s="24" t="str">
        <f>IF(AJ$2="","",IF(COUNTIFS('Mapa Impacto'!$D$7:$D$100,'Resumo Atividades x Sistema'!$D43,'Mapa Impacto'!AI$7:AI$100,"Sim")&gt;0,"Sim","Não"))</f>
        <v>Não</v>
      </c>
      <c r="AK43" s="24" t="str">
        <f>IF(AK$2="","",IF(COUNTIFS('Mapa Impacto'!$D$7:$D$100,'Resumo Atividades x Sistema'!$D43,'Mapa Impacto'!AJ$7:AJ$100,"Sim")&gt;0,"Sim","Não"))</f>
        <v>Não</v>
      </c>
    </row>
    <row r="44" spans="2:37" ht="45" outlineLevel="1" x14ac:dyDescent="0.25">
      <c r="B44" s="144" t="str">
        <f>'Checklist Impacto Operações TI'!A40</f>
        <v>99 - Entendimento da solução</v>
      </c>
      <c r="C44" s="145"/>
      <c r="D44" s="24" t="str">
        <f>'Checklist Impacto Operações TI'!C40</f>
        <v>A demanda fará integração com a engenharia?</v>
      </c>
      <c r="E44" s="24" t="str">
        <f>'Checklist Impacto Operações TI'!D40</f>
        <v>Identificar se há integração com a engenharia. Usado para formação do conhecimento da solução. Não tem atividade a ser desenvolvida.</v>
      </c>
      <c r="F44" s="24" t="str">
        <f>'Checklist Impacto Operações TI'!E40</f>
        <v>Identificação da existência de integração com a engenharia</v>
      </c>
      <c r="G44" s="24" t="str">
        <f>IF(G$2="","",IF(COUNTIFS('Mapa Impacto'!$D$7:$D$100,'Resumo Atividades x Sistema'!$D44,'Mapa Impacto'!F$7:F$100,"Sim")&gt;0,"Sim","Não"))</f>
        <v>Não</v>
      </c>
      <c r="H44" s="24" t="str">
        <f>IF(H$2="","",IF(COUNTIFS('Mapa Impacto'!$D$7:$D$100,'Resumo Atividades x Sistema'!$D44,'Mapa Impacto'!G$7:G$100,"Sim")&gt;0,"Sim","Não"))</f>
        <v>Não</v>
      </c>
      <c r="I44" s="24" t="str">
        <f>IF(I$2="","",IF(COUNTIFS('Mapa Impacto'!$D$7:$D$100,'Resumo Atividades x Sistema'!$D44,'Mapa Impacto'!H$7:H$100,"Sim")&gt;0,"Sim","Não"))</f>
        <v>Não</v>
      </c>
      <c r="J44" s="24" t="str">
        <f>IF(J$2="","",IF(COUNTIFS('Mapa Impacto'!$D$7:$D$100,'Resumo Atividades x Sistema'!$D44,'Mapa Impacto'!I$7:I$100,"Sim")&gt;0,"Sim","Não"))</f>
        <v>Não</v>
      </c>
      <c r="K44" s="24" t="str">
        <f>IF(K$2="","",IF(COUNTIFS('Mapa Impacto'!$D$7:$D$100,'Resumo Atividades x Sistema'!$D44,'Mapa Impacto'!J$7:J$100,"Sim")&gt;0,"Sim","Não"))</f>
        <v>Não</v>
      </c>
      <c r="L44" s="24" t="str">
        <f>IF(L$2="","",IF(COUNTIFS('Mapa Impacto'!$D$7:$D$100,'Resumo Atividades x Sistema'!$D44,'Mapa Impacto'!K$7:K$100,"Sim")&gt;0,"Sim","Não"))</f>
        <v>Não</v>
      </c>
      <c r="M44" s="24" t="str">
        <f>IF(M$2="","",IF(COUNTIFS('Mapa Impacto'!$D$7:$D$100,'Resumo Atividades x Sistema'!$D44,'Mapa Impacto'!L$7:L$100,"Sim")&gt;0,"Sim","Não"))</f>
        <v>Não</v>
      </c>
      <c r="N44" s="24" t="str">
        <f>IF(N$2="","",IF(COUNTIFS('Mapa Impacto'!$D$7:$D$100,'Resumo Atividades x Sistema'!$D44,'Mapa Impacto'!M$7:M$100,"Sim")&gt;0,"Sim","Não"))</f>
        <v>Não</v>
      </c>
      <c r="O44" s="24" t="str">
        <f>IF(O$2="","",IF(COUNTIFS('Mapa Impacto'!$D$7:$D$100,'Resumo Atividades x Sistema'!$D44,'Mapa Impacto'!N$7:N$100,"Sim")&gt;0,"Sim","Não"))</f>
        <v>Não</v>
      </c>
      <c r="P44" s="24" t="str">
        <f>IF(P$2="","",IF(COUNTIFS('Mapa Impacto'!$D$7:$D$100,'Resumo Atividades x Sistema'!$D44,'Mapa Impacto'!O$7:O$100,"Sim")&gt;0,"Sim","Não"))</f>
        <v>Não</v>
      </c>
      <c r="Q44" s="24" t="str">
        <f>IF(Q$2="","",IF(COUNTIFS('Mapa Impacto'!$D$7:$D$100,'Resumo Atividades x Sistema'!$D44,'Mapa Impacto'!P$7:P$100,"Sim")&gt;0,"Sim","Não"))</f>
        <v>Não</v>
      </c>
      <c r="R44" s="24" t="str">
        <f>IF(R$2="","",IF(COUNTIFS('Mapa Impacto'!$D$7:$D$100,'Resumo Atividades x Sistema'!$D44,'Mapa Impacto'!Q$7:Q$100,"Sim")&gt;0,"Sim","Não"))</f>
        <v>Não</v>
      </c>
      <c r="S44" s="24" t="str">
        <f>IF(S$2="","",IF(COUNTIFS('Mapa Impacto'!$D$7:$D$100,'Resumo Atividades x Sistema'!$D44,'Mapa Impacto'!R$7:R$100,"Sim")&gt;0,"Sim","Não"))</f>
        <v>Não</v>
      </c>
      <c r="T44" s="24" t="str">
        <f>IF(T$2="","",IF(COUNTIFS('Mapa Impacto'!$D$7:$D$100,'Resumo Atividades x Sistema'!$D44,'Mapa Impacto'!S$7:S$100,"Sim")&gt;0,"Sim","Não"))</f>
        <v>Não</v>
      </c>
      <c r="U44" s="24" t="str">
        <f>IF(U$2="","",IF(COUNTIFS('Mapa Impacto'!$D$7:$D$100,'Resumo Atividades x Sistema'!$D44,'Mapa Impacto'!T$7:T$100,"Sim")&gt;0,"Sim","Não"))</f>
        <v>Não</v>
      </c>
      <c r="V44" s="24" t="str">
        <f>IF(V$2="","",IF(COUNTIFS('Mapa Impacto'!$D$7:$D$100,'Resumo Atividades x Sistema'!$D44,'Mapa Impacto'!U$7:U$100,"Sim")&gt;0,"Sim","Não"))</f>
        <v>Não</v>
      </c>
      <c r="W44" s="24" t="str">
        <f>IF(W$2="","",IF(COUNTIFS('Mapa Impacto'!$D$7:$D$100,'Resumo Atividades x Sistema'!$D44,'Mapa Impacto'!V$7:V$100,"Sim")&gt;0,"Sim","Não"))</f>
        <v>Não</v>
      </c>
      <c r="X44" s="24" t="str">
        <f>IF(X$2="","",IF(COUNTIFS('Mapa Impacto'!$D$7:$D$100,'Resumo Atividades x Sistema'!$D44,'Mapa Impacto'!W$7:W$100,"Sim")&gt;0,"Sim","Não"))</f>
        <v>Não</v>
      </c>
      <c r="Y44" s="24" t="str">
        <f>IF(Y$2="","",IF(COUNTIFS('Mapa Impacto'!$D$7:$D$100,'Resumo Atividades x Sistema'!$D44,'Mapa Impacto'!X$7:X$100,"Sim")&gt;0,"Sim","Não"))</f>
        <v>Não</v>
      </c>
      <c r="Z44" s="24" t="str">
        <f>IF(Z$2="","",IF(COUNTIFS('Mapa Impacto'!$D$7:$D$100,'Resumo Atividades x Sistema'!$D44,'Mapa Impacto'!Y$7:Y$100,"Sim")&gt;0,"Sim","Não"))</f>
        <v>Não</v>
      </c>
      <c r="AA44" s="24" t="str">
        <f>IF(AA$2="","",IF(COUNTIFS('Mapa Impacto'!$D$7:$D$100,'Resumo Atividades x Sistema'!$D44,'Mapa Impacto'!Z$7:Z$100,"Sim")&gt;0,"Sim","Não"))</f>
        <v>Não</v>
      </c>
      <c r="AB44" s="24" t="str">
        <f>IF(AB$2="","",IF(COUNTIFS('Mapa Impacto'!$D$7:$D$100,'Resumo Atividades x Sistema'!$D44,'Mapa Impacto'!AA$7:AA$100,"Sim")&gt;0,"Sim","Não"))</f>
        <v>Não</v>
      </c>
      <c r="AC44" s="24" t="str">
        <f>IF(AC$2="","",IF(COUNTIFS('Mapa Impacto'!$D$7:$D$100,'Resumo Atividades x Sistema'!$D44,'Mapa Impacto'!AB$7:AB$100,"Sim")&gt;0,"Sim","Não"))</f>
        <v>Não</v>
      </c>
      <c r="AD44" s="24" t="str">
        <f>IF(AD$2="","",IF(COUNTIFS('Mapa Impacto'!$D$7:$D$100,'Resumo Atividades x Sistema'!$D44,'Mapa Impacto'!AC$7:AC$100,"Sim")&gt;0,"Sim","Não"))</f>
        <v>Não</v>
      </c>
      <c r="AE44" s="24" t="str">
        <f>IF(AE$2="","",IF(COUNTIFS('Mapa Impacto'!$D$7:$D$100,'Resumo Atividades x Sistema'!$D44,'Mapa Impacto'!AD$7:AD$100,"Sim")&gt;0,"Sim","Não"))</f>
        <v>Não</v>
      </c>
      <c r="AF44" s="24" t="str">
        <f>IF(AF$2="","",IF(COUNTIFS('Mapa Impacto'!$D$7:$D$100,'Resumo Atividades x Sistema'!$D44,'Mapa Impacto'!AE$7:AE$100,"Sim")&gt;0,"Sim","Não"))</f>
        <v>Não</v>
      </c>
      <c r="AG44" s="24" t="str">
        <f>IF(AG$2="","",IF(COUNTIFS('Mapa Impacto'!$D$7:$D$100,'Resumo Atividades x Sistema'!$D44,'Mapa Impacto'!AF$7:AF$100,"Sim")&gt;0,"Sim","Não"))</f>
        <v>Não</v>
      </c>
      <c r="AH44" s="24" t="str">
        <f>IF(AH$2="","",IF(COUNTIFS('Mapa Impacto'!$D$7:$D$100,'Resumo Atividades x Sistema'!$D44,'Mapa Impacto'!AG$7:AG$100,"Sim")&gt;0,"Sim","Não"))</f>
        <v>Não</v>
      </c>
      <c r="AI44" s="24" t="str">
        <f>IF(AI$2="","",IF(COUNTIFS('Mapa Impacto'!$D$7:$D$100,'Resumo Atividades x Sistema'!$D44,'Mapa Impacto'!AH$7:AH$100,"Sim")&gt;0,"Sim","Não"))</f>
        <v>Não</v>
      </c>
      <c r="AJ44" s="24" t="str">
        <f>IF(AJ$2="","",IF(COUNTIFS('Mapa Impacto'!$D$7:$D$100,'Resumo Atividades x Sistema'!$D44,'Mapa Impacto'!AI$7:AI$100,"Sim")&gt;0,"Sim","Não"))</f>
        <v>Não</v>
      </c>
      <c r="AK44" s="24" t="str">
        <f>IF(AK$2="","",IF(COUNTIFS('Mapa Impacto'!$D$7:$D$100,'Resumo Atividades x Sistema'!$D44,'Mapa Impacto'!AJ$7:AJ$100,"Sim")&gt;0,"Sim","Não"))</f>
        <v>Não</v>
      </c>
    </row>
    <row r="45" spans="2:37" ht="45" outlineLevel="1" x14ac:dyDescent="0.25">
      <c r="B45" s="144" t="str">
        <f>'Checklist Impacto Operações TI'!A41</f>
        <v>99 - Entendimento da solução</v>
      </c>
      <c r="C45" s="145"/>
      <c r="D45" s="24" t="str">
        <f>'Checklist Impacto Operações TI'!C41</f>
        <v>A demanda tem necessidade de comunicação SSL?</v>
      </c>
      <c r="E45" s="24" t="str">
        <f>'Checklist Impacto Operações TI'!D41</f>
        <v>Identificar se há necessidade de comunicação SSL. Usado para formação do conhecimento da solução. Não tem atividade a ser desenvolvida.</v>
      </c>
      <c r="F45" s="24" t="str">
        <f>'Checklist Impacto Operações TI'!E41</f>
        <v>Identificar se há necessidade de comunicação SSL</v>
      </c>
      <c r="G45" s="24" t="str">
        <f>IF(G$2="","",IF(COUNTIFS('Mapa Impacto'!$D$7:$D$100,'Resumo Atividades x Sistema'!$D45,'Mapa Impacto'!F$7:F$100,"Sim")&gt;0,"Sim","Não"))</f>
        <v>Não</v>
      </c>
      <c r="H45" s="24" t="str">
        <f>IF(H$2="","",IF(COUNTIFS('Mapa Impacto'!$D$7:$D$100,'Resumo Atividades x Sistema'!$D45,'Mapa Impacto'!G$7:G$100,"Sim")&gt;0,"Sim","Não"))</f>
        <v>Não</v>
      </c>
      <c r="I45" s="24" t="str">
        <f>IF(I$2="","",IF(COUNTIFS('Mapa Impacto'!$D$7:$D$100,'Resumo Atividades x Sistema'!$D45,'Mapa Impacto'!H$7:H$100,"Sim")&gt;0,"Sim","Não"))</f>
        <v>Não</v>
      </c>
      <c r="J45" s="24" t="str">
        <f>IF(J$2="","",IF(COUNTIFS('Mapa Impacto'!$D$7:$D$100,'Resumo Atividades x Sistema'!$D45,'Mapa Impacto'!I$7:I$100,"Sim")&gt;0,"Sim","Não"))</f>
        <v>Não</v>
      </c>
      <c r="K45" s="24" t="str">
        <f>IF(K$2="","",IF(COUNTIFS('Mapa Impacto'!$D$7:$D$100,'Resumo Atividades x Sistema'!$D45,'Mapa Impacto'!J$7:J$100,"Sim")&gt;0,"Sim","Não"))</f>
        <v>Não</v>
      </c>
      <c r="L45" s="24" t="str">
        <f>IF(L$2="","",IF(COUNTIFS('Mapa Impacto'!$D$7:$D$100,'Resumo Atividades x Sistema'!$D45,'Mapa Impacto'!K$7:K$100,"Sim")&gt;0,"Sim","Não"))</f>
        <v>Não</v>
      </c>
      <c r="M45" s="24" t="str">
        <f>IF(M$2="","",IF(COUNTIFS('Mapa Impacto'!$D$7:$D$100,'Resumo Atividades x Sistema'!$D45,'Mapa Impacto'!L$7:L$100,"Sim")&gt;0,"Sim","Não"))</f>
        <v>Não</v>
      </c>
      <c r="N45" s="24" t="str">
        <f>IF(N$2="","",IF(COUNTIFS('Mapa Impacto'!$D$7:$D$100,'Resumo Atividades x Sistema'!$D45,'Mapa Impacto'!M$7:M$100,"Sim")&gt;0,"Sim","Não"))</f>
        <v>Não</v>
      </c>
      <c r="O45" s="24" t="str">
        <f>IF(O$2="","",IF(COUNTIFS('Mapa Impacto'!$D$7:$D$100,'Resumo Atividades x Sistema'!$D45,'Mapa Impacto'!N$7:N$100,"Sim")&gt;0,"Sim","Não"))</f>
        <v>Não</v>
      </c>
      <c r="P45" s="24" t="str">
        <f>IF(P$2="","",IF(COUNTIFS('Mapa Impacto'!$D$7:$D$100,'Resumo Atividades x Sistema'!$D45,'Mapa Impacto'!O$7:O$100,"Sim")&gt;0,"Sim","Não"))</f>
        <v>Não</v>
      </c>
      <c r="Q45" s="24" t="str">
        <f>IF(Q$2="","",IF(COUNTIFS('Mapa Impacto'!$D$7:$D$100,'Resumo Atividades x Sistema'!$D45,'Mapa Impacto'!P$7:P$100,"Sim")&gt;0,"Sim","Não"))</f>
        <v>Não</v>
      </c>
      <c r="R45" s="24" t="str">
        <f>IF(R$2="","",IF(COUNTIFS('Mapa Impacto'!$D$7:$D$100,'Resumo Atividades x Sistema'!$D45,'Mapa Impacto'!Q$7:Q$100,"Sim")&gt;0,"Sim","Não"))</f>
        <v>Não</v>
      </c>
      <c r="S45" s="24" t="str">
        <f>IF(S$2="","",IF(COUNTIFS('Mapa Impacto'!$D$7:$D$100,'Resumo Atividades x Sistema'!$D45,'Mapa Impacto'!R$7:R$100,"Sim")&gt;0,"Sim","Não"))</f>
        <v>Não</v>
      </c>
      <c r="T45" s="24" t="str">
        <f>IF(T$2="","",IF(COUNTIFS('Mapa Impacto'!$D$7:$D$100,'Resumo Atividades x Sistema'!$D45,'Mapa Impacto'!S$7:S$100,"Sim")&gt;0,"Sim","Não"))</f>
        <v>Não</v>
      </c>
      <c r="U45" s="24" t="str">
        <f>IF(U$2="","",IF(COUNTIFS('Mapa Impacto'!$D$7:$D$100,'Resumo Atividades x Sistema'!$D45,'Mapa Impacto'!T$7:T$100,"Sim")&gt;0,"Sim","Não"))</f>
        <v>Não</v>
      </c>
      <c r="V45" s="24" t="str">
        <f>IF(V$2="","",IF(COUNTIFS('Mapa Impacto'!$D$7:$D$100,'Resumo Atividades x Sistema'!$D45,'Mapa Impacto'!U$7:U$100,"Sim")&gt;0,"Sim","Não"))</f>
        <v>Não</v>
      </c>
      <c r="W45" s="24" t="str">
        <f>IF(W$2="","",IF(COUNTIFS('Mapa Impacto'!$D$7:$D$100,'Resumo Atividades x Sistema'!$D45,'Mapa Impacto'!V$7:V$100,"Sim")&gt;0,"Sim","Não"))</f>
        <v>Não</v>
      </c>
      <c r="X45" s="24" t="str">
        <f>IF(X$2="","",IF(COUNTIFS('Mapa Impacto'!$D$7:$D$100,'Resumo Atividades x Sistema'!$D45,'Mapa Impacto'!W$7:W$100,"Sim")&gt;0,"Sim","Não"))</f>
        <v>Não</v>
      </c>
      <c r="Y45" s="24" t="str">
        <f>IF(Y$2="","",IF(COUNTIFS('Mapa Impacto'!$D$7:$D$100,'Resumo Atividades x Sistema'!$D45,'Mapa Impacto'!X$7:X$100,"Sim")&gt;0,"Sim","Não"))</f>
        <v>Não</v>
      </c>
      <c r="Z45" s="24" t="str">
        <f>IF(Z$2="","",IF(COUNTIFS('Mapa Impacto'!$D$7:$D$100,'Resumo Atividades x Sistema'!$D45,'Mapa Impacto'!Y$7:Y$100,"Sim")&gt;0,"Sim","Não"))</f>
        <v>Não</v>
      </c>
      <c r="AA45" s="24" t="str">
        <f>IF(AA$2="","",IF(COUNTIFS('Mapa Impacto'!$D$7:$D$100,'Resumo Atividades x Sistema'!$D45,'Mapa Impacto'!Z$7:Z$100,"Sim")&gt;0,"Sim","Não"))</f>
        <v>Não</v>
      </c>
      <c r="AB45" s="24" t="str">
        <f>IF(AB$2="","",IF(COUNTIFS('Mapa Impacto'!$D$7:$D$100,'Resumo Atividades x Sistema'!$D45,'Mapa Impacto'!AA$7:AA$100,"Sim")&gt;0,"Sim","Não"))</f>
        <v>Não</v>
      </c>
      <c r="AC45" s="24" t="str">
        <f>IF(AC$2="","",IF(COUNTIFS('Mapa Impacto'!$D$7:$D$100,'Resumo Atividades x Sistema'!$D45,'Mapa Impacto'!AB$7:AB$100,"Sim")&gt;0,"Sim","Não"))</f>
        <v>Não</v>
      </c>
      <c r="AD45" s="24" t="str">
        <f>IF(AD$2="","",IF(COUNTIFS('Mapa Impacto'!$D$7:$D$100,'Resumo Atividades x Sistema'!$D45,'Mapa Impacto'!AC$7:AC$100,"Sim")&gt;0,"Sim","Não"))</f>
        <v>Não</v>
      </c>
      <c r="AE45" s="24" t="str">
        <f>IF(AE$2="","",IF(COUNTIFS('Mapa Impacto'!$D$7:$D$100,'Resumo Atividades x Sistema'!$D45,'Mapa Impacto'!AD$7:AD$100,"Sim")&gt;0,"Sim","Não"))</f>
        <v>Não</v>
      </c>
      <c r="AF45" s="24" t="str">
        <f>IF(AF$2="","",IF(COUNTIFS('Mapa Impacto'!$D$7:$D$100,'Resumo Atividades x Sistema'!$D45,'Mapa Impacto'!AE$7:AE$100,"Sim")&gt;0,"Sim","Não"))</f>
        <v>Não</v>
      </c>
      <c r="AG45" s="24" t="str">
        <f>IF(AG$2="","",IF(COUNTIFS('Mapa Impacto'!$D$7:$D$100,'Resumo Atividades x Sistema'!$D45,'Mapa Impacto'!AF$7:AF$100,"Sim")&gt;0,"Sim","Não"))</f>
        <v>Não</v>
      </c>
      <c r="AH45" s="24" t="str">
        <f>IF(AH$2="","",IF(COUNTIFS('Mapa Impacto'!$D$7:$D$100,'Resumo Atividades x Sistema'!$D45,'Mapa Impacto'!AG$7:AG$100,"Sim")&gt;0,"Sim","Não"))</f>
        <v>Não</v>
      </c>
      <c r="AI45" s="24" t="str">
        <f>IF(AI$2="","",IF(COUNTIFS('Mapa Impacto'!$D$7:$D$100,'Resumo Atividades x Sistema'!$D45,'Mapa Impacto'!AH$7:AH$100,"Sim")&gt;0,"Sim","Não"))</f>
        <v>Não</v>
      </c>
      <c r="AJ45" s="24" t="str">
        <f>IF(AJ$2="","",IF(COUNTIFS('Mapa Impacto'!$D$7:$D$100,'Resumo Atividades x Sistema'!$D45,'Mapa Impacto'!AI$7:AI$100,"Sim")&gt;0,"Sim","Não"))</f>
        <v>Não</v>
      </c>
      <c r="AK45" s="24" t="str">
        <f>IF(AK$2="","",IF(COUNTIFS('Mapa Impacto'!$D$7:$D$100,'Resumo Atividades x Sistema'!$D45,'Mapa Impacto'!AJ$7:AJ$100,"Sim")&gt;0,"Sim","Não"))</f>
        <v>Não</v>
      </c>
    </row>
    <row r="46" spans="2:37" ht="60" outlineLevel="1" x14ac:dyDescent="0.25">
      <c r="B46" s="144" t="str">
        <f>'Checklist Impacto Operações TI'!A42</f>
        <v>99 - Entendimento da solução</v>
      </c>
      <c r="C46" s="145"/>
      <c r="D46" s="24" t="str">
        <f>'Checklist Impacto Operações TI'!C42</f>
        <v>A demanda implica em usar recurso de balanceamento de carga (Exemplo: F5)?</v>
      </c>
      <c r="E46" s="24" t="str">
        <f>'Checklist Impacto Operações TI'!D42</f>
        <v>Identificar se a aplicação usa recurso de Balanceamento de carga (Exemplo: F5).  Usado para formação do conhecimento da solução. Não tem atividade a ser desenvolvida.</v>
      </c>
      <c r="F46" s="24" t="str">
        <f>'Checklist Impacto Operações TI'!E42</f>
        <v>Identificar se a aplicação usa recurso de Balanceamento de carga (Exemplo: F5)</v>
      </c>
      <c r="G46" s="24" t="str">
        <f>IF(G$2="","",IF(COUNTIFS('Mapa Impacto'!$D$7:$D$100,'Resumo Atividades x Sistema'!$D46,'Mapa Impacto'!F$7:F$100,"Sim")&gt;0,"Sim","Não"))</f>
        <v>Não</v>
      </c>
      <c r="H46" s="24" t="str">
        <f>IF(H$2="","",IF(COUNTIFS('Mapa Impacto'!$D$7:$D$100,'Resumo Atividades x Sistema'!$D46,'Mapa Impacto'!G$7:G$100,"Sim")&gt;0,"Sim","Não"))</f>
        <v>Não</v>
      </c>
      <c r="I46" s="24" t="str">
        <f>IF(I$2="","",IF(COUNTIFS('Mapa Impacto'!$D$7:$D$100,'Resumo Atividades x Sistema'!$D46,'Mapa Impacto'!H$7:H$100,"Sim")&gt;0,"Sim","Não"))</f>
        <v>Não</v>
      </c>
      <c r="J46" s="24" t="str">
        <f>IF(J$2="","",IF(COUNTIFS('Mapa Impacto'!$D$7:$D$100,'Resumo Atividades x Sistema'!$D46,'Mapa Impacto'!I$7:I$100,"Sim")&gt;0,"Sim","Não"))</f>
        <v>Não</v>
      </c>
      <c r="K46" s="24" t="str">
        <f>IF(K$2="","",IF(COUNTIFS('Mapa Impacto'!$D$7:$D$100,'Resumo Atividades x Sistema'!$D46,'Mapa Impacto'!J$7:J$100,"Sim")&gt;0,"Sim","Não"))</f>
        <v>Não</v>
      </c>
      <c r="L46" s="24" t="str">
        <f>IF(L$2="","",IF(COUNTIFS('Mapa Impacto'!$D$7:$D$100,'Resumo Atividades x Sistema'!$D46,'Mapa Impacto'!K$7:K$100,"Sim")&gt;0,"Sim","Não"))</f>
        <v>Não</v>
      </c>
      <c r="M46" s="24" t="str">
        <f>IF(M$2="","",IF(COUNTIFS('Mapa Impacto'!$D$7:$D$100,'Resumo Atividades x Sistema'!$D46,'Mapa Impacto'!L$7:L$100,"Sim")&gt;0,"Sim","Não"))</f>
        <v>Não</v>
      </c>
      <c r="N46" s="24" t="str">
        <f>IF(N$2="","",IF(COUNTIFS('Mapa Impacto'!$D$7:$D$100,'Resumo Atividades x Sistema'!$D46,'Mapa Impacto'!M$7:M$100,"Sim")&gt;0,"Sim","Não"))</f>
        <v>Não</v>
      </c>
      <c r="O46" s="24" t="str">
        <f>IF(O$2="","",IF(COUNTIFS('Mapa Impacto'!$D$7:$D$100,'Resumo Atividades x Sistema'!$D46,'Mapa Impacto'!N$7:N$100,"Sim")&gt;0,"Sim","Não"))</f>
        <v>Não</v>
      </c>
      <c r="P46" s="24" t="str">
        <f>IF(P$2="","",IF(COUNTIFS('Mapa Impacto'!$D$7:$D$100,'Resumo Atividades x Sistema'!$D46,'Mapa Impacto'!O$7:O$100,"Sim")&gt;0,"Sim","Não"))</f>
        <v>Não</v>
      </c>
      <c r="Q46" s="24" t="str">
        <f>IF(Q$2="","",IF(COUNTIFS('Mapa Impacto'!$D$7:$D$100,'Resumo Atividades x Sistema'!$D46,'Mapa Impacto'!P$7:P$100,"Sim")&gt;0,"Sim","Não"))</f>
        <v>Não</v>
      </c>
      <c r="R46" s="24" t="str">
        <f>IF(R$2="","",IF(COUNTIFS('Mapa Impacto'!$D$7:$D$100,'Resumo Atividades x Sistema'!$D46,'Mapa Impacto'!Q$7:Q$100,"Sim")&gt;0,"Sim","Não"))</f>
        <v>Não</v>
      </c>
      <c r="S46" s="24" t="str">
        <f>IF(S$2="","",IF(COUNTIFS('Mapa Impacto'!$D$7:$D$100,'Resumo Atividades x Sistema'!$D46,'Mapa Impacto'!R$7:R$100,"Sim")&gt;0,"Sim","Não"))</f>
        <v>Não</v>
      </c>
      <c r="T46" s="24" t="str">
        <f>IF(T$2="","",IF(COUNTIFS('Mapa Impacto'!$D$7:$D$100,'Resumo Atividades x Sistema'!$D46,'Mapa Impacto'!S$7:S$100,"Sim")&gt;0,"Sim","Não"))</f>
        <v>Não</v>
      </c>
      <c r="U46" s="24" t="str">
        <f>IF(U$2="","",IF(COUNTIFS('Mapa Impacto'!$D$7:$D$100,'Resumo Atividades x Sistema'!$D46,'Mapa Impacto'!T$7:T$100,"Sim")&gt;0,"Sim","Não"))</f>
        <v>Não</v>
      </c>
      <c r="V46" s="24" t="str">
        <f>IF(V$2="","",IF(COUNTIFS('Mapa Impacto'!$D$7:$D$100,'Resumo Atividades x Sistema'!$D46,'Mapa Impacto'!U$7:U$100,"Sim")&gt;0,"Sim","Não"))</f>
        <v>Não</v>
      </c>
      <c r="W46" s="24" t="str">
        <f>IF(W$2="","",IF(COUNTIFS('Mapa Impacto'!$D$7:$D$100,'Resumo Atividades x Sistema'!$D46,'Mapa Impacto'!V$7:V$100,"Sim")&gt;0,"Sim","Não"))</f>
        <v>Não</v>
      </c>
      <c r="X46" s="24" t="str">
        <f>IF(X$2="","",IF(COUNTIFS('Mapa Impacto'!$D$7:$D$100,'Resumo Atividades x Sistema'!$D46,'Mapa Impacto'!W$7:W$100,"Sim")&gt;0,"Sim","Não"))</f>
        <v>Não</v>
      </c>
      <c r="Y46" s="24" t="str">
        <f>IF(Y$2="","",IF(COUNTIFS('Mapa Impacto'!$D$7:$D$100,'Resumo Atividades x Sistema'!$D46,'Mapa Impacto'!X$7:X$100,"Sim")&gt;0,"Sim","Não"))</f>
        <v>Não</v>
      </c>
      <c r="Z46" s="24" t="str">
        <f>IF(Z$2="","",IF(COUNTIFS('Mapa Impacto'!$D$7:$D$100,'Resumo Atividades x Sistema'!$D46,'Mapa Impacto'!Y$7:Y$100,"Sim")&gt;0,"Sim","Não"))</f>
        <v>Não</v>
      </c>
      <c r="AA46" s="24" t="str">
        <f>IF(AA$2="","",IF(COUNTIFS('Mapa Impacto'!$D$7:$D$100,'Resumo Atividades x Sistema'!$D46,'Mapa Impacto'!Z$7:Z$100,"Sim")&gt;0,"Sim","Não"))</f>
        <v>Não</v>
      </c>
      <c r="AB46" s="24" t="str">
        <f>IF(AB$2="","",IF(COUNTIFS('Mapa Impacto'!$D$7:$D$100,'Resumo Atividades x Sistema'!$D46,'Mapa Impacto'!AA$7:AA$100,"Sim")&gt;0,"Sim","Não"))</f>
        <v>Não</v>
      </c>
      <c r="AC46" s="24" t="str">
        <f>IF(AC$2="","",IF(COUNTIFS('Mapa Impacto'!$D$7:$D$100,'Resumo Atividades x Sistema'!$D46,'Mapa Impacto'!AB$7:AB$100,"Sim")&gt;0,"Sim","Não"))</f>
        <v>Não</v>
      </c>
      <c r="AD46" s="24" t="str">
        <f>IF(AD$2="","",IF(COUNTIFS('Mapa Impacto'!$D$7:$D$100,'Resumo Atividades x Sistema'!$D46,'Mapa Impacto'!AC$7:AC$100,"Sim")&gt;0,"Sim","Não"))</f>
        <v>Não</v>
      </c>
      <c r="AE46" s="24" t="str">
        <f>IF(AE$2="","",IF(COUNTIFS('Mapa Impacto'!$D$7:$D$100,'Resumo Atividades x Sistema'!$D46,'Mapa Impacto'!AD$7:AD$100,"Sim")&gt;0,"Sim","Não"))</f>
        <v>Não</v>
      </c>
      <c r="AF46" s="24" t="str">
        <f>IF(AF$2="","",IF(COUNTIFS('Mapa Impacto'!$D$7:$D$100,'Resumo Atividades x Sistema'!$D46,'Mapa Impacto'!AE$7:AE$100,"Sim")&gt;0,"Sim","Não"))</f>
        <v>Não</v>
      </c>
      <c r="AG46" s="24" t="str">
        <f>IF(AG$2="","",IF(COUNTIFS('Mapa Impacto'!$D$7:$D$100,'Resumo Atividades x Sistema'!$D46,'Mapa Impacto'!AF$7:AF$100,"Sim")&gt;0,"Sim","Não"))</f>
        <v>Não</v>
      </c>
      <c r="AH46" s="24" t="str">
        <f>IF(AH$2="","",IF(COUNTIFS('Mapa Impacto'!$D$7:$D$100,'Resumo Atividades x Sistema'!$D46,'Mapa Impacto'!AG$7:AG$100,"Sim")&gt;0,"Sim","Não"))</f>
        <v>Não</v>
      </c>
      <c r="AI46" s="24" t="str">
        <f>IF(AI$2="","",IF(COUNTIFS('Mapa Impacto'!$D$7:$D$100,'Resumo Atividades x Sistema'!$D46,'Mapa Impacto'!AH$7:AH$100,"Sim")&gt;0,"Sim","Não"))</f>
        <v>Não</v>
      </c>
      <c r="AJ46" s="24" t="str">
        <f>IF(AJ$2="","",IF(COUNTIFS('Mapa Impacto'!$D$7:$D$100,'Resumo Atividades x Sistema'!$D46,'Mapa Impacto'!AI$7:AI$100,"Sim")&gt;0,"Sim","Não"))</f>
        <v>Não</v>
      </c>
      <c r="AK46" s="24" t="str">
        <f>IF(AK$2="","",IF(COUNTIFS('Mapa Impacto'!$D$7:$D$100,'Resumo Atividades x Sistema'!$D46,'Mapa Impacto'!AJ$7:AJ$100,"Sim")&gt;0,"Sim","Não"))</f>
        <v>Não</v>
      </c>
    </row>
    <row r="47" spans="2:37" ht="60" outlineLevel="1" x14ac:dyDescent="0.25">
      <c r="B47" s="144" t="str">
        <f>'Checklist Impacto Operações TI'!A43</f>
        <v>99 - Entendimento da solução</v>
      </c>
      <c r="C47" s="145"/>
      <c r="D47" s="24" t="str">
        <f>'Checklist Impacto Operações TI'!C43</f>
        <v>A demanda implica em usar recurso de replicação de dados (exemplo: rsync)?</v>
      </c>
      <c r="E47" s="24" t="str">
        <f>'Checklist Impacto Operações TI'!D43</f>
        <v>Identificar se a aplicação usa recurso de Replicação de dados (Exemplo: rsync).  Usado para formação do conhecimento da solução. Não tem atividade a ser desenvolvida.</v>
      </c>
      <c r="F47" s="24" t="str">
        <f>'Checklist Impacto Operações TI'!E43</f>
        <v>Informação se a solução usa recurso de Replicação de dados (Exemplo: rsync)</v>
      </c>
      <c r="G47" s="24" t="str">
        <f>IF(G$2="","",IF(COUNTIFS('Mapa Impacto'!$D$7:$D$100,'Resumo Atividades x Sistema'!$D47,'Mapa Impacto'!F$7:F$100,"Sim")&gt;0,"Sim","Não"))</f>
        <v>Não</v>
      </c>
      <c r="H47" s="24" t="str">
        <f>IF(H$2="","",IF(COUNTIFS('Mapa Impacto'!$D$7:$D$100,'Resumo Atividades x Sistema'!$D47,'Mapa Impacto'!G$7:G$100,"Sim")&gt;0,"Sim","Não"))</f>
        <v>Não</v>
      </c>
      <c r="I47" s="24" t="str">
        <f>IF(I$2="","",IF(COUNTIFS('Mapa Impacto'!$D$7:$D$100,'Resumo Atividades x Sistema'!$D47,'Mapa Impacto'!H$7:H$100,"Sim")&gt;0,"Sim","Não"))</f>
        <v>Não</v>
      </c>
      <c r="J47" s="24" t="str">
        <f>IF(J$2="","",IF(COUNTIFS('Mapa Impacto'!$D$7:$D$100,'Resumo Atividades x Sistema'!$D47,'Mapa Impacto'!I$7:I$100,"Sim")&gt;0,"Sim","Não"))</f>
        <v>Não</v>
      </c>
      <c r="K47" s="24" t="str">
        <f>IF(K$2="","",IF(COUNTIFS('Mapa Impacto'!$D$7:$D$100,'Resumo Atividades x Sistema'!$D47,'Mapa Impacto'!J$7:J$100,"Sim")&gt;0,"Sim","Não"))</f>
        <v>Não</v>
      </c>
      <c r="L47" s="24" t="str">
        <f>IF(L$2="","",IF(COUNTIFS('Mapa Impacto'!$D$7:$D$100,'Resumo Atividades x Sistema'!$D47,'Mapa Impacto'!K$7:K$100,"Sim")&gt;0,"Sim","Não"))</f>
        <v>Não</v>
      </c>
      <c r="M47" s="24" t="str">
        <f>IF(M$2="","",IF(COUNTIFS('Mapa Impacto'!$D$7:$D$100,'Resumo Atividades x Sistema'!$D47,'Mapa Impacto'!L$7:L$100,"Sim")&gt;0,"Sim","Não"))</f>
        <v>Não</v>
      </c>
      <c r="N47" s="24" t="str">
        <f>IF(N$2="","",IF(COUNTIFS('Mapa Impacto'!$D$7:$D$100,'Resumo Atividades x Sistema'!$D47,'Mapa Impacto'!M$7:M$100,"Sim")&gt;0,"Sim","Não"))</f>
        <v>Não</v>
      </c>
      <c r="O47" s="24" t="str">
        <f>IF(O$2="","",IF(COUNTIFS('Mapa Impacto'!$D$7:$D$100,'Resumo Atividades x Sistema'!$D47,'Mapa Impacto'!N$7:N$100,"Sim")&gt;0,"Sim","Não"))</f>
        <v>Não</v>
      </c>
      <c r="P47" s="24" t="str">
        <f>IF(P$2="","",IF(COUNTIFS('Mapa Impacto'!$D$7:$D$100,'Resumo Atividades x Sistema'!$D47,'Mapa Impacto'!O$7:O$100,"Sim")&gt;0,"Sim","Não"))</f>
        <v>Não</v>
      </c>
      <c r="Q47" s="24" t="str">
        <f>IF(Q$2="","",IF(COUNTIFS('Mapa Impacto'!$D$7:$D$100,'Resumo Atividades x Sistema'!$D47,'Mapa Impacto'!P$7:P$100,"Sim")&gt;0,"Sim","Não"))</f>
        <v>Não</v>
      </c>
      <c r="R47" s="24" t="str">
        <f>IF(R$2="","",IF(COUNTIFS('Mapa Impacto'!$D$7:$D$100,'Resumo Atividades x Sistema'!$D47,'Mapa Impacto'!Q$7:Q$100,"Sim")&gt;0,"Sim","Não"))</f>
        <v>Não</v>
      </c>
      <c r="S47" s="24" t="str">
        <f>IF(S$2="","",IF(COUNTIFS('Mapa Impacto'!$D$7:$D$100,'Resumo Atividades x Sistema'!$D47,'Mapa Impacto'!R$7:R$100,"Sim")&gt;0,"Sim","Não"))</f>
        <v>Não</v>
      </c>
      <c r="T47" s="24" t="str">
        <f>IF(T$2="","",IF(COUNTIFS('Mapa Impacto'!$D$7:$D$100,'Resumo Atividades x Sistema'!$D47,'Mapa Impacto'!S$7:S$100,"Sim")&gt;0,"Sim","Não"))</f>
        <v>Não</v>
      </c>
      <c r="U47" s="24" t="str">
        <f>IF(U$2="","",IF(COUNTIFS('Mapa Impacto'!$D$7:$D$100,'Resumo Atividades x Sistema'!$D47,'Mapa Impacto'!T$7:T$100,"Sim")&gt;0,"Sim","Não"))</f>
        <v>Não</v>
      </c>
      <c r="V47" s="24" t="str">
        <f>IF(V$2="","",IF(COUNTIFS('Mapa Impacto'!$D$7:$D$100,'Resumo Atividades x Sistema'!$D47,'Mapa Impacto'!U$7:U$100,"Sim")&gt;0,"Sim","Não"))</f>
        <v>Não</v>
      </c>
      <c r="W47" s="24" t="str">
        <f>IF(W$2="","",IF(COUNTIFS('Mapa Impacto'!$D$7:$D$100,'Resumo Atividades x Sistema'!$D47,'Mapa Impacto'!V$7:V$100,"Sim")&gt;0,"Sim","Não"))</f>
        <v>Não</v>
      </c>
      <c r="X47" s="24" t="str">
        <f>IF(X$2="","",IF(COUNTIFS('Mapa Impacto'!$D$7:$D$100,'Resumo Atividades x Sistema'!$D47,'Mapa Impacto'!W$7:W$100,"Sim")&gt;0,"Sim","Não"))</f>
        <v>Não</v>
      </c>
      <c r="Y47" s="24" t="str">
        <f>IF(Y$2="","",IF(COUNTIFS('Mapa Impacto'!$D$7:$D$100,'Resumo Atividades x Sistema'!$D47,'Mapa Impacto'!X$7:X$100,"Sim")&gt;0,"Sim","Não"))</f>
        <v>Não</v>
      </c>
      <c r="Z47" s="24" t="str">
        <f>IF(Z$2="","",IF(COUNTIFS('Mapa Impacto'!$D$7:$D$100,'Resumo Atividades x Sistema'!$D47,'Mapa Impacto'!Y$7:Y$100,"Sim")&gt;0,"Sim","Não"))</f>
        <v>Não</v>
      </c>
      <c r="AA47" s="24" t="str">
        <f>IF(AA$2="","",IF(COUNTIFS('Mapa Impacto'!$D$7:$D$100,'Resumo Atividades x Sistema'!$D47,'Mapa Impacto'!Z$7:Z$100,"Sim")&gt;0,"Sim","Não"))</f>
        <v>Não</v>
      </c>
      <c r="AB47" s="24" t="str">
        <f>IF(AB$2="","",IF(COUNTIFS('Mapa Impacto'!$D$7:$D$100,'Resumo Atividades x Sistema'!$D47,'Mapa Impacto'!AA$7:AA$100,"Sim")&gt;0,"Sim","Não"))</f>
        <v>Não</v>
      </c>
      <c r="AC47" s="24" t="str">
        <f>IF(AC$2="","",IF(COUNTIFS('Mapa Impacto'!$D$7:$D$100,'Resumo Atividades x Sistema'!$D47,'Mapa Impacto'!AB$7:AB$100,"Sim")&gt;0,"Sim","Não"))</f>
        <v>Não</v>
      </c>
      <c r="AD47" s="24" t="str">
        <f>IF(AD$2="","",IF(COUNTIFS('Mapa Impacto'!$D$7:$D$100,'Resumo Atividades x Sistema'!$D47,'Mapa Impacto'!AC$7:AC$100,"Sim")&gt;0,"Sim","Não"))</f>
        <v>Não</v>
      </c>
      <c r="AE47" s="24" t="str">
        <f>IF(AE$2="","",IF(COUNTIFS('Mapa Impacto'!$D$7:$D$100,'Resumo Atividades x Sistema'!$D47,'Mapa Impacto'!AD$7:AD$100,"Sim")&gt;0,"Sim","Não"))</f>
        <v>Não</v>
      </c>
      <c r="AF47" s="24" t="str">
        <f>IF(AF$2="","",IF(COUNTIFS('Mapa Impacto'!$D$7:$D$100,'Resumo Atividades x Sistema'!$D47,'Mapa Impacto'!AE$7:AE$100,"Sim")&gt;0,"Sim","Não"))</f>
        <v>Não</v>
      </c>
      <c r="AG47" s="24" t="str">
        <f>IF(AG$2="","",IF(COUNTIFS('Mapa Impacto'!$D$7:$D$100,'Resumo Atividades x Sistema'!$D47,'Mapa Impacto'!AF$7:AF$100,"Sim")&gt;0,"Sim","Não"))</f>
        <v>Não</v>
      </c>
      <c r="AH47" s="24" t="str">
        <f>IF(AH$2="","",IF(COUNTIFS('Mapa Impacto'!$D$7:$D$100,'Resumo Atividades x Sistema'!$D47,'Mapa Impacto'!AG$7:AG$100,"Sim")&gt;0,"Sim","Não"))</f>
        <v>Não</v>
      </c>
      <c r="AI47" s="24" t="str">
        <f>IF(AI$2="","",IF(COUNTIFS('Mapa Impacto'!$D$7:$D$100,'Resumo Atividades x Sistema'!$D47,'Mapa Impacto'!AH$7:AH$100,"Sim")&gt;0,"Sim","Não"))</f>
        <v>Não</v>
      </c>
      <c r="AJ47" s="24" t="str">
        <f>IF(AJ$2="","",IF(COUNTIFS('Mapa Impacto'!$D$7:$D$100,'Resumo Atividades x Sistema'!$D47,'Mapa Impacto'!AI$7:AI$100,"Sim")&gt;0,"Sim","Não"))</f>
        <v>Não</v>
      </c>
      <c r="AK47" s="24" t="str">
        <f>IF(AK$2="","",IF(COUNTIFS('Mapa Impacto'!$D$7:$D$100,'Resumo Atividades x Sistema'!$D47,'Mapa Impacto'!AJ$7:AJ$100,"Sim")&gt;0,"Sim","Não"))</f>
        <v>Não</v>
      </c>
    </row>
    <row r="48" spans="2:37" ht="60" outlineLevel="1" x14ac:dyDescent="0.25">
      <c r="B48" s="144" t="str">
        <f>'Checklist Impacto Operações TI'!A44</f>
        <v>99 - Entendimento da solução</v>
      </c>
      <c r="C48" s="145"/>
      <c r="D48" s="24" t="str">
        <f>'Checklist Impacto Operações TI'!C44</f>
        <v>A demanda implica em usar recurso de compartilhamento de disco? (Exemplo: OCFS2)</v>
      </c>
      <c r="E48" s="24" t="str">
        <f>'Checklist Impacto Operações TI'!D44</f>
        <v>Identificar se a aplicação usa recurso de Compartilhamento de disco (Exemplo: OCFS2). Usado para formação do conhecimento da solução. Não tem atividade a ser desenvolvida.</v>
      </c>
      <c r="F48" s="24" t="str">
        <f>'Checklist Impacto Operações TI'!E44</f>
        <v>Identificar se a aplicação usa recurso de Compartilhamento de disco (Exemplo: OCFS2)</v>
      </c>
      <c r="G48" s="24" t="str">
        <f>IF(G$2="","",IF(COUNTIFS('Mapa Impacto'!$D$7:$D$100,'Resumo Atividades x Sistema'!$D48,'Mapa Impacto'!F$7:F$100,"Sim")&gt;0,"Sim","Não"))</f>
        <v>Não</v>
      </c>
      <c r="H48" s="24" t="str">
        <f>IF(H$2="","",IF(COUNTIFS('Mapa Impacto'!$D$7:$D$100,'Resumo Atividades x Sistema'!$D48,'Mapa Impacto'!G$7:G$100,"Sim")&gt;0,"Sim","Não"))</f>
        <v>Não</v>
      </c>
      <c r="I48" s="24" t="str">
        <f>IF(I$2="","",IF(COUNTIFS('Mapa Impacto'!$D$7:$D$100,'Resumo Atividades x Sistema'!$D48,'Mapa Impacto'!H$7:H$100,"Sim")&gt;0,"Sim","Não"))</f>
        <v>Não</v>
      </c>
      <c r="J48" s="24" t="str">
        <f>IF(J$2="","",IF(COUNTIFS('Mapa Impacto'!$D$7:$D$100,'Resumo Atividades x Sistema'!$D48,'Mapa Impacto'!I$7:I$100,"Sim")&gt;0,"Sim","Não"))</f>
        <v>Não</v>
      </c>
      <c r="K48" s="24" t="str">
        <f>IF(K$2="","",IF(COUNTIFS('Mapa Impacto'!$D$7:$D$100,'Resumo Atividades x Sistema'!$D48,'Mapa Impacto'!J$7:J$100,"Sim")&gt;0,"Sim","Não"))</f>
        <v>Não</v>
      </c>
      <c r="L48" s="24" t="str">
        <f>IF(L$2="","",IF(COUNTIFS('Mapa Impacto'!$D$7:$D$100,'Resumo Atividades x Sistema'!$D48,'Mapa Impacto'!K$7:K$100,"Sim")&gt;0,"Sim","Não"))</f>
        <v>Não</v>
      </c>
      <c r="M48" s="24" t="str">
        <f>IF(M$2="","",IF(COUNTIFS('Mapa Impacto'!$D$7:$D$100,'Resumo Atividades x Sistema'!$D48,'Mapa Impacto'!L$7:L$100,"Sim")&gt;0,"Sim","Não"))</f>
        <v>Não</v>
      </c>
      <c r="N48" s="24" t="str">
        <f>IF(N$2="","",IF(COUNTIFS('Mapa Impacto'!$D$7:$D$100,'Resumo Atividades x Sistema'!$D48,'Mapa Impacto'!M$7:M$100,"Sim")&gt;0,"Sim","Não"))</f>
        <v>Não</v>
      </c>
      <c r="O48" s="24" t="str">
        <f>IF(O$2="","",IF(COUNTIFS('Mapa Impacto'!$D$7:$D$100,'Resumo Atividades x Sistema'!$D48,'Mapa Impacto'!N$7:N$100,"Sim")&gt;0,"Sim","Não"))</f>
        <v>Não</v>
      </c>
      <c r="P48" s="24" t="str">
        <f>IF(P$2="","",IF(COUNTIFS('Mapa Impacto'!$D$7:$D$100,'Resumo Atividades x Sistema'!$D48,'Mapa Impacto'!O$7:O$100,"Sim")&gt;0,"Sim","Não"))</f>
        <v>Não</v>
      </c>
      <c r="Q48" s="24" t="str">
        <f>IF(Q$2="","",IF(COUNTIFS('Mapa Impacto'!$D$7:$D$100,'Resumo Atividades x Sistema'!$D48,'Mapa Impacto'!P$7:P$100,"Sim")&gt;0,"Sim","Não"))</f>
        <v>Não</v>
      </c>
      <c r="R48" s="24" t="str">
        <f>IF(R$2="","",IF(COUNTIFS('Mapa Impacto'!$D$7:$D$100,'Resumo Atividades x Sistema'!$D48,'Mapa Impacto'!Q$7:Q$100,"Sim")&gt;0,"Sim","Não"))</f>
        <v>Não</v>
      </c>
      <c r="S48" s="24" t="str">
        <f>IF(S$2="","",IF(COUNTIFS('Mapa Impacto'!$D$7:$D$100,'Resumo Atividades x Sistema'!$D48,'Mapa Impacto'!R$7:R$100,"Sim")&gt;0,"Sim","Não"))</f>
        <v>Não</v>
      </c>
      <c r="T48" s="24" t="str">
        <f>IF(T$2="","",IF(COUNTIFS('Mapa Impacto'!$D$7:$D$100,'Resumo Atividades x Sistema'!$D48,'Mapa Impacto'!S$7:S$100,"Sim")&gt;0,"Sim","Não"))</f>
        <v>Não</v>
      </c>
      <c r="U48" s="24" t="str">
        <f>IF(U$2="","",IF(COUNTIFS('Mapa Impacto'!$D$7:$D$100,'Resumo Atividades x Sistema'!$D48,'Mapa Impacto'!T$7:T$100,"Sim")&gt;0,"Sim","Não"))</f>
        <v>Não</v>
      </c>
      <c r="V48" s="24" t="str">
        <f>IF(V$2="","",IF(COUNTIFS('Mapa Impacto'!$D$7:$D$100,'Resumo Atividades x Sistema'!$D48,'Mapa Impacto'!U$7:U$100,"Sim")&gt;0,"Sim","Não"))</f>
        <v>Não</v>
      </c>
      <c r="W48" s="24" t="str">
        <f>IF(W$2="","",IF(COUNTIFS('Mapa Impacto'!$D$7:$D$100,'Resumo Atividades x Sistema'!$D48,'Mapa Impacto'!V$7:V$100,"Sim")&gt;0,"Sim","Não"))</f>
        <v>Não</v>
      </c>
      <c r="X48" s="24" t="str">
        <f>IF(X$2="","",IF(COUNTIFS('Mapa Impacto'!$D$7:$D$100,'Resumo Atividades x Sistema'!$D48,'Mapa Impacto'!W$7:W$100,"Sim")&gt;0,"Sim","Não"))</f>
        <v>Não</v>
      </c>
      <c r="Y48" s="24" t="str">
        <f>IF(Y$2="","",IF(COUNTIFS('Mapa Impacto'!$D$7:$D$100,'Resumo Atividades x Sistema'!$D48,'Mapa Impacto'!X$7:X$100,"Sim")&gt;0,"Sim","Não"))</f>
        <v>Não</v>
      </c>
      <c r="Z48" s="24" t="str">
        <f>IF(Z$2="","",IF(COUNTIFS('Mapa Impacto'!$D$7:$D$100,'Resumo Atividades x Sistema'!$D48,'Mapa Impacto'!Y$7:Y$100,"Sim")&gt;0,"Sim","Não"))</f>
        <v>Não</v>
      </c>
      <c r="AA48" s="24" t="str">
        <f>IF(AA$2="","",IF(COUNTIFS('Mapa Impacto'!$D$7:$D$100,'Resumo Atividades x Sistema'!$D48,'Mapa Impacto'!Z$7:Z$100,"Sim")&gt;0,"Sim","Não"))</f>
        <v>Não</v>
      </c>
      <c r="AB48" s="24" t="str">
        <f>IF(AB$2="","",IF(COUNTIFS('Mapa Impacto'!$D$7:$D$100,'Resumo Atividades x Sistema'!$D48,'Mapa Impacto'!AA$7:AA$100,"Sim")&gt;0,"Sim","Não"))</f>
        <v>Não</v>
      </c>
      <c r="AC48" s="24" t="str">
        <f>IF(AC$2="","",IF(COUNTIFS('Mapa Impacto'!$D$7:$D$100,'Resumo Atividades x Sistema'!$D48,'Mapa Impacto'!AB$7:AB$100,"Sim")&gt;0,"Sim","Não"))</f>
        <v>Não</v>
      </c>
      <c r="AD48" s="24" t="str">
        <f>IF(AD$2="","",IF(COUNTIFS('Mapa Impacto'!$D$7:$D$100,'Resumo Atividades x Sistema'!$D48,'Mapa Impacto'!AC$7:AC$100,"Sim")&gt;0,"Sim","Não"))</f>
        <v>Não</v>
      </c>
      <c r="AE48" s="24" t="str">
        <f>IF(AE$2="","",IF(COUNTIFS('Mapa Impacto'!$D$7:$D$100,'Resumo Atividades x Sistema'!$D48,'Mapa Impacto'!AD$7:AD$100,"Sim")&gt;0,"Sim","Não"))</f>
        <v>Não</v>
      </c>
      <c r="AF48" s="24" t="str">
        <f>IF(AF$2="","",IF(COUNTIFS('Mapa Impacto'!$D$7:$D$100,'Resumo Atividades x Sistema'!$D48,'Mapa Impacto'!AE$7:AE$100,"Sim")&gt;0,"Sim","Não"))</f>
        <v>Não</v>
      </c>
      <c r="AG48" s="24" t="str">
        <f>IF(AG$2="","",IF(COUNTIFS('Mapa Impacto'!$D$7:$D$100,'Resumo Atividades x Sistema'!$D48,'Mapa Impacto'!AF$7:AF$100,"Sim")&gt;0,"Sim","Não"))</f>
        <v>Não</v>
      </c>
      <c r="AH48" s="24" t="str">
        <f>IF(AH$2="","",IF(COUNTIFS('Mapa Impacto'!$D$7:$D$100,'Resumo Atividades x Sistema'!$D48,'Mapa Impacto'!AG$7:AG$100,"Sim")&gt;0,"Sim","Não"))</f>
        <v>Não</v>
      </c>
      <c r="AI48" s="24" t="str">
        <f>IF(AI$2="","",IF(COUNTIFS('Mapa Impacto'!$D$7:$D$100,'Resumo Atividades x Sistema'!$D48,'Mapa Impacto'!AH$7:AH$100,"Sim")&gt;0,"Sim","Não"))</f>
        <v>Não</v>
      </c>
      <c r="AJ48" s="24" t="str">
        <f>IF(AJ$2="","",IF(COUNTIFS('Mapa Impacto'!$D$7:$D$100,'Resumo Atividades x Sistema'!$D48,'Mapa Impacto'!AI$7:AI$100,"Sim")&gt;0,"Sim","Não"))</f>
        <v>Não</v>
      </c>
      <c r="AK48" s="24" t="str">
        <f>IF(AK$2="","",IF(COUNTIFS('Mapa Impacto'!$D$7:$D$100,'Resumo Atividades x Sistema'!$D48,'Mapa Impacto'!AJ$7:AJ$100,"Sim")&gt;0,"Sim","Não"))</f>
        <v>Não</v>
      </c>
    </row>
    <row r="49" spans="2:37" ht="60" outlineLevel="1" x14ac:dyDescent="0.25">
      <c r="B49" s="144" t="str">
        <f>'Checklist Impacto Operações TI'!A45</f>
        <v>99 - Entendimento da solução</v>
      </c>
      <c r="C49" s="145"/>
      <c r="D49" s="24" t="str">
        <f>'Checklist Impacto Operações TI'!C45</f>
        <v>A demanda implica em usar recurso de cluster de sistema operacional? (Exemplo: RedHat Cluster)</v>
      </c>
      <c r="E49" s="24" t="str">
        <f>'Checklist Impacto Operações TI'!D45</f>
        <v>Identificar se a aplicação usa recurso de Cluster de sistema operacional (Exemplo: RedHat Cluster).  Usado para formação do conhecimento da solução. Não tem atividade a ser desenvolvida.</v>
      </c>
      <c r="F49" s="24" t="str">
        <f>'Checklist Impacto Operações TI'!E45</f>
        <v>Identificar se a aplicação usa recurso de Cluster de sistema operacional (Exemplo: RedHat Cluster)</v>
      </c>
      <c r="G49" s="24" t="str">
        <f>IF(G$2="","",IF(COUNTIFS('Mapa Impacto'!$D$7:$D$100,'Resumo Atividades x Sistema'!$D49,'Mapa Impacto'!F$7:F$100,"Sim")&gt;0,"Sim","Não"))</f>
        <v>Não</v>
      </c>
      <c r="H49" s="24" t="str">
        <f>IF(H$2="","",IF(COUNTIFS('Mapa Impacto'!$D$7:$D$100,'Resumo Atividades x Sistema'!$D49,'Mapa Impacto'!G$7:G$100,"Sim")&gt;0,"Sim","Não"))</f>
        <v>Não</v>
      </c>
      <c r="I49" s="24" t="str">
        <f>IF(I$2="","",IF(COUNTIFS('Mapa Impacto'!$D$7:$D$100,'Resumo Atividades x Sistema'!$D49,'Mapa Impacto'!H$7:H$100,"Sim")&gt;0,"Sim","Não"))</f>
        <v>Não</v>
      </c>
      <c r="J49" s="24" t="str">
        <f>IF(J$2="","",IF(COUNTIFS('Mapa Impacto'!$D$7:$D$100,'Resumo Atividades x Sistema'!$D49,'Mapa Impacto'!I$7:I$100,"Sim")&gt;0,"Sim","Não"))</f>
        <v>Não</v>
      </c>
      <c r="K49" s="24" t="str">
        <f>IF(K$2="","",IF(COUNTIFS('Mapa Impacto'!$D$7:$D$100,'Resumo Atividades x Sistema'!$D49,'Mapa Impacto'!J$7:J$100,"Sim")&gt;0,"Sim","Não"))</f>
        <v>Não</v>
      </c>
      <c r="L49" s="24" t="str">
        <f>IF(L$2="","",IF(COUNTIFS('Mapa Impacto'!$D$7:$D$100,'Resumo Atividades x Sistema'!$D49,'Mapa Impacto'!K$7:K$100,"Sim")&gt;0,"Sim","Não"))</f>
        <v>Não</v>
      </c>
      <c r="M49" s="24" t="str">
        <f>IF(M$2="","",IF(COUNTIFS('Mapa Impacto'!$D$7:$D$100,'Resumo Atividades x Sistema'!$D49,'Mapa Impacto'!L$7:L$100,"Sim")&gt;0,"Sim","Não"))</f>
        <v>Não</v>
      </c>
      <c r="N49" s="24" t="str">
        <f>IF(N$2="","",IF(COUNTIFS('Mapa Impacto'!$D$7:$D$100,'Resumo Atividades x Sistema'!$D49,'Mapa Impacto'!M$7:M$100,"Sim")&gt;0,"Sim","Não"))</f>
        <v>Não</v>
      </c>
      <c r="O49" s="24" t="str">
        <f>IF(O$2="","",IF(COUNTIFS('Mapa Impacto'!$D$7:$D$100,'Resumo Atividades x Sistema'!$D49,'Mapa Impacto'!N$7:N$100,"Sim")&gt;0,"Sim","Não"))</f>
        <v>Não</v>
      </c>
      <c r="P49" s="24" t="str">
        <f>IF(P$2="","",IF(COUNTIFS('Mapa Impacto'!$D$7:$D$100,'Resumo Atividades x Sistema'!$D49,'Mapa Impacto'!O$7:O$100,"Sim")&gt;0,"Sim","Não"))</f>
        <v>Não</v>
      </c>
      <c r="Q49" s="24" t="str">
        <f>IF(Q$2="","",IF(COUNTIFS('Mapa Impacto'!$D$7:$D$100,'Resumo Atividades x Sistema'!$D49,'Mapa Impacto'!P$7:P$100,"Sim")&gt;0,"Sim","Não"))</f>
        <v>Não</v>
      </c>
      <c r="R49" s="24" t="str">
        <f>IF(R$2="","",IF(COUNTIFS('Mapa Impacto'!$D$7:$D$100,'Resumo Atividades x Sistema'!$D49,'Mapa Impacto'!Q$7:Q$100,"Sim")&gt;0,"Sim","Não"))</f>
        <v>Não</v>
      </c>
      <c r="S49" s="24" t="str">
        <f>IF(S$2="","",IF(COUNTIFS('Mapa Impacto'!$D$7:$D$100,'Resumo Atividades x Sistema'!$D49,'Mapa Impacto'!R$7:R$100,"Sim")&gt;0,"Sim","Não"))</f>
        <v>Não</v>
      </c>
      <c r="T49" s="24" t="str">
        <f>IF(T$2="","",IF(COUNTIFS('Mapa Impacto'!$D$7:$D$100,'Resumo Atividades x Sistema'!$D49,'Mapa Impacto'!S$7:S$100,"Sim")&gt;0,"Sim","Não"))</f>
        <v>Não</v>
      </c>
      <c r="U49" s="24" t="str">
        <f>IF(U$2="","",IF(COUNTIFS('Mapa Impacto'!$D$7:$D$100,'Resumo Atividades x Sistema'!$D49,'Mapa Impacto'!T$7:T$100,"Sim")&gt;0,"Sim","Não"))</f>
        <v>Não</v>
      </c>
      <c r="V49" s="24" t="str">
        <f>IF(V$2="","",IF(COUNTIFS('Mapa Impacto'!$D$7:$D$100,'Resumo Atividades x Sistema'!$D49,'Mapa Impacto'!U$7:U$100,"Sim")&gt;0,"Sim","Não"))</f>
        <v>Não</v>
      </c>
      <c r="W49" s="24" t="str">
        <f>IF(W$2="","",IF(COUNTIFS('Mapa Impacto'!$D$7:$D$100,'Resumo Atividades x Sistema'!$D49,'Mapa Impacto'!V$7:V$100,"Sim")&gt;0,"Sim","Não"))</f>
        <v>Não</v>
      </c>
      <c r="X49" s="24" t="str">
        <f>IF(X$2="","",IF(COUNTIFS('Mapa Impacto'!$D$7:$D$100,'Resumo Atividades x Sistema'!$D49,'Mapa Impacto'!W$7:W$100,"Sim")&gt;0,"Sim","Não"))</f>
        <v>Não</v>
      </c>
      <c r="Y49" s="24" t="str">
        <f>IF(Y$2="","",IF(COUNTIFS('Mapa Impacto'!$D$7:$D$100,'Resumo Atividades x Sistema'!$D49,'Mapa Impacto'!X$7:X$100,"Sim")&gt;0,"Sim","Não"))</f>
        <v>Não</v>
      </c>
      <c r="Z49" s="24" t="str">
        <f>IF(Z$2="","",IF(COUNTIFS('Mapa Impacto'!$D$7:$D$100,'Resumo Atividades x Sistema'!$D49,'Mapa Impacto'!Y$7:Y$100,"Sim")&gt;0,"Sim","Não"))</f>
        <v>Não</v>
      </c>
      <c r="AA49" s="24" t="str">
        <f>IF(AA$2="","",IF(COUNTIFS('Mapa Impacto'!$D$7:$D$100,'Resumo Atividades x Sistema'!$D49,'Mapa Impacto'!Z$7:Z$100,"Sim")&gt;0,"Sim","Não"))</f>
        <v>Não</v>
      </c>
      <c r="AB49" s="24" t="str">
        <f>IF(AB$2="","",IF(COUNTIFS('Mapa Impacto'!$D$7:$D$100,'Resumo Atividades x Sistema'!$D49,'Mapa Impacto'!AA$7:AA$100,"Sim")&gt;0,"Sim","Não"))</f>
        <v>Não</v>
      </c>
      <c r="AC49" s="24" t="str">
        <f>IF(AC$2="","",IF(COUNTIFS('Mapa Impacto'!$D$7:$D$100,'Resumo Atividades x Sistema'!$D49,'Mapa Impacto'!AB$7:AB$100,"Sim")&gt;0,"Sim","Não"))</f>
        <v>Não</v>
      </c>
      <c r="AD49" s="24" t="str">
        <f>IF(AD$2="","",IF(COUNTIFS('Mapa Impacto'!$D$7:$D$100,'Resumo Atividades x Sistema'!$D49,'Mapa Impacto'!AC$7:AC$100,"Sim")&gt;0,"Sim","Não"))</f>
        <v>Não</v>
      </c>
      <c r="AE49" s="24" t="str">
        <f>IF(AE$2="","",IF(COUNTIFS('Mapa Impacto'!$D$7:$D$100,'Resumo Atividades x Sistema'!$D49,'Mapa Impacto'!AD$7:AD$100,"Sim")&gt;0,"Sim","Não"))</f>
        <v>Não</v>
      </c>
      <c r="AF49" s="24" t="str">
        <f>IF(AF$2="","",IF(COUNTIFS('Mapa Impacto'!$D$7:$D$100,'Resumo Atividades x Sistema'!$D49,'Mapa Impacto'!AE$7:AE$100,"Sim")&gt;0,"Sim","Não"))</f>
        <v>Não</v>
      </c>
      <c r="AG49" s="24" t="str">
        <f>IF(AG$2="","",IF(COUNTIFS('Mapa Impacto'!$D$7:$D$100,'Resumo Atividades x Sistema'!$D49,'Mapa Impacto'!AF$7:AF$100,"Sim")&gt;0,"Sim","Não"))</f>
        <v>Não</v>
      </c>
      <c r="AH49" s="24" t="str">
        <f>IF(AH$2="","",IF(COUNTIFS('Mapa Impacto'!$D$7:$D$100,'Resumo Atividades x Sistema'!$D49,'Mapa Impacto'!AG$7:AG$100,"Sim")&gt;0,"Sim","Não"))</f>
        <v>Não</v>
      </c>
      <c r="AI49" s="24" t="str">
        <f>IF(AI$2="","",IF(COUNTIFS('Mapa Impacto'!$D$7:$D$100,'Resumo Atividades x Sistema'!$D49,'Mapa Impacto'!AH$7:AH$100,"Sim")&gt;0,"Sim","Não"))</f>
        <v>Não</v>
      </c>
      <c r="AJ49" s="24" t="str">
        <f>IF(AJ$2="","",IF(COUNTIFS('Mapa Impacto'!$D$7:$D$100,'Resumo Atividades x Sistema'!$D49,'Mapa Impacto'!AI$7:AI$100,"Sim")&gt;0,"Sim","Não"))</f>
        <v>Não</v>
      </c>
      <c r="AK49" s="24" t="str">
        <f>IF(AK$2="","",IF(COUNTIFS('Mapa Impacto'!$D$7:$D$100,'Resumo Atividades x Sistema'!$D49,'Mapa Impacto'!AJ$7:AJ$100,"Sim")&gt;0,"Sim","Não"))</f>
        <v>Não</v>
      </c>
    </row>
    <row r="50" spans="2:37" ht="60" outlineLevel="1" x14ac:dyDescent="0.25">
      <c r="B50" s="144" t="str">
        <f>'Checklist Impacto Operações TI'!A46</f>
        <v>99 - Entendimento da solução</v>
      </c>
      <c r="C50" s="145"/>
      <c r="D50" s="24" t="str">
        <f>'Checklist Impacto Operações TI'!C46</f>
        <v>A demanda implica em usar recurso de persistência em fila? (exemplo: JMS)</v>
      </c>
      <c r="E50" s="24" t="str">
        <f>'Checklist Impacto Operações TI'!D46</f>
        <v>Identificar se a aplicação usa recurso de Persistência em fila (Exemplo: JMS).  Usado para formação do conhecimento da solução. Não tem atividade a ser desenvolvida.</v>
      </c>
      <c r="F50" s="24" t="str">
        <f>'Checklist Impacto Operações TI'!E46</f>
        <v>Identificar se a aplicação usa recurso de Persistência em fila (Exemplo: JMS)</v>
      </c>
      <c r="G50" s="24" t="str">
        <f>IF(G$2="","",IF(COUNTIFS('Mapa Impacto'!$D$7:$D$100,'Resumo Atividades x Sistema'!$D50,'Mapa Impacto'!F$7:F$100,"Sim")&gt;0,"Sim","Não"))</f>
        <v>Não</v>
      </c>
      <c r="H50" s="24" t="str">
        <f>IF(H$2="","",IF(COUNTIFS('Mapa Impacto'!$D$7:$D$100,'Resumo Atividades x Sistema'!$D50,'Mapa Impacto'!G$7:G$100,"Sim")&gt;0,"Sim","Não"))</f>
        <v>Não</v>
      </c>
      <c r="I50" s="24" t="str">
        <f>IF(I$2="","",IF(COUNTIFS('Mapa Impacto'!$D$7:$D$100,'Resumo Atividades x Sistema'!$D50,'Mapa Impacto'!H$7:H$100,"Sim")&gt;0,"Sim","Não"))</f>
        <v>Não</v>
      </c>
      <c r="J50" s="24" t="str">
        <f>IF(J$2="","",IF(COUNTIFS('Mapa Impacto'!$D$7:$D$100,'Resumo Atividades x Sistema'!$D50,'Mapa Impacto'!I$7:I$100,"Sim")&gt;0,"Sim","Não"))</f>
        <v>Não</v>
      </c>
      <c r="K50" s="24" t="str">
        <f>IF(K$2="","",IF(COUNTIFS('Mapa Impacto'!$D$7:$D$100,'Resumo Atividades x Sistema'!$D50,'Mapa Impacto'!J$7:J$100,"Sim")&gt;0,"Sim","Não"))</f>
        <v>Não</v>
      </c>
      <c r="L50" s="24" t="str">
        <f>IF(L$2="","",IF(COUNTIFS('Mapa Impacto'!$D$7:$D$100,'Resumo Atividades x Sistema'!$D50,'Mapa Impacto'!K$7:K$100,"Sim")&gt;0,"Sim","Não"))</f>
        <v>Não</v>
      </c>
      <c r="M50" s="24" t="str">
        <f>IF(M$2="","",IF(COUNTIFS('Mapa Impacto'!$D$7:$D$100,'Resumo Atividades x Sistema'!$D50,'Mapa Impacto'!L$7:L$100,"Sim")&gt;0,"Sim","Não"))</f>
        <v>Não</v>
      </c>
      <c r="N50" s="24" t="str">
        <f>IF(N$2="","",IF(COUNTIFS('Mapa Impacto'!$D$7:$D$100,'Resumo Atividades x Sistema'!$D50,'Mapa Impacto'!M$7:M$100,"Sim")&gt;0,"Sim","Não"))</f>
        <v>Não</v>
      </c>
      <c r="O50" s="24" t="str">
        <f>IF(O$2="","",IF(COUNTIFS('Mapa Impacto'!$D$7:$D$100,'Resumo Atividades x Sistema'!$D50,'Mapa Impacto'!N$7:N$100,"Sim")&gt;0,"Sim","Não"))</f>
        <v>Não</v>
      </c>
      <c r="P50" s="24" t="str">
        <f>IF(P$2="","",IF(COUNTIFS('Mapa Impacto'!$D$7:$D$100,'Resumo Atividades x Sistema'!$D50,'Mapa Impacto'!O$7:O$100,"Sim")&gt;0,"Sim","Não"))</f>
        <v>Não</v>
      </c>
      <c r="Q50" s="24" t="str">
        <f>IF(Q$2="","",IF(COUNTIFS('Mapa Impacto'!$D$7:$D$100,'Resumo Atividades x Sistema'!$D50,'Mapa Impacto'!P$7:P$100,"Sim")&gt;0,"Sim","Não"))</f>
        <v>Não</v>
      </c>
      <c r="R50" s="24" t="str">
        <f>IF(R$2="","",IF(COUNTIFS('Mapa Impacto'!$D$7:$D$100,'Resumo Atividades x Sistema'!$D50,'Mapa Impacto'!Q$7:Q$100,"Sim")&gt;0,"Sim","Não"))</f>
        <v>Não</v>
      </c>
      <c r="S50" s="24" t="str">
        <f>IF(S$2="","",IF(COUNTIFS('Mapa Impacto'!$D$7:$D$100,'Resumo Atividades x Sistema'!$D50,'Mapa Impacto'!R$7:R$100,"Sim")&gt;0,"Sim","Não"))</f>
        <v>Não</v>
      </c>
      <c r="T50" s="24" t="str">
        <f>IF(T$2="","",IF(COUNTIFS('Mapa Impacto'!$D$7:$D$100,'Resumo Atividades x Sistema'!$D50,'Mapa Impacto'!S$7:S$100,"Sim")&gt;0,"Sim","Não"))</f>
        <v>Não</v>
      </c>
      <c r="U50" s="24" t="str">
        <f>IF(U$2="","",IF(COUNTIFS('Mapa Impacto'!$D$7:$D$100,'Resumo Atividades x Sistema'!$D50,'Mapa Impacto'!T$7:T$100,"Sim")&gt;0,"Sim","Não"))</f>
        <v>Não</v>
      </c>
      <c r="V50" s="24" t="str">
        <f>IF(V$2="","",IF(COUNTIFS('Mapa Impacto'!$D$7:$D$100,'Resumo Atividades x Sistema'!$D50,'Mapa Impacto'!U$7:U$100,"Sim")&gt;0,"Sim","Não"))</f>
        <v>Não</v>
      </c>
      <c r="W50" s="24" t="str">
        <f>IF(W$2="","",IF(COUNTIFS('Mapa Impacto'!$D$7:$D$100,'Resumo Atividades x Sistema'!$D50,'Mapa Impacto'!V$7:V$100,"Sim")&gt;0,"Sim","Não"))</f>
        <v>Não</v>
      </c>
      <c r="X50" s="24" t="str">
        <f>IF(X$2="","",IF(COUNTIFS('Mapa Impacto'!$D$7:$D$100,'Resumo Atividades x Sistema'!$D50,'Mapa Impacto'!W$7:W$100,"Sim")&gt;0,"Sim","Não"))</f>
        <v>Não</v>
      </c>
      <c r="Y50" s="24" t="str">
        <f>IF(Y$2="","",IF(COUNTIFS('Mapa Impacto'!$D$7:$D$100,'Resumo Atividades x Sistema'!$D50,'Mapa Impacto'!X$7:X$100,"Sim")&gt;0,"Sim","Não"))</f>
        <v>Não</v>
      </c>
      <c r="Z50" s="24" t="str">
        <f>IF(Z$2="","",IF(COUNTIFS('Mapa Impacto'!$D$7:$D$100,'Resumo Atividades x Sistema'!$D50,'Mapa Impacto'!Y$7:Y$100,"Sim")&gt;0,"Sim","Não"))</f>
        <v>Não</v>
      </c>
      <c r="AA50" s="24" t="str">
        <f>IF(AA$2="","",IF(COUNTIFS('Mapa Impacto'!$D$7:$D$100,'Resumo Atividades x Sistema'!$D50,'Mapa Impacto'!Z$7:Z$100,"Sim")&gt;0,"Sim","Não"))</f>
        <v>Não</v>
      </c>
      <c r="AB50" s="24" t="str">
        <f>IF(AB$2="","",IF(COUNTIFS('Mapa Impacto'!$D$7:$D$100,'Resumo Atividades x Sistema'!$D50,'Mapa Impacto'!AA$7:AA$100,"Sim")&gt;0,"Sim","Não"))</f>
        <v>Não</v>
      </c>
      <c r="AC50" s="24" t="str">
        <f>IF(AC$2="","",IF(COUNTIFS('Mapa Impacto'!$D$7:$D$100,'Resumo Atividades x Sistema'!$D50,'Mapa Impacto'!AB$7:AB$100,"Sim")&gt;0,"Sim","Não"))</f>
        <v>Não</v>
      </c>
      <c r="AD50" s="24" t="str">
        <f>IF(AD$2="","",IF(COUNTIFS('Mapa Impacto'!$D$7:$D$100,'Resumo Atividades x Sistema'!$D50,'Mapa Impacto'!AC$7:AC$100,"Sim")&gt;0,"Sim","Não"))</f>
        <v>Não</v>
      </c>
      <c r="AE50" s="24" t="str">
        <f>IF(AE$2="","",IF(COUNTIFS('Mapa Impacto'!$D$7:$D$100,'Resumo Atividades x Sistema'!$D50,'Mapa Impacto'!AD$7:AD$100,"Sim")&gt;0,"Sim","Não"))</f>
        <v>Não</v>
      </c>
      <c r="AF50" s="24" t="str">
        <f>IF(AF$2="","",IF(COUNTIFS('Mapa Impacto'!$D$7:$D$100,'Resumo Atividades x Sistema'!$D50,'Mapa Impacto'!AE$7:AE$100,"Sim")&gt;0,"Sim","Não"))</f>
        <v>Não</v>
      </c>
      <c r="AG50" s="24" t="str">
        <f>IF(AG$2="","",IF(COUNTIFS('Mapa Impacto'!$D$7:$D$100,'Resumo Atividades x Sistema'!$D50,'Mapa Impacto'!AF$7:AF$100,"Sim")&gt;0,"Sim","Não"))</f>
        <v>Não</v>
      </c>
      <c r="AH50" s="24" t="str">
        <f>IF(AH$2="","",IF(COUNTIFS('Mapa Impacto'!$D$7:$D$100,'Resumo Atividades x Sistema'!$D50,'Mapa Impacto'!AG$7:AG$100,"Sim")&gt;0,"Sim","Não"))</f>
        <v>Não</v>
      </c>
      <c r="AI50" s="24" t="str">
        <f>IF(AI$2="","",IF(COUNTIFS('Mapa Impacto'!$D$7:$D$100,'Resumo Atividades x Sistema'!$D50,'Mapa Impacto'!AH$7:AH$100,"Sim")&gt;0,"Sim","Não"))</f>
        <v>Não</v>
      </c>
      <c r="AJ50" s="24" t="str">
        <f>IF(AJ$2="","",IF(COUNTIFS('Mapa Impacto'!$D$7:$D$100,'Resumo Atividades x Sistema'!$D50,'Mapa Impacto'!AI$7:AI$100,"Sim")&gt;0,"Sim","Não"))</f>
        <v>Não</v>
      </c>
      <c r="AK50" s="24" t="str">
        <f>IF(AK$2="","",IF(COUNTIFS('Mapa Impacto'!$D$7:$D$100,'Resumo Atividades x Sistema'!$D50,'Mapa Impacto'!AJ$7:AJ$100,"Sim")&gt;0,"Sim","Não"))</f>
        <v>Não</v>
      </c>
    </row>
    <row r="51" spans="2:37" ht="45" outlineLevel="1" x14ac:dyDescent="0.25">
      <c r="B51" s="144" t="str">
        <f>'Checklist Impacto Operações TI'!A47</f>
        <v>99 - Entendimento da solução</v>
      </c>
      <c r="C51" s="145"/>
      <c r="D51" s="24" t="str">
        <f>'Checklist Impacto Operações TI'!C47</f>
        <v>A demanda implica em usar integração síncrona?</v>
      </c>
      <c r="E51" s="24" t="str">
        <f>'Checklist Impacto Operações TI'!D47</f>
        <v>Identificar integrações síncronas.  Usado para formação do conhecimento da solução. Não tem atividade a ser desenvolvida.</v>
      </c>
      <c r="F51" s="24" t="str">
        <f>'Checklist Impacto Operações TI'!E47</f>
        <v>Relação de  integrações síncronas.</v>
      </c>
      <c r="G51" s="24" t="str">
        <f>IF(G$2="","",IF(COUNTIFS('Mapa Impacto'!$D$7:$D$100,'Resumo Atividades x Sistema'!$D51,'Mapa Impacto'!F$7:F$100,"Sim")&gt;0,"Sim","Não"))</f>
        <v>Não</v>
      </c>
      <c r="H51" s="24" t="str">
        <f>IF(H$2="","",IF(COUNTIFS('Mapa Impacto'!$D$7:$D$100,'Resumo Atividades x Sistema'!$D51,'Mapa Impacto'!G$7:G$100,"Sim")&gt;0,"Sim","Não"))</f>
        <v>Não</v>
      </c>
      <c r="I51" s="24" t="str">
        <f>IF(I$2="","",IF(COUNTIFS('Mapa Impacto'!$D$7:$D$100,'Resumo Atividades x Sistema'!$D51,'Mapa Impacto'!H$7:H$100,"Sim")&gt;0,"Sim","Não"))</f>
        <v>Não</v>
      </c>
      <c r="J51" s="24" t="str">
        <f>IF(J$2="","",IF(COUNTIFS('Mapa Impacto'!$D$7:$D$100,'Resumo Atividades x Sistema'!$D51,'Mapa Impacto'!I$7:I$100,"Sim")&gt;0,"Sim","Não"))</f>
        <v>Não</v>
      </c>
      <c r="K51" s="24" t="str">
        <f>IF(K$2="","",IF(COUNTIFS('Mapa Impacto'!$D$7:$D$100,'Resumo Atividades x Sistema'!$D51,'Mapa Impacto'!J$7:J$100,"Sim")&gt;0,"Sim","Não"))</f>
        <v>Não</v>
      </c>
      <c r="L51" s="24" t="str">
        <f>IF(L$2="","",IF(COUNTIFS('Mapa Impacto'!$D$7:$D$100,'Resumo Atividades x Sistema'!$D51,'Mapa Impacto'!K$7:K$100,"Sim")&gt;0,"Sim","Não"))</f>
        <v>Não</v>
      </c>
      <c r="M51" s="24" t="str">
        <f>IF(M$2="","",IF(COUNTIFS('Mapa Impacto'!$D$7:$D$100,'Resumo Atividades x Sistema'!$D51,'Mapa Impacto'!L$7:L$100,"Sim")&gt;0,"Sim","Não"))</f>
        <v>Não</v>
      </c>
      <c r="N51" s="24" t="str">
        <f>IF(N$2="","",IF(COUNTIFS('Mapa Impacto'!$D$7:$D$100,'Resumo Atividades x Sistema'!$D51,'Mapa Impacto'!M$7:M$100,"Sim")&gt;0,"Sim","Não"))</f>
        <v>Não</v>
      </c>
      <c r="O51" s="24" t="str">
        <f>IF(O$2="","",IF(COUNTIFS('Mapa Impacto'!$D$7:$D$100,'Resumo Atividades x Sistema'!$D51,'Mapa Impacto'!N$7:N$100,"Sim")&gt;0,"Sim","Não"))</f>
        <v>Não</v>
      </c>
      <c r="P51" s="24" t="str">
        <f>IF(P$2="","",IF(COUNTIFS('Mapa Impacto'!$D$7:$D$100,'Resumo Atividades x Sistema'!$D51,'Mapa Impacto'!O$7:O$100,"Sim")&gt;0,"Sim","Não"))</f>
        <v>Não</v>
      </c>
      <c r="Q51" s="24" t="str">
        <f>IF(Q$2="","",IF(COUNTIFS('Mapa Impacto'!$D$7:$D$100,'Resumo Atividades x Sistema'!$D51,'Mapa Impacto'!P$7:P$100,"Sim")&gt;0,"Sim","Não"))</f>
        <v>Não</v>
      </c>
      <c r="R51" s="24" t="str">
        <f>IF(R$2="","",IF(COUNTIFS('Mapa Impacto'!$D$7:$D$100,'Resumo Atividades x Sistema'!$D51,'Mapa Impacto'!Q$7:Q$100,"Sim")&gt;0,"Sim","Não"))</f>
        <v>Não</v>
      </c>
      <c r="S51" s="24" t="str">
        <f>IF(S$2="","",IF(COUNTIFS('Mapa Impacto'!$D$7:$D$100,'Resumo Atividades x Sistema'!$D51,'Mapa Impacto'!R$7:R$100,"Sim")&gt;0,"Sim","Não"))</f>
        <v>Não</v>
      </c>
      <c r="T51" s="24" t="str">
        <f>IF(T$2="","",IF(COUNTIFS('Mapa Impacto'!$D$7:$D$100,'Resumo Atividades x Sistema'!$D51,'Mapa Impacto'!S$7:S$100,"Sim")&gt;0,"Sim","Não"))</f>
        <v>Não</v>
      </c>
      <c r="U51" s="24" t="str">
        <f>IF(U$2="","",IF(COUNTIFS('Mapa Impacto'!$D$7:$D$100,'Resumo Atividades x Sistema'!$D51,'Mapa Impacto'!T$7:T$100,"Sim")&gt;0,"Sim","Não"))</f>
        <v>Não</v>
      </c>
      <c r="V51" s="24" t="str">
        <f>IF(V$2="","",IF(COUNTIFS('Mapa Impacto'!$D$7:$D$100,'Resumo Atividades x Sistema'!$D51,'Mapa Impacto'!U$7:U$100,"Sim")&gt;0,"Sim","Não"))</f>
        <v>Não</v>
      </c>
      <c r="W51" s="24" t="str">
        <f>IF(W$2="","",IF(COUNTIFS('Mapa Impacto'!$D$7:$D$100,'Resumo Atividades x Sistema'!$D51,'Mapa Impacto'!V$7:V$100,"Sim")&gt;0,"Sim","Não"))</f>
        <v>Não</v>
      </c>
      <c r="X51" s="24" t="str">
        <f>IF(X$2="","",IF(COUNTIFS('Mapa Impacto'!$D$7:$D$100,'Resumo Atividades x Sistema'!$D51,'Mapa Impacto'!W$7:W$100,"Sim")&gt;0,"Sim","Não"))</f>
        <v>Não</v>
      </c>
      <c r="Y51" s="24" t="str">
        <f>IF(Y$2="","",IF(COUNTIFS('Mapa Impacto'!$D$7:$D$100,'Resumo Atividades x Sistema'!$D51,'Mapa Impacto'!X$7:X$100,"Sim")&gt;0,"Sim","Não"))</f>
        <v>Não</v>
      </c>
      <c r="Z51" s="24" t="str">
        <f>IF(Z$2="","",IF(COUNTIFS('Mapa Impacto'!$D$7:$D$100,'Resumo Atividades x Sistema'!$D51,'Mapa Impacto'!Y$7:Y$100,"Sim")&gt;0,"Sim","Não"))</f>
        <v>Não</v>
      </c>
      <c r="AA51" s="24" t="str">
        <f>IF(AA$2="","",IF(COUNTIFS('Mapa Impacto'!$D$7:$D$100,'Resumo Atividades x Sistema'!$D51,'Mapa Impacto'!Z$7:Z$100,"Sim")&gt;0,"Sim","Não"))</f>
        <v>Não</v>
      </c>
      <c r="AB51" s="24" t="str">
        <f>IF(AB$2="","",IF(COUNTIFS('Mapa Impacto'!$D$7:$D$100,'Resumo Atividades x Sistema'!$D51,'Mapa Impacto'!AA$7:AA$100,"Sim")&gt;0,"Sim","Não"))</f>
        <v>Não</v>
      </c>
      <c r="AC51" s="24" t="str">
        <f>IF(AC$2="","",IF(COUNTIFS('Mapa Impacto'!$D$7:$D$100,'Resumo Atividades x Sistema'!$D51,'Mapa Impacto'!AB$7:AB$100,"Sim")&gt;0,"Sim","Não"))</f>
        <v>Não</v>
      </c>
      <c r="AD51" s="24" t="str">
        <f>IF(AD$2="","",IF(COUNTIFS('Mapa Impacto'!$D$7:$D$100,'Resumo Atividades x Sistema'!$D51,'Mapa Impacto'!AC$7:AC$100,"Sim")&gt;0,"Sim","Não"))</f>
        <v>Não</v>
      </c>
      <c r="AE51" s="24" t="str">
        <f>IF(AE$2="","",IF(COUNTIFS('Mapa Impacto'!$D$7:$D$100,'Resumo Atividades x Sistema'!$D51,'Mapa Impacto'!AD$7:AD$100,"Sim")&gt;0,"Sim","Não"))</f>
        <v>Não</v>
      </c>
      <c r="AF51" s="24" t="str">
        <f>IF(AF$2="","",IF(COUNTIFS('Mapa Impacto'!$D$7:$D$100,'Resumo Atividades x Sistema'!$D51,'Mapa Impacto'!AE$7:AE$100,"Sim")&gt;0,"Sim","Não"))</f>
        <v>Não</v>
      </c>
      <c r="AG51" s="24" t="str">
        <f>IF(AG$2="","",IF(COUNTIFS('Mapa Impacto'!$D$7:$D$100,'Resumo Atividades x Sistema'!$D51,'Mapa Impacto'!AF$7:AF$100,"Sim")&gt;0,"Sim","Não"))</f>
        <v>Não</v>
      </c>
      <c r="AH51" s="24" t="str">
        <f>IF(AH$2="","",IF(COUNTIFS('Mapa Impacto'!$D$7:$D$100,'Resumo Atividades x Sistema'!$D51,'Mapa Impacto'!AG$7:AG$100,"Sim")&gt;0,"Sim","Não"))</f>
        <v>Não</v>
      </c>
      <c r="AI51" s="24" t="str">
        <f>IF(AI$2="","",IF(COUNTIFS('Mapa Impacto'!$D$7:$D$100,'Resumo Atividades x Sistema'!$D51,'Mapa Impacto'!AH$7:AH$100,"Sim")&gt;0,"Sim","Não"))</f>
        <v>Não</v>
      </c>
      <c r="AJ51" s="24" t="str">
        <f>IF(AJ$2="","",IF(COUNTIFS('Mapa Impacto'!$D$7:$D$100,'Resumo Atividades x Sistema'!$D51,'Mapa Impacto'!AI$7:AI$100,"Sim")&gt;0,"Sim","Não"))</f>
        <v>Não</v>
      </c>
      <c r="AK51" s="24" t="str">
        <f>IF(AK$2="","",IF(COUNTIFS('Mapa Impacto'!$D$7:$D$100,'Resumo Atividades x Sistema'!$D51,'Mapa Impacto'!AJ$7:AJ$100,"Sim")&gt;0,"Sim","Não"))</f>
        <v>Não</v>
      </c>
    </row>
    <row r="52" spans="2:37" ht="46.5" customHeight="1" outlineLevel="1" x14ac:dyDescent="0.25">
      <c r="B52" s="144" t="str">
        <f>'Checklist Impacto Operações TI'!A48</f>
        <v>99 - Entendimento da solução</v>
      </c>
      <c r="C52" s="145"/>
      <c r="D52" s="24" t="str">
        <f>'Checklist Impacto Operações TI'!C48</f>
        <v>A demanda implica em usar integração assíncrona?</v>
      </c>
      <c r="E52" s="24" t="str">
        <f>'Checklist Impacto Operações TI'!D48</f>
        <v>Identificar integrações assíncronas. Usado para formação do conhecimento da solução. Não tem atividade a ser desenvolvida.</v>
      </c>
      <c r="F52" s="24" t="str">
        <f>'Checklist Impacto Operações TI'!E48</f>
        <v>Relação de  integrações assíncronas.</v>
      </c>
      <c r="G52" s="24" t="str">
        <f>IF(G$2="","",IF(COUNTIFS('Mapa Impacto'!$D$7:$D$100,'Resumo Atividades x Sistema'!$D52,'Mapa Impacto'!F$7:F$100,"Sim")&gt;0,"Sim","Não"))</f>
        <v>Não</v>
      </c>
      <c r="H52" s="24" t="str">
        <f>IF(H$2="","",IF(COUNTIFS('Mapa Impacto'!$D$7:$D$100,'Resumo Atividades x Sistema'!$D52,'Mapa Impacto'!G$7:G$100,"Sim")&gt;0,"Sim","Não"))</f>
        <v>Não</v>
      </c>
      <c r="I52" s="24" t="str">
        <f>IF(I$2="","",IF(COUNTIFS('Mapa Impacto'!$D$7:$D$100,'Resumo Atividades x Sistema'!$D52,'Mapa Impacto'!H$7:H$100,"Sim")&gt;0,"Sim","Não"))</f>
        <v>Não</v>
      </c>
      <c r="J52" s="24" t="str">
        <f>IF(J$2="","",IF(COUNTIFS('Mapa Impacto'!$D$7:$D$100,'Resumo Atividades x Sistema'!$D52,'Mapa Impacto'!I$7:I$100,"Sim")&gt;0,"Sim","Não"))</f>
        <v>Não</v>
      </c>
      <c r="K52" s="24" t="str">
        <f>IF(K$2="","",IF(COUNTIFS('Mapa Impacto'!$D$7:$D$100,'Resumo Atividades x Sistema'!$D52,'Mapa Impacto'!J$7:J$100,"Sim")&gt;0,"Sim","Não"))</f>
        <v>Não</v>
      </c>
      <c r="L52" s="24" t="str">
        <f>IF(L$2="","",IF(COUNTIFS('Mapa Impacto'!$D$7:$D$100,'Resumo Atividades x Sistema'!$D52,'Mapa Impacto'!K$7:K$100,"Sim")&gt;0,"Sim","Não"))</f>
        <v>Não</v>
      </c>
      <c r="M52" s="24" t="str">
        <f>IF(M$2="","",IF(COUNTIFS('Mapa Impacto'!$D$7:$D$100,'Resumo Atividades x Sistema'!$D52,'Mapa Impacto'!L$7:L$100,"Sim")&gt;0,"Sim","Não"))</f>
        <v>Não</v>
      </c>
      <c r="N52" s="24" t="str">
        <f>IF(N$2="","",IF(COUNTIFS('Mapa Impacto'!$D$7:$D$100,'Resumo Atividades x Sistema'!$D52,'Mapa Impacto'!M$7:M$100,"Sim")&gt;0,"Sim","Não"))</f>
        <v>Não</v>
      </c>
      <c r="O52" s="24" t="str">
        <f>IF(O$2="","",IF(COUNTIFS('Mapa Impacto'!$D$7:$D$100,'Resumo Atividades x Sistema'!$D52,'Mapa Impacto'!N$7:N$100,"Sim")&gt;0,"Sim","Não"))</f>
        <v>Não</v>
      </c>
      <c r="P52" s="24" t="str">
        <f>IF(P$2="","",IF(COUNTIFS('Mapa Impacto'!$D$7:$D$100,'Resumo Atividades x Sistema'!$D52,'Mapa Impacto'!O$7:O$100,"Sim")&gt;0,"Sim","Não"))</f>
        <v>Não</v>
      </c>
      <c r="Q52" s="24" t="str">
        <f>IF(Q$2="","",IF(COUNTIFS('Mapa Impacto'!$D$7:$D$100,'Resumo Atividades x Sistema'!$D52,'Mapa Impacto'!P$7:P$100,"Sim")&gt;0,"Sim","Não"))</f>
        <v>Não</v>
      </c>
      <c r="R52" s="24" t="str">
        <f>IF(R$2="","",IF(COUNTIFS('Mapa Impacto'!$D$7:$D$100,'Resumo Atividades x Sistema'!$D52,'Mapa Impacto'!Q$7:Q$100,"Sim")&gt;0,"Sim","Não"))</f>
        <v>Não</v>
      </c>
      <c r="S52" s="24" t="str">
        <f>IF(S$2="","",IF(COUNTIFS('Mapa Impacto'!$D$7:$D$100,'Resumo Atividades x Sistema'!$D52,'Mapa Impacto'!R$7:R$100,"Sim")&gt;0,"Sim","Não"))</f>
        <v>Não</v>
      </c>
      <c r="T52" s="24" t="str">
        <f>IF(T$2="","",IF(COUNTIFS('Mapa Impacto'!$D$7:$D$100,'Resumo Atividades x Sistema'!$D52,'Mapa Impacto'!S$7:S$100,"Sim")&gt;0,"Sim","Não"))</f>
        <v>Não</v>
      </c>
      <c r="U52" s="24" t="str">
        <f>IF(U$2="","",IF(COUNTIFS('Mapa Impacto'!$D$7:$D$100,'Resumo Atividades x Sistema'!$D52,'Mapa Impacto'!T$7:T$100,"Sim")&gt;0,"Sim","Não"))</f>
        <v>Não</v>
      </c>
      <c r="V52" s="24" t="str">
        <f>IF(V$2="","",IF(COUNTIFS('Mapa Impacto'!$D$7:$D$100,'Resumo Atividades x Sistema'!$D52,'Mapa Impacto'!U$7:U$100,"Sim")&gt;0,"Sim","Não"))</f>
        <v>Não</v>
      </c>
      <c r="W52" s="24" t="str">
        <f>IF(W$2="","",IF(COUNTIFS('Mapa Impacto'!$D$7:$D$100,'Resumo Atividades x Sistema'!$D52,'Mapa Impacto'!V$7:V$100,"Sim")&gt;0,"Sim","Não"))</f>
        <v>Não</v>
      </c>
      <c r="X52" s="24" t="str">
        <f>IF(X$2="","",IF(COUNTIFS('Mapa Impacto'!$D$7:$D$100,'Resumo Atividades x Sistema'!$D52,'Mapa Impacto'!W$7:W$100,"Sim")&gt;0,"Sim","Não"))</f>
        <v>Não</v>
      </c>
      <c r="Y52" s="24" t="str">
        <f>IF(Y$2="","",IF(COUNTIFS('Mapa Impacto'!$D$7:$D$100,'Resumo Atividades x Sistema'!$D52,'Mapa Impacto'!X$7:X$100,"Sim")&gt;0,"Sim","Não"))</f>
        <v>Não</v>
      </c>
      <c r="Z52" s="24" t="str">
        <f>IF(Z$2="","",IF(COUNTIFS('Mapa Impacto'!$D$7:$D$100,'Resumo Atividades x Sistema'!$D52,'Mapa Impacto'!Y$7:Y$100,"Sim")&gt;0,"Sim","Não"))</f>
        <v>Não</v>
      </c>
      <c r="AA52" s="24" t="str">
        <f>IF(AA$2="","",IF(COUNTIFS('Mapa Impacto'!$D$7:$D$100,'Resumo Atividades x Sistema'!$D52,'Mapa Impacto'!Z$7:Z$100,"Sim")&gt;0,"Sim","Não"))</f>
        <v>Não</v>
      </c>
      <c r="AB52" s="24" t="str">
        <f>IF(AB$2="","",IF(COUNTIFS('Mapa Impacto'!$D$7:$D$100,'Resumo Atividades x Sistema'!$D52,'Mapa Impacto'!AA$7:AA$100,"Sim")&gt;0,"Sim","Não"))</f>
        <v>Não</v>
      </c>
      <c r="AC52" s="24" t="str">
        <f>IF(AC$2="","",IF(COUNTIFS('Mapa Impacto'!$D$7:$D$100,'Resumo Atividades x Sistema'!$D52,'Mapa Impacto'!AB$7:AB$100,"Sim")&gt;0,"Sim","Não"))</f>
        <v>Não</v>
      </c>
      <c r="AD52" s="24" t="str">
        <f>IF(AD$2="","",IF(COUNTIFS('Mapa Impacto'!$D$7:$D$100,'Resumo Atividades x Sistema'!$D52,'Mapa Impacto'!AC$7:AC$100,"Sim")&gt;0,"Sim","Não"))</f>
        <v>Não</v>
      </c>
      <c r="AE52" s="24" t="str">
        <f>IF(AE$2="","",IF(COUNTIFS('Mapa Impacto'!$D$7:$D$100,'Resumo Atividades x Sistema'!$D52,'Mapa Impacto'!AD$7:AD$100,"Sim")&gt;0,"Sim","Não"))</f>
        <v>Não</v>
      </c>
      <c r="AF52" s="24" t="str">
        <f>IF(AF$2="","",IF(COUNTIFS('Mapa Impacto'!$D$7:$D$100,'Resumo Atividades x Sistema'!$D52,'Mapa Impacto'!AE$7:AE$100,"Sim")&gt;0,"Sim","Não"))</f>
        <v>Não</v>
      </c>
      <c r="AG52" s="24" t="str">
        <f>IF(AG$2="","",IF(COUNTIFS('Mapa Impacto'!$D$7:$D$100,'Resumo Atividades x Sistema'!$D52,'Mapa Impacto'!AF$7:AF$100,"Sim")&gt;0,"Sim","Não"))</f>
        <v>Não</v>
      </c>
      <c r="AH52" s="24" t="str">
        <f>IF(AH$2="","",IF(COUNTIFS('Mapa Impacto'!$D$7:$D$100,'Resumo Atividades x Sistema'!$D52,'Mapa Impacto'!AG$7:AG$100,"Sim")&gt;0,"Sim","Não"))</f>
        <v>Não</v>
      </c>
      <c r="AI52" s="24" t="str">
        <f>IF(AI$2="","",IF(COUNTIFS('Mapa Impacto'!$D$7:$D$100,'Resumo Atividades x Sistema'!$D52,'Mapa Impacto'!AH$7:AH$100,"Sim")&gt;0,"Sim","Não"))</f>
        <v>Não</v>
      </c>
      <c r="AJ52" s="24" t="str">
        <f>IF(AJ$2="","",IF(COUNTIFS('Mapa Impacto'!$D$7:$D$100,'Resumo Atividades x Sistema'!$D52,'Mapa Impacto'!AI$7:AI$100,"Sim")&gt;0,"Sim","Não"))</f>
        <v>Não</v>
      </c>
      <c r="AK52" s="24" t="str">
        <f>IF(AK$2="","",IF(COUNTIFS('Mapa Impacto'!$D$7:$D$100,'Resumo Atividades x Sistema'!$D52,'Mapa Impacto'!AJ$7:AJ$100,"Sim")&gt;0,"Sim","Não"))</f>
        <v>Não</v>
      </c>
    </row>
    <row r="53" spans="2:37" ht="10.5" customHeight="1" x14ac:dyDescent="0.25"/>
    <row r="54" spans="2:37" ht="39.75" hidden="1" customHeight="1" x14ac:dyDescent="0.25"/>
    <row r="55" spans="2:37" ht="39.75" hidden="1" customHeight="1" x14ac:dyDescent="0.25"/>
    <row r="56" spans="2:37" ht="39.75" hidden="1" customHeight="1" x14ac:dyDescent="0.25"/>
    <row r="57" spans="2:37" ht="39.75" hidden="1" customHeight="1" x14ac:dyDescent="0.25"/>
    <row r="58" spans="2:37" ht="39.75" hidden="1" customHeight="1" x14ac:dyDescent="0.25"/>
    <row r="59" spans="2:37" ht="39.75" hidden="1" customHeight="1" x14ac:dyDescent="0.25"/>
    <row r="60" spans="2:37" ht="39.75" hidden="1" customHeight="1" x14ac:dyDescent="0.25"/>
    <row r="61" spans="2:37" ht="39.75" hidden="1" customHeight="1" x14ac:dyDescent="0.25"/>
    <row r="62" spans="2:37" ht="39.75" hidden="1" customHeight="1" x14ac:dyDescent="0.25"/>
    <row r="63" spans="2:37" ht="39.75" hidden="1" customHeight="1" x14ac:dyDescent="0.25"/>
    <row r="64" spans="2:37" ht="39.75" hidden="1" customHeight="1" x14ac:dyDescent="0.25"/>
    <row r="65" ht="39.75" hidden="1" customHeight="1" x14ac:dyDescent="0.25"/>
    <row r="66" ht="39.75" hidden="1" customHeight="1" x14ac:dyDescent="0.25"/>
    <row r="67" ht="39.75" hidden="1" customHeight="1" x14ac:dyDescent="0.25"/>
    <row r="68" ht="39.75" hidden="1" customHeight="1" x14ac:dyDescent="0.25"/>
    <row r="69" ht="39.75" hidden="1" customHeight="1" x14ac:dyDescent="0.25"/>
    <row r="70" ht="39.75" hidden="1" customHeight="1" x14ac:dyDescent="0.25"/>
    <row r="71" ht="39.75" hidden="1" customHeight="1" x14ac:dyDescent="0.25"/>
    <row r="72" ht="1.5" hidden="1" customHeight="1" x14ac:dyDescent="0.25"/>
  </sheetData>
  <sheetProtection password="F443" sheet="1" objects="1" scenarios="1" formatCells="0" formatColumns="0" formatRows="0" autoFilter="0"/>
  <autoFilter ref="B5:AK50">
    <filterColumn colId="0" showButton="0"/>
  </autoFilter>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mergeCells count="81">
    <mergeCell ref="B52:C52"/>
    <mergeCell ref="B51:C51"/>
    <mergeCell ref="B50:C50"/>
    <mergeCell ref="B49:C49"/>
    <mergeCell ref="B39:C39"/>
    <mergeCell ref="B47:C47"/>
    <mergeCell ref="B48:C48"/>
    <mergeCell ref="B46:C46"/>
    <mergeCell ref="B28:C28"/>
    <mergeCell ref="B29:C29"/>
    <mergeCell ref="B30:C30"/>
    <mergeCell ref="B31:C31"/>
    <mergeCell ref="B34:C34"/>
    <mergeCell ref="B26:C26"/>
    <mergeCell ref="B27:C27"/>
    <mergeCell ref="B32:C32"/>
    <mergeCell ref="B33:C33"/>
    <mergeCell ref="B45:C45"/>
    <mergeCell ref="B40:C40"/>
    <mergeCell ref="B41:C41"/>
    <mergeCell ref="B42:C42"/>
    <mergeCell ref="B43:C43"/>
    <mergeCell ref="B44:C44"/>
    <mergeCell ref="B35:C35"/>
    <mergeCell ref="B36:C36"/>
    <mergeCell ref="B37:C37"/>
    <mergeCell ref="B38:C38"/>
    <mergeCell ref="B25:C25"/>
    <mergeCell ref="B14:C14"/>
    <mergeCell ref="B15:C15"/>
    <mergeCell ref="B16:C16"/>
    <mergeCell ref="B17:C17"/>
    <mergeCell ref="B18:C18"/>
    <mergeCell ref="B20:C20"/>
    <mergeCell ref="B19:C19"/>
    <mergeCell ref="B21:C21"/>
    <mergeCell ref="B22:C22"/>
    <mergeCell ref="B23:C23"/>
    <mergeCell ref="B24:C24"/>
    <mergeCell ref="B9:C9"/>
    <mergeCell ref="B10:C10"/>
    <mergeCell ref="B11:C11"/>
    <mergeCell ref="B12:C12"/>
    <mergeCell ref="B13:C13"/>
    <mergeCell ref="C2:E2"/>
    <mergeCell ref="B6:C6"/>
    <mergeCell ref="B7:C7"/>
    <mergeCell ref="B8:C8"/>
    <mergeCell ref="B5:C5"/>
    <mergeCell ref="C3:F3"/>
    <mergeCell ref="G2:G5"/>
    <mergeCell ref="H2:H5"/>
    <mergeCell ref="I2:I5"/>
    <mergeCell ref="J2:J5"/>
    <mergeCell ref="K2:K5"/>
    <mergeCell ref="L2:L5"/>
    <mergeCell ref="M2:M5"/>
    <mergeCell ref="N2:N5"/>
    <mergeCell ref="O2:O5"/>
    <mergeCell ref="P2:P5"/>
    <mergeCell ref="Q2:Q5"/>
    <mergeCell ref="R2:R5"/>
    <mergeCell ref="S2:S5"/>
    <mergeCell ref="T2:T5"/>
    <mergeCell ref="U2:U5"/>
    <mergeCell ref="V2:V5"/>
    <mergeCell ref="W2:W5"/>
    <mergeCell ref="X2:X5"/>
    <mergeCell ref="Y2:Y5"/>
    <mergeCell ref="Z2:Z5"/>
    <mergeCell ref="AA2:AA5"/>
    <mergeCell ref="AB2:AB5"/>
    <mergeCell ref="AC2:AC5"/>
    <mergeCell ref="AD2:AD5"/>
    <mergeCell ref="AE2:AE5"/>
    <mergeCell ref="AK2:AK5"/>
    <mergeCell ref="AF2:AF5"/>
    <mergeCell ref="AG2:AG5"/>
    <mergeCell ref="AH2:AH5"/>
    <mergeCell ref="AI2:AI5"/>
    <mergeCell ref="AJ2:AJ5"/>
  </mergeCells>
  <pageMargins left="0.511811024" right="0.511811024" top="0.78740157499999996" bottom="0.78740157499999996" header="0.31496062000000002" footer="0.31496062000000002"/>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G15"/>
  <sheetViews>
    <sheetView showGridLines="0" zoomScaleNormal="100" workbookViewId="0"/>
  </sheetViews>
  <sheetFormatPr defaultRowHeight="15" x14ac:dyDescent="0.25"/>
  <cols>
    <col min="1" max="1" width="0.7109375" customWidth="1"/>
    <col min="2" max="2" width="34" customWidth="1"/>
    <col min="3" max="3" width="5.85546875" customWidth="1"/>
    <col min="4" max="33" width="5" bestFit="1" customWidth="1"/>
  </cols>
  <sheetData>
    <row r="1" spans="2:33" ht="5.25" customHeight="1" x14ac:dyDescent="0.25"/>
    <row r="2" spans="2:33" ht="142.5" customHeight="1" x14ac:dyDescent="0.25">
      <c r="B2" s="98" t="s">
        <v>335</v>
      </c>
      <c r="C2" s="97" t="str">
        <f>'Resumo Atividades x Sistema'!G2</f>
        <v>Sistema 1</v>
      </c>
      <c r="D2" s="97" t="str">
        <f>'Resumo Atividades x Sistema'!H2</f>
        <v>Sistema 2</v>
      </c>
      <c r="E2" s="97" t="str">
        <f>'Resumo Atividades x Sistema'!I2</f>
        <v>Sistema 3</v>
      </c>
      <c r="F2" s="97" t="str">
        <f>'Resumo Atividades x Sistema'!J2</f>
        <v>Sistema 4</v>
      </c>
      <c r="G2" s="97" t="str">
        <f>'Resumo Atividades x Sistema'!K2</f>
        <v>Sistema 5</v>
      </c>
      <c r="H2" s="97" t="str">
        <f>'Resumo Atividades x Sistema'!L2</f>
        <v>Sistema 6</v>
      </c>
      <c r="I2" s="97" t="str">
        <f>'Resumo Atividades x Sistema'!M2</f>
        <v>Sistema 7</v>
      </c>
      <c r="J2" s="97" t="str">
        <f>'Resumo Atividades x Sistema'!N2</f>
        <v>Sistema 8</v>
      </c>
      <c r="K2" s="97" t="str">
        <f>'Resumo Atividades x Sistema'!O2</f>
        <v>Sistema 9</v>
      </c>
      <c r="L2" s="97" t="str">
        <f>'Resumo Atividades x Sistema'!P2</f>
        <v>Sistema 10</v>
      </c>
      <c r="M2" s="97" t="str">
        <f>'Resumo Atividades x Sistema'!Q2</f>
        <v>Sistema 11</v>
      </c>
      <c r="N2" s="97" t="str">
        <f>'Resumo Atividades x Sistema'!R2</f>
        <v>Sistema 12</v>
      </c>
      <c r="O2" s="97" t="str">
        <f>'Resumo Atividades x Sistema'!S2</f>
        <v>Sistema 13</v>
      </c>
      <c r="P2" s="97" t="str">
        <f>'Resumo Atividades x Sistema'!T2</f>
        <v>Sistema 14</v>
      </c>
      <c r="Q2" s="97" t="str">
        <f>'Resumo Atividades x Sistema'!U2</f>
        <v>Sistema 15</v>
      </c>
      <c r="R2" s="97" t="str">
        <f>'Resumo Atividades x Sistema'!V2</f>
        <v>Sistema 16</v>
      </c>
      <c r="S2" s="97" t="str">
        <f>'Resumo Atividades x Sistema'!W2</f>
        <v>Sistema 17</v>
      </c>
      <c r="T2" s="97" t="str">
        <f>'Resumo Atividades x Sistema'!X2</f>
        <v>Sistema 18</v>
      </c>
      <c r="U2" s="97" t="str">
        <f>'Resumo Atividades x Sistema'!Y2</f>
        <v>Sistema 19</v>
      </c>
      <c r="V2" s="97" t="str">
        <f>'Resumo Atividades x Sistema'!Z2</f>
        <v>Sistema 20</v>
      </c>
      <c r="W2" s="97" t="str">
        <f>'Resumo Atividades x Sistema'!AA2</f>
        <v>Sistema 21</v>
      </c>
      <c r="X2" s="97" t="str">
        <f>'Resumo Atividades x Sistema'!AB2</f>
        <v>Sistema 22</v>
      </c>
      <c r="Y2" s="97" t="str">
        <f>'Resumo Atividades x Sistema'!AC2</f>
        <v>Sistema 23</v>
      </c>
      <c r="Z2" s="97" t="str">
        <f>'Resumo Atividades x Sistema'!AD2</f>
        <v>Sistema 24</v>
      </c>
      <c r="AA2" s="97" t="str">
        <f>'Resumo Atividades x Sistema'!AE2</f>
        <v>Sistema 25</v>
      </c>
      <c r="AB2" s="97" t="str">
        <f>'Resumo Atividades x Sistema'!AF2</f>
        <v>Sistema 26</v>
      </c>
      <c r="AC2" s="97" t="str">
        <f>'Resumo Atividades x Sistema'!AG2</f>
        <v>Sistema 27</v>
      </c>
      <c r="AD2" s="97" t="str">
        <f>'Resumo Atividades x Sistema'!AH2</f>
        <v>Sistema 28</v>
      </c>
      <c r="AE2" s="97" t="str">
        <f>'Resumo Atividades x Sistema'!AI2</f>
        <v>Sistema 29</v>
      </c>
      <c r="AF2" s="97" t="str">
        <f>'Resumo Atividades x Sistema'!AJ2</f>
        <v>Sistema 30</v>
      </c>
      <c r="AG2" s="96" t="str">
        <f>'Resumo Atividades x Sistema'!AK2</f>
        <v>Sistema 31</v>
      </c>
    </row>
    <row r="3" spans="2:33" x14ac:dyDescent="0.25">
      <c r="B3" s="87" t="s">
        <v>29</v>
      </c>
      <c r="C3" s="53">
        <f>COUNTIFS('Resumo Atividades x Sistema'!$B$6:$B$100,$B3,'Resumo Atividades x Sistema'!G$6:G$100,"Sim")</f>
        <v>0</v>
      </c>
      <c r="D3" s="53">
        <f>COUNTIFS('Resumo Atividades x Sistema'!$B$6:$B$100,$B3,'Resumo Atividades x Sistema'!H$6:H$100,"Sim")</f>
        <v>0</v>
      </c>
      <c r="E3" s="53">
        <f>COUNTIFS('Resumo Atividades x Sistema'!$B$6:$B$100,$B3,'Resumo Atividades x Sistema'!I$6:I$100,"Sim")</f>
        <v>0</v>
      </c>
      <c r="F3" s="53">
        <f>COUNTIFS('Resumo Atividades x Sistema'!$B$6:$B$100,$B3,'Resumo Atividades x Sistema'!J$6:J$100,"Sim")</f>
        <v>0</v>
      </c>
      <c r="G3" s="53">
        <f>COUNTIFS('Resumo Atividades x Sistema'!$B$6:$B$100,$B3,'Resumo Atividades x Sistema'!K$6:K$100,"Sim")</f>
        <v>0</v>
      </c>
      <c r="H3" s="53">
        <f>COUNTIFS('Resumo Atividades x Sistema'!$B$6:$B$100,$B3,'Resumo Atividades x Sistema'!L$6:L$100,"Sim")</f>
        <v>0</v>
      </c>
      <c r="I3" s="53">
        <f>COUNTIFS('Resumo Atividades x Sistema'!$B$6:$B$100,$B3,'Resumo Atividades x Sistema'!M$6:M$100,"Sim")</f>
        <v>0</v>
      </c>
      <c r="J3" s="53">
        <f>COUNTIFS('Resumo Atividades x Sistema'!$B$6:$B$100,$B3,'Resumo Atividades x Sistema'!N$6:N$100,"Sim")</f>
        <v>0</v>
      </c>
      <c r="K3" s="53">
        <f>COUNTIFS('Resumo Atividades x Sistema'!$B$6:$B$100,$B3,'Resumo Atividades x Sistema'!O$6:O$100,"Sim")</f>
        <v>0</v>
      </c>
      <c r="L3" s="53">
        <f>COUNTIFS('Resumo Atividades x Sistema'!$B$6:$B$100,$B3,'Resumo Atividades x Sistema'!P$6:P$100,"Sim")</f>
        <v>0</v>
      </c>
      <c r="M3" s="53">
        <f>COUNTIFS('Resumo Atividades x Sistema'!$B$6:$B$100,$B3,'Resumo Atividades x Sistema'!Q$6:Q$100,"Sim")</f>
        <v>0</v>
      </c>
      <c r="N3" s="53">
        <f>COUNTIFS('Resumo Atividades x Sistema'!$B$6:$B$100,$B3,'Resumo Atividades x Sistema'!R$6:R$100,"Sim")</f>
        <v>0</v>
      </c>
      <c r="O3" s="53">
        <f>COUNTIFS('Resumo Atividades x Sistema'!$B$6:$B$100,$B3,'Resumo Atividades x Sistema'!S$6:S$100,"Sim")</f>
        <v>0</v>
      </c>
      <c r="P3" s="53">
        <f>COUNTIFS('Resumo Atividades x Sistema'!$B$6:$B$100,$B3,'Resumo Atividades x Sistema'!T$6:T$100,"Sim")</f>
        <v>0</v>
      </c>
      <c r="Q3" s="53">
        <f>COUNTIFS('Resumo Atividades x Sistema'!$B$6:$B$100,$B3,'Resumo Atividades x Sistema'!U$6:U$100,"Sim")</f>
        <v>0</v>
      </c>
      <c r="R3" s="53">
        <f>COUNTIFS('Resumo Atividades x Sistema'!$B$6:$B$100,$B3,'Resumo Atividades x Sistema'!V$6:V$100,"Sim")</f>
        <v>0</v>
      </c>
      <c r="S3" s="53">
        <f>COUNTIFS('Resumo Atividades x Sistema'!$B$6:$B$100,$B3,'Resumo Atividades x Sistema'!W$6:W$100,"Sim")</f>
        <v>0</v>
      </c>
      <c r="T3" s="53">
        <f>COUNTIFS('Resumo Atividades x Sistema'!$B$6:$B$100,$B3,'Resumo Atividades x Sistema'!X$6:X$100,"Sim")</f>
        <v>0</v>
      </c>
      <c r="U3" s="53">
        <f>COUNTIFS('Resumo Atividades x Sistema'!$B$6:$B$100,$B3,'Resumo Atividades x Sistema'!Y$6:Y$100,"Sim")</f>
        <v>0</v>
      </c>
      <c r="V3" s="53">
        <f>COUNTIFS('Resumo Atividades x Sistema'!$B$6:$B$100,$B3,'Resumo Atividades x Sistema'!Z$6:Z$100,"Sim")</f>
        <v>0</v>
      </c>
      <c r="W3" s="53">
        <f>COUNTIFS('Resumo Atividades x Sistema'!$B$6:$B$100,$B3,'Resumo Atividades x Sistema'!AA$6:AA$100,"Sim")</f>
        <v>0</v>
      </c>
      <c r="X3" s="53">
        <f>COUNTIFS('Resumo Atividades x Sistema'!$B$6:$B$100,$B3,'Resumo Atividades x Sistema'!AB$6:AB$100,"Sim")</f>
        <v>0</v>
      </c>
      <c r="Y3" s="53">
        <f>COUNTIFS('Resumo Atividades x Sistema'!$B$6:$B$100,$B3,'Resumo Atividades x Sistema'!AC$6:AC$100,"Sim")</f>
        <v>0</v>
      </c>
      <c r="Z3" s="53">
        <f>COUNTIFS('Resumo Atividades x Sistema'!$B$6:$B$100,$B3,'Resumo Atividades x Sistema'!AD$6:AD$100,"Sim")</f>
        <v>0</v>
      </c>
      <c r="AA3" s="53">
        <f>COUNTIFS('Resumo Atividades x Sistema'!$B$6:$B$100,$B3,'Resumo Atividades x Sistema'!AE$6:AE$100,"Sim")</f>
        <v>0</v>
      </c>
      <c r="AB3" s="53">
        <f>COUNTIFS('Resumo Atividades x Sistema'!$B$6:$B$100,$B3,'Resumo Atividades x Sistema'!AF$6:AF$100,"Sim")</f>
        <v>0</v>
      </c>
      <c r="AC3" s="53">
        <f>COUNTIFS('Resumo Atividades x Sistema'!$B$6:$B$100,$B3,'Resumo Atividades x Sistema'!AG$6:AG$100,"Sim")</f>
        <v>0</v>
      </c>
      <c r="AD3" s="53">
        <f>COUNTIFS('Resumo Atividades x Sistema'!$B$6:$B$100,$B3,'Resumo Atividades x Sistema'!AH$6:AH$100,"Sim")</f>
        <v>0</v>
      </c>
      <c r="AE3" s="53">
        <f>COUNTIFS('Resumo Atividades x Sistema'!$B$6:$B$100,$B3,'Resumo Atividades x Sistema'!AI$6:AI$100,"Sim")</f>
        <v>0</v>
      </c>
      <c r="AF3" s="53">
        <f>COUNTIFS('Resumo Atividades x Sistema'!$B$6:$B$100,$B3,'Resumo Atividades x Sistema'!AJ$6:AJ$100,"Sim")</f>
        <v>0</v>
      </c>
      <c r="AG3" s="53">
        <f>COUNTIFS('Resumo Atividades x Sistema'!$B$6:$B$100,$B3,'Resumo Atividades x Sistema'!AK$6:AK$100,"Sim")</f>
        <v>0</v>
      </c>
    </row>
    <row r="4" spans="2:33" x14ac:dyDescent="0.25">
      <c r="B4" s="87" t="s">
        <v>32</v>
      </c>
      <c r="C4" s="53">
        <f>COUNTIFS('Resumo Atividades x Sistema'!$B$6:$B$100,$B4,'Resumo Atividades x Sistema'!G$6:G$100,"Sim")</f>
        <v>0</v>
      </c>
      <c r="D4" s="53">
        <f>COUNTIFS('Resumo Atividades x Sistema'!$B$6:$B$100,$B4,'Resumo Atividades x Sistema'!H$6:H$100,"Sim")</f>
        <v>0</v>
      </c>
      <c r="E4" s="53">
        <f>COUNTIFS('Resumo Atividades x Sistema'!$B$6:$B$100,$B4,'Resumo Atividades x Sistema'!I$6:I$100,"Sim")</f>
        <v>0</v>
      </c>
      <c r="F4" s="53">
        <f>COUNTIFS('Resumo Atividades x Sistema'!$B$6:$B$100,$B4,'Resumo Atividades x Sistema'!J$6:J$100,"Sim")</f>
        <v>0</v>
      </c>
      <c r="G4" s="53">
        <f>COUNTIFS('Resumo Atividades x Sistema'!$B$6:$B$100,$B4,'Resumo Atividades x Sistema'!K$6:K$100,"Sim")</f>
        <v>0</v>
      </c>
      <c r="H4" s="53">
        <f>COUNTIFS('Resumo Atividades x Sistema'!$B$6:$B$100,$B4,'Resumo Atividades x Sistema'!L$6:L$100,"Sim")</f>
        <v>0</v>
      </c>
      <c r="I4" s="53">
        <f>COUNTIFS('Resumo Atividades x Sistema'!$B$6:$B$100,$B4,'Resumo Atividades x Sistema'!M$6:M$100,"Sim")</f>
        <v>0</v>
      </c>
      <c r="J4" s="53">
        <f>COUNTIFS('Resumo Atividades x Sistema'!$B$6:$B$100,$B4,'Resumo Atividades x Sistema'!N$6:N$100,"Sim")</f>
        <v>0</v>
      </c>
      <c r="K4" s="53">
        <f>COUNTIFS('Resumo Atividades x Sistema'!$B$6:$B$100,$B4,'Resumo Atividades x Sistema'!O$6:O$100,"Sim")</f>
        <v>0</v>
      </c>
      <c r="L4" s="53">
        <f>COUNTIFS('Resumo Atividades x Sistema'!$B$6:$B$100,$B4,'Resumo Atividades x Sistema'!P$6:P$100,"Sim")</f>
        <v>0</v>
      </c>
      <c r="M4" s="53">
        <f>COUNTIFS('Resumo Atividades x Sistema'!$B$6:$B$100,$B4,'Resumo Atividades x Sistema'!Q$6:Q$100,"Sim")</f>
        <v>0</v>
      </c>
      <c r="N4" s="53">
        <f>COUNTIFS('Resumo Atividades x Sistema'!$B$6:$B$100,$B4,'Resumo Atividades x Sistema'!R$6:R$100,"Sim")</f>
        <v>0</v>
      </c>
      <c r="O4" s="53">
        <f>COUNTIFS('Resumo Atividades x Sistema'!$B$6:$B$100,$B4,'Resumo Atividades x Sistema'!S$6:S$100,"Sim")</f>
        <v>0</v>
      </c>
      <c r="P4" s="53">
        <f>COUNTIFS('Resumo Atividades x Sistema'!$B$6:$B$100,$B4,'Resumo Atividades x Sistema'!T$6:T$100,"Sim")</f>
        <v>0</v>
      </c>
      <c r="Q4" s="53">
        <f>COUNTIFS('Resumo Atividades x Sistema'!$B$6:$B$100,$B4,'Resumo Atividades x Sistema'!U$6:U$100,"Sim")</f>
        <v>0</v>
      </c>
      <c r="R4" s="53">
        <f>COUNTIFS('Resumo Atividades x Sistema'!$B$6:$B$100,$B4,'Resumo Atividades x Sistema'!V$6:V$100,"Sim")</f>
        <v>0</v>
      </c>
      <c r="S4" s="53">
        <f>COUNTIFS('Resumo Atividades x Sistema'!$B$6:$B$100,$B4,'Resumo Atividades x Sistema'!W$6:W$100,"Sim")</f>
        <v>0</v>
      </c>
      <c r="T4" s="53">
        <f>COUNTIFS('Resumo Atividades x Sistema'!$B$6:$B$100,$B4,'Resumo Atividades x Sistema'!X$6:X$100,"Sim")</f>
        <v>0</v>
      </c>
      <c r="U4" s="53">
        <f>COUNTIFS('Resumo Atividades x Sistema'!$B$6:$B$100,$B4,'Resumo Atividades x Sistema'!Y$6:Y$100,"Sim")</f>
        <v>0</v>
      </c>
      <c r="V4" s="53">
        <f>COUNTIFS('Resumo Atividades x Sistema'!$B$6:$B$100,$B4,'Resumo Atividades x Sistema'!Z$6:Z$100,"Sim")</f>
        <v>0</v>
      </c>
      <c r="W4" s="53">
        <f>COUNTIFS('Resumo Atividades x Sistema'!$B$6:$B$100,$B4,'Resumo Atividades x Sistema'!AA$6:AA$100,"Sim")</f>
        <v>0</v>
      </c>
      <c r="X4" s="53">
        <f>COUNTIFS('Resumo Atividades x Sistema'!$B$6:$B$100,$B4,'Resumo Atividades x Sistema'!AB$6:AB$100,"Sim")</f>
        <v>0</v>
      </c>
      <c r="Y4" s="53">
        <f>COUNTIFS('Resumo Atividades x Sistema'!$B$6:$B$100,$B4,'Resumo Atividades x Sistema'!AC$6:AC$100,"Sim")</f>
        <v>0</v>
      </c>
      <c r="Z4" s="53">
        <f>COUNTIFS('Resumo Atividades x Sistema'!$B$6:$B$100,$B4,'Resumo Atividades x Sistema'!AD$6:AD$100,"Sim")</f>
        <v>0</v>
      </c>
      <c r="AA4" s="53">
        <f>COUNTIFS('Resumo Atividades x Sistema'!$B$6:$B$100,$B4,'Resumo Atividades x Sistema'!AE$6:AE$100,"Sim")</f>
        <v>0</v>
      </c>
      <c r="AB4" s="53">
        <f>COUNTIFS('Resumo Atividades x Sistema'!$B$6:$B$100,$B4,'Resumo Atividades x Sistema'!AF$6:AF$100,"Sim")</f>
        <v>0</v>
      </c>
      <c r="AC4" s="53">
        <f>COUNTIFS('Resumo Atividades x Sistema'!$B$6:$B$100,$B4,'Resumo Atividades x Sistema'!AG$6:AG$100,"Sim")</f>
        <v>0</v>
      </c>
      <c r="AD4" s="53">
        <f>COUNTIFS('Resumo Atividades x Sistema'!$B$6:$B$100,$B4,'Resumo Atividades x Sistema'!AH$6:AH$100,"Sim")</f>
        <v>0</v>
      </c>
      <c r="AE4" s="53">
        <f>COUNTIFS('Resumo Atividades x Sistema'!$B$6:$B$100,$B4,'Resumo Atividades x Sistema'!AI$6:AI$100,"Sim")</f>
        <v>0</v>
      </c>
      <c r="AF4" s="53">
        <f>COUNTIFS('Resumo Atividades x Sistema'!$B$6:$B$100,$B4,'Resumo Atividades x Sistema'!AJ$6:AJ$100,"Sim")</f>
        <v>0</v>
      </c>
      <c r="AG4" s="53">
        <f>COUNTIFS('Resumo Atividades x Sistema'!$B$6:$B$100,$B4,'Resumo Atividades x Sistema'!AK$6:AK$100,"Sim")</f>
        <v>0</v>
      </c>
    </row>
    <row r="5" spans="2:33" x14ac:dyDescent="0.25">
      <c r="B5" s="87" t="s">
        <v>35</v>
      </c>
      <c r="C5" s="53">
        <f>COUNTIFS('Resumo Atividades x Sistema'!$B$6:$B$100,$B5,'Resumo Atividades x Sistema'!G$6:G$100,"Sim")</f>
        <v>0</v>
      </c>
      <c r="D5" s="53">
        <f>COUNTIFS('Resumo Atividades x Sistema'!$B$6:$B$100,$B5,'Resumo Atividades x Sistema'!H$6:H$100,"Sim")</f>
        <v>0</v>
      </c>
      <c r="E5" s="53">
        <f>COUNTIFS('Resumo Atividades x Sistema'!$B$6:$B$100,$B5,'Resumo Atividades x Sistema'!I$6:I$100,"Sim")</f>
        <v>0</v>
      </c>
      <c r="F5" s="53">
        <f>COUNTIFS('Resumo Atividades x Sistema'!$B$6:$B$100,$B5,'Resumo Atividades x Sistema'!J$6:J$100,"Sim")</f>
        <v>0</v>
      </c>
      <c r="G5" s="53">
        <f>COUNTIFS('Resumo Atividades x Sistema'!$B$6:$B$100,$B5,'Resumo Atividades x Sistema'!K$6:K$100,"Sim")</f>
        <v>0</v>
      </c>
      <c r="H5" s="53">
        <f>COUNTIFS('Resumo Atividades x Sistema'!$B$6:$B$100,$B5,'Resumo Atividades x Sistema'!L$6:L$100,"Sim")</f>
        <v>0</v>
      </c>
      <c r="I5" s="53">
        <f>COUNTIFS('Resumo Atividades x Sistema'!$B$6:$B$100,$B5,'Resumo Atividades x Sistema'!M$6:M$100,"Sim")</f>
        <v>0</v>
      </c>
      <c r="J5" s="53">
        <f>COUNTIFS('Resumo Atividades x Sistema'!$B$6:$B$100,$B5,'Resumo Atividades x Sistema'!N$6:N$100,"Sim")</f>
        <v>0</v>
      </c>
      <c r="K5" s="53">
        <f>COUNTIFS('Resumo Atividades x Sistema'!$B$6:$B$100,$B5,'Resumo Atividades x Sistema'!O$6:O$100,"Sim")</f>
        <v>0</v>
      </c>
      <c r="L5" s="53">
        <f>COUNTIFS('Resumo Atividades x Sistema'!$B$6:$B$100,$B5,'Resumo Atividades x Sistema'!P$6:P$100,"Sim")</f>
        <v>0</v>
      </c>
      <c r="M5" s="53">
        <f>COUNTIFS('Resumo Atividades x Sistema'!$B$6:$B$100,$B5,'Resumo Atividades x Sistema'!Q$6:Q$100,"Sim")</f>
        <v>0</v>
      </c>
      <c r="N5" s="53">
        <f>COUNTIFS('Resumo Atividades x Sistema'!$B$6:$B$100,$B5,'Resumo Atividades x Sistema'!R$6:R$100,"Sim")</f>
        <v>0</v>
      </c>
      <c r="O5" s="53">
        <f>COUNTIFS('Resumo Atividades x Sistema'!$B$6:$B$100,$B5,'Resumo Atividades x Sistema'!S$6:S$100,"Sim")</f>
        <v>0</v>
      </c>
      <c r="P5" s="53">
        <f>COUNTIFS('Resumo Atividades x Sistema'!$B$6:$B$100,$B5,'Resumo Atividades x Sistema'!T$6:T$100,"Sim")</f>
        <v>0</v>
      </c>
      <c r="Q5" s="53">
        <f>COUNTIFS('Resumo Atividades x Sistema'!$B$6:$B$100,$B5,'Resumo Atividades x Sistema'!U$6:U$100,"Sim")</f>
        <v>0</v>
      </c>
      <c r="R5" s="53">
        <f>COUNTIFS('Resumo Atividades x Sistema'!$B$6:$B$100,$B5,'Resumo Atividades x Sistema'!V$6:V$100,"Sim")</f>
        <v>0</v>
      </c>
      <c r="S5" s="53">
        <f>COUNTIFS('Resumo Atividades x Sistema'!$B$6:$B$100,$B5,'Resumo Atividades x Sistema'!W$6:W$100,"Sim")</f>
        <v>0</v>
      </c>
      <c r="T5" s="53">
        <f>COUNTIFS('Resumo Atividades x Sistema'!$B$6:$B$100,$B5,'Resumo Atividades x Sistema'!X$6:X$100,"Sim")</f>
        <v>0</v>
      </c>
      <c r="U5" s="53">
        <f>COUNTIFS('Resumo Atividades x Sistema'!$B$6:$B$100,$B5,'Resumo Atividades x Sistema'!Y$6:Y$100,"Sim")</f>
        <v>0</v>
      </c>
      <c r="V5" s="53">
        <f>COUNTIFS('Resumo Atividades x Sistema'!$B$6:$B$100,$B5,'Resumo Atividades x Sistema'!Z$6:Z$100,"Sim")</f>
        <v>0</v>
      </c>
      <c r="W5" s="53">
        <f>COUNTIFS('Resumo Atividades x Sistema'!$B$6:$B$100,$B5,'Resumo Atividades x Sistema'!AA$6:AA$100,"Sim")</f>
        <v>0</v>
      </c>
      <c r="X5" s="53">
        <f>COUNTIFS('Resumo Atividades x Sistema'!$B$6:$B$100,$B5,'Resumo Atividades x Sistema'!AB$6:AB$100,"Sim")</f>
        <v>0</v>
      </c>
      <c r="Y5" s="53">
        <f>COUNTIFS('Resumo Atividades x Sistema'!$B$6:$B$100,$B5,'Resumo Atividades x Sistema'!AC$6:AC$100,"Sim")</f>
        <v>0</v>
      </c>
      <c r="Z5" s="53">
        <f>COUNTIFS('Resumo Atividades x Sistema'!$B$6:$B$100,$B5,'Resumo Atividades x Sistema'!AD$6:AD$100,"Sim")</f>
        <v>0</v>
      </c>
      <c r="AA5" s="53">
        <f>COUNTIFS('Resumo Atividades x Sistema'!$B$6:$B$100,$B5,'Resumo Atividades x Sistema'!AE$6:AE$100,"Sim")</f>
        <v>0</v>
      </c>
      <c r="AB5" s="53">
        <f>COUNTIFS('Resumo Atividades x Sistema'!$B$6:$B$100,$B5,'Resumo Atividades x Sistema'!AF$6:AF$100,"Sim")</f>
        <v>0</v>
      </c>
      <c r="AC5" s="53">
        <f>COUNTIFS('Resumo Atividades x Sistema'!$B$6:$B$100,$B5,'Resumo Atividades x Sistema'!AG$6:AG$100,"Sim")</f>
        <v>0</v>
      </c>
      <c r="AD5" s="53">
        <f>COUNTIFS('Resumo Atividades x Sistema'!$B$6:$B$100,$B5,'Resumo Atividades x Sistema'!AH$6:AH$100,"Sim")</f>
        <v>0</v>
      </c>
      <c r="AE5" s="53">
        <f>COUNTIFS('Resumo Atividades x Sistema'!$B$6:$B$100,$B5,'Resumo Atividades x Sistema'!AI$6:AI$100,"Sim")</f>
        <v>0</v>
      </c>
      <c r="AF5" s="53">
        <f>COUNTIFS('Resumo Atividades x Sistema'!$B$6:$B$100,$B5,'Resumo Atividades x Sistema'!AJ$6:AJ$100,"Sim")</f>
        <v>0</v>
      </c>
      <c r="AG5" s="53">
        <f>COUNTIFS('Resumo Atividades x Sistema'!$B$6:$B$100,$B5,'Resumo Atividades x Sistema'!AK$6:AK$100,"Sim")</f>
        <v>0</v>
      </c>
    </row>
    <row r="6" spans="2:33" x14ac:dyDescent="0.25">
      <c r="B6" s="87" t="s">
        <v>41</v>
      </c>
      <c r="C6" s="53">
        <f>COUNTIFS('Resumo Atividades x Sistema'!$B$6:$B$100,$B6,'Resumo Atividades x Sistema'!G$6:G$100,"Sim")</f>
        <v>0</v>
      </c>
      <c r="D6" s="53">
        <f>COUNTIFS('Resumo Atividades x Sistema'!$B$6:$B$100,$B6,'Resumo Atividades x Sistema'!H$6:H$100,"Sim")</f>
        <v>0</v>
      </c>
      <c r="E6" s="53">
        <f>COUNTIFS('Resumo Atividades x Sistema'!$B$6:$B$100,$B6,'Resumo Atividades x Sistema'!I$6:I$100,"Sim")</f>
        <v>0</v>
      </c>
      <c r="F6" s="53">
        <f>COUNTIFS('Resumo Atividades x Sistema'!$B$6:$B$100,$B6,'Resumo Atividades x Sistema'!J$6:J$100,"Sim")</f>
        <v>0</v>
      </c>
      <c r="G6" s="53">
        <f>COUNTIFS('Resumo Atividades x Sistema'!$B$6:$B$100,$B6,'Resumo Atividades x Sistema'!K$6:K$100,"Sim")</f>
        <v>0</v>
      </c>
      <c r="H6" s="53">
        <f>COUNTIFS('Resumo Atividades x Sistema'!$B$6:$B$100,$B6,'Resumo Atividades x Sistema'!L$6:L$100,"Sim")</f>
        <v>0</v>
      </c>
      <c r="I6" s="53">
        <f>COUNTIFS('Resumo Atividades x Sistema'!$B$6:$B$100,$B6,'Resumo Atividades x Sistema'!M$6:M$100,"Sim")</f>
        <v>0</v>
      </c>
      <c r="J6" s="53">
        <f>COUNTIFS('Resumo Atividades x Sistema'!$B$6:$B$100,$B6,'Resumo Atividades x Sistema'!N$6:N$100,"Sim")</f>
        <v>0</v>
      </c>
      <c r="K6" s="53">
        <f>COUNTIFS('Resumo Atividades x Sistema'!$B$6:$B$100,$B6,'Resumo Atividades x Sistema'!O$6:O$100,"Sim")</f>
        <v>0</v>
      </c>
      <c r="L6" s="53">
        <f>COUNTIFS('Resumo Atividades x Sistema'!$B$6:$B$100,$B6,'Resumo Atividades x Sistema'!P$6:P$100,"Sim")</f>
        <v>0</v>
      </c>
      <c r="M6" s="53">
        <f>COUNTIFS('Resumo Atividades x Sistema'!$B$6:$B$100,$B6,'Resumo Atividades x Sistema'!Q$6:Q$100,"Sim")</f>
        <v>0</v>
      </c>
      <c r="N6" s="53">
        <f>COUNTIFS('Resumo Atividades x Sistema'!$B$6:$B$100,$B6,'Resumo Atividades x Sistema'!R$6:R$100,"Sim")</f>
        <v>0</v>
      </c>
      <c r="O6" s="53">
        <f>COUNTIFS('Resumo Atividades x Sistema'!$B$6:$B$100,$B6,'Resumo Atividades x Sistema'!S$6:S$100,"Sim")</f>
        <v>0</v>
      </c>
      <c r="P6" s="53">
        <f>COUNTIFS('Resumo Atividades x Sistema'!$B$6:$B$100,$B6,'Resumo Atividades x Sistema'!T$6:T$100,"Sim")</f>
        <v>0</v>
      </c>
      <c r="Q6" s="53">
        <f>COUNTIFS('Resumo Atividades x Sistema'!$B$6:$B$100,$B6,'Resumo Atividades x Sistema'!U$6:U$100,"Sim")</f>
        <v>0</v>
      </c>
      <c r="R6" s="53">
        <f>COUNTIFS('Resumo Atividades x Sistema'!$B$6:$B$100,$B6,'Resumo Atividades x Sistema'!V$6:V$100,"Sim")</f>
        <v>0</v>
      </c>
      <c r="S6" s="53">
        <f>COUNTIFS('Resumo Atividades x Sistema'!$B$6:$B$100,$B6,'Resumo Atividades x Sistema'!W$6:W$100,"Sim")</f>
        <v>0</v>
      </c>
      <c r="T6" s="53">
        <f>COUNTIFS('Resumo Atividades x Sistema'!$B$6:$B$100,$B6,'Resumo Atividades x Sistema'!X$6:X$100,"Sim")</f>
        <v>0</v>
      </c>
      <c r="U6" s="53">
        <f>COUNTIFS('Resumo Atividades x Sistema'!$B$6:$B$100,$B6,'Resumo Atividades x Sistema'!Y$6:Y$100,"Sim")</f>
        <v>0</v>
      </c>
      <c r="V6" s="53">
        <f>COUNTIFS('Resumo Atividades x Sistema'!$B$6:$B$100,$B6,'Resumo Atividades x Sistema'!Z$6:Z$100,"Sim")</f>
        <v>0</v>
      </c>
      <c r="W6" s="53">
        <f>COUNTIFS('Resumo Atividades x Sistema'!$B$6:$B$100,$B6,'Resumo Atividades x Sistema'!AA$6:AA$100,"Sim")</f>
        <v>0</v>
      </c>
      <c r="X6" s="53">
        <f>COUNTIFS('Resumo Atividades x Sistema'!$B$6:$B$100,$B6,'Resumo Atividades x Sistema'!AB$6:AB$100,"Sim")</f>
        <v>0</v>
      </c>
      <c r="Y6" s="53">
        <f>COUNTIFS('Resumo Atividades x Sistema'!$B$6:$B$100,$B6,'Resumo Atividades x Sistema'!AC$6:AC$100,"Sim")</f>
        <v>0</v>
      </c>
      <c r="Z6" s="53">
        <f>COUNTIFS('Resumo Atividades x Sistema'!$B$6:$B$100,$B6,'Resumo Atividades x Sistema'!AD$6:AD$100,"Sim")</f>
        <v>0</v>
      </c>
      <c r="AA6" s="53">
        <f>COUNTIFS('Resumo Atividades x Sistema'!$B$6:$B$100,$B6,'Resumo Atividades x Sistema'!AE$6:AE$100,"Sim")</f>
        <v>0</v>
      </c>
      <c r="AB6" s="53">
        <f>COUNTIFS('Resumo Atividades x Sistema'!$B$6:$B$100,$B6,'Resumo Atividades x Sistema'!AF$6:AF$100,"Sim")</f>
        <v>0</v>
      </c>
      <c r="AC6" s="53">
        <f>COUNTIFS('Resumo Atividades x Sistema'!$B$6:$B$100,$B6,'Resumo Atividades x Sistema'!AG$6:AG$100,"Sim")</f>
        <v>0</v>
      </c>
      <c r="AD6" s="53">
        <f>COUNTIFS('Resumo Atividades x Sistema'!$B$6:$B$100,$B6,'Resumo Atividades x Sistema'!AH$6:AH$100,"Sim")</f>
        <v>0</v>
      </c>
      <c r="AE6" s="53">
        <f>COUNTIFS('Resumo Atividades x Sistema'!$B$6:$B$100,$B6,'Resumo Atividades x Sistema'!AI$6:AI$100,"Sim")</f>
        <v>0</v>
      </c>
      <c r="AF6" s="53">
        <f>COUNTIFS('Resumo Atividades x Sistema'!$B$6:$B$100,$B6,'Resumo Atividades x Sistema'!AJ$6:AJ$100,"Sim")</f>
        <v>0</v>
      </c>
      <c r="AG6" s="53">
        <f>COUNTIFS('Resumo Atividades x Sistema'!$B$6:$B$100,$B6,'Resumo Atividades x Sistema'!AK$6:AK$100,"Sim")</f>
        <v>0</v>
      </c>
    </row>
    <row r="7" spans="2:33" x14ac:dyDescent="0.25">
      <c r="B7" s="87" t="s">
        <v>48</v>
      </c>
      <c r="C7" s="53">
        <f>COUNTIFS('Resumo Atividades x Sistema'!$B$6:$B$100,$B7,'Resumo Atividades x Sistema'!G$6:G$100,"Sim")</f>
        <v>0</v>
      </c>
      <c r="D7" s="53">
        <f>COUNTIFS('Resumo Atividades x Sistema'!$B$6:$B$100,$B7,'Resumo Atividades x Sistema'!H$6:H$100,"Sim")</f>
        <v>0</v>
      </c>
      <c r="E7" s="53">
        <f>COUNTIFS('Resumo Atividades x Sistema'!$B$6:$B$100,$B7,'Resumo Atividades x Sistema'!I$6:I$100,"Sim")</f>
        <v>0</v>
      </c>
      <c r="F7" s="53">
        <f>COUNTIFS('Resumo Atividades x Sistema'!$B$6:$B$100,$B7,'Resumo Atividades x Sistema'!J$6:J$100,"Sim")</f>
        <v>0</v>
      </c>
      <c r="G7" s="53">
        <f>COUNTIFS('Resumo Atividades x Sistema'!$B$6:$B$100,$B7,'Resumo Atividades x Sistema'!K$6:K$100,"Sim")</f>
        <v>0</v>
      </c>
      <c r="H7" s="53">
        <f>COUNTIFS('Resumo Atividades x Sistema'!$B$6:$B$100,$B7,'Resumo Atividades x Sistema'!L$6:L$100,"Sim")</f>
        <v>0</v>
      </c>
      <c r="I7" s="53">
        <f>COUNTIFS('Resumo Atividades x Sistema'!$B$6:$B$100,$B7,'Resumo Atividades x Sistema'!M$6:M$100,"Sim")</f>
        <v>0</v>
      </c>
      <c r="J7" s="53">
        <f>COUNTIFS('Resumo Atividades x Sistema'!$B$6:$B$100,$B7,'Resumo Atividades x Sistema'!N$6:N$100,"Sim")</f>
        <v>0</v>
      </c>
      <c r="K7" s="53">
        <f>COUNTIFS('Resumo Atividades x Sistema'!$B$6:$B$100,$B7,'Resumo Atividades x Sistema'!O$6:O$100,"Sim")</f>
        <v>0</v>
      </c>
      <c r="L7" s="53">
        <f>COUNTIFS('Resumo Atividades x Sistema'!$B$6:$B$100,$B7,'Resumo Atividades x Sistema'!P$6:P$100,"Sim")</f>
        <v>0</v>
      </c>
      <c r="M7" s="53">
        <f>COUNTIFS('Resumo Atividades x Sistema'!$B$6:$B$100,$B7,'Resumo Atividades x Sistema'!Q$6:Q$100,"Sim")</f>
        <v>0</v>
      </c>
      <c r="N7" s="53">
        <f>COUNTIFS('Resumo Atividades x Sistema'!$B$6:$B$100,$B7,'Resumo Atividades x Sistema'!R$6:R$100,"Sim")</f>
        <v>0</v>
      </c>
      <c r="O7" s="53">
        <f>COUNTIFS('Resumo Atividades x Sistema'!$B$6:$B$100,$B7,'Resumo Atividades x Sistema'!S$6:S$100,"Sim")</f>
        <v>0</v>
      </c>
      <c r="P7" s="53">
        <f>COUNTIFS('Resumo Atividades x Sistema'!$B$6:$B$100,$B7,'Resumo Atividades x Sistema'!T$6:T$100,"Sim")</f>
        <v>0</v>
      </c>
      <c r="Q7" s="53">
        <f>COUNTIFS('Resumo Atividades x Sistema'!$B$6:$B$100,$B7,'Resumo Atividades x Sistema'!U$6:U$100,"Sim")</f>
        <v>0</v>
      </c>
      <c r="R7" s="53">
        <f>COUNTIFS('Resumo Atividades x Sistema'!$B$6:$B$100,$B7,'Resumo Atividades x Sistema'!V$6:V$100,"Sim")</f>
        <v>0</v>
      </c>
      <c r="S7" s="53">
        <f>COUNTIFS('Resumo Atividades x Sistema'!$B$6:$B$100,$B7,'Resumo Atividades x Sistema'!W$6:W$100,"Sim")</f>
        <v>0</v>
      </c>
      <c r="T7" s="53">
        <f>COUNTIFS('Resumo Atividades x Sistema'!$B$6:$B$100,$B7,'Resumo Atividades x Sistema'!X$6:X$100,"Sim")</f>
        <v>0</v>
      </c>
      <c r="U7" s="53">
        <f>COUNTIFS('Resumo Atividades x Sistema'!$B$6:$B$100,$B7,'Resumo Atividades x Sistema'!Y$6:Y$100,"Sim")</f>
        <v>0</v>
      </c>
      <c r="V7" s="53">
        <f>COUNTIFS('Resumo Atividades x Sistema'!$B$6:$B$100,$B7,'Resumo Atividades x Sistema'!Z$6:Z$100,"Sim")</f>
        <v>0</v>
      </c>
      <c r="W7" s="53">
        <f>COUNTIFS('Resumo Atividades x Sistema'!$B$6:$B$100,$B7,'Resumo Atividades x Sistema'!AA$6:AA$100,"Sim")</f>
        <v>0</v>
      </c>
      <c r="X7" s="53">
        <f>COUNTIFS('Resumo Atividades x Sistema'!$B$6:$B$100,$B7,'Resumo Atividades x Sistema'!AB$6:AB$100,"Sim")</f>
        <v>0</v>
      </c>
      <c r="Y7" s="53">
        <f>COUNTIFS('Resumo Atividades x Sistema'!$B$6:$B$100,$B7,'Resumo Atividades x Sistema'!AC$6:AC$100,"Sim")</f>
        <v>0</v>
      </c>
      <c r="Z7" s="53">
        <f>COUNTIFS('Resumo Atividades x Sistema'!$B$6:$B$100,$B7,'Resumo Atividades x Sistema'!AD$6:AD$100,"Sim")</f>
        <v>0</v>
      </c>
      <c r="AA7" s="53">
        <f>COUNTIFS('Resumo Atividades x Sistema'!$B$6:$B$100,$B7,'Resumo Atividades x Sistema'!AE$6:AE$100,"Sim")</f>
        <v>0</v>
      </c>
      <c r="AB7" s="53">
        <f>COUNTIFS('Resumo Atividades x Sistema'!$B$6:$B$100,$B7,'Resumo Atividades x Sistema'!AF$6:AF$100,"Sim")</f>
        <v>0</v>
      </c>
      <c r="AC7" s="53">
        <f>COUNTIFS('Resumo Atividades x Sistema'!$B$6:$B$100,$B7,'Resumo Atividades x Sistema'!AG$6:AG$100,"Sim")</f>
        <v>0</v>
      </c>
      <c r="AD7" s="53">
        <f>COUNTIFS('Resumo Atividades x Sistema'!$B$6:$B$100,$B7,'Resumo Atividades x Sistema'!AH$6:AH$100,"Sim")</f>
        <v>0</v>
      </c>
      <c r="AE7" s="53">
        <f>COUNTIFS('Resumo Atividades x Sistema'!$B$6:$B$100,$B7,'Resumo Atividades x Sistema'!AI$6:AI$100,"Sim")</f>
        <v>0</v>
      </c>
      <c r="AF7" s="53">
        <f>COUNTIFS('Resumo Atividades x Sistema'!$B$6:$B$100,$B7,'Resumo Atividades x Sistema'!AJ$6:AJ$100,"Sim")</f>
        <v>0</v>
      </c>
      <c r="AG7" s="53">
        <f>COUNTIFS('Resumo Atividades x Sistema'!$B$6:$B$100,$B7,'Resumo Atividades x Sistema'!AK$6:AK$100,"Sim")</f>
        <v>0</v>
      </c>
    </row>
    <row r="8" spans="2:33" x14ac:dyDescent="0.25">
      <c r="B8" s="87" t="s">
        <v>50</v>
      </c>
      <c r="C8" s="53">
        <f>COUNTIFS('Resumo Atividades x Sistema'!$B$6:$B$100,$B8,'Resumo Atividades x Sistema'!G$6:G$100,"Sim")</f>
        <v>0</v>
      </c>
      <c r="D8" s="53">
        <f>COUNTIFS('Resumo Atividades x Sistema'!$B$6:$B$100,$B8,'Resumo Atividades x Sistema'!H$6:H$100,"Sim")</f>
        <v>0</v>
      </c>
      <c r="E8" s="53">
        <f>COUNTIFS('Resumo Atividades x Sistema'!$B$6:$B$100,$B8,'Resumo Atividades x Sistema'!I$6:I$100,"Sim")</f>
        <v>0</v>
      </c>
      <c r="F8" s="53">
        <f>COUNTIFS('Resumo Atividades x Sistema'!$B$6:$B$100,$B8,'Resumo Atividades x Sistema'!J$6:J$100,"Sim")</f>
        <v>0</v>
      </c>
      <c r="G8" s="53">
        <f>COUNTIFS('Resumo Atividades x Sistema'!$B$6:$B$100,$B8,'Resumo Atividades x Sistema'!K$6:K$100,"Sim")</f>
        <v>0</v>
      </c>
      <c r="H8" s="53">
        <f>COUNTIFS('Resumo Atividades x Sistema'!$B$6:$B$100,$B8,'Resumo Atividades x Sistema'!L$6:L$100,"Sim")</f>
        <v>0</v>
      </c>
      <c r="I8" s="53">
        <f>COUNTIFS('Resumo Atividades x Sistema'!$B$6:$B$100,$B8,'Resumo Atividades x Sistema'!M$6:M$100,"Sim")</f>
        <v>0</v>
      </c>
      <c r="J8" s="53">
        <f>COUNTIFS('Resumo Atividades x Sistema'!$B$6:$B$100,$B8,'Resumo Atividades x Sistema'!N$6:N$100,"Sim")</f>
        <v>0</v>
      </c>
      <c r="K8" s="53">
        <f>COUNTIFS('Resumo Atividades x Sistema'!$B$6:$B$100,$B8,'Resumo Atividades x Sistema'!O$6:O$100,"Sim")</f>
        <v>0</v>
      </c>
      <c r="L8" s="53">
        <f>COUNTIFS('Resumo Atividades x Sistema'!$B$6:$B$100,$B8,'Resumo Atividades x Sistema'!P$6:P$100,"Sim")</f>
        <v>0</v>
      </c>
      <c r="M8" s="53">
        <f>COUNTIFS('Resumo Atividades x Sistema'!$B$6:$B$100,$B8,'Resumo Atividades x Sistema'!Q$6:Q$100,"Sim")</f>
        <v>0</v>
      </c>
      <c r="N8" s="53">
        <f>COUNTIFS('Resumo Atividades x Sistema'!$B$6:$B$100,$B8,'Resumo Atividades x Sistema'!R$6:R$100,"Sim")</f>
        <v>0</v>
      </c>
      <c r="O8" s="53">
        <f>COUNTIFS('Resumo Atividades x Sistema'!$B$6:$B$100,$B8,'Resumo Atividades x Sistema'!S$6:S$100,"Sim")</f>
        <v>0</v>
      </c>
      <c r="P8" s="53">
        <f>COUNTIFS('Resumo Atividades x Sistema'!$B$6:$B$100,$B8,'Resumo Atividades x Sistema'!T$6:T$100,"Sim")</f>
        <v>0</v>
      </c>
      <c r="Q8" s="53">
        <f>COUNTIFS('Resumo Atividades x Sistema'!$B$6:$B$100,$B8,'Resumo Atividades x Sistema'!U$6:U$100,"Sim")</f>
        <v>0</v>
      </c>
      <c r="R8" s="53">
        <f>COUNTIFS('Resumo Atividades x Sistema'!$B$6:$B$100,$B8,'Resumo Atividades x Sistema'!V$6:V$100,"Sim")</f>
        <v>0</v>
      </c>
      <c r="S8" s="53">
        <f>COUNTIFS('Resumo Atividades x Sistema'!$B$6:$B$100,$B8,'Resumo Atividades x Sistema'!W$6:W$100,"Sim")</f>
        <v>0</v>
      </c>
      <c r="T8" s="53">
        <f>COUNTIFS('Resumo Atividades x Sistema'!$B$6:$B$100,$B8,'Resumo Atividades x Sistema'!X$6:X$100,"Sim")</f>
        <v>0</v>
      </c>
      <c r="U8" s="53">
        <f>COUNTIFS('Resumo Atividades x Sistema'!$B$6:$B$100,$B8,'Resumo Atividades x Sistema'!Y$6:Y$100,"Sim")</f>
        <v>0</v>
      </c>
      <c r="V8" s="53">
        <f>COUNTIFS('Resumo Atividades x Sistema'!$B$6:$B$100,$B8,'Resumo Atividades x Sistema'!Z$6:Z$100,"Sim")</f>
        <v>0</v>
      </c>
      <c r="W8" s="53">
        <f>COUNTIFS('Resumo Atividades x Sistema'!$B$6:$B$100,$B8,'Resumo Atividades x Sistema'!AA$6:AA$100,"Sim")</f>
        <v>0</v>
      </c>
      <c r="X8" s="53">
        <f>COUNTIFS('Resumo Atividades x Sistema'!$B$6:$B$100,$B8,'Resumo Atividades x Sistema'!AB$6:AB$100,"Sim")</f>
        <v>0</v>
      </c>
      <c r="Y8" s="53">
        <f>COUNTIFS('Resumo Atividades x Sistema'!$B$6:$B$100,$B8,'Resumo Atividades x Sistema'!AC$6:AC$100,"Sim")</f>
        <v>0</v>
      </c>
      <c r="Z8" s="53">
        <f>COUNTIFS('Resumo Atividades x Sistema'!$B$6:$B$100,$B8,'Resumo Atividades x Sistema'!AD$6:AD$100,"Sim")</f>
        <v>0</v>
      </c>
      <c r="AA8" s="53">
        <f>COUNTIFS('Resumo Atividades x Sistema'!$B$6:$B$100,$B8,'Resumo Atividades x Sistema'!AE$6:AE$100,"Sim")</f>
        <v>0</v>
      </c>
      <c r="AB8" s="53">
        <f>COUNTIFS('Resumo Atividades x Sistema'!$B$6:$B$100,$B8,'Resumo Atividades x Sistema'!AF$6:AF$100,"Sim")</f>
        <v>0</v>
      </c>
      <c r="AC8" s="53">
        <f>COUNTIFS('Resumo Atividades x Sistema'!$B$6:$B$100,$B8,'Resumo Atividades x Sistema'!AG$6:AG$100,"Sim")</f>
        <v>0</v>
      </c>
      <c r="AD8" s="53">
        <f>COUNTIFS('Resumo Atividades x Sistema'!$B$6:$B$100,$B8,'Resumo Atividades x Sistema'!AH$6:AH$100,"Sim")</f>
        <v>0</v>
      </c>
      <c r="AE8" s="53">
        <f>COUNTIFS('Resumo Atividades x Sistema'!$B$6:$B$100,$B8,'Resumo Atividades x Sistema'!AI$6:AI$100,"Sim")</f>
        <v>0</v>
      </c>
      <c r="AF8" s="53">
        <f>COUNTIFS('Resumo Atividades x Sistema'!$B$6:$B$100,$B8,'Resumo Atividades x Sistema'!AJ$6:AJ$100,"Sim")</f>
        <v>0</v>
      </c>
      <c r="AG8" s="53">
        <f>COUNTIFS('Resumo Atividades x Sistema'!$B$6:$B$100,$B8,'Resumo Atividades x Sistema'!AK$6:AK$100,"Sim")</f>
        <v>0</v>
      </c>
    </row>
    <row r="9" spans="2:33" ht="30" x14ac:dyDescent="0.25">
      <c r="B9" s="87" t="s">
        <v>52</v>
      </c>
      <c r="C9" s="53">
        <f>COUNTIFS('Resumo Atividades x Sistema'!$B$6:$B$100,$B9,'Resumo Atividades x Sistema'!G$6:G$100,"Sim")</f>
        <v>0</v>
      </c>
      <c r="D9" s="53">
        <f>COUNTIFS('Resumo Atividades x Sistema'!$B$6:$B$100,$B9,'Resumo Atividades x Sistema'!H$6:H$100,"Sim")</f>
        <v>0</v>
      </c>
      <c r="E9" s="53">
        <f>COUNTIFS('Resumo Atividades x Sistema'!$B$6:$B$100,$B9,'Resumo Atividades x Sistema'!I$6:I$100,"Sim")</f>
        <v>0</v>
      </c>
      <c r="F9" s="53">
        <f>COUNTIFS('Resumo Atividades x Sistema'!$B$6:$B$100,$B9,'Resumo Atividades x Sistema'!J$6:J$100,"Sim")</f>
        <v>0</v>
      </c>
      <c r="G9" s="53">
        <f>COUNTIFS('Resumo Atividades x Sistema'!$B$6:$B$100,$B9,'Resumo Atividades x Sistema'!K$6:K$100,"Sim")</f>
        <v>0</v>
      </c>
      <c r="H9" s="53">
        <f>COUNTIFS('Resumo Atividades x Sistema'!$B$6:$B$100,$B9,'Resumo Atividades x Sistema'!L$6:L$100,"Sim")</f>
        <v>0</v>
      </c>
      <c r="I9" s="53">
        <f>COUNTIFS('Resumo Atividades x Sistema'!$B$6:$B$100,$B9,'Resumo Atividades x Sistema'!M$6:M$100,"Sim")</f>
        <v>0</v>
      </c>
      <c r="J9" s="53">
        <f>COUNTIFS('Resumo Atividades x Sistema'!$B$6:$B$100,$B9,'Resumo Atividades x Sistema'!N$6:N$100,"Sim")</f>
        <v>0</v>
      </c>
      <c r="K9" s="53">
        <f>COUNTIFS('Resumo Atividades x Sistema'!$B$6:$B$100,$B9,'Resumo Atividades x Sistema'!O$6:O$100,"Sim")</f>
        <v>0</v>
      </c>
      <c r="L9" s="53">
        <f>COUNTIFS('Resumo Atividades x Sistema'!$B$6:$B$100,$B9,'Resumo Atividades x Sistema'!P$6:P$100,"Sim")</f>
        <v>0</v>
      </c>
      <c r="M9" s="53">
        <f>COUNTIFS('Resumo Atividades x Sistema'!$B$6:$B$100,$B9,'Resumo Atividades x Sistema'!Q$6:Q$100,"Sim")</f>
        <v>0</v>
      </c>
      <c r="N9" s="53">
        <f>COUNTIFS('Resumo Atividades x Sistema'!$B$6:$B$100,$B9,'Resumo Atividades x Sistema'!R$6:R$100,"Sim")</f>
        <v>0</v>
      </c>
      <c r="O9" s="53">
        <f>COUNTIFS('Resumo Atividades x Sistema'!$B$6:$B$100,$B9,'Resumo Atividades x Sistema'!S$6:S$100,"Sim")</f>
        <v>0</v>
      </c>
      <c r="P9" s="53">
        <f>COUNTIFS('Resumo Atividades x Sistema'!$B$6:$B$100,$B9,'Resumo Atividades x Sistema'!T$6:T$100,"Sim")</f>
        <v>0</v>
      </c>
      <c r="Q9" s="53">
        <f>COUNTIFS('Resumo Atividades x Sistema'!$B$6:$B$100,$B9,'Resumo Atividades x Sistema'!U$6:U$100,"Sim")</f>
        <v>0</v>
      </c>
      <c r="R9" s="53">
        <f>COUNTIFS('Resumo Atividades x Sistema'!$B$6:$B$100,$B9,'Resumo Atividades x Sistema'!V$6:V$100,"Sim")</f>
        <v>0</v>
      </c>
      <c r="S9" s="53">
        <f>COUNTIFS('Resumo Atividades x Sistema'!$B$6:$B$100,$B9,'Resumo Atividades x Sistema'!W$6:W$100,"Sim")</f>
        <v>0</v>
      </c>
      <c r="T9" s="53">
        <f>COUNTIFS('Resumo Atividades x Sistema'!$B$6:$B$100,$B9,'Resumo Atividades x Sistema'!X$6:X$100,"Sim")</f>
        <v>0</v>
      </c>
      <c r="U9" s="53">
        <f>COUNTIFS('Resumo Atividades x Sistema'!$B$6:$B$100,$B9,'Resumo Atividades x Sistema'!Y$6:Y$100,"Sim")</f>
        <v>0</v>
      </c>
      <c r="V9" s="53">
        <f>COUNTIFS('Resumo Atividades x Sistema'!$B$6:$B$100,$B9,'Resumo Atividades x Sistema'!Z$6:Z$100,"Sim")</f>
        <v>0</v>
      </c>
      <c r="W9" s="53">
        <f>COUNTIFS('Resumo Atividades x Sistema'!$B$6:$B$100,$B9,'Resumo Atividades x Sistema'!AA$6:AA$100,"Sim")</f>
        <v>0</v>
      </c>
      <c r="X9" s="53">
        <f>COUNTIFS('Resumo Atividades x Sistema'!$B$6:$B$100,$B9,'Resumo Atividades x Sistema'!AB$6:AB$100,"Sim")</f>
        <v>0</v>
      </c>
      <c r="Y9" s="53">
        <f>COUNTIFS('Resumo Atividades x Sistema'!$B$6:$B$100,$B9,'Resumo Atividades x Sistema'!AC$6:AC$100,"Sim")</f>
        <v>0</v>
      </c>
      <c r="Z9" s="53">
        <f>COUNTIFS('Resumo Atividades x Sistema'!$B$6:$B$100,$B9,'Resumo Atividades x Sistema'!AD$6:AD$100,"Sim")</f>
        <v>0</v>
      </c>
      <c r="AA9" s="53">
        <f>COUNTIFS('Resumo Atividades x Sistema'!$B$6:$B$100,$B9,'Resumo Atividades x Sistema'!AE$6:AE$100,"Sim")</f>
        <v>0</v>
      </c>
      <c r="AB9" s="53">
        <f>COUNTIFS('Resumo Atividades x Sistema'!$B$6:$B$100,$B9,'Resumo Atividades x Sistema'!AF$6:AF$100,"Sim")</f>
        <v>0</v>
      </c>
      <c r="AC9" s="53">
        <f>COUNTIFS('Resumo Atividades x Sistema'!$B$6:$B$100,$B9,'Resumo Atividades x Sistema'!AG$6:AG$100,"Sim")</f>
        <v>0</v>
      </c>
      <c r="AD9" s="53">
        <f>COUNTIFS('Resumo Atividades x Sistema'!$B$6:$B$100,$B9,'Resumo Atividades x Sistema'!AH$6:AH$100,"Sim")</f>
        <v>0</v>
      </c>
      <c r="AE9" s="53">
        <f>COUNTIFS('Resumo Atividades x Sistema'!$B$6:$B$100,$B9,'Resumo Atividades x Sistema'!AI$6:AI$100,"Sim")</f>
        <v>0</v>
      </c>
      <c r="AF9" s="53">
        <f>COUNTIFS('Resumo Atividades x Sistema'!$B$6:$B$100,$B9,'Resumo Atividades x Sistema'!AJ$6:AJ$100,"Sim")</f>
        <v>0</v>
      </c>
      <c r="AG9" s="53">
        <f>COUNTIFS('Resumo Atividades x Sistema'!$B$6:$B$100,$B9,'Resumo Atividades x Sistema'!AK$6:AK$100,"Sim")</f>
        <v>0</v>
      </c>
    </row>
    <row r="10" spans="2:33" x14ac:dyDescent="0.25">
      <c r="B10" s="87" t="s">
        <v>55</v>
      </c>
      <c r="C10" s="53">
        <f>COUNTIFS('Resumo Atividades x Sistema'!$B$6:$B$100,$B10,'Resumo Atividades x Sistema'!G$6:G$100,"Sim")</f>
        <v>0</v>
      </c>
      <c r="D10" s="53">
        <f>COUNTIFS('Resumo Atividades x Sistema'!$B$6:$B$100,$B10,'Resumo Atividades x Sistema'!H$6:H$100,"Sim")</f>
        <v>0</v>
      </c>
      <c r="E10" s="53">
        <f>COUNTIFS('Resumo Atividades x Sistema'!$B$6:$B$100,$B10,'Resumo Atividades x Sistema'!I$6:I$100,"Sim")</f>
        <v>0</v>
      </c>
      <c r="F10" s="53">
        <f>COUNTIFS('Resumo Atividades x Sistema'!$B$6:$B$100,$B10,'Resumo Atividades x Sistema'!J$6:J$100,"Sim")</f>
        <v>0</v>
      </c>
      <c r="G10" s="53">
        <f>COUNTIFS('Resumo Atividades x Sistema'!$B$6:$B$100,$B10,'Resumo Atividades x Sistema'!K$6:K$100,"Sim")</f>
        <v>0</v>
      </c>
      <c r="H10" s="53">
        <f>COUNTIFS('Resumo Atividades x Sistema'!$B$6:$B$100,$B10,'Resumo Atividades x Sistema'!L$6:L$100,"Sim")</f>
        <v>0</v>
      </c>
      <c r="I10" s="53">
        <f>COUNTIFS('Resumo Atividades x Sistema'!$B$6:$B$100,$B10,'Resumo Atividades x Sistema'!M$6:M$100,"Sim")</f>
        <v>0</v>
      </c>
      <c r="J10" s="53">
        <f>COUNTIFS('Resumo Atividades x Sistema'!$B$6:$B$100,$B10,'Resumo Atividades x Sistema'!N$6:N$100,"Sim")</f>
        <v>0</v>
      </c>
      <c r="K10" s="53">
        <f>COUNTIFS('Resumo Atividades x Sistema'!$B$6:$B$100,$B10,'Resumo Atividades x Sistema'!O$6:O$100,"Sim")</f>
        <v>0</v>
      </c>
      <c r="L10" s="53">
        <f>COUNTIFS('Resumo Atividades x Sistema'!$B$6:$B$100,$B10,'Resumo Atividades x Sistema'!P$6:P$100,"Sim")</f>
        <v>0</v>
      </c>
      <c r="M10" s="53">
        <f>COUNTIFS('Resumo Atividades x Sistema'!$B$6:$B$100,$B10,'Resumo Atividades x Sistema'!Q$6:Q$100,"Sim")</f>
        <v>0</v>
      </c>
      <c r="N10" s="53">
        <f>COUNTIFS('Resumo Atividades x Sistema'!$B$6:$B$100,$B10,'Resumo Atividades x Sistema'!R$6:R$100,"Sim")</f>
        <v>0</v>
      </c>
      <c r="O10" s="53">
        <f>COUNTIFS('Resumo Atividades x Sistema'!$B$6:$B$100,$B10,'Resumo Atividades x Sistema'!S$6:S$100,"Sim")</f>
        <v>0</v>
      </c>
      <c r="P10" s="53">
        <f>COUNTIFS('Resumo Atividades x Sistema'!$B$6:$B$100,$B10,'Resumo Atividades x Sistema'!T$6:T$100,"Sim")</f>
        <v>0</v>
      </c>
      <c r="Q10" s="53">
        <f>COUNTIFS('Resumo Atividades x Sistema'!$B$6:$B$100,$B10,'Resumo Atividades x Sistema'!U$6:U$100,"Sim")</f>
        <v>0</v>
      </c>
      <c r="R10" s="53">
        <f>COUNTIFS('Resumo Atividades x Sistema'!$B$6:$B$100,$B10,'Resumo Atividades x Sistema'!V$6:V$100,"Sim")</f>
        <v>0</v>
      </c>
      <c r="S10" s="53">
        <f>COUNTIFS('Resumo Atividades x Sistema'!$B$6:$B$100,$B10,'Resumo Atividades x Sistema'!W$6:W$100,"Sim")</f>
        <v>0</v>
      </c>
      <c r="T10" s="53">
        <f>COUNTIFS('Resumo Atividades x Sistema'!$B$6:$B$100,$B10,'Resumo Atividades x Sistema'!X$6:X$100,"Sim")</f>
        <v>0</v>
      </c>
      <c r="U10" s="53">
        <f>COUNTIFS('Resumo Atividades x Sistema'!$B$6:$B$100,$B10,'Resumo Atividades x Sistema'!Y$6:Y$100,"Sim")</f>
        <v>0</v>
      </c>
      <c r="V10" s="53">
        <f>COUNTIFS('Resumo Atividades x Sistema'!$B$6:$B$100,$B10,'Resumo Atividades x Sistema'!Z$6:Z$100,"Sim")</f>
        <v>0</v>
      </c>
      <c r="W10" s="53">
        <f>COUNTIFS('Resumo Atividades x Sistema'!$B$6:$B$100,$B10,'Resumo Atividades x Sistema'!AA$6:AA$100,"Sim")</f>
        <v>0</v>
      </c>
      <c r="X10" s="53">
        <f>COUNTIFS('Resumo Atividades x Sistema'!$B$6:$B$100,$B10,'Resumo Atividades x Sistema'!AB$6:AB$100,"Sim")</f>
        <v>0</v>
      </c>
      <c r="Y10" s="53">
        <f>COUNTIFS('Resumo Atividades x Sistema'!$B$6:$B$100,$B10,'Resumo Atividades x Sistema'!AC$6:AC$100,"Sim")</f>
        <v>0</v>
      </c>
      <c r="Z10" s="53">
        <f>COUNTIFS('Resumo Atividades x Sistema'!$B$6:$B$100,$B10,'Resumo Atividades x Sistema'!AD$6:AD$100,"Sim")</f>
        <v>0</v>
      </c>
      <c r="AA10" s="53">
        <f>COUNTIFS('Resumo Atividades x Sistema'!$B$6:$B$100,$B10,'Resumo Atividades x Sistema'!AE$6:AE$100,"Sim")</f>
        <v>0</v>
      </c>
      <c r="AB10" s="53">
        <f>COUNTIFS('Resumo Atividades x Sistema'!$B$6:$B$100,$B10,'Resumo Atividades x Sistema'!AF$6:AF$100,"Sim")</f>
        <v>0</v>
      </c>
      <c r="AC10" s="53">
        <f>COUNTIFS('Resumo Atividades x Sistema'!$B$6:$B$100,$B10,'Resumo Atividades x Sistema'!AG$6:AG$100,"Sim")</f>
        <v>0</v>
      </c>
      <c r="AD10" s="53">
        <f>COUNTIFS('Resumo Atividades x Sistema'!$B$6:$B$100,$B10,'Resumo Atividades x Sistema'!AH$6:AH$100,"Sim")</f>
        <v>0</v>
      </c>
      <c r="AE10" s="53">
        <f>COUNTIFS('Resumo Atividades x Sistema'!$B$6:$B$100,$B10,'Resumo Atividades x Sistema'!AI$6:AI$100,"Sim")</f>
        <v>0</v>
      </c>
      <c r="AF10" s="53">
        <f>COUNTIFS('Resumo Atividades x Sistema'!$B$6:$B$100,$B10,'Resumo Atividades x Sistema'!AJ$6:AJ$100,"Sim")</f>
        <v>0</v>
      </c>
      <c r="AG10" s="53">
        <f>COUNTIFS('Resumo Atividades x Sistema'!$B$6:$B$100,$B10,'Resumo Atividades x Sistema'!AK$6:AK$100,"Sim")</f>
        <v>0</v>
      </c>
    </row>
    <row r="11" spans="2:33" x14ac:dyDescent="0.25">
      <c r="B11" s="87" t="s">
        <v>56</v>
      </c>
      <c r="C11" s="53">
        <f>COUNTIFS('Resumo Atividades x Sistema'!$B$6:$B$100,$B11,'Resumo Atividades x Sistema'!G$6:G$100,"Sim")</f>
        <v>0</v>
      </c>
      <c r="D11" s="53">
        <f>COUNTIFS('Resumo Atividades x Sistema'!$B$6:$B$100,$B11,'Resumo Atividades x Sistema'!H$6:H$100,"Sim")</f>
        <v>0</v>
      </c>
      <c r="E11" s="53">
        <f>COUNTIFS('Resumo Atividades x Sistema'!$B$6:$B$100,$B11,'Resumo Atividades x Sistema'!I$6:I$100,"Sim")</f>
        <v>0</v>
      </c>
      <c r="F11" s="53">
        <f>COUNTIFS('Resumo Atividades x Sistema'!$B$6:$B$100,$B11,'Resumo Atividades x Sistema'!J$6:J$100,"Sim")</f>
        <v>0</v>
      </c>
      <c r="G11" s="53">
        <f>COUNTIFS('Resumo Atividades x Sistema'!$B$6:$B$100,$B11,'Resumo Atividades x Sistema'!K$6:K$100,"Sim")</f>
        <v>0</v>
      </c>
      <c r="H11" s="53">
        <f>COUNTIFS('Resumo Atividades x Sistema'!$B$6:$B$100,$B11,'Resumo Atividades x Sistema'!L$6:L$100,"Sim")</f>
        <v>0</v>
      </c>
      <c r="I11" s="53">
        <f>COUNTIFS('Resumo Atividades x Sistema'!$B$6:$B$100,$B11,'Resumo Atividades x Sistema'!M$6:M$100,"Sim")</f>
        <v>0</v>
      </c>
      <c r="J11" s="53">
        <f>COUNTIFS('Resumo Atividades x Sistema'!$B$6:$B$100,$B11,'Resumo Atividades x Sistema'!N$6:N$100,"Sim")</f>
        <v>0</v>
      </c>
      <c r="K11" s="53">
        <f>COUNTIFS('Resumo Atividades x Sistema'!$B$6:$B$100,$B11,'Resumo Atividades x Sistema'!O$6:O$100,"Sim")</f>
        <v>0</v>
      </c>
      <c r="L11" s="53">
        <f>COUNTIFS('Resumo Atividades x Sistema'!$B$6:$B$100,$B11,'Resumo Atividades x Sistema'!P$6:P$100,"Sim")</f>
        <v>0</v>
      </c>
      <c r="M11" s="53">
        <f>COUNTIFS('Resumo Atividades x Sistema'!$B$6:$B$100,$B11,'Resumo Atividades x Sistema'!Q$6:Q$100,"Sim")</f>
        <v>0</v>
      </c>
      <c r="N11" s="53">
        <f>COUNTIFS('Resumo Atividades x Sistema'!$B$6:$B$100,$B11,'Resumo Atividades x Sistema'!R$6:R$100,"Sim")</f>
        <v>0</v>
      </c>
      <c r="O11" s="53">
        <f>COUNTIFS('Resumo Atividades x Sistema'!$B$6:$B$100,$B11,'Resumo Atividades x Sistema'!S$6:S$100,"Sim")</f>
        <v>0</v>
      </c>
      <c r="P11" s="53">
        <f>COUNTIFS('Resumo Atividades x Sistema'!$B$6:$B$100,$B11,'Resumo Atividades x Sistema'!T$6:T$100,"Sim")</f>
        <v>0</v>
      </c>
      <c r="Q11" s="53">
        <f>COUNTIFS('Resumo Atividades x Sistema'!$B$6:$B$100,$B11,'Resumo Atividades x Sistema'!U$6:U$100,"Sim")</f>
        <v>0</v>
      </c>
      <c r="R11" s="53">
        <f>COUNTIFS('Resumo Atividades x Sistema'!$B$6:$B$100,$B11,'Resumo Atividades x Sistema'!V$6:V$100,"Sim")</f>
        <v>0</v>
      </c>
      <c r="S11" s="53">
        <f>COUNTIFS('Resumo Atividades x Sistema'!$B$6:$B$100,$B11,'Resumo Atividades x Sistema'!W$6:W$100,"Sim")</f>
        <v>0</v>
      </c>
      <c r="T11" s="53">
        <f>COUNTIFS('Resumo Atividades x Sistema'!$B$6:$B$100,$B11,'Resumo Atividades x Sistema'!X$6:X$100,"Sim")</f>
        <v>0</v>
      </c>
      <c r="U11" s="53">
        <f>COUNTIFS('Resumo Atividades x Sistema'!$B$6:$B$100,$B11,'Resumo Atividades x Sistema'!Y$6:Y$100,"Sim")</f>
        <v>0</v>
      </c>
      <c r="V11" s="53">
        <f>COUNTIFS('Resumo Atividades x Sistema'!$B$6:$B$100,$B11,'Resumo Atividades x Sistema'!Z$6:Z$100,"Sim")</f>
        <v>0</v>
      </c>
      <c r="W11" s="53">
        <f>COUNTIFS('Resumo Atividades x Sistema'!$B$6:$B$100,$B11,'Resumo Atividades x Sistema'!AA$6:AA$100,"Sim")</f>
        <v>0</v>
      </c>
      <c r="X11" s="53">
        <f>COUNTIFS('Resumo Atividades x Sistema'!$B$6:$B$100,$B11,'Resumo Atividades x Sistema'!AB$6:AB$100,"Sim")</f>
        <v>0</v>
      </c>
      <c r="Y11" s="53">
        <f>COUNTIFS('Resumo Atividades x Sistema'!$B$6:$B$100,$B11,'Resumo Atividades x Sistema'!AC$6:AC$100,"Sim")</f>
        <v>0</v>
      </c>
      <c r="Z11" s="53">
        <f>COUNTIFS('Resumo Atividades x Sistema'!$B$6:$B$100,$B11,'Resumo Atividades x Sistema'!AD$6:AD$100,"Sim")</f>
        <v>0</v>
      </c>
      <c r="AA11" s="53">
        <f>COUNTIFS('Resumo Atividades x Sistema'!$B$6:$B$100,$B11,'Resumo Atividades x Sistema'!AE$6:AE$100,"Sim")</f>
        <v>0</v>
      </c>
      <c r="AB11" s="53">
        <f>COUNTIFS('Resumo Atividades x Sistema'!$B$6:$B$100,$B11,'Resumo Atividades x Sistema'!AF$6:AF$100,"Sim")</f>
        <v>0</v>
      </c>
      <c r="AC11" s="53">
        <f>COUNTIFS('Resumo Atividades x Sistema'!$B$6:$B$100,$B11,'Resumo Atividades x Sistema'!AG$6:AG$100,"Sim")</f>
        <v>0</v>
      </c>
      <c r="AD11" s="53">
        <f>COUNTIFS('Resumo Atividades x Sistema'!$B$6:$B$100,$B11,'Resumo Atividades x Sistema'!AH$6:AH$100,"Sim")</f>
        <v>0</v>
      </c>
      <c r="AE11" s="53">
        <f>COUNTIFS('Resumo Atividades x Sistema'!$B$6:$B$100,$B11,'Resumo Atividades x Sistema'!AI$6:AI$100,"Sim")</f>
        <v>0</v>
      </c>
      <c r="AF11" s="53">
        <f>COUNTIFS('Resumo Atividades x Sistema'!$B$6:$B$100,$B11,'Resumo Atividades x Sistema'!AJ$6:AJ$100,"Sim")</f>
        <v>0</v>
      </c>
      <c r="AG11" s="53">
        <f>COUNTIFS('Resumo Atividades x Sistema'!$B$6:$B$100,$B11,'Resumo Atividades x Sistema'!AK$6:AK$100,"Sim")</f>
        <v>0</v>
      </c>
    </row>
    <row r="12" spans="2:33" x14ac:dyDescent="0.25">
      <c r="B12" s="87" t="s">
        <v>152</v>
      </c>
      <c r="C12" s="53">
        <f>COUNTIFS('Resumo Atividades x Sistema'!$B$6:$B$100,$B12,'Resumo Atividades x Sistema'!G$6:G$100,"Sim")</f>
        <v>0</v>
      </c>
      <c r="D12" s="53">
        <f>COUNTIFS('Resumo Atividades x Sistema'!$B$6:$B$100,$B12,'Resumo Atividades x Sistema'!H$6:H$100,"Sim")</f>
        <v>0</v>
      </c>
      <c r="E12" s="53">
        <f>COUNTIFS('Resumo Atividades x Sistema'!$B$6:$B$100,$B12,'Resumo Atividades x Sistema'!I$6:I$100,"Sim")</f>
        <v>0</v>
      </c>
      <c r="F12" s="53">
        <f>COUNTIFS('Resumo Atividades x Sistema'!$B$6:$B$100,$B12,'Resumo Atividades x Sistema'!J$6:J$100,"Sim")</f>
        <v>0</v>
      </c>
      <c r="G12" s="53">
        <f>COUNTIFS('Resumo Atividades x Sistema'!$B$6:$B$100,$B12,'Resumo Atividades x Sistema'!K$6:K$100,"Sim")</f>
        <v>0</v>
      </c>
      <c r="H12" s="53">
        <f>COUNTIFS('Resumo Atividades x Sistema'!$B$6:$B$100,$B12,'Resumo Atividades x Sistema'!L$6:L$100,"Sim")</f>
        <v>0</v>
      </c>
      <c r="I12" s="53">
        <f>COUNTIFS('Resumo Atividades x Sistema'!$B$6:$B$100,$B12,'Resumo Atividades x Sistema'!M$6:M$100,"Sim")</f>
        <v>0</v>
      </c>
      <c r="J12" s="53">
        <f>COUNTIFS('Resumo Atividades x Sistema'!$B$6:$B$100,$B12,'Resumo Atividades x Sistema'!N$6:N$100,"Sim")</f>
        <v>0</v>
      </c>
      <c r="K12" s="53">
        <f>COUNTIFS('Resumo Atividades x Sistema'!$B$6:$B$100,$B12,'Resumo Atividades x Sistema'!O$6:O$100,"Sim")</f>
        <v>0</v>
      </c>
      <c r="L12" s="53">
        <f>COUNTIFS('Resumo Atividades x Sistema'!$B$6:$B$100,$B12,'Resumo Atividades x Sistema'!P$6:P$100,"Sim")</f>
        <v>0</v>
      </c>
      <c r="M12" s="53">
        <f>COUNTIFS('Resumo Atividades x Sistema'!$B$6:$B$100,$B12,'Resumo Atividades x Sistema'!Q$6:Q$100,"Sim")</f>
        <v>0</v>
      </c>
      <c r="N12" s="53">
        <f>COUNTIFS('Resumo Atividades x Sistema'!$B$6:$B$100,$B12,'Resumo Atividades x Sistema'!R$6:R$100,"Sim")</f>
        <v>0</v>
      </c>
      <c r="O12" s="53">
        <f>COUNTIFS('Resumo Atividades x Sistema'!$B$6:$B$100,$B12,'Resumo Atividades x Sistema'!S$6:S$100,"Sim")</f>
        <v>0</v>
      </c>
      <c r="P12" s="53">
        <f>COUNTIFS('Resumo Atividades x Sistema'!$B$6:$B$100,$B12,'Resumo Atividades x Sistema'!T$6:T$100,"Sim")</f>
        <v>0</v>
      </c>
      <c r="Q12" s="53">
        <f>COUNTIFS('Resumo Atividades x Sistema'!$B$6:$B$100,$B12,'Resumo Atividades x Sistema'!U$6:U$100,"Sim")</f>
        <v>0</v>
      </c>
      <c r="R12" s="53">
        <f>COUNTIFS('Resumo Atividades x Sistema'!$B$6:$B$100,$B12,'Resumo Atividades x Sistema'!V$6:V$100,"Sim")</f>
        <v>0</v>
      </c>
      <c r="S12" s="53">
        <f>COUNTIFS('Resumo Atividades x Sistema'!$B$6:$B$100,$B12,'Resumo Atividades x Sistema'!W$6:W$100,"Sim")</f>
        <v>0</v>
      </c>
      <c r="T12" s="53">
        <f>COUNTIFS('Resumo Atividades x Sistema'!$B$6:$B$100,$B12,'Resumo Atividades x Sistema'!X$6:X$100,"Sim")</f>
        <v>0</v>
      </c>
      <c r="U12" s="53">
        <f>COUNTIFS('Resumo Atividades x Sistema'!$B$6:$B$100,$B12,'Resumo Atividades x Sistema'!Y$6:Y$100,"Sim")</f>
        <v>0</v>
      </c>
      <c r="V12" s="53">
        <f>COUNTIFS('Resumo Atividades x Sistema'!$B$6:$B$100,$B12,'Resumo Atividades x Sistema'!Z$6:Z$100,"Sim")</f>
        <v>0</v>
      </c>
      <c r="W12" s="53">
        <f>COUNTIFS('Resumo Atividades x Sistema'!$B$6:$B$100,$B12,'Resumo Atividades x Sistema'!AA$6:AA$100,"Sim")</f>
        <v>0</v>
      </c>
      <c r="X12" s="53">
        <f>COUNTIFS('Resumo Atividades x Sistema'!$B$6:$B$100,$B12,'Resumo Atividades x Sistema'!AB$6:AB$100,"Sim")</f>
        <v>0</v>
      </c>
      <c r="Y12" s="53">
        <f>COUNTIFS('Resumo Atividades x Sistema'!$B$6:$B$100,$B12,'Resumo Atividades x Sistema'!AC$6:AC$100,"Sim")</f>
        <v>0</v>
      </c>
      <c r="Z12" s="53">
        <f>COUNTIFS('Resumo Atividades x Sistema'!$B$6:$B$100,$B12,'Resumo Atividades x Sistema'!AD$6:AD$100,"Sim")</f>
        <v>0</v>
      </c>
      <c r="AA12" s="53">
        <f>COUNTIFS('Resumo Atividades x Sistema'!$B$6:$B$100,$B12,'Resumo Atividades x Sistema'!AE$6:AE$100,"Sim")</f>
        <v>0</v>
      </c>
      <c r="AB12" s="53">
        <f>COUNTIFS('Resumo Atividades x Sistema'!$B$6:$B$100,$B12,'Resumo Atividades x Sistema'!AF$6:AF$100,"Sim")</f>
        <v>0</v>
      </c>
      <c r="AC12" s="53">
        <f>COUNTIFS('Resumo Atividades x Sistema'!$B$6:$B$100,$B12,'Resumo Atividades x Sistema'!AG$6:AG$100,"Sim")</f>
        <v>0</v>
      </c>
      <c r="AD12" s="53">
        <f>COUNTIFS('Resumo Atividades x Sistema'!$B$6:$B$100,$B12,'Resumo Atividades x Sistema'!AH$6:AH$100,"Sim")</f>
        <v>0</v>
      </c>
      <c r="AE12" s="53">
        <f>COUNTIFS('Resumo Atividades x Sistema'!$B$6:$B$100,$B12,'Resumo Atividades x Sistema'!AI$6:AI$100,"Sim")</f>
        <v>0</v>
      </c>
      <c r="AF12" s="53">
        <f>COUNTIFS('Resumo Atividades x Sistema'!$B$6:$B$100,$B12,'Resumo Atividades x Sistema'!AJ$6:AJ$100,"Sim")</f>
        <v>0</v>
      </c>
      <c r="AG12" s="53">
        <f>COUNTIFS('Resumo Atividades x Sistema'!$B$6:$B$100,$B12,'Resumo Atividades x Sistema'!AK$6:AK$100,"Sim")</f>
        <v>0</v>
      </c>
    </row>
    <row r="13" spans="2:33" x14ac:dyDescent="0.25">
      <c r="B13" s="99" t="s">
        <v>62</v>
      </c>
      <c r="C13" s="53">
        <f>COUNTIFS('Resumo Atividades x Sistema'!$B$6:$B$100,$B13,'Resumo Atividades x Sistema'!G$6:G$100,"Sim")</f>
        <v>0</v>
      </c>
      <c r="D13" s="53">
        <f>COUNTIFS('Resumo Atividades x Sistema'!$B$6:$B$100,$B13,'Resumo Atividades x Sistema'!H$6:H$100,"Sim")</f>
        <v>0</v>
      </c>
      <c r="E13" s="53">
        <f>COUNTIFS('Resumo Atividades x Sistema'!$B$6:$B$100,$B13,'Resumo Atividades x Sistema'!I$6:I$100,"Sim")</f>
        <v>0</v>
      </c>
      <c r="F13" s="53">
        <f>COUNTIFS('Resumo Atividades x Sistema'!$B$6:$B$100,$B13,'Resumo Atividades x Sistema'!J$6:J$100,"Sim")</f>
        <v>0</v>
      </c>
      <c r="G13" s="53">
        <f>COUNTIFS('Resumo Atividades x Sistema'!$B$6:$B$100,$B13,'Resumo Atividades x Sistema'!K$6:K$100,"Sim")</f>
        <v>0</v>
      </c>
      <c r="H13" s="53">
        <f>COUNTIFS('Resumo Atividades x Sistema'!$B$6:$B$100,$B13,'Resumo Atividades x Sistema'!L$6:L$100,"Sim")</f>
        <v>0</v>
      </c>
      <c r="I13" s="53">
        <f>COUNTIFS('Resumo Atividades x Sistema'!$B$6:$B$100,$B13,'Resumo Atividades x Sistema'!M$6:M$100,"Sim")</f>
        <v>0</v>
      </c>
      <c r="J13" s="53">
        <f>COUNTIFS('Resumo Atividades x Sistema'!$B$6:$B$100,$B13,'Resumo Atividades x Sistema'!N$6:N$100,"Sim")</f>
        <v>0</v>
      </c>
      <c r="K13" s="53">
        <f>COUNTIFS('Resumo Atividades x Sistema'!$B$6:$B$100,$B13,'Resumo Atividades x Sistema'!O$6:O$100,"Sim")</f>
        <v>0</v>
      </c>
      <c r="L13" s="53">
        <f>COUNTIFS('Resumo Atividades x Sistema'!$B$6:$B$100,$B13,'Resumo Atividades x Sistema'!P$6:P$100,"Sim")</f>
        <v>0</v>
      </c>
      <c r="M13" s="53">
        <f>COUNTIFS('Resumo Atividades x Sistema'!$B$6:$B$100,$B13,'Resumo Atividades x Sistema'!Q$6:Q$100,"Sim")</f>
        <v>0</v>
      </c>
      <c r="N13" s="53">
        <f>COUNTIFS('Resumo Atividades x Sistema'!$B$6:$B$100,$B13,'Resumo Atividades x Sistema'!R$6:R$100,"Sim")</f>
        <v>0</v>
      </c>
      <c r="O13" s="53">
        <f>COUNTIFS('Resumo Atividades x Sistema'!$B$6:$B$100,$B13,'Resumo Atividades x Sistema'!S$6:S$100,"Sim")</f>
        <v>0</v>
      </c>
      <c r="P13" s="53">
        <f>COUNTIFS('Resumo Atividades x Sistema'!$B$6:$B$100,$B13,'Resumo Atividades x Sistema'!T$6:T$100,"Sim")</f>
        <v>0</v>
      </c>
      <c r="Q13" s="53">
        <f>COUNTIFS('Resumo Atividades x Sistema'!$B$6:$B$100,$B13,'Resumo Atividades x Sistema'!U$6:U$100,"Sim")</f>
        <v>0</v>
      </c>
      <c r="R13" s="53">
        <f>COUNTIFS('Resumo Atividades x Sistema'!$B$6:$B$100,$B13,'Resumo Atividades x Sistema'!V$6:V$100,"Sim")</f>
        <v>0</v>
      </c>
      <c r="S13" s="53">
        <f>COUNTIFS('Resumo Atividades x Sistema'!$B$6:$B$100,$B13,'Resumo Atividades x Sistema'!W$6:W$100,"Sim")</f>
        <v>0</v>
      </c>
      <c r="T13" s="53">
        <f>COUNTIFS('Resumo Atividades x Sistema'!$B$6:$B$100,$B13,'Resumo Atividades x Sistema'!X$6:X$100,"Sim")</f>
        <v>0</v>
      </c>
      <c r="U13" s="53">
        <f>COUNTIFS('Resumo Atividades x Sistema'!$B$6:$B$100,$B13,'Resumo Atividades x Sistema'!Y$6:Y$100,"Sim")</f>
        <v>0</v>
      </c>
      <c r="V13" s="53">
        <f>COUNTIFS('Resumo Atividades x Sistema'!$B$6:$B$100,$B13,'Resumo Atividades x Sistema'!Z$6:Z$100,"Sim")</f>
        <v>0</v>
      </c>
      <c r="W13" s="53">
        <f>COUNTIFS('Resumo Atividades x Sistema'!$B$6:$B$100,$B13,'Resumo Atividades x Sistema'!AA$6:AA$100,"Sim")</f>
        <v>0</v>
      </c>
      <c r="X13" s="53">
        <f>COUNTIFS('Resumo Atividades x Sistema'!$B$6:$B$100,$B13,'Resumo Atividades x Sistema'!AB$6:AB$100,"Sim")</f>
        <v>0</v>
      </c>
      <c r="Y13" s="53">
        <f>COUNTIFS('Resumo Atividades x Sistema'!$B$6:$B$100,$B13,'Resumo Atividades x Sistema'!AC$6:AC$100,"Sim")</f>
        <v>0</v>
      </c>
      <c r="Z13" s="53">
        <f>COUNTIFS('Resumo Atividades x Sistema'!$B$6:$B$100,$B13,'Resumo Atividades x Sistema'!AD$6:AD$100,"Sim")</f>
        <v>0</v>
      </c>
      <c r="AA13" s="53">
        <f>COUNTIFS('Resumo Atividades x Sistema'!$B$6:$B$100,$B13,'Resumo Atividades x Sistema'!AE$6:AE$100,"Sim")</f>
        <v>0</v>
      </c>
      <c r="AB13" s="53">
        <f>COUNTIFS('Resumo Atividades x Sistema'!$B$6:$B$100,$B13,'Resumo Atividades x Sistema'!AF$6:AF$100,"Sim")</f>
        <v>0</v>
      </c>
      <c r="AC13" s="53">
        <f>COUNTIFS('Resumo Atividades x Sistema'!$B$6:$B$100,$B13,'Resumo Atividades x Sistema'!AG$6:AG$100,"Sim")</f>
        <v>0</v>
      </c>
      <c r="AD13" s="53">
        <f>COUNTIFS('Resumo Atividades x Sistema'!$B$6:$B$100,$B13,'Resumo Atividades x Sistema'!AH$6:AH$100,"Sim")</f>
        <v>0</v>
      </c>
      <c r="AE13" s="53">
        <f>COUNTIFS('Resumo Atividades x Sistema'!$B$6:$B$100,$B13,'Resumo Atividades x Sistema'!AI$6:AI$100,"Sim")</f>
        <v>0</v>
      </c>
      <c r="AF13" s="53">
        <f>COUNTIFS('Resumo Atividades x Sistema'!$B$6:$B$100,$B13,'Resumo Atividades x Sistema'!AJ$6:AJ$100,"Sim")</f>
        <v>0</v>
      </c>
      <c r="AG13" s="53">
        <f>COUNTIFS('Resumo Atividades x Sistema'!$B$6:$B$100,$B13,'Resumo Atividades x Sistema'!AK$6:AK$100,"Sim")</f>
        <v>0</v>
      </c>
    </row>
    <row r="14" spans="2:33" s="50" customFormat="1" ht="7.5" customHeight="1" x14ac:dyDescent="0.25"/>
    <row r="15" spans="2:33" x14ac:dyDescent="0.25">
      <c r="B15" s="87" t="s">
        <v>150</v>
      </c>
      <c r="C15" s="53">
        <f>COUNTIFS('Resumo Atividades x Sistema'!$B$6:$B$100,$B15,'Resumo Atividades x Sistema'!G$6:G$100,"Sim")</f>
        <v>0</v>
      </c>
      <c r="D15" s="53">
        <f>COUNTIFS('Resumo Atividades x Sistema'!$B$6:$B$100,$B15,'Resumo Atividades x Sistema'!H$6:H$100,"Sim")</f>
        <v>0</v>
      </c>
      <c r="E15" s="53">
        <f>COUNTIFS('Resumo Atividades x Sistema'!$B$6:$B$100,$B15,'Resumo Atividades x Sistema'!I$6:I$100,"Sim")</f>
        <v>0</v>
      </c>
      <c r="F15" s="53">
        <f>COUNTIFS('Resumo Atividades x Sistema'!$B$6:$B$100,$B15,'Resumo Atividades x Sistema'!J$6:J$100,"Sim")</f>
        <v>0</v>
      </c>
      <c r="G15" s="53">
        <f>COUNTIFS('Resumo Atividades x Sistema'!$B$6:$B$100,$B15,'Resumo Atividades x Sistema'!K$6:K$100,"Sim")</f>
        <v>0</v>
      </c>
      <c r="H15" s="53">
        <f>COUNTIFS('Resumo Atividades x Sistema'!$B$6:$B$100,$B15,'Resumo Atividades x Sistema'!L$6:L$100,"Sim")</f>
        <v>0</v>
      </c>
      <c r="I15" s="53">
        <f>COUNTIFS('Resumo Atividades x Sistema'!$B$6:$B$100,$B15,'Resumo Atividades x Sistema'!M$6:M$100,"Sim")</f>
        <v>0</v>
      </c>
      <c r="J15" s="53">
        <f>COUNTIFS('Resumo Atividades x Sistema'!$B$6:$B$100,$B15,'Resumo Atividades x Sistema'!N$6:N$100,"Sim")</f>
        <v>0</v>
      </c>
      <c r="K15" s="53">
        <f>COUNTIFS('Resumo Atividades x Sistema'!$B$6:$B$100,$B15,'Resumo Atividades x Sistema'!O$6:O$100,"Sim")</f>
        <v>0</v>
      </c>
      <c r="L15" s="53">
        <f>COUNTIFS('Resumo Atividades x Sistema'!$B$6:$B$100,$B15,'Resumo Atividades x Sistema'!P$6:P$100,"Sim")</f>
        <v>0</v>
      </c>
      <c r="M15" s="53">
        <f>COUNTIFS('Resumo Atividades x Sistema'!$B$6:$B$100,$B15,'Resumo Atividades x Sistema'!Q$6:Q$100,"Sim")</f>
        <v>0</v>
      </c>
      <c r="N15" s="53">
        <f>COUNTIFS('Resumo Atividades x Sistema'!$B$6:$B$100,$B15,'Resumo Atividades x Sistema'!R$6:R$100,"Sim")</f>
        <v>0</v>
      </c>
      <c r="O15" s="53">
        <f>COUNTIFS('Resumo Atividades x Sistema'!$B$6:$B$100,$B15,'Resumo Atividades x Sistema'!S$6:S$100,"Sim")</f>
        <v>0</v>
      </c>
      <c r="P15" s="53">
        <f>COUNTIFS('Resumo Atividades x Sistema'!$B$6:$B$100,$B15,'Resumo Atividades x Sistema'!T$6:T$100,"Sim")</f>
        <v>0</v>
      </c>
      <c r="Q15" s="53">
        <f>COUNTIFS('Resumo Atividades x Sistema'!$B$6:$B$100,$B15,'Resumo Atividades x Sistema'!U$6:U$100,"Sim")</f>
        <v>0</v>
      </c>
      <c r="R15" s="53">
        <f>COUNTIFS('Resumo Atividades x Sistema'!$B$6:$B$100,$B15,'Resumo Atividades x Sistema'!V$6:V$100,"Sim")</f>
        <v>0</v>
      </c>
      <c r="S15" s="53">
        <f>COUNTIFS('Resumo Atividades x Sistema'!$B$6:$B$100,$B15,'Resumo Atividades x Sistema'!W$6:W$100,"Sim")</f>
        <v>0</v>
      </c>
      <c r="T15" s="53">
        <f>COUNTIFS('Resumo Atividades x Sistema'!$B$6:$B$100,$B15,'Resumo Atividades x Sistema'!X$6:X$100,"Sim")</f>
        <v>0</v>
      </c>
      <c r="U15" s="53">
        <f>COUNTIFS('Resumo Atividades x Sistema'!$B$6:$B$100,$B15,'Resumo Atividades x Sistema'!Y$6:Y$100,"Sim")</f>
        <v>0</v>
      </c>
      <c r="V15" s="53">
        <f>COUNTIFS('Resumo Atividades x Sistema'!$B$6:$B$100,$B15,'Resumo Atividades x Sistema'!Z$6:Z$100,"Sim")</f>
        <v>0</v>
      </c>
      <c r="W15" s="53">
        <f>COUNTIFS('Resumo Atividades x Sistema'!$B$6:$B$100,$B15,'Resumo Atividades x Sistema'!AA$6:AA$100,"Sim")</f>
        <v>0</v>
      </c>
      <c r="X15" s="53">
        <f>COUNTIFS('Resumo Atividades x Sistema'!$B$6:$B$100,$B15,'Resumo Atividades x Sistema'!AB$6:AB$100,"Sim")</f>
        <v>0</v>
      </c>
      <c r="Y15" s="53">
        <f>COUNTIFS('Resumo Atividades x Sistema'!$B$6:$B$100,$B15,'Resumo Atividades x Sistema'!AC$6:AC$100,"Sim")</f>
        <v>0</v>
      </c>
      <c r="Z15" s="53">
        <f>COUNTIFS('Resumo Atividades x Sistema'!$B$6:$B$100,$B15,'Resumo Atividades x Sistema'!AD$6:AD$100,"Sim")</f>
        <v>0</v>
      </c>
      <c r="AA15" s="53">
        <f>COUNTIFS('Resumo Atividades x Sistema'!$B$6:$B$100,$B15,'Resumo Atividades x Sistema'!AE$6:AE$100,"Sim")</f>
        <v>0</v>
      </c>
      <c r="AB15" s="53">
        <f>COUNTIFS('Resumo Atividades x Sistema'!$B$6:$B$100,$B15,'Resumo Atividades x Sistema'!AF$6:AF$100,"Sim")</f>
        <v>0</v>
      </c>
      <c r="AC15" s="53">
        <f>COUNTIFS('Resumo Atividades x Sistema'!$B$6:$B$100,$B15,'Resumo Atividades x Sistema'!AG$6:AG$100,"Sim")</f>
        <v>0</v>
      </c>
      <c r="AD15" s="53">
        <f>COUNTIFS('Resumo Atividades x Sistema'!$B$6:$B$100,$B15,'Resumo Atividades x Sistema'!AH$6:AH$100,"Sim")</f>
        <v>0</v>
      </c>
      <c r="AE15" s="53">
        <f>COUNTIFS('Resumo Atividades x Sistema'!$B$6:$B$100,$B15,'Resumo Atividades x Sistema'!AI$6:AI$100,"Sim")</f>
        <v>0</v>
      </c>
      <c r="AF15" s="53">
        <f>COUNTIFS('Resumo Atividades x Sistema'!$B$6:$B$100,$B15,'Resumo Atividades x Sistema'!AJ$6:AJ$100,"Sim")</f>
        <v>0</v>
      </c>
      <c r="AG15" s="53">
        <f>COUNTIFS('Resumo Atividades x Sistema'!$B$6:$B$100,$B15,'Resumo Atividades x Sistema'!AK$6:AK$100,"Sim")</f>
        <v>0</v>
      </c>
    </row>
  </sheetData>
  <sheetProtection password="EC50" sheet="1" objects="1" scenarios="1"/>
  <pageMargins left="0.511811024" right="0.511811024" top="0.78740157499999996" bottom="0.78740157499999996" header="0.31496062000000002" footer="0.31496062000000002"/>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
  <sheetViews>
    <sheetView showGridLines="0" workbookViewId="0"/>
  </sheetViews>
  <sheetFormatPr defaultColWidth="0" defaultRowHeight="15" x14ac:dyDescent="0.25"/>
  <cols>
    <col min="1" max="1" width="0.7109375" customWidth="1"/>
    <col min="2" max="2" width="18.5703125" customWidth="1"/>
    <col min="3" max="3" width="29.85546875" customWidth="1"/>
    <col min="4" max="4" width="113.5703125" customWidth="1"/>
    <col min="5" max="5" width="1.42578125" customWidth="1"/>
    <col min="6" max="16384" width="9.140625" hidden="1"/>
  </cols>
  <sheetData>
    <row r="1" spans="2:5" ht="3.75" customHeight="1" x14ac:dyDescent="0.25"/>
    <row r="2" spans="2:5" ht="18.75" x14ac:dyDescent="0.25">
      <c r="B2" s="76" t="s">
        <v>63</v>
      </c>
      <c r="C2" s="76" t="s">
        <v>24</v>
      </c>
      <c r="D2" s="76" t="s">
        <v>208</v>
      </c>
    </row>
    <row r="3" spans="2:5" ht="15.75" x14ac:dyDescent="0.25">
      <c r="B3" s="77" t="s">
        <v>153</v>
      </c>
      <c r="C3" s="75" t="s">
        <v>154</v>
      </c>
      <c r="D3" s="77" t="s">
        <v>193</v>
      </c>
    </row>
    <row r="4" spans="2:5" s="50" customFormat="1" ht="15.75" x14ac:dyDescent="0.25">
      <c r="B4" s="149" t="s">
        <v>174</v>
      </c>
      <c r="C4" s="150" t="s">
        <v>175</v>
      </c>
      <c r="D4" s="77" t="s">
        <v>196</v>
      </c>
    </row>
    <row r="5" spans="2:5" s="50" customFormat="1" ht="15.75" x14ac:dyDescent="0.25">
      <c r="B5" s="149"/>
      <c r="C5" s="150"/>
      <c r="D5" s="77" t="s">
        <v>197</v>
      </c>
    </row>
    <row r="6" spans="2:5" ht="15.75" x14ac:dyDescent="0.25">
      <c r="B6" s="154" t="s">
        <v>160</v>
      </c>
      <c r="C6" s="150" t="s">
        <v>161</v>
      </c>
      <c r="D6" s="77" t="s">
        <v>162</v>
      </c>
      <c r="E6" s="50"/>
    </row>
    <row r="7" spans="2:5" ht="15.75" x14ac:dyDescent="0.25">
      <c r="B7" s="154"/>
      <c r="C7" s="150"/>
      <c r="D7" s="77" t="s">
        <v>163</v>
      </c>
      <c r="E7" s="50"/>
    </row>
    <row r="8" spans="2:5" ht="15.75" x14ac:dyDescent="0.25">
      <c r="B8" s="154"/>
      <c r="C8" s="150"/>
      <c r="D8" s="77" t="s">
        <v>164</v>
      </c>
      <c r="E8" s="50"/>
    </row>
    <row r="9" spans="2:5" ht="15.75" x14ac:dyDescent="0.25">
      <c r="B9" s="154"/>
      <c r="C9" s="150"/>
      <c r="D9" s="77" t="s">
        <v>194</v>
      </c>
      <c r="E9" s="50"/>
    </row>
    <row r="10" spans="2:5" ht="15.75" x14ac:dyDescent="0.25">
      <c r="B10" s="79" t="s">
        <v>172</v>
      </c>
      <c r="C10" s="74" t="s">
        <v>173</v>
      </c>
      <c r="D10" s="77" t="s">
        <v>198</v>
      </c>
      <c r="E10" s="50"/>
    </row>
    <row r="11" spans="2:5" ht="15.75" x14ac:dyDescent="0.25">
      <c r="B11" s="155" t="s">
        <v>155</v>
      </c>
      <c r="C11" s="156" t="s">
        <v>156</v>
      </c>
      <c r="D11" s="77" t="s">
        <v>185</v>
      </c>
      <c r="E11" s="50"/>
    </row>
    <row r="12" spans="2:5" ht="15.75" x14ac:dyDescent="0.25">
      <c r="B12" s="155"/>
      <c r="C12" s="156"/>
      <c r="D12" s="77" t="s">
        <v>186</v>
      </c>
      <c r="E12" s="50"/>
    </row>
    <row r="13" spans="2:5" ht="15.75" x14ac:dyDescent="0.25">
      <c r="B13" s="155"/>
      <c r="C13" s="156"/>
      <c r="D13" s="77" t="s">
        <v>157</v>
      </c>
      <c r="E13" s="50"/>
    </row>
    <row r="14" spans="2:5" ht="15.75" x14ac:dyDescent="0.25">
      <c r="B14" s="155"/>
      <c r="C14" s="156"/>
      <c r="D14" s="77" t="s">
        <v>158</v>
      </c>
      <c r="E14" s="50"/>
    </row>
    <row r="15" spans="2:5" ht="15.75" x14ac:dyDescent="0.25">
      <c r="B15" s="155"/>
      <c r="C15" s="156"/>
      <c r="D15" s="77" t="s">
        <v>159</v>
      </c>
      <c r="E15" s="50"/>
    </row>
    <row r="16" spans="2:5" ht="15.75" x14ac:dyDescent="0.25">
      <c r="B16" s="155"/>
      <c r="C16" s="156"/>
      <c r="D16" s="77" t="s">
        <v>187</v>
      </c>
      <c r="E16" s="50"/>
    </row>
    <row r="17" spans="2:5" ht="15.75" x14ac:dyDescent="0.25">
      <c r="B17" s="155"/>
      <c r="C17" s="156"/>
      <c r="D17" s="77" t="s">
        <v>188</v>
      </c>
      <c r="E17" s="50"/>
    </row>
    <row r="18" spans="2:5" ht="15.75" x14ac:dyDescent="0.25">
      <c r="B18" s="155"/>
      <c r="C18" s="156"/>
      <c r="D18" s="77" t="s">
        <v>189</v>
      </c>
      <c r="E18" s="50"/>
    </row>
    <row r="19" spans="2:5" ht="15.75" x14ac:dyDescent="0.25">
      <c r="B19" s="155" t="s">
        <v>165</v>
      </c>
      <c r="C19" s="157" t="s">
        <v>178</v>
      </c>
      <c r="D19" s="79" t="s">
        <v>166</v>
      </c>
      <c r="E19" s="50"/>
    </row>
    <row r="20" spans="2:5" ht="15.75" x14ac:dyDescent="0.25">
      <c r="B20" s="155"/>
      <c r="C20" s="157"/>
      <c r="D20" s="79" t="s">
        <v>179</v>
      </c>
      <c r="E20" s="50"/>
    </row>
    <row r="21" spans="2:5" ht="15.75" x14ac:dyDescent="0.25">
      <c r="B21" s="155"/>
      <c r="C21" s="157"/>
      <c r="D21" s="79" t="s">
        <v>180</v>
      </c>
      <c r="E21" s="50"/>
    </row>
    <row r="22" spans="2:5" ht="15.75" x14ac:dyDescent="0.25">
      <c r="B22" s="155"/>
      <c r="C22" s="157"/>
      <c r="D22" s="79" t="s">
        <v>181</v>
      </c>
      <c r="E22" s="50"/>
    </row>
    <row r="23" spans="2:5" ht="15.75" x14ac:dyDescent="0.25">
      <c r="B23" s="155"/>
      <c r="C23" s="157" t="s">
        <v>182</v>
      </c>
      <c r="D23" s="79" t="s">
        <v>190</v>
      </c>
      <c r="E23" s="50"/>
    </row>
    <row r="24" spans="2:5" ht="15.75" x14ac:dyDescent="0.25">
      <c r="B24" s="155"/>
      <c r="C24" s="157"/>
      <c r="D24" s="79" t="s">
        <v>183</v>
      </c>
      <c r="E24" s="50"/>
    </row>
    <row r="25" spans="2:5" ht="15.75" x14ac:dyDescent="0.25">
      <c r="B25" s="155"/>
      <c r="C25" s="156" t="s">
        <v>167</v>
      </c>
      <c r="D25" s="77" t="s">
        <v>191</v>
      </c>
      <c r="E25" s="50"/>
    </row>
    <row r="26" spans="2:5" ht="15.75" x14ac:dyDescent="0.25">
      <c r="B26" s="155"/>
      <c r="C26" s="156"/>
      <c r="D26" s="79" t="s">
        <v>192</v>
      </c>
      <c r="E26" s="50"/>
    </row>
    <row r="27" spans="2:5" ht="15.75" x14ac:dyDescent="0.25">
      <c r="B27" s="155"/>
      <c r="C27" s="156"/>
      <c r="D27" s="79" t="s">
        <v>184</v>
      </c>
      <c r="E27" s="50"/>
    </row>
    <row r="28" spans="2:5" ht="15.75" customHeight="1" x14ac:dyDescent="0.25">
      <c r="B28" s="151" t="s">
        <v>168</v>
      </c>
      <c r="C28" s="150" t="s">
        <v>169</v>
      </c>
      <c r="D28" s="78" t="s">
        <v>199</v>
      </c>
      <c r="E28" s="50"/>
    </row>
    <row r="29" spans="2:5" ht="15.75" x14ac:dyDescent="0.25">
      <c r="B29" s="152"/>
      <c r="C29" s="150"/>
      <c r="D29" s="78" t="s">
        <v>195</v>
      </c>
      <c r="E29" s="50"/>
    </row>
    <row r="30" spans="2:5" ht="15.75" x14ac:dyDescent="0.25">
      <c r="B30" s="152"/>
      <c r="C30" s="150"/>
      <c r="D30" s="78" t="s">
        <v>200</v>
      </c>
      <c r="E30" s="50"/>
    </row>
    <row r="31" spans="2:5" ht="15.75" x14ac:dyDescent="0.25">
      <c r="B31" s="152"/>
      <c r="C31" s="150"/>
      <c r="D31" s="78" t="s">
        <v>201</v>
      </c>
      <c r="E31" s="50"/>
    </row>
    <row r="32" spans="2:5" ht="15.75" x14ac:dyDescent="0.25">
      <c r="B32" s="153"/>
      <c r="C32" s="75" t="s">
        <v>170</v>
      </c>
      <c r="D32" s="78" t="s">
        <v>171</v>
      </c>
      <c r="E32" s="50"/>
    </row>
    <row r="33" spans="2:5" ht="15.75" x14ac:dyDescent="0.25">
      <c r="B33" s="149" t="s">
        <v>176</v>
      </c>
      <c r="C33" s="150" t="s">
        <v>177</v>
      </c>
      <c r="D33" s="77" t="s">
        <v>202</v>
      </c>
      <c r="E33" s="50"/>
    </row>
    <row r="34" spans="2:5" ht="15.75" x14ac:dyDescent="0.25">
      <c r="B34" s="149"/>
      <c r="C34" s="150"/>
      <c r="D34" s="77" t="s">
        <v>203</v>
      </c>
      <c r="E34" s="50"/>
    </row>
  </sheetData>
  <sheetProtection password="A8B6" sheet="1" objects="1" scenarios="1"/>
  <mergeCells count="14">
    <mergeCell ref="B4:B5"/>
    <mergeCell ref="C4:C5"/>
    <mergeCell ref="C28:C31"/>
    <mergeCell ref="B33:B34"/>
    <mergeCell ref="C33:C34"/>
    <mergeCell ref="B28:B32"/>
    <mergeCell ref="B6:B9"/>
    <mergeCell ref="C6:C9"/>
    <mergeCell ref="B11:B18"/>
    <mergeCell ref="C11:C18"/>
    <mergeCell ref="B19:B27"/>
    <mergeCell ref="C19:C22"/>
    <mergeCell ref="C23:C24"/>
    <mergeCell ref="C25:C27"/>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WVL374"/>
  <sheetViews>
    <sheetView showGridLines="0" workbookViewId="0">
      <selection activeCell="B7" sqref="B7"/>
    </sheetView>
  </sheetViews>
  <sheetFormatPr defaultColWidth="0" defaultRowHeight="15" zeroHeight="1" x14ac:dyDescent="0.25"/>
  <cols>
    <col min="1" max="1" width="1.28515625" style="5" customWidth="1"/>
    <col min="2" max="2" width="14.140625" style="7" customWidth="1"/>
    <col min="3" max="3" width="59" style="13" customWidth="1"/>
    <col min="4" max="4" width="1.7109375" style="5" customWidth="1"/>
    <col min="5" max="257" width="9.140625" style="5" hidden="1"/>
    <col min="258" max="258" width="14.140625" style="5" hidden="1"/>
    <col min="259" max="259" width="78.28515625" style="5" hidden="1"/>
    <col min="260" max="260" width="1.7109375" style="5" hidden="1"/>
    <col min="261" max="513" width="9.140625" style="5" hidden="1"/>
    <col min="514" max="514" width="14.140625" style="5" hidden="1"/>
    <col min="515" max="515" width="78.28515625" style="5" hidden="1"/>
    <col min="516" max="516" width="1.7109375" style="5" hidden="1"/>
    <col min="517" max="769" width="9.140625" style="5" hidden="1"/>
    <col min="770" max="770" width="14.140625" style="5" hidden="1"/>
    <col min="771" max="771" width="78.28515625" style="5" hidden="1"/>
    <col min="772" max="772" width="1.7109375" style="5" hidden="1"/>
    <col min="773" max="1025" width="9.140625" style="5" hidden="1"/>
    <col min="1026" max="1026" width="14.140625" style="5" hidden="1"/>
    <col min="1027" max="1027" width="78.28515625" style="5" hidden="1"/>
    <col min="1028" max="1028" width="1.7109375" style="5" hidden="1"/>
    <col min="1029" max="1281" width="9.140625" style="5" hidden="1"/>
    <col min="1282" max="1282" width="14.140625" style="5" hidden="1"/>
    <col min="1283" max="1283" width="78.28515625" style="5" hidden="1"/>
    <col min="1284" max="1284" width="1.7109375" style="5" hidden="1"/>
    <col min="1285" max="1537" width="9.140625" style="5" hidden="1"/>
    <col min="1538" max="1538" width="14.140625" style="5" hidden="1"/>
    <col min="1539" max="1539" width="78.28515625" style="5" hidden="1"/>
    <col min="1540" max="1540" width="1.7109375" style="5" hidden="1"/>
    <col min="1541" max="1793" width="9.140625" style="5" hidden="1"/>
    <col min="1794" max="1794" width="14.140625" style="5" hidden="1"/>
    <col min="1795" max="1795" width="78.28515625" style="5" hidden="1"/>
    <col min="1796" max="1796" width="1.7109375" style="5" hidden="1"/>
    <col min="1797" max="2049" width="9.140625" style="5" hidden="1"/>
    <col min="2050" max="2050" width="14.140625" style="5" hidden="1"/>
    <col min="2051" max="2051" width="78.28515625" style="5" hidden="1"/>
    <col min="2052" max="2052" width="1.7109375" style="5" hidden="1"/>
    <col min="2053" max="2305" width="9.140625" style="5" hidden="1"/>
    <col min="2306" max="2306" width="14.140625" style="5" hidden="1"/>
    <col min="2307" max="2307" width="78.28515625" style="5" hidden="1"/>
    <col min="2308" max="2308" width="1.7109375" style="5" hidden="1"/>
    <col min="2309" max="2561" width="9.140625" style="5" hidden="1"/>
    <col min="2562" max="2562" width="14.140625" style="5" hidden="1"/>
    <col min="2563" max="2563" width="78.28515625" style="5" hidden="1"/>
    <col min="2564" max="2564" width="1.7109375" style="5" hidden="1"/>
    <col min="2565" max="2817" width="9.140625" style="5" hidden="1"/>
    <col min="2818" max="2818" width="14.140625" style="5" hidden="1"/>
    <col min="2819" max="2819" width="78.28515625" style="5" hidden="1"/>
    <col min="2820" max="2820" width="1.7109375" style="5" hidden="1"/>
    <col min="2821" max="3073" width="9.140625" style="5" hidden="1"/>
    <col min="3074" max="3074" width="14.140625" style="5" hidden="1"/>
    <col min="3075" max="3075" width="78.28515625" style="5" hidden="1"/>
    <col min="3076" max="3076" width="1.7109375" style="5" hidden="1"/>
    <col min="3077" max="3329" width="9.140625" style="5" hidden="1"/>
    <col min="3330" max="3330" width="14.140625" style="5" hidden="1"/>
    <col min="3331" max="3331" width="78.28515625" style="5" hidden="1"/>
    <col min="3332" max="3332" width="1.7109375" style="5" hidden="1"/>
    <col min="3333" max="3585" width="9.140625" style="5" hidden="1"/>
    <col min="3586" max="3586" width="14.140625" style="5" hidden="1"/>
    <col min="3587" max="3587" width="78.28515625" style="5" hidden="1"/>
    <col min="3588" max="3588" width="1.7109375" style="5" hidden="1"/>
    <col min="3589" max="3841" width="9.140625" style="5" hidden="1"/>
    <col min="3842" max="3842" width="14.140625" style="5" hidden="1"/>
    <col min="3843" max="3843" width="78.28515625" style="5" hidden="1"/>
    <col min="3844" max="3844" width="1.7109375" style="5" hidden="1"/>
    <col min="3845" max="4097" width="9.140625" style="5" hidden="1"/>
    <col min="4098" max="4098" width="14.140625" style="5" hidden="1"/>
    <col min="4099" max="4099" width="78.28515625" style="5" hidden="1"/>
    <col min="4100" max="4100" width="1.7109375" style="5" hidden="1"/>
    <col min="4101" max="4353" width="9.140625" style="5" hidden="1"/>
    <col min="4354" max="4354" width="14.140625" style="5" hidden="1"/>
    <col min="4355" max="4355" width="78.28515625" style="5" hidden="1"/>
    <col min="4356" max="4356" width="1.7109375" style="5" hidden="1"/>
    <col min="4357" max="4609" width="9.140625" style="5" hidden="1"/>
    <col min="4610" max="4610" width="14.140625" style="5" hidden="1"/>
    <col min="4611" max="4611" width="78.28515625" style="5" hidden="1"/>
    <col min="4612" max="4612" width="1.7109375" style="5" hidden="1"/>
    <col min="4613" max="4865" width="9.140625" style="5" hidden="1"/>
    <col min="4866" max="4866" width="14.140625" style="5" hidden="1"/>
    <col min="4867" max="4867" width="78.28515625" style="5" hidden="1"/>
    <col min="4868" max="4868" width="1.7109375" style="5" hidden="1"/>
    <col min="4869" max="5121" width="9.140625" style="5" hidden="1"/>
    <col min="5122" max="5122" width="14.140625" style="5" hidden="1"/>
    <col min="5123" max="5123" width="78.28515625" style="5" hidden="1"/>
    <col min="5124" max="5124" width="1.7109375" style="5" hidden="1"/>
    <col min="5125" max="5377" width="9.140625" style="5" hidden="1"/>
    <col min="5378" max="5378" width="14.140625" style="5" hidden="1"/>
    <col min="5379" max="5379" width="78.28515625" style="5" hidden="1"/>
    <col min="5380" max="5380" width="1.7109375" style="5" hidden="1"/>
    <col min="5381" max="5633" width="9.140625" style="5" hidden="1"/>
    <col min="5634" max="5634" width="14.140625" style="5" hidden="1"/>
    <col min="5635" max="5635" width="78.28515625" style="5" hidden="1"/>
    <col min="5636" max="5636" width="1.7109375" style="5" hidden="1"/>
    <col min="5637" max="5889" width="9.140625" style="5" hidden="1"/>
    <col min="5890" max="5890" width="14.140625" style="5" hidden="1"/>
    <col min="5891" max="5891" width="78.28515625" style="5" hidden="1"/>
    <col min="5892" max="5892" width="1.7109375" style="5" hidden="1"/>
    <col min="5893" max="6145" width="9.140625" style="5" hidden="1"/>
    <col min="6146" max="6146" width="14.140625" style="5" hidden="1"/>
    <col min="6147" max="6147" width="78.28515625" style="5" hidden="1"/>
    <col min="6148" max="6148" width="1.7109375" style="5" hidden="1"/>
    <col min="6149" max="6401" width="9.140625" style="5" hidden="1"/>
    <col min="6402" max="6402" width="14.140625" style="5" hidden="1"/>
    <col min="6403" max="6403" width="78.28515625" style="5" hidden="1"/>
    <col min="6404" max="6404" width="1.7109375" style="5" hidden="1"/>
    <col min="6405" max="6657" width="9.140625" style="5" hidden="1"/>
    <col min="6658" max="6658" width="14.140625" style="5" hidden="1"/>
    <col min="6659" max="6659" width="78.28515625" style="5" hidden="1"/>
    <col min="6660" max="6660" width="1.7109375" style="5" hidden="1"/>
    <col min="6661" max="6913" width="9.140625" style="5" hidden="1"/>
    <col min="6914" max="6914" width="14.140625" style="5" hidden="1"/>
    <col min="6915" max="6915" width="78.28515625" style="5" hidden="1"/>
    <col min="6916" max="6916" width="1.7109375" style="5" hidden="1"/>
    <col min="6917" max="7169" width="9.140625" style="5" hidden="1"/>
    <col min="7170" max="7170" width="14.140625" style="5" hidden="1"/>
    <col min="7171" max="7171" width="78.28515625" style="5" hidden="1"/>
    <col min="7172" max="7172" width="1.7109375" style="5" hidden="1"/>
    <col min="7173" max="7425" width="9.140625" style="5" hidden="1"/>
    <col min="7426" max="7426" width="14.140625" style="5" hidden="1"/>
    <col min="7427" max="7427" width="78.28515625" style="5" hidden="1"/>
    <col min="7428" max="7428" width="1.7109375" style="5" hidden="1"/>
    <col min="7429" max="7681" width="9.140625" style="5" hidden="1"/>
    <col min="7682" max="7682" width="14.140625" style="5" hidden="1"/>
    <col min="7683" max="7683" width="78.28515625" style="5" hidden="1"/>
    <col min="7684" max="7684" width="1.7109375" style="5" hidden="1"/>
    <col min="7685" max="7937" width="9.140625" style="5" hidden="1"/>
    <col min="7938" max="7938" width="14.140625" style="5" hidden="1"/>
    <col min="7939" max="7939" width="78.28515625" style="5" hidden="1"/>
    <col min="7940" max="7940" width="1.7109375" style="5" hidden="1"/>
    <col min="7941" max="8193" width="9.140625" style="5" hidden="1"/>
    <col min="8194" max="8194" width="14.140625" style="5" hidden="1"/>
    <col min="8195" max="8195" width="78.28515625" style="5" hidden="1"/>
    <col min="8196" max="8196" width="1.7109375" style="5" hidden="1"/>
    <col min="8197" max="8449" width="9.140625" style="5" hidden="1"/>
    <col min="8450" max="8450" width="14.140625" style="5" hidden="1"/>
    <col min="8451" max="8451" width="78.28515625" style="5" hidden="1"/>
    <col min="8452" max="8452" width="1.7109375" style="5" hidden="1"/>
    <col min="8453" max="8705" width="9.140625" style="5" hidden="1"/>
    <col min="8706" max="8706" width="14.140625" style="5" hidden="1"/>
    <col min="8707" max="8707" width="78.28515625" style="5" hidden="1"/>
    <col min="8708" max="8708" width="1.7109375" style="5" hidden="1"/>
    <col min="8709" max="8961" width="9.140625" style="5" hidden="1"/>
    <col min="8962" max="8962" width="14.140625" style="5" hidden="1"/>
    <col min="8963" max="8963" width="78.28515625" style="5" hidden="1"/>
    <col min="8964" max="8964" width="1.7109375" style="5" hidden="1"/>
    <col min="8965" max="9217" width="9.140625" style="5" hidden="1"/>
    <col min="9218" max="9218" width="14.140625" style="5" hidden="1"/>
    <col min="9219" max="9219" width="78.28515625" style="5" hidden="1"/>
    <col min="9220" max="9220" width="1.7109375" style="5" hidden="1"/>
    <col min="9221" max="9473" width="9.140625" style="5" hidden="1"/>
    <col min="9474" max="9474" width="14.140625" style="5" hidden="1"/>
    <col min="9475" max="9475" width="78.28515625" style="5" hidden="1"/>
    <col min="9476" max="9476" width="1.7109375" style="5" hidden="1"/>
    <col min="9477" max="9729" width="9.140625" style="5" hidden="1"/>
    <col min="9730" max="9730" width="14.140625" style="5" hidden="1"/>
    <col min="9731" max="9731" width="78.28515625" style="5" hidden="1"/>
    <col min="9732" max="9732" width="1.7109375" style="5" hidden="1"/>
    <col min="9733" max="9985" width="9.140625" style="5" hidden="1"/>
    <col min="9986" max="9986" width="14.140625" style="5" hidden="1"/>
    <col min="9987" max="9987" width="78.28515625" style="5" hidden="1"/>
    <col min="9988" max="9988" width="1.7109375" style="5" hidden="1"/>
    <col min="9989" max="10241" width="9.140625" style="5" hidden="1"/>
    <col min="10242" max="10242" width="14.140625" style="5" hidden="1"/>
    <col min="10243" max="10243" width="78.28515625" style="5" hidden="1"/>
    <col min="10244" max="10244" width="1.7109375" style="5" hidden="1"/>
    <col min="10245" max="10497" width="9.140625" style="5" hidden="1"/>
    <col min="10498" max="10498" width="14.140625" style="5" hidden="1"/>
    <col min="10499" max="10499" width="78.28515625" style="5" hidden="1"/>
    <col min="10500" max="10500" width="1.7109375" style="5" hidden="1"/>
    <col min="10501" max="10753" width="9.140625" style="5" hidden="1"/>
    <col min="10754" max="10754" width="14.140625" style="5" hidden="1"/>
    <col min="10755" max="10755" width="78.28515625" style="5" hidden="1"/>
    <col min="10756" max="10756" width="1.7109375" style="5" hidden="1"/>
    <col min="10757" max="11009" width="9.140625" style="5" hidden="1"/>
    <col min="11010" max="11010" width="14.140625" style="5" hidden="1"/>
    <col min="11011" max="11011" width="78.28515625" style="5" hidden="1"/>
    <col min="11012" max="11012" width="1.7109375" style="5" hidden="1"/>
    <col min="11013" max="11265" width="9.140625" style="5" hidden="1"/>
    <col min="11266" max="11266" width="14.140625" style="5" hidden="1"/>
    <col min="11267" max="11267" width="78.28515625" style="5" hidden="1"/>
    <col min="11268" max="11268" width="1.7109375" style="5" hidden="1"/>
    <col min="11269" max="11521" width="9.140625" style="5" hidden="1"/>
    <col min="11522" max="11522" width="14.140625" style="5" hidden="1"/>
    <col min="11523" max="11523" width="78.28515625" style="5" hidden="1"/>
    <col min="11524" max="11524" width="1.7109375" style="5" hidden="1"/>
    <col min="11525" max="11777" width="9.140625" style="5" hidden="1"/>
    <col min="11778" max="11778" width="14.140625" style="5" hidden="1"/>
    <col min="11779" max="11779" width="78.28515625" style="5" hidden="1"/>
    <col min="11780" max="11780" width="1.7109375" style="5" hidden="1"/>
    <col min="11781" max="12033" width="9.140625" style="5" hidden="1"/>
    <col min="12034" max="12034" width="14.140625" style="5" hidden="1"/>
    <col min="12035" max="12035" width="78.28515625" style="5" hidden="1"/>
    <col min="12036" max="12036" width="1.7109375" style="5" hidden="1"/>
    <col min="12037" max="12289" width="9.140625" style="5" hidden="1"/>
    <col min="12290" max="12290" width="14.140625" style="5" hidden="1"/>
    <col min="12291" max="12291" width="78.28515625" style="5" hidden="1"/>
    <col min="12292" max="12292" width="1.7109375" style="5" hidden="1"/>
    <col min="12293" max="12545" width="9.140625" style="5" hidden="1"/>
    <col min="12546" max="12546" width="14.140625" style="5" hidden="1"/>
    <col min="12547" max="12547" width="78.28515625" style="5" hidden="1"/>
    <col min="12548" max="12548" width="1.7109375" style="5" hidden="1"/>
    <col min="12549" max="12801" width="9.140625" style="5" hidden="1"/>
    <col min="12802" max="12802" width="14.140625" style="5" hidden="1"/>
    <col min="12803" max="12803" width="78.28515625" style="5" hidden="1"/>
    <col min="12804" max="12804" width="1.7109375" style="5" hidden="1"/>
    <col min="12805" max="13057" width="9.140625" style="5" hidden="1"/>
    <col min="13058" max="13058" width="14.140625" style="5" hidden="1"/>
    <col min="13059" max="13059" width="78.28515625" style="5" hidden="1"/>
    <col min="13060" max="13060" width="1.7109375" style="5" hidden="1"/>
    <col min="13061" max="13313" width="9.140625" style="5" hidden="1"/>
    <col min="13314" max="13314" width="14.140625" style="5" hidden="1"/>
    <col min="13315" max="13315" width="78.28515625" style="5" hidden="1"/>
    <col min="13316" max="13316" width="1.7109375" style="5" hidden="1"/>
    <col min="13317" max="13569" width="9.140625" style="5" hidden="1"/>
    <col min="13570" max="13570" width="14.140625" style="5" hidden="1"/>
    <col min="13571" max="13571" width="78.28515625" style="5" hidden="1"/>
    <col min="13572" max="13572" width="1.7109375" style="5" hidden="1"/>
    <col min="13573" max="13825" width="9.140625" style="5" hidden="1"/>
    <col min="13826" max="13826" width="14.140625" style="5" hidden="1"/>
    <col min="13827" max="13827" width="78.28515625" style="5" hidden="1"/>
    <col min="13828" max="13828" width="1.7109375" style="5" hidden="1"/>
    <col min="13829" max="14081" width="9.140625" style="5" hidden="1"/>
    <col min="14082" max="14082" width="14.140625" style="5" hidden="1"/>
    <col min="14083" max="14083" width="78.28515625" style="5" hidden="1"/>
    <col min="14084" max="14084" width="1.7109375" style="5" hidden="1"/>
    <col min="14085" max="14337" width="9.140625" style="5" hidden="1"/>
    <col min="14338" max="14338" width="14.140625" style="5" hidden="1"/>
    <col min="14339" max="14339" width="78.28515625" style="5" hidden="1"/>
    <col min="14340" max="14340" width="1.7109375" style="5" hidden="1"/>
    <col min="14341" max="14593" width="9.140625" style="5" hidden="1"/>
    <col min="14594" max="14594" width="14.140625" style="5" hidden="1"/>
    <col min="14595" max="14595" width="78.28515625" style="5" hidden="1"/>
    <col min="14596" max="14596" width="1.7109375" style="5" hidden="1"/>
    <col min="14597" max="14849" width="9.140625" style="5" hidden="1"/>
    <col min="14850" max="14850" width="14.140625" style="5" hidden="1"/>
    <col min="14851" max="14851" width="78.28515625" style="5" hidden="1"/>
    <col min="14852" max="14852" width="1.7109375" style="5" hidden="1"/>
    <col min="14853" max="15105" width="9.140625" style="5" hidden="1"/>
    <col min="15106" max="15106" width="14.140625" style="5" hidden="1"/>
    <col min="15107" max="15107" width="78.28515625" style="5" hidden="1"/>
    <col min="15108" max="15108" width="1.7109375" style="5" hidden="1"/>
    <col min="15109" max="15361" width="9.140625" style="5" hidden="1"/>
    <col min="15362" max="15362" width="14.140625" style="5" hidden="1"/>
    <col min="15363" max="15363" width="78.28515625" style="5" hidden="1"/>
    <col min="15364" max="15364" width="1.7109375" style="5" hidden="1"/>
    <col min="15365" max="15617" width="9.140625" style="5" hidden="1"/>
    <col min="15618" max="15618" width="14.140625" style="5" hidden="1"/>
    <col min="15619" max="15619" width="78.28515625" style="5" hidden="1"/>
    <col min="15620" max="15620" width="1.7109375" style="5" hidden="1"/>
    <col min="15621" max="15873" width="9.140625" style="5" hidden="1"/>
    <col min="15874" max="15874" width="14.140625" style="5" hidden="1"/>
    <col min="15875" max="15875" width="78.28515625" style="5" hidden="1"/>
    <col min="15876" max="15876" width="1.7109375" style="5" hidden="1"/>
    <col min="15877" max="16129" width="9.140625" style="5" hidden="1"/>
    <col min="16130" max="16130" width="14.140625" style="5" hidden="1"/>
    <col min="16131" max="16131" width="78.28515625" style="5" hidden="1"/>
    <col min="16132" max="16132" width="1.7109375" style="5" hidden="1"/>
    <col min="16133" max="16384" width="9.140625" style="5" hidden="1"/>
  </cols>
  <sheetData>
    <row r="1" spans="2:3" x14ac:dyDescent="0.25"/>
    <row r="2" spans="2:3" x14ac:dyDescent="0.25"/>
    <row r="3" spans="2:3" ht="18.75" x14ac:dyDescent="0.3">
      <c r="C3" s="8" t="s">
        <v>17</v>
      </c>
    </row>
    <row r="4" spans="2:3" x14ac:dyDescent="0.25"/>
    <row r="5" spans="2:3" x14ac:dyDescent="0.25"/>
    <row r="6" spans="2:3" x14ac:dyDescent="0.25">
      <c r="B6" s="14" t="s">
        <v>18</v>
      </c>
      <c r="C6" s="14" t="s">
        <v>19</v>
      </c>
    </row>
    <row r="7" spans="2:3" x14ac:dyDescent="0.25">
      <c r="B7" s="47"/>
      <c r="C7" s="47"/>
    </row>
    <row r="8" spans="2:3" x14ac:dyDescent="0.25">
      <c r="B8" s="47"/>
      <c r="C8" s="47"/>
    </row>
    <row r="9" spans="2:3" x14ac:dyDescent="0.25">
      <c r="B9" s="47"/>
      <c r="C9" s="47"/>
    </row>
    <row r="10" spans="2:3" x14ac:dyDescent="0.25">
      <c r="B10" s="47"/>
      <c r="C10" s="47"/>
    </row>
    <row r="11" spans="2:3" x14ac:dyDescent="0.25">
      <c r="B11" s="47"/>
      <c r="C11" s="45"/>
    </row>
    <row r="12" spans="2:3" x14ac:dyDescent="0.25">
      <c r="B12" s="47"/>
      <c r="C12" s="45"/>
    </row>
    <row r="13" spans="2:3" x14ac:dyDescent="0.25">
      <c r="B13" s="47"/>
      <c r="C13" s="45"/>
    </row>
    <row r="14" spans="2:3" x14ac:dyDescent="0.25">
      <c r="B14" s="47"/>
      <c r="C14" s="45"/>
    </row>
    <row r="15" spans="2:3" x14ac:dyDescent="0.25">
      <c r="B15" s="47"/>
      <c r="C15" s="46"/>
    </row>
    <row r="16" spans="2:3" x14ac:dyDescent="0.25">
      <c r="B16" s="47"/>
      <c r="C16" s="46"/>
    </row>
    <row r="17" spans="2:3" x14ac:dyDescent="0.25">
      <c r="B17" s="47"/>
      <c r="C17" s="46"/>
    </row>
    <row r="18" spans="2:3" x14ac:dyDescent="0.25">
      <c r="B18" s="47"/>
      <c r="C18" s="46"/>
    </row>
    <row r="19" spans="2:3" x14ac:dyDescent="0.25">
      <c r="B19" s="47"/>
      <c r="C19" s="47"/>
    </row>
    <row r="20" spans="2:3" x14ac:dyDescent="0.25">
      <c r="B20" s="47"/>
      <c r="C20" s="47"/>
    </row>
    <row r="21" spans="2:3" x14ac:dyDescent="0.25">
      <c r="B21" s="47"/>
      <c r="C21" s="47"/>
    </row>
    <row r="22" spans="2:3" x14ac:dyDescent="0.25">
      <c r="B22" s="47"/>
      <c r="C22" s="47"/>
    </row>
    <row r="23" spans="2:3" x14ac:dyDescent="0.25">
      <c r="B23" s="47"/>
      <c r="C23" s="45"/>
    </row>
    <row r="24" spans="2:3" x14ac:dyDescent="0.25">
      <c r="B24" s="47"/>
      <c r="C24" s="45"/>
    </row>
    <row r="25" spans="2:3" x14ac:dyDescent="0.25">
      <c r="B25" s="47"/>
      <c r="C25" s="45"/>
    </row>
    <row r="26" spans="2:3" x14ac:dyDescent="0.25">
      <c r="B26" s="47"/>
      <c r="C26" s="45"/>
    </row>
    <row r="27" spans="2:3" x14ac:dyDescent="0.25">
      <c r="B27" s="47"/>
      <c r="C27" s="46"/>
    </row>
    <row r="28" spans="2:3" x14ac:dyDescent="0.25">
      <c r="B28" s="47"/>
      <c r="C28" s="46"/>
    </row>
    <row r="29" spans="2:3" x14ac:dyDescent="0.25">
      <c r="B29" s="47"/>
      <c r="C29" s="46"/>
    </row>
    <row r="30" spans="2:3" x14ac:dyDescent="0.25">
      <c r="B30" s="47"/>
      <c r="C30" s="46"/>
    </row>
    <row r="31" spans="2:3" x14ac:dyDescent="0.25">
      <c r="B31" s="47"/>
      <c r="C31" s="47"/>
    </row>
    <row r="32" spans="2:3" x14ac:dyDescent="0.25">
      <c r="B32" s="47"/>
      <c r="C32" s="47"/>
    </row>
    <row r="33" spans="2:3" x14ac:dyDescent="0.25">
      <c r="B33" s="47"/>
      <c r="C33" s="47"/>
    </row>
    <row r="34" spans="2:3" x14ac:dyDescent="0.25">
      <c r="B34" s="47"/>
      <c r="C34" s="47"/>
    </row>
    <row r="35" spans="2:3" x14ac:dyDescent="0.25">
      <c r="B35" s="47"/>
      <c r="C35" s="45"/>
    </row>
    <row r="36" spans="2:3" x14ac:dyDescent="0.25">
      <c r="B36" s="47"/>
      <c r="C36" s="45"/>
    </row>
    <row r="37" spans="2:3" x14ac:dyDescent="0.25">
      <c r="B37" s="47"/>
      <c r="C37" s="45"/>
    </row>
    <row r="38" spans="2:3" x14ac:dyDescent="0.25">
      <c r="B38" s="47"/>
      <c r="C38" s="45"/>
    </row>
    <row r="39" spans="2:3" x14ac:dyDescent="0.25">
      <c r="B39" s="47"/>
      <c r="C39" s="46"/>
    </row>
    <row r="40" spans="2:3" x14ac:dyDescent="0.25">
      <c r="B40" s="47"/>
      <c r="C40" s="46"/>
    </row>
    <row r="41" spans="2:3" x14ac:dyDescent="0.25">
      <c r="B41" s="47"/>
      <c r="C41" s="46"/>
    </row>
    <row r="42" spans="2:3" x14ac:dyDescent="0.25">
      <c r="B42" s="47"/>
      <c r="C42" s="46"/>
    </row>
    <row r="43" spans="2:3" x14ac:dyDescent="0.25">
      <c r="B43" s="47"/>
      <c r="C43" s="47"/>
    </row>
    <row r="44" spans="2:3" x14ac:dyDescent="0.25">
      <c r="B44" s="47"/>
      <c r="C44" s="47"/>
    </row>
    <row r="45" spans="2:3" x14ac:dyDescent="0.25">
      <c r="B45" s="47"/>
      <c r="C45" s="47"/>
    </row>
    <row r="46" spans="2:3" ht="4.5" customHeight="1" x14ac:dyDescent="0.25">
      <c r="B46" s="9"/>
      <c r="C46" s="10"/>
    </row>
    <row r="47" spans="2:3" hidden="1" x14ac:dyDescent="0.25">
      <c r="B47" s="9"/>
      <c r="C47" s="10"/>
    </row>
    <row r="48" spans="2:3" hidden="1" x14ac:dyDescent="0.25">
      <c r="B48" s="9"/>
      <c r="C48" s="10"/>
    </row>
    <row r="49" spans="2:3" hidden="1" x14ac:dyDescent="0.25">
      <c r="B49" s="9"/>
      <c r="C49" s="10"/>
    </row>
    <row r="50" spans="2:3" hidden="1" x14ac:dyDescent="0.25">
      <c r="B50" s="9"/>
      <c r="C50" s="10"/>
    </row>
    <row r="51" spans="2:3" hidden="1" x14ac:dyDescent="0.25">
      <c r="B51" s="9"/>
      <c r="C51" s="10"/>
    </row>
    <row r="52" spans="2:3" hidden="1" x14ac:dyDescent="0.25">
      <c r="B52" s="9"/>
      <c r="C52" s="10"/>
    </row>
    <row r="53" spans="2:3" hidden="1" x14ac:dyDescent="0.25">
      <c r="B53" s="9"/>
      <c r="C53" s="10"/>
    </row>
    <row r="54" spans="2:3" hidden="1" x14ac:dyDescent="0.25">
      <c r="B54" s="9"/>
      <c r="C54" s="10"/>
    </row>
    <row r="55" spans="2:3" hidden="1" x14ac:dyDescent="0.25">
      <c r="B55" s="9"/>
      <c r="C55" s="10"/>
    </row>
    <row r="56" spans="2:3" hidden="1" x14ac:dyDescent="0.25">
      <c r="B56" s="9"/>
      <c r="C56" s="10"/>
    </row>
    <row r="57" spans="2:3" hidden="1" x14ac:dyDescent="0.25">
      <c r="B57" s="9"/>
      <c r="C57" s="10"/>
    </row>
    <row r="58" spans="2:3" hidden="1" x14ac:dyDescent="0.25">
      <c r="B58" s="9"/>
      <c r="C58" s="10"/>
    </row>
    <row r="59" spans="2:3" hidden="1" x14ac:dyDescent="0.25">
      <c r="B59" s="9"/>
      <c r="C59" s="10"/>
    </row>
    <row r="60" spans="2:3" hidden="1" x14ac:dyDescent="0.25">
      <c r="B60" s="9"/>
      <c r="C60" s="10"/>
    </row>
    <row r="61" spans="2:3" hidden="1" x14ac:dyDescent="0.25">
      <c r="B61" s="9"/>
      <c r="C61" s="10"/>
    </row>
    <row r="62" spans="2:3" hidden="1" x14ac:dyDescent="0.25">
      <c r="B62" s="9"/>
      <c r="C62" s="10"/>
    </row>
    <row r="63" spans="2:3" hidden="1" x14ac:dyDescent="0.25">
      <c r="B63" s="9"/>
      <c r="C63" s="10"/>
    </row>
    <row r="64" spans="2:3" hidden="1" x14ac:dyDescent="0.25">
      <c r="B64" s="9"/>
      <c r="C64" s="10"/>
    </row>
    <row r="65" spans="2:3" hidden="1" x14ac:dyDescent="0.25">
      <c r="B65" s="9"/>
      <c r="C65" s="10"/>
    </row>
    <row r="66" spans="2:3" hidden="1" x14ac:dyDescent="0.25">
      <c r="B66" s="9"/>
      <c r="C66" s="10"/>
    </row>
    <row r="67" spans="2:3" hidden="1" x14ac:dyDescent="0.25">
      <c r="B67" s="9"/>
      <c r="C67" s="10"/>
    </row>
    <row r="68" spans="2:3" hidden="1" x14ac:dyDescent="0.25">
      <c r="B68" s="9"/>
      <c r="C68" s="10"/>
    </row>
    <row r="69" spans="2:3" hidden="1" x14ac:dyDescent="0.25">
      <c r="B69" s="9"/>
      <c r="C69" s="10"/>
    </row>
    <row r="70" spans="2:3" hidden="1" x14ac:dyDescent="0.25">
      <c r="B70" s="9"/>
      <c r="C70" s="10"/>
    </row>
    <row r="71" spans="2:3" hidden="1" x14ac:dyDescent="0.25">
      <c r="B71" s="9"/>
      <c r="C71" s="10"/>
    </row>
    <row r="72" spans="2:3" hidden="1" x14ac:dyDescent="0.25">
      <c r="B72" s="9"/>
      <c r="C72" s="10"/>
    </row>
    <row r="73" spans="2:3" hidden="1" x14ac:dyDescent="0.25">
      <c r="B73" s="9"/>
      <c r="C73" s="10"/>
    </row>
    <row r="74" spans="2:3" hidden="1" x14ac:dyDescent="0.25">
      <c r="B74" s="9"/>
      <c r="C74" s="10"/>
    </row>
    <row r="75" spans="2:3" hidden="1" x14ac:dyDescent="0.25">
      <c r="B75" s="9"/>
      <c r="C75" s="10"/>
    </row>
    <row r="76" spans="2:3" hidden="1" x14ac:dyDescent="0.25">
      <c r="B76" s="9"/>
      <c r="C76" s="10"/>
    </row>
    <row r="77" spans="2:3" hidden="1" x14ac:dyDescent="0.25">
      <c r="B77" s="9"/>
      <c r="C77" s="10"/>
    </row>
    <row r="78" spans="2:3" hidden="1" x14ac:dyDescent="0.25">
      <c r="B78" s="9"/>
      <c r="C78" s="10"/>
    </row>
    <row r="79" spans="2:3" hidden="1" x14ac:dyDescent="0.25">
      <c r="B79" s="9"/>
      <c r="C79" s="10"/>
    </row>
    <row r="80" spans="2:3" hidden="1" x14ac:dyDescent="0.25">
      <c r="B80" s="9"/>
      <c r="C80" s="10"/>
    </row>
    <row r="81" spans="2:3" hidden="1" x14ac:dyDescent="0.25">
      <c r="B81" s="9"/>
      <c r="C81" s="10"/>
    </row>
    <row r="82" spans="2:3" hidden="1" x14ac:dyDescent="0.25">
      <c r="B82" s="9"/>
      <c r="C82" s="10"/>
    </row>
    <row r="83" spans="2:3" hidden="1" x14ac:dyDescent="0.25">
      <c r="B83" s="9"/>
      <c r="C83" s="10"/>
    </row>
    <row r="84" spans="2:3" hidden="1" x14ac:dyDescent="0.25">
      <c r="B84" s="9"/>
      <c r="C84" s="10"/>
    </row>
    <row r="85" spans="2:3" hidden="1" x14ac:dyDescent="0.25">
      <c r="B85" s="9"/>
      <c r="C85" s="10"/>
    </row>
    <row r="86" spans="2:3" hidden="1" x14ac:dyDescent="0.25">
      <c r="B86" s="9"/>
      <c r="C86" s="10"/>
    </row>
    <row r="87" spans="2:3" hidden="1" x14ac:dyDescent="0.25">
      <c r="B87" s="9"/>
      <c r="C87" s="10"/>
    </row>
    <row r="88" spans="2:3" hidden="1" x14ac:dyDescent="0.25">
      <c r="B88" s="9"/>
      <c r="C88" s="10"/>
    </row>
    <row r="89" spans="2:3" hidden="1" x14ac:dyDescent="0.25">
      <c r="B89" s="9"/>
      <c r="C89" s="10"/>
    </row>
    <row r="90" spans="2:3" hidden="1" x14ac:dyDescent="0.25">
      <c r="B90" s="9"/>
      <c r="C90" s="10"/>
    </row>
    <row r="91" spans="2:3" hidden="1" x14ac:dyDescent="0.25">
      <c r="B91" s="9"/>
      <c r="C91" s="10"/>
    </row>
    <row r="92" spans="2:3" hidden="1" x14ac:dyDescent="0.25">
      <c r="B92" s="9"/>
      <c r="C92" s="10"/>
    </row>
    <row r="93" spans="2:3" hidden="1" x14ac:dyDescent="0.25">
      <c r="B93" s="9"/>
      <c r="C93" s="10"/>
    </row>
    <row r="94" spans="2:3" hidden="1" x14ac:dyDescent="0.25">
      <c r="B94" s="9"/>
      <c r="C94" s="10"/>
    </row>
    <row r="95" spans="2:3" hidden="1" x14ac:dyDescent="0.25">
      <c r="B95" s="9"/>
      <c r="C95" s="10"/>
    </row>
    <row r="96" spans="2:3" hidden="1" x14ac:dyDescent="0.25">
      <c r="B96" s="9"/>
      <c r="C96" s="10"/>
    </row>
    <row r="97" spans="2:3" hidden="1" x14ac:dyDescent="0.25">
      <c r="B97" s="9"/>
      <c r="C97" s="10"/>
    </row>
    <row r="98" spans="2:3" hidden="1" x14ac:dyDescent="0.25">
      <c r="B98" s="9"/>
      <c r="C98" s="10"/>
    </row>
    <row r="99" spans="2:3" hidden="1" x14ac:dyDescent="0.25">
      <c r="B99" s="9"/>
      <c r="C99" s="10"/>
    </row>
    <row r="100" spans="2:3" hidden="1" x14ac:dyDescent="0.25">
      <c r="B100" s="9"/>
      <c r="C100" s="10"/>
    </row>
    <row r="101" spans="2:3" hidden="1" x14ac:dyDescent="0.25">
      <c r="B101" s="9"/>
      <c r="C101" s="10"/>
    </row>
    <row r="102" spans="2:3" hidden="1" x14ac:dyDescent="0.25">
      <c r="B102" s="9"/>
      <c r="C102" s="10"/>
    </row>
    <row r="103" spans="2:3" hidden="1" x14ac:dyDescent="0.25">
      <c r="B103" s="9"/>
      <c r="C103" s="10"/>
    </row>
    <row r="104" spans="2:3" hidden="1" x14ac:dyDescent="0.25">
      <c r="B104" s="9"/>
      <c r="C104" s="10"/>
    </row>
    <row r="105" spans="2:3" hidden="1" x14ac:dyDescent="0.25">
      <c r="B105" s="9"/>
      <c r="C105" s="10"/>
    </row>
    <row r="106" spans="2:3" hidden="1" x14ac:dyDescent="0.25">
      <c r="B106" s="9"/>
      <c r="C106" s="10"/>
    </row>
    <row r="107" spans="2:3" hidden="1" x14ac:dyDescent="0.25">
      <c r="B107" s="9"/>
      <c r="C107" s="10"/>
    </row>
    <row r="108" spans="2:3" hidden="1" x14ac:dyDescent="0.25">
      <c r="B108" s="9"/>
      <c r="C108" s="10"/>
    </row>
    <row r="109" spans="2:3" hidden="1" x14ac:dyDescent="0.25">
      <c r="B109" s="9"/>
      <c r="C109" s="10"/>
    </row>
    <row r="110" spans="2:3" hidden="1" x14ac:dyDescent="0.25">
      <c r="B110" s="9"/>
      <c r="C110" s="10"/>
    </row>
    <row r="111" spans="2:3" hidden="1" x14ac:dyDescent="0.25">
      <c r="B111" s="9"/>
      <c r="C111" s="10"/>
    </row>
    <row r="112" spans="2:3" hidden="1" x14ac:dyDescent="0.25">
      <c r="B112" s="9"/>
      <c r="C112" s="10"/>
    </row>
    <row r="113" spans="2:3" hidden="1" x14ac:dyDescent="0.25">
      <c r="B113" s="9"/>
      <c r="C113" s="10"/>
    </row>
    <row r="114" spans="2:3" hidden="1" x14ac:dyDescent="0.25">
      <c r="B114" s="9"/>
      <c r="C114" s="10"/>
    </row>
    <row r="115" spans="2:3" hidden="1" x14ac:dyDescent="0.25">
      <c r="B115" s="9"/>
      <c r="C115" s="10"/>
    </row>
    <row r="116" spans="2:3" hidden="1" x14ac:dyDescent="0.25">
      <c r="B116" s="9"/>
      <c r="C116" s="10"/>
    </row>
    <row r="117" spans="2:3" hidden="1" x14ac:dyDescent="0.25">
      <c r="B117" s="9"/>
      <c r="C117" s="10"/>
    </row>
    <row r="118" spans="2:3" hidden="1" x14ac:dyDescent="0.25">
      <c r="B118" s="9"/>
      <c r="C118" s="10"/>
    </row>
    <row r="119" spans="2:3" hidden="1" x14ac:dyDescent="0.25">
      <c r="B119" s="9"/>
      <c r="C119" s="10"/>
    </row>
    <row r="120" spans="2:3" hidden="1" x14ac:dyDescent="0.25">
      <c r="B120" s="9"/>
      <c r="C120" s="10"/>
    </row>
    <row r="121" spans="2:3" hidden="1" x14ac:dyDescent="0.25">
      <c r="B121" s="9"/>
      <c r="C121" s="10"/>
    </row>
    <row r="122" spans="2:3" hidden="1" x14ac:dyDescent="0.25">
      <c r="B122" s="9"/>
      <c r="C122" s="10"/>
    </row>
    <row r="123" spans="2:3" hidden="1" x14ac:dyDescent="0.25">
      <c r="B123" s="9"/>
      <c r="C123" s="10"/>
    </row>
    <row r="124" spans="2:3" hidden="1" x14ac:dyDescent="0.25">
      <c r="B124" s="9"/>
      <c r="C124" s="10"/>
    </row>
    <row r="125" spans="2:3" hidden="1" x14ac:dyDescent="0.25">
      <c r="B125" s="9"/>
      <c r="C125" s="10"/>
    </row>
    <row r="126" spans="2:3" hidden="1" x14ac:dyDescent="0.25">
      <c r="B126" s="9"/>
      <c r="C126" s="10"/>
    </row>
    <row r="127" spans="2:3" hidden="1" x14ac:dyDescent="0.25">
      <c r="B127" s="9"/>
      <c r="C127" s="10"/>
    </row>
    <row r="128" spans="2:3" hidden="1" x14ac:dyDescent="0.25">
      <c r="B128" s="9"/>
      <c r="C128" s="10"/>
    </row>
    <row r="129" spans="2:3" hidden="1" x14ac:dyDescent="0.25">
      <c r="B129" s="9"/>
      <c r="C129" s="10"/>
    </row>
    <row r="130" spans="2:3" hidden="1" x14ac:dyDescent="0.25">
      <c r="B130" s="9"/>
      <c r="C130" s="10"/>
    </row>
    <row r="131" spans="2:3" hidden="1" x14ac:dyDescent="0.25">
      <c r="B131" s="9"/>
      <c r="C131" s="10"/>
    </row>
    <row r="132" spans="2:3" hidden="1" x14ac:dyDescent="0.25">
      <c r="B132" s="9"/>
      <c r="C132" s="10"/>
    </row>
    <row r="133" spans="2:3" hidden="1" x14ac:dyDescent="0.25">
      <c r="B133" s="9"/>
      <c r="C133" s="10"/>
    </row>
    <row r="134" spans="2:3" hidden="1" x14ac:dyDescent="0.25">
      <c r="B134" s="9"/>
      <c r="C134" s="10"/>
    </row>
    <row r="135" spans="2:3" hidden="1" x14ac:dyDescent="0.25">
      <c r="B135" s="9"/>
      <c r="C135" s="10"/>
    </row>
    <row r="136" spans="2:3" hidden="1" x14ac:dyDescent="0.25">
      <c r="B136" s="9"/>
      <c r="C136" s="10"/>
    </row>
    <row r="137" spans="2:3" hidden="1" x14ac:dyDescent="0.25">
      <c r="B137" s="9"/>
      <c r="C137" s="10"/>
    </row>
    <row r="138" spans="2:3" hidden="1" x14ac:dyDescent="0.25">
      <c r="B138" s="9"/>
      <c r="C138" s="10"/>
    </row>
    <row r="139" spans="2:3" hidden="1" x14ac:dyDescent="0.25">
      <c r="B139" s="9"/>
      <c r="C139" s="10"/>
    </row>
    <row r="140" spans="2:3" hidden="1" x14ac:dyDescent="0.25">
      <c r="B140" s="9"/>
      <c r="C140" s="10"/>
    </row>
    <row r="141" spans="2:3" hidden="1" x14ac:dyDescent="0.25">
      <c r="B141" s="9"/>
      <c r="C141" s="10"/>
    </row>
    <row r="142" spans="2:3" hidden="1" x14ac:dyDescent="0.25">
      <c r="B142" s="9"/>
      <c r="C142" s="10"/>
    </row>
    <row r="143" spans="2:3" hidden="1" x14ac:dyDescent="0.25">
      <c r="B143" s="9"/>
      <c r="C143" s="10"/>
    </row>
    <row r="144" spans="2:3" hidden="1" x14ac:dyDescent="0.25">
      <c r="B144" s="9"/>
      <c r="C144" s="10"/>
    </row>
    <row r="145" spans="2:3" hidden="1" x14ac:dyDescent="0.25">
      <c r="B145" s="9"/>
      <c r="C145" s="10"/>
    </row>
    <row r="146" spans="2:3" hidden="1" x14ac:dyDescent="0.25">
      <c r="B146" s="9"/>
      <c r="C146" s="10"/>
    </row>
    <row r="147" spans="2:3" hidden="1" x14ac:dyDescent="0.25">
      <c r="B147" s="9"/>
      <c r="C147" s="10"/>
    </row>
    <row r="148" spans="2:3" hidden="1" x14ac:dyDescent="0.25">
      <c r="B148" s="9"/>
      <c r="C148" s="10"/>
    </row>
    <row r="149" spans="2:3" hidden="1" x14ac:dyDescent="0.25">
      <c r="B149" s="9"/>
      <c r="C149" s="10"/>
    </row>
    <row r="150" spans="2:3" hidden="1" x14ac:dyDescent="0.25">
      <c r="B150" s="9"/>
      <c r="C150" s="10"/>
    </row>
    <row r="151" spans="2:3" hidden="1" x14ac:dyDescent="0.25">
      <c r="B151" s="9"/>
      <c r="C151" s="10"/>
    </row>
    <row r="152" spans="2:3" hidden="1" x14ac:dyDescent="0.25">
      <c r="B152" s="9"/>
      <c r="C152" s="10"/>
    </row>
    <row r="153" spans="2:3" hidden="1" x14ac:dyDescent="0.25">
      <c r="B153" s="9"/>
      <c r="C153" s="10"/>
    </row>
    <row r="154" spans="2:3" hidden="1" x14ac:dyDescent="0.25">
      <c r="B154" s="9"/>
      <c r="C154" s="10"/>
    </row>
    <row r="155" spans="2:3" hidden="1" x14ac:dyDescent="0.25">
      <c r="B155" s="9"/>
      <c r="C155" s="10"/>
    </row>
    <row r="156" spans="2:3" hidden="1" x14ac:dyDescent="0.25">
      <c r="B156" s="9"/>
      <c r="C156" s="10"/>
    </row>
    <row r="157" spans="2:3" hidden="1" x14ac:dyDescent="0.25">
      <c r="B157" s="9"/>
      <c r="C157" s="10"/>
    </row>
    <row r="158" spans="2:3" hidden="1" x14ac:dyDescent="0.25">
      <c r="B158" s="9"/>
      <c r="C158" s="10"/>
    </row>
    <row r="159" spans="2:3" hidden="1" x14ac:dyDescent="0.25">
      <c r="B159" s="9"/>
      <c r="C159" s="10"/>
    </row>
    <row r="160" spans="2:3" hidden="1" x14ac:dyDescent="0.25">
      <c r="B160" s="9"/>
      <c r="C160" s="10"/>
    </row>
    <row r="161" spans="2:3" hidden="1" x14ac:dyDescent="0.25">
      <c r="B161" s="9"/>
      <c r="C161" s="10"/>
    </row>
    <row r="162" spans="2:3" hidden="1" x14ac:dyDescent="0.25">
      <c r="B162" s="9"/>
      <c r="C162" s="10"/>
    </row>
    <row r="163" spans="2:3" hidden="1" x14ac:dyDescent="0.25">
      <c r="B163" s="9"/>
      <c r="C163" s="10"/>
    </row>
    <row r="164" spans="2:3" hidden="1" x14ac:dyDescent="0.25">
      <c r="B164" s="9"/>
      <c r="C164" s="10"/>
    </row>
    <row r="165" spans="2:3" hidden="1" x14ac:dyDescent="0.25">
      <c r="B165" s="9"/>
      <c r="C165" s="10"/>
    </row>
    <row r="166" spans="2:3" hidden="1" x14ac:dyDescent="0.25">
      <c r="B166" s="9"/>
      <c r="C166" s="10"/>
    </row>
    <row r="167" spans="2:3" hidden="1" x14ac:dyDescent="0.25">
      <c r="B167" s="9"/>
      <c r="C167" s="10"/>
    </row>
    <row r="168" spans="2:3" hidden="1" x14ac:dyDescent="0.25">
      <c r="B168" s="9"/>
      <c r="C168" s="10"/>
    </row>
    <row r="169" spans="2:3" hidden="1" x14ac:dyDescent="0.25">
      <c r="B169" s="9"/>
      <c r="C169" s="10"/>
    </row>
    <row r="170" spans="2:3" hidden="1" x14ac:dyDescent="0.25">
      <c r="B170" s="9"/>
      <c r="C170" s="10"/>
    </row>
    <row r="171" spans="2:3" hidden="1" x14ac:dyDescent="0.25">
      <c r="B171" s="9"/>
      <c r="C171" s="10"/>
    </row>
    <row r="172" spans="2:3" hidden="1" x14ac:dyDescent="0.25">
      <c r="B172" s="9"/>
      <c r="C172" s="10"/>
    </row>
    <row r="173" spans="2:3" hidden="1" x14ac:dyDescent="0.25">
      <c r="B173" s="9"/>
      <c r="C173" s="10"/>
    </row>
    <row r="174" spans="2:3" hidden="1" x14ac:dyDescent="0.25">
      <c r="B174" s="9"/>
      <c r="C174" s="10"/>
    </row>
    <row r="175" spans="2:3" hidden="1" x14ac:dyDescent="0.25">
      <c r="B175" s="9"/>
      <c r="C175" s="10"/>
    </row>
    <row r="176" spans="2:3" hidden="1" x14ac:dyDescent="0.25">
      <c r="B176" s="9"/>
      <c r="C176" s="10"/>
    </row>
    <row r="177" spans="2:3" hidden="1" x14ac:dyDescent="0.25">
      <c r="B177" s="9"/>
      <c r="C177" s="10"/>
    </row>
    <row r="178" spans="2:3" hidden="1" x14ac:dyDescent="0.25">
      <c r="B178" s="9"/>
      <c r="C178" s="10"/>
    </row>
    <row r="179" spans="2:3" hidden="1" x14ac:dyDescent="0.25">
      <c r="B179" s="9"/>
      <c r="C179" s="10"/>
    </row>
    <row r="180" spans="2:3" hidden="1" x14ac:dyDescent="0.25">
      <c r="B180" s="9"/>
      <c r="C180" s="10"/>
    </row>
    <row r="181" spans="2:3" hidden="1" x14ac:dyDescent="0.25">
      <c r="B181" s="9"/>
      <c r="C181" s="10"/>
    </row>
    <row r="182" spans="2:3" hidden="1" x14ac:dyDescent="0.25">
      <c r="B182" s="9"/>
      <c r="C182" s="10"/>
    </row>
    <row r="183" spans="2:3" hidden="1" x14ac:dyDescent="0.25">
      <c r="B183" s="9"/>
      <c r="C183" s="10"/>
    </row>
    <row r="184" spans="2:3" hidden="1" x14ac:dyDescent="0.25">
      <c r="B184" s="9"/>
      <c r="C184" s="10"/>
    </row>
    <row r="185" spans="2:3" hidden="1" x14ac:dyDescent="0.25">
      <c r="B185" s="9"/>
      <c r="C185" s="10"/>
    </row>
    <row r="186" spans="2:3" hidden="1" x14ac:dyDescent="0.25">
      <c r="B186" s="9"/>
      <c r="C186" s="10"/>
    </row>
    <row r="187" spans="2:3" hidden="1" x14ac:dyDescent="0.25">
      <c r="B187" s="9"/>
      <c r="C187" s="10"/>
    </row>
    <row r="188" spans="2:3" hidden="1" x14ac:dyDescent="0.25">
      <c r="B188" s="9"/>
      <c r="C188" s="10"/>
    </row>
    <row r="189" spans="2:3" hidden="1" x14ac:dyDescent="0.25">
      <c r="B189" s="9"/>
      <c r="C189" s="10"/>
    </row>
    <row r="190" spans="2:3" hidden="1" x14ac:dyDescent="0.25">
      <c r="B190" s="9"/>
      <c r="C190" s="10"/>
    </row>
    <row r="191" spans="2:3" hidden="1" x14ac:dyDescent="0.25">
      <c r="B191" s="9"/>
      <c r="C191" s="10"/>
    </row>
    <row r="192" spans="2:3" hidden="1" x14ac:dyDescent="0.25">
      <c r="B192" s="9"/>
      <c r="C192" s="10"/>
    </row>
    <row r="193" spans="2:3" hidden="1" x14ac:dyDescent="0.25">
      <c r="B193" s="9"/>
      <c r="C193" s="10"/>
    </row>
    <row r="194" spans="2:3" hidden="1" x14ac:dyDescent="0.25">
      <c r="B194" s="9"/>
      <c r="C194" s="10"/>
    </row>
    <row r="195" spans="2:3" hidden="1" x14ac:dyDescent="0.25">
      <c r="B195" s="9"/>
      <c r="C195" s="10"/>
    </row>
    <row r="196" spans="2:3" hidden="1" x14ac:dyDescent="0.25">
      <c r="B196" s="9"/>
      <c r="C196" s="10"/>
    </row>
    <row r="197" spans="2:3" hidden="1" x14ac:dyDescent="0.25">
      <c r="B197" s="9"/>
      <c r="C197" s="10"/>
    </row>
    <row r="198" spans="2:3" hidden="1" x14ac:dyDescent="0.25">
      <c r="B198" s="9"/>
      <c r="C198" s="10"/>
    </row>
    <row r="199" spans="2:3" hidden="1" x14ac:dyDescent="0.25">
      <c r="B199" s="9"/>
      <c r="C199" s="10"/>
    </row>
    <row r="200" spans="2:3" hidden="1" x14ac:dyDescent="0.25">
      <c r="B200" s="9"/>
      <c r="C200" s="10"/>
    </row>
    <row r="201" spans="2:3" hidden="1" x14ac:dyDescent="0.25">
      <c r="B201" s="9"/>
      <c r="C201" s="10"/>
    </row>
    <row r="202" spans="2:3" hidden="1" x14ac:dyDescent="0.25">
      <c r="B202" s="9"/>
      <c r="C202" s="10"/>
    </row>
    <row r="203" spans="2:3" hidden="1" x14ac:dyDescent="0.25">
      <c r="B203" s="9"/>
      <c r="C203" s="10"/>
    </row>
    <row r="204" spans="2:3" hidden="1" x14ac:dyDescent="0.25">
      <c r="B204" s="9"/>
      <c r="C204" s="10"/>
    </row>
    <row r="205" spans="2:3" hidden="1" x14ac:dyDescent="0.25">
      <c r="B205" s="9"/>
      <c r="C205" s="10"/>
    </row>
    <row r="206" spans="2:3" hidden="1" x14ac:dyDescent="0.25">
      <c r="B206" s="9"/>
      <c r="C206" s="10"/>
    </row>
    <row r="207" spans="2:3" hidden="1" x14ac:dyDescent="0.25">
      <c r="B207" s="9"/>
      <c r="C207" s="10"/>
    </row>
    <row r="208" spans="2:3" hidden="1" x14ac:dyDescent="0.25">
      <c r="B208" s="9"/>
      <c r="C208" s="10"/>
    </row>
    <row r="209" spans="2:3" hidden="1" x14ac:dyDescent="0.25">
      <c r="B209" s="9"/>
      <c r="C209" s="10"/>
    </row>
    <row r="210" spans="2:3" hidden="1" x14ac:dyDescent="0.25">
      <c r="B210" s="9"/>
      <c r="C210" s="10"/>
    </row>
    <row r="211" spans="2:3" hidden="1" x14ac:dyDescent="0.25">
      <c r="B211" s="9"/>
      <c r="C211" s="10"/>
    </row>
    <row r="212" spans="2:3" hidden="1" x14ac:dyDescent="0.25">
      <c r="B212" s="9"/>
      <c r="C212" s="10"/>
    </row>
    <row r="213" spans="2:3" hidden="1" x14ac:dyDescent="0.25">
      <c r="B213" s="9"/>
      <c r="C213" s="10"/>
    </row>
    <row r="214" spans="2:3" hidden="1" x14ac:dyDescent="0.25">
      <c r="B214" s="9"/>
      <c r="C214" s="10"/>
    </row>
    <row r="215" spans="2:3" hidden="1" x14ac:dyDescent="0.25">
      <c r="B215" s="9"/>
      <c r="C215" s="10"/>
    </row>
    <row r="216" spans="2:3" hidden="1" x14ac:dyDescent="0.25">
      <c r="B216" s="9"/>
      <c r="C216" s="10"/>
    </row>
    <row r="217" spans="2:3" hidden="1" x14ac:dyDescent="0.25">
      <c r="B217" s="9"/>
      <c r="C217" s="10"/>
    </row>
    <row r="218" spans="2:3" hidden="1" x14ac:dyDescent="0.25">
      <c r="B218" s="9"/>
      <c r="C218" s="10"/>
    </row>
    <row r="219" spans="2:3" hidden="1" x14ac:dyDescent="0.25">
      <c r="B219" s="9"/>
      <c r="C219" s="10"/>
    </row>
    <row r="220" spans="2:3" hidden="1" x14ac:dyDescent="0.25">
      <c r="B220" s="9"/>
      <c r="C220" s="10"/>
    </row>
    <row r="221" spans="2:3" hidden="1" x14ac:dyDescent="0.25">
      <c r="B221" s="9"/>
      <c r="C221" s="10"/>
    </row>
    <row r="222" spans="2:3" hidden="1" x14ac:dyDescent="0.25">
      <c r="B222" s="9"/>
      <c r="C222" s="10"/>
    </row>
    <row r="223" spans="2:3" hidden="1" x14ac:dyDescent="0.25">
      <c r="B223" s="9"/>
      <c r="C223" s="10"/>
    </row>
    <row r="224" spans="2:3" hidden="1" x14ac:dyDescent="0.25">
      <c r="B224" s="9"/>
      <c r="C224" s="10"/>
    </row>
    <row r="225" spans="2:3" hidden="1" x14ac:dyDescent="0.25">
      <c r="B225" s="9"/>
      <c r="C225" s="10"/>
    </row>
    <row r="226" spans="2:3" hidden="1" x14ac:dyDescent="0.25">
      <c r="B226" s="9"/>
      <c r="C226" s="10"/>
    </row>
    <row r="227" spans="2:3" hidden="1" x14ac:dyDescent="0.25">
      <c r="B227" s="9"/>
      <c r="C227" s="10"/>
    </row>
    <row r="228" spans="2:3" hidden="1" x14ac:dyDescent="0.25">
      <c r="B228" s="9"/>
      <c r="C228" s="10"/>
    </row>
    <row r="229" spans="2:3" hidden="1" x14ac:dyDescent="0.25">
      <c r="B229" s="9"/>
      <c r="C229" s="10"/>
    </row>
    <row r="230" spans="2:3" hidden="1" x14ac:dyDescent="0.25">
      <c r="B230" s="9"/>
      <c r="C230" s="10"/>
    </row>
    <row r="231" spans="2:3" hidden="1" x14ac:dyDescent="0.25">
      <c r="B231" s="9"/>
      <c r="C231" s="10"/>
    </row>
    <row r="232" spans="2:3" hidden="1" x14ac:dyDescent="0.25">
      <c r="B232" s="9"/>
      <c r="C232" s="10"/>
    </row>
    <row r="233" spans="2:3" hidden="1" x14ac:dyDescent="0.25">
      <c r="B233" s="9"/>
      <c r="C233" s="10"/>
    </row>
    <row r="234" spans="2:3" hidden="1" x14ac:dyDescent="0.25">
      <c r="B234" s="9"/>
      <c r="C234" s="10"/>
    </row>
    <row r="235" spans="2:3" hidden="1" x14ac:dyDescent="0.25">
      <c r="B235" s="9"/>
      <c r="C235" s="10"/>
    </row>
    <row r="236" spans="2:3" hidden="1" x14ac:dyDescent="0.25">
      <c r="B236" s="9"/>
      <c r="C236" s="10"/>
    </row>
    <row r="237" spans="2:3" hidden="1" x14ac:dyDescent="0.25">
      <c r="B237" s="9"/>
      <c r="C237" s="10"/>
    </row>
    <row r="238" spans="2:3" hidden="1" x14ac:dyDescent="0.25">
      <c r="B238" s="9"/>
      <c r="C238" s="10"/>
    </row>
    <row r="239" spans="2:3" hidden="1" x14ac:dyDescent="0.25">
      <c r="B239" s="9"/>
      <c r="C239" s="10"/>
    </row>
    <row r="240" spans="2:3" hidden="1" x14ac:dyDescent="0.25">
      <c r="B240" s="9"/>
      <c r="C240" s="10"/>
    </row>
    <row r="241" spans="2:3" hidden="1" x14ac:dyDescent="0.25">
      <c r="B241" s="9"/>
      <c r="C241" s="10"/>
    </row>
    <row r="242" spans="2:3" hidden="1" x14ac:dyDescent="0.25">
      <c r="B242" s="9"/>
      <c r="C242" s="10"/>
    </row>
    <row r="243" spans="2:3" hidden="1" x14ac:dyDescent="0.25">
      <c r="B243" s="9"/>
      <c r="C243" s="10"/>
    </row>
    <row r="244" spans="2:3" hidden="1" x14ac:dyDescent="0.25">
      <c r="B244" s="9"/>
      <c r="C244" s="10"/>
    </row>
    <row r="245" spans="2:3" hidden="1" x14ac:dyDescent="0.25">
      <c r="B245" s="9"/>
      <c r="C245" s="10"/>
    </row>
    <row r="246" spans="2:3" hidden="1" x14ac:dyDescent="0.25">
      <c r="B246" s="9"/>
      <c r="C246" s="10"/>
    </row>
    <row r="247" spans="2:3" hidden="1" x14ac:dyDescent="0.25">
      <c r="B247" s="9"/>
      <c r="C247" s="10"/>
    </row>
    <row r="248" spans="2:3" hidden="1" x14ac:dyDescent="0.25">
      <c r="B248" s="9"/>
      <c r="C248" s="10"/>
    </row>
    <row r="249" spans="2:3" hidden="1" x14ac:dyDescent="0.25">
      <c r="B249" s="9"/>
      <c r="C249" s="10"/>
    </row>
    <row r="250" spans="2:3" hidden="1" x14ac:dyDescent="0.25">
      <c r="B250" s="9"/>
      <c r="C250" s="10"/>
    </row>
    <row r="251" spans="2:3" hidden="1" x14ac:dyDescent="0.25">
      <c r="B251" s="9"/>
      <c r="C251" s="10"/>
    </row>
    <row r="252" spans="2:3" hidden="1" x14ac:dyDescent="0.25">
      <c r="B252" s="9"/>
      <c r="C252" s="10"/>
    </row>
    <row r="253" spans="2:3" hidden="1" x14ac:dyDescent="0.25">
      <c r="B253" s="9"/>
      <c r="C253" s="10"/>
    </row>
    <row r="254" spans="2:3" hidden="1" x14ac:dyDescent="0.25">
      <c r="B254" s="9"/>
      <c r="C254" s="10"/>
    </row>
    <row r="255" spans="2:3" hidden="1" x14ac:dyDescent="0.25">
      <c r="B255" s="9"/>
      <c r="C255" s="10"/>
    </row>
    <row r="256" spans="2:3" hidden="1" x14ac:dyDescent="0.25">
      <c r="B256" s="9"/>
      <c r="C256" s="10"/>
    </row>
    <row r="257" spans="2:3" hidden="1" x14ac:dyDescent="0.25">
      <c r="B257" s="9"/>
      <c r="C257" s="10"/>
    </row>
    <row r="258" spans="2:3" hidden="1" x14ac:dyDescent="0.25">
      <c r="B258" s="9"/>
      <c r="C258" s="10"/>
    </row>
    <row r="259" spans="2:3" hidden="1" x14ac:dyDescent="0.25">
      <c r="B259" s="9"/>
      <c r="C259" s="10"/>
    </row>
    <row r="260" spans="2:3" hidden="1" x14ac:dyDescent="0.25">
      <c r="B260" s="9"/>
      <c r="C260" s="10"/>
    </row>
    <row r="261" spans="2:3" hidden="1" x14ac:dyDescent="0.25">
      <c r="B261" s="9"/>
      <c r="C261" s="10"/>
    </row>
    <row r="262" spans="2:3" hidden="1" x14ac:dyDescent="0.25">
      <c r="B262" s="9"/>
      <c r="C262" s="10"/>
    </row>
    <row r="263" spans="2:3" hidden="1" x14ac:dyDescent="0.25">
      <c r="B263" s="9"/>
      <c r="C263" s="10"/>
    </row>
    <row r="264" spans="2:3" hidden="1" x14ac:dyDescent="0.25">
      <c r="B264" s="9"/>
      <c r="C264" s="10"/>
    </row>
    <row r="265" spans="2:3" hidden="1" x14ac:dyDescent="0.25">
      <c r="B265" s="9"/>
      <c r="C265" s="10"/>
    </row>
    <row r="266" spans="2:3" hidden="1" x14ac:dyDescent="0.25">
      <c r="B266" s="9"/>
      <c r="C266" s="10"/>
    </row>
    <row r="267" spans="2:3" hidden="1" x14ac:dyDescent="0.25">
      <c r="B267" s="9"/>
      <c r="C267" s="10"/>
    </row>
    <row r="268" spans="2:3" hidden="1" x14ac:dyDescent="0.25">
      <c r="B268" s="9"/>
      <c r="C268" s="10"/>
    </row>
    <row r="269" spans="2:3" hidden="1" x14ac:dyDescent="0.25">
      <c r="B269" s="9"/>
      <c r="C269" s="10"/>
    </row>
    <row r="270" spans="2:3" hidden="1" x14ac:dyDescent="0.25">
      <c r="B270" s="9"/>
      <c r="C270" s="10"/>
    </row>
    <row r="271" spans="2:3" hidden="1" x14ac:dyDescent="0.25">
      <c r="B271" s="9"/>
      <c r="C271" s="10"/>
    </row>
    <row r="272" spans="2:3" hidden="1" x14ac:dyDescent="0.25">
      <c r="B272" s="9"/>
      <c r="C272" s="10"/>
    </row>
    <row r="273" spans="2:3" hidden="1" x14ac:dyDescent="0.25">
      <c r="B273" s="9"/>
      <c r="C273" s="10"/>
    </row>
    <row r="274" spans="2:3" hidden="1" x14ac:dyDescent="0.25">
      <c r="B274" s="9"/>
      <c r="C274" s="10"/>
    </row>
    <row r="275" spans="2:3" hidden="1" x14ac:dyDescent="0.25">
      <c r="B275" s="9"/>
      <c r="C275" s="10"/>
    </row>
    <row r="276" spans="2:3" hidden="1" x14ac:dyDescent="0.25">
      <c r="B276" s="9"/>
      <c r="C276" s="10"/>
    </row>
    <row r="277" spans="2:3" hidden="1" x14ac:dyDescent="0.25">
      <c r="B277" s="9"/>
      <c r="C277" s="10"/>
    </row>
    <row r="278" spans="2:3" hidden="1" x14ac:dyDescent="0.25">
      <c r="B278" s="9"/>
      <c r="C278" s="10"/>
    </row>
    <row r="279" spans="2:3" hidden="1" x14ac:dyDescent="0.25">
      <c r="B279" s="9"/>
      <c r="C279" s="10"/>
    </row>
    <row r="280" spans="2:3" hidden="1" x14ac:dyDescent="0.25">
      <c r="B280" s="9"/>
      <c r="C280" s="10"/>
    </row>
    <row r="281" spans="2:3" hidden="1" x14ac:dyDescent="0.25">
      <c r="B281" s="9"/>
      <c r="C281" s="10"/>
    </row>
    <row r="282" spans="2:3" hidden="1" x14ac:dyDescent="0.25">
      <c r="B282" s="9"/>
      <c r="C282" s="10"/>
    </row>
    <row r="283" spans="2:3" hidden="1" x14ac:dyDescent="0.25">
      <c r="B283" s="9"/>
      <c r="C283" s="10"/>
    </row>
    <row r="284" spans="2:3" hidden="1" x14ac:dyDescent="0.25">
      <c r="B284" s="9"/>
      <c r="C284" s="10"/>
    </row>
    <row r="285" spans="2:3" hidden="1" x14ac:dyDescent="0.25">
      <c r="B285" s="9"/>
      <c r="C285" s="10"/>
    </row>
    <row r="286" spans="2:3" hidden="1" x14ac:dyDescent="0.25">
      <c r="B286" s="9"/>
      <c r="C286" s="10"/>
    </row>
    <row r="287" spans="2:3" hidden="1" x14ac:dyDescent="0.25">
      <c r="B287" s="9"/>
      <c r="C287" s="10"/>
    </row>
    <row r="288" spans="2:3" hidden="1" x14ac:dyDescent="0.25">
      <c r="B288" s="9"/>
      <c r="C288" s="10"/>
    </row>
    <row r="289" spans="2:3" hidden="1" x14ac:dyDescent="0.25">
      <c r="B289" s="9"/>
      <c r="C289" s="10"/>
    </row>
    <row r="290" spans="2:3" hidden="1" x14ac:dyDescent="0.25">
      <c r="B290" s="9"/>
      <c r="C290" s="10"/>
    </row>
    <row r="291" spans="2:3" hidden="1" x14ac:dyDescent="0.25">
      <c r="B291" s="9"/>
      <c r="C291" s="10"/>
    </row>
    <row r="292" spans="2:3" hidden="1" x14ac:dyDescent="0.25">
      <c r="B292" s="9"/>
      <c r="C292" s="10"/>
    </row>
    <row r="293" spans="2:3" hidden="1" x14ac:dyDescent="0.25">
      <c r="B293" s="9"/>
      <c r="C293" s="10"/>
    </row>
    <row r="294" spans="2:3" hidden="1" x14ac:dyDescent="0.25">
      <c r="B294" s="9"/>
      <c r="C294" s="10"/>
    </row>
    <row r="295" spans="2:3" hidden="1" x14ac:dyDescent="0.25">
      <c r="B295" s="9"/>
      <c r="C295" s="10"/>
    </row>
    <row r="296" spans="2:3" hidden="1" x14ac:dyDescent="0.25">
      <c r="B296" s="9"/>
      <c r="C296" s="10"/>
    </row>
    <row r="297" spans="2:3" hidden="1" x14ac:dyDescent="0.25">
      <c r="B297" s="9"/>
      <c r="C297" s="10"/>
    </row>
    <row r="298" spans="2:3" hidden="1" x14ac:dyDescent="0.25">
      <c r="B298" s="9"/>
      <c r="C298" s="10"/>
    </row>
    <row r="299" spans="2:3" hidden="1" x14ac:dyDescent="0.25">
      <c r="B299" s="9"/>
      <c r="C299" s="10"/>
    </row>
    <row r="300" spans="2:3" hidden="1" x14ac:dyDescent="0.25">
      <c r="B300" s="9"/>
      <c r="C300" s="10"/>
    </row>
    <row r="301" spans="2:3" hidden="1" x14ac:dyDescent="0.25">
      <c r="B301" s="9"/>
      <c r="C301" s="10"/>
    </row>
    <row r="302" spans="2:3" hidden="1" x14ac:dyDescent="0.25">
      <c r="B302" s="9"/>
      <c r="C302" s="10"/>
    </row>
    <row r="303" spans="2:3" hidden="1" x14ac:dyDescent="0.25">
      <c r="B303" s="9"/>
      <c r="C303" s="10"/>
    </row>
    <row r="304" spans="2:3" hidden="1" x14ac:dyDescent="0.25">
      <c r="B304" s="9"/>
      <c r="C304" s="10"/>
    </row>
    <row r="305" spans="2:3" hidden="1" x14ac:dyDescent="0.25">
      <c r="B305" s="9"/>
      <c r="C305" s="10"/>
    </row>
    <row r="306" spans="2:3" hidden="1" x14ac:dyDescent="0.25">
      <c r="B306" s="9"/>
      <c r="C306" s="10"/>
    </row>
    <row r="307" spans="2:3" hidden="1" x14ac:dyDescent="0.25">
      <c r="B307" s="9"/>
      <c r="C307" s="10"/>
    </row>
    <row r="308" spans="2:3" hidden="1" x14ac:dyDescent="0.25">
      <c r="B308" s="9"/>
      <c r="C308" s="10"/>
    </row>
    <row r="309" spans="2:3" hidden="1" x14ac:dyDescent="0.25">
      <c r="B309" s="9"/>
      <c r="C309" s="10"/>
    </row>
    <row r="310" spans="2:3" hidden="1" x14ac:dyDescent="0.25">
      <c r="B310" s="9"/>
      <c r="C310" s="10"/>
    </row>
    <row r="311" spans="2:3" hidden="1" x14ac:dyDescent="0.25">
      <c r="B311" s="9"/>
      <c r="C311" s="10"/>
    </row>
    <row r="312" spans="2:3" hidden="1" x14ac:dyDescent="0.25">
      <c r="B312" s="9"/>
      <c r="C312" s="10"/>
    </row>
    <row r="313" spans="2:3" hidden="1" x14ac:dyDescent="0.25">
      <c r="B313" s="9"/>
      <c r="C313" s="10"/>
    </row>
    <row r="314" spans="2:3" hidden="1" x14ac:dyDescent="0.25">
      <c r="B314" s="9"/>
      <c r="C314" s="10"/>
    </row>
    <row r="315" spans="2:3" hidden="1" x14ac:dyDescent="0.25">
      <c r="B315" s="9"/>
      <c r="C315" s="10"/>
    </row>
    <row r="316" spans="2:3" hidden="1" x14ac:dyDescent="0.25">
      <c r="B316" s="9"/>
      <c r="C316" s="10"/>
    </row>
    <row r="317" spans="2:3" hidden="1" x14ac:dyDescent="0.25">
      <c r="B317" s="9"/>
      <c r="C317" s="10"/>
    </row>
    <row r="318" spans="2:3" hidden="1" x14ac:dyDescent="0.25">
      <c r="B318" s="9"/>
      <c r="C318" s="10"/>
    </row>
    <row r="319" spans="2:3" hidden="1" x14ac:dyDescent="0.25">
      <c r="B319" s="9"/>
      <c r="C319" s="10"/>
    </row>
    <row r="320" spans="2:3" hidden="1" x14ac:dyDescent="0.25">
      <c r="B320" s="9"/>
      <c r="C320" s="10"/>
    </row>
    <row r="321" spans="2:3" hidden="1" x14ac:dyDescent="0.25">
      <c r="B321" s="9"/>
      <c r="C321" s="10"/>
    </row>
    <row r="322" spans="2:3" hidden="1" x14ac:dyDescent="0.25">
      <c r="B322" s="9"/>
      <c r="C322" s="10"/>
    </row>
    <row r="323" spans="2:3" hidden="1" x14ac:dyDescent="0.25">
      <c r="B323" s="9"/>
      <c r="C323" s="10"/>
    </row>
    <row r="324" spans="2:3" hidden="1" x14ac:dyDescent="0.25">
      <c r="B324" s="9"/>
      <c r="C324" s="10"/>
    </row>
    <row r="325" spans="2:3" hidden="1" x14ac:dyDescent="0.25">
      <c r="B325" s="9"/>
      <c r="C325" s="10"/>
    </row>
    <row r="326" spans="2:3" hidden="1" x14ac:dyDescent="0.25">
      <c r="B326" s="9"/>
      <c r="C326" s="10"/>
    </row>
    <row r="327" spans="2:3" hidden="1" x14ac:dyDescent="0.25">
      <c r="B327" s="9"/>
      <c r="C327" s="10"/>
    </row>
    <row r="328" spans="2:3" hidden="1" x14ac:dyDescent="0.25">
      <c r="B328" s="9"/>
      <c r="C328" s="10"/>
    </row>
    <row r="329" spans="2:3" hidden="1" x14ac:dyDescent="0.25">
      <c r="B329" s="9"/>
      <c r="C329" s="10"/>
    </row>
    <row r="330" spans="2:3" hidden="1" x14ac:dyDescent="0.25">
      <c r="B330" s="9"/>
      <c r="C330" s="10"/>
    </row>
    <row r="331" spans="2:3" hidden="1" x14ac:dyDescent="0.25">
      <c r="B331" s="9"/>
      <c r="C331" s="10"/>
    </row>
    <row r="332" spans="2:3" hidden="1" x14ac:dyDescent="0.25">
      <c r="B332" s="9"/>
      <c r="C332" s="10"/>
    </row>
    <row r="333" spans="2:3" hidden="1" x14ac:dyDescent="0.25">
      <c r="B333" s="9"/>
      <c r="C333" s="10"/>
    </row>
    <row r="334" spans="2:3" hidden="1" x14ac:dyDescent="0.25">
      <c r="B334" s="9"/>
      <c r="C334" s="10"/>
    </row>
    <row r="335" spans="2:3" hidden="1" x14ac:dyDescent="0.25">
      <c r="B335" s="9"/>
      <c r="C335" s="10"/>
    </row>
    <row r="336" spans="2:3" hidden="1" x14ac:dyDescent="0.25">
      <c r="B336" s="9"/>
      <c r="C336" s="10"/>
    </row>
    <row r="337" spans="2:3" hidden="1" x14ac:dyDescent="0.25">
      <c r="B337" s="9"/>
      <c r="C337" s="10"/>
    </row>
    <row r="338" spans="2:3" hidden="1" x14ac:dyDescent="0.25">
      <c r="B338" s="9"/>
      <c r="C338" s="10"/>
    </row>
    <row r="339" spans="2:3" hidden="1" x14ac:dyDescent="0.25">
      <c r="B339" s="9"/>
      <c r="C339" s="10"/>
    </row>
    <row r="340" spans="2:3" hidden="1" x14ac:dyDescent="0.25">
      <c r="B340" s="9"/>
      <c r="C340" s="10"/>
    </row>
    <row r="341" spans="2:3" hidden="1" x14ac:dyDescent="0.25">
      <c r="B341" s="9"/>
      <c r="C341" s="10"/>
    </row>
    <row r="342" spans="2:3" hidden="1" x14ac:dyDescent="0.25">
      <c r="B342" s="9"/>
      <c r="C342" s="10"/>
    </row>
    <row r="343" spans="2:3" hidden="1" x14ac:dyDescent="0.25">
      <c r="B343" s="9"/>
      <c r="C343" s="10"/>
    </row>
    <row r="344" spans="2:3" hidden="1" x14ac:dyDescent="0.25">
      <c r="B344" s="9"/>
      <c r="C344" s="10"/>
    </row>
    <row r="345" spans="2:3" hidden="1" x14ac:dyDescent="0.25">
      <c r="B345" s="9"/>
      <c r="C345" s="10"/>
    </row>
    <row r="346" spans="2:3" hidden="1" x14ac:dyDescent="0.25">
      <c r="B346" s="9"/>
      <c r="C346" s="10"/>
    </row>
    <row r="347" spans="2:3" hidden="1" x14ac:dyDescent="0.25">
      <c r="B347" s="9"/>
      <c r="C347" s="10"/>
    </row>
    <row r="348" spans="2:3" hidden="1" x14ac:dyDescent="0.25">
      <c r="B348" s="9"/>
      <c r="C348" s="10"/>
    </row>
    <row r="349" spans="2:3" hidden="1" x14ac:dyDescent="0.25">
      <c r="B349" s="9"/>
      <c r="C349" s="10"/>
    </row>
    <row r="350" spans="2:3" hidden="1" x14ac:dyDescent="0.25">
      <c r="B350" s="9"/>
      <c r="C350" s="10"/>
    </row>
    <row r="351" spans="2:3" hidden="1" x14ac:dyDescent="0.25">
      <c r="B351" s="9"/>
      <c r="C351" s="10"/>
    </row>
    <row r="352" spans="2:3" hidden="1" x14ac:dyDescent="0.25">
      <c r="B352" s="9"/>
      <c r="C352" s="10"/>
    </row>
    <row r="353" spans="2:3" hidden="1" x14ac:dyDescent="0.25">
      <c r="B353" s="9"/>
      <c r="C353" s="10"/>
    </row>
    <row r="354" spans="2:3" hidden="1" x14ac:dyDescent="0.25">
      <c r="B354" s="9"/>
      <c r="C354" s="10"/>
    </row>
    <row r="355" spans="2:3" hidden="1" x14ac:dyDescent="0.25">
      <c r="B355" s="9"/>
      <c r="C355" s="10"/>
    </row>
    <row r="356" spans="2:3" hidden="1" x14ac:dyDescent="0.25">
      <c r="B356" s="9"/>
      <c r="C356" s="10"/>
    </row>
    <row r="357" spans="2:3" hidden="1" x14ac:dyDescent="0.25">
      <c r="B357" s="9"/>
      <c r="C357" s="10"/>
    </row>
    <row r="358" spans="2:3" hidden="1" x14ac:dyDescent="0.25">
      <c r="B358" s="9"/>
      <c r="C358" s="10"/>
    </row>
    <row r="359" spans="2:3" hidden="1" x14ac:dyDescent="0.25">
      <c r="B359" s="9"/>
      <c r="C359" s="10"/>
    </row>
    <row r="360" spans="2:3" hidden="1" x14ac:dyDescent="0.25">
      <c r="B360" s="9"/>
      <c r="C360" s="10"/>
    </row>
    <row r="361" spans="2:3" hidden="1" x14ac:dyDescent="0.25">
      <c r="B361" s="9"/>
      <c r="C361" s="10"/>
    </row>
    <row r="362" spans="2:3" hidden="1" x14ac:dyDescent="0.25">
      <c r="B362" s="9"/>
      <c r="C362" s="10"/>
    </row>
    <row r="363" spans="2:3" hidden="1" x14ac:dyDescent="0.25">
      <c r="B363" s="9"/>
      <c r="C363" s="10"/>
    </row>
    <row r="364" spans="2:3" hidden="1" x14ac:dyDescent="0.25">
      <c r="B364" s="9"/>
      <c r="C364" s="10"/>
    </row>
    <row r="365" spans="2:3" hidden="1" x14ac:dyDescent="0.25">
      <c r="B365" s="9"/>
      <c r="C365" s="10"/>
    </row>
    <row r="366" spans="2:3" hidden="1" x14ac:dyDescent="0.25">
      <c r="B366" s="9"/>
      <c r="C366" s="10"/>
    </row>
    <row r="367" spans="2:3" hidden="1" x14ac:dyDescent="0.25">
      <c r="B367" s="9"/>
      <c r="C367" s="10"/>
    </row>
    <row r="368" spans="2:3" hidden="1" x14ac:dyDescent="0.25">
      <c r="B368" s="9"/>
      <c r="C368" s="10"/>
    </row>
    <row r="369" spans="2:3" hidden="1" x14ac:dyDescent="0.25">
      <c r="B369" s="9"/>
      <c r="C369" s="10"/>
    </row>
    <row r="370" spans="2:3" hidden="1" x14ac:dyDescent="0.25">
      <c r="B370" s="9"/>
      <c r="C370" s="10"/>
    </row>
    <row r="371" spans="2:3" hidden="1" x14ac:dyDescent="0.25">
      <c r="B371" s="9"/>
      <c r="C371" s="10"/>
    </row>
    <row r="372" spans="2:3" hidden="1" x14ac:dyDescent="0.25">
      <c r="B372" s="9"/>
      <c r="C372" s="10"/>
    </row>
    <row r="373" spans="2:3" hidden="1" x14ac:dyDescent="0.25">
      <c r="B373" s="9"/>
      <c r="C373" s="10"/>
    </row>
    <row r="374" spans="2:3" hidden="1" x14ac:dyDescent="0.25">
      <c r="B374" s="11"/>
      <c r="C374" s="12"/>
    </row>
  </sheetData>
  <sheetProtection password="F315" sheet="1" objects="1" scenarios="1" selectLockedCells="1"/>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rovado_x0020_Por xmlns="4147c134-c124-470b-82c5-8e3262786405">
      <UserInfo>
        <DisplayName>Leandro Monteiro De Barros Moura</DisplayName>
        <AccountId>761</AccountId>
        <AccountType/>
      </UserInfo>
    </Aprovado_x0020_Por>
    <Data_x0020_de_x0020_Expira_x00e7__x00e3_o xmlns="4147c134-c124-470b-82c5-8e3262786405">2017-04-25T03:00:00+00:00</Data_x0020_de_x0020_Expira_x00e7__x00e3_o>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schemas.microsoft.com/office/2006/documentManagement/types"/>
    <ds:schemaRef ds:uri="http://purl.org/dc/dcmitype/"/>
    <ds:schemaRef ds:uri="http://purl.org/dc/elements/1.1/"/>
    <ds:schemaRef ds:uri="4147c134-c124-470b-82c5-8e3262786405"/>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162F69D1-42C1-434A-9BB5-B062661A56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D-Temas x Perguntas</vt:lpstr>
      <vt:lpstr>Checklist Impacto Operações TI</vt:lpstr>
      <vt:lpstr>Capa</vt:lpstr>
      <vt:lpstr>Guia_Preenchimento</vt:lpstr>
      <vt:lpstr>Controle_versão</vt:lpstr>
      <vt:lpstr>Mapa Impacto</vt:lpstr>
      <vt:lpstr>Resumo Atividades x Sistema</vt:lpstr>
      <vt:lpstr>Resumo Impacto x Sistema</vt:lpstr>
      <vt:lpstr>Funcionalidades Críticas</vt:lpstr>
      <vt:lpstr>Glossário</vt:lpstr>
      <vt:lpstr>'Resumo Atividades x Sistema'!Criterios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Checklist de Impacto em Operações</dc:title>
  <dc:creator>profile</dc:creator>
  <cp:lastModifiedBy>supervisor</cp:lastModifiedBy>
  <cp:lastPrinted>2014-06-16T17:00:05Z</cp:lastPrinted>
  <dcterms:created xsi:type="dcterms:W3CDTF">2014-06-16T13:44:45Z</dcterms:created>
  <dcterms:modified xsi:type="dcterms:W3CDTF">2016-07-26T13:45:03Z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